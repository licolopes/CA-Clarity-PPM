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insilva\Desktop\Excel\"/>
    </mc:Choice>
  </mc:AlternateContent>
  <bookViews>
    <workbookView xWindow="0" yWindow="60" windowWidth="20490" windowHeight="6495" firstSheet="1" activeTab="1"/>
  </bookViews>
  <sheets>
    <sheet name="MENU" sheetId="9" r:id="rId1"/>
    <sheet name="CONFIGURAÇÕES" sheetId="5" r:id="rId2"/>
    <sheet name="1-CUSTOS PLANEJADOS" sheetId="8" r:id="rId3"/>
    <sheet name="2-CUSTOS REALIZADOS" sheetId="6" r:id="rId4"/>
    <sheet name="APOIO" sheetId="3" r:id="rId5"/>
    <sheet name="DEBUG" sheetId="4" r:id="rId6"/>
  </sheets>
  <functionGroups builtInGroupCount="18"/>
  <externalReferences>
    <externalReference r:id="rId7"/>
  </externalReferences>
  <definedNames>
    <definedName name="_xlnm._FilterDatabase" localSheetId="4" hidden="1">APOIO!$A$1:$F$10000</definedName>
    <definedName name="Tarefa" localSheetId="2">[1]APOIO!#REF!</definedName>
    <definedName name="Tarefa" localSheetId="0">[1]APOIO!#REF!</definedName>
    <definedName name="Tarefa">[1]APOIO!#REF!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000" i="6" l="1"/>
  <c r="Y1999" i="6"/>
  <c r="Y1998" i="6"/>
  <c r="Y1997" i="6"/>
  <c r="Y1996" i="6"/>
  <c r="Y1995" i="6"/>
  <c r="Y1994" i="6"/>
  <c r="Y1993" i="6"/>
  <c r="Y1992" i="6"/>
  <c r="Y1991" i="6"/>
  <c r="Y1990" i="6"/>
  <c r="Y1989" i="6"/>
  <c r="Y1988" i="6"/>
  <c r="Y1987" i="6"/>
  <c r="Y1986" i="6"/>
  <c r="Y1985" i="6"/>
  <c r="Y1984" i="6"/>
  <c r="Y1983" i="6"/>
  <c r="Y1982" i="6"/>
  <c r="Y1981" i="6"/>
  <c r="Y1980" i="6"/>
  <c r="Y1979" i="6"/>
  <c r="Y1978" i="6"/>
  <c r="Y1977" i="6"/>
  <c r="Y1976" i="6"/>
  <c r="Y1975" i="6"/>
  <c r="Y1974" i="6"/>
  <c r="Y1973" i="6"/>
  <c r="Y1972" i="6"/>
  <c r="Y1971" i="6"/>
  <c r="Y1970" i="6"/>
  <c r="Y1969" i="6"/>
  <c r="Y1968" i="6"/>
  <c r="Y1967" i="6"/>
  <c r="Y1966" i="6"/>
  <c r="Y1965" i="6"/>
  <c r="Y1964" i="6"/>
  <c r="Y1963" i="6"/>
  <c r="Y1962" i="6"/>
  <c r="Y1961" i="6"/>
  <c r="Y1960" i="6"/>
  <c r="Y1959" i="6"/>
  <c r="Y1958" i="6"/>
  <c r="Y1957" i="6"/>
  <c r="Y1956" i="6"/>
  <c r="Y1955" i="6"/>
  <c r="Y1954" i="6"/>
  <c r="Y1953" i="6"/>
  <c r="Y1952" i="6"/>
  <c r="Y1951" i="6"/>
  <c r="Y1950" i="6"/>
  <c r="Y1949" i="6"/>
  <c r="Y1948" i="6"/>
  <c r="Y1947" i="6"/>
  <c r="Y1946" i="6"/>
  <c r="Y1945" i="6"/>
  <c r="Y1944" i="6"/>
  <c r="Y1943" i="6"/>
  <c r="Y1942" i="6"/>
  <c r="Y1941" i="6"/>
  <c r="Y1940" i="6"/>
  <c r="Y1939" i="6"/>
  <c r="Y1938" i="6"/>
  <c r="Y1937" i="6"/>
  <c r="Y1936" i="6"/>
  <c r="Y1935" i="6"/>
  <c r="Y1934" i="6"/>
  <c r="Y1933" i="6"/>
  <c r="Y1932" i="6"/>
  <c r="Y1931" i="6"/>
  <c r="Y1930" i="6"/>
  <c r="Y1929" i="6"/>
  <c r="Y1928" i="6"/>
  <c r="Y1927" i="6"/>
  <c r="Y1926" i="6"/>
  <c r="Y1925" i="6"/>
  <c r="Y1924" i="6"/>
  <c r="Y1923" i="6"/>
  <c r="Y1922" i="6"/>
  <c r="Y1921" i="6"/>
  <c r="Y1920" i="6"/>
  <c r="Y1919" i="6"/>
  <c r="Y1918" i="6"/>
  <c r="Y1917" i="6"/>
  <c r="Y1916" i="6"/>
  <c r="Y1915" i="6"/>
  <c r="Y1914" i="6"/>
  <c r="Y1913" i="6"/>
  <c r="Y1912" i="6"/>
  <c r="Y1911" i="6"/>
  <c r="Y1910" i="6"/>
  <c r="Y1909" i="6"/>
  <c r="Y1908" i="6"/>
  <c r="Y1907" i="6"/>
  <c r="Y1906" i="6"/>
  <c r="Y1905" i="6"/>
  <c r="Y1904" i="6"/>
  <c r="Y1903" i="6"/>
  <c r="Y1902" i="6"/>
  <c r="Y1901" i="6"/>
  <c r="Y1900" i="6"/>
  <c r="Y1899" i="6"/>
  <c r="Y1898" i="6"/>
  <c r="Y1897" i="6"/>
  <c r="Y1896" i="6"/>
  <c r="Y1895" i="6"/>
  <c r="Y1894" i="6"/>
  <c r="Y1893" i="6"/>
  <c r="Y1892" i="6"/>
  <c r="Y1891" i="6"/>
  <c r="Y1890" i="6"/>
  <c r="Y1889" i="6"/>
  <c r="Y1888" i="6"/>
  <c r="Y1887" i="6"/>
  <c r="Y1886" i="6"/>
  <c r="Y1885" i="6"/>
  <c r="Y1884" i="6"/>
  <c r="Y1883" i="6"/>
  <c r="Y1882" i="6"/>
  <c r="Y1881" i="6"/>
  <c r="Y1880" i="6"/>
  <c r="Y1879" i="6"/>
  <c r="Y1878" i="6"/>
  <c r="Y1877" i="6"/>
  <c r="Y1876" i="6"/>
  <c r="Y1875" i="6"/>
  <c r="Y1874" i="6"/>
  <c r="Y1873" i="6"/>
  <c r="Y1872" i="6"/>
  <c r="Y1871" i="6"/>
  <c r="Y1870" i="6"/>
  <c r="Y1869" i="6"/>
  <c r="Y1868" i="6"/>
  <c r="Y1867" i="6"/>
  <c r="Y1866" i="6"/>
  <c r="Y1865" i="6"/>
  <c r="Y1864" i="6"/>
  <c r="Y1863" i="6"/>
  <c r="Y1862" i="6"/>
  <c r="Y1861" i="6"/>
  <c r="Y1860" i="6"/>
  <c r="Y1859" i="6"/>
  <c r="Y1858" i="6"/>
  <c r="Y1857" i="6"/>
  <c r="Y1856" i="6"/>
  <c r="Y1855" i="6"/>
  <c r="Y1854" i="6"/>
  <c r="Y1853" i="6"/>
  <c r="Y1852" i="6"/>
  <c r="Y1851" i="6"/>
  <c r="Y1850" i="6"/>
  <c r="Y1849" i="6"/>
  <c r="Y1848" i="6"/>
  <c r="Y1847" i="6"/>
  <c r="Y1846" i="6"/>
  <c r="Y1845" i="6"/>
  <c r="Y1844" i="6"/>
  <c r="Y1843" i="6"/>
  <c r="Y1842" i="6"/>
  <c r="Y1841" i="6"/>
  <c r="Y1840" i="6"/>
  <c r="Y1839" i="6"/>
  <c r="Y1838" i="6"/>
  <c r="Y1837" i="6"/>
  <c r="Y1836" i="6"/>
  <c r="Y1835" i="6"/>
  <c r="Y1834" i="6"/>
  <c r="Y1833" i="6"/>
  <c r="Y1832" i="6"/>
  <c r="Y1831" i="6"/>
  <c r="Y1830" i="6"/>
  <c r="Y1829" i="6"/>
  <c r="Y1828" i="6"/>
  <c r="Y1827" i="6"/>
  <c r="Y1826" i="6"/>
  <c r="Y1825" i="6"/>
  <c r="Y1824" i="6"/>
  <c r="Y1823" i="6"/>
  <c r="Y1822" i="6"/>
  <c r="Y1821" i="6"/>
  <c r="Y1820" i="6"/>
  <c r="Y1819" i="6"/>
  <c r="Y1818" i="6"/>
  <c r="Y1817" i="6"/>
  <c r="Y1816" i="6"/>
  <c r="Y1815" i="6"/>
  <c r="Y1814" i="6"/>
  <c r="Y1813" i="6"/>
  <c r="Y1812" i="6"/>
  <c r="Y1811" i="6"/>
  <c r="Y1810" i="6"/>
  <c r="Y1809" i="6"/>
  <c r="Y1808" i="6"/>
  <c r="Y1807" i="6"/>
  <c r="Y1806" i="6"/>
  <c r="Y1805" i="6"/>
  <c r="Y1804" i="6"/>
  <c r="Y1803" i="6"/>
  <c r="Y1802" i="6"/>
  <c r="Y1801" i="6"/>
  <c r="Y1800" i="6"/>
  <c r="Y1799" i="6"/>
  <c r="Y1798" i="6"/>
  <c r="Y1797" i="6"/>
  <c r="Y1796" i="6"/>
  <c r="Y1795" i="6"/>
  <c r="Y1794" i="6"/>
  <c r="Y1793" i="6"/>
  <c r="Y1792" i="6"/>
  <c r="Y1791" i="6"/>
  <c r="Y1790" i="6"/>
  <c r="Y1789" i="6"/>
  <c r="Y1788" i="6"/>
  <c r="Y1787" i="6"/>
  <c r="Y1786" i="6"/>
  <c r="Y1785" i="6"/>
  <c r="Y1784" i="6"/>
  <c r="Y1783" i="6"/>
  <c r="Y1782" i="6"/>
  <c r="Y1781" i="6"/>
  <c r="Y1780" i="6"/>
  <c r="Y1779" i="6"/>
  <c r="Y1778" i="6"/>
  <c r="Y1777" i="6"/>
  <c r="Y1776" i="6"/>
  <c r="Y1775" i="6"/>
  <c r="Y1774" i="6"/>
  <c r="Y1773" i="6"/>
  <c r="Y1772" i="6"/>
  <c r="Y1771" i="6"/>
  <c r="Y1770" i="6"/>
  <c r="Y1769" i="6"/>
  <c r="Y1768" i="6"/>
  <c r="Y1767" i="6"/>
  <c r="Y1766" i="6"/>
  <c r="Y1765" i="6"/>
  <c r="Y1764" i="6"/>
  <c r="Y1763" i="6"/>
  <c r="Y1762" i="6"/>
  <c r="Y1761" i="6"/>
  <c r="Y1760" i="6"/>
  <c r="Y1759" i="6"/>
  <c r="Y1758" i="6"/>
  <c r="Y1757" i="6"/>
  <c r="Y1756" i="6"/>
  <c r="Y1755" i="6"/>
  <c r="Y1754" i="6"/>
  <c r="Y1753" i="6"/>
  <c r="Y1752" i="6"/>
  <c r="Y1751" i="6"/>
  <c r="Y1750" i="6"/>
  <c r="Y1749" i="6"/>
  <c r="Y1748" i="6"/>
  <c r="Y1747" i="6"/>
  <c r="Y1746" i="6"/>
  <c r="Y1745" i="6"/>
  <c r="Y1744" i="6"/>
  <c r="Y1743" i="6"/>
  <c r="Y1742" i="6"/>
  <c r="Y1741" i="6"/>
  <c r="Y1740" i="6"/>
  <c r="Y1739" i="6"/>
  <c r="Y1738" i="6"/>
  <c r="Y1737" i="6"/>
  <c r="Y1736" i="6"/>
  <c r="Y1735" i="6"/>
  <c r="Y1734" i="6"/>
  <c r="Y1733" i="6"/>
  <c r="Y1732" i="6"/>
  <c r="Y1731" i="6"/>
  <c r="Y1730" i="6"/>
  <c r="Y1729" i="6"/>
  <c r="Y1728" i="6"/>
  <c r="Y1727" i="6"/>
  <c r="Y1726" i="6"/>
  <c r="Y1725" i="6"/>
  <c r="Y1724" i="6"/>
  <c r="Y1723" i="6"/>
  <c r="Y1722" i="6"/>
  <c r="Y1721" i="6"/>
  <c r="Y1720" i="6"/>
  <c r="Y1719" i="6"/>
  <c r="Y1718" i="6"/>
  <c r="Y1717" i="6"/>
  <c r="Y1716" i="6"/>
  <c r="Y1715" i="6"/>
  <c r="Y1714" i="6"/>
  <c r="Y1713" i="6"/>
  <c r="Y1712" i="6"/>
  <c r="Y1711" i="6"/>
  <c r="Y1710" i="6"/>
  <c r="Y1709" i="6"/>
  <c r="Y1708" i="6"/>
  <c r="Y1707" i="6"/>
  <c r="Y1706" i="6"/>
  <c r="Y1705" i="6"/>
  <c r="Y1704" i="6"/>
  <c r="Y1703" i="6"/>
  <c r="Y1702" i="6"/>
  <c r="Y1701" i="6"/>
  <c r="Y1700" i="6"/>
  <c r="Y1699" i="6"/>
  <c r="Y1698" i="6"/>
  <c r="Y1697" i="6"/>
  <c r="Y1696" i="6"/>
  <c r="Y1695" i="6"/>
  <c r="Y1694" i="6"/>
  <c r="Y1693" i="6"/>
  <c r="Y1692" i="6"/>
  <c r="Y1691" i="6"/>
  <c r="Y1690" i="6"/>
  <c r="Y1689" i="6"/>
  <c r="Y1688" i="6"/>
  <c r="Y1687" i="6"/>
  <c r="Y1686" i="6"/>
  <c r="Y1685" i="6"/>
  <c r="Y1684" i="6"/>
  <c r="Y1683" i="6"/>
  <c r="Y1682" i="6"/>
  <c r="Y1681" i="6"/>
  <c r="Y1680" i="6"/>
  <c r="Y1679" i="6"/>
  <c r="Y1678" i="6"/>
  <c r="Y1677" i="6"/>
  <c r="Y1676" i="6"/>
  <c r="Y1675" i="6"/>
  <c r="Y1674" i="6"/>
  <c r="Y1673" i="6"/>
  <c r="Y1672" i="6"/>
  <c r="Y1671" i="6"/>
  <c r="Y1670" i="6"/>
  <c r="Y1669" i="6"/>
  <c r="Y1668" i="6"/>
  <c r="Y1667" i="6"/>
  <c r="Y1666" i="6"/>
  <c r="Y1665" i="6"/>
  <c r="Y1664" i="6"/>
  <c r="Y1663" i="6"/>
  <c r="Y1662" i="6"/>
  <c r="Y1661" i="6"/>
  <c r="Y1660" i="6"/>
  <c r="Y1659" i="6"/>
  <c r="Y1658" i="6"/>
  <c r="Y1657" i="6"/>
  <c r="Y1656" i="6"/>
  <c r="Y1655" i="6"/>
  <c r="Y1654" i="6"/>
  <c r="Y1653" i="6"/>
  <c r="Y1652" i="6"/>
  <c r="Y1651" i="6"/>
  <c r="Y1650" i="6"/>
  <c r="Y1649" i="6"/>
  <c r="Y1648" i="6"/>
  <c r="Y1647" i="6"/>
  <c r="Y1646" i="6"/>
  <c r="Y1645" i="6"/>
  <c r="Y1644" i="6"/>
  <c r="Y1643" i="6"/>
  <c r="Y1642" i="6"/>
  <c r="Y1641" i="6"/>
  <c r="Y1640" i="6"/>
  <c r="Y1639" i="6"/>
  <c r="Y1638" i="6"/>
  <c r="Y1637" i="6"/>
  <c r="Y1636" i="6"/>
  <c r="Y1635" i="6"/>
  <c r="Y1634" i="6"/>
  <c r="Y1633" i="6"/>
  <c r="Y1632" i="6"/>
  <c r="Y1631" i="6"/>
  <c r="Y1630" i="6"/>
  <c r="Y1629" i="6"/>
  <c r="Y1628" i="6"/>
  <c r="Y1627" i="6"/>
  <c r="Y1626" i="6"/>
  <c r="Y1625" i="6"/>
  <c r="Y1624" i="6"/>
  <c r="Y1623" i="6"/>
  <c r="Y1622" i="6"/>
  <c r="Y1621" i="6"/>
  <c r="Y1620" i="6"/>
  <c r="Y1619" i="6"/>
  <c r="Y1618" i="6"/>
  <c r="Y1617" i="6"/>
  <c r="Y1616" i="6"/>
  <c r="Y1615" i="6"/>
  <c r="Y1614" i="6"/>
  <c r="Y1613" i="6"/>
  <c r="Y1612" i="6"/>
  <c r="Y1611" i="6"/>
  <c r="Y1610" i="6"/>
  <c r="Y1609" i="6"/>
  <c r="Y1608" i="6"/>
  <c r="Y1607" i="6"/>
  <c r="Y1606" i="6"/>
  <c r="Y1605" i="6"/>
  <c r="Y1604" i="6"/>
  <c r="Y1603" i="6"/>
  <c r="Y1602" i="6"/>
  <c r="Y1601" i="6"/>
  <c r="Y1600" i="6"/>
  <c r="Y1599" i="6"/>
  <c r="Y1598" i="6"/>
  <c r="Y1597" i="6"/>
  <c r="Y1596" i="6"/>
  <c r="Y1595" i="6"/>
  <c r="Y1594" i="6"/>
  <c r="Y1593" i="6"/>
  <c r="Y1592" i="6"/>
  <c r="Y1591" i="6"/>
  <c r="Y1590" i="6"/>
  <c r="Y1589" i="6"/>
  <c r="Y1588" i="6"/>
  <c r="Y1587" i="6"/>
  <c r="Y1586" i="6"/>
  <c r="Y1585" i="6"/>
  <c r="Y1584" i="6"/>
  <c r="Y1583" i="6"/>
  <c r="Y1582" i="6"/>
  <c r="Y1581" i="6"/>
  <c r="Y1580" i="6"/>
  <c r="Y1579" i="6"/>
  <c r="Y1578" i="6"/>
  <c r="Y1577" i="6"/>
  <c r="Y1576" i="6"/>
  <c r="Y1575" i="6"/>
  <c r="Y1574" i="6"/>
  <c r="Y1573" i="6"/>
  <c r="Y1572" i="6"/>
  <c r="Y1571" i="6"/>
  <c r="Y1570" i="6"/>
  <c r="Y1569" i="6"/>
  <c r="Y1568" i="6"/>
  <c r="Y1567" i="6"/>
  <c r="Y1566" i="6"/>
  <c r="Y1565" i="6"/>
  <c r="Y1564" i="6"/>
  <c r="Y1563" i="6"/>
  <c r="Y1562" i="6"/>
  <c r="Y1561" i="6"/>
  <c r="Y1560" i="6"/>
  <c r="Y1559" i="6"/>
  <c r="Y1558" i="6"/>
  <c r="Y1557" i="6"/>
  <c r="Y1556" i="6"/>
  <c r="Y1555" i="6"/>
  <c r="Y1554" i="6"/>
  <c r="Y1553" i="6"/>
  <c r="Y1552" i="6"/>
  <c r="Y1551" i="6"/>
  <c r="Y1550" i="6"/>
  <c r="Y1549" i="6"/>
  <c r="Y1548" i="6"/>
  <c r="Y1547" i="6"/>
  <c r="Y1546" i="6"/>
  <c r="Y1545" i="6"/>
  <c r="Y1544" i="6"/>
  <c r="Y1543" i="6"/>
  <c r="Y1542" i="6"/>
  <c r="Y1541" i="6"/>
  <c r="Y1540" i="6"/>
  <c r="Y1539" i="6"/>
  <c r="Y1538" i="6"/>
  <c r="Y1537" i="6"/>
  <c r="Y1536" i="6"/>
  <c r="Y1535" i="6"/>
  <c r="Y1534" i="6"/>
  <c r="Y1533" i="6"/>
  <c r="Y1532" i="6"/>
  <c r="Y1531" i="6"/>
  <c r="Y1530" i="6"/>
  <c r="Y1529" i="6"/>
  <c r="Y1528" i="6"/>
  <c r="Y1527" i="6"/>
  <c r="Y1526" i="6"/>
  <c r="Y1525" i="6"/>
  <c r="Y1524" i="6"/>
  <c r="Y1523" i="6"/>
  <c r="Y1522" i="6"/>
  <c r="Y1521" i="6"/>
  <c r="Y1520" i="6"/>
  <c r="Y1519" i="6"/>
  <c r="Y1518" i="6"/>
  <c r="Y1517" i="6"/>
  <c r="Y1516" i="6"/>
  <c r="Y1515" i="6"/>
  <c r="Y1514" i="6"/>
  <c r="Y1513" i="6"/>
  <c r="Y1512" i="6"/>
  <c r="Y1511" i="6"/>
  <c r="Y1510" i="6"/>
  <c r="Y1509" i="6"/>
  <c r="Y1508" i="6"/>
  <c r="Y1507" i="6"/>
  <c r="Y1506" i="6"/>
  <c r="Y1505" i="6"/>
  <c r="Y1504" i="6"/>
  <c r="Y1503" i="6"/>
  <c r="Y1502" i="6"/>
  <c r="Y1501" i="6"/>
  <c r="Y1500" i="6"/>
  <c r="Y1499" i="6"/>
  <c r="Y1498" i="6"/>
  <c r="Y1497" i="6"/>
  <c r="Y1496" i="6"/>
  <c r="Y1495" i="6"/>
  <c r="Y1494" i="6"/>
  <c r="Y1493" i="6"/>
  <c r="Y1492" i="6"/>
  <c r="Y1491" i="6"/>
  <c r="Y1490" i="6"/>
  <c r="Y1489" i="6"/>
  <c r="Y1488" i="6"/>
  <c r="Y1487" i="6"/>
  <c r="Y1486" i="6"/>
  <c r="Y1485" i="6"/>
  <c r="Y1484" i="6"/>
  <c r="Y1483" i="6"/>
  <c r="Y1482" i="6"/>
  <c r="Y1481" i="6"/>
  <c r="Y1480" i="6"/>
  <c r="Y1479" i="6"/>
  <c r="Y1478" i="6"/>
  <c r="Y1477" i="6"/>
  <c r="Y1476" i="6"/>
  <c r="Y1475" i="6"/>
  <c r="Y1474" i="6"/>
  <c r="Y1473" i="6"/>
  <c r="Y1472" i="6"/>
  <c r="Y1471" i="6"/>
  <c r="Y1470" i="6"/>
  <c r="Y1469" i="6"/>
  <c r="Y1468" i="6"/>
  <c r="Y1467" i="6"/>
  <c r="Y1466" i="6"/>
  <c r="Y1465" i="6"/>
  <c r="Y1464" i="6"/>
  <c r="Y1463" i="6"/>
  <c r="Y1462" i="6"/>
  <c r="Y1461" i="6"/>
  <c r="Y1460" i="6"/>
  <c r="Y1459" i="6"/>
  <c r="Y1458" i="6"/>
  <c r="Y1457" i="6"/>
  <c r="Y1456" i="6"/>
  <c r="Y1455" i="6"/>
  <c r="Y1454" i="6"/>
  <c r="Y1453" i="6"/>
  <c r="Y1452" i="6"/>
  <c r="Y1451" i="6"/>
  <c r="Y1450" i="6"/>
  <c r="Y1449" i="6"/>
  <c r="Y1448" i="6"/>
  <c r="Y1447" i="6"/>
  <c r="Y1446" i="6"/>
  <c r="Y1445" i="6"/>
  <c r="Y1444" i="6"/>
  <c r="Y1443" i="6"/>
  <c r="Y1442" i="6"/>
  <c r="Y1441" i="6"/>
  <c r="Y1440" i="6"/>
  <c r="Y1439" i="6"/>
  <c r="Y1438" i="6"/>
  <c r="Y1437" i="6"/>
  <c r="Y1436" i="6"/>
  <c r="Y1435" i="6"/>
  <c r="Y1434" i="6"/>
  <c r="Y1433" i="6"/>
  <c r="Y1432" i="6"/>
  <c r="Y1431" i="6"/>
  <c r="Y1430" i="6"/>
  <c r="Y1429" i="6"/>
  <c r="Y1428" i="6"/>
  <c r="Y1427" i="6"/>
  <c r="Y1426" i="6"/>
  <c r="Y1425" i="6"/>
  <c r="Y1424" i="6"/>
  <c r="Y1423" i="6"/>
  <c r="Y1422" i="6"/>
  <c r="Y1421" i="6"/>
  <c r="Y1420" i="6"/>
  <c r="Y1419" i="6"/>
  <c r="Y1418" i="6"/>
  <c r="Y1417" i="6"/>
  <c r="Y1416" i="6"/>
  <c r="Y1415" i="6"/>
  <c r="Y1414" i="6"/>
  <c r="Y1413" i="6"/>
  <c r="Y1412" i="6"/>
  <c r="Y1411" i="6"/>
  <c r="Y1410" i="6"/>
  <c r="Y1409" i="6"/>
  <c r="Y1408" i="6"/>
  <c r="Y1407" i="6"/>
  <c r="Y1406" i="6"/>
  <c r="Y1405" i="6"/>
  <c r="Y1404" i="6"/>
  <c r="Y1403" i="6"/>
  <c r="Y1402" i="6"/>
  <c r="Y1401" i="6"/>
  <c r="Y1400" i="6"/>
  <c r="Y1399" i="6"/>
  <c r="Y1398" i="6"/>
  <c r="Y1397" i="6"/>
  <c r="Y1396" i="6"/>
  <c r="Y1395" i="6"/>
  <c r="Y1394" i="6"/>
  <c r="Y1393" i="6"/>
  <c r="Y1392" i="6"/>
  <c r="Y1391" i="6"/>
  <c r="Y1390" i="6"/>
  <c r="Y1389" i="6"/>
  <c r="Y1388" i="6"/>
  <c r="Y1387" i="6"/>
  <c r="Y1386" i="6"/>
  <c r="Y1385" i="6"/>
  <c r="Y1384" i="6"/>
  <c r="Y1383" i="6"/>
  <c r="Y1382" i="6"/>
  <c r="Y1381" i="6"/>
  <c r="Y1380" i="6"/>
  <c r="Y1379" i="6"/>
  <c r="Y1378" i="6"/>
  <c r="Y1377" i="6"/>
  <c r="Y1376" i="6"/>
  <c r="Y1375" i="6"/>
  <c r="Y1374" i="6"/>
  <c r="Y1373" i="6"/>
  <c r="Y1372" i="6"/>
  <c r="Y1371" i="6"/>
  <c r="Y1370" i="6"/>
  <c r="Y1369" i="6"/>
  <c r="Y1368" i="6"/>
  <c r="Y1367" i="6"/>
  <c r="Y1366" i="6"/>
  <c r="Y1365" i="6"/>
  <c r="Y1364" i="6"/>
  <c r="Y1363" i="6"/>
  <c r="Y1362" i="6"/>
  <c r="Y1361" i="6"/>
  <c r="Y1360" i="6"/>
  <c r="Y1359" i="6"/>
  <c r="Y1358" i="6"/>
  <c r="Y1357" i="6"/>
  <c r="Y1356" i="6"/>
  <c r="Y1355" i="6"/>
  <c r="Y1354" i="6"/>
  <c r="Y1353" i="6"/>
  <c r="Y1352" i="6"/>
  <c r="Y1351" i="6"/>
  <c r="Y1350" i="6"/>
  <c r="Y1349" i="6"/>
  <c r="Y1348" i="6"/>
  <c r="Y1347" i="6"/>
  <c r="Y1346" i="6"/>
  <c r="Y1345" i="6"/>
  <c r="Y1344" i="6"/>
  <c r="Y1343" i="6"/>
  <c r="Y1342" i="6"/>
  <c r="Y1341" i="6"/>
  <c r="Y1340" i="6"/>
  <c r="Y1339" i="6"/>
  <c r="Y1338" i="6"/>
  <c r="Y1337" i="6"/>
  <c r="Y1336" i="6"/>
  <c r="Y1335" i="6"/>
  <c r="Y1334" i="6"/>
  <c r="Y1333" i="6"/>
  <c r="Y1332" i="6"/>
  <c r="Y1331" i="6"/>
  <c r="Y1330" i="6"/>
  <c r="Y1329" i="6"/>
  <c r="Y1328" i="6"/>
  <c r="Y1327" i="6"/>
  <c r="Y1326" i="6"/>
  <c r="Y1325" i="6"/>
  <c r="Y1324" i="6"/>
  <c r="Y1323" i="6"/>
  <c r="Y1322" i="6"/>
  <c r="Y1321" i="6"/>
  <c r="Y1320" i="6"/>
  <c r="Y1319" i="6"/>
  <c r="Y1318" i="6"/>
  <c r="Y1317" i="6"/>
  <c r="Y1316" i="6"/>
  <c r="Y1315" i="6"/>
  <c r="Y1314" i="6"/>
  <c r="Y1313" i="6"/>
  <c r="Y1312" i="6"/>
  <c r="Y1311" i="6"/>
  <c r="Y1310" i="6"/>
  <c r="Y1309" i="6"/>
  <c r="Y1308" i="6"/>
  <c r="Y1307" i="6"/>
  <c r="Y1306" i="6"/>
  <c r="Y1305" i="6"/>
  <c r="Y1304" i="6"/>
  <c r="Y1303" i="6"/>
  <c r="Y1302" i="6"/>
  <c r="Y1301" i="6"/>
  <c r="Y1300" i="6"/>
  <c r="Y1299" i="6"/>
  <c r="Y1298" i="6"/>
  <c r="Y1297" i="6"/>
  <c r="Y1296" i="6"/>
  <c r="Y1295" i="6"/>
  <c r="Y1294" i="6"/>
  <c r="Y1293" i="6"/>
  <c r="Y1292" i="6"/>
  <c r="Y1291" i="6"/>
  <c r="Y1290" i="6"/>
  <c r="Y1289" i="6"/>
  <c r="Y1288" i="6"/>
  <c r="Y1287" i="6"/>
  <c r="Y1286" i="6"/>
  <c r="Y1285" i="6"/>
  <c r="Y1284" i="6"/>
  <c r="Y1283" i="6"/>
  <c r="Y1282" i="6"/>
  <c r="Y1281" i="6"/>
  <c r="Y1280" i="6"/>
  <c r="Y1279" i="6"/>
  <c r="Y1278" i="6"/>
  <c r="Y1277" i="6"/>
  <c r="Y1276" i="6"/>
  <c r="Y1275" i="6"/>
  <c r="Y1274" i="6"/>
  <c r="Y1273" i="6"/>
  <c r="Y1272" i="6"/>
  <c r="Y1271" i="6"/>
  <c r="Y1270" i="6"/>
  <c r="Y1269" i="6"/>
  <c r="Y1268" i="6"/>
  <c r="Y1267" i="6"/>
  <c r="Y1266" i="6"/>
  <c r="Y1265" i="6"/>
  <c r="Y1264" i="6"/>
  <c r="Y1263" i="6"/>
  <c r="Y1262" i="6"/>
  <c r="Y1261" i="6"/>
  <c r="Y1260" i="6"/>
  <c r="Y1259" i="6"/>
  <c r="Y1258" i="6"/>
  <c r="Y1257" i="6"/>
  <c r="Y1256" i="6"/>
  <c r="Y1255" i="6"/>
  <c r="Y1254" i="6"/>
  <c r="Y1253" i="6"/>
  <c r="Y1252" i="6"/>
  <c r="Y1251" i="6"/>
  <c r="Y1250" i="6"/>
  <c r="Y1249" i="6"/>
  <c r="Y1248" i="6"/>
  <c r="Y1247" i="6"/>
  <c r="Y1246" i="6"/>
  <c r="Y1245" i="6"/>
  <c r="Y1244" i="6"/>
  <c r="Y1243" i="6"/>
  <c r="Y1242" i="6"/>
  <c r="Y1241" i="6"/>
  <c r="Y1240" i="6"/>
  <c r="Y1239" i="6"/>
  <c r="Y1238" i="6"/>
  <c r="Y1237" i="6"/>
  <c r="Y1236" i="6"/>
  <c r="Y1235" i="6"/>
  <c r="Y1234" i="6"/>
  <c r="Y1233" i="6"/>
  <c r="Y1232" i="6"/>
  <c r="Y1231" i="6"/>
  <c r="Y1230" i="6"/>
  <c r="Y1229" i="6"/>
  <c r="Y1228" i="6"/>
  <c r="Y1227" i="6"/>
  <c r="Y1226" i="6"/>
  <c r="Y1225" i="6"/>
  <c r="Y1224" i="6"/>
  <c r="Y1223" i="6"/>
  <c r="Y1222" i="6"/>
  <c r="Y1221" i="6"/>
  <c r="Y1220" i="6"/>
  <c r="Y1219" i="6"/>
  <c r="Y1218" i="6"/>
  <c r="Y1217" i="6"/>
  <c r="Y1216" i="6"/>
  <c r="Y1215" i="6"/>
  <c r="Y1214" i="6"/>
  <c r="Y1213" i="6"/>
  <c r="Y1212" i="6"/>
  <c r="Y1211" i="6"/>
  <c r="Y1210" i="6"/>
  <c r="Y1209" i="6"/>
  <c r="Y1208" i="6"/>
  <c r="Y1207" i="6"/>
  <c r="Y1206" i="6"/>
  <c r="Y1205" i="6"/>
  <c r="Y1204" i="6"/>
  <c r="Y1203" i="6"/>
  <c r="Y1202" i="6"/>
  <c r="Y1201" i="6"/>
  <c r="Y1200" i="6"/>
  <c r="Y1199" i="6"/>
  <c r="Y1198" i="6"/>
  <c r="Y1197" i="6"/>
  <c r="Y1196" i="6"/>
  <c r="Y1195" i="6"/>
  <c r="Y1194" i="6"/>
  <c r="Y1193" i="6"/>
  <c r="Y1192" i="6"/>
  <c r="Y1191" i="6"/>
  <c r="Y1190" i="6"/>
  <c r="Y1189" i="6"/>
  <c r="Y1188" i="6"/>
  <c r="Y1187" i="6"/>
  <c r="Y1186" i="6"/>
  <c r="Y1185" i="6"/>
  <c r="Y1184" i="6"/>
  <c r="Y1183" i="6"/>
  <c r="Y1182" i="6"/>
  <c r="Y1181" i="6"/>
  <c r="Y1180" i="6"/>
  <c r="Y1179" i="6"/>
  <c r="Y1178" i="6"/>
  <c r="Y1177" i="6"/>
  <c r="Y1176" i="6"/>
  <c r="Y1175" i="6"/>
  <c r="Y1174" i="6"/>
  <c r="Y1173" i="6"/>
  <c r="Y1172" i="6"/>
  <c r="Y1171" i="6"/>
  <c r="Y1170" i="6"/>
  <c r="Y1169" i="6"/>
  <c r="Y1168" i="6"/>
  <c r="Y1167" i="6"/>
  <c r="Y1166" i="6"/>
  <c r="Y1165" i="6"/>
  <c r="Y1164" i="6"/>
  <c r="Y1163" i="6"/>
  <c r="Y1162" i="6"/>
  <c r="Y1161" i="6"/>
  <c r="Y1160" i="6"/>
  <c r="Y1159" i="6"/>
  <c r="Y1158" i="6"/>
  <c r="Y1157" i="6"/>
  <c r="Y1156" i="6"/>
  <c r="Y1155" i="6"/>
  <c r="Y1154" i="6"/>
  <c r="Y1153" i="6"/>
  <c r="Y1152" i="6"/>
  <c r="Y1151" i="6"/>
  <c r="Y1150" i="6"/>
  <c r="Y1149" i="6"/>
  <c r="Y1148" i="6"/>
  <c r="Y1147" i="6"/>
  <c r="Y1146" i="6"/>
  <c r="Y1145" i="6"/>
  <c r="Y1144" i="6"/>
  <c r="Y1143" i="6"/>
  <c r="Y1142" i="6"/>
  <c r="Y1141" i="6"/>
  <c r="Y1140" i="6"/>
  <c r="Y1139" i="6"/>
  <c r="Y1138" i="6"/>
  <c r="Y1137" i="6"/>
  <c r="Y1136" i="6"/>
  <c r="Y1135" i="6"/>
  <c r="Y1134" i="6"/>
  <c r="Y1133" i="6"/>
  <c r="Y1132" i="6"/>
  <c r="Y1131" i="6"/>
  <c r="Y1130" i="6"/>
  <c r="Y1129" i="6"/>
  <c r="Y1128" i="6"/>
  <c r="Y1127" i="6"/>
  <c r="Y1126" i="6"/>
  <c r="Y1125" i="6"/>
  <c r="Y1124" i="6"/>
  <c r="Y1123" i="6"/>
  <c r="Y1122" i="6"/>
  <c r="Y1121" i="6"/>
  <c r="Y1120" i="6"/>
  <c r="Y1119" i="6"/>
  <c r="Y1118" i="6"/>
  <c r="Y1117" i="6"/>
  <c r="Y1116" i="6"/>
  <c r="Y1115" i="6"/>
  <c r="Y1114" i="6"/>
  <c r="Y1113" i="6"/>
  <c r="Y1112" i="6"/>
  <c r="Y1111" i="6"/>
  <c r="Y1110" i="6"/>
  <c r="Y1109" i="6"/>
  <c r="Y1108" i="6"/>
  <c r="Y1107" i="6"/>
  <c r="Y1106" i="6"/>
  <c r="Y1105" i="6"/>
  <c r="Y1104" i="6"/>
  <c r="Y1103" i="6"/>
  <c r="Y1102" i="6"/>
  <c r="Y1101" i="6"/>
  <c r="Y1100" i="6"/>
  <c r="Y1099" i="6"/>
  <c r="Y1098" i="6"/>
  <c r="Y1097" i="6"/>
  <c r="Y1096" i="6"/>
  <c r="Y1095" i="6"/>
  <c r="Y1094" i="6"/>
  <c r="Y1093" i="6"/>
  <c r="Y1092" i="6"/>
  <c r="Y1091" i="6"/>
  <c r="Y1090" i="6"/>
  <c r="Y1089" i="6"/>
  <c r="Y1088" i="6"/>
  <c r="Y1087" i="6"/>
  <c r="Y1086" i="6"/>
  <c r="Y1085" i="6"/>
  <c r="Y1084" i="6"/>
  <c r="Y1083" i="6"/>
  <c r="Y1082" i="6"/>
  <c r="Y1081" i="6"/>
  <c r="Y1080" i="6"/>
  <c r="Y1079" i="6"/>
  <c r="Y1078" i="6"/>
  <c r="Y1077" i="6"/>
  <c r="Y1076" i="6"/>
  <c r="Y1075" i="6"/>
  <c r="Y1074" i="6"/>
  <c r="Y1073" i="6"/>
  <c r="Y1072" i="6"/>
  <c r="Y1071" i="6"/>
  <c r="Y1070" i="6"/>
  <c r="Y1069" i="6"/>
  <c r="Y1068" i="6"/>
  <c r="Y1067" i="6"/>
  <c r="Y1066" i="6"/>
  <c r="Y1065" i="6"/>
  <c r="Y1064" i="6"/>
  <c r="Y1063" i="6"/>
  <c r="Y1062" i="6"/>
  <c r="Y1061" i="6"/>
  <c r="Y1060" i="6"/>
  <c r="Y1059" i="6"/>
  <c r="Y1058" i="6"/>
  <c r="Y1057" i="6"/>
  <c r="Y1056" i="6"/>
  <c r="Y1055" i="6"/>
  <c r="Y1054" i="6"/>
  <c r="Y1053" i="6"/>
  <c r="Y1052" i="6"/>
  <c r="Y1051" i="6"/>
  <c r="Y1050" i="6"/>
  <c r="Y1049" i="6"/>
  <c r="Y1048" i="6"/>
  <c r="Y1047" i="6"/>
  <c r="Y1046" i="6"/>
  <c r="Y1045" i="6"/>
  <c r="Y1044" i="6"/>
  <c r="Y1043" i="6"/>
  <c r="Y1042" i="6"/>
  <c r="Y1041" i="6"/>
  <c r="Y1040" i="6"/>
  <c r="Y1039" i="6"/>
  <c r="Y1038" i="6"/>
  <c r="Y1037" i="6"/>
  <c r="Y1036" i="6"/>
  <c r="Y1035" i="6"/>
  <c r="Y1034" i="6"/>
  <c r="Y1033" i="6"/>
  <c r="Y1032" i="6"/>
  <c r="Y1031" i="6"/>
  <c r="Y1030" i="6"/>
  <c r="Y1029" i="6"/>
  <c r="Y1028" i="6"/>
  <c r="Y1027" i="6"/>
  <c r="Y1026" i="6"/>
  <c r="Y1025" i="6"/>
  <c r="Y1024" i="6"/>
  <c r="Y1023" i="6"/>
  <c r="Y1022" i="6"/>
  <c r="Y1021" i="6"/>
  <c r="Y1020" i="6"/>
  <c r="Y1019" i="6"/>
  <c r="Y1018" i="6"/>
  <c r="Y1017" i="6"/>
  <c r="Y1016" i="6"/>
  <c r="Y1015" i="6"/>
  <c r="Y1014" i="6"/>
  <c r="Y1013" i="6"/>
  <c r="Y1012" i="6"/>
  <c r="Y1011" i="6"/>
  <c r="Y1010" i="6"/>
  <c r="Y1009" i="6"/>
  <c r="Y1008" i="6"/>
  <c r="Y1007" i="6"/>
  <c r="Y1006" i="6"/>
  <c r="Y1005" i="6"/>
  <c r="Y1004" i="6"/>
  <c r="Y1003" i="6"/>
  <c r="Y1002" i="6"/>
  <c r="Y1001" i="6"/>
  <c r="Y1000" i="6"/>
  <c r="Y999" i="6"/>
  <c r="Y998" i="6"/>
  <c r="Y997" i="6"/>
  <c r="Y996" i="6"/>
  <c r="Y995" i="6"/>
  <c r="Y994" i="6"/>
  <c r="Y993" i="6"/>
  <c r="Y992" i="6"/>
  <c r="Y991" i="6"/>
  <c r="Y990" i="6"/>
  <c r="Y989" i="6"/>
  <c r="Y988" i="6"/>
  <c r="Y987" i="6"/>
  <c r="Y986" i="6"/>
  <c r="Y985" i="6"/>
  <c r="Y984" i="6"/>
  <c r="Y983" i="6"/>
  <c r="Y982" i="6"/>
  <c r="Y981" i="6"/>
  <c r="Y980" i="6"/>
  <c r="Y979" i="6"/>
  <c r="Y978" i="6"/>
  <c r="Y977" i="6"/>
  <c r="Y976" i="6"/>
  <c r="Y975" i="6"/>
  <c r="Y974" i="6"/>
  <c r="Y973" i="6"/>
  <c r="Y972" i="6"/>
  <c r="Y971" i="6"/>
  <c r="Y970" i="6"/>
  <c r="Y969" i="6"/>
  <c r="Y968" i="6"/>
  <c r="Y967" i="6"/>
  <c r="Y966" i="6"/>
  <c r="Y965" i="6"/>
  <c r="Y964" i="6"/>
  <c r="Y963" i="6"/>
  <c r="Y962" i="6"/>
  <c r="Y961" i="6"/>
  <c r="Y960" i="6"/>
  <c r="Y959" i="6"/>
  <c r="Y958" i="6"/>
  <c r="Y957" i="6"/>
  <c r="Y956" i="6"/>
  <c r="Y955" i="6"/>
  <c r="Y954" i="6"/>
  <c r="Y953" i="6"/>
  <c r="Y952" i="6"/>
  <c r="Y951" i="6"/>
  <c r="Y950" i="6"/>
  <c r="Y949" i="6"/>
  <c r="Y948" i="6"/>
  <c r="Y947" i="6"/>
  <c r="Y946" i="6"/>
  <c r="Y945" i="6"/>
  <c r="Y944" i="6"/>
  <c r="Y943" i="6"/>
  <c r="Y942" i="6"/>
  <c r="Y941" i="6"/>
  <c r="Y940" i="6"/>
  <c r="Y939" i="6"/>
  <c r="Y938" i="6"/>
  <c r="Y937" i="6"/>
  <c r="Y936" i="6"/>
  <c r="Y935" i="6"/>
  <c r="Y934" i="6"/>
  <c r="Y933" i="6"/>
  <c r="Y932" i="6"/>
  <c r="Y931" i="6"/>
  <c r="Y930" i="6"/>
  <c r="Y929" i="6"/>
  <c r="Y928" i="6"/>
  <c r="Y927" i="6"/>
  <c r="Y926" i="6"/>
  <c r="Y925" i="6"/>
  <c r="Y924" i="6"/>
  <c r="Y923" i="6"/>
  <c r="Y922" i="6"/>
  <c r="Y921" i="6"/>
  <c r="Y920" i="6"/>
  <c r="Y919" i="6"/>
  <c r="Y918" i="6"/>
  <c r="Y917" i="6"/>
  <c r="Y916" i="6"/>
  <c r="Y915" i="6"/>
  <c r="Y914" i="6"/>
  <c r="Y913" i="6"/>
  <c r="Y912" i="6"/>
  <c r="Y911" i="6"/>
  <c r="Y910" i="6"/>
  <c r="Y909" i="6"/>
  <c r="Y908" i="6"/>
  <c r="Y907" i="6"/>
  <c r="Y906" i="6"/>
  <c r="Y905" i="6"/>
  <c r="Y904" i="6"/>
  <c r="Y903" i="6"/>
  <c r="Y902" i="6"/>
  <c r="Y901" i="6"/>
  <c r="Y900" i="6"/>
  <c r="Y899" i="6"/>
  <c r="Y898" i="6"/>
  <c r="Y897" i="6"/>
  <c r="Y896" i="6"/>
  <c r="Y895" i="6"/>
  <c r="Y894" i="6"/>
  <c r="Y893" i="6"/>
  <c r="Y892" i="6"/>
  <c r="Y891" i="6"/>
  <c r="Y890" i="6"/>
  <c r="Y889" i="6"/>
  <c r="Y888" i="6"/>
  <c r="Y887" i="6"/>
  <c r="Y886" i="6"/>
  <c r="Y885" i="6"/>
  <c r="Y884" i="6"/>
  <c r="Y883" i="6"/>
  <c r="Y882" i="6"/>
  <c r="Y881" i="6"/>
  <c r="Y880" i="6"/>
  <c r="Y879" i="6"/>
  <c r="Y878" i="6"/>
  <c r="Y877" i="6"/>
  <c r="Y876" i="6"/>
  <c r="Y875" i="6"/>
  <c r="Y874" i="6"/>
  <c r="Y873" i="6"/>
  <c r="Y872" i="6"/>
  <c r="Y871" i="6"/>
  <c r="Y870" i="6"/>
  <c r="Y869" i="6"/>
  <c r="Y868" i="6"/>
  <c r="Y867" i="6"/>
  <c r="Y866" i="6"/>
  <c r="Y865" i="6"/>
  <c r="Y864" i="6"/>
  <c r="Y863" i="6"/>
  <c r="Y862" i="6"/>
  <c r="Y861" i="6"/>
  <c r="Y860" i="6"/>
  <c r="Y859" i="6"/>
  <c r="Y858" i="6"/>
  <c r="Y857" i="6"/>
  <c r="Y856" i="6"/>
  <c r="Y855" i="6"/>
  <c r="Y854" i="6"/>
  <c r="Y853" i="6"/>
  <c r="Y852" i="6"/>
  <c r="Y851" i="6"/>
  <c r="Y850" i="6"/>
  <c r="Y849" i="6"/>
  <c r="Y848" i="6"/>
  <c r="Y847" i="6"/>
  <c r="Y846" i="6"/>
  <c r="Y845" i="6"/>
  <c r="Y844" i="6"/>
  <c r="Y843" i="6"/>
  <c r="Y842" i="6"/>
  <c r="Y841" i="6"/>
  <c r="Y840" i="6"/>
  <c r="Y839" i="6"/>
  <c r="Y838" i="6"/>
  <c r="Y837" i="6"/>
  <c r="Y836" i="6"/>
  <c r="Y835" i="6"/>
  <c r="Y834" i="6"/>
  <c r="Y833" i="6"/>
  <c r="Y832" i="6"/>
  <c r="Y831" i="6"/>
  <c r="Y830" i="6"/>
  <c r="Y829" i="6"/>
  <c r="Y828" i="6"/>
  <c r="Y827" i="6"/>
  <c r="Y826" i="6"/>
  <c r="Y825" i="6"/>
  <c r="Y824" i="6"/>
  <c r="Y823" i="6"/>
  <c r="Y822" i="6"/>
  <c r="Y821" i="6"/>
  <c r="Y820" i="6"/>
  <c r="Y819" i="6"/>
  <c r="Y818" i="6"/>
  <c r="Y817" i="6"/>
  <c r="Y816" i="6"/>
  <c r="Y815" i="6"/>
  <c r="Y814" i="6"/>
  <c r="Y813" i="6"/>
  <c r="Y812" i="6"/>
  <c r="Y811" i="6"/>
  <c r="Y810" i="6"/>
  <c r="Y809" i="6"/>
  <c r="Y808" i="6"/>
  <c r="Y807" i="6"/>
  <c r="Y806" i="6"/>
  <c r="Y805" i="6"/>
  <c r="Y804" i="6"/>
  <c r="Y803" i="6"/>
  <c r="Y802" i="6"/>
  <c r="Y801" i="6"/>
  <c r="Y800" i="6"/>
  <c r="Y799" i="6"/>
  <c r="Y798" i="6"/>
  <c r="Y797" i="6"/>
  <c r="Y796" i="6"/>
  <c r="Y795" i="6"/>
  <c r="Y794" i="6"/>
  <c r="Y793" i="6"/>
  <c r="Y792" i="6"/>
  <c r="Y791" i="6"/>
  <c r="Y790" i="6"/>
  <c r="Y789" i="6"/>
  <c r="Y788" i="6"/>
  <c r="Y787" i="6"/>
  <c r="Y786" i="6"/>
  <c r="Y785" i="6"/>
  <c r="Y784" i="6"/>
  <c r="Y783" i="6"/>
  <c r="Y782" i="6"/>
  <c r="Y781" i="6"/>
  <c r="Y780" i="6"/>
  <c r="Y779" i="6"/>
  <c r="Y778" i="6"/>
  <c r="Y777" i="6"/>
  <c r="Y776" i="6"/>
  <c r="Y775" i="6"/>
  <c r="Y774" i="6"/>
  <c r="Y773" i="6"/>
  <c r="Y772" i="6"/>
  <c r="Y771" i="6"/>
  <c r="Y770" i="6"/>
  <c r="Y769" i="6"/>
  <c r="Y768" i="6"/>
  <c r="Y767" i="6"/>
  <c r="Y766" i="6"/>
  <c r="Y765" i="6"/>
  <c r="Y764" i="6"/>
  <c r="Y763" i="6"/>
  <c r="Y762" i="6"/>
  <c r="Y761" i="6"/>
  <c r="Y760" i="6"/>
  <c r="Y759" i="6"/>
  <c r="Y758" i="6"/>
  <c r="Y757" i="6"/>
  <c r="Y756" i="6"/>
  <c r="Y755" i="6"/>
  <c r="Y754" i="6"/>
  <c r="Y753" i="6"/>
  <c r="Y752" i="6"/>
  <c r="Y751" i="6"/>
  <c r="Y750" i="6"/>
  <c r="Y749" i="6"/>
  <c r="Y748" i="6"/>
  <c r="Y747" i="6"/>
  <c r="Y746" i="6"/>
  <c r="Y745" i="6"/>
  <c r="Y744" i="6"/>
  <c r="Y743" i="6"/>
  <c r="Y742" i="6"/>
  <c r="Y741" i="6"/>
  <c r="Y740" i="6"/>
  <c r="Y739" i="6"/>
  <c r="Y738" i="6"/>
  <c r="Y737" i="6"/>
  <c r="Y736" i="6"/>
  <c r="Y735" i="6"/>
  <c r="Y734" i="6"/>
  <c r="Y733" i="6"/>
  <c r="Y732" i="6"/>
  <c r="Y731" i="6"/>
  <c r="Y730" i="6"/>
  <c r="Y729" i="6"/>
  <c r="Y728" i="6"/>
  <c r="Y727" i="6"/>
  <c r="Y726" i="6"/>
  <c r="Y725" i="6"/>
  <c r="Y724" i="6"/>
  <c r="Y723" i="6"/>
  <c r="Y722" i="6"/>
  <c r="Y721" i="6"/>
  <c r="Y720" i="6"/>
  <c r="Y719" i="6"/>
  <c r="Y718" i="6"/>
  <c r="Y717" i="6"/>
  <c r="Y716" i="6"/>
  <c r="Y715" i="6"/>
  <c r="Y714" i="6"/>
  <c r="Y713" i="6"/>
  <c r="Y712" i="6"/>
  <c r="Y711" i="6"/>
  <c r="Y710" i="6"/>
  <c r="Y709" i="6"/>
  <c r="Y708" i="6"/>
  <c r="Y707" i="6"/>
  <c r="Y706" i="6"/>
  <c r="Y705" i="6"/>
  <c r="Y704" i="6"/>
  <c r="Y703" i="6"/>
  <c r="Y702" i="6"/>
  <c r="Y701" i="6"/>
  <c r="Y700" i="6"/>
  <c r="Y699" i="6"/>
  <c r="Y698" i="6"/>
  <c r="Y697" i="6"/>
  <c r="Y696" i="6"/>
  <c r="Y695" i="6"/>
  <c r="Y694" i="6"/>
  <c r="Y693" i="6"/>
  <c r="Y692" i="6"/>
  <c r="Y691" i="6"/>
  <c r="Y690" i="6"/>
  <c r="Y689" i="6"/>
  <c r="Y688" i="6"/>
  <c r="Y687" i="6"/>
  <c r="Y686" i="6"/>
  <c r="Y685" i="6"/>
  <c r="Y684" i="6"/>
  <c r="Y683" i="6"/>
  <c r="Y682" i="6"/>
  <c r="Y681" i="6"/>
  <c r="Y680" i="6"/>
  <c r="Y679" i="6"/>
  <c r="Y678" i="6"/>
  <c r="Y677" i="6"/>
  <c r="Y676" i="6"/>
  <c r="Y675" i="6"/>
  <c r="Y674" i="6"/>
  <c r="Y673" i="6"/>
  <c r="Y672" i="6"/>
  <c r="Y671" i="6"/>
  <c r="Y670" i="6"/>
  <c r="Y669" i="6"/>
  <c r="Y668" i="6"/>
  <c r="Y667" i="6"/>
  <c r="Y666" i="6"/>
  <c r="Y665" i="6"/>
  <c r="Y664" i="6"/>
  <c r="Y663" i="6"/>
  <c r="Y662" i="6"/>
  <c r="Y661" i="6"/>
  <c r="Y660" i="6"/>
  <c r="Y659" i="6"/>
  <c r="Y658" i="6"/>
  <c r="Y657" i="6"/>
  <c r="Y656" i="6"/>
  <c r="Y655" i="6"/>
  <c r="Y654" i="6"/>
  <c r="Y653" i="6"/>
  <c r="Y652" i="6"/>
  <c r="Y651" i="6"/>
  <c r="Y650" i="6"/>
  <c r="Y649" i="6"/>
  <c r="Y648" i="6"/>
  <c r="Y647" i="6"/>
  <c r="Y646" i="6"/>
  <c r="Y645" i="6"/>
  <c r="Y644" i="6"/>
  <c r="Y643" i="6"/>
  <c r="Y642" i="6"/>
  <c r="Y641" i="6"/>
  <c r="Y640" i="6"/>
  <c r="Y639" i="6"/>
  <c r="Y638" i="6"/>
  <c r="Y637" i="6"/>
  <c r="Y636" i="6"/>
  <c r="Y635" i="6"/>
  <c r="Y634" i="6"/>
  <c r="Y633" i="6"/>
  <c r="Y632" i="6"/>
  <c r="Y631" i="6"/>
  <c r="Y630" i="6"/>
  <c r="Y629" i="6"/>
  <c r="Y628" i="6"/>
  <c r="Y627" i="6"/>
  <c r="Y626" i="6"/>
  <c r="Y625" i="6"/>
  <c r="Y624" i="6"/>
  <c r="Y623" i="6"/>
  <c r="Y622" i="6"/>
  <c r="Y621" i="6"/>
  <c r="Y620" i="6"/>
  <c r="Y619" i="6"/>
  <c r="Y618" i="6"/>
  <c r="Y617" i="6"/>
  <c r="Y616" i="6"/>
  <c r="Y615" i="6"/>
  <c r="Y614" i="6"/>
  <c r="Y613" i="6"/>
  <c r="Y612" i="6"/>
  <c r="Y611" i="6"/>
  <c r="Y610" i="6"/>
  <c r="Y609" i="6"/>
  <c r="Y608" i="6"/>
  <c r="Y607" i="6"/>
  <c r="Y606" i="6"/>
  <c r="Y605" i="6"/>
  <c r="Y604" i="6"/>
  <c r="Y603" i="6"/>
  <c r="Y602" i="6"/>
  <c r="Y601" i="6"/>
  <c r="Y600" i="6"/>
  <c r="Y599" i="6"/>
  <c r="Y598" i="6"/>
  <c r="Y597" i="6"/>
  <c r="Y596" i="6"/>
  <c r="Y595" i="6"/>
  <c r="Y594" i="6"/>
  <c r="Y593" i="6"/>
  <c r="Y592" i="6"/>
  <c r="Y591" i="6"/>
  <c r="Y590" i="6"/>
  <c r="Y589" i="6"/>
  <c r="Y588" i="6"/>
  <c r="Y587" i="6"/>
  <c r="Y586" i="6"/>
  <c r="Y585" i="6"/>
  <c r="Y584" i="6"/>
  <c r="Y583" i="6"/>
  <c r="Y582" i="6"/>
  <c r="Y581" i="6"/>
  <c r="Y580" i="6"/>
  <c r="Y579" i="6"/>
  <c r="Y578" i="6"/>
  <c r="Y577" i="6"/>
  <c r="Y576" i="6"/>
  <c r="Y575" i="6"/>
  <c r="Y574" i="6"/>
  <c r="Y573" i="6"/>
  <c r="Y572" i="6"/>
  <c r="Y571" i="6"/>
  <c r="Y570" i="6"/>
  <c r="Y569" i="6"/>
  <c r="Y568" i="6"/>
  <c r="Y567" i="6"/>
  <c r="Y566" i="6"/>
  <c r="Y565" i="6"/>
  <c r="Y564" i="6"/>
  <c r="Y563" i="6"/>
  <c r="Y562" i="6"/>
  <c r="Y561" i="6"/>
  <c r="Y560" i="6"/>
  <c r="Y559" i="6"/>
  <c r="Y558" i="6"/>
  <c r="Y557" i="6"/>
  <c r="Y556" i="6"/>
  <c r="Y555" i="6"/>
  <c r="Y554" i="6"/>
  <c r="Y553" i="6"/>
  <c r="Y552" i="6"/>
  <c r="Y551" i="6"/>
  <c r="Y550" i="6"/>
  <c r="Y549" i="6"/>
  <c r="Y548" i="6"/>
  <c r="Y547" i="6"/>
  <c r="Y546" i="6"/>
  <c r="Y545" i="6"/>
  <c r="Y544" i="6"/>
  <c r="Y543" i="6"/>
  <c r="Y542" i="6"/>
  <c r="Y541" i="6"/>
  <c r="Y540" i="6"/>
  <c r="Y539" i="6"/>
  <c r="Y538" i="6"/>
  <c r="Y537" i="6"/>
  <c r="Y536" i="6"/>
  <c r="Y535" i="6"/>
  <c r="Y534" i="6"/>
  <c r="Y533" i="6"/>
  <c r="Y532" i="6"/>
  <c r="Y531" i="6"/>
  <c r="Y530" i="6"/>
  <c r="Y529" i="6"/>
  <c r="Y528" i="6"/>
  <c r="Y527" i="6"/>
  <c r="Y526" i="6"/>
  <c r="Y525" i="6"/>
  <c r="Y524" i="6"/>
  <c r="Y523" i="6"/>
  <c r="Y522" i="6"/>
  <c r="Y521" i="6"/>
  <c r="Y520" i="6"/>
  <c r="Y519" i="6"/>
  <c r="Y518" i="6"/>
  <c r="Y517" i="6"/>
  <c r="Y516" i="6"/>
  <c r="Y515" i="6"/>
  <c r="Y514" i="6"/>
  <c r="Y513" i="6"/>
  <c r="Y512" i="6"/>
  <c r="Y511" i="6"/>
  <c r="Y510" i="6"/>
  <c r="Y509" i="6"/>
  <c r="Y508" i="6"/>
  <c r="Y507" i="6"/>
  <c r="Y506" i="6"/>
  <c r="Y505" i="6"/>
  <c r="Y504" i="6"/>
  <c r="Y503" i="6"/>
  <c r="Y502" i="6"/>
  <c r="Y501" i="6"/>
  <c r="Y500" i="6"/>
  <c r="Y499" i="6"/>
  <c r="Y498" i="6"/>
  <c r="Y497" i="6"/>
  <c r="Y496" i="6"/>
  <c r="Y495" i="6"/>
  <c r="Y494" i="6"/>
  <c r="Y493" i="6"/>
  <c r="Y492" i="6"/>
  <c r="Y491" i="6"/>
  <c r="Y490" i="6"/>
  <c r="Y489" i="6"/>
  <c r="Y488" i="6"/>
  <c r="Y487" i="6"/>
  <c r="Y486" i="6"/>
  <c r="Y485" i="6"/>
  <c r="Y484" i="6"/>
  <c r="Y483" i="6"/>
  <c r="Y482" i="6"/>
  <c r="Y481" i="6"/>
  <c r="Y480" i="6"/>
  <c r="Y479" i="6"/>
  <c r="Y478" i="6"/>
  <c r="Y477" i="6"/>
  <c r="Y476" i="6"/>
  <c r="Y475" i="6"/>
  <c r="Y474" i="6"/>
  <c r="Y473" i="6"/>
  <c r="Y472" i="6"/>
  <c r="Y471" i="6"/>
  <c r="Y470" i="6"/>
  <c r="Y469" i="6"/>
  <c r="Y468" i="6"/>
  <c r="Y467" i="6"/>
  <c r="Y466" i="6"/>
  <c r="Y465" i="6"/>
  <c r="Y464" i="6"/>
  <c r="Y463" i="6"/>
  <c r="Y462" i="6"/>
  <c r="Y461" i="6"/>
  <c r="Y460" i="6"/>
  <c r="Y459" i="6"/>
  <c r="Y458" i="6"/>
  <c r="Y457" i="6"/>
  <c r="Y456" i="6"/>
  <c r="Y455" i="6"/>
  <c r="Y454" i="6"/>
  <c r="Y453" i="6"/>
  <c r="Y452" i="6"/>
  <c r="Y451" i="6"/>
  <c r="Y450" i="6"/>
  <c r="Y449" i="6"/>
  <c r="Y448" i="6"/>
  <c r="Y447" i="6"/>
  <c r="Y446" i="6"/>
  <c r="Y445" i="6"/>
  <c r="Y444" i="6"/>
  <c r="Y443" i="6"/>
  <c r="Y442" i="6"/>
  <c r="Y441" i="6"/>
  <c r="Y440" i="6"/>
  <c r="Y439" i="6"/>
  <c r="Y438" i="6"/>
  <c r="Y437" i="6"/>
  <c r="Y436" i="6"/>
  <c r="Y435" i="6"/>
  <c r="Y434" i="6"/>
  <c r="Y433" i="6"/>
  <c r="Y432" i="6"/>
  <c r="Y431" i="6"/>
  <c r="Y430" i="6"/>
  <c r="Y429" i="6"/>
  <c r="Y428" i="6"/>
  <c r="Y427" i="6"/>
  <c r="Y426" i="6"/>
  <c r="Y425" i="6"/>
  <c r="Y424" i="6"/>
  <c r="Y423" i="6"/>
  <c r="Y422" i="6"/>
  <c r="Y421" i="6"/>
  <c r="Y420" i="6"/>
  <c r="Y419" i="6"/>
  <c r="Y418" i="6"/>
  <c r="Y417" i="6"/>
  <c r="Y416" i="6"/>
  <c r="Y415" i="6"/>
  <c r="Y414" i="6"/>
  <c r="Y413" i="6"/>
  <c r="Y412" i="6"/>
  <c r="Y411" i="6"/>
  <c r="Y410" i="6"/>
  <c r="Y409" i="6"/>
  <c r="Y408" i="6"/>
  <c r="Y407" i="6"/>
  <c r="Y406" i="6"/>
  <c r="Y405" i="6"/>
  <c r="Y404" i="6"/>
  <c r="Y403" i="6"/>
  <c r="Y402" i="6"/>
  <c r="Y401" i="6"/>
  <c r="Y400" i="6"/>
  <c r="Y399" i="6"/>
  <c r="Y398" i="6"/>
  <c r="Y397" i="6"/>
  <c r="Y396" i="6"/>
  <c r="Y395" i="6"/>
  <c r="Y394" i="6"/>
  <c r="Y393" i="6"/>
  <c r="Y392" i="6"/>
  <c r="Y391" i="6"/>
  <c r="Y390" i="6"/>
  <c r="Y389" i="6"/>
  <c r="Y388" i="6"/>
  <c r="Y387" i="6"/>
  <c r="Y386" i="6"/>
  <c r="Y385" i="6"/>
  <c r="Y384" i="6"/>
  <c r="Y383" i="6"/>
  <c r="Y382" i="6"/>
  <c r="Y381" i="6"/>
  <c r="Y380" i="6"/>
  <c r="Y379" i="6"/>
  <c r="Y378" i="6"/>
  <c r="Y377" i="6"/>
  <c r="Y376" i="6"/>
  <c r="Y375" i="6"/>
  <c r="Y374" i="6"/>
  <c r="Y373" i="6"/>
  <c r="Y372" i="6"/>
  <c r="Y371" i="6"/>
  <c r="Y370" i="6"/>
  <c r="Y369" i="6"/>
  <c r="Y368" i="6"/>
  <c r="Y367" i="6"/>
  <c r="Y366" i="6"/>
  <c r="Y365" i="6"/>
  <c r="Y364" i="6"/>
  <c r="Y363" i="6"/>
  <c r="Y362" i="6"/>
  <c r="Y361" i="6"/>
  <c r="Y360" i="6"/>
  <c r="Y359" i="6"/>
  <c r="Y358" i="6"/>
  <c r="Y357" i="6"/>
  <c r="Y356" i="6"/>
  <c r="Y355" i="6"/>
  <c r="Y354" i="6"/>
  <c r="Y353" i="6"/>
  <c r="Y352" i="6"/>
  <c r="Y351" i="6"/>
  <c r="Y350" i="6"/>
  <c r="Y349" i="6"/>
  <c r="Y348" i="6"/>
  <c r="Y347" i="6"/>
  <c r="Y346" i="6"/>
  <c r="Y345" i="6"/>
  <c r="Y344" i="6"/>
  <c r="Y343" i="6"/>
  <c r="Y342" i="6"/>
  <c r="Y341" i="6"/>
  <c r="Y340" i="6"/>
  <c r="Y339" i="6"/>
  <c r="Y338" i="6"/>
  <c r="Y337" i="6"/>
  <c r="Y336" i="6"/>
  <c r="Y335" i="6"/>
  <c r="Y334" i="6"/>
  <c r="Y333" i="6"/>
  <c r="Y332" i="6"/>
  <c r="Y331" i="6"/>
  <c r="Y330" i="6"/>
  <c r="Y329" i="6"/>
  <c r="Y328" i="6"/>
  <c r="Y327" i="6"/>
  <c r="Y326" i="6"/>
  <c r="Y325" i="6"/>
  <c r="Y324" i="6"/>
  <c r="Y323" i="6"/>
  <c r="Y322" i="6"/>
  <c r="Y321" i="6"/>
  <c r="Y320" i="6"/>
  <c r="Y319" i="6"/>
  <c r="Y318" i="6"/>
  <c r="Y317" i="6"/>
  <c r="Y316" i="6"/>
  <c r="Y315" i="6"/>
  <c r="Y314" i="6"/>
  <c r="Y313" i="6"/>
  <c r="Y312" i="6"/>
  <c r="Y311" i="6"/>
  <c r="Y310" i="6"/>
  <c r="Y309" i="6"/>
  <c r="Y308" i="6"/>
  <c r="Y307" i="6"/>
  <c r="Y306" i="6"/>
  <c r="Y305" i="6"/>
  <c r="Y304" i="6"/>
  <c r="Y303" i="6"/>
  <c r="Y302" i="6"/>
  <c r="Y301" i="6"/>
  <c r="Y300" i="6"/>
  <c r="Y299" i="6"/>
  <c r="Y298" i="6"/>
  <c r="Y297" i="6"/>
  <c r="Y296" i="6"/>
  <c r="Y295" i="6"/>
  <c r="Y294" i="6"/>
  <c r="Y293" i="6"/>
  <c r="Y292" i="6"/>
  <c r="Y291" i="6"/>
  <c r="Y290" i="6"/>
  <c r="Y289" i="6"/>
  <c r="Y288" i="6"/>
  <c r="Y287" i="6"/>
  <c r="Y286" i="6"/>
  <c r="Y285" i="6"/>
  <c r="Y284" i="6"/>
  <c r="Y283" i="6"/>
  <c r="Y282" i="6"/>
  <c r="Y281" i="6"/>
  <c r="Y280" i="6"/>
  <c r="Y279" i="6"/>
  <c r="Y278" i="6"/>
  <c r="Y277" i="6"/>
  <c r="Y276" i="6"/>
  <c r="Y275" i="6"/>
  <c r="Y274" i="6"/>
  <c r="Y273" i="6"/>
  <c r="Y272" i="6"/>
  <c r="Y271" i="6"/>
  <c r="Y270" i="6"/>
  <c r="Y269" i="6"/>
  <c r="Y268" i="6"/>
  <c r="Y267" i="6"/>
  <c r="Y266" i="6"/>
  <c r="Y265" i="6"/>
  <c r="Y264" i="6"/>
  <c r="Y263" i="6"/>
  <c r="Y262" i="6"/>
  <c r="Y261" i="6"/>
  <c r="Y260" i="6"/>
  <c r="Y259" i="6"/>
  <c r="Y258" i="6"/>
  <c r="Y257" i="6"/>
  <c r="Y256" i="6"/>
  <c r="Y255" i="6"/>
  <c r="Y254" i="6"/>
  <c r="Y253" i="6"/>
  <c r="Y252" i="6"/>
  <c r="Y251" i="6"/>
  <c r="Y250" i="6"/>
  <c r="Y249" i="6"/>
  <c r="Y248" i="6"/>
  <c r="Y247" i="6"/>
  <c r="Y246" i="6"/>
  <c r="Y245" i="6"/>
  <c r="Y244" i="6"/>
  <c r="Y243" i="6"/>
  <c r="Y242" i="6"/>
  <c r="Y241" i="6"/>
  <c r="Y240" i="6"/>
  <c r="Y239" i="6"/>
  <c r="Y238" i="6"/>
  <c r="Y237" i="6"/>
  <c r="Y236" i="6"/>
  <c r="Y235" i="6"/>
  <c r="Y234" i="6"/>
  <c r="Y233" i="6"/>
  <c r="Y232" i="6"/>
  <c r="Y231" i="6"/>
  <c r="Y230" i="6"/>
  <c r="Y229" i="6"/>
  <c r="Y228" i="6"/>
  <c r="Y227" i="6"/>
  <c r="Y226" i="6"/>
  <c r="Y225" i="6"/>
  <c r="Y224" i="6"/>
  <c r="Y223" i="6"/>
  <c r="Y222" i="6"/>
  <c r="Y221" i="6"/>
  <c r="Y220" i="6"/>
  <c r="Y219" i="6"/>
  <c r="Y218" i="6"/>
  <c r="Y217" i="6"/>
  <c r="Y216" i="6"/>
  <c r="Y215" i="6"/>
  <c r="Y214" i="6"/>
  <c r="Y213" i="6"/>
  <c r="Y212" i="6"/>
  <c r="Y211" i="6"/>
  <c r="Y210" i="6"/>
  <c r="Y209" i="6"/>
  <c r="Y208" i="6"/>
  <c r="Y207" i="6"/>
  <c r="Y206" i="6"/>
  <c r="Y205" i="6"/>
  <c r="Y204" i="6"/>
  <c r="Y203" i="6"/>
  <c r="Y202" i="6"/>
  <c r="Y201" i="6"/>
  <c r="Y200" i="6"/>
  <c r="Y199" i="6"/>
  <c r="Y198" i="6"/>
  <c r="Y197" i="6"/>
  <c r="Y196" i="6"/>
  <c r="Y195" i="6"/>
  <c r="Y194" i="6"/>
  <c r="Y193" i="6"/>
  <c r="Y192" i="6"/>
  <c r="Y191" i="6"/>
  <c r="Y190" i="6"/>
  <c r="Y189" i="6"/>
  <c r="Y188" i="6"/>
  <c r="Y187" i="6"/>
  <c r="Y186" i="6"/>
  <c r="Y185" i="6"/>
  <c r="Y184" i="6"/>
  <c r="Y183" i="6"/>
  <c r="Y182" i="6"/>
  <c r="Y181" i="6"/>
  <c r="Y180" i="6"/>
  <c r="Y179" i="6"/>
  <c r="Y178" i="6"/>
  <c r="Y177" i="6"/>
  <c r="Y176" i="6"/>
  <c r="Y175" i="6"/>
  <c r="Y174" i="6"/>
  <c r="Y173" i="6"/>
  <c r="Y172" i="6"/>
  <c r="Y171" i="6"/>
  <c r="Y170" i="6"/>
  <c r="Y169" i="6"/>
  <c r="Y168" i="6"/>
  <c r="Y167" i="6"/>
  <c r="Y166" i="6"/>
  <c r="Y165" i="6"/>
  <c r="Y164" i="6"/>
  <c r="Y163" i="6"/>
  <c r="Y162" i="6"/>
  <c r="Y161" i="6"/>
  <c r="Y160" i="6"/>
  <c r="Y159" i="6"/>
  <c r="Y158" i="6"/>
  <c r="Y157" i="6"/>
  <c r="Y156" i="6"/>
  <c r="Y155" i="6"/>
  <c r="Y154" i="6"/>
  <c r="Y153" i="6"/>
  <c r="Y152" i="6"/>
  <c r="Y151" i="6"/>
  <c r="Y150" i="6"/>
  <c r="Y149" i="6"/>
  <c r="Y148" i="6"/>
  <c r="Y147" i="6"/>
  <c r="Y146" i="6"/>
  <c r="Y145" i="6"/>
  <c r="Y144" i="6"/>
  <c r="Y143" i="6"/>
  <c r="Y142" i="6"/>
  <c r="Y141" i="6"/>
  <c r="Y140" i="6"/>
  <c r="Y139" i="6"/>
  <c r="Y138" i="6"/>
  <c r="Y137" i="6"/>
  <c r="Y136" i="6"/>
  <c r="Y135" i="6"/>
  <c r="Y134" i="6"/>
  <c r="Y133" i="6"/>
  <c r="Y132" i="6"/>
  <c r="Y131" i="6"/>
  <c r="Y130" i="6"/>
  <c r="Y129" i="6"/>
  <c r="Y128" i="6"/>
  <c r="Y127" i="6"/>
  <c r="Y126" i="6"/>
  <c r="Y125" i="6"/>
  <c r="Y124" i="6"/>
  <c r="Y123" i="6"/>
  <c r="Y122" i="6"/>
  <c r="Y121" i="6"/>
  <c r="Y120" i="6"/>
  <c r="Y119" i="6"/>
  <c r="Y118" i="6"/>
  <c r="Y117" i="6"/>
  <c r="Y116" i="6"/>
  <c r="Y115" i="6"/>
  <c r="Y114" i="6"/>
  <c r="Y113" i="6"/>
  <c r="Y112" i="6"/>
  <c r="Y111" i="6"/>
  <c r="Y110" i="6"/>
  <c r="Y109" i="6"/>
  <c r="Y108" i="6"/>
  <c r="Y107" i="6"/>
  <c r="Y106" i="6"/>
  <c r="Y105" i="6"/>
  <c r="Y104" i="6"/>
  <c r="Y103" i="6"/>
  <c r="Y102" i="6"/>
  <c r="Y101" i="6"/>
  <c r="Y100" i="6"/>
  <c r="Y99" i="6"/>
  <c r="Y98" i="6"/>
  <c r="Y97" i="6"/>
  <c r="Y96" i="6"/>
  <c r="Y95" i="6"/>
  <c r="Y94" i="6"/>
  <c r="Y93" i="6"/>
  <c r="Y92" i="6"/>
  <c r="Y91" i="6"/>
  <c r="Y90" i="6"/>
  <c r="Y89" i="6"/>
  <c r="Y88" i="6"/>
  <c r="Y87" i="6"/>
  <c r="Y86" i="6"/>
  <c r="Y85" i="6"/>
  <c r="Y84" i="6"/>
  <c r="Y83" i="6"/>
  <c r="Y82" i="6"/>
  <c r="Y81" i="6"/>
  <c r="Y80" i="6"/>
  <c r="Y79" i="6"/>
  <c r="Y78" i="6"/>
  <c r="Y77" i="6"/>
  <c r="Y76" i="6"/>
  <c r="Y75" i="6"/>
  <c r="Y74" i="6"/>
  <c r="Y73" i="6"/>
  <c r="Y72" i="6"/>
  <c r="Y71" i="6"/>
  <c r="Y70" i="6"/>
  <c r="Y69" i="6"/>
  <c r="Y68" i="6"/>
  <c r="Y67" i="6"/>
  <c r="Y66" i="6"/>
  <c r="Y65" i="6"/>
  <c r="Y64" i="6"/>
  <c r="Y63" i="6"/>
  <c r="Y62" i="6"/>
  <c r="Y61" i="6"/>
  <c r="Y60" i="6"/>
  <c r="Y59" i="6"/>
  <c r="Y58" i="6"/>
  <c r="Y57" i="6"/>
  <c r="Y56" i="6"/>
  <c r="Y55" i="6"/>
  <c r="Y54" i="6"/>
  <c r="Y53" i="6"/>
  <c r="Y52" i="6"/>
  <c r="Y51" i="6"/>
  <c r="Y50" i="6"/>
  <c r="Y49" i="6"/>
  <c r="Y48" i="6"/>
  <c r="Y47" i="6"/>
  <c r="Y46" i="6"/>
  <c r="Y45" i="6"/>
  <c r="Y44" i="6"/>
  <c r="Y43" i="6"/>
  <c r="Y42" i="6"/>
  <c r="Y41" i="6"/>
  <c r="Y40" i="6"/>
  <c r="Y39" i="6"/>
  <c r="Y38" i="6"/>
  <c r="Y37" i="6"/>
  <c r="Y36" i="6"/>
  <c r="Y35" i="6"/>
  <c r="Y34" i="6"/>
  <c r="Y33" i="6"/>
  <c r="Y32" i="6"/>
  <c r="Y31" i="6"/>
  <c r="Y30" i="6"/>
  <c r="Y29" i="6"/>
  <c r="Y28" i="6"/>
  <c r="Y27" i="6"/>
  <c r="Y26" i="6"/>
  <c r="Y25" i="6"/>
  <c r="Y24" i="6"/>
  <c r="Y23" i="6"/>
  <c r="Y22" i="6"/>
  <c r="Y21" i="6"/>
  <c r="Y20" i="6"/>
  <c r="Y19" i="6"/>
  <c r="Y18" i="6"/>
  <c r="Y17" i="6"/>
  <c r="Y16" i="6"/>
  <c r="Y15" i="6"/>
  <c r="Y14" i="6"/>
  <c r="Y13" i="6"/>
  <c r="Y12" i="6"/>
  <c r="Y5" i="6"/>
  <c r="Y11" i="6"/>
  <c r="L2000" i="6" l="1"/>
  <c r="L1999" i="6"/>
  <c r="L1998" i="6"/>
  <c r="L1997" i="6"/>
  <c r="L1996" i="6"/>
  <c r="L1995" i="6"/>
  <c r="L1994" i="6"/>
  <c r="L1993" i="6"/>
  <c r="L1992" i="6"/>
  <c r="L1991" i="6"/>
  <c r="L1990" i="6"/>
  <c r="L1989" i="6"/>
  <c r="L1988" i="6"/>
  <c r="L1987" i="6"/>
  <c r="L1986" i="6"/>
  <c r="L1985" i="6"/>
  <c r="L1984" i="6"/>
  <c r="L1983" i="6"/>
  <c r="L1982" i="6"/>
  <c r="L1981" i="6"/>
  <c r="L1980" i="6"/>
  <c r="L1979" i="6"/>
  <c r="L1978" i="6"/>
  <c r="L1977" i="6"/>
  <c r="L1976" i="6"/>
  <c r="L1975" i="6"/>
  <c r="L1974" i="6"/>
  <c r="L1973" i="6"/>
  <c r="L1972" i="6"/>
  <c r="L1971" i="6"/>
  <c r="L1970" i="6"/>
  <c r="L1969" i="6"/>
  <c r="L1968" i="6"/>
  <c r="L1967" i="6"/>
  <c r="L1966" i="6"/>
  <c r="L1965" i="6"/>
  <c r="L1964" i="6"/>
  <c r="L1963" i="6"/>
  <c r="L1962" i="6"/>
  <c r="L1961" i="6"/>
  <c r="L1960" i="6"/>
  <c r="L1959" i="6"/>
  <c r="L1958" i="6"/>
  <c r="L1957" i="6"/>
  <c r="L1956" i="6"/>
  <c r="L1955" i="6"/>
  <c r="L1954" i="6"/>
  <c r="L1953" i="6"/>
  <c r="L1952" i="6"/>
  <c r="L1951" i="6"/>
  <c r="L1950" i="6"/>
  <c r="L1949" i="6"/>
  <c r="L1948" i="6"/>
  <c r="L1947" i="6"/>
  <c r="L1946" i="6"/>
  <c r="L1945" i="6"/>
  <c r="L1944" i="6"/>
  <c r="L1943" i="6"/>
  <c r="L1942" i="6"/>
  <c r="L1941" i="6"/>
  <c r="L1940" i="6"/>
  <c r="L1939" i="6"/>
  <c r="L1938" i="6"/>
  <c r="L1937" i="6"/>
  <c r="L1936" i="6"/>
  <c r="L1935" i="6"/>
  <c r="L1934" i="6"/>
  <c r="L1933" i="6"/>
  <c r="L1932" i="6"/>
  <c r="L1931" i="6"/>
  <c r="L1930" i="6"/>
  <c r="L1929" i="6"/>
  <c r="L1928" i="6"/>
  <c r="L1927" i="6"/>
  <c r="L1926" i="6"/>
  <c r="L1925" i="6"/>
  <c r="L1924" i="6"/>
  <c r="L1923" i="6"/>
  <c r="L1922" i="6"/>
  <c r="L1921" i="6"/>
  <c r="L1920" i="6"/>
  <c r="L1919" i="6"/>
  <c r="L1918" i="6"/>
  <c r="L1917" i="6"/>
  <c r="L1916" i="6"/>
  <c r="L1915" i="6"/>
  <c r="L1914" i="6"/>
  <c r="L1913" i="6"/>
  <c r="L1912" i="6"/>
  <c r="L1911" i="6"/>
  <c r="L1910" i="6"/>
  <c r="L1909" i="6"/>
  <c r="L1908" i="6"/>
  <c r="L1907" i="6"/>
  <c r="L1906" i="6"/>
  <c r="L1905" i="6"/>
  <c r="L1904" i="6"/>
  <c r="L1903" i="6"/>
  <c r="L1902" i="6"/>
  <c r="L1901" i="6"/>
  <c r="L1900" i="6"/>
  <c r="L1899" i="6"/>
  <c r="L1898" i="6"/>
  <c r="L1897" i="6"/>
  <c r="L1896" i="6"/>
  <c r="L1895" i="6"/>
  <c r="L1894" i="6"/>
  <c r="L1893" i="6"/>
  <c r="L1892" i="6"/>
  <c r="L1891" i="6"/>
  <c r="L1890" i="6"/>
  <c r="L1889" i="6"/>
  <c r="L1888" i="6"/>
  <c r="L1887" i="6"/>
  <c r="L1886" i="6"/>
  <c r="L1885" i="6"/>
  <c r="L1884" i="6"/>
  <c r="L1883" i="6"/>
  <c r="L1882" i="6"/>
  <c r="L1881" i="6"/>
  <c r="L1880" i="6"/>
  <c r="L1879" i="6"/>
  <c r="L1878" i="6"/>
  <c r="L1877" i="6"/>
  <c r="L1876" i="6"/>
  <c r="L1875" i="6"/>
  <c r="L1874" i="6"/>
  <c r="L1873" i="6"/>
  <c r="L1872" i="6"/>
  <c r="L1871" i="6"/>
  <c r="L1870" i="6"/>
  <c r="L1869" i="6"/>
  <c r="L1868" i="6"/>
  <c r="L1867" i="6"/>
  <c r="L1866" i="6"/>
  <c r="L1865" i="6"/>
  <c r="L1864" i="6"/>
  <c r="L1863" i="6"/>
  <c r="L1862" i="6"/>
  <c r="L1861" i="6"/>
  <c r="L1860" i="6"/>
  <c r="L1859" i="6"/>
  <c r="L1858" i="6"/>
  <c r="L1857" i="6"/>
  <c r="L1856" i="6"/>
  <c r="L1855" i="6"/>
  <c r="L1854" i="6"/>
  <c r="L1853" i="6"/>
  <c r="L1852" i="6"/>
  <c r="L1851" i="6"/>
  <c r="L1850" i="6"/>
  <c r="L1849" i="6"/>
  <c r="L1848" i="6"/>
  <c r="L1847" i="6"/>
  <c r="L1846" i="6"/>
  <c r="L1845" i="6"/>
  <c r="L1844" i="6"/>
  <c r="L1843" i="6"/>
  <c r="L1842" i="6"/>
  <c r="L1841" i="6"/>
  <c r="L1840" i="6"/>
  <c r="L1839" i="6"/>
  <c r="L1838" i="6"/>
  <c r="L1837" i="6"/>
  <c r="L1836" i="6"/>
  <c r="L1835" i="6"/>
  <c r="L1834" i="6"/>
  <c r="L1833" i="6"/>
  <c r="L1832" i="6"/>
  <c r="L1831" i="6"/>
  <c r="L1830" i="6"/>
  <c r="L1829" i="6"/>
  <c r="L1828" i="6"/>
  <c r="L1827" i="6"/>
  <c r="L1826" i="6"/>
  <c r="L1825" i="6"/>
  <c r="L1824" i="6"/>
  <c r="L1823" i="6"/>
  <c r="L1822" i="6"/>
  <c r="L1821" i="6"/>
  <c r="L1820" i="6"/>
  <c r="L1819" i="6"/>
  <c r="L1818" i="6"/>
  <c r="L1817" i="6"/>
  <c r="L1816" i="6"/>
  <c r="L1815" i="6"/>
  <c r="L1814" i="6"/>
  <c r="L1813" i="6"/>
  <c r="L1812" i="6"/>
  <c r="L1811" i="6"/>
  <c r="L1810" i="6"/>
  <c r="L1809" i="6"/>
  <c r="L1808" i="6"/>
  <c r="L1807" i="6"/>
  <c r="L1806" i="6"/>
  <c r="L1805" i="6"/>
  <c r="L1804" i="6"/>
  <c r="L1803" i="6"/>
  <c r="L1802" i="6"/>
  <c r="L1801" i="6"/>
  <c r="L1800" i="6"/>
  <c r="L1799" i="6"/>
  <c r="L1798" i="6"/>
  <c r="L1797" i="6"/>
  <c r="L1796" i="6"/>
  <c r="L1795" i="6"/>
  <c r="L1794" i="6"/>
  <c r="L1793" i="6"/>
  <c r="L1792" i="6"/>
  <c r="L1791" i="6"/>
  <c r="L1790" i="6"/>
  <c r="L1789" i="6"/>
  <c r="L1788" i="6"/>
  <c r="L1787" i="6"/>
  <c r="L1786" i="6"/>
  <c r="L1785" i="6"/>
  <c r="L1784" i="6"/>
  <c r="L1783" i="6"/>
  <c r="L1782" i="6"/>
  <c r="L1781" i="6"/>
  <c r="L1780" i="6"/>
  <c r="L1779" i="6"/>
  <c r="L1778" i="6"/>
  <c r="L1777" i="6"/>
  <c r="L1776" i="6"/>
  <c r="L1775" i="6"/>
  <c r="L1774" i="6"/>
  <c r="L1773" i="6"/>
  <c r="L1772" i="6"/>
  <c r="L1771" i="6"/>
  <c r="L1770" i="6"/>
  <c r="L1769" i="6"/>
  <c r="L1768" i="6"/>
  <c r="L1767" i="6"/>
  <c r="L1766" i="6"/>
  <c r="L1765" i="6"/>
  <c r="L1764" i="6"/>
  <c r="L1763" i="6"/>
  <c r="L1762" i="6"/>
  <c r="L1761" i="6"/>
  <c r="L1760" i="6"/>
  <c r="L1759" i="6"/>
  <c r="L1758" i="6"/>
  <c r="L1757" i="6"/>
  <c r="L1756" i="6"/>
  <c r="L1755" i="6"/>
  <c r="L1754" i="6"/>
  <c r="L1753" i="6"/>
  <c r="L1752" i="6"/>
  <c r="L1751" i="6"/>
  <c r="L1750" i="6"/>
  <c r="L1749" i="6"/>
  <c r="L1748" i="6"/>
  <c r="L1747" i="6"/>
  <c r="L1746" i="6"/>
  <c r="L1745" i="6"/>
  <c r="L1744" i="6"/>
  <c r="L1743" i="6"/>
  <c r="L1742" i="6"/>
  <c r="L1741" i="6"/>
  <c r="L1740" i="6"/>
  <c r="L1739" i="6"/>
  <c r="L1738" i="6"/>
  <c r="L1737" i="6"/>
  <c r="L1736" i="6"/>
  <c r="L1735" i="6"/>
  <c r="L1734" i="6"/>
  <c r="L1733" i="6"/>
  <c r="L1732" i="6"/>
  <c r="L1731" i="6"/>
  <c r="L1730" i="6"/>
  <c r="L1729" i="6"/>
  <c r="L1728" i="6"/>
  <c r="L1727" i="6"/>
  <c r="L1726" i="6"/>
  <c r="L1725" i="6"/>
  <c r="L1724" i="6"/>
  <c r="L1723" i="6"/>
  <c r="L1722" i="6"/>
  <c r="L1721" i="6"/>
  <c r="L1720" i="6"/>
  <c r="L1719" i="6"/>
  <c r="L1718" i="6"/>
  <c r="L1717" i="6"/>
  <c r="L1716" i="6"/>
  <c r="L1715" i="6"/>
  <c r="L1714" i="6"/>
  <c r="L1713" i="6"/>
  <c r="L1712" i="6"/>
  <c r="L1711" i="6"/>
  <c r="L1710" i="6"/>
  <c r="L1709" i="6"/>
  <c r="L1708" i="6"/>
  <c r="L1707" i="6"/>
  <c r="L1706" i="6"/>
  <c r="L1705" i="6"/>
  <c r="L1704" i="6"/>
  <c r="L1703" i="6"/>
  <c r="L1702" i="6"/>
  <c r="L1701" i="6"/>
  <c r="L1700" i="6"/>
  <c r="L1699" i="6"/>
  <c r="L1698" i="6"/>
  <c r="L1697" i="6"/>
  <c r="L1696" i="6"/>
  <c r="L1695" i="6"/>
  <c r="L1694" i="6"/>
  <c r="L1693" i="6"/>
  <c r="L1692" i="6"/>
  <c r="L1691" i="6"/>
  <c r="L1690" i="6"/>
  <c r="L1689" i="6"/>
  <c r="L1688" i="6"/>
  <c r="L1687" i="6"/>
  <c r="L1686" i="6"/>
  <c r="L1685" i="6"/>
  <c r="L1684" i="6"/>
  <c r="L1683" i="6"/>
  <c r="L1682" i="6"/>
  <c r="L1681" i="6"/>
  <c r="L1680" i="6"/>
  <c r="L1679" i="6"/>
  <c r="L1678" i="6"/>
  <c r="L1677" i="6"/>
  <c r="L1676" i="6"/>
  <c r="L1675" i="6"/>
  <c r="L1674" i="6"/>
  <c r="L1673" i="6"/>
  <c r="L1672" i="6"/>
  <c r="L1671" i="6"/>
  <c r="L1670" i="6"/>
  <c r="L1669" i="6"/>
  <c r="L1668" i="6"/>
  <c r="L1667" i="6"/>
  <c r="L1666" i="6"/>
  <c r="L1665" i="6"/>
  <c r="L1664" i="6"/>
  <c r="L1663" i="6"/>
  <c r="L1662" i="6"/>
  <c r="L1661" i="6"/>
  <c r="L1660" i="6"/>
  <c r="L1659" i="6"/>
  <c r="L1658" i="6"/>
  <c r="L1657" i="6"/>
  <c r="L1656" i="6"/>
  <c r="L1655" i="6"/>
  <c r="L1654" i="6"/>
  <c r="L1653" i="6"/>
  <c r="L1652" i="6"/>
  <c r="L1651" i="6"/>
  <c r="L1650" i="6"/>
  <c r="L1649" i="6"/>
  <c r="L1648" i="6"/>
  <c r="L1647" i="6"/>
  <c r="L1646" i="6"/>
  <c r="L1645" i="6"/>
  <c r="L1644" i="6"/>
  <c r="L1643" i="6"/>
  <c r="L1642" i="6"/>
  <c r="L1641" i="6"/>
  <c r="L1640" i="6"/>
  <c r="L1639" i="6"/>
  <c r="L1638" i="6"/>
  <c r="L1637" i="6"/>
  <c r="L1636" i="6"/>
  <c r="L1635" i="6"/>
  <c r="L1634" i="6"/>
  <c r="L1633" i="6"/>
  <c r="L1632" i="6"/>
  <c r="L1631" i="6"/>
  <c r="L1630" i="6"/>
  <c r="L1629" i="6"/>
  <c r="L1628" i="6"/>
  <c r="L1627" i="6"/>
  <c r="L1626" i="6"/>
  <c r="L1625" i="6"/>
  <c r="L1624" i="6"/>
  <c r="L1623" i="6"/>
  <c r="L1622" i="6"/>
  <c r="L1621" i="6"/>
  <c r="L1620" i="6"/>
  <c r="L1619" i="6"/>
  <c r="L1618" i="6"/>
  <c r="L1617" i="6"/>
  <c r="L1616" i="6"/>
  <c r="L1615" i="6"/>
  <c r="L1614" i="6"/>
  <c r="L1613" i="6"/>
  <c r="L1612" i="6"/>
  <c r="L1611" i="6"/>
  <c r="L1610" i="6"/>
  <c r="L1609" i="6"/>
  <c r="L1608" i="6"/>
  <c r="L1607" i="6"/>
  <c r="L1606" i="6"/>
  <c r="L1605" i="6"/>
  <c r="L1604" i="6"/>
  <c r="L1603" i="6"/>
  <c r="L1602" i="6"/>
  <c r="L1601" i="6"/>
  <c r="L1600" i="6"/>
  <c r="L1599" i="6"/>
  <c r="L1598" i="6"/>
  <c r="L1597" i="6"/>
  <c r="L1596" i="6"/>
  <c r="L1595" i="6"/>
  <c r="L1594" i="6"/>
  <c r="L1593" i="6"/>
  <c r="L1592" i="6"/>
  <c r="L1591" i="6"/>
  <c r="L1590" i="6"/>
  <c r="L1589" i="6"/>
  <c r="L1588" i="6"/>
  <c r="L1587" i="6"/>
  <c r="L1586" i="6"/>
  <c r="L1585" i="6"/>
  <c r="L1584" i="6"/>
  <c r="L1583" i="6"/>
  <c r="L1582" i="6"/>
  <c r="L1581" i="6"/>
  <c r="L1580" i="6"/>
  <c r="L1579" i="6"/>
  <c r="L1578" i="6"/>
  <c r="L1577" i="6"/>
  <c r="L1576" i="6"/>
  <c r="L1575" i="6"/>
  <c r="L1574" i="6"/>
  <c r="L1573" i="6"/>
  <c r="L1572" i="6"/>
  <c r="L1571" i="6"/>
  <c r="L1570" i="6"/>
  <c r="L1569" i="6"/>
  <c r="L1568" i="6"/>
  <c r="L1567" i="6"/>
  <c r="L1566" i="6"/>
  <c r="L1565" i="6"/>
  <c r="L1564" i="6"/>
  <c r="L1563" i="6"/>
  <c r="L1562" i="6"/>
  <c r="L1561" i="6"/>
  <c r="L1560" i="6"/>
  <c r="L1559" i="6"/>
  <c r="L1558" i="6"/>
  <c r="L1557" i="6"/>
  <c r="L1556" i="6"/>
  <c r="L1555" i="6"/>
  <c r="L1554" i="6"/>
  <c r="L1553" i="6"/>
  <c r="L1552" i="6"/>
  <c r="L1551" i="6"/>
  <c r="L1550" i="6"/>
  <c r="L1549" i="6"/>
  <c r="L1548" i="6"/>
  <c r="L1547" i="6"/>
  <c r="L1546" i="6"/>
  <c r="L1545" i="6"/>
  <c r="L1544" i="6"/>
  <c r="L1543" i="6"/>
  <c r="L1542" i="6"/>
  <c r="L1541" i="6"/>
  <c r="L1540" i="6"/>
  <c r="L1539" i="6"/>
  <c r="L1538" i="6"/>
  <c r="L1537" i="6"/>
  <c r="L1536" i="6"/>
  <c r="L1535" i="6"/>
  <c r="L1534" i="6"/>
  <c r="L1533" i="6"/>
  <c r="L1532" i="6"/>
  <c r="L1531" i="6"/>
  <c r="L1530" i="6"/>
  <c r="L1529" i="6"/>
  <c r="L1528" i="6"/>
  <c r="L1527" i="6"/>
  <c r="L1526" i="6"/>
  <c r="L1525" i="6"/>
  <c r="L1524" i="6"/>
  <c r="L1523" i="6"/>
  <c r="L1522" i="6"/>
  <c r="L1521" i="6"/>
  <c r="L1520" i="6"/>
  <c r="L1519" i="6"/>
  <c r="L1518" i="6"/>
  <c r="L1517" i="6"/>
  <c r="L1516" i="6"/>
  <c r="L1515" i="6"/>
  <c r="L1514" i="6"/>
  <c r="L1513" i="6"/>
  <c r="L1512" i="6"/>
  <c r="L1511" i="6"/>
  <c r="L1510" i="6"/>
  <c r="L1509" i="6"/>
  <c r="L1508" i="6"/>
  <c r="L1507" i="6"/>
  <c r="L1506" i="6"/>
  <c r="L1505" i="6"/>
  <c r="L1504" i="6"/>
  <c r="L1503" i="6"/>
  <c r="L1502" i="6"/>
  <c r="L1501" i="6"/>
  <c r="L1500" i="6"/>
  <c r="L1499" i="6"/>
  <c r="L1498" i="6"/>
  <c r="L1497" i="6"/>
  <c r="L1496" i="6"/>
  <c r="L1495" i="6"/>
  <c r="L1494" i="6"/>
  <c r="L1493" i="6"/>
  <c r="L1492" i="6"/>
  <c r="L1491" i="6"/>
  <c r="L1490" i="6"/>
  <c r="L1489" i="6"/>
  <c r="L1488" i="6"/>
  <c r="L1487" i="6"/>
  <c r="L1486" i="6"/>
  <c r="L1485" i="6"/>
  <c r="L1484" i="6"/>
  <c r="L1483" i="6"/>
  <c r="L1482" i="6"/>
  <c r="L1481" i="6"/>
  <c r="L1480" i="6"/>
  <c r="L1479" i="6"/>
  <c r="L1478" i="6"/>
  <c r="L1477" i="6"/>
  <c r="L1476" i="6"/>
  <c r="L1475" i="6"/>
  <c r="L1474" i="6"/>
  <c r="L1473" i="6"/>
  <c r="L1472" i="6"/>
  <c r="L1471" i="6"/>
  <c r="L1470" i="6"/>
  <c r="L1469" i="6"/>
  <c r="L1468" i="6"/>
  <c r="L1467" i="6"/>
  <c r="L1466" i="6"/>
  <c r="L1465" i="6"/>
  <c r="L1464" i="6"/>
  <c r="L1463" i="6"/>
  <c r="L1462" i="6"/>
  <c r="L1461" i="6"/>
  <c r="L1460" i="6"/>
  <c r="L1459" i="6"/>
  <c r="L1458" i="6"/>
  <c r="L1457" i="6"/>
  <c r="L1456" i="6"/>
  <c r="L1455" i="6"/>
  <c r="L1454" i="6"/>
  <c r="L1453" i="6"/>
  <c r="L1452" i="6"/>
  <c r="L1451" i="6"/>
  <c r="L1450" i="6"/>
  <c r="L1449" i="6"/>
  <c r="L1448" i="6"/>
  <c r="L1447" i="6"/>
  <c r="L1446" i="6"/>
  <c r="L1445" i="6"/>
  <c r="L1444" i="6"/>
  <c r="L1443" i="6"/>
  <c r="L1442" i="6"/>
  <c r="L1441" i="6"/>
  <c r="L1440" i="6"/>
  <c r="L1439" i="6"/>
  <c r="L1438" i="6"/>
  <c r="L1437" i="6"/>
  <c r="L1436" i="6"/>
  <c r="L1435" i="6"/>
  <c r="L1434" i="6"/>
  <c r="L1433" i="6"/>
  <c r="L1432" i="6"/>
  <c r="L1431" i="6"/>
  <c r="L1430" i="6"/>
  <c r="L1429" i="6"/>
  <c r="L1428" i="6"/>
  <c r="L1427" i="6"/>
  <c r="L1426" i="6"/>
  <c r="L1425" i="6"/>
  <c r="L1424" i="6"/>
  <c r="L1423" i="6"/>
  <c r="L1422" i="6"/>
  <c r="L1421" i="6"/>
  <c r="L1420" i="6"/>
  <c r="L1419" i="6"/>
  <c r="L1418" i="6"/>
  <c r="L1417" i="6"/>
  <c r="L1416" i="6"/>
  <c r="L1415" i="6"/>
  <c r="L1414" i="6"/>
  <c r="L1413" i="6"/>
  <c r="L1412" i="6"/>
  <c r="L1411" i="6"/>
  <c r="L1410" i="6"/>
  <c r="L1409" i="6"/>
  <c r="L1408" i="6"/>
  <c r="L1407" i="6"/>
  <c r="L1406" i="6"/>
  <c r="L1405" i="6"/>
  <c r="L1404" i="6"/>
  <c r="L1403" i="6"/>
  <c r="L1402" i="6"/>
  <c r="L1401" i="6"/>
  <c r="L1400" i="6"/>
  <c r="L1399" i="6"/>
  <c r="L1398" i="6"/>
  <c r="L1397" i="6"/>
  <c r="L1396" i="6"/>
  <c r="L1395" i="6"/>
  <c r="L1394" i="6"/>
  <c r="L1393" i="6"/>
  <c r="L1392" i="6"/>
  <c r="L1391" i="6"/>
  <c r="L1390" i="6"/>
  <c r="L1389" i="6"/>
  <c r="L1388" i="6"/>
  <c r="L1387" i="6"/>
  <c r="L1386" i="6"/>
  <c r="L1385" i="6"/>
  <c r="L1384" i="6"/>
  <c r="L1383" i="6"/>
  <c r="L1382" i="6"/>
  <c r="L1381" i="6"/>
  <c r="L1380" i="6"/>
  <c r="L1379" i="6"/>
  <c r="L1378" i="6"/>
  <c r="L1377" i="6"/>
  <c r="L1376" i="6"/>
  <c r="L1375" i="6"/>
  <c r="L1374" i="6"/>
  <c r="L1373" i="6"/>
  <c r="L1372" i="6"/>
  <c r="L1371" i="6"/>
  <c r="L1370" i="6"/>
  <c r="L1369" i="6"/>
  <c r="L1368" i="6"/>
  <c r="L1367" i="6"/>
  <c r="L1366" i="6"/>
  <c r="L1365" i="6"/>
  <c r="L1364" i="6"/>
  <c r="L1363" i="6"/>
  <c r="L1362" i="6"/>
  <c r="L1361" i="6"/>
  <c r="L1360" i="6"/>
  <c r="L1359" i="6"/>
  <c r="L1358" i="6"/>
  <c r="L1357" i="6"/>
  <c r="L1356" i="6"/>
  <c r="L1355" i="6"/>
  <c r="L1354" i="6"/>
  <c r="L1353" i="6"/>
  <c r="L1352" i="6"/>
  <c r="L1351" i="6"/>
  <c r="L1350" i="6"/>
  <c r="L1349" i="6"/>
  <c r="L1348" i="6"/>
  <c r="L1347" i="6"/>
  <c r="L1346" i="6"/>
  <c r="L1345" i="6"/>
  <c r="L1344" i="6"/>
  <c r="L1343" i="6"/>
  <c r="L1342" i="6"/>
  <c r="L1341" i="6"/>
  <c r="L1340" i="6"/>
  <c r="L1339" i="6"/>
  <c r="L1338" i="6"/>
  <c r="L1337" i="6"/>
  <c r="L1336" i="6"/>
  <c r="L1335" i="6"/>
  <c r="L1334" i="6"/>
  <c r="L1333" i="6"/>
  <c r="L1332" i="6"/>
  <c r="L1331" i="6"/>
  <c r="L1330" i="6"/>
  <c r="L1329" i="6"/>
  <c r="L1328" i="6"/>
  <c r="L1327" i="6"/>
  <c r="L1326" i="6"/>
  <c r="L1325" i="6"/>
  <c r="L1324" i="6"/>
  <c r="L1323" i="6"/>
  <c r="L1322" i="6"/>
  <c r="L1321" i="6"/>
  <c r="L1320" i="6"/>
  <c r="L1319" i="6"/>
  <c r="L1318" i="6"/>
  <c r="L1317" i="6"/>
  <c r="L1316" i="6"/>
  <c r="L1315" i="6"/>
  <c r="L1314" i="6"/>
  <c r="L1313" i="6"/>
  <c r="L1312" i="6"/>
  <c r="L1311" i="6"/>
  <c r="L1310" i="6"/>
  <c r="L1309" i="6"/>
  <c r="L1308" i="6"/>
  <c r="L1307" i="6"/>
  <c r="L1306" i="6"/>
  <c r="L1305" i="6"/>
  <c r="L1304" i="6"/>
  <c r="L1303" i="6"/>
  <c r="L1302" i="6"/>
  <c r="L1301" i="6"/>
  <c r="L1300" i="6"/>
  <c r="L1299" i="6"/>
  <c r="L1298" i="6"/>
  <c r="L1297" i="6"/>
  <c r="L1296" i="6"/>
  <c r="L1295" i="6"/>
  <c r="L1294" i="6"/>
  <c r="L1293" i="6"/>
  <c r="L1292" i="6"/>
  <c r="L1291" i="6"/>
  <c r="L1290" i="6"/>
  <c r="L1289" i="6"/>
  <c r="L1288" i="6"/>
  <c r="L1287" i="6"/>
  <c r="L1286" i="6"/>
  <c r="L1285" i="6"/>
  <c r="L1284" i="6"/>
  <c r="L1283" i="6"/>
  <c r="L1282" i="6"/>
  <c r="L1281" i="6"/>
  <c r="L1280" i="6"/>
  <c r="L1279" i="6"/>
  <c r="L1278" i="6"/>
  <c r="L1277" i="6"/>
  <c r="L1276" i="6"/>
  <c r="L1275" i="6"/>
  <c r="L1274" i="6"/>
  <c r="L1273" i="6"/>
  <c r="L1272" i="6"/>
  <c r="L1271" i="6"/>
  <c r="L1270" i="6"/>
  <c r="L1269" i="6"/>
  <c r="L1268" i="6"/>
  <c r="L1267" i="6"/>
  <c r="L1266" i="6"/>
  <c r="L1265" i="6"/>
  <c r="L1264" i="6"/>
  <c r="L1263" i="6"/>
  <c r="L1262" i="6"/>
  <c r="L1261" i="6"/>
  <c r="L1260" i="6"/>
  <c r="L1259" i="6"/>
  <c r="L1258" i="6"/>
  <c r="L1257" i="6"/>
  <c r="L1256" i="6"/>
  <c r="L1255" i="6"/>
  <c r="L1254" i="6"/>
  <c r="L1253" i="6"/>
  <c r="L1252" i="6"/>
  <c r="L1251" i="6"/>
  <c r="L1250" i="6"/>
  <c r="L1249" i="6"/>
  <c r="L1248" i="6"/>
  <c r="L1247" i="6"/>
  <c r="L1246" i="6"/>
  <c r="L1245" i="6"/>
  <c r="L1244" i="6"/>
  <c r="L1243" i="6"/>
  <c r="L1242" i="6"/>
  <c r="L1241" i="6"/>
  <c r="L1240" i="6"/>
  <c r="L1239" i="6"/>
  <c r="L1238" i="6"/>
  <c r="L1237" i="6"/>
  <c r="L1236" i="6"/>
  <c r="L1235" i="6"/>
  <c r="L1234" i="6"/>
  <c r="L1233" i="6"/>
  <c r="L1232" i="6"/>
  <c r="L1231" i="6"/>
  <c r="L1230" i="6"/>
  <c r="L1229" i="6"/>
  <c r="L1228" i="6"/>
  <c r="L1227" i="6"/>
  <c r="L1226" i="6"/>
  <c r="L1225" i="6"/>
  <c r="L1224" i="6"/>
  <c r="L1223" i="6"/>
  <c r="L1222" i="6"/>
  <c r="L1221" i="6"/>
  <c r="L1220" i="6"/>
  <c r="L1219" i="6"/>
  <c r="L1218" i="6"/>
  <c r="L1217" i="6"/>
  <c r="L1216" i="6"/>
  <c r="L1215" i="6"/>
  <c r="L1214" i="6"/>
  <c r="L1213" i="6"/>
  <c r="L1212" i="6"/>
  <c r="L1211" i="6"/>
  <c r="L1210" i="6"/>
  <c r="L1209" i="6"/>
  <c r="L1208" i="6"/>
  <c r="L1207" i="6"/>
  <c r="L1206" i="6"/>
  <c r="L1205" i="6"/>
  <c r="L1204" i="6"/>
  <c r="L1203" i="6"/>
  <c r="L1202" i="6"/>
  <c r="L1201" i="6"/>
  <c r="L1200" i="6"/>
  <c r="L1199" i="6"/>
  <c r="L1198" i="6"/>
  <c r="L1197" i="6"/>
  <c r="L1196" i="6"/>
  <c r="L1195" i="6"/>
  <c r="L1194" i="6"/>
  <c r="L1193" i="6"/>
  <c r="L1192" i="6"/>
  <c r="L1191" i="6"/>
  <c r="L1190" i="6"/>
  <c r="L1189" i="6"/>
  <c r="L1188" i="6"/>
  <c r="L1187" i="6"/>
  <c r="L1186" i="6"/>
  <c r="L1185" i="6"/>
  <c r="L1184" i="6"/>
  <c r="L1183" i="6"/>
  <c r="L1182" i="6"/>
  <c r="L1181" i="6"/>
  <c r="L1180" i="6"/>
  <c r="L1179" i="6"/>
  <c r="L1178" i="6"/>
  <c r="L1177" i="6"/>
  <c r="L1176" i="6"/>
  <c r="L1175" i="6"/>
  <c r="L1174" i="6"/>
  <c r="L1173" i="6"/>
  <c r="L1172" i="6"/>
  <c r="L1171" i="6"/>
  <c r="L1170" i="6"/>
  <c r="L1169" i="6"/>
  <c r="L1168" i="6"/>
  <c r="L1167" i="6"/>
  <c r="L1166" i="6"/>
  <c r="L1165" i="6"/>
  <c r="L1164" i="6"/>
  <c r="L1163" i="6"/>
  <c r="L1162" i="6"/>
  <c r="L1161" i="6"/>
  <c r="L1160" i="6"/>
  <c r="L1159" i="6"/>
  <c r="L1158" i="6"/>
  <c r="L1157" i="6"/>
  <c r="L1156" i="6"/>
  <c r="L1155" i="6"/>
  <c r="L1154" i="6"/>
  <c r="L1153" i="6"/>
  <c r="L1152" i="6"/>
  <c r="L1151" i="6"/>
  <c r="L1150" i="6"/>
  <c r="L1149" i="6"/>
  <c r="L1148" i="6"/>
  <c r="L1147" i="6"/>
  <c r="L1146" i="6"/>
  <c r="L1145" i="6"/>
  <c r="L1144" i="6"/>
  <c r="L1143" i="6"/>
  <c r="L1142" i="6"/>
  <c r="L1141" i="6"/>
  <c r="L1140" i="6"/>
  <c r="L1139" i="6"/>
  <c r="L1138" i="6"/>
  <c r="L1137" i="6"/>
  <c r="L1136" i="6"/>
  <c r="L1135" i="6"/>
  <c r="L1134" i="6"/>
  <c r="L1133" i="6"/>
  <c r="L1132" i="6"/>
  <c r="L1131" i="6"/>
  <c r="L1130" i="6"/>
  <c r="L1129" i="6"/>
  <c r="L1128" i="6"/>
  <c r="L1127" i="6"/>
  <c r="L1126" i="6"/>
  <c r="L1125" i="6"/>
  <c r="L1124" i="6"/>
  <c r="L1123" i="6"/>
  <c r="L1122" i="6"/>
  <c r="L1121" i="6"/>
  <c r="L1120" i="6"/>
  <c r="L1119" i="6"/>
  <c r="L1118" i="6"/>
  <c r="L1117" i="6"/>
  <c r="L1116" i="6"/>
  <c r="L1115" i="6"/>
  <c r="L1114" i="6"/>
  <c r="L1113" i="6"/>
  <c r="L1112" i="6"/>
  <c r="L1111" i="6"/>
  <c r="L1110" i="6"/>
  <c r="L1109" i="6"/>
  <c r="L1108" i="6"/>
  <c r="L1107" i="6"/>
  <c r="L1106" i="6"/>
  <c r="L1105" i="6"/>
  <c r="L1104" i="6"/>
  <c r="L1103" i="6"/>
  <c r="L1102" i="6"/>
  <c r="L1101" i="6"/>
  <c r="L1100" i="6"/>
  <c r="L1099" i="6"/>
  <c r="L1098" i="6"/>
  <c r="L1097" i="6"/>
  <c r="L1096" i="6"/>
  <c r="L1095" i="6"/>
  <c r="L1094" i="6"/>
  <c r="L1093" i="6"/>
  <c r="L1092" i="6"/>
  <c r="L1091" i="6"/>
  <c r="L1090" i="6"/>
  <c r="L1089" i="6"/>
  <c r="L1088" i="6"/>
  <c r="L1087" i="6"/>
  <c r="L1086" i="6"/>
  <c r="L1085" i="6"/>
  <c r="L1084" i="6"/>
  <c r="L1083" i="6"/>
  <c r="L1082" i="6"/>
  <c r="L1081" i="6"/>
  <c r="L1080" i="6"/>
  <c r="L1079" i="6"/>
  <c r="L1078" i="6"/>
  <c r="L1077" i="6"/>
  <c r="L1076" i="6"/>
  <c r="L1075" i="6"/>
  <c r="L1074" i="6"/>
  <c r="L1073" i="6"/>
  <c r="L1072" i="6"/>
  <c r="L1071" i="6"/>
  <c r="L1070" i="6"/>
  <c r="L1069" i="6"/>
  <c r="L1068" i="6"/>
  <c r="L1067" i="6"/>
  <c r="L1066" i="6"/>
  <c r="L1065" i="6"/>
  <c r="L1064" i="6"/>
  <c r="L1063" i="6"/>
  <c r="L1062" i="6"/>
  <c r="L1061" i="6"/>
  <c r="L1060" i="6"/>
  <c r="L1059" i="6"/>
  <c r="L1058" i="6"/>
  <c r="L1057" i="6"/>
  <c r="L1056" i="6"/>
  <c r="L1055" i="6"/>
  <c r="L1054" i="6"/>
  <c r="L1053" i="6"/>
  <c r="L1052" i="6"/>
  <c r="L1051" i="6"/>
  <c r="L1050" i="6"/>
  <c r="L1049" i="6"/>
  <c r="L1048" i="6"/>
  <c r="L1047" i="6"/>
  <c r="L1046" i="6"/>
  <c r="L1045" i="6"/>
  <c r="L1044" i="6"/>
  <c r="L1043" i="6"/>
  <c r="L1042" i="6"/>
  <c r="L1041" i="6"/>
  <c r="L1040" i="6"/>
  <c r="L1039" i="6"/>
  <c r="L1038" i="6"/>
  <c r="L1037" i="6"/>
  <c r="L1036" i="6"/>
  <c r="L1035" i="6"/>
  <c r="L1034" i="6"/>
  <c r="L1033" i="6"/>
  <c r="L1032" i="6"/>
  <c r="L1031" i="6"/>
  <c r="L1030" i="6"/>
  <c r="L1029" i="6"/>
  <c r="L1028" i="6"/>
  <c r="L1027" i="6"/>
  <c r="L1026" i="6"/>
  <c r="L1025" i="6"/>
  <c r="L1024" i="6"/>
  <c r="L1023" i="6"/>
  <c r="L1022" i="6"/>
  <c r="L1021" i="6"/>
  <c r="L1020" i="6"/>
  <c r="L1019" i="6"/>
  <c r="L1018" i="6"/>
  <c r="L1017" i="6"/>
  <c r="L1016" i="6"/>
  <c r="L1015" i="6"/>
  <c r="L1014" i="6"/>
  <c r="L1013" i="6"/>
  <c r="L1012" i="6"/>
  <c r="L1011" i="6"/>
  <c r="L1010" i="6"/>
  <c r="L1009" i="6"/>
  <c r="L1008" i="6"/>
  <c r="L1007" i="6"/>
  <c r="L1006" i="6"/>
  <c r="L1005" i="6"/>
  <c r="L1004" i="6"/>
  <c r="L1003" i="6"/>
  <c r="L1002" i="6"/>
  <c r="L1001" i="6"/>
  <c r="L1000" i="6"/>
  <c r="L999" i="6"/>
  <c r="L998" i="6"/>
  <c r="L997" i="6"/>
  <c r="L996" i="6"/>
  <c r="L995" i="6"/>
  <c r="L994" i="6"/>
  <c r="L993" i="6"/>
  <c r="L992" i="6"/>
  <c r="L991" i="6"/>
  <c r="L990" i="6"/>
  <c r="L989" i="6"/>
  <c r="L988" i="6"/>
  <c r="L987" i="6"/>
  <c r="L986" i="6"/>
  <c r="L985" i="6"/>
  <c r="L984" i="6"/>
  <c r="L983" i="6"/>
  <c r="L982" i="6"/>
  <c r="L981" i="6"/>
  <c r="L980" i="6"/>
  <c r="L979" i="6"/>
  <c r="L978" i="6"/>
  <c r="L977" i="6"/>
  <c r="L976" i="6"/>
  <c r="L975" i="6"/>
  <c r="L974" i="6"/>
  <c r="L973" i="6"/>
  <c r="L972" i="6"/>
  <c r="L971" i="6"/>
  <c r="L970" i="6"/>
  <c r="L969" i="6"/>
  <c r="L968" i="6"/>
  <c r="L967" i="6"/>
  <c r="L966" i="6"/>
  <c r="L965" i="6"/>
  <c r="L964" i="6"/>
  <c r="L963" i="6"/>
  <c r="L962" i="6"/>
  <c r="L961" i="6"/>
  <c r="L960" i="6"/>
  <c r="L959" i="6"/>
  <c r="L958" i="6"/>
  <c r="L957" i="6"/>
  <c r="L956" i="6"/>
  <c r="L955" i="6"/>
  <c r="L954" i="6"/>
  <c r="L953" i="6"/>
  <c r="L952" i="6"/>
  <c r="L951" i="6"/>
  <c r="L950" i="6"/>
  <c r="L949" i="6"/>
  <c r="L948" i="6"/>
  <c r="L947" i="6"/>
  <c r="L946" i="6"/>
  <c r="L945" i="6"/>
  <c r="L944" i="6"/>
  <c r="L943" i="6"/>
  <c r="L942" i="6"/>
  <c r="L941" i="6"/>
  <c r="L940" i="6"/>
  <c r="L939" i="6"/>
  <c r="L938" i="6"/>
  <c r="L937" i="6"/>
  <c r="L936" i="6"/>
  <c r="L935" i="6"/>
  <c r="L934" i="6"/>
  <c r="L933" i="6"/>
  <c r="L932" i="6"/>
  <c r="L931" i="6"/>
  <c r="L930" i="6"/>
  <c r="L929" i="6"/>
  <c r="L928" i="6"/>
  <c r="L927" i="6"/>
  <c r="L926" i="6"/>
  <c r="L925" i="6"/>
  <c r="L924" i="6"/>
  <c r="L923" i="6"/>
  <c r="L922" i="6"/>
  <c r="L921" i="6"/>
  <c r="L920" i="6"/>
  <c r="L919" i="6"/>
  <c r="L918" i="6"/>
  <c r="L917" i="6"/>
  <c r="L916" i="6"/>
  <c r="L915" i="6"/>
  <c r="L914" i="6"/>
  <c r="L913" i="6"/>
  <c r="L912" i="6"/>
  <c r="L911" i="6"/>
  <c r="L910" i="6"/>
  <c r="L909" i="6"/>
  <c r="L908" i="6"/>
  <c r="L907" i="6"/>
  <c r="L906" i="6"/>
  <c r="L905" i="6"/>
  <c r="L904" i="6"/>
  <c r="L903" i="6"/>
  <c r="L902" i="6"/>
  <c r="L901" i="6"/>
  <c r="L900" i="6"/>
  <c r="L899" i="6"/>
  <c r="L898" i="6"/>
  <c r="L897" i="6"/>
  <c r="L896" i="6"/>
  <c r="L895" i="6"/>
  <c r="L894" i="6"/>
  <c r="L893" i="6"/>
  <c r="L892" i="6"/>
  <c r="L891" i="6"/>
  <c r="L890" i="6"/>
  <c r="L889" i="6"/>
  <c r="L888" i="6"/>
  <c r="L887" i="6"/>
  <c r="L886" i="6"/>
  <c r="L885" i="6"/>
  <c r="L884" i="6"/>
  <c r="L883" i="6"/>
  <c r="L882" i="6"/>
  <c r="L881" i="6"/>
  <c r="L880" i="6"/>
  <c r="L879" i="6"/>
  <c r="L878" i="6"/>
  <c r="L877" i="6"/>
  <c r="L876" i="6"/>
  <c r="L875" i="6"/>
  <c r="L874" i="6"/>
  <c r="L873" i="6"/>
  <c r="L872" i="6"/>
  <c r="L871" i="6"/>
  <c r="L870" i="6"/>
  <c r="L869" i="6"/>
  <c r="L868" i="6"/>
  <c r="L867" i="6"/>
  <c r="L866" i="6"/>
  <c r="L865" i="6"/>
  <c r="L864" i="6"/>
  <c r="L863" i="6"/>
  <c r="L862" i="6"/>
  <c r="L861" i="6"/>
  <c r="L860" i="6"/>
  <c r="L859" i="6"/>
  <c r="L858" i="6"/>
  <c r="L857" i="6"/>
  <c r="L856" i="6"/>
  <c r="L855" i="6"/>
  <c r="L854" i="6"/>
  <c r="L853" i="6"/>
  <c r="L852" i="6"/>
  <c r="L851" i="6"/>
  <c r="L850" i="6"/>
  <c r="L849" i="6"/>
  <c r="L848" i="6"/>
  <c r="L847" i="6"/>
  <c r="L846" i="6"/>
  <c r="L845" i="6"/>
  <c r="L844" i="6"/>
  <c r="L843" i="6"/>
  <c r="L842" i="6"/>
  <c r="L841" i="6"/>
  <c r="L840" i="6"/>
  <c r="L839" i="6"/>
  <c r="L838" i="6"/>
  <c r="L837" i="6"/>
  <c r="L836" i="6"/>
  <c r="L835" i="6"/>
  <c r="L834" i="6"/>
  <c r="L833" i="6"/>
  <c r="L832" i="6"/>
  <c r="L831" i="6"/>
  <c r="L830" i="6"/>
  <c r="L829" i="6"/>
  <c r="L828" i="6"/>
  <c r="L827" i="6"/>
  <c r="L826" i="6"/>
  <c r="L825" i="6"/>
  <c r="L824" i="6"/>
  <c r="L823" i="6"/>
  <c r="L822" i="6"/>
  <c r="L821" i="6"/>
  <c r="L820" i="6"/>
  <c r="L819" i="6"/>
  <c r="L818" i="6"/>
  <c r="L817" i="6"/>
  <c r="L816" i="6"/>
  <c r="L815" i="6"/>
  <c r="L814" i="6"/>
  <c r="L813" i="6"/>
  <c r="L812" i="6"/>
  <c r="L811" i="6"/>
  <c r="L810" i="6"/>
  <c r="L809" i="6"/>
  <c r="L808" i="6"/>
  <c r="L807" i="6"/>
  <c r="L806" i="6"/>
  <c r="L805" i="6"/>
  <c r="L804" i="6"/>
  <c r="L803" i="6"/>
  <c r="L802" i="6"/>
  <c r="L801" i="6"/>
  <c r="L800" i="6"/>
  <c r="L799" i="6"/>
  <c r="L798" i="6"/>
  <c r="L797" i="6"/>
  <c r="L796" i="6"/>
  <c r="L795" i="6"/>
  <c r="L794" i="6"/>
  <c r="L793" i="6"/>
  <c r="L792" i="6"/>
  <c r="L791" i="6"/>
  <c r="L790" i="6"/>
  <c r="L789" i="6"/>
  <c r="L788" i="6"/>
  <c r="L787" i="6"/>
  <c r="L786" i="6"/>
  <c r="L785" i="6"/>
  <c r="L784" i="6"/>
  <c r="L783" i="6"/>
  <c r="L782" i="6"/>
  <c r="L781" i="6"/>
  <c r="L780" i="6"/>
  <c r="L779" i="6"/>
  <c r="L778" i="6"/>
  <c r="L777" i="6"/>
  <c r="L776" i="6"/>
  <c r="L775" i="6"/>
  <c r="L774" i="6"/>
  <c r="L773" i="6"/>
  <c r="L772" i="6"/>
  <c r="L771" i="6"/>
  <c r="L770" i="6"/>
  <c r="L769" i="6"/>
  <c r="L768" i="6"/>
  <c r="L767" i="6"/>
  <c r="L766" i="6"/>
  <c r="L765" i="6"/>
  <c r="L764" i="6"/>
  <c r="L763" i="6"/>
  <c r="L762" i="6"/>
  <c r="L761" i="6"/>
  <c r="L760" i="6"/>
  <c r="L759" i="6"/>
  <c r="L758" i="6"/>
  <c r="L757" i="6"/>
  <c r="L756" i="6"/>
  <c r="L755" i="6"/>
  <c r="L754" i="6"/>
  <c r="L753" i="6"/>
  <c r="L752" i="6"/>
  <c r="L751" i="6"/>
  <c r="L750" i="6"/>
  <c r="L749" i="6"/>
  <c r="L748" i="6"/>
  <c r="L747" i="6"/>
  <c r="L746" i="6"/>
  <c r="L745" i="6"/>
  <c r="L744" i="6"/>
  <c r="L743" i="6"/>
  <c r="L742" i="6"/>
  <c r="L741" i="6"/>
  <c r="L740" i="6"/>
  <c r="L739" i="6"/>
  <c r="L738" i="6"/>
  <c r="L737" i="6"/>
  <c r="L736" i="6"/>
  <c r="L735" i="6"/>
  <c r="L734" i="6"/>
  <c r="L733" i="6"/>
  <c r="L732" i="6"/>
  <c r="L731" i="6"/>
  <c r="L730" i="6"/>
  <c r="L729" i="6"/>
  <c r="L728" i="6"/>
  <c r="L727" i="6"/>
  <c r="L726" i="6"/>
  <c r="L725" i="6"/>
  <c r="L724" i="6"/>
  <c r="L723" i="6"/>
  <c r="L722" i="6"/>
  <c r="L721" i="6"/>
  <c r="L720" i="6"/>
  <c r="L719" i="6"/>
  <c r="L718" i="6"/>
  <c r="L717" i="6"/>
  <c r="L716" i="6"/>
  <c r="L715" i="6"/>
  <c r="L714" i="6"/>
  <c r="L713" i="6"/>
  <c r="L712" i="6"/>
  <c r="L711" i="6"/>
  <c r="L710" i="6"/>
  <c r="L709" i="6"/>
  <c r="L708" i="6"/>
  <c r="L707" i="6"/>
  <c r="L706" i="6"/>
  <c r="L705" i="6"/>
  <c r="L704" i="6"/>
  <c r="L703" i="6"/>
  <c r="L702" i="6"/>
  <c r="L701" i="6"/>
  <c r="L700" i="6"/>
  <c r="L699" i="6"/>
  <c r="L698" i="6"/>
  <c r="L697" i="6"/>
  <c r="L696" i="6"/>
  <c r="L695" i="6"/>
  <c r="L694" i="6"/>
  <c r="L693" i="6"/>
  <c r="L692" i="6"/>
  <c r="L691" i="6"/>
  <c r="L690" i="6"/>
  <c r="L689" i="6"/>
  <c r="L688" i="6"/>
  <c r="L687" i="6"/>
  <c r="L686" i="6"/>
  <c r="L685" i="6"/>
  <c r="L684" i="6"/>
  <c r="L683" i="6"/>
  <c r="L682" i="6"/>
  <c r="L681" i="6"/>
  <c r="L680" i="6"/>
  <c r="L679" i="6"/>
  <c r="L678" i="6"/>
  <c r="L677" i="6"/>
  <c r="L676" i="6"/>
  <c r="L675" i="6"/>
  <c r="L674" i="6"/>
  <c r="L673" i="6"/>
  <c r="L672" i="6"/>
  <c r="L671" i="6"/>
  <c r="L670" i="6"/>
  <c r="L669" i="6"/>
  <c r="L668" i="6"/>
  <c r="L667" i="6"/>
  <c r="L666" i="6"/>
  <c r="L665" i="6"/>
  <c r="L664" i="6"/>
  <c r="L663" i="6"/>
  <c r="L662" i="6"/>
  <c r="L661" i="6"/>
  <c r="L660" i="6"/>
  <c r="L659" i="6"/>
  <c r="L658" i="6"/>
  <c r="L657" i="6"/>
  <c r="L656" i="6"/>
  <c r="L655" i="6"/>
  <c r="L654" i="6"/>
  <c r="L653" i="6"/>
  <c r="L652" i="6"/>
  <c r="L651" i="6"/>
  <c r="L650" i="6"/>
  <c r="L649" i="6"/>
  <c r="L648" i="6"/>
  <c r="L647" i="6"/>
  <c r="L646" i="6"/>
  <c r="L645" i="6"/>
  <c r="L644" i="6"/>
  <c r="L643" i="6"/>
  <c r="L642" i="6"/>
  <c r="L641" i="6"/>
  <c r="L640" i="6"/>
  <c r="L639" i="6"/>
  <c r="L638" i="6"/>
  <c r="L637" i="6"/>
  <c r="L636" i="6"/>
  <c r="L635" i="6"/>
  <c r="L634" i="6"/>
  <c r="L633" i="6"/>
  <c r="L632" i="6"/>
  <c r="L631" i="6"/>
  <c r="L630" i="6"/>
  <c r="L629" i="6"/>
  <c r="L628" i="6"/>
  <c r="L627" i="6"/>
  <c r="L626" i="6"/>
  <c r="L625" i="6"/>
  <c r="L624" i="6"/>
  <c r="L623" i="6"/>
  <c r="L622" i="6"/>
  <c r="L621" i="6"/>
  <c r="L620" i="6"/>
  <c r="L619" i="6"/>
  <c r="L618" i="6"/>
  <c r="L617" i="6"/>
  <c r="L616" i="6"/>
  <c r="L615" i="6"/>
  <c r="L614" i="6"/>
  <c r="L613" i="6"/>
  <c r="L612" i="6"/>
  <c r="L611" i="6"/>
  <c r="L610" i="6"/>
  <c r="L609" i="6"/>
  <c r="L608" i="6"/>
  <c r="L607" i="6"/>
  <c r="L606" i="6"/>
  <c r="L605" i="6"/>
  <c r="L604" i="6"/>
  <c r="L603" i="6"/>
  <c r="L602" i="6"/>
  <c r="L601" i="6"/>
  <c r="L600" i="6"/>
  <c r="L599" i="6"/>
  <c r="L598" i="6"/>
  <c r="L597" i="6"/>
  <c r="L596" i="6"/>
  <c r="L595" i="6"/>
  <c r="L594" i="6"/>
  <c r="L593" i="6"/>
  <c r="L592" i="6"/>
  <c r="L591" i="6"/>
  <c r="L590" i="6"/>
  <c r="L589" i="6"/>
  <c r="L588" i="6"/>
  <c r="L587" i="6"/>
  <c r="L586" i="6"/>
  <c r="L585" i="6"/>
  <c r="L584" i="6"/>
  <c r="L583" i="6"/>
  <c r="L582" i="6"/>
  <c r="L581" i="6"/>
  <c r="L580" i="6"/>
  <c r="L579" i="6"/>
  <c r="L578" i="6"/>
  <c r="L577" i="6"/>
  <c r="L576" i="6"/>
  <c r="L575" i="6"/>
  <c r="L574" i="6"/>
  <c r="L573" i="6"/>
  <c r="L572" i="6"/>
  <c r="L571" i="6"/>
  <c r="L570" i="6"/>
  <c r="L569" i="6"/>
  <c r="L568" i="6"/>
  <c r="L567" i="6"/>
  <c r="L566" i="6"/>
  <c r="L565" i="6"/>
  <c r="L564" i="6"/>
  <c r="L563" i="6"/>
  <c r="L562" i="6"/>
  <c r="L561" i="6"/>
  <c r="L560" i="6"/>
  <c r="L559" i="6"/>
  <c r="L558" i="6"/>
  <c r="L557" i="6"/>
  <c r="L556" i="6"/>
  <c r="L555" i="6"/>
  <c r="L554" i="6"/>
  <c r="L553" i="6"/>
  <c r="L552" i="6"/>
  <c r="L551" i="6"/>
  <c r="L550" i="6"/>
  <c r="L549" i="6"/>
  <c r="L548" i="6"/>
  <c r="L547" i="6"/>
  <c r="L546" i="6"/>
  <c r="L545" i="6"/>
  <c r="L544" i="6"/>
  <c r="L543" i="6"/>
  <c r="L542" i="6"/>
  <c r="L541" i="6"/>
  <c r="L540" i="6"/>
  <c r="L539" i="6"/>
  <c r="L538" i="6"/>
  <c r="L537" i="6"/>
  <c r="L536" i="6"/>
  <c r="L535" i="6"/>
  <c r="L534" i="6"/>
  <c r="L533" i="6"/>
  <c r="L532" i="6"/>
  <c r="L531" i="6"/>
  <c r="L530" i="6"/>
  <c r="L529" i="6"/>
  <c r="L528" i="6"/>
  <c r="L527" i="6"/>
  <c r="L526" i="6"/>
  <c r="L525" i="6"/>
  <c r="L524" i="6"/>
  <c r="L523" i="6"/>
  <c r="L522" i="6"/>
  <c r="L521" i="6"/>
  <c r="L520" i="6"/>
  <c r="L519" i="6"/>
  <c r="L518" i="6"/>
  <c r="L517" i="6"/>
  <c r="L516" i="6"/>
  <c r="L515" i="6"/>
  <c r="L514" i="6"/>
  <c r="L513" i="6"/>
  <c r="L512" i="6"/>
  <c r="L511" i="6"/>
  <c r="L510" i="6"/>
  <c r="L509" i="6"/>
  <c r="L508" i="6"/>
  <c r="L507" i="6"/>
  <c r="L506" i="6"/>
  <c r="L505" i="6"/>
  <c r="L504" i="6"/>
  <c r="L503" i="6"/>
  <c r="L502" i="6"/>
  <c r="L501" i="6"/>
  <c r="L500" i="6"/>
  <c r="L499" i="6"/>
  <c r="L498" i="6"/>
  <c r="L497" i="6"/>
  <c r="L496" i="6"/>
  <c r="L495" i="6"/>
  <c r="L494" i="6"/>
  <c r="L493" i="6"/>
  <c r="L492" i="6"/>
  <c r="L491" i="6"/>
  <c r="L490" i="6"/>
  <c r="L489" i="6"/>
  <c r="L488" i="6"/>
  <c r="L487" i="6"/>
  <c r="L486" i="6"/>
  <c r="L485" i="6"/>
  <c r="L484" i="6"/>
  <c r="L483" i="6"/>
  <c r="L482" i="6"/>
  <c r="L481" i="6"/>
  <c r="L480" i="6"/>
  <c r="L479" i="6"/>
  <c r="L478" i="6"/>
  <c r="L477" i="6"/>
  <c r="L476" i="6"/>
  <c r="L475" i="6"/>
  <c r="L474" i="6"/>
  <c r="L473" i="6"/>
  <c r="L472" i="6"/>
  <c r="L471" i="6"/>
  <c r="L470" i="6"/>
  <c r="L469" i="6"/>
  <c r="L468" i="6"/>
  <c r="L467" i="6"/>
  <c r="L466" i="6"/>
  <c r="L465" i="6"/>
  <c r="L464" i="6"/>
  <c r="L463" i="6"/>
  <c r="L462" i="6"/>
  <c r="L461" i="6"/>
  <c r="L460" i="6"/>
  <c r="L459" i="6"/>
  <c r="L458" i="6"/>
  <c r="L457" i="6"/>
  <c r="L456" i="6"/>
  <c r="L455" i="6"/>
  <c r="L454" i="6"/>
  <c r="L453" i="6"/>
  <c r="L452" i="6"/>
  <c r="L451" i="6"/>
  <c r="L450" i="6"/>
  <c r="L449" i="6"/>
  <c r="L448" i="6"/>
  <c r="L447" i="6"/>
  <c r="L446" i="6"/>
  <c r="L445" i="6"/>
  <c r="L444" i="6"/>
  <c r="L443" i="6"/>
  <c r="L442" i="6"/>
  <c r="L441" i="6"/>
  <c r="L440" i="6"/>
  <c r="L439" i="6"/>
  <c r="L438" i="6"/>
  <c r="L437" i="6"/>
  <c r="L436" i="6"/>
  <c r="L435" i="6"/>
  <c r="L434" i="6"/>
  <c r="L433" i="6"/>
  <c r="L432" i="6"/>
  <c r="L431" i="6"/>
  <c r="L430" i="6"/>
  <c r="L429" i="6"/>
  <c r="L428" i="6"/>
  <c r="L427" i="6"/>
  <c r="L426" i="6"/>
  <c r="L425" i="6"/>
  <c r="L424" i="6"/>
  <c r="L423" i="6"/>
  <c r="L422" i="6"/>
  <c r="L421" i="6"/>
  <c r="L420" i="6"/>
  <c r="L419" i="6"/>
  <c r="L418" i="6"/>
  <c r="L417" i="6"/>
  <c r="L416" i="6"/>
  <c r="L415" i="6"/>
  <c r="L414" i="6"/>
  <c r="L413" i="6"/>
  <c r="L412" i="6"/>
  <c r="L411" i="6"/>
  <c r="L410" i="6"/>
  <c r="L409" i="6"/>
  <c r="L408" i="6"/>
  <c r="L407" i="6"/>
  <c r="L406" i="6"/>
  <c r="L405" i="6"/>
  <c r="L404" i="6"/>
  <c r="L403" i="6"/>
  <c r="L402" i="6"/>
  <c r="L401" i="6"/>
  <c r="L400" i="6"/>
  <c r="L399" i="6"/>
  <c r="L398" i="6"/>
  <c r="L397" i="6"/>
  <c r="L396" i="6"/>
  <c r="L395" i="6"/>
  <c r="L394" i="6"/>
  <c r="L393" i="6"/>
  <c r="L392" i="6"/>
  <c r="L391" i="6"/>
  <c r="L390" i="6"/>
  <c r="L389" i="6"/>
  <c r="L388" i="6"/>
  <c r="L387" i="6"/>
  <c r="L386" i="6"/>
  <c r="L385" i="6"/>
  <c r="L384" i="6"/>
  <c r="L383" i="6"/>
  <c r="L382" i="6"/>
  <c r="L381" i="6"/>
  <c r="L380" i="6"/>
  <c r="L379" i="6"/>
  <c r="L378" i="6"/>
  <c r="L377" i="6"/>
  <c r="L376" i="6"/>
  <c r="L375" i="6"/>
  <c r="L374" i="6"/>
  <c r="L373" i="6"/>
  <c r="L372" i="6"/>
  <c r="L371" i="6"/>
  <c r="L370" i="6"/>
  <c r="L369" i="6"/>
  <c r="L368" i="6"/>
  <c r="L367" i="6"/>
  <c r="L366" i="6"/>
  <c r="L365" i="6"/>
  <c r="L364" i="6"/>
  <c r="L363" i="6"/>
  <c r="L362" i="6"/>
  <c r="L361" i="6"/>
  <c r="L360" i="6"/>
  <c r="L359" i="6"/>
  <c r="L358" i="6"/>
  <c r="L357" i="6"/>
  <c r="L356" i="6"/>
  <c r="L355" i="6"/>
  <c r="L354" i="6"/>
  <c r="L353" i="6"/>
  <c r="L352" i="6"/>
  <c r="L351" i="6"/>
  <c r="L350" i="6"/>
  <c r="L349" i="6"/>
  <c r="L348" i="6"/>
  <c r="L347" i="6"/>
  <c r="L346" i="6"/>
  <c r="L345" i="6"/>
  <c r="L344" i="6"/>
  <c r="L343" i="6"/>
  <c r="L342" i="6"/>
  <c r="L341" i="6"/>
  <c r="L340" i="6"/>
  <c r="L339" i="6"/>
  <c r="L338" i="6"/>
  <c r="L337" i="6"/>
  <c r="L336" i="6"/>
  <c r="L335" i="6"/>
  <c r="L334" i="6"/>
  <c r="L333" i="6"/>
  <c r="L332" i="6"/>
  <c r="L331" i="6"/>
  <c r="L330" i="6"/>
  <c r="L329" i="6"/>
  <c r="L328" i="6"/>
  <c r="L327" i="6"/>
  <c r="L326" i="6"/>
  <c r="L325" i="6"/>
  <c r="L324" i="6"/>
  <c r="L323" i="6"/>
  <c r="L322" i="6"/>
  <c r="L321" i="6"/>
  <c r="L320" i="6"/>
  <c r="L319" i="6"/>
  <c r="L318" i="6"/>
  <c r="L317" i="6"/>
  <c r="L316" i="6"/>
  <c r="L315" i="6"/>
  <c r="L314" i="6"/>
  <c r="L313" i="6"/>
  <c r="L312" i="6"/>
  <c r="L311" i="6"/>
  <c r="L310" i="6"/>
  <c r="L309" i="6"/>
  <c r="L308" i="6"/>
  <c r="L307" i="6"/>
  <c r="L306" i="6"/>
  <c r="L305" i="6"/>
  <c r="L304" i="6"/>
  <c r="L303" i="6"/>
  <c r="L302" i="6"/>
  <c r="L301" i="6"/>
  <c r="L300" i="6"/>
  <c r="L299" i="6"/>
  <c r="L298" i="6"/>
  <c r="L297" i="6"/>
  <c r="L296" i="6"/>
  <c r="L295" i="6"/>
  <c r="L294" i="6"/>
  <c r="L293" i="6"/>
  <c r="L292" i="6"/>
  <c r="L291" i="6"/>
  <c r="L290" i="6"/>
  <c r="L289" i="6"/>
  <c r="L288" i="6"/>
  <c r="L287" i="6"/>
  <c r="L286" i="6"/>
  <c r="L285" i="6"/>
  <c r="L284" i="6"/>
  <c r="L283" i="6"/>
  <c r="L282" i="6"/>
  <c r="L281" i="6"/>
  <c r="L280" i="6"/>
  <c r="L279" i="6"/>
  <c r="L278" i="6"/>
  <c r="L277" i="6"/>
  <c r="L276" i="6"/>
  <c r="L275" i="6"/>
  <c r="L274" i="6"/>
  <c r="L273" i="6"/>
  <c r="L272" i="6"/>
  <c r="L271" i="6"/>
  <c r="L270" i="6"/>
  <c r="L269" i="6"/>
  <c r="L268" i="6"/>
  <c r="L267" i="6"/>
  <c r="L266" i="6"/>
  <c r="L265" i="6"/>
  <c r="L264" i="6"/>
  <c r="L263" i="6"/>
  <c r="L262" i="6"/>
  <c r="L261" i="6"/>
  <c r="L260" i="6"/>
  <c r="L259" i="6"/>
  <c r="L258" i="6"/>
  <c r="L257" i="6"/>
  <c r="L256" i="6"/>
  <c r="L255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K2000" i="6"/>
  <c r="K1999" i="6"/>
  <c r="K1998" i="6"/>
  <c r="K1997" i="6"/>
  <c r="K1996" i="6"/>
  <c r="K1995" i="6"/>
  <c r="K1994" i="6"/>
  <c r="K1993" i="6"/>
  <c r="K1992" i="6"/>
  <c r="K1991" i="6"/>
  <c r="K1990" i="6"/>
  <c r="K1989" i="6"/>
  <c r="K1988" i="6"/>
  <c r="K1987" i="6"/>
  <c r="K1986" i="6"/>
  <c r="K1985" i="6"/>
  <c r="K1984" i="6"/>
  <c r="K1983" i="6"/>
  <c r="K1982" i="6"/>
  <c r="K1981" i="6"/>
  <c r="K1980" i="6"/>
  <c r="K1979" i="6"/>
  <c r="K1978" i="6"/>
  <c r="K1977" i="6"/>
  <c r="K1976" i="6"/>
  <c r="K1975" i="6"/>
  <c r="K1974" i="6"/>
  <c r="K1973" i="6"/>
  <c r="K1972" i="6"/>
  <c r="K1971" i="6"/>
  <c r="K1970" i="6"/>
  <c r="K1969" i="6"/>
  <c r="K1968" i="6"/>
  <c r="K1967" i="6"/>
  <c r="K1966" i="6"/>
  <c r="K1965" i="6"/>
  <c r="K1964" i="6"/>
  <c r="K1963" i="6"/>
  <c r="K1962" i="6"/>
  <c r="K1961" i="6"/>
  <c r="K1960" i="6"/>
  <c r="K1959" i="6"/>
  <c r="K1958" i="6"/>
  <c r="K1957" i="6"/>
  <c r="K1956" i="6"/>
  <c r="K1955" i="6"/>
  <c r="K1954" i="6"/>
  <c r="K1953" i="6"/>
  <c r="K1952" i="6"/>
  <c r="K1951" i="6"/>
  <c r="K1950" i="6"/>
  <c r="K1949" i="6"/>
  <c r="K1948" i="6"/>
  <c r="K1947" i="6"/>
  <c r="K1946" i="6"/>
  <c r="K1945" i="6"/>
  <c r="K1944" i="6"/>
  <c r="K1943" i="6"/>
  <c r="K1942" i="6"/>
  <c r="K1941" i="6"/>
  <c r="K1940" i="6"/>
  <c r="K1939" i="6"/>
  <c r="K1938" i="6"/>
  <c r="K1937" i="6"/>
  <c r="K1936" i="6"/>
  <c r="K1935" i="6"/>
  <c r="K1934" i="6"/>
  <c r="K1933" i="6"/>
  <c r="K1932" i="6"/>
  <c r="K1931" i="6"/>
  <c r="K1930" i="6"/>
  <c r="K1929" i="6"/>
  <c r="K1928" i="6"/>
  <c r="K1927" i="6"/>
  <c r="K1926" i="6"/>
  <c r="K1925" i="6"/>
  <c r="K1924" i="6"/>
  <c r="K1923" i="6"/>
  <c r="K1922" i="6"/>
  <c r="K1921" i="6"/>
  <c r="K1920" i="6"/>
  <c r="K1919" i="6"/>
  <c r="K1918" i="6"/>
  <c r="K1917" i="6"/>
  <c r="K1916" i="6"/>
  <c r="K1915" i="6"/>
  <c r="K1914" i="6"/>
  <c r="K1913" i="6"/>
  <c r="K1912" i="6"/>
  <c r="K1911" i="6"/>
  <c r="K1910" i="6"/>
  <c r="K1909" i="6"/>
  <c r="K1908" i="6"/>
  <c r="K1907" i="6"/>
  <c r="K1906" i="6"/>
  <c r="K1905" i="6"/>
  <c r="K1904" i="6"/>
  <c r="K1903" i="6"/>
  <c r="K1902" i="6"/>
  <c r="K1901" i="6"/>
  <c r="K1900" i="6"/>
  <c r="K1899" i="6"/>
  <c r="K1898" i="6"/>
  <c r="K1897" i="6"/>
  <c r="K1896" i="6"/>
  <c r="K1895" i="6"/>
  <c r="K1894" i="6"/>
  <c r="K1893" i="6"/>
  <c r="K1892" i="6"/>
  <c r="K1891" i="6"/>
  <c r="K1890" i="6"/>
  <c r="K1889" i="6"/>
  <c r="K1888" i="6"/>
  <c r="K1887" i="6"/>
  <c r="K1886" i="6"/>
  <c r="K1885" i="6"/>
  <c r="K1884" i="6"/>
  <c r="K1883" i="6"/>
  <c r="K1882" i="6"/>
  <c r="K1881" i="6"/>
  <c r="K1880" i="6"/>
  <c r="K1879" i="6"/>
  <c r="K1878" i="6"/>
  <c r="K1877" i="6"/>
  <c r="K1876" i="6"/>
  <c r="K1875" i="6"/>
  <c r="K1874" i="6"/>
  <c r="K1873" i="6"/>
  <c r="K1872" i="6"/>
  <c r="K1871" i="6"/>
  <c r="K1870" i="6"/>
  <c r="K1869" i="6"/>
  <c r="K1868" i="6"/>
  <c r="K1867" i="6"/>
  <c r="K1866" i="6"/>
  <c r="K1865" i="6"/>
  <c r="K1864" i="6"/>
  <c r="K1863" i="6"/>
  <c r="K1862" i="6"/>
  <c r="K1861" i="6"/>
  <c r="K1860" i="6"/>
  <c r="K1859" i="6"/>
  <c r="K1858" i="6"/>
  <c r="K1857" i="6"/>
  <c r="K1856" i="6"/>
  <c r="K1855" i="6"/>
  <c r="K1854" i="6"/>
  <c r="K1853" i="6"/>
  <c r="K1852" i="6"/>
  <c r="K1851" i="6"/>
  <c r="K1850" i="6"/>
  <c r="K1849" i="6"/>
  <c r="K1848" i="6"/>
  <c r="K1847" i="6"/>
  <c r="K1846" i="6"/>
  <c r="K1845" i="6"/>
  <c r="K1844" i="6"/>
  <c r="K1843" i="6"/>
  <c r="K1842" i="6"/>
  <c r="K1841" i="6"/>
  <c r="K1840" i="6"/>
  <c r="K1839" i="6"/>
  <c r="K1838" i="6"/>
  <c r="K1837" i="6"/>
  <c r="K1836" i="6"/>
  <c r="K1835" i="6"/>
  <c r="K1834" i="6"/>
  <c r="K1833" i="6"/>
  <c r="K1832" i="6"/>
  <c r="K1831" i="6"/>
  <c r="K1830" i="6"/>
  <c r="K1829" i="6"/>
  <c r="K1828" i="6"/>
  <c r="K1827" i="6"/>
  <c r="K1826" i="6"/>
  <c r="K1825" i="6"/>
  <c r="K1824" i="6"/>
  <c r="K1823" i="6"/>
  <c r="K1822" i="6"/>
  <c r="K1821" i="6"/>
  <c r="K1820" i="6"/>
  <c r="K1819" i="6"/>
  <c r="K1818" i="6"/>
  <c r="K1817" i="6"/>
  <c r="K1816" i="6"/>
  <c r="K1815" i="6"/>
  <c r="K1814" i="6"/>
  <c r="K1813" i="6"/>
  <c r="K1812" i="6"/>
  <c r="K1811" i="6"/>
  <c r="K1810" i="6"/>
  <c r="K1809" i="6"/>
  <c r="K1808" i="6"/>
  <c r="K1807" i="6"/>
  <c r="K1806" i="6"/>
  <c r="K1805" i="6"/>
  <c r="K1804" i="6"/>
  <c r="K1803" i="6"/>
  <c r="K1802" i="6"/>
  <c r="K1801" i="6"/>
  <c r="K1800" i="6"/>
  <c r="K1799" i="6"/>
  <c r="K1798" i="6"/>
  <c r="K1797" i="6"/>
  <c r="K1796" i="6"/>
  <c r="K1795" i="6"/>
  <c r="K1794" i="6"/>
  <c r="K1793" i="6"/>
  <c r="K1792" i="6"/>
  <c r="K1791" i="6"/>
  <c r="K1790" i="6"/>
  <c r="K1789" i="6"/>
  <c r="K1788" i="6"/>
  <c r="K1787" i="6"/>
  <c r="K1786" i="6"/>
  <c r="K1785" i="6"/>
  <c r="K1784" i="6"/>
  <c r="K1783" i="6"/>
  <c r="K1782" i="6"/>
  <c r="K1781" i="6"/>
  <c r="K1780" i="6"/>
  <c r="K1779" i="6"/>
  <c r="K1778" i="6"/>
  <c r="K1777" i="6"/>
  <c r="K1776" i="6"/>
  <c r="K1775" i="6"/>
  <c r="K1774" i="6"/>
  <c r="K1773" i="6"/>
  <c r="K1772" i="6"/>
  <c r="K1771" i="6"/>
  <c r="K1770" i="6"/>
  <c r="K1769" i="6"/>
  <c r="K1768" i="6"/>
  <c r="K1767" i="6"/>
  <c r="K1766" i="6"/>
  <c r="K1765" i="6"/>
  <c r="K1764" i="6"/>
  <c r="K1763" i="6"/>
  <c r="K1762" i="6"/>
  <c r="K1761" i="6"/>
  <c r="K1760" i="6"/>
  <c r="K1759" i="6"/>
  <c r="K1758" i="6"/>
  <c r="K1757" i="6"/>
  <c r="K1756" i="6"/>
  <c r="K1755" i="6"/>
  <c r="K1754" i="6"/>
  <c r="K1753" i="6"/>
  <c r="K1752" i="6"/>
  <c r="K1751" i="6"/>
  <c r="K1750" i="6"/>
  <c r="K1749" i="6"/>
  <c r="K1748" i="6"/>
  <c r="K1747" i="6"/>
  <c r="K1746" i="6"/>
  <c r="K1745" i="6"/>
  <c r="K1744" i="6"/>
  <c r="K1743" i="6"/>
  <c r="K1742" i="6"/>
  <c r="K1741" i="6"/>
  <c r="K1740" i="6"/>
  <c r="K1739" i="6"/>
  <c r="K1738" i="6"/>
  <c r="K1737" i="6"/>
  <c r="K1736" i="6"/>
  <c r="K1735" i="6"/>
  <c r="K1734" i="6"/>
  <c r="K1733" i="6"/>
  <c r="K1732" i="6"/>
  <c r="K1731" i="6"/>
  <c r="K1730" i="6"/>
  <c r="K1729" i="6"/>
  <c r="K1728" i="6"/>
  <c r="K1727" i="6"/>
  <c r="K1726" i="6"/>
  <c r="K1725" i="6"/>
  <c r="K1724" i="6"/>
  <c r="K1723" i="6"/>
  <c r="K1722" i="6"/>
  <c r="K1721" i="6"/>
  <c r="K1720" i="6"/>
  <c r="K1719" i="6"/>
  <c r="K1718" i="6"/>
  <c r="K1717" i="6"/>
  <c r="K1716" i="6"/>
  <c r="K1715" i="6"/>
  <c r="K1714" i="6"/>
  <c r="K1713" i="6"/>
  <c r="K1712" i="6"/>
  <c r="K1711" i="6"/>
  <c r="K1710" i="6"/>
  <c r="K1709" i="6"/>
  <c r="K1708" i="6"/>
  <c r="K1707" i="6"/>
  <c r="K1706" i="6"/>
  <c r="K1705" i="6"/>
  <c r="K1704" i="6"/>
  <c r="K1703" i="6"/>
  <c r="K1702" i="6"/>
  <c r="K1701" i="6"/>
  <c r="K1700" i="6"/>
  <c r="K1699" i="6"/>
  <c r="K1698" i="6"/>
  <c r="K1697" i="6"/>
  <c r="K1696" i="6"/>
  <c r="K1695" i="6"/>
  <c r="K1694" i="6"/>
  <c r="K1693" i="6"/>
  <c r="K1692" i="6"/>
  <c r="K1691" i="6"/>
  <c r="K1690" i="6"/>
  <c r="K1689" i="6"/>
  <c r="K1688" i="6"/>
  <c r="K1687" i="6"/>
  <c r="K1686" i="6"/>
  <c r="K1685" i="6"/>
  <c r="K1684" i="6"/>
  <c r="K1683" i="6"/>
  <c r="K1682" i="6"/>
  <c r="K1681" i="6"/>
  <c r="K1680" i="6"/>
  <c r="K1679" i="6"/>
  <c r="K1678" i="6"/>
  <c r="K1677" i="6"/>
  <c r="K1676" i="6"/>
  <c r="K1675" i="6"/>
  <c r="K1674" i="6"/>
  <c r="K1673" i="6"/>
  <c r="K1672" i="6"/>
  <c r="K1671" i="6"/>
  <c r="K1670" i="6"/>
  <c r="K1669" i="6"/>
  <c r="K1668" i="6"/>
  <c r="K1667" i="6"/>
  <c r="K1666" i="6"/>
  <c r="K1665" i="6"/>
  <c r="K1664" i="6"/>
  <c r="K1663" i="6"/>
  <c r="K1662" i="6"/>
  <c r="K1661" i="6"/>
  <c r="K1660" i="6"/>
  <c r="K1659" i="6"/>
  <c r="K1658" i="6"/>
  <c r="K1657" i="6"/>
  <c r="K1656" i="6"/>
  <c r="K1655" i="6"/>
  <c r="K1654" i="6"/>
  <c r="K1653" i="6"/>
  <c r="K1652" i="6"/>
  <c r="K1651" i="6"/>
  <c r="K1650" i="6"/>
  <c r="K1649" i="6"/>
  <c r="K1648" i="6"/>
  <c r="K1647" i="6"/>
  <c r="K1646" i="6"/>
  <c r="K1645" i="6"/>
  <c r="K1644" i="6"/>
  <c r="K1643" i="6"/>
  <c r="K1642" i="6"/>
  <c r="K1641" i="6"/>
  <c r="K1640" i="6"/>
  <c r="K1639" i="6"/>
  <c r="K1638" i="6"/>
  <c r="K1637" i="6"/>
  <c r="K1636" i="6"/>
  <c r="K1635" i="6"/>
  <c r="K1634" i="6"/>
  <c r="K1633" i="6"/>
  <c r="K1632" i="6"/>
  <c r="K1631" i="6"/>
  <c r="K1630" i="6"/>
  <c r="K1629" i="6"/>
  <c r="K1628" i="6"/>
  <c r="K1627" i="6"/>
  <c r="K1626" i="6"/>
  <c r="K1625" i="6"/>
  <c r="K1624" i="6"/>
  <c r="K1623" i="6"/>
  <c r="K1622" i="6"/>
  <c r="K1621" i="6"/>
  <c r="K1620" i="6"/>
  <c r="K1619" i="6"/>
  <c r="K1618" i="6"/>
  <c r="K1617" i="6"/>
  <c r="K1616" i="6"/>
  <c r="K1615" i="6"/>
  <c r="K1614" i="6"/>
  <c r="K1613" i="6"/>
  <c r="K1612" i="6"/>
  <c r="K1611" i="6"/>
  <c r="K1610" i="6"/>
  <c r="K1609" i="6"/>
  <c r="K1608" i="6"/>
  <c r="K1607" i="6"/>
  <c r="K1606" i="6"/>
  <c r="K1605" i="6"/>
  <c r="K1604" i="6"/>
  <c r="K1603" i="6"/>
  <c r="K1602" i="6"/>
  <c r="K1601" i="6"/>
  <c r="K1600" i="6"/>
  <c r="K1599" i="6"/>
  <c r="K1598" i="6"/>
  <c r="K1597" i="6"/>
  <c r="K1596" i="6"/>
  <c r="K1595" i="6"/>
  <c r="K1594" i="6"/>
  <c r="K1593" i="6"/>
  <c r="K1592" i="6"/>
  <c r="K1591" i="6"/>
  <c r="K1590" i="6"/>
  <c r="K1589" i="6"/>
  <c r="K1588" i="6"/>
  <c r="K1587" i="6"/>
  <c r="K1586" i="6"/>
  <c r="K1585" i="6"/>
  <c r="K1584" i="6"/>
  <c r="K1583" i="6"/>
  <c r="K1582" i="6"/>
  <c r="K1581" i="6"/>
  <c r="K1580" i="6"/>
  <c r="K1579" i="6"/>
  <c r="K1578" i="6"/>
  <c r="K1577" i="6"/>
  <c r="K1576" i="6"/>
  <c r="K1575" i="6"/>
  <c r="K1574" i="6"/>
  <c r="K1573" i="6"/>
  <c r="K1572" i="6"/>
  <c r="K1571" i="6"/>
  <c r="K1570" i="6"/>
  <c r="K1569" i="6"/>
  <c r="K1568" i="6"/>
  <c r="K1567" i="6"/>
  <c r="K1566" i="6"/>
  <c r="K1565" i="6"/>
  <c r="K1564" i="6"/>
  <c r="K1563" i="6"/>
  <c r="K1562" i="6"/>
  <c r="K1561" i="6"/>
  <c r="K1560" i="6"/>
  <c r="K1559" i="6"/>
  <c r="K1558" i="6"/>
  <c r="K1557" i="6"/>
  <c r="K1556" i="6"/>
  <c r="K1555" i="6"/>
  <c r="K1554" i="6"/>
  <c r="K1553" i="6"/>
  <c r="K1552" i="6"/>
  <c r="K1551" i="6"/>
  <c r="K1550" i="6"/>
  <c r="K1549" i="6"/>
  <c r="K1548" i="6"/>
  <c r="K1547" i="6"/>
  <c r="K1546" i="6"/>
  <c r="K1545" i="6"/>
  <c r="K1544" i="6"/>
  <c r="K1543" i="6"/>
  <c r="K1542" i="6"/>
  <c r="K1541" i="6"/>
  <c r="K1540" i="6"/>
  <c r="K1539" i="6"/>
  <c r="K1538" i="6"/>
  <c r="K1537" i="6"/>
  <c r="K1536" i="6"/>
  <c r="K1535" i="6"/>
  <c r="K1534" i="6"/>
  <c r="K1533" i="6"/>
  <c r="K1532" i="6"/>
  <c r="K1531" i="6"/>
  <c r="K1530" i="6"/>
  <c r="K1529" i="6"/>
  <c r="K1528" i="6"/>
  <c r="K1527" i="6"/>
  <c r="K1526" i="6"/>
  <c r="K1525" i="6"/>
  <c r="K1524" i="6"/>
  <c r="K1523" i="6"/>
  <c r="K1522" i="6"/>
  <c r="K1521" i="6"/>
  <c r="K1520" i="6"/>
  <c r="K1519" i="6"/>
  <c r="K1518" i="6"/>
  <c r="K1517" i="6"/>
  <c r="K1516" i="6"/>
  <c r="K1515" i="6"/>
  <c r="K1514" i="6"/>
  <c r="K1513" i="6"/>
  <c r="K1512" i="6"/>
  <c r="K1511" i="6"/>
  <c r="K1510" i="6"/>
  <c r="K1509" i="6"/>
  <c r="K1508" i="6"/>
  <c r="K1507" i="6"/>
  <c r="K1506" i="6"/>
  <c r="K1505" i="6"/>
  <c r="K1504" i="6"/>
  <c r="K1503" i="6"/>
  <c r="K1502" i="6"/>
  <c r="K1501" i="6"/>
  <c r="K1500" i="6"/>
  <c r="K1499" i="6"/>
  <c r="K1498" i="6"/>
  <c r="K1497" i="6"/>
  <c r="K1496" i="6"/>
  <c r="K1495" i="6"/>
  <c r="K1494" i="6"/>
  <c r="K1493" i="6"/>
  <c r="K1492" i="6"/>
  <c r="K1491" i="6"/>
  <c r="K1490" i="6"/>
  <c r="K1489" i="6"/>
  <c r="K1488" i="6"/>
  <c r="K1487" i="6"/>
  <c r="K1486" i="6"/>
  <c r="K1485" i="6"/>
  <c r="K1484" i="6"/>
  <c r="K1483" i="6"/>
  <c r="K1482" i="6"/>
  <c r="K1481" i="6"/>
  <c r="K1480" i="6"/>
  <c r="K1479" i="6"/>
  <c r="K1478" i="6"/>
  <c r="K1477" i="6"/>
  <c r="K1476" i="6"/>
  <c r="K1475" i="6"/>
  <c r="K1474" i="6"/>
  <c r="K1473" i="6"/>
  <c r="K1472" i="6"/>
  <c r="K1471" i="6"/>
  <c r="K1470" i="6"/>
  <c r="K1469" i="6"/>
  <c r="K1468" i="6"/>
  <c r="K1467" i="6"/>
  <c r="K1466" i="6"/>
  <c r="K1465" i="6"/>
  <c r="K1464" i="6"/>
  <c r="K1463" i="6"/>
  <c r="K1462" i="6"/>
  <c r="K1461" i="6"/>
  <c r="K1460" i="6"/>
  <c r="K1459" i="6"/>
  <c r="K1458" i="6"/>
  <c r="K1457" i="6"/>
  <c r="K1456" i="6"/>
  <c r="K1455" i="6"/>
  <c r="K1454" i="6"/>
  <c r="K1453" i="6"/>
  <c r="K1452" i="6"/>
  <c r="K1451" i="6"/>
  <c r="K1450" i="6"/>
  <c r="K1449" i="6"/>
  <c r="K1448" i="6"/>
  <c r="K1447" i="6"/>
  <c r="K1446" i="6"/>
  <c r="K1445" i="6"/>
  <c r="K1444" i="6"/>
  <c r="K1443" i="6"/>
  <c r="K1442" i="6"/>
  <c r="K1441" i="6"/>
  <c r="K1440" i="6"/>
  <c r="K1439" i="6"/>
  <c r="K1438" i="6"/>
  <c r="K1437" i="6"/>
  <c r="K1436" i="6"/>
  <c r="K1435" i="6"/>
  <c r="K1434" i="6"/>
  <c r="K1433" i="6"/>
  <c r="K1432" i="6"/>
  <c r="K1431" i="6"/>
  <c r="K1430" i="6"/>
  <c r="K1429" i="6"/>
  <c r="K1428" i="6"/>
  <c r="K1427" i="6"/>
  <c r="K1426" i="6"/>
  <c r="K1425" i="6"/>
  <c r="K1424" i="6"/>
  <c r="K1423" i="6"/>
  <c r="K1422" i="6"/>
  <c r="K1421" i="6"/>
  <c r="K1420" i="6"/>
  <c r="K1419" i="6"/>
  <c r="K1418" i="6"/>
  <c r="K1417" i="6"/>
  <c r="K1416" i="6"/>
  <c r="K1415" i="6"/>
  <c r="K1414" i="6"/>
  <c r="K1413" i="6"/>
  <c r="K1412" i="6"/>
  <c r="K1411" i="6"/>
  <c r="K1410" i="6"/>
  <c r="K1409" i="6"/>
  <c r="K1408" i="6"/>
  <c r="K1407" i="6"/>
  <c r="K1406" i="6"/>
  <c r="K1405" i="6"/>
  <c r="K1404" i="6"/>
  <c r="K1403" i="6"/>
  <c r="K1402" i="6"/>
  <c r="K1401" i="6"/>
  <c r="K1400" i="6"/>
  <c r="K1399" i="6"/>
  <c r="K1398" i="6"/>
  <c r="K1397" i="6"/>
  <c r="K1396" i="6"/>
  <c r="K1395" i="6"/>
  <c r="K1394" i="6"/>
  <c r="K1393" i="6"/>
  <c r="K1392" i="6"/>
  <c r="K1391" i="6"/>
  <c r="K1390" i="6"/>
  <c r="K1389" i="6"/>
  <c r="K1388" i="6"/>
  <c r="K1387" i="6"/>
  <c r="K1386" i="6"/>
  <c r="K1385" i="6"/>
  <c r="K1384" i="6"/>
  <c r="K1383" i="6"/>
  <c r="K1382" i="6"/>
  <c r="K1381" i="6"/>
  <c r="K1380" i="6"/>
  <c r="K1379" i="6"/>
  <c r="K1378" i="6"/>
  <c r="K1377" i="6"/>
  <c r="K1376" i="6"/>
  <c r="K1375" i="6"/>
  <c r="K1374" i="6"/>
  <c r="K1373" i="6"/>
  <c r="K1372" i="6"/>
  <c r="K1371" i="6"/>
  <c r="K1370" i="6"/>
  <c r="K1369" i="6"/>
  <c r="K1368" i="6"/>
  <c r="K1367" i="6"/>
  <c r="K1366" i="6"/>
  <c r="K1365" i="6"/>
  <c r="K1364" i="6"/>
  <c r="K1363" i="6"/>
  <c r="K1362" i="6"/>
  <c r="K1361" i="6"/>
  <c r="K1360" i="6"/>
  <c r="K1359" i="6"/>
  <c r="K1358" i="6"/>
  <c r="K1357" i="6"/>
  <c r="K1356" i="6"/>
  <c r="K1355" i="6"/>
  <c r="K1354" i="6"/>
  <c r="K1353" i="6"/>
  <c r="K1352" i="6"/>
  <c r="K1351" i="6"/>
  <c r="K1350" i="6"/>
  <c r="K1349" i="6"/>
  <c r="K1348" i="6"/>
  <c r="K1347" i="6"/>
  <c r="K1346" i="6"/>
  <c r="K1345" i="6"/>
  <c r="K1344" i="6"/>
  <c r="K1343" i="6"/>
  <c r="K1342" i="6"/>
  <c r="K1341" i="6"/>
  <c r="K1340" i="6"/>
  <c r="K1339" i="6"/>
  <c r="K1338" i="6"/>
  <c r="K1337" i="6"/>
  <c r="K1336" i="6"/>
  <c r="K1335" i="6"/>
  <c r="K1334" i="6"/>
  <c r="K1333" i="6"/>
  <c r="K1332" i="6"/>
  <c r="K1331" i="6"/>
  <c r="K1330" i="6"/>
  <c r="K1329" i="6"/>
  <c r="K1328" i="6"/>
  <c r="K1327" i="6"/>
  <c r="K1326" i="6"/>
  <c r="K1325" i="6"/>
  <c r="K1324" i="6"/>
  <c r="K1323" i="6"/>
  <c r="K1322" i="6"/>
  <c r="K1321" i="6"/>
  <c r="K1320" i="6"/>
  <c r="K1319" i="6"/>
  <c r="K1318" i="6"/>
  <c r="K1317" i="6"/>
  <c r="K1316" i="6"/>
  <c r="K1315" i="6"/>
  <c r="K1314" i="6"/>
  <c r="K1313" i="6"/>
  <c r="K1312" i="6"/>
  <c r="K1311" i="6"/>
  <c r="K1310" i="6"/>
  <c r="K1309" i="6"/>
  <c r="K1308" i="6"/>
  <c r="K1307" i="6"/>
  <c r="K1306" i="6"/>
  <c r="K1305" i="6"/>
  <c r="K1304" i="6"/>
  <c r="K1303" i="6"/>
  <c r="K1302" i="6"/>
  <c r="K1301" i="6"/>
  <c r="K1300" i="6"/>
  <c r="K1299" i="6"/>
  <c r="K1298" i="6"/>
  <c r="K1297" i="6"/>
  <c r="K1296" i="6"/>
  <c r="K1295" i="6"/>
  <c r="K1294" i="6"/>
  <c r="K1293" i="6"/>
  <c r="K1292" i="6"/>
  <c r="K1291" i="6"/>
  <c r="K1290" i="6"/>
  <c r="K1289" i="6"/>
  <c r="K1288" i="6"/>
  <c r="K1287" i="6"/>
  <c r="K1286" i="6"/>
  <c r="K1285" i="6"/>
  <c r="K1284" i="6"/>
  <c r="K1283" i="6"/>
  <c r="K1282" i="6"/>
  <c r="K1281" i="6"/>
  <c r="K1280" i="6"/>
  <c r="K1279" i="6"/>
  <c r="K1278" i="6"/>
  <c r="K1277" i="6"/>
  <c r="K1276" i="6"/>
  <c r="K1275" i="6"/>
  <c r="K1274" i="6"/>
  <c r="K1273" i="6"/>
  <c r="K1272" i="6"/>
  <c r="K1271" i="6"/>
  <c r="K1270" i="6"/>
  <c r="K1269" i="6"/>
  <c r="K1268" i="6"/>
  <c r="K1267" i="6"/>
  <c r="K1266" i="6"/>
  <c r="K1265" i="6"/>
  <c r="K1264" i="6"/>
  <c r="K1263" i="6"/>
  <c r="K1262" i="6"/>
  <c r="K1261" i="6"/>
  <c r="K1260" i="6"/>
  <c r="K1259" i="6"/>
  <c r="K1258" i="6"/>
  <c r="K1257" i="6"/>
  <c r="K1256" i="6"/>
  <c r="K1255" i="6"/>
  <c r="K1254" i="6"/>
  <c r="K1253" i="6"/>
  <c r="K1252" i="6"/>
  <c r="K1251" i="6"/>
  <c r="K1250" i="6"/>
  <c r="K1249" i="6"/>
  <c r="K1248" i="6"/>
  <c r="K1247" i="6"/>
  <c r="K1246" i="6"/>
  <c r="K1245" i="6"/>
  <c r="K1244" i="6"/>
  <c r="K1243" i="6"/>
  <c r="K1242" i="6"/>
  <c r="K1241" i="6"/>
  <c r="K1240" i="6"/>
  <c r="K1239" i="6"/>
  <c r="K1238" i="6"/>
  <c r="K1237" i="6"/>
  <c r="K1236" i="6"/>
  <c r="K1235" i="6"/>
  <c r="K1234" i="6"/>
  <c r="K1233" i="6"/>
  <c r="K1232" i="6"/>
  <c r="K1231" i="6"/>
  <c r="K1230" i="6"/>
  <c r="K1229" i="6"/>
  <c r="K1228" i="6"/>
  <c r="K1227" i="6"/>
  <c r="K1226" i="6"/>
  <c r="K1225" i="6"/>
  <c r="K1224" i="6"/>
  <c r="K1223" i="6"/>
  <c r="K1222" i="6"/>
  <c r="K1221" i="6"/>
  <c r="K1220" i="6"/>
  <c r="K1219" i="6"/>
  <c r="K1218" i="6"/>
  <c r="K1217" i="6"/>
  <c r="K1216" i="6"/>
  <c r="K1215" i="6"/>
  <c r="K1214" i="6"/>
  <c r="K1213" i="6"/>
  <c r="K1212" i="6"/>
  <c r="K1211" i="6"/>
  <c r="K1210" i="6"/>
  <c r="K1209" i="6"/>
  <c r="K1208" i="6"/>
  <c r="K1207" i="6"/>
  <c r="K1206" i="6"/>
  <c r="K1205" i="6"/>
  <c r="K1204" i="6"/>
  <c r="K1203" i="6"/>
  <c r="K1202" i="6"/>
  <c r="K1201" i="6"/>
  <c r="K1200" i="6"/>
  <c r="K1199" i="6"/>
  <c r="K1198" i="6"/>
  <c r="K1197" i="6"/>
  <c r="K1196" i="6"/>
  <c r="K1195" i="6"/>
  <c r="K1194" i="6"/>
  <c r="K1193" i="6"/>
  <c r="K1192" i="6"/>
  <c r="K1191" i="6"/>
  <c r="K1190" i="6"/>
  <c r="K1189" i="6"/>
  <c r="K1188" i="6"/>
  <c r="K1187" i="6"/>
  <c r="K1186" i="6"/>
  <c r="K1185" i="6"/>
  <c r="K1184" i="6"/>
  <c r="K1183" i="6"/>
  <c r="K1182" i="6"/>
  <c r="K1181" i="6"/>
  <c r="K1180" i="6"/>
  <c r="K1179" i="6"/>
  <c r="K1178" i="6"/>
  <c r="K1177" i="6"/>
  <c r="K1176" i="6"/>
  <c r="K1175" i="6"/>
  <c r="K1174" i="6"/>
  <c r="K1173" i="6"/>
  <c r="K1172" i="6"/>
  <c r="K1171" i="6"/>
  <c r="K1170" i="6"/>
  <c r="K1169" i="6"/>
  <c r="K1168" i="6"/>
  <c r="K1167" i="6"/>
  <c r="K1166" i="6"/>
  <c r="K1165" i="6"/>
  <c r="K1164" i="6"/>
  <c r="K1163" i="6"/>
  <c r="K1162" i="6"/>
  <c r="K1161" i="6"/>
  <c r="K1160" i="6"/>
  <c r="K1159" i="6"/>
  <c r="K1158" i="6"/>
  <c r="K1157" i="6"/>
  <c r="K1156" i="6"/>
  <c r="K1155" i="6"/>
  <c r="K1154" i="6"/>
  <c r="K1153" i="6"/>
  <c r="K1152" i="6"/>
  <c r="K1151" i="6"/>
  <c r="K1150" i="6"/>
  <c r="K1149" i="6"/>
  <c r="K1148" i="6"/>
  <c r="K1147" i="6"/>
  <c r="K1146" i="6"/>
  <c r="K1145" i="6"/>
  <c r="K1144" i="6"/>
  <c r="K1143" i="6"/>
  <c r="K1142" i="6"/>
  <c r="K1141" i="6"/>
  <c r="K1140" i="6"/>
  <c r="K1139" i="6"/>
  <c r="K1138" i="6"/>
  <c r="K1137" i="6"/>
  <c r="K1136" i="6"/>
  <c r="K1135" i="6"/>
  <c r="K1134" i="6"/>
  <c r="K1133" i="6"/>
  <c r="K1132" i="6"/>
  <c r="K1131" i="6"/>
  <c r="K1130" i="6"/>
  <c r="K1129" i="6"/>
  <c r="K1128" i="6"/>
  <c r="K1127" i="6"/>
  <c r="K1126" i="6"/>
  <c r="K1125" i="6"/>
  <c r="K1124" i="6"/>
  <c r="K1123" i="6"/>
  <c r="K1122" i="6"/>
  <c r="K1121" i="6"/>
  <c r="K1120" i="6"/>
  <c r="K1119" i="6"/>
  <c r="K1118" i="6"/>
  <c r="K1117" i="6"/>
  <c r="K1116" i="6"/>
  <c r="K1115" i="6"/>
  <c r="K1114" i="6"/>
  <c r="K1113" i="6"/>
  <c r="K1112" i="6"/>
  <c r="K1111" i="6"/>
  <c r="K1110" i="6"/>
  <c r="K1109" i="6"/>
  <c r="K1108" i="6"/>
  <c r="K1107" i="6"/>
  <c r="K1106" i="6"/>
  <c r="K1105" i="6"/>
  <c r="K1104" i="6"/>
  <c r="K1103" i="6"/>
  <c r="K1102" i="6"/>
  <c r="K1101" i="6"/>
  <c r="K1100" i="6"/>
  <c r="K1099" i="6"/>
  <c r="K1098" i="6"/>
  <c r="K1097" i="6"/>
  <c r="K1096" i="6"/>
  <c r="K1095" i="6"/>
  <c r="K1094" i="6"/>
  <c r="K1093" i="6"/>
  <c r="K1092" i="6"/>
  <c r="K1091" i="6"/>
  <c r="K1090" i="6"/>
  <c r="K1089" i="6"/>
  <c r="K1088" i="6"/>
  <c r="K1087" i="6"/>
  <c r="K1086" i="6"/>
  <c r="K1085" i="6"/>
  <c r="K1084" i="6"/>
  <c r="K1083" i="6"/>
  <c r="K1082" i="6"/>
  <c r="K1081" i="6"/>
  <c r="K1080" i="6"/>
  <c r="K1079" i="6"/>
  <c r="K1078" i="6"/>
  <c r="K1077" i="6"/>
  <c r="K1076" i="6"/>
  <c r="K1075" i="6"/>
  <c r="K1074" i="6"/>
  <c r="K1073" i="6"/>
  <c r="K1072" i="6"/>
  <c r="K1071" i="6"/>
  <c r="K1070" i="6"/>
  <c r="K1069" i="6"/>
  <c r="K1068" i="6"/>
  <c r="K1067" i="6"/>
  <c r="K1066" i="6"/>
  <c r="K1065" i="6"/>
  <c r="K1064" i="6"/>
  <c r="K1063" i="6"/>
  <c r="K1062" i="6"/>
  <c r="K1061" i="6"/>
  <c r="K1060" i="6"/>
  <c r="K1059" i="6"/>
  <c r="K1058" i="6"/>
  <c r="K1057" i="6"/>
  <c r="K1056" i="6"/>
  <c r="K1055" i="6"/>
  <c r="K1054" i="6"/>
  <c r="K1053" i="6"/>
  <c r="K1052" i="6"/>
  <c r="K1051" i="6"/>
  <c r="K1050" i="6"/>
  <c r="K1049" i="6"/>
  <c r="K1048" i="6"/>
  <c r="K1047" i="6"/>
  <c r="K1046" i="6"/>
  <c r="K1045" i="6"/>
  <c r="K1044" i="6"/>
  <c r="K1043" i="6"/>
  <c r="K1042" i="6"/>
  <c r="K1041" i="6"/>
  <c r="K1040" i="6"/>
  <c r="K1039" i="6"/>
  <c r="K1038" i="6"/>
  <c r="K1037" i="6"/>
  <c r="K1036" i="6"/>
  <c r="K1035" i="6"/>
  <c r="K1034" i="6"/>
  <c r="K1033" i="6"/>
  <c r="K1032" i="6"/>
  <c r="K1031" i="6"/>
  <c r="K1030" i="6"/>
  <c r="K1029" i="6"/>
  <c r="K1028" i="6"/>
  <c r="K1027" i="6"/>
  <c r="K1026" i="6"/>
  <c r="K1025" i="6"/>
  <c r="K1024" i="6"/>
  <c r="K1023" i="6"/>
  <c r="K1022" i="6"/>
  <c r="K1021" i="6"/>
  <c r="K1020" i="6"/>
  <c r="K1019" i="6"/>
  <c r="K1018" i="6"/>
  <c r="K1017" i="6"/>
  <c r="K1016" i="6"/>
  <c r="K1015" i="6"/>
  <c r="K1014" i="6"/>
  <c r="K1013" i="6"/>
  <c r="K1012" i="6"/>
  <c r="K1011" i="6"/>
  <c r="K1010" i="6"/>
  <c r="K1009" i="6"/>
  <c r="K1008" i="6"/>
  <c r="K1007" i="6"/>
  <c r="K1006" i="6"/>
  <c r="K1005" i="6"/>
  <c r="K1004" i="6"/>
  <c r="K1003" i="6"/>
  <c r="K1002" i="6"/>
  <c r="K1001" i="6"/>
  <c r="K1000" i="6"/>
  <c r="K999" i="6"/>
  <c r="K998" i="6"/>
  <c r="K997" i="6"/>
  <c r="K996" i="6"/>
  <c r="K995" i="6"/>
  <c r="K994" i="6"/>
  <c r="K993" i="6"/>
  <c r="K992" i="6"/>
  <c r="K991" i="6"/>
  <c r="K990" i="6"/>
  <c r="K989" i="6"/>
  <c r="K988" i="6"/>
  <c r="K987" i="6"/>
  <c r="K986" i="6"/>
  <c r="K985" i="6"/>
  <c r="K984" i="6"/>
  <c r="K983" i="6"/>
  <c r="K982" i="6"/>
  <c r="K981" i="6"/>
  <c r="K980" i="6"/>
  <c r="K979" i="6"/>
  <c r="K978" i="6"/>
  <c r="K977" i="6"/>
  <c r="K976" i="6"/>
  <c r="K975" i="6"/>
  <c r="K974" i="6"/>
  <c r="K973" i="6"/>
  <c r="K972" i="6"/>
  <c r="K971" i="6"/>
  <c r="K970" i="6"/>
  <c r="K969" i="6"/>
  <c r="K968" i="6"/>
  <c r="K967" i="6"/>
  <c r="K966" i="6"/>
  <c r="K965" i="6"/>
  <c r="K964" i="6"/>
  <c r="K963" i="6"/>
  <c r="K962" i="6"/>
  <c r="K961" i="6"/>
  <c r="K960" i="6"/>
  <c r="K959" i="6"/>
  <c r="K958" i="6"/>
  <c r="K957" i="6"/>
  <c r="K956" i="6"/>
  <c r="K955" i="6"/>
  <c r="K954" i="6"/>
  <c r="K953" i="6"/>
  <c r="K952" i="6"/>
  <c r="K951" i="6"/>
  <c r="K950" i="6"/>
  <c r="K949" i="6"/>
  <c r="K948" i="6"/>
  <c r="K947" i="6"/>
  <c r="K946" i="6"/>
  <c r="K945" i="6"/>
  <c r="K944" i="6"/>
  <c r="K943" i="6"/>
  <c r="K942" i="6"/>
  <c r="K941" i="6"/>
  <c r="K940" i="6"/>
  <c r="K939" i="6"/>
  <c r="K938" i="6"/>
  <c r="K937" i="6"/>
  <c r="K936" i="6"/>
  <c r="K935" i="6"/>
  <c r="K934" i="6"/>
  <c r="K933" i="6"/>
  <c r="K932" i="6"/>
  <c r="K931" i="6"/>
  <c r="K930" i="6"/>
  <c r="K929" i="6"/>
  <c r="K928" i="6"/>
  <c r="K927" i="6"/>
  <c r="K926" i="6"/>
  <c r="K925" i="6"/>
  <c r="K924" i="6"/>
  <c r="K923" i="6"/>
  <c r="K922" i="6"/>
  <c r="K921" i="6"/>
  <c r="K920" i="6"/>
  <c r="K919" i="6"/>
  <c r="K918" i="6"/>
  <c r="K917" i="6"/>
  <c r="K916" i="6"/>
  <c r="K915" i="6"/>
  <c r="K914" i="6"/>
  <c r="K913" i="6"/>
  <c r="K912" i="6"/>
  <c r="K911" i="6"/>
  <c r="K910" i="6"/>
  <c r="K909" i="6"/>
  <c r="K908" i="6"/>
  <c r="K907" i="6"/>
  <c r="K906" i="6"/>
  <c r="K905" i="6"/>
  <c r="K904" i="6"/>
  <c r="K903" i="6"/>
  <c r="K902" i="6"/>
  <c r="K901" i="6"/>
  <c r="K900" i="6"/>
  <c r="K899" i="6"/>
  <c r="K898" i="6"/>
  <c r="K897" i="6"/>
  <c r="K896" i="6"/>
  <c r="K895" i="6"/>
  <c r="K894" i="6"/>
  <c r="K893" i="6"/>
  <c r="K892" i="6"/>
  <c r="K891" i="6"/>
  <c r="K890" i="6"/>
  <c r="K889" i="6"/>
  <c r="K888" i="6"/>
  <c r="K887" i="6"/>
  <c r="K886" i="6"/>
  <c r="K885" i="6"/>
  <c r="K884" i="6"/>
  <c r="K883" i="6"/>
  <c r="K882" i="6"/>
  <c r="K881" i="6"/>
  <c r="K880" i="6"/>
  <c r="K879" i="6"/>
  <c r="K878" i="6"/>
  <c r="K877" i="6"/>
  <c r="K876" i="6"/>
  <c r="K875" i="6"/>
  <c r="K874" i="6"/>
  <c r="K873" i="6"/>
  <c r="K872" i="6"/>
  <c r="K871" i="6"/>
  <c r="K870" i="6"/>
  <c r="K869" i="6"/>
  <c r="K868" i="6"/>
  <c r="K867" i="6"/>
  <c r="K866" i="6"/>
  <c r="K865" i="6"/>
  <c r="K864" i="6"/>
  <c r="K863" i="6"/>
  <c r="K862" i="6"/>
  <c r="K861" i="6"/>
  <c r="K860" i="6"/>
  <c r="K859" i="6"/>
  <c r="K858" i="6"/>
  <c r="K857" i="6"/>
  <c r="K856" i="6"/>
  <c r="K855" i="6"/>
  <c r="K854" i="6"/>
  <c r="K853" i="6"/>
  <c r="K852" i="6"/>
  <c r="K851" i="6"/>
  <c r="K850" i="6"/>
  <c r="K849" i="6"/>
  <c r="K848" i="6"/>
  <c r="K847" i="6"/>
  <c r="K846" i="6"/>
  <c r="K845" i="6"/>
  <c r="K844" i="6"/>
  <c r="K843" i="6"/>
  <c r="K842" i="6"/>
  <c r="K841" i="6"/>
  <c r="K840" i="6"/>
  <c r="K839" i="6"/>
  <c r="K838" i="6"/>
  <c r="K837" i="6"/>
  <c r="K836" i="6"/>
  <c r="K835" i="6"/>
  <c r="K834" i="6"/>
  <c r="K833" i="6"/>
  <c r="K832" i="6"/>
  <c r="K831" i="6"/>
  <c r="K830" i="6"/>
  <c r="K829" i="6"/>
  <c r="K828" i="6"/>
  <c r="K827" i="6"/>
  <c r="K826" i="6"/>
  <c r="K825" i="6"/>
  <c r="K824" i="6"/>
  <c r="K823" i="6"/>
  <c r="K822" i="6"/>
  <c r="K821" i="6"/>
  <c r="K820" i="6"/>
  <c r="K819" i="6"/>
  <c r="K818" i="6"/>
  <c r="K817" i="6"/>
  <c r="K816" i="6"/>
  <c r="K815" i="6"/>
  <c r="K814" i="6"/>
  <c r="K813" i="6"/>
  <c r="K812" i="6"/>
  <c r="K811" i="6"/>
  <c r="K810" i="6"/>
  <c r="K809" i="6"/>
  <c r="K808" i="6"/>
  <c r="K807" i="6"/>
  <c r="K806" i="6"/>
  <c r="K805" i="6"/>
  <c r="K804" i="6"/>
  <c r="K803" i="6"/>
  <c r="K802" i="6"/>
  <c r="K801" i="6"/>
  <c r="K800" i="6"/>
  <c r="K799" i="6"/>
  <c r="K798" i="6"/>
  <c r="K797" i="6"/>
  <c r="K796" i="6"/>
  <c r="K795" i="6"/>
  <c r="K794" i="6"/>
  <c r="K793" i="6"/>
  <c r="K792" i="6"/>
  <c r="K791" i="6"/>
  <c r="K790" i="6"/>
  <c r="K789" i="6"/>
  <c r="K788" i="6"/>
  <c r="K787" i="6"/>
  <c r="K786" i="6"/>
  <c r="K785" i="6"/>
  <c r="K784" i="6"/>
  <c r="K783" i="6"/>
  <c r="K782" i="6"/>
  <c r="K781" i="6"/>
  <c r="K780" i="6"/>
  <c r="K779" i="6"/>
  <c r="K778" i="6"/>
  <c r="K777" i="6"/>
  <c r="K776" i="6"/>
  <c r="K775" i="6"/>
  <c r="K774" i="6"/>
  <c r="K773" i="6"/>
  <c r="K772" i="6"/>
  <c r="K771" i="6"/>
  <c r="K770" i="6"/>
  <c r="K769" i="6"/>
  <c r="K768" i="6"/>
  <c r="K767" i="6"/>
  <c r="K766" i="6"/>
  <c r="K765" i="6"/>
  <c r="K764" i="6"/>
  <c r="K763" i="6"/>
  <c r="K762" i="6"/>
  <c r="K761" i="6"/>
  <c r="K760" i="6"/>
  <c r="K759" i="6"/>
  <c r="K758" i="6"/>
  <c r="K757" i="6"/>
  <c r="K756" i="6"/>
  <c r="K755" i="6"/>
  <c r="K754" i="6"/>
  <c r="K753" i="6"/>
  <c r="K752" i="6"/>
  <c r="K751" i="6"/>
  <c r="K750" i="6"/>
  <c r="K749" i="6"/>
  <c r="K748" i="6"/>
  <c r="K747" i="6"/>
  <c r="K746" i="6"/>
  <c r="K745" i="6"/>
  <c r="K744" i="6"/>
  <c r="K743" i="6"/>
  <c r="K742" i="6"/>
  <c r="K741" i="6"/>
  <c r="K740" i="6"/>
  <c r="K739" i="6"/>
  <c r="K738" i="6"/>
  <c r="K737" i="6"/>
  <c r="K736" i="6"/>
  <c r="K735" i="6"/>
  <c r="K734" i="6"/>
  <c r="K733" i="6"/>
  <c r="K732" i="6"/>
  <c r="K731" i="6"/>
  <c r="K730" i="6"/>
  <c r="K729" i="6"/>
  <c r="K728" i="6"/>
  <c r="K727" i="6"/>
  <c r="K726" i="6"/>
  <c r="K725" i="6"/>
  <c r="K724" i="6"/>
  <c r="K723" i="6"/>
  <c r="K722" i="6"/>
  <c r="K721" i="6"/>
  <c r="K720" i="6"/>
  <c r="K719" i="6"/>
  <c r="K718" i="6"/>
  <c r="K717" i="6"/>
  <c r="K716" i="6"/>
  <c r="K715" i="6"/>
  <c r="K714" i="6"/>
  <c r="K713" i="6"/>
  <c r="K712" i="6"/>
  <c r="K711" i="6"/>
  <c r="K710" i="6"/>
  <c r="K709" i="6"/>
  <c r="K708" i="6"/>
  <c r="K707" i="6"/>
  <c r="K706" i="6"/>
  <c r="K705" i="6"/>
  <c r="K704" i="6"/>
  <c r="K703" i="6"/>
  <c r="K702" i="6"/>
  <c r="K701" i="6"/>
  <c r="K700" i="6"/>
  <c r="K699" i="6"/>
  <c r="K698" i="6"/>
  <c r="K697" i="6"/>
  <c r="K696" i="6"/>
  <c r="K695" i="6"/>
  <c r="K694" i="6"/>
  <c r="K693" i="6"/>
  <c r="K692" i="6"/>
  <c r="K691" i="6"/>
  <c r="K690" i="6"/>
  <c r="K689" i="6"/>
  <c r="K688" i="6"/>
  <c r="K687" i="6"/>
  <c r="K686" i="6"/>
  <c r="K685" i="6"/>
  <c r="K684" i="6"/>
  <c r="K683" i="6"/>
  <c r="K682" i="6"/>
  <c r="K681" i="6"/>
  <c r="K680" i="6"/>
  <c r="K679" i="6"/>
  <c r="K678" i="6"/>
  <c r="K677" i="6"/>
  <c r="K676" i="6"/>
  <c r="K675" i="6"/>
  <c r="K674" i="6"/>
  <c r="K673" i="6"/>
  <c r="K672" i="6"/>
  <c r="K671" i="6"/>
  <c r="K670" i="6"/>
  <c r="K669" i="6"/>
  <c r="K668" i="6"/>
  <c r="K667" i="6"/>
  <c r="K666" i="6"/>
  <c r="K665" i="6"/>
  <c r="K664" i="6"/>
  <c r="K663" i="6"/>
  <c r="K662" i="6"/>
  <c r="K661" i="6"/>
  <c r="K660" i="6"/>
  <c r="K659" i="6"/>
  <c r="K658" i="6"/>
  <c r="K657" i="6"/>
  <c r="K656" i="6"/>
  <c r="K655" i="6"/>
  <c r="K654" i="6"/>
  <c r="K653" i="6"/>
  <c r="K652" i="6"/>
  <c r="K651" i="6"/>
  <c r="K650" i="6"/>
  <c r="K649" i="6"/>
  <c r="K648" i="6"/>
  <c r="K647" i="6"/>
  <c r="K646" i="6"/>
  <c r="K645" i="6"/>
  <c r="K644" i="6"/>
  <c r="K643" i="6"/>
  <c r="K642" i="6"/>
  <c r="K641" i="6"/>
  <c r="K640" i="6"/>
  <c r="K639" i="6"/>
  <c r="K638" i="6"/>
  <c r="K637" i="6"/>
  <c r="K636" i="6"/>
  <c r="K635" i="6"/>
  <c r="K634" i="6"/>
  <c r="K633" i="6"/>
  <c r="K632" i="6"/>
  <c r="K631" i="6"/>
  <c r="K630" i="6"/>
  <c r="K629" i="6"/>
  <c r="K628" i="6"/>
  <c r="K627" i="6"/>
  <c r="K626" i="6"/>
  <c r="K625" i="6"/>
  <c r="K624" i="6"/>
  <c r="K623" i="6"/>
  <c r="K622" i="6"/>
  <c r="K621" i="6"/>
  <c r="K620" i="6"/>
  <c r="K619" i="6"/>
  <c r="K618" i="6"/>
  <c r="K617" i="6"/>
  <c r="K616" i="6"/>
  <c r="K615" i="6"/>
  <c r="K614" i="6"/>
  <c r="K613" i="6"/>
  <c r="K612" i="6"/>
  <c r="K611" i="6"/>
  <c r="K610" i="6"/>
  <c r="K609" i="6"/>
  <c r="K608" i="6"/>
  <c r="K607" i="6"/>
  <c r="K606" i="6"/>
  <c r="K605" i="6"/>
  <c r="K604" i="6"/>
  <c r="K603" i="6"/>
  <c r="K602" i="6"/>
  <c r="K601" i="6"/>
  <c r="K600" i="6"/>
  <c r="K599" i="6"/>
  <c r="K598" i="6"/>
  <c r="K597" i="6"/>
  <c r="K596" i="6"/>
  <c r="K595" i="6"/>
  <c r="K594" i="6"/>
  <c r="K593" i="6"/>
  <c r="K592" i="6"/>
  <c r="K591" i="6"/>
  <c r="K590" i="6"/>
  <c r="K589" i="6"/>
  <c r="K588" i="6"/>
  <c r="K587" i="6"/>
  <c r="K586" i="6"/>
  <c r="K585" i="6"/>
  <c r="K584" i="6"/>
  <c r="K583" i="6"/>
  <c r="K582" i="6"/>
  <c r="K581" i="6"/>
  <c r="K580" i="6"/>
  <c r="K579" i="6"/>
  <c r="K578" i="6"/>
  <c r="K577" i="6"/>
  <c r="K576" i="6"/>
  <c r="K575" i="6"/>
  <c r="K574" i="6"/>
  <c r="K573" i="6"/>
  <c r="K572" i="6"/>
  <c r="K571" i="6"/>
  <c r="K570" i="6"/>
  <c r="K569" i="6"/>
  <c r="K568" i="6"/>
  <c r="K567" i="6"/>
  <c r="K566" i="6"/>
  <c r="K565" i="6"/>
  <c r="K564" i="6"/>
  <c r="K563" i="6"/>
  <c r="K562" i="6"/>
  <c r="K561" i="6"/>
  <c r="K560" i="6"/>
  <c r="K559" i="6"/>
  <c r="K558" i="6"/>
  <c r="K557" i="6"/>
  <c r="K556" i="6"/>
  <c r="K555" i="6"/>
  <c r="K554" i="6"/>
  <c r="K553" i="6"/>
  <c r="K552" i="6"/>
  <c r="K551" i="6"/>
  <c r="K550" i="6"/>
  <c r="K549" i="6"/>
  <c r="K548" i="6"/>
  <c r="K547" i="6"/>
  <c r="K546" i="6"/>
  <c r="K545" i="6"/>
  <c r="K544" i="6"/>
  <c r="K543" i="6"/>
  <c r="K542" i="6"/>
  <c r="K541" i="6"/>
  <c r="K540" i="6"/>
  <c r="K539" i="6"/>
  <c r="K538" i="6"/>
  <c r="K537" i="6"/>
  <c r="K536" i="6"/>
  <c r="K535" i="6"/>
  <c r="K534" i="6"/>
  <c r="K533" i="6"/>
  <c r="K532" i="6"/>
  <c r="K531" i="6"/>
  <c r="K530" i="6"/>
  <c r="K529" i="6"/>
  <c r="K528" i="6"/>
  <c r="K527" i="6"/>
  <c r="K526" i="6"/>
  <c r="K525" i="6"/>
  <c r="K524" i="6"/>
  <c r="K523" i="6"/>
  <c r="K522" i="6"/>
  <c r="K521" i="6"/>
  <c r="K520" i="6"/>
  <c r="K519" i="6"/>
  <c r="K518" i="6"/>
  <c r="K517" i="6"/>
  <c r="K516" i="6"/>
  <c r="K515" i="6"/>
  <c r="K514" i="6"/>
  <c r="K513" i="6"/>
  <c r="K512" i="6"/>
  <c r="K511" i="6"/>
  <c r="K510" i="6"/>
  <c r="K509" i="6"/>
  <c r="K508" i="6"/>
  <c r="K507" i="6"/>
  <c r="K506" i="6"/>
  <c r="K505" i="6"/>
  <c r="K504" i="6"/>
  <c r="K503" i="6"/>
  <c r="K502" i="6"/>
  <c r="K501" i="6"/>
  <c r="K500" i="6"/>
  <c r="K499" i="6"/>
  <c r="K498" i="6"/>
  <c r="K497" i="6"/>
  <c r="K496" i="6"/>
  <c r="K495" i="6"/>
  <c r="K494" i="6"/>
  <c r="K493" i="6"/>
  <c r="K492" i="6"/>
  <c r="K491" i="6"/>
  <c r="K490" i="6"/>
  <c r="K489" i="6"/>
  <c r="K488" i="6"/>
  <c r="K487" i="6"/>
  <c r="K486" i="6"/>
  <c r="K485" i="6"/>
  <c r="K484" i="6"/>
  <c r="K483" i="6"/>
  <c r="K482" i="6"/>
  <c r="K481" i="6"/>
  <c r="K480" i="6"/>
  <c r="K479" i="6"/>
  <c r="K478" i="6"/>
  <c r="K477" i="6"/>
  <c r="K476" i="6"/>
  <c r="K475" i="6"/>
  <c r="K474" i="6"/>
  <c r="K473" i="6"/>
  <c r="K472" i="6"/>
  <c r="K471" i="6"/>
  <c r="K470" i="6"/>
  <c r="K469" i="6"/>
  <c r="K468" i="6"/>
  <c r="K467" i="6"/>
  <c r="K466" i="6"/>
  <c r="K465" i="6"/>
  <c r="K464" i="6"/>
  <c r="K463" i="6"/>
  <c r="K462" i="6"/>
  <c r="K461" i="6"/>
  <c r="K460" i="6"/>
  <c r="K459" i="6"/>
  <c r="K458" i="6"/>
  <c r="K457" i="6"/>
  <c r="K456" i="6"/>
  <c r="K455" i="6"/>
  <c r="K454" i="6"/>
  <c r="K453" i="6"/>
  <c r="K452" i="6"/>
  <c r="K451" i="6"/>
  <c r="K450" i="6"/>
  <c r="K449" i="6"/>
  <c r="K448" i="6"/>
  <c r="K447" i="6"/>
  <c r="K446" i="6"/>
  <c r="K445" i="6"/>
  <c r="K444" i="6"/>
  <c r="K443" i="6"/>
  <c r="K442" i="6"/>
  <c r="K441" i="6"/>
  <c r="K440" i="6"/>
  <c r="K439" i="6"/>
  <c r="K438" i="6"/>
  <c r="K437" i="6"/>
  <c r="K436" i="6"/>
  <c r="K435" i="6"/>
  <c r="K434" i="6"/>
  <c r="K433" i="6"/>
  <c r="K432" i="6"/>
  <c r="K431" i="6"/>
  <c r="K430" i="6"/>
  <c r="K429" i="6"/>
  <c r="K428" i="6"/>
  <c r="K427" i="6"/>
  <c r="K426" i="6"/>
  <c r="K425" i="6"/>
  <c r="K424" i="6"/>
  <c r="K423" i="6"/>
  <c r="K422" i="6"/>
  <c r="K421" i="6"/>
  <c r="K420" i="6"/>
  <c r="K419" i="6"/>
  <c r="K418" i="6"/>
  <c r="K417" i="6"/>
  <c r="K416" i="6"/>
  <c r="K415" i="6"/>
  <c r="K414" i="6"/>
  <c r="K413" i="6"/>
  <c r="K412" i="6"/>
  <c r="K411" i="6"/>
  <c r="K410" i="6"/>
  <c r="K409" i="6"/>
  <c r="K408" i="6"/>
  <c r="K407" i="6"/>
  <c r="K406" i="6"/>
  <c r="K405" i="6"/>
  <c r="K404" i="6"/>
  <c r="K403" i="6"/>
  <c r="K402" i="6"/>
  <c r="K401" i="6"/>
  <c r="K400" i="6"/>
  <c r="K399" i="6"/>
  <c r="K398" i="6"/>
  <c r="K397" i="6"/>
  <c r="K396" i="6"/>
  <c r="K395" i="6"/>
  <c r="K394" i="6"/>
  <c r="K393" i="6"/>
  <c r="K392" i="6"/>
  <c r="K391" i="6"/>
  <c r="K390" i="6"/>
  <c r="K389" i="6"/>
  <c r="K388" i="6"/>
  <c r="K387" i="6"/>
  <c r="K386" i="6"/>
  <c r="K385" i="6"/>
  <c r="K384" i="6"/>
  <c r="K383" i="6"/>
  <c r="K382" i="6"/>
  <c r="K381" i="6"/>
  <c r="K380" i="6"/>
  <c r="K379" i="6"/>
  <c r="K378" i="6"/>
  <c r="K377" i="6"/>
  <c r="K376" i="6"/>
  <c r="K375" i="6"/>
  <c r="K374" i="6"/>
  <c r="K373" i="6"/>
  <c r="K372" i="6"/>
  <c r="K371" i="6"/>
  <c r="K370" i="6"/>
  <c r="K369" i="6"/>
  <c r="K368" i="6"/>
  <c r="K367" i="6"/>
  <c r="K366" i="6"/>
  <c r="K365" i="6"/>
  <c r="K364" i="6"/>
  <c r="K363" i="6"/>
  <c r="K362" i="6"/>
  <c r="K361" i="6"/>
  <c r="K360" i="6"/>
  <c r="K359" i="6"/>
  <c r="K358" i="6"/>
  <c r="K357" i="6"/>
  <c r="K356" i="6"/>
  <c r="K355" i="6"/>
  <c r="K354" i="6"/>
  <c r="K353" i="6"/>
  <c r="K352" i="6"/>
  <c r="K351" i="6"/>
  <c r="K350" i="6"/>
  <c r="K349" i="6"/>
  <c r="K348" i="6"/>
  <c r="K347" i="6"/>
  <c r="K346" i="6"/>
  <c r="K345" i="6"/>
  <c r="K344" i="6"/>
  <c r="K343" i="6"/>
  <c r="K342" i="6"/>
  <c r="K341" i="6"/>
  <c r="K340" i="6"/>
  <c r="K339" i="6"/>
  <c r="K338" i="6"/>
  <c r="K337" i="6"/>
  <c r="K336" i="6"/>
  <c r="K335" i="6"/>
  <c r="K334" i="6"/>
  <c r="K333" i="6"/>
  <c r="K332" i="6"/>
  <c r="K331" i="6"/>
  <c r="K330" i="6"/>
  <c r="K329" i="6"/>
  <c r="K328" i="6"/>
  <c r="K327" i="6"/>
  <c r="K326" i="6"/>
  <c r="K325" i="6"/>
  <c r="K324" i="6"/>
  <c r="K323" i="6"/>
  <c r="K322" i="6"/>
  <c r="K321" i="6"/>
  <c r="K320" i="6"/>
  <c r="K319" i="6"/>
  <c r="K318" i="6"/>
  <c r="K317" i="6"/>
  <c r="K316" i="6"/>
  <c r="K315" i="6"/>
  <c r="K314" i="6"/>
  <c r="K313" i="6"/>
  <c r="K312" i="6"/>
  <c r="K311" i="6"/>
  <c r="K310" i="6"/>
  <c r="K309" i="6"/>
  <c r="K308" i="6"/>
  <c r="K307" i="6"/>
  <c r="K306" i="6"/>
  <c r="K305" i="6"/>
  <c r="K304" i="6"/>
  <c r="K303" i="6"/>
  <c r="K302" i="6"/>
  <c r="K301" i="6"/>
  <c r="K300" i="6"/>
  <c r="K299" i="6"/>
  <c r="K298" i="6"/>
  <c r="K297" i="6"/>
  <c r="K296" i="6"/>
  <c r="K295" i="6"/>
  <c r="K294" i="6"/>
  <c r="K293" i="6"/>
  <c r="K292" i="6"/>
  <c r="K291" i="6"/>
  <c r="K290" i="6"/>
  <c r="K289" i="6"/>
  <c r="K288" i="6"/>
  <c r="K287" i="6"/>
  <c r="K286" i="6"/>
  <c r="K285" i="6"/>
  <c r="K284" i="6"/>
  <c r="K283" i="6"/>
  <c r="K282" i="6"/>
  <c r="K281" i="6"/>
  <c r="K280" i="6"/>
  <c r="K279" i="6"/>
  <c r="K278" i="6"/>
  <c r="K277" i="6"/>
  <c r="K276" i="6"/>
  <c r="K275" i="6"/>
  <c r="K274" i="6"/>
  <c r="K273" i="6"/>
  <c r="K272" i="6"/>
  <c r="K271" i="6"/>
  <c r="K270" i="6"/>
  <c r="K269" i="6"/>
  <c r="K268" i="6"/>
  <c r="K267" i="6"/>
  <c r="K266" i="6"/>
  <c r="K265" i="6"/>
  <c r="K264" i="6"/>
  <c r="K263" i="6"/>
  <c r="K262" i="6"/>
  <c r="K261" i="6"/>
  <c r="K260" i="6"/>
  <c r="K259" i="6"/>
  <c r="K258" i="6"/>
  <c r="K257" i="6"/>
  <c r="K256" i="6"/>
  <c r="K255" i="6"/>
  <c r="K254" i="6"/>
  <c r="K253" i="6"/>
  <c r="K252" i="6"/>
  <c r="K251" i="6"/>
  <c r="K250" i="6"/>
  <c r="K249" i="6"/>
  <c r="K248" i="6"/>
  <c r="K247" i="6"/>
  <c r="K246" i="6"/>
  <c r="K245" i="6"/>
  <c r="K244" i="6"/>
  <c r="K243" i="6"/>
  <c r="K242" i="6"/>
  <c r="K241" i="6"/>
  <c r="K240" i="6"/>
  <c r="K239" i="6"/>
  <c r="K238" i="6"/>
  <c r="K237" i="6"/>
  <c r="K236" i="6"/>
  <c r="K235" i="6"/>
  <c r="K234" i="6"/>
  <c r="K233" i="6"/>
  <c r="K232" i="6"/>
  <c r="K231" i="6"/>
  <c r="K230" i="6"/>
  <c r="K229" i="6"/>
  <c r="K228" i="6"/>
  <c r="K227" i="6"/>
  <c r="K226" i="6"/>
  <c r="K225" i="6"/>
  <c r="K224" i="6"/>
  <c r="K223" i="6"/>
  <c r="K222" i="6"/>
  <c r="K221" i="6"/>
  <c r="K220" i="6"/>
  <c r="K219" i="6"/>
  <c r="K218" i="6"/>
  <c r="K217" i="6"/>
  <c r="K216" i="6"/>
  <c r="K215" i="6"/>
  <c r="K214" i="6"/>
  <c r="K213" i="6"/>
  <c r="K212" i="6"/>
  <c r="K211" i="6"/>
  <c r="K210" i="6"/>
  <c r="K209" i="6"/>
  <c r="K208" i="6"/>
  <c r="K207" i="6"/>
  <c r="K206" i="6"/>
  <c r="K205" i="6"/>
  <c r="K204" i="6"/>
  <c r="K203" i="6"/>
  <c r="K202" i="6"/>
  <c r="K201" i="6"/>
  <c r="K200" i="6"/>
  <c r="K199" i="6"/>
  <c r="K198" i="6"/>
  <c r="K197" i="6"/>
  <c r="K196" i="6"/>
  <c r="K195" i="6"/>
  <c r="K194" i="6"/>
  <c r="K193" i="6"/>
  <c r="K192" i="6"/>
  <c r="K191" i="6"/>
  <c r="K190" i="6"/>
  <c r="K189" i="6"/>
  <c r="K188" i="6"/>
  <c r="K187" i="6"/>
  <c r="K186" i="6"/>
  <c r="K185" i="6"/>
  <c r="K184" i="6"/>
  <c r="K183" i="6"/>
  <c r="K182" i="6"/>
  <c r="K181" i="6"/>
  <c r="K180" i="6"/>
  <c r="K179" i="6"/>
  <c r="K178" i="6"/>
  <c r="K177" i="6"/>
  <c r="K176" i="6"/>
  <c r="K175" i="6"/>
  <c r="K174" i="6"/>
  <c r="K173" i="6"/>
  <c r="K172" i="6"/>
  <c r="K171" i="6"/>
  <c r="K170" i="6"/>
  <c r="K169" i="6"/>
  <c r="K168" i="6"/>
  <c r="K167" i="6"/>
  <c r="K166" i="6"/>
  <c r="K165" i="6"/>
  <c r="K164" i="6"/>
  <c r="K163" i="6"/>
  <c r="K162" i="6"/>
  <c r="K161" i="6"/>
  <c r="K160" i="6"/>
  <c r="K159" i="6"/>
  <c r="K158" i="6"/>
  <c r="K157" i="6"/>
  <c r="K156" i="6"/>
  <c r="K155" i="6"/>
  <c r="K154" i="6"/>
  <c r="K153" i="6"/>
  <c r="K152" i="6"/>
  <c r="K151" i="6"/>
  <c r="K150" i="6"/>
  <c r="K149" i="6"/>
  <c r="K148" i="6"/>
  <c r="K147" i="6"/>
  <c r="K146" i="6"/>
  <c r="K145" i="6"/>
  <c r="K144" i="6"/>
  <c r="K143" i="6"/>
  <c r="K142" i="6"/>
  <c r="K141" i="6"/>
  <c r="K140" i="6"/>
  <c r="K139" i="6"/>
  <c r="K138" i="6"/>
  <c r="K137" i="6"/>
  <c r="K136" i="6"/>
  <c r="K135" i="6"/>
  <c r="K134" i="6"/>
  <c r="K133" i="6"/>
  <c r="K132" i="6"/>
  <c r="K131" i="6"/>
  <c r="K130" i="6"/>
  <c r="K129" i="6"/>
  <c r="K128" i="6"/>
  <c r="K127" i="6"/>
  <c r="K126" i="6"/>
  <c r="K125" i="6"/>
  <c r="K124" i="6"/>
  <c r="K123" i="6"/>
  <c r="K122" i="6"/>
  <c r="K121" i="6"/>
  <c r="K120" i="6"/>
  <c r="K119" i="6"/>
  <c r="K118" i="6"/>
  <c r="K117" i="6"/>
  <c r="K116" i="6"/>
  <c r="K115" i="6"/>
  <c r="K114" i="6"/>
  <c r="K113" i="6"/>
  <c r="K112" i="6"/>
  <c r="K111" i="6"/>
  <c r="K110" i="6"/>
  <c r="K109" i="6"/>
  <c r="K108" i="6"/>
  <c r="K107" i="6"/>
  <c r="K106" i="6"/>
  <c r="K105" i="6"/>
  <c r="K104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55" i="6"/>
  <c r="K54" i="6"/>
  <c r="K53" i="6"/>
  <c r="K52" i="6"/>
  <c r="K51" i="6"/>
  <c r="K50" i="6"/>
  <c r="K49" i="6"/>
  <c r="K48" i="6"/>
  <c r="K47" i="6"/>
  <c r="K46" i="6"/>
  <c r="K45" i="6"/>
  <c r="K44" i="6"/>
  <c r="K43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I2000" i="6"/>
  <c r="I1999" i="6"/>
  <c r="I1998" i="6"/>
  <c r="I1997" i="6"/>
  <c r="I1996" i="6"/>
  <c r="I1995" i="6"/>
  <c r="I1994" i="6"/>
  <c r="I1993" i="6"/>
  <c r="I1992" i="6"/>
  <c r="I1991" i="6"/>
  <c r="I1990" i="6"/>
  <c r="I1989" i="6"/>
  <c r="I1988" i="6"/>
  <c r="I1987" i="6"/>
  <c r="I1986" i="6"/>
  <c r="I1985" i="6"/>
  <c r="I1984" i="6"/>
  <c r="I1983" i="6"/>
  <c r="I1982" i="6"/>
  <c r="I1981" i="6"/>
  <c r="I1980" i="6"/>
  <c r="I1979" i="6"/>
  <c r="I1978" i="6"/>
  <c r="I1977" i="6"/>
  <c r="I1976" i="6"/>
  <c r="I1975" i="6"/>
  <c r="I1974" i="6"/>
  <c r="I1973" i="6"/>
  <c r="I1972" i="6"/>
  <c r="I1971" i="6"/>
  <c r="I1970" i="6"/>
  <c r="I1969" i="6"/>
  <c r="I1968" i="6"/>
  <c r="I1967" i="6"/>
  <c r="I1966" i="6"/>
  <c r="I1965" i="6"/>
  <c r="I1964" i="6"/>
  <c r="I1963" i="6"/>
  <c r="I1962" i="6"/>
  <c r="I1961" i="6"/>
  <c r="I1960" i="6"/>
  <c r="I1959" i="6"/>
  <c r="I1958" i="6"/>
  <c r="I1957" i="6"/>
  <c r="I1956" i="6"/>
  <c r="I1955" i="6"/>
  <c r="I1954" i="6"/>
  <c r="I1953" i="6"/>
  <c r="I1952" i="6"/>
  <c r="I1951" i="6"/>
  <c r="I1950" i="6"/>
  <c r="I1949" i="6"/>
  <c r="I1948" i="6"/>
  <c r="I1947" i="6"/>
  <c r="I1946" i="6"/>
  <c r="I1945" i="6"/>
  <c r="I1944" i="6"/>
  <c r="I1943" i="6"/>
  <c r="I1942" i="6"/>
  <c r="I1941" i="6"/>
  <c r="I1940" i="6"/>
  <c r="I1939" i="6"/>
  <c r="I1938" i="6"/>
  <c r="I1937" i="6"/>
  <c r="I1936" i="6"/>
  <c r="I1935" i="6"/>
  <c r="I1934" i="6"/>
  <c r="I1933" i="6"/>
  <c r="I1932" i="6"/>
  <c r="I1931" i="6"/>
  <c r="I1930" i="6"/>
  <c r="I1929" i="6"/>
  <c r="I1928" i="6"/>
  <c r="I1927" i="6"/>
  <c r="I1926" i="6"/>
  <c r="I1925" i="6"/>
  <c r="I1924" i="6"/>
  <c r="I1923" i="6"/>
  <c r="I1922" i="6"/>
  <c r="I1921" i="6"/>
  <c r="I1920" i="6"/>
  <c r="I1919" i="6"/>
  <c r="I1918" i="6"/>
  <c r="I1917" i="6"/>
  <c r="I1916" i="6"/>
  <c r="I1915" i="6"/>
  <c r="I1914" i="6"/>
  <c r="I1913" i="6"/>
  <c r="I1912" i="6"/>
  <c r="I1911" i="6"/>
  <c r="I1910" i="6"/>
  <c r="I1909" i="6"/>
  <c r="I1908" i="6"/>
  <c r="I1907" i="6"/>
  <c r="I1906" i="6"/>
  <c r="I1905" i="6"/>
  <c r="I1904" i="6"/>
  <c r="I1903" i="6"/>
  <c r="I1902" i="6"/>
  <c r="I1901" i="6"/>
  <c r="I1900" i="6"/>
  <c r="I1899" i="6"/>
  <c r="I1898" i="6"/>
  <c r="I1897" i="6"/>
  <c r="I1896" i="6"/>
  <c r="I1895" i="6"/>
  <c r="I1894" i="6"/>
  <c r="I1893" i="6"/>
  <c r="I1892" i="6"/>
  <c r="I1891" i="6"/>
  <c r="I1890" i="6"/>
  <c r="I1889" i="6"/>
  <c r="I1888" i="6"/>
  <c r="I1887" i="6"/>
  <c r="I1886" i="6"/>
  <c r="I1885" i="6"/>
  <c r="I1884" i="6"/>
  <c r="I1883" i="6"/>
  <c r="I1882" i="6"/>
  <c r="I1881" i="6"/>
  <c r="I1880" i="6"/>
  <c r="I1879" i="6"/>
  <c r="I1878" i="6"/>
  <c r="I1877" i="6"/>
  <c r="I1876" i="6"/>
  <c r="I1875" i="6"/>
  <c r="I1874" i="6"/>
  <c r="I1873" i="6"/>
  <c r="I1872" i="6"/>
  <c r="I1871" i="6"/>
  <c r="I1870" i="6"/>
  <c r="I1869" i="6"/>
  <c r="I1868" i="6"/>
  <c r="I1867" i="6"/>
  <c r="I1866" i="6"/>
  <c r="I1865" i="6"/>
  <c r="I1864" i="6"/>
  <c r="I1863" i="6"/>
  <c r="I1862" i="6"/>
  <c r="I1861" i="6"/>
  <c r="I1860" i="6"/>
  <c r="I1859" i="6"/>
  <c r="I1858" i="6"/>
  <c r="I1857" i="6"/>
  <c r="I1856" i="6"/>
  <c r="I1855" i="6"/>
  <c r="I1854" i="6"/>
  <c r="I1853" i="6"/>
  <c r="I1852" i="6"/>
  <c r="I1851" i="6"/>
  <c r="I1850" i="6"/>
  <c r="I1849" i="6"/>
  <c r="I1848" i="6"/>
  <c r="I1847" i="6"/>
  <c r="I1846" i="6"/>
  <c r="I1845" i="6"/>
  <c r="I1844" i="6"/>
  <c r="I1843" i="6"/>
  <c r="I1842" i="6"/>
  <c r="I1841" i="6"/>
  <c r="I1840" i="6"/>
  <c r="I1839" i="6"/>
  <c r="I1838" i="6"/>
  <c r="I1837" i="6"/>
  <c r="I1836" i="6"/>
  <c r="I1835" i="6"/>
  <c r="I1834" i="6"/>
  <c r="I1833" i="6"/>
  <c r="I1832" i="6"/>
  <c r="I1831" i="6"/>
  <c r="I1830" i="6"/>
  <c r="I1829" i="6"/>
  <c r="I1828" i="6"/>
  <c r="I1827" i="6"/>
  <c r="I1826" i="6"/>
  <c r="I1825" i="6"/>
  <c r="I1824" i="6"/>
  <c r="I1823" i="6"/>
  <c r="I1822" i="6"/>
  <c r="I1821" i="6"/>
  <c r="I1820" i="6"/>
  <c r="I1819" i="6"/>
  <c r="I1818" i="6"/>
  <c r="I1817" i="6"/>
  <c r="I1816" i="6"/>
  <c r="I1815" i="6"/>
  <c r="I1814" i="6"/>
  <c r="I1813" i="6"/>
  <c r="I1812" i="6"/>
  <c r="I1811" i="6"/>
  <c r="I1810" i="6"/>
  <c r="I1809" i="6"/>
  <c r="I1808" i="6"/>
  <c r="I1807" i="6"/>
  <c r="I1806" i="6"/>
  <c r="I1805" i="6"/>
  <c r="I1804" i="6"/>
  <c r="I1803" i="6"/>
  <c r="I1802" i="6"/>
  <c r="I1801" i="6"/>
  <c r="I1800" i="6"/>
  <c r="I1799" i="6"/>
  <c r="I1798" i="6"/>
  <c r="I1797" i="6"/>
  <c r="I1796" i="6"/>
  <c r="I1795" i="6"/>
  <c r="I1794" i="6"/>
  <c r="I1793" i="6"/>
  <c r="I1792" i="6"/>
  <c r="I1791" i="6"/>
  <c r="I1790" i="6"/>
  <c r="I1789" i="6"/>
  <c r="I1788" i="6"/>
  <c r="I1787" i="6"/>
  <c r="I1786" i="6"/>
  <c r="I1785" i="6"/>
  <c r="I1784" i="6"/>
  <c r="I1783" i="6"/>
  <c r="I1782" i="6"/>
  <c r="I1781" i="6"/>
  <c r="I1780" i="6"/>
  <c r="I1779" i="6"/>
  <c r="I1778" i="6"/>
  <c r="I1777" i="6"/>
  <c r="I1776" i="6"/>
  <c r="I1775" i="6"/>
  <c r="I1774" i="6"/>
  <c r="I1773" i="6"/>
  <c r="I1772" i="6"/>
  <c r="I1771" i="6"/>
  <c r="I1770" i="6"/>
  <c r="I1769" i="6"/>
  <c r="I1768" i="6"/>
  <c r="I1767" i="6"/>
  <c r="I1766" i="6"/>
  <c r="I1765" i="6"/>
  <c r="I1764" i="6"/>
  <c r="I1763" i="6"/>
  <c r="I1762" i="6"/>
  <c r="I1761" i="6"/>
  <c r="I1760" i="6"/>
  <c r="I1759" i="6"/>
  <c r="I1758" i="6"/>
  <c r="I1757" i="6"/>
  <c r="I1756" i="6"/>
  <c r="I1755" i="6"/>
  <c r="I1754" i="6"/>
  <c r="I1753" i="6"/>
  <c r="I1752" i="6"/>
  <c r="I1751" i="6"/>
  <c r="I1750" i="6"/>
  <c r="I1749" i="6"/>
  <c r="I1748" i="6"/>
  <c r="I1747" i="6"/>
  <c r="I1746" i="6"/>
  <c r="I1745" i="6"/>
  <c r="I1744" i="6"/>
  <c r="I1743" i="6"/>
  <c r="I1742" i="6"/>
  <c r="I1741" i="6"/>
  <c r="I1740" i="6"/>
  <c r="I1739" i="6"/>
  <c r="I1738" i="6"/>
  <c r="I1737" i="6"/>
  <c r="I1736" i="6"/>
  <c r="I1735" i="6"/>
  <c r="I1734" i="6"/>
  <c r="I1733" i="6"/>
  <c r="I1732" i="6"/>
  <c r="I1731" i="6"/>
  <c r="I1730" i="6"/>
  <c r="I1729" i="6"/>
  <c r="I1728" i="6"/>
  <c r="I1727" i="6"/>
  <c r="I1726" i="6"/>
  <c r="I1725" i="6"/>
  <c r="I1724" i="6"/>
  <c r="I1723" i="6"/>
  <c r="I1722" i="6"/>
  <c r="I1721" i="6"/>
  <c r="I1720" i="6"/>
  <c r="I1719" i="6"/>
  <c r="I1718" i="6"/>
  <c r="I1717" i="6"/>
  <c r="I1716" i="6"/>
  <c r="I1715" i="6"/>
  <c r="I1714" i="6"/>
  <c r="I1713" i="6"/>
  <c r="I1712" i="6"/>
  <c r="I1711" i="6"/>
  <c r="I1710" i="6"/>
  <c r="I1709" i="6"/>
  <c r="I1708" i="6"/>
  <c r="I1707" i="6"/>
  <c r="I1706" i="6"/>
  <c r="I1705" i="6"/>
  <c r="I1704" i="6"/>
  <c r="I1703" i="6"/>
  <c r="I1702" i="6"/>
  <c r="I1701" i="6"/>
  <c r="I1700" i="6"/>
  <c r="I1699" i="6"/>
  <c r="I1698" i="6"/>
  <c r="I1697" i="6"/>
  <c r="I1696" i="6"/>
  <c r="I1695" i="6"/>
  <c r="I1694" i="6"/>
  <c r="I1693" i="6"/>
  <c r="I1692" i="6"/>
  <c r="I1691" i="6"/>
  <c r="I1690" i="6"/>
  <c r="I1689" i="6"/>
  <c r="I1688" i="6"/>
  <c r="I1687" i="6"/>
  <c r="I1686" i="6"/>
  <c r="I1685" i="6"/>
  <c r="I1684" i="6"/>
  <c r="I1683" i="6"/>
  <c r="I1682" i="6"/>
  <c r="I1681" i="6"/>
  <c r="I1680" i="6"/>
  <c r="I1679" i="6"/>
  <c r="I1678" i="6"/>
  <c r="I1677" i="6"/>
  <c r="I1676" i="6"/>
  <c r="I1675" i="6"/>
  <c r="I1674" i="6"/>
  <c r="I1673" i="6"/>
  <c r="I1672" i="6"/>
  <c r="I1671" i="6"/>
  <c r="I1670" i="6"/>
  <c r="I1669" i="6"/>
  <c r="I1668" i="6"/>
  <c r="I1667" i="6"/>
  <c r="I1666" i="6"/>
  <c r="I1665" i="6"/>
  <c r="I1664" i="6"/>
  <c r="I1663" i="6"/>
  <c r="I1662" i="6"/>
  <c r="I1661" i="6"/>
  <c r="I1660" i="6"/>
  <c r="I1659" i="6"/>
  <c r="I1658" i="6"/>
  <c r="I1657" i="6"/>
  <c r="I1656" i="6"/>
  <c r="I1655" i="6"/>
  <c r="I1654" i="6"/>
  <c r="I1653" i="6"/>
  <c r="I1652" i="6"/>
  <c r="I1651" i="6"/>
  <c r="I1650" i="6"/>
  <c r="I1649" i="6"/>
  <c r="I1648" i="6"/>
  <c r="I1647" i="6"/>
  <c r="I1646" i="6"/>
  <c r="I1645" i="6"/>
  <c r="I1644" i="6"/>
  <c r="I1643" i="6"/>
  <c r="I1642" i="6"/>
  <c r="I1641" i="6"/>
  <c r="I1640" i="6"/>
  <c r="I1639" i="6"/>
  <c r="I1638" i="6"/>
  <c r="I1637" i="6"/>
  <c r="I1636" i="6"/>
  <c r="I1635" i="6"/>
  <c r="I1634" i="6"/>
  <c r="I1633" i="6"/>
  <c r="I1632" i="6"/>
  <c r="I1631" i="6"/>
  <c r="I1630" i="6"/>
  <c r="I1629" i="6"/>
  <c r="I1628" i="6"/>
  <c r="I1627" i="6"/>
  <c r="I1626" i="6"/>
  <c r="I1625" i="6"/>
  <c r="I1624" i="6"/>
  <c r="I1623" i="6"/>
  <c r="I1622" i="6"/>
  <c r="I1621" i="6"/>
  <c r="I1620" i="6"/>
  <c r="I1619" i="6"/>
  <c r="I1618" i="6"/>
  <c r="I1617" i="6"/>
  <c r="I1616" i="6"/>
  <c r="I1615" i="6"/>
  <c r="I1614" i="6"/>
  <c r="I1613" i="6"/>
  <c r="I1612" i="6"/>
  <c r="I1611" i="6"/>
  <c r="I1610" i="6"/>
  <c r="I1609" i="6"/>
  <c r="I1608" i="6"/>
  <c r="I1607" i="6"/>
  <c r="I1606" i="6"/>
  <c r="I1605" i="6"/>
  <c r="I1604" i="6"/>
  <c r="I1603" i="6"/>
  <c r="I1602" i="6"/>
  <c r="I1601" i="6"/>
  <c r="I1600" i="6"/>
  <c r="I1599" i="6"/>
  <c r="I1598" i="6"/>
  <c r="I1597" i="6"/>
  <c r="I1596" i="6"/>
  <c r="I1595" i="6"/>
  <c r="I1594" i="6"/>
  <c r="I1593" i="6"/>
  <c r="I1592" i="6"/>
  <c r="I1591" i="6"/>
  <c r="I1590" i="6"/>
  <c r="I1589" i="6"/>
  <c r="I1588" i="6"/>
  <c r="I1587" i="6"/>
  <c r="I1586" i="6"/>
  <c r="I1585" i="6"/>
  <c r="I1584" i="6"/>
  <c r="I1583" i="6"/>
  <c r="I1582" i="6"/>
  <c r="I1581" i="6"/>
  <c r="I1580" i="6"/>
  <c r="I1579" i="6"/>
  <c r="I1578" i="6"/>
  <c r="I1577" i="6"/>
  <c r="I1576" i="6"/>
  <c r="I1575" i="6"/>
  <c r="I1574" i="6"/>
  <c r="I1573" i="6"/>
  <c r="I1572" i="6"/>
  <c r="I1571" i="6"/>
  <c r="I1570" i="6"/>
  <c r="I1569" i="6"/>
  <c r="I1568" i="6"/>
  <c r="I1567" i="6"/>
  <c r="I1566" i="6"/>
  <c r="I1565" i="6"/>
  <c r="I1564" i="6"/>
  <c r="I1563" i="6"/>
  <c r="I1562" i="6"/>
  <c r="I1561" i="6"/>
  <c r="I1560" i="6"/>
  <c r="I1559" i="6"/>
  <c r="I1558" i="6"/>
  <c r="I1557" i="6"/>
  <c r="I1556" i="6"/>
  <c r="I1555" i="6"/>
  <c r="I1554" i="6"/>
  <c r="I1553" i="6"/>
  <c r="I1552" i="6"/>
  <c r="I1551" i="6"/>
  <c r="I1550" i="6"/>
  <c r="I1549" i="6"/>
  <c r="I1548" i="6"/>
  <c r="I1547" i="6"/>
  <c r="I1546" i="6"/>
  <c r="I1545" i="6"/>
  <c r="I1544" i="6"/>
  <c r="I1543" i="6"/>
  <c r="I1542" i="6"/>
  <c r="I1541" i="6"/>
  <c r="I1540" i="6"/>
  <c r="I1539" i="6"/>
  <c r="I1538" i="6"/>
  <c r="I1537" i="6"/>
  <c r="I1536" i="6"/>
  <c r="I1535" i="6"/>
  <c r="I1534" i="6"/>
  <c r="I1533" i="6"/>
  <c r="I1532" i="6"/>
  <c r="I1531" i="6"/>
  <c r="I1530" i="6"/>
  <c r="I1529" i="6"/>
  <c r="I1528" i="6"/>
  <c r="I1527" i="6"/>
  <c r="I1526" i="6"/>
  <c r="I1525" i="6"/>
  <c r="I1524" i="6"/>
  <c r="I1523" i="6"/>
  <c r="I1522" i="6"/>
  <c r="I1521" i="6"/>
  <c r="I1520" i="6"/>
  <c r="I1519" i="6"/>
  <c r="I1518" i="6"/>
  <c r="I1517" i="6"/>
  <c r="I1516" i="6"/>
  <c r="I1515" i="6"/>
  <c r="I1514" i="6"/>
  <c r="I1513" i="6"/>
  <c r="I1512" i="6"/>
  <c r="I1511" i="6"/>
  <c r="I1510" i="6"/>
  <c r="I1509" i="6"/>
  <c r="I1508" i="6"/>
  <c r="I1507" i="6"/>
  <c r="I1506" i="6"/>
  <c r="I1505" i="6"/>
  <c r="I1504" i="6"/>
  <c r="I1503" i="6"/>
  <c r="I1502" i="6"/>
  <c r="I1501" i="6"/>
  <c r="I1500" i="6"/>
  <c r="I1499" i="6"/>
  <c r="I1498" i="6"/>
  <c r="I1497" i="6"/>
  <c r="I1496" i="6"/>
  <c r="I1495" i="6"/>
  <c r="I1494" i="6"/>
  <c r="I1493" i="6"/>
  <c r="I1492" i="6"/>
  <c r="I1491" i="6"/>
  <c r="I1490" i="6"/>
  <c r="I1489" i="6"/>
  <c r="I1488" i="6"/>
  <c r="I1487" i="6"/>
  <c r="I1486" i="6"/>
  <c r="I1485" i="6"/>
  <c r="I1484" i="6"/>
  <c r="I1483" i="6"/>
  <c r="I1482" i="6"/>
  <c r="I1481" i="6"/>
  <c r="I1480" i="6"/>
  <c r="I1479" i="6"/>
  <c r="I1478" i="6"/>
  <c r="I1477" i="6"/>
  <c r="I1476" i="6"/>
  <c r="I1475" i="6"/>
  <c r="I1474" i="6"/>
  <c r="I1473" i="6"/>
  <c r="I1472" i="6"/>
  <c r="I1471" i="6"/>
  <c r="I1470" i="6"/>
  <c r="I1469" i="6"/>
  <c r="I1468" i="6"/>
  <c r="I1467" i="6"/>
  <c r="I1466" i="6"/>
  <c r="I1465" i="6"/>
  <c r="I1464" i="6"/>
  <c r="I1463" i="6"/>
  <c r="I1462" i="6"/>
  <c r="I1461" i="6"/>
  <c r="I1460" i="6"/>
  <c r="I1459" i="6"/>
  <c r="I1458" i="6"/>
  <c r="I1457" i="6"/>
  <c r="I1456" i="6"/>
  <c r="I1455" i="6"/>
  <c r="I1454" i="6"/>
  <c r="I1453" i="6"/>
  <c r="I1452" i="6"/>
  <c r="I1451" i="6"/>
  <c r="I1450" i="6"/>
  <c r="I1449" i="6"/>
  <c r="I1448" i="6"/>
  <c r="I1447" i="6"/>
  <c r="I1446" i="6"/>
  <c r="I1445" i="6"/>
  <c r="I1444" i="6"/>
  <c r="I1443" i="6"/>
  <c r="I1442" i="6"/>
  <c r="I1441" i="6"/>
  <c r="I1440" i="6"/>
  <c r="I1439" i="6"/>
  <c r="I1438" i="6"/>
  <c r="I1437" i="6"/>
  <c r="I1436" i="6"/>
  <c r="I1435" i="6"/>
  <c r="I1434" i="6"/>
  <c r="I1433" i="6"/>
  <c r="I1432" i="6"/>
  <c r="I1431" i="6"/>
  <c r="I1430" i="6"/>
  <c r="I1429" i="6"/>
  <c r="I1428" i="6"/>
  <c r="I1427" i="6"/>
  <c r="I1426" i="6"/>
  <c r="I1425" i="6"/>
  <c r="I1424" i="6"/>
  <c r="I1423" i="6"/>
  <c r="I1422" i="6"/>
  <c r="I1421" i="6"/>
  <c r="I1420" i="6"/>
  <c r="I1419" i="6"/>
  <c r="I1418" i="6"/>
  <c r="I1417" i="6"/>
  <c r="I1416" i="6"/>
  <c r="I1415" i="6"/>
  <c r="I1414" i="6"/>
  <c r="I1413" i="6"/>
  <c r="I1412" i="6"/>
  <c r="I1411" i="6"/>
  <c r="I1410" i="6"/>
  <c r="I1409" i="6"/>
  <c r="I1408" i="6"/>
  <c r="I1407" i="6"/>
  <c r="I1406" i="6"/>
  <c r="I1405" i="6"/>
  <c r="I1404" i="6"/>
  <c r="I1403" i="6"/>
  <c r="I1402" i="6"/>
  <c r="I1401" i="6"/>
  <c r="I1400" i="6"/>
  <c r="I1399" i="6"/>
  <c r="I1398" i="6"/>
  <c r="I1397" i="6"/>
  <c r="I1396" i="6"/>
  <c r="I1395" i="6"/>
  <c r="I1394" i="6"/>
  <c r="I1393" i="6"/>
  <c r="I1392" i="6"/>
  <c r="I1391" i="6"/>
  <c r="I1390" i="6"/>
  <c r="I1389" i="6"/>
  <c r="I1388" i="6"/>
  <c r="I1387" i="6"/>
  <c r="I1386" i="6"/>
  <c r="I1385" i="6"/>
  <c r="I1384" i="6"/>
  <c r="I1383" i="6"/>
  <c r="I1382" i="6"/>
  <c r="I1381" i="6"/>
  <c r="I1380" i="6"/>
  <c r="I1379" i="6"/>
  <c r="I1378" i="6"/>
  <c r="I1377" i="6"/>
  <c r="I1376" i="6"/>
  <c r="I1375" i="6"/>
  <c r="I1374" i="6"/>
  <c r="I1373" i="6"/>
  <c r="I1372" i="6"/>
  <c r="I1371" i="6"/>
  <c r="I1370" i="6"/>
  <c r="I1369" i="6"/>
  <c r="I1368" i="6"/>
  <c r="I1367" i="6"/>
  <c r="I1366" i="6"/>
  <c r="I1365" i="6"/>
  <c r="I1364" i="6"/>
  <c r="I1363" i="6"/>
  <c r="I1362" i="6"/>
  <c r="I1361" i="6"/>
  <c r="I1360" i="6"/>
  <c r="I1359" i="6"/>
  <c r="I1358" i="6"/>
  <c r="I1357" i="6"/>
  <c r="I1356" i="6"/>
  <c r="I1355" i="6"/>
  <c r="I1354" i="6"/>
  <c r="I1353" i="6"/>
  <c r="I1352" i="6"/>
  <c r="I1351" i="6"/>
  <c r="I1350" i="6"/>
  <c r="I1349" i="6"/>
  <c r="I1348" i="6"/>
  <c r="I1347" i="6"/>
  <c r="I1346" i="6"/>
  <c r="I1345" i="6"/>
  <c r="I1344" i="6"/>
  <c r="I1343" i="6"/>
  <c r="I1342" i="6"/>
  <c r="I1341" i="6"/>
  <c r="I1340" i="6"/>
  <c r="I1339" i="6"/>
  <c r="I1338" i="6"/>
  <c r="I1337" i="6"/>
  <c r="I1336" i="6"/>
  <c r="I1335" i="6"/>
  <c r="I1334" i="6"/>
  <c r="I1333" i="6"/>
  <c r="I1332" i="6"/>
  <c r="I1331" i="6"/>
  <c r="I1330" i="6"/>
  <c r="I1329" i="6"/>
  <c r="I1328" i="6"/>
  <c r="I1327" i="6"/>
  <c r="I1326" i="6"/>
  <c r="I1325" i="6"/>
  <c r="I1324" i="6"/>
  <c r="I1323" i="6"/>
  <c r="I1322" i="6"/>
  <c r="I1321" i="6"/>
  <c r="I1320" i="6"/>
  <c r="I1319" i="6"/>
  <c r="I1318" i="6"/>
  <c r="I1317" i="6"/>
  <c r="I1316" i="6"/>
  <c r="I1315" i="6"/>
  <c r="I1314" i="6"/>
  <c r="I1313" i="6"/>
  <c r="I1312" i="6"/>
  <c r="I1311" i="6"/>
  <c r="I1310" i="6"/>
  <c r="I1309" i="6"/>
  <c r="I1308" i="6"/>
  <c r="I1307" i="6"/>
  <c r="I1306" i="6"/>
  <c r="I1305" i="6"/>
  <c r="I1304" i="6"/>
  <c r="I1303" i="6"/>
  <c r="I1302" i="6"/>
  <c r="I1301" i="6"/>
  <c r="I1300" i="6"/>
  <c r="I1299" i="6"/>
  <c r="I1298" i="6"/>
  <c r="I1297" i="6"/>
  <c r="I1296" i="6"/>
  <c r="I1295" i="6"/>
  <c r="I1294" i="6"/>
  <c r="I1293" i="6"/>
  <c r="I1292" i="6"/>
  <c r="I1291" i="6"/>
  <c r="I1290" i="6"/>
  <c r="I1289" i="6"/>
  <c r="I1288" i="6"/>
  <c r="I1287" i="6"/>
  <c r="I1286" i="6"/>
  <c r="I1285" i="6"/>
  <c r="I1284" i="6"/>
  <c r="I1283" i="6"/>
  <c r="I1282" i="6"/>
  <c r="I1281" i="6"/>
  <c r="I1280" i="6"/>
  <c r="I1279" i="6"/>
  <c r="I1278" i="6"/>
  <c r="I1277" i="6"/>
  <c r="I1276" i="6"/>
  <c r="I1275" i="6"/>
  <c r="I1274" i="6"/>
  <c r="I1273" i="6"/>
  <c r="I1272" i="6"/>
  <c r="I1271" i="6"/>
  <c r="I1270" i="6"/>
  <c r="I1269" i="6"/>
  <c r="I1268" i="6"/>
  <c r="I1267" i="6"/>
  <c r="I1266" i="6"/>
  <c r="I1265" i="6"/>
  <c r="I1264" i="6"/>
  <c r="I1263" i="6"/>
  <c r="I1262" i="6"/>
  <c r="I1261" i="6"/>
  <c r="I1260" i="6"/>
  <c r="I1259" i="6"/>
  <c r="I1258" i="6"/>
  <c r="I1257" i="6"/>
  <c r="I1256" i="6"/>
  <c r="I1255" i="6"/>
  <c r="I1254" i="6"/>
  <c r="I1253" i="6"/>
  <c r="I1252" i="6"/>
  <c r="I1251" i="6"/>
  <c r="I1250" i="6"/>
  <c r="I1249" i="6"/>
  <c r="I1248" i="6"/>
  <c r="I1247" i="6"/>
  <c r="I1246" i="6"/>
  <c r="I1245" i="6"/>
  <c r="I1244" i="6"/>
  <c r="I1243" i="6"/>
  <c r="I1242" i="6"/>
  <c r="I1241" i="6"/>
  <c r="I1240" i="6"/>
  <c r="I1239" i="6"/>
  <c r="I1238" i="6"/>
  <c r="I1237" i="6"/>
  <c r="I1236" i="6"/>
  <c r="I1235" i="6"/>
  <c r="I1234" i="6"/>
  <c r="I1233" i="6"/>
  <c r="I1232" i="6"/>
  <c r="I1231" i="6"/>
  <c r="I1230" i="6"/>
  <c r="I1229" i="6"/>
  <c r="I1228" i="6"/>
  <c r="I1227" i="6"/>
  <c r="I1226" i="6"/>
  <c r="I1225" i="6"/>
  <c r="I1224" i="6"/>
  <c r="I1223" i="6"/>
  <c r="I1222" i="6"/>
  <c r="I1221" i="6"/>
  <c r="I1220" i="6"/>
  <c r="I1219" i="6"/>
  <c r="I1218" i="6"/>
  <c r="I1217" i="6"/>
  <c r="I1216" i="6"/>
  <c r="I1215" i="6"/>
  <c r="I1214" i="6"/>
  <c r="I1213" i="6"/>
  <c r="I1212" i="6"/>
  <c r="I1211" i="6"/>
  <c r="I1210" i="6"/>
  <c r="I1209" i="6"/>
  <c r="I1208" i="6"/>
  <c r="I1207" i="6"/>
  <c r="I1206" i="6"/>
  <c r="I1205" i="6"/>
  <c r="I1204" i="6"/>
  <c r="I1203" i="6"/>
  <c r="I1202" i="6"/>
  <c r="I1201" i="6"/>
  <c r="I1200" i="6"/>
  <c r="I1199" i="6"/>
  <c r="I1198" i="6"/>
  <c r="I1197" i="6"/>
  <c r="I1196" i="6"/>
  <c r="I1195" i="6"/>
  <c r="I1194" i="6"/>
  <c r="I1193" i="6"/>
  <c r="I1192" i="6"/>
  <c r="I1191" i="6"/>
  <c r="I1190" i="6"/>
  <c r="I1189" i="6"/>
  <c r="I1188" i="6"/>
  <c r="I1187" i="6"/>
  <c r="I1186" i="6"/>
  <c r="I1185" i="6"/>
  <c r="I1184" i="6"/>
  <c r="I1183" i="6"/>
  <c r="I1182" i="6"/>
  <c r="I1181" i="6"/>
  <c r="I1180" i="6"/>
  <c r="I1179" i="6"/>
  <c r="I1178" i="6"/>
  <c r="I1177" i="6"/>
  <c r="I1176" i="6"/>
  <c r="I1175" i="6"/>
  <c r="I1174" i="6"/>
  <c r="I1173" i="6"/>
  <c r="I1172" i="6"/>
  <c r="I1171" i="6"/>
  <c r="I1170" i="6"/>
  <c r="I1169" i="6"/>
  <c r="I1168" i="6"/>
  <c r="I1167" i="6"/>
  <c r="I1166" i="6"/>
  <c r="I1165" i="6"/>
  <c r="I1164" i="6"/>
  <c r="I1163" i="6"/>
  <c r="I1162" i="6"/>
  <c r="I1161" i="6"/>
  <c r="I1160" i="6"/>
  <c r="I1159" i="6"/>
  <c r="I1158" i="6"/>
  <c r="I1157" i="6"/>
  <c r="I1156" i="6"/>
  <c r="I1155" i="6"/>
  <c r="I1154" i="6"/>
  <c r="I1153" i="6"/>
  <c r="I1152" i="6"/>
  <c r="I1151" i="6"/>
  <c r="I1150" i="6"/>
  <c r="I1149" i="6"/>
  <c r="I1148" i="6"/>
  <c r="I1147" i="6"/>
  <c r="I1146" i="6"/>
  <c r="I1145" i="6"/>
  <c r="I1144" i="6"/>
  <c r="I1143" i="6"/>
  <c r="I1142" i="6"/>
  <c r="I1141" i="6"/>
  <c r="I1140" i="6"/>
  <c r="I1139" i="6"/>
  <c r="I1138" i="6"/>
  <c r="I1137" i="6"/>
  <c r="I1136" i="6"/>
  <c r="I1135" i="6"/>
  <c r="I1134" i="6"/>
  <c r="I1133" i="6"/>
  <c r="I1132" i="6"/>
  <c r="I1131" i="6"/>
  <c r="I1130" i="6"/>
  <c r="I1129" i="6"/>
  <c r="I1128" i="6"/>
  <c r="I1127" i="6"/>
  <c r="I1126" i="6"/>
  <c r="I1125" i="6"/>
  <c r="I1124" i="6"/>
  <c r="I1123" i="6"/>
  <c r="I1122" i="6"/>
  <c r="I1121" i="6"/>
  <c r="I1120" i="6"/>
  <c r="I1119" i="6"/>
  <c r="I1118" i="6"/>
  <c r="I1117" i="6"/>
  <c r="I1116" i="6"/>
  <c r="I1115" i="6"/>
  <c r="I1114" i="6"/>
  <c r="I1113" i="6"/>
  <c r="I1112" i="6"/>
  <c r="I1111" i="6"/>
  <c r="I1110" i="6"/>
  <c r="I1109" i="6"/>
  <c r="I1108" i="6"/>
  <c r="I1107" i="6"/>
  <c r="I1106" i="6"/>
  <c r="I1105" i="6"/>
  <c r="I1104" i="6"/>
  <c r="I1103" i="6"/>
  <c r="I1102" i="6"/>
  <c r="I1101" i="6"/>
  <c r="I1100" i="6"/>
  <c r="I1099" i="6"/>
  <c r="I1098" i="6"/>
  <c r="I1097" i="6"/>
  <c r="I1096" i="6"/>
  <c r="I1095" i="6"/>
  <c r="I1094" i="6"/>
  <c r="I1093" i="6"/>
  <c r="I1092" i="6"/>
  <c r="I1091" i="6"/>
  <c r="I1090" i="6"/>
  <c r="I1089" i="6"/>
  <c r="I1088" i="6"/>
  <c r="I1087" i="6"/>
  <c r="I1086" i="6"/>
  <c r="I1085" i="6"/>
  <c r="I1084" i="6"/>
  <c r="I1083" i="6"/>
  <c r="I1082" i="6"/>
  <c r="I1081" i="6"/>
  <c r="I1080" i="6"/>
  <c r="I1079" i="6"/>
  <c r="I1078" i="6"/>
  <c r="I1077" i="6"/>
  <c r="I1076" i="6"/>
  <c r="I1075" i="6"/>
  <c r="I1074" i="6"/>
  <c r="I1073" i="6"/>
  <c r="I1072" i="6"/>
  <c r="I1071" i="6"/>
  <c r="I1070" i="6"/>
  <c r="I1069" i="6"/>
  <c r="I1068" i="6"/>
  <c r="I1067" i="6"/>
  <c r="I1066" i="6"/>
  <c r="I1065" i="6"/>
  <c r="I1064" i="6"/>
  <c r="I1063" i="6"/>
  <c r="I1062" i="6"/>
  <c r="I1061" i="6"/>
  <c r="I1060" i="6"/>
  <c r="I1059" i="6"/>
  <c r="I1058" i="6"/>
  <c r="I1057" i="6"/>
  <c r="I1056" i="6"/>
  <c r="I1055" i="6"/>
  <c r="I1054" i="6"/>
  <c r="I1053" i="6"/>
  <c r="I1052" i="6"/>
  <c r="I1051" i="6"/>
  <c r="I1050" i="6"/>
  <c r="I1049" i="6"/>
  <c r="I1048" i="6"/>
  <c r="I1047" i="6"/>
  <c r="I1046" i="6"/>
  <c r="I1045" i="6"/>
  <c r="I1044" i="6"/>
  <c r="I1043" i="6"/>
  <c r="I1042" i="6"/>
  <c r="I1041" i="6"/>
  <c r="I1040" i="6"/>
  <c r="I1039" i="6"/>
  <c r="I1038" i="6"/>
  <c r="I1037" i="6"/>
  <c r="I1036" i="6"/>
  <c r="I1035" i="6"/>
  <c r="I1034" i="6"/>
  <c r="I1033" i="6"/>
  <c r="I1032" i="6"/>
  <c r="I1031" i="6"/>
  <c r="I1030" i="6"/>
  <c r="I1029" i="6"/>
  <c r="I1028" i="6"/>
  <c r="I1027" i="6"/>
  <c r="I1026" i="6"/>
  <c r="I1025" i="6"/>
  <c r="I1024" i="6"/>
  <c r="I1023" i="6"/>
  <c r="I1022" i="6"/>
  <c r="I1021" i="6"/>
  <c r="I1020" i="6"/>
  <c r="I1019" i="6"/>
  <c r="I1018" i="6"/>
  <c r="I1017" i="6"/>
  <c r="I1016" i="6"/>
  <c r="I1015" i="6"/>
  <c r="I1014" i="6"/>
  <c r="I1013" i="6"/>
  <c r="I1012" i="6"/>
  <c r="I1011" i="6"/>
  <c r="I1010" i="6"/>
  <c r="I1009" i="6"/>
  <c r="I1008" i="6"/>
  <c r="I1007" i="6"/>
  <c r="I1006" i="6"/>
  <c r="I1005" i="6"/>
  <c r="I1004" i="6"/>
  <c r="I1003" i="6"/>
  <c r="I1002" i="6"/>
  <c r="I1001" i="6"/>
  <c r="I1000" i="6"/>
  <c r="I999" i="6"/>
  <c r="I998" i="6"/>
  <c r="I997" i="6"/>
  <c r="I996" i="6"/>
  <c r="I995" i="6"/>
  <c r="I994" i="6"/>
  <c r="I993" i="6"/>
  <c r="I992" i="6"/>
  <c r="I991" i="6"/>
  <c r="I990" i="6"/>
  <c r="I989" i="6"/>
  <c r="I988" i="6"/>
  <c r="I987" i="6"/>
  <c r="I986" i="6"/>
  <c r="I985" i="6"/>
  <c r="I984" i="6"/>
  <c r="I983" i="6"/>
  <c r="I982" i="6"/>
  <c r="I981" i="6"/>
  <c r="I980" i="6"/>
  <c r="I979" i="6"/>
  <c r="I978" i="6"/>
  <c r="I977" i="6"/>
  <c r="I976" i="6"/>
  <c r="I975" i="6"/>
  <c r="I974" i="6"/>
  <c r="I973" i="6"/>
  <c r="I972" i="6"/>
  <c r="I971" i="6"/>
  <c r="I970" i="6"/>
  <c r="I969" i="6"/>
  <c r="I968" i="6"/>
  <c r="I967" i="6"/>
  <c r="I966" i="6"/>
  <c r="I965" i="6"/>
  <c r="I964" i="6"/>
  <c r="I963" i="6"/>
  <c r="I962" i="6"/>
  <c r="I961" i="6"/>
  <c r="I960" i="6"/>
  <c r="I959" i="6"/>
  <c r="I958" i="6"/>
  <c r="I957" i="6"/>
  <c r="I956" i="6"/>
  <c r="I955" i="6"/>
  <c r="I954" i="6"/>
  <c r="I953" i="6"/>
  <c r="I952" i="6"/>
  <c r="I951" i="6"/>
  <c r="I950" i="6"/>
  <c r="I949" i="6"/>
  <c r="I948" i="6"/>
  <c r="I947" i="6"/>
  <c r="I946" i="6"/>
  <c r="I945" i="6"/>
  <c r="I944" i="6"/>
  <c r="I943" i="6"/>
  <c r="I942" i="6"/>
  <c r="I941" i="6"/>
  <c r="I940" i="6"/>
  <c r="I939" i="6"/>
  <c r="I938" i="6"/>
  <c r="I937" i="6"/>
  <c r="I936" i="6"/>
  <c r="I935" i="6"/>
  <c r="I934" i="6"/>
  <c r="I933" i="6"/>
  <c r="I932" i="6"/>
  <c r="I931" i="6"/>
  <c r="I930" i="6"/>
  <c r="I929" i="6"/>
  <c r="I928" i="6"/>
  <c r="I927" i="6"/>
  <c r="I926" i="6"/>
  <c r="I925" i="6"/>
  <c r="I924" i="6"/>
  <c r="I923" i="6"/>
  <c r="I922" i="6"/>
  <c r="I921" i="6"/>
  <c r="I920" i="6"/>
  <c r="I919" i="6"/>
  <c r="I918" i="6"/>
  <c r="I917" i="6"/>
  <c r="I916" i="6"/>
  <c r="I915" i="6"/>
  <c r="I914" i="6"/>
  <c r="I913" i="6"/>
  <c r="I912" i="6"/>
  <c r="I911" i="6"/>
  <c r="I910" i="6"/>
  <c r="I909" i="6"/>
  <c r="I908" i="6"/>
  <c r="I907" i="6"/>
  <c r="I906" i="6"/>
  <c r="I905" i="6"/>
  <c r="I904" i="6"/>
  <c r="I903" i="6"/>
  <c r="I902" i="6"/>
  <c r="I901" i="6"/>
  <c r="I900" i="6"/>
  <c r="I899" i="6"/>
  <c r="I898" i="6"/>
  <c r="I897" i="6"/>
  <c r="I896" i="6"/>
  <c r="I895" i="6"/>
  <c r="I894" i="6"/>
  <c r="I893" i="6"/>
  <c r="I892" i="6"/>
  <c r="I891" i="6"/>
  <c r="I890" i="6"/>
  <c r="I889" i="6"/>
  <c r="I888" i="6"/>
  <c r="I887" i="6"/>
  <c r="I886" i="6"/>
  <c r="I885" i="6"/>
  <c r="I884" i="6"/>
  <c r="I883" i="6"/>
  <c r="I882" i="6"/>
  <c r="I881" i="6"/>
  <c r="I880" i="6"/>
  <c r="I879" i="6"/>
  <c r="I878" i="6"/>
  <c r="I877" i="6"/>
  <c r="I876" i="6"/>
  <c r="I875" i="6"/>
  <c r="I874" i="6"/>
  <c r="I873" i="6"/>
  <c r="I872" i="6"/>
  <c r="I871" i="6"/>
  <c r="I870" i="6"/>
  <c r="I869" i="6"/>
  <c r="I868" i="6"/>
  <c r="I867" i="6"/>
  <c r="I866" i="6"/>
  <c r="I865" i="6"/>
  <c r="I864" i="6"/>
  <c r="I863" i="6"/>
  <c r="I862" i="6"/>
  <c r="I861" i="6"/>
  <c r="I860" i="6"/>
  <c r="I859" i="6"/>
  <c r="I858" i="6"/>
  <c r="I857" i="6"/>
  <c r="I856" i="6"/>
  <c r="I855" i="6"/>
  <c r="I854" i="6"/>
  <c r="I853" i="6"/>
  <c r="I852" i="6"/>
  <c r="I851" i="6"/>
  <c r="I850" i="6"/>
  <c r="I849" i="6"/>
  <c r="I848" i="6"/>
  <c r="I847" i="6"/>
  <c r="I846" i="6"/>
  <c r="I845" i="6"/>
  <c r="I844" i="6"/>
  <c r="I843" i="6"/>
  <c r="I842" i="6"/>
  <c r="I841" i="6"/>
  <c r="I840" i="6"/>
  <c r="I839" i="6"/>
  <c r="I838" i="6"/>
  <c r="I837" i="6"/>
  <c r="I836" i="6"/>
  <c r="I835" i="6"/>
  <c r="I834" i="6"/>
  <c r="I833" i="6"/>
  <c r="I832" i="6"/>
  <c r="I831" i="6"/>
  <c r="I830" i="6"/>
  <c r="I829" i="6"/>
  <c r="I828" i="6"/>
  <c r="I827" i="6"/>
  <c r="I826" i="6"/>
  <c r="I825" i="6"/>
  <c r="I824" i="6"/>
  <c r="I823" i="6"/>
  <c r="I822" i="6"/>
  <c r="I821" i="6"/>
  <c r="I820" i="6"/>
  <c r="I819" i="6"/>
  <c r="I818" i="6"/>
  <c r="I817" i="6"/>
  <c r="I816" i="6"/>
  <c r="I815" i="6"/>
  <c r="I814" i="6"/>
  <c r="I813" i="6"/>
  <c r="I812" i="6"/>
  <c r="I811" i="6"/>
  <c r="I810" i="6"/>
  <c r="I809" i="6"/>
  <c r="I808" i="6"/>
  <c r="I807" i="6"/>
  <c r="I806" i="6"/>
  <c r="I805" i="6"/>
  <c r="I804" i="6"/>
  <c r="I803" i="6"/>
  <c r="I802" i="6"/>
  <c r="I801" i="6"/>
  <c r="I800" i="6"/>
  <c r="I799" i="6"/>
  <c r="I798" i="6"/>
  <c r="I797" i="6"/>
  <c r="I796" i="6"/>
  <c r="I795" i="6"/>
  <c r="I794" i="6"/>
  <c r="I793" i="6"/>
  <c r="I792" i="6"/>
  <c r="I791" i="6"/>
  <c r="I790" i="6"/>
  <c r="I789" i="6"/>
  <c r="I788" i="6"/>
  <c r="I787" i="6"/>
  <c r="I786" i="6"/>
  <c r="I785" i="6"/>
  <c r="I784" i="6"/>
  <c r="I783" i="6"/>
  <c r="I782" i="6"/>
  <c r="I781" i="6"/>
  <c r="I780" i="6"/>
  <c r="I779" i="6"/>
  <c r="I778" i="6"/>
  <c r="I777" i="6"/>
  <c r="I776" i="6"/>
  <c r="I775" i="6"/>
  <c r="I774" i="6"/>
  <c r="I773" i="6"/>
  <c r="I772" i="6"/>
  <c r="I771" i="6"/>
  <c r="I770" i="6"/>
  <c r="I769" i="6"/>
  <c r="I768" i="6"/>
  <c r="I767" i="6"/>
  <c r="I766" i="6"/>
  <c r="I765" i="6"/>
  <c r="I764" i="6"/>
  <c r="I763" i="6"/>
  <c r="I762" i="6"/>
  <c r="I761" i="6"/>
  <c r="I760" i="6"/>
  <c r="I759" i="6"/>
  <c r="I758" i="6"/>
  <c r="I757" i="6"/>
  <c r="I756" i="6"/>
  <c r="I755" i="6"/>
  <c r="I754" i="6"/>
  <c r="I753" i="6"/>
  <c r="I752" i="6"/>
  <c r="I751" i="6"/>
  <c r="I750" i="6"/>
  <c r="I749" i="6"/>
  <c r="I748" i="6"/>
  <c r="I747" i="6"/>
  <c r="I746" i="6"/>
  <c r="I745" i="6"/>
  <c r="I744" i="6"/>
  <c r="I743" i="6"/>
  <c r="I742" i="6"/>
  <c r="I741" i="6"/>
  <c r="I740" i="6"/>
  <c r="I739" i="6"/>
  <c r="I738" i="6"/>
  <c r="I737" i="6"/>
  <c r="I736" i="6"/>
  <c r="I735" i="6"/>
  <c r="I734" i="6"/>
  <c r="I733" i="6"/>
  <c r="I732" i="6"/>
  <c r="I731" i="6"/>
  <c r="I730" i="6"/>
  <c r="I729" i="6"/>
  <c r="I728" i="6"/>
  <c r="I727" i="6"/>
  <c r="I726" i="6"/>
  <c r="I725" i="6"/>
  <c r="I724" i="6"/>
  <c r="I723" i="6"/>
  <c r="I722" i="6"/>
  <c r="I721" i="6"/>
  <c r="I720" i="6"/>
  <c r="I719" i="6"/>
  <c r="I718" i="6"/>
  <c r="I717" i="6"/>
  <c r="I716" i="6"/>
  <c r="I715" i="6"/>
  <c r="I714" i="6"/>
  <c r="I713" i="6"/>
  <c r="I712" i="6"/>
  <c r="I711" i="6"/>
  <c r="I710" i="6"/>
  <c r="I709" i="6"/>
  <c r="I708" i="6"/>
  <c r="I707" i="6"/>
  <c r="I706" i="6"/>
  <c r="I705" i="6"/>
  <c r="I704" i="6"/>
  <c r="I703" i="6"/>
  <c r="I702" i="6"/>
  <c r="I701" i="6"/>
  <c r="I700" i="6"/>
  <c r="I699" i="6"/>
  <c r="I698" i="6"/>
  <c r="I697" i="6"/>
  <c r="I696" i="6"/>
  <c r="I695" i="6"/>
  <c r="I694" i="6"/>
  <c r="I693" i="6"/>
  <c r="I692" i="6"/>
  <c r="I691" i="6"/>
  <c r="I690" i="6"/>
  <c r="I689" i="6"/>
  <c r="I688" i="6"/>
  <c r="I687" i="6"/>
  <c r="I686" i="6"/>
  <c r="I685" i="6"/>
  <c r="I684" i="6"/>
  <c r="I683" i="6"/>
  <c r="I682" i="6"/>
  <c r="I681" i="6"/>
  <c r="I680" i="6"/>
  <c r="I679" i="6"/>
  <c r="I678" i="6"/>
  <c r="I677" i="6"/>
  <c r="I676" i="6"/>
  <c r="I675" i="6"/>
  <c r="I674" i="6"/>
  <c r="I673" i="6"/>
  <c r="I672" i="6"/>
  <c r="I671" i="6"/>
  <c r="I670" i="6"/>
  <c r="I669" i="6"/>
  <c r="I668" i="6"/>
  <c r="I667" i="6"/>
  <c r="I666" i="6"/>
  <c r="I665" i="6"/>
  <c r="I664" i="6"/>
  <c r="I663" i="6"/>
  <c r="I662" i="6"/>
  <c r="I661" i="6"/>
  <c r="I660" i="6"/>
  <c r="I659" i="6"/>
  <c r="I658" i="6"/>
  <c r="I657" i="6"/>
  <c r="I656" i="6"/>
  <c r="I655" i="6"/>
  <c r="I654" i="6"/>
  <c r="I653" i="6"/>
  <c r="I652" i="6"/>
  <c r="I651" i="6"/>
  <c r="I650" i="6"/>
  <c r="I649" i="6"/>
  <c r="I648" i="6"/>
  <c r="I647" i="6"/>
  <c r="I646" i="6"/>
  <c r="I645" i="6"/>
  <c r="I644" i="6"/>
  <c r="I643" i="6"/>
  <c r="I642" i="6"/>
  <c r="I641" i="6"/>
  <c r="I640" i="6"/>
  <c r="I639" i="6"/>
  <c r="I638" i="6"/>
  <c r="I637" i="6"/>
  <c r="I636" i="6"/>
  <c r="I635" i="6"/>
  <c r="I634" i="6"/>
  <c r="I633" i="6"/>
  <c r="I632" i="6"/>
  <c r="I631" i="6"/>
  <c r="I630" i="6"/>
  <c r="I629" i="6"/>
  <c r="I628" i="6"/>
  <c r="I627" i="6"/>
  <c r="I626" i="6"/>
  <c r="I625" i="6"/>
  <c r="I624" i="6"/>
  <c r="I623" i="6"/>
  <c r="I622" i="6"/>
  <c r="I621" i="6"/>
  <c r="I620" i="6"/>
  <c r="I619" i="6"/>
  <c r="I618" i="6"/>
  <c r="I617" i="6"/>
  <c r="I616" i="6"/>
  <c r="I615" i="6"/>
  <c r="I614" i="6"/>
  <c r="I613" i="6"/>
  <c r="I612" i="6"/>
  <c r="I611" i="6"/>
  <c r="I610" i="6"/>
  <c r="I609" i="6"/>
  <c r="I608" i="6"/>
  <c r="I607" i="6"/>
  <c r="I606" i="6"/>
  <c r="I605" i="6"/>
  <c r="I604" i="6"/>
  <c r="I603" i="6"/>
  <c r="I602" i="6"/>
  <c r="I601" i="6"/>
  <c r="I600" i="6"/>
  <c r="I599" i="6"/>
  <c r="I598" i="6"/>
  <c r="I597" i="6"/>
  <c r="I596" i="6"/>
  <c r="I595" i="6"/>
  <c r="I594" i="6"/>
  <c r="I593" i="6"/>
  <c r="I592" i="6"/>
  <c r="I591" i="6"/>
  <c r="I590" i="6"/>
  <c r="I589" i="6"/>
  <c r="I588" i="6"/>
  <c r="I587" i="6"/>
  <c r="I586" i="6"/>
  <c r="I585" i="6"/>
  <c r="I584" i="6"/>
  <c r="I583" i="6"/>
  <c r="I582" i="6"/>
  <c r="I581" i="6"/>
  <c r="I580" i="6"/>
  <c r="I579" i="6"/>
  <c r="I578" i="6"/>
  <c r="I577" i="6"/>
  <c r="I576" i="6"/>
  <c r="I575" i="6"/>
  <c r="I574" i="6"/>
  <c r="I573" i="6"/>
  <c r="I572" i="6"/>
  <c r="I571" i="6"/>
  <c r="I570" i="6"/>
  <c r="I569" i="6"/>
  <c r="I568" i="6"/>
  <c r="I567" i="6"/>
  <c r="I566" i="6"/>
  <c r="I565" i="6"/>
  <c r="I564" i="6"/>
  <c r="I563" i="6"/>
  <c r="I562" i="6"/>
  <c r="I561" i="6"/>
  <c r="I560" i="6"/>
  <c r="I559" i="6"/>
  <c r="I558" i="6"/>
  <c r="I557" i="6"/>
  <c r="I556" i="6"/>
  <c r="I555" i="6"/>
  <c r="I554" i="6"/>
  <c r="I553" i="6"/>
  <c r="I552" i="6"/>
  <c r="I551" i="6"/>
  <c r="I550" i="6"/>
  <c r="I549" i="6"/>
  <c r="I548" i="6"/>
  <c r="I547" i="6"/>
  <c r="I546" i="6"/>
  <c r="I545" i="6"/>
  <c r="I544" i="6"/>
  <c r="I543" i="6"/>
  <c r="I542" i="6"/>
  <c r="I541" i="6"/>
  <c r="I540" i="6"/>
  <c r="I539" i="6"/>
  <c r="I538" i="6"/>
  <c r="I537" i="6"/>
  <c r="I536" i="6"/>
  <c r="I535" i="6"/>
  <c r="I534" i="6"/>
  <c r="I533" i="6"/>
  <c r="I532" i="6"/>
  <c r="I531" i="6"/>
  <c r="I530" i="6"/>
  <c r="I529" i="6"/>
  <c r="I528" i="6"/>
  <c r="I527" i="6"/>
  <c r="I526" i="6"/>
  <c r="I525" i="6"/>
  <c r="I524" i="6"/>
  <c r="I523" i="6"/>
  <c r="I522" i="6"/>
  <c r="I521" i="6"/>
  <c r="I520" i="6"/>
  <c r="I519" i="6"/>
  <c r="I518" i="6"/>
  <c r="I517" i="6"/>
  <c r="I516" i="6"/>
  <c r="I515" i="6"/>
  <c r="I514" i="6"/>
  <c r="I513" i="6"/>
  <c r="I512" i="6"/>
  <c r="I511" i="6"/>
  <c r="I510" i="6"/>
  <c r="I509" i="6"/>
  <c r="I508" i="6"/>
  <c r="I507" i="6"/>
  <c r="I506" i="6"/>
  <c r="I505" i="6"/>
  <c r="I504" i="6"/>
  <c r="I503" i="6"/>
  <c r="I502" i="6"/>
  <c r="I501" i="6"/>
  <c r="I500" i="6"/>
  <c r="I499" i="6"/>
  <c r="I498" i="6"/>
  <c r="I497" i="6"/>
  <c r="I496" i="6"/>
  <c r="I495" i="6"/>
  <c r="I494" i="6"/>
  <c r="I493" i="6"/>
  <c r="I492" i="6"/>
  <c r="I491" i="6"/>
  <c r="I490" i="6"/>
  <c r="I489" i="6"/>
  <c r="I488" i="6"/>
  <c r="I487" i="6"/>
  <c r="I486" i="6"/>
  <c r="I485" i="6"/>
  <c r="I484" i="6"/>
  <c r="I483" i="6"/>
  <c r="I482" i="6"/>
  <c r="I481" i="6"/>
  <c r="I480" i="6"/>
  <c r="I479" i="6"/>
  <c r="I478" i="6"/>
  <c r="I477" i="6"/>
  <c r="I476" i="6"/>
  <c r="I475" i="6"/>
  <c r="I474" i="6"/>
  <c r="I473" i="6"/>
  <c r="I472" i="6"/>
  <c r="I471" i="6"/>
  <c r="I470" i="6"/>
  <c r="I469" i="6"/>
  <c r="I468" i="6"/>
  <c r="I467" i="6"/>
  <c r="I466" i="6"/>
  <c r="I465" i="6"/>
  <c r="I464" i="6"/>
  <c r="I463" i="6"/>
  <c r="I462" i="6"/>
  <c r="I461" i="6"/>
  <c r="I460" i="6"/>
  <c r="I459" i="6"/>
  <c r="I458" i="6"/>
  <c r="I457" i="6"/>
  <c r="I456" i="6"/>
  <c r="I455" i="6"/>
  <c r="I454" i="6"/>
  <c r="I453" i="6"/>
  <c r="I452" i="6"/>
  <c r="I451" i="6"/>
  <c r="I450" i="6"/>
  <c r="I449" i="6"/>
  <c r="I448" i="6"/>
  <c r="I447" i="6"/>
  <c r="I446" i="6"/>
  <c r="I445" i="6"/>
  <c r="I444" i="6"/>
  <c r="I443" i="6"/>
  <c r="I442" i="6"/>
  <c r="I441" i="6"/>
  <c r="I440" i="6"/>
  <c r="I439" i="6"/>
  <c r="I438" i="6"/>
  <c r="I437" i="6"/>
  <c r="I436" i="6"/>
  <c r="I435" i="6"/>
  <c r="I434" i="6"/>
  <c r="I433" i="6"/>
  <c r="I432" i="6"/>
  <c r="I431" i="6"/>
  <c r="I430" i="6"/>
  <c r="I429" i="6"/>
  <c r="I428" i="6"/>
  <c r="I427" i="6"/>
  <c r="I426" i="6"/>
  <c r="I425" i="6"/>
  <c r="I424" i="6"/>
  <c r="I423" i="6"/>
  <c r="I422" i="6"/>
  <c r="I421" i="6"/>
  <c r="I420" i="6"/>
  <c r="I419" i="6"/>
  <c r="I418" i="6"/>
  <c r="I417" i="6"/>
  <c r="I416" i="6"/>
  <c r="I415" i="6"/>
  <c r="I414" i="6"/>
  <c r="I413" i="6"/>
  <c r="I412" i="6"/>
  <c r="I411" i="6"/>
  <c r="I410" i="6"/>
  <c r="I409" i="6"/>
  <c r="I408" i="6"/>
  <c r="I407" i="6"/>
  <c r="I406" i="6"/>
  <c r="I405" i="6"/>
  <c r="I404" i="6"/>
  <c r="I403" i="6"/>
  <c r="I402" i="6"/>
  <c r="I401" i="6"/>
  <c r="I400" i="6"/>
  <c r="I399" i="6"/>
  <c r="I398" i="6"/>
  <c r="I397" i="6"/>
  <c r="I396" i="6"/>
  <c r="I395" i="6"/>
  <c r="I394" i="6"/>
  <c r="I393" i="6"/>
  <c r="I392" i="6"/>
  <c r="I391" i="6"/>
  <c r="I390" i="6"/>
  <c r="I389" i="6"/>
  <c r="I388" i="6"/>
  <c r="I387" i="6"/>
  <c r="I386" i="6"/>
  <c r="I385" i="6"/>
  <c r="I384" i="6"/>
  <c r="I383" i="6"/>
  <c r="I382" i="6"/>
  <c r="I381" i="6"/>
  <c r="I380" i="6"/>
  <c r="I379" i="6"/>
  <c r="I378" i="6"/>
  <c r="I377" i="6"/>
  <c r="I376" i="6"/>
  <c r="I375" i="6"/>
  <c r="I374" i="6"/>
  <c r="I373" i="6"/>
  <c r="I372" i="6"/>
  <c r="I371" i="6"/>
  <c r="I370" i="6"/>
  <c r="I369" i="6"/>
  <c r="I368" i="6"/>
  <c r="I367" i="6"/>
  <c r="I366" i="6"/>
  <c r="I365" i="6"/>
  <c r="I364" i="6"/>
  <c r="I363" i="6"/>
  <c r="I362" i="6"/>
  <c r="I361" i="6"/>
  <c r="I360" i="6"/>
  <c r="I359" i="6"/>
  <c r="I358" i="6"/>
  <c r="I357" i="6"/>
  <c r="I356" i="6"/>
  <c r="I355" i="6"/>
  <c r="I354" i="6"/>
  <c r="I353" i="6"/>
  <c r="I352" i="6"/>
  <c r="I351" i="6"/>
  <c r="I350" i="6"/>
  <c r="I349" i="6"/>
  <c r="I348" i="6"/>
  <c r="I347" i="6"/>
  <c r="I346" i="6"/>
  <c r="I345" i="6"/>
  <c r="I344" i="6"/>
  <c r="I343" i="6"/>
  <c r="I342" i="6"/>
  <c r="I341" i="6"/>
  <c r="I340" i="6"/>
  <c r="I339" i="6"/>
  <c r="I338" i="6"/>
  <c r="I337" i="6"/>
  <c r="I336" i="6"/>
  <c r="I335" i="6"/>
  <c r="I334" i="6"/>
  <c r="I333" i="6"/>
  <c r="I332" i="6"/>
  <c r="I331" i="6"/>
  <c r="I330" i="6"/>
  <c r="I329" i="6"/>
  <c r="I328" i="6"/>
  <c r="I327" i="6"/>
  <c r="I326" i="6"/>
  <c r="I325" i="6"/>
  <c r="I324" i="6"/>
  <c r="I323" i="6"/>
  <c r="I322" i="6"/>
  <c r="I321" i="6"/>
  <c r="I320" i="6"/>
  <c r="I319" i="6"/>
  <c r="I318" i="6"/>
  <c r="I317" i="6"/>
  <c r="I316" i="6"/>
  <c r="I315" i="6"/>
  <c r="I314" i="6"/>
  <c r="I313" i="6"/>
  <c r="I312" i="6"/>
  <c r="I311" i="6"/>
  <c r="I310" i="6"/>
  <c r="I309" i="6"/>
  <c r="I308" i="6"/>
  <c r="I307" i="6"/>
  <c r="I306" i="6"/>
  <c r="I305" i="6"/>
  <c r="I304" i="6"/>
  <c r="I303" i="6"/>
  <c r="I302" i="6"/>
  <c r="I301" i="6"/>
  <c r="I300" i="6"/>
  <c r="I299" i="6"/>
  <c r="I298" i="6"/>
  <c r="I297" i="6"/>
  <c r="I296" i="6"/>
  <c r="I295" i="6"/>
  <c r="I294" i="6"/>
  <c r="I293" i="6"/>
  <c r="I292" i="6"/>
  <c r="I291" i="6"/>
  <c r="I290" i="6"/>
  <c r="I289" i="6"/>
  <c r="I288" i="6"/>
  <c r="I287" i="6"/>
  <c r="I286" i="6"/>
  <c r="I285" i="6"/>
  <c r="I284" i="6"/>
  <c r="I283" i="6"/>
  <c r="I282" i="6"/>
  <c r="I281" i="6"/>
  <c r="I280" i="6"/>
  <c r="I279" i="6"/>
  <c r="I278" i="6"/>
  <c r="I277" i="6"/>
  <c r="I276" i="6"/>
  <c r="I275" i="6"/>
  <c r="I274" i="6"/>
  <c r="I273" i="6"/>
  <c r="I272" i="6"/>
  <c r="I271" i="6"/>
  <c r="I270" i="6"/>
  <c r="I269" i="6"/>
  <c r="I268" i="6"/>
  <c r="I267" i="6"/>
  <c r="I266" i="6"/>
  <c r="I265" i="6"/>
  <c r="I264" i="6"/>
  <c r="I263" i="6"/>
  <c r="I262" i="6"/>
  <c r="I261" i="6"/>
  <c r="I260" i="6"/>
  <c r="I259" i="6"/>
  <c r="I258" i="6"/>
  <c r="I257" i="6"/>
  <c r="I256" i="6"/>
  <c r="I255" i="6"/>
  <c r="I254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D2000" i="6"/>
  <c r="D1999" i="6"/>
  <c r="D1998" i="6"/>
  <c r="D1997" i="6"/>
  <c r="D1996" i="6"/>
  <c r="D1995" i="6"/>
  <c r="D1994" i="6"/>
  <c r="D1993" i="6"/>
  <c r="D1992" i="6"/>
  <c r="D1991" i="6"/>
  <c r="D1990" i="6"/>
  <c r="D1989" i="6"/>
  <c r="D1988" i="6"/>
  <c r="D1987" i="6"/>
  <c r="D1986" i="6"/>
  <c r="D1985" i="6"/>
  <c r="D1984" i="6"/>
  <c r="D1983" i="6"/>
  <c r="D1982" i="6"/>
  <c r="D1981" i="6"/>
  <c r="D1980" i="6"/>
  <c r="D1979" i="6"/>
  <c r="D1978" i="6"/>
  <c r="D1977" i="6"/>
  <c r="D1976" i="6"/>
  <c r="D1975" i="6"/>
  <c r="D1974" i="6"/>
  <c r="D1973" i="6"/>
  <c r="D1972" i="6"/>
  <c r="D1971" i="6"/>
  <c r="D1970" i="6"/>
  <c r="D1969" i="6"/>
  <c r="D1968" i="6"/>
  <c r="D1967" i="6"/>
  <c r="D1966" i="6"/>
  <c r="D1965" i="6"/>
  <c r="D1964" i="6"/>
  <c r="D1963" i="6"/>
  <c r="D1962" i="6"/>
  <c r="D1961" i="6"/>
  <c r="D1960" i="6"/>
  <c r="D1959" i="6"/>
  <c r="D1958" i="6"/>
  <c r="D1957" i="6"/>
  <c r="D1956" i="6"/>
  <c r="D1955" i="6"/>
  <c r="D1954" i="6"/>
  <c r="D1953" i="6"/>
  <c r="D1952" i="6"/>
  <c r="D1951" i="6"/>
  <c r="D1950" i="6"/>
  <c r="D1949" i="6"/>
  <c r="D1948" i="6"/>
  <c r="D1947" i="6"/>
  <c r="D1946" i="6"/>
  <c r="D1945" i="6"/>
  <c r="D1944" i="6"/>
  <c r="D1943" i="6"/>
  <c r="D1942" i="6"/>
  <c r="D1941" i="6"/>
  <c r="D1940" i="6"/>
  <c r="D1939" i="6"/>
  <c r="D1938" i="6"/>
  <c r="D1937" i="6"/>
  <c r="D1936" i="6"/>
  <c r="D1935" i="6"/>
  <c r="D1934" i="6"/>
  <c r="D1933" i="6"/>
  <c r="D1932" i="6"/>
  <c r="D1931" i="6"/>
  <c r="D1930" i="6"/>
  <c r="D1929" i="6"/>
  <c r="D1928" i="6"/>
  <c r="D1927" i="6"/>
  <c r="D1926" i="6"/>
  <c r="D1925" i="6"/>
  <c r="D1924" i="6"/>
  <c r="D1923" i="6"/>
  <c r="D1922" i="6"/>
  <c r="D1921" i="6"/>
  <c r="D1920" i="6"/>
  <c r="D1919" i="6"/>
  <c r="D1918" i="6"/>
  <c r="D1917" i="6"/>
  <c r="D1916" i="6"/>
  <c r="D1915" i="6"/>
  <c r="D1914" i="6"/>
  <c r="D1913" i="6"/>
  <c r="D1912" i="6"/>
  <c r="D1911" i="6"/>
  <c r="D1910" i="6"/>
  <c r="D1909" i="6"/>
  <c r="D1908" i="6"/>
  <c r="D1907" i="6"/>
  <c r="D1906" i="6"/>
  <c r="D1905" i="6"/>
  <c r="D1904" i="6"/>
  <c r="D1903" i="6"/>
  <c r="D1902" i="6"/>
  <c r="D1901" i="6"/>
  <c r="D1900" i="6"/>
  <c r="D1899" i="6"/>
  <c r="D1898" i="6"/>
  <c r="D1897" i="6"/>
  <c r="D1896" i="6"/>
  <c r="D1895" i="6"/>
  <c r="D1894" i="6"/>
  <c r="D1893" i="6"/>
  <c r="D1892" i="6"/>
  <c r="D1891" i="6"/>
  <c r="D1890" i="6"/>
  <c r="D1889" i="6"/>
  <c r="D1888" i="6"/>
  <c r="D1887" i="6"/>
  <c r="D1886" i="6"/>
  <c r="D1885" i="6"/>
  <c r="D1884" i="6"/>
  <c r="D1883" i="6"/>
  <c r="D1882" i="6"/>
  <c r="D1881" i="6"/>
  <c r="D1880" i="6"/>
  <c r="D1879" i="6"/>
  <c r="D1878" i="6"/>
  <c r="D1877" i="6"/>
  <c r="D1876" i="6"/>
  <c r="D1875" i="6"/>
  <c r="D1874" i="6"/>
  <c r="D1873" i="6"/>
  <c r="D1872" i="6"/>
  <c r="D1871" i="6"/>
  <c r="D1870" i="6"/>
  <c r="D1869" i="6"/>
  <c r="D1868" i="6"/>
  <c r="D1867" i="6"/>
  <c r="D1866" i="6"/>
  <c r="D1865" i="6"/>
  <c r="D1864" i="6"/>
  <c r="D1863" i="6"/>
  <c r="D1862" i="6"/>
  <c r="D1861" i="6"/>
  <c r="D1860" i="6"/>
  <c r="D1859" i="6"/>
  <c r="D1858" i="6"/>
  <c r="D1857" i="6"/>
  <c r="D1856" i="6"/>
  <c r="D1855" i="6"/>
  <c r="D1854" i="6"/>
  <c r="D1853" i="6"/>
  <c r="D1852" i="6"/>
  <c r="D1851" i="6"/>
  <c r="D1850" i="6"/>
  <c r="D1849" i="6"/>
  <c r="D1848" i="6"/>
  <c r="D1847" i="6"/>
  <c r="D1846" i="6"/>
  <c r="D1845" i="6"/>
  <c r="D1844" i="6"/>
  <c r="D1843" i="6"/>
  <c r="D1842" i="6"/>
  <c r="D1841" i="6"/>
  <c r="D1840" i="6"/>
  <c r="D1839" i="6"/>
  <c r="D1838" i="6"/>
  <c r="D1837" i="6"/>
  <c r="D1836" i="6"/>
  <c r="D1835" i="6"/>
  <c r="D1834" i="6"/>
  <c r="D1833" i="6"/>
  <c r="D1832" i="6"/>
  <c r="D1831" i="6"/>
  <c r="D1830" i="6"/>
  <c r="D1829" i="6"/>
  <c r="D1828" i="6"/>
  <c r="D1827" i="6"/>
  <c r="D1826" i="6"/>
  <c r="D1825" i="6"/>
  <c r="D1824" i="6"/>
  <c r="D1823" i="6"/>
  <c r="D1822" i="6"/>
  <c r="D1821" i="6"/>
  <c r="D1820" i="6"/>
  <c r="D1819" i="6"/>
  <c r="D1818" i="6"/>
  <c r="D1817" i="6"/>
  <c r="D1816" i="6"/>
  <c r="D1815" i="6"/>
  <c r="D1814" i="6"/>
  <c r="D1813" i="6"/>
  <c r="D1812" i="6"/>
  <c r="D1811" i="6"/>
  <c r="D1810" i="6"/>
  <c r="D1809" i="6"/>
  <c r="D1808" i="6"/>
  <c r="D1807" i="6"/>
  <c r="D1806" i="6"/>
  <c r="D1805" i="6"/>
  <c r="D1804" i="6"/>
  <c r="D1803" i="6"/>
  <c r="D1802" i="6"/>
  <c r="D1801" i="6"/>
  <c r="D1800" i="6"/>
  <c r="D1799" i="6"/>
  <c r="D1798" i="6"/>
  <c r="D1797" i="6"/>
  <c r="D1796" i="6"/>
  <c r="D1795" i="6"/>
  <c r="D1794" i="6"/>
  <c r="D1793" i="6"/>
  <c r="D1792" i="6"/>
  <c r="D1791" i="6"/>
  <c r="D1790" i="6"/>
  <c r="D1789" i="6"/>
  <c r="D1788" i="6"/>
  <c r="D1787" i="6"/>
  <c r="D1786" i="6"/>
  <c r="D1785" i="6"/>
  <c r="D1784" i="6"/>
  <c r="D1783" i="6"/>
  <c r="D1782" i="6"/>
  <c r="D1781" i="6"/>
  <c r="D1780" i="6"/>
  <c r="D1779" i="6"/>
  <c r="D1778" i="6"/>
  <c r="D1777" i="6"/>
  <c r="D1776" i="6"/>
  <c r="D1775" i="6"/>
  <c r="D1774" i="6"/>
  <c r="D1773" i="6"/>
  <c r="D1772" i="6"/>
  <c r="D1771" i="6"/>
  <c r="D1770" i="6"/>
  <c r="D1769" i="6"/>
  <c r="D1768" i="6"/>
  <c r="D1767" i="6"/>
  <c r="D1766" i="6"/>
  <c r="D1765" i="6"/>
  <c r="D1764" i="6"/>
  <c r="D1763" i="6"/>
  <c r="D1762" i="6"/>
  <c r="D1761" i="6"/>
  <c r="D1760" i="6"/>
  <c r="D1759" i="6"/>
  <c r="D1758" i="6"/>
  <c r="D1757" i="6"/>
  <c r="D1756" i="6"/>
  <c r="D1755" i="6"/>
  <c r="D1754" i="6"/>
  <c r="D1753" i="6"/>
  <c r="D1752" i="6"/>
  <c r="D1751" i="6"/>
  <c r="D1750" i="6"/>
  <c r="D1749" i="6"/>
  <c r="D1748" i="6"/>
  <c r="D1747" i="6"/>
  <c r="D1746" i="6"/>
  <c r="D1745" i="6"/>
  <c r="D1744" i="6"/>
  <c r="D1743" i="6"/>
  <c r="D1742" i="6"/>
  <c r="D1741" i="6"/>
  <c r="D1740" i="6"/>
  <c r="D1739" i="6"/>
  <c r="D1738" i="6"/>
  <c r="D1737" i="6"/>
  <c r="D1736" i="6"/>
  <c r="D1735" i="6"/>
  <c r="D1734" i="6"/>
  <c r="D1733" i="6"/>
  <c r="D1732" i="6"/>
  <c r="D1731" i="6"/>
  <c r="D1730" i="6"/>
  <c r="D1729" i="6"/>
  <c r="D1728" i="6"/>
  <c r="D1727" i="6"/>
  <c r="D1726" i="6"/>
  <c r="D1725" i="6"/>
  <c r="D1724" i="6"/>
  <c r="D1723" i="6"/>
  <c r="D1722" i="6"/>
  <c r="D1721" i="6"/>
  <c r="D1720" i="6"/>
  <c r="D1719" i="6"/>
  <c r="D1718" i="6"/>
  <c r="D1717" i="6"/>
  <c r="D1716" i="6"/>
  <c r="D1715" i="6"/>
  <c r="D1714" i="6"/>
  <c r="D1713" i="6"/>
  <c r="D1712" i="6"/>
  <c r="D1711" i="6"/>
  <c r="D1710" i="6"/>
  <c r="D1709" i="6"/>
  <c r="D1708" i="6"/>
  <c r="D1707" i="6"/>
  <c r="D1706" i="6"/>
  <c r="D1705" i="6"/>
  <c r="D1704" i="6"/>
  <c r="D1703" i="6"/>
  <c r="D1702" i="6"/>
  <c r="D1701" i="6"/>
  <c r="D1700" i="6"/>
  <c r="D1699" i="6"/>
  <c r="D1698" i="6"/>
  <c r="D1697" i="6"/>
  <c r="D1696" i="6"/>
  <c r="D1695" i="6"/>
  <c r="D1694" i="6"/>
  <c r="D1693" i="6"/>
  <c r="D1692" i="6"/>
  <c r="D1691" i="6"/>
  <c r="D1690" i="6"/>
  <c r="D1689" i="6"/>
  <c r="D1688" i="6"/>
  <c r="D1687" i="6"/>
  <c r="D1686" i="6"/>
  <c r="D1685" i="6"/>
  <c r="D1684" i="6"/>
  <c r="D1683" i="6"/>
  <c r="D1682" i="6"/>
  <c r="D1681" i="6"/>
  <c r="D1680" i="6"/>
  <c r="D1679" i="6"/>
  <c r="D1678" i="6"/>
  <c r="D1677" i="6"/>
  <c r="D1676" i="6"/>
  <c r="D1675" i="6"/>
  <c r="D1674" i="6"/>
  <c r="D1673" i="6"/>
  <c r="D1672" i="6"/>
  <c r="D1671" i="6"/>
  <c r="D1670" i="6"/>
  <c r="D1669" i="6"/>
  <c r="D1668" i="6"/>
  <c r="D1667" i="6"/>
  <c r="D1666" i="6"/>
  <c r="D1665" i="6"/>
  <c r="D1664" i="6"/>
  <c r="D1663" i="6"/>
  <c r="D1662" i="6"/>
  <c r="D1661" i="6"/>
  <c r="D1660" i="6"/>
  <c r="D1659" i="6"/>
  <c r="D1658" i="6"/>
  <c r="D1657" i="6"/>
  <c r="D1656" i="6"/>
  <c r="D1655" i="6"/>
  <c r="D1654" i="6"/>
  <c r="D1653" i="6"/>
  <c r="D1652" i="6"/>
  <c r="D1651" i="6"/>
  <c r="D1650" i="6"/>
  <c r="D1649" i="6"/>
  <c r="D1648" i="6"/>
  <c r="D1647" i="6"/>
  <c r="D1646" i="6"/>
  <c r="D1645" i="6"/>
  <c r="D1644" i="6"/>
  <c r="D1643" i="6"/>
  <c r="D1642" i="6"/>
  <c r="D1641" i="6"/>
  <c r="D1640" i="6"/>
  <c r="D1639" i="6"/>
  <c r="D1638" i="6"/>
  <c r="D1637" i="6"/>
  <c r="D1636" i="6"/>
  <c r="D1635" i="6"/>
  <c r="D1634" i="6"/>
  <c r="D1633" i="6"/>
  <c r="D1632" i="6"/>
  <c r="D1631" i="6"/>
  <c r="D1630" i="6"/>
  <c r="D1629" i="6"/>
  <c r="D1628" i="6"/>
  <c r="D1627" i="6"/>
  <c r="D1626" i="6"/>
  <c r="D1625" i="6"/>
  <c r="D1624" i="6"/>
  <c r="D1623" i="6"/>
  <c r="D1622" i="6"/>
  <c r="D1621" i="6"/>
  <c r="D1620" i="6"/>
  <c r="D1619" i="6"/>
  <c r="D1618" i="6"/>
  <c r="D1617" i="6"/>
  <c r="D1616" i="6"/>
  <c r="D1615" i="6"/>
  <c r="D1614" i="6"/>
  <c r="D1613" i="6"/>
  <c r="D1612" i="6"/>
  <c r="D1611" i="6"/>
  <c r="D1610" i="6"/>
  <c r="D1609" i="6"/>
  <c r="D1608" i="6"/>
  <c r="D1607" i="6"/>
  <c r="D1606" i="6"/>
  <c r="D1605" i="6"/>
  <c r="D1604" i="6"/>
  <c r="D1603" i="6"/>
  <c r="D1602" i="6"/>
  <c r="D1601" i="6"/>
  <c r="D1600" i="6"/>
  <c r="D1599" i="6"/>
  <c r="D1598" i="6"/>
  <c r="D1597" i="6"/>
  <c r="D1596" i="6"/>
  <c r="D1595" i="6"/>
  <c r="D1594" i="6"/>
  <c r="D1593" i="6"/>
  <c r="D1592" i="6"/>
  <c r="D1591" i="6"/>
  <c r="D1590" i="6"/>
  <c r="D1589" i="6"/>
  <c r="D1588" i="6"/>
  <c r="D1587" i="6"/>
  <c r="D1586" i="6"/>
  <c r="D1585" i="6"/>
  <c r="D1584" i="6"/>
  <c r="D1583" i="6"/>
  <c r="D1582" i="6"/>
  <c r="D1581" i="6"/>
  <c r="D1580" i="6"/>
  <c r="D1579" i="6"/>
  <c r="D1578" i="6"/>
  <c r="D1577" i="6"/>
  <c r="D1576" i="6"/>
  <c r="D1575" i="6"/>
  <c r="D1574" i="6"/>
  <c r="D1573" i="6"/>
  <c r="D1572" i="6"/>
  <c r="D1571" i="6"/>
  <c r="D1570" i="6"/>
  <c r="D1569" i="6"/>
  <c r="D1568" i="6"/>
  <c r="D1567" i="6"/>
  <c r="D1566" i="6"/>
  <c r="D1565" i="6"/>
  <c r="D1564" i="6"/>
  <c r="D1563" i="6"/>
  <c r="D1562" i="6"/>
  <c r="D1561" i="6"/>
  <c r="D1560" i="6"/>
  <c r="D1559" i="6"/>
  <c r="D1558" i="6"/>
  <c r="D1557" i="6"/>
  <c r="D1556" i="6"/>
  <c r="D1555" i="6"/>
  <c r="D1554" i="6"/>
  <c r="D1553" i="6"/>
  <c r="D1552" i="6"/>
  <c r="D1551" i="6"/>
  <c r="D1550" i="6"/>
  <c r="D1549" i="6"/>
  <c r="D1548" i="6"/>
  <c r="D1547" i="6"/>
  <c r="D1546" i="6"/>
  <c r="D1545" i="6"/>
  <c r="D1544" i="6"/>
  <c r="D1543" i="6"/>
  <c r="D1542" i="6"/>
  <c r="D1541" i="6"/>
  <c r="D1540" i="6"/>
  <c r="D1539" i="6"/>
  <c r="D1538" i="6"/>
  <c r="D1537" i="6"/>
  <c r="D1536" i="6"/>
  <c r="D1535" i="6"/>
  <c r="D1534" i="6"/>
  <c r="D1533" i="6"/>
  <c r="D1532" i="6"/>
  <c r="D1531" i="6"/>
  <c r="D1530" i="6"/>
  <c r="D1529" i="6"/>
  <c r="D1528" i="6"/>
  <c r="D1527" i="6"/>
  <c r="D1526" i="6"/>
  <c r="D1525" i="6"/>
  <c r="D1524" i="6"/>
  <c r="D1523" i="6"/>
  <c r="D1522" i="6"/>
  <c r="D1521" i="6"/>
  <c r="D1520" i="6"/>
  <c r="D1519" i="6"/>
  <c r="D1518" i="6"/>
  <c r="D1517" i="6"/>
  <c r="D1516" i="6"/>
  <c r="D1515" i="6"/>
  <c r="D1514" i="6"/>
  <c r="D1513" i="6"/>
  <c r="D1512" i="6"/>
  <c r="D1511" i="6"/>
  <c r="D1510" i="6"/>
  <c r="D1509" i="6"/>
  <c r="D1508" i="6"/>
  <c r="D1507" i="6"/>
  <c r="D1506" i="6"/>
  <c r="D1505" i="6"/>
  <c r="D1504" i="6"/>
  <c r="D1503" i="6"/>
  <c r="D1502" i="6"/>
  <c r="D1501" i="6"/>
  <c r="D1500" i="6"/>
  <c r="D1499" i="6"/>
  <c r="D1498" i="6"/>
  <c r="D1497" i="6"/>
  <c r="D1496" i="6"/>
  <c r="D1495" i="6"/>
  <c r="D1494" i="6"/>
  <c r="D1493" i="6"/>
  <c r="D1492" i="6"/>
  <c r="D1491" i="6"/>
  <c r="D1490" i="6"/>
  <c r="D1489" i="6"/>
  <c r="D1488" i="6"/>
  <c r="D1487" i="6"/>
  <c r="D1486" i="6"/>
  <c r="D1485" i="6"/>
  <c r="D1484" i="6"/>
  <c r="D1483" i="6"/>
  <c r="D1482" i="6"/>
  <c r="D1481" i="6"/>
  <c r="D1480" i="6"/>
  <c r="D1479" i="6"/>
  <c r="D1478" i="6"/>
  <c r="D1477" i="6"/>
  <c r="D1476" i="6"/>
  <c r="D1475" i="6"/>
  <c r="D1474" i="6"/>
  <c r="D1473" i="6"/>
  <c r="D1472" i="6"/>
  <c r="D1471" i="6"/>
  <c r="D1470" i="6"/>
  <c r="D1469" i="6"/>
  <c r="D1468" i="6"/>
  <c r="D1467" i="6"/>
  <c r="D1466" i="6"/>
  <c r="D1465" i="6"/>
  <c r="D1464" i="6"/>
  <c r="D1463" i="6"/>
  <c r="D1462" i="6"/>
  <c r="D1461" i="6"/>
  <c r="D1460" i="6"/>
  <c r="D1459" i="6"/>
  <c r="D1458" i="6"/>
  <c r="D1457" i="6"/>
  <c r="D1456" i="6"/>
  <c r="D1455" i="6"/>
  <c r="D1454" i="6"/>
  <c r="D1453" i="6"/>
  <c r="D1452" i="6"/>
  <c r="D1451" i="6"/>
  <c r="D1450" i="6"/>
  <c r="D1449" i="6"/>
  <c r="D1448" i="6"/>
  <c r="D1447" i="6"/>
  <c r="D1446" i="6"/>
  <c r="D1445" i="6"/>
  <c r="D1444" i="6"/>
  <c r="D1443" i="6"/>
  <c r="D1442" i="6"/>
  <c r="D1441" i="6"/>
  <c r="D1440" i="6"/>
  <c r="D1439" i="6"/>
  <c r="D1438" i="6"/>
  <c r="D1437" i="6"/>
  <c r="D1436" i="6"/>
  <c r="D1435" i="6"/>
  <c r="D1434" i="6"/>
  <c r="D1433" i="6"/>
  <c r="D1432" i="6"/>
  <c r="D1431" i="6"/>
  <c r="D1430" i="6"/>
  <c r="D1429" i="6"/>
  <c r="D1428" i="6"/>
  <c r="D1427" i="6"/>
  <c r="D1426" i="6"/>
  <c r="D1425" i="6"/>
  <c r="D1424" i="6"/>
  <c r="D1423" i="6"/>
  <c r="D1422" i="6"/>
  <c r="D1421" i="6"/>
  <c r="D1420" i="6"/>
  <c r="D1419" i="6"/>
  <c r="D1418" i="6"/>
  <c r="D1417" i="6"/>
  <c r="D1416" i="6"/>
  <c r="D1415" i="6"/>
  <c r="D1414" i="6"/>
  <c r="D1413" i="6"/>
  <c r="D1412" i="6"/>
  <c r="D1411" i="6"/>
  <c r="D1410" i="6"/>
  <c r="D1409" i="6"/>
  <c r="D1408" i="6"/>
  <c r="D1407" i="6"/>
  <c r="D1406" i="6"/>
  <c r="D1405" i="6"/>
  <c r="D1404" i="6"/>
  <c r="D1403" i="6"/>
  <c r="D1402" i="6"/>
  <c r="D1401" i="6"/>
  <c r="D1400" i="6"/>
  <c r="D1399" i="6"/>
  <c r="D1398" i="6"/>
  <c r="D1397" i="6"/>
  <c r="D1396" i="6"/>
  <c r="D1395" i="6"/>
  <c r="D1394" i="6"/>
  <c r="D1393" i="6"/>
  <c r="D1392" i="6"/>
  <c r="D1391" i="6"/>
  <c r="D1390" i="6"/>
  <c r="D1389" i="6"/>
  <c r="D1388" i="6"/>
  <c r="D1387" i="6"/>
  <c r="D1386" i="6"/>
  <c r="D1385" i="6"/>
  <c r="D1384" i="6"/>
  <c r="D1383" i="6"/>
  <c r="D1382" i="6"/>
  <c r="D1381" i="6"/>
  <c r="D1380" i="6"/>
  <c r="D1379" i="6"/>
  <c r="D1378" i="6"/>
  <c r="D1377" i="6"/>
  <c r="D1376" i="6"/>
  <c r="D1375" i="6"/>
  <c r="D1374" i="6"/>
  <c r="D1373" i="6"/>
  <c r="D1372" i="6"/>
  <c r="D1371" i="6"/>
  <c r="D1370" i="6"/>
  <c r="D1369" i="6"/>
  <c r="D1368" i="6"/>
  <c r="D1367" i="6"/>
  <c r="D1366" i="6"/>
  <c r="D1365" i="6"/>
  <c r="D1364" i="6"/>
  <c r="D1363" i="6"/>
  <c r="D1362" i="6"/>
  <c r="D1361" i="6"/>
  <c r="D1360" i="6"/>
  <c r="D1359" i="6"/>
  <c r="D1358" i="6"/>
  <c r="D1357" i="6"/>
  <c r="D1356" i="6"/>
  <c r="D1355" i="6"/>
  <c r="D1354" i="6"/>
  <c r="D1353" i="6"/>
  <c r="D1352" i="6"/>
  <c r="D1351" i="6"/>
  <c r="D1350" i="6"/>
  <c r="D1349" i="6"/>
  <c r="D1348" i="6"/>
  <c r="D1347" i="6"/>
  <c r="D1346" i="6"/>
  <c r="D1345" i="6"/>
  <c r="D1344" i="6"/>
  <c r="D1343" i="6"/>
  <c r="D1342" i="6"/>
  <c r="D1341" i="6"/>
  <c r="D1340" i="6"/>
  <c r="D1339" i="6"/>
  <c r="D1338" i="6"/>
  <c r="D1337" i="6"/>
  <c r="D1336" i="6"/>
  <c r="D1335" i="6"/>
  <c r="D1334" i="6"/>
  <c r="D1333" i="6"/>
  <c r="D1332" i="6"/>
  <c r="D1331" i="6"/>
  <c r="D1330" i="6"/>
  <c r="D1329" i="6"/>
  <c r="D1328" i="6"/>
  <c r="D1327" i="6"/>
  <c r="D1326" i="6"/>
  <c r="D1325" i="6"/>
  <c r="D1324" i="6"/>
  <c r="D1323" i="6"/>
  <c r="D1322" i="6"/>
  <c r="D1321" i="6"/>
  <c r="D1320" i="6"/>
  <c r="D1319" i="6"/>
  <c r="D1318" i="6"/>
  <c r="D1317" i="6"/>
  <c r="D1316" i="6"/>
  <c r="D1315" i="6"/>
  <c r="D1314" i="6"/>
  <c r="D1313" i="6"/>
  <c r="D1312" i="6"/>
  <c r="D1311" i="6"/>
  <c r="D1310" i="6"/>
  <c r="D1309" i="6"/>
  <c r="D1308" i="6"/>
  <c r="D1307" i="6"/>
  <c r="D1306" i="6"/>
  <c r="D1305" i="6"/>
  <c r="D1304" i="6"/>
  <c r="D1303" i="6"/>
  <c r="D1302" i="6"/>
  <c r="D1301" i="6"/>
  <c r="D1300" i="6"/>
  <c r="D1299" i="6"/>
  <c r="D1298" i="6"/>
  <c r="D1297" i="6"/>
  <c r="D1296" i="6"/>
  <c r="D1295" i="6"/>
  <c r="D1294" i="6"/>
  <c r="D1293" i="6"/>
  <c r="D1292" i="6"/>
  <c r="D1291" i="6"/>
  <c r="D1290" i="6"/>
  <c r="D1289" i="6"/>
  <c r="D1288" i="6"/>
  <c r="D1287" i="6"/>
  <c r="D1286" i="6"/>
  <c r="D1285" i="6"/>
  <c r="D1284" i="6"/>
  <c r="D1283" i="6"/>
  <c r="D1282" i="6"/>
  <c r="D1281" i="6"/>
  <c r="D1280" i="6"/>
  <c r="D1279" i="6"/>
  <c r="D1278" i="6"/>
  <c r="D1277" i="6"/>
  <c r="D1276" i="6"/>
  <c r="D1275" i="6"/>
  <c r="D1274" i="6"/>
  <c r="D1273" i="6"/>
  <c r="D1272" i="6"/>
  <c r="D1271" i="6"/>
  <c r="D1270" i="6"/>
  <c r="D1269" i="6"/>
  <c r="D1268" i="6"/>
  <c r="D1267" i="6"/>
  <c r="D1266" i="6"/>
  <c r="D1265" i="6"/>
  <c r="D1264" i="6"/>
  <c r="D1263" i="6"/>
  <c r="D1262" i="6"/>
  <c r="D1261" i="6"/>
  <c r="D1260" i="6"/>
  <c r="D1259" i="6"/>
  <c r="D1258" i="6"/>
  <c r="D1257" i="6"/>
  <c r="D1256" i="6"/>
  <c r="D1255" i="6"/>
  <c r="D1254" i="6"/>
  <c r="D1253" i="6"/>
  <c r="D1252" i="6"/>
  <c r="D1251" i="6"/>
  <c r="D1250" i="6"/>
  <c r="D1249" i="6"/>
  <c r="D1248" i="6"/>
  <c r="D1247" i="6"/>
  <c r="D1246" i="6"/>
  <c r="D1245" i="6"/>
  <c r="D1244" i="6"/>
  <c r="D1243" i="6"/>
  <c r="D1242" i="6"/>
  <c r="D1241" i="6"/>
  <c r="D1240" i="6"/>
  <c r="D1239" i="6"/>
  <c r="D1238" i="6"/>
  <c r="D1237" i="6"/>
  <c r="D1236" i="6"/>
  <c r="D1235" i="6"/>
  <c r="D1234" i="6"/>
  <c r="D1233" i="6"/>
  <c r="D1232" i="6"/>
  <c r="D1231" i="6"/>
  <c r="D1230" i="6"/>
  <c r="D1229" i="6"/>
  <c r="D1228" i="6"/>
  <c r="D1227" i="6"/>
  <c r="D1226" i="6"/>
  <c r="D1225" i="6"/>
  <c r="D1224" i="6"/>
  <c r="D1223" i="6"/>
  <c r="D1222" i="6"/>
  <c r="D1221" i="6"/>
  <c r="D1220" i="6"/>
  <c r="D1219" i="6"/>
  <c r="D1218" i="6"/>
  <c r="D1217" i="6"/>
  <c r="D1216" i="6"/>
  <c r="D1215" i="6"/>
  <c r="D1214" i="6"/>
  <c r="D1213" i="6"/>
  <c r="D1212" i="6"/>
  <c r="D1211" i="6"/>
  <c r="D1210" i="6"/>
  <c r="D1209" i="6"/>
  <c r="D1208" i="6"/>
  <c r="D1207" i="6"/>
  <c r="D1206" i="6"/>
  <c r="D1205" i="6"/>
  <c r="D1204" i="6"/>
  <c r="D1203" i="6"/>
  <c r="D1202" i="6"/>
  <c r="D1201" i="6"/>
  <c r="D1200" i="6"/>
  <c r="D1199" i="6"/>
  <c r="D1198" i="6"/>
  <c r="D1197" i="6"/>
  <c r="D1196" i="6"/>
  <c r="D1195" i="6"/>
  <c r="D1194" i="6"/>
  <c r="D1193" i="6"/>
  <c r="D1192" i="6"/>
  <c r="D1191" i="6"/>
  <c r="D1190" i="6"/>
  <c r="D1189" i="6"/>
  <c r="D1188" i="6"/>
  <c r="D1187" i="6"/>
  <c r="D1186" i="6"/>
  <c r="D1185" i="6"/>
  <c r="D1184" i="6"/>
  <c r="D1183" i="6"/>
  <c r="D1182" i="6"/>
  <c r="D1181" i="6"/>
  <c r="D1180" i="6"/>
  <c r="D1179" i="6"/>
  <c r="D1178" i="6"/>
  <c r="D1177" i="6"/>
  <c r="D1176" i="6"/>
  <c r="D1175" i="6"/>
  <c r="D1174" i="6"/>
  <c r="D1173" i="6"/>
  <c r="D1172" i="6"/>
  <c r="D1171" i="6"/>
  <c r="D1170" i="6"/>
  <c r="D1169" i="6"/>
  <c r="D1168" i="6"/>
  <c r="D1167" i="6"/>
  <c r="D1166" i="6"/>
  <c r="D1165" i="6"/>
  <c r="D1164" i="6"/>
  <c r="D1163" i="6"/>
  <c r="D1162" i="6"/>
  <c r="D1161" i="6"/>
  <c r="D1160" i="6"/>
  <c r="D1159" i="6"/>
  <c r="D1158" i="6"/>
  <c r="D1157" i="6"/>
  <c r="D1156" i="6"/>
  <c r="D1155" i="6"/>
  <c r="D1154" i="6"/>
  <c r="D1153" i="6"/>
  <c r="D1152" i="6"/>
  <c r="D1151" i="6"/>
  <c r="D1150" i="6"/>
  <c r="D1149" i="6"/>
  <c r="D1148" i="6"/>
  <c r="D1147" i="6"/>
  <c r="D1146" i="6"/>
  <c r="D1145" i="6"/>
  <c r="D1144" i="6"/>
  <c r="D1143" i="6"/>
  <c r="D1142" i="6"/>
  <c r="D1141" i="6"/>
  <c r="D1140" i="6"/>
  <c r="D1139" i="6"/>
  <c r="D1138" i="6"/>
  <c r="D1137" i="6"/>
  <c r="D1136" i="6"/>
  <c r="D1135" i="6"/>
  <c r="D1134" i="6"/>
  <c r="D1133" i="6"/>
  <c r="D1132" i="6"/>
  <c r="D1131" i="6"/>
  <c r="D1130" i="6"/>
  <c r="D1129" i="6"/>
  <c r="D1128" i="6"/>
  <c r="D1127" i="6"/>
  <c r="D1126" i="6"/>
  <c r="D1125" i="6"/>
  <c r="D1124" i="6"/>
  <c r="D1123" i="6"/>
  <c r="D1122" i="6"/>
  <c r="D1121" i="6"/>
  <c r="D1120" i="6"/>
  <c r="D1119" i="6"/>
  <c r="D1118" i="6"/>
  <c r="D1117" i="6"/>
  <c r="D1116" i="6"/>
  <c r="D1115" i="6"/>
  <c r="D1114" i="6"/>
  <c r="D1113" i="6"/>
  <c r="D1112" i="6"/>
  <c r="D1111" i="6"/>
  <c r="D1110" i="6"/>
  <c r="D1109" i="6"/>
  <c r="D1108" i="6"/>
  <c r="D1107" i="6"/>
  <c r="D1106" i="6"/>
  <c r="D1105" i="6"/>
  <c r="D1104" i="6"/>
  <c r="D1103" i="6"/>
  <c r="D1102" i="6"/>
  <c r="D1101" i="6"/>
  <c r="D1100" i="6"/>
  <c r="D1099" i="6"/>
  <c r="D1098" i="6"/>
  <c r="D1097" i="6"/>
  <c r="D1096" i="6"/>
  <c r="D1095" i="6"/>
  <c r="D1094" i="6"/>
  <c r="D1093" i="6"/>
  <c r="D1092" i="6"/>
  <c r="D1091" i="6"/>
  <c r="D1090" i="6"/>
  <c r="D1089" i="6"/>
  <c r="D1088" i="6"/>
  <c r="D1087" i="6"/>
  <c r="D1086" i="6"/>
  <c r="D1085" i="6"/>
  <c r="D1084" i="6"/>
  <c r="D1083" i="6"/>
  <c r="D1082" i="6"/>
  <c r="D1081" i="6"/>
  <c r="D1080" i="6"/>
  <c r="D1079" i="6"/>
  <c r="D1078" i="6"/>
  <c r="D1077" i="6"/>
  <c r="D1076" i="6"/>
  <c r="D1075" i="6"/>
  <c r="D1074" i="6"/>
  <c r="D1073" i="6"/>
  <c r="D1072" i="6"/>
  <c r="D1071" i="6"/>
  <c r="D1070" i="6"/>
  <c r="D1069" i="6"/>
  <c r="D1068" i="6"/>
  <c r="D1067" i="6"/>
  <c r="D1066" i="6"/>
  <c r="D1065" i="6"/>
  <c r="D1064" i="6"/>
  <c r="D1063" i="6"/>
  <c r="D1062" i="6"/>
  <c r="D1061" i="6"/>
  <c r="D1060" i="6"/>
  <c r="D1059" i="6"/>
  <c r="D1058" i="6"/>
  <c r="D1057" i="6"/>
  <c r="D1056" i="6"/>
  <c r="D1055" i="6"/>
  <c r="D1054" i="6"/>
  <c r="D1053" i="6"/>
  <c r="D1052" i="6"/>
  <c r="D1051" i="6"/>
  <c r="D1050" i="6"/>
  <c r="D1049" i="6"/>
  <c r="D1048" i="6"/>
  <c r="D1047" i="6"/>
  <c r="D1046" i="6"/>
  <c r="D1045" i="6"/>
  <c r="D1044" i="6"/>
  <c r="D1043" i="6"/>
  <c r="D1042" i="6"/>
  <c r="D1041" i="6"/>
  <c r="D1040" i="6"/>
  <c r="D1039" i="6"/>
  <c r="D1038" i="6"/>
  <c r="D1037" i="6"/>
  <c r="D1036" i="6"/>
  <c r="D1035" i="6"/>
  <c r="D1034" i="6"/>
  <c r="D1033" i="6"/>
  <c r="D1032" i="6"/>
  <c r="D1031" i="6"/>
  <c r="D1030" i="6"/>
  <c r="D1029" i="6"/>
  <c r="D1028" i="6"/>
  <c r="D1027" i="6"/>
  <c r="D1026" i="6"/>
  <c r="D1025" i="6"/>
  <c r="D1024" i="6"/>
  <c r="D1023" i="6"/>
  <c r="D1022" i="6"/>
  <c r="D1021" i="6"/>
  <c r="D1020" i="6"/>
  <c r="D1019" i="6"/>
  <c r="D1018" i="6"/>
  <c r="D1017" i="6"/>
  <c r="D1016" i="6"/>
  <c r="D1015" i="6"/>
  <c r="D1014" i="6"/>
  <c r="D1013" i="6"/>
  <c r="D1012" i="6"/>
  <c r="D1011" i="6"/>
  <c r="D1010" i="6"/>
  <c r="D1009" i="6"/>
  <c r="D1008" i="6"/>
  <c r="D1007" i="6"/>
  <c r="D1006" i="6"/>
  <c r="D1005" i="6"/>
  <c r="D1004" i="6"/>
  <c r="D1003" i="6"/>
  <c r="D1002" i="6"/>
  <c r="D1001" i="6"/>
  <c r="D1000" i="6"/>
  <c r="D999" i="6"/>
  <c r="D998" i="6"/>
  <c r="D997" i="6"/>
  <c r="D996" i="6"/>
  <c r="D995" i="6"/>
  <c r="D994" i="6"/>
  <c r="D993" i="6"/>
  <c r="D992" i="6"/>
  <c r="D991" i="6"/>
  <c r="D990" i="6"/>
  <c r="D989" i="6"/>
  <c r="D988" i="6"/>
  <c r="D987" i="6"/>
  <c r="D986" i="6"/>
  <c r="D985" i="6"/>
  <c r="D984" i="6"/>
  <c r="D983" i="6"/>
  <c r="D982" i="6"/>
  <c r="D981" i="6"/>
  <c r="D980" i="6"/>
  <c r="D979" i="6"/>
  <c r="D978" i="6"/>
  <c r="D977" i="6"/>
  <c r="D976" i="6"/>
  <c r="D975" i="6"/>
  <c r="D974" i="6"/>
  <c r="D973" i="6"/>
  <c r="D972" i="6"/>
  <c r="D971" i="6"/>
  <c r="D970" i="6"/>
  <c r="D969" i="6"/>
  <c r="D968" i="6"/>
  <c r="D967" i="6"/>
  <c r="D966" i="6"/>
  <c r="D965" i="6"/>
  <c r="D964" i="6"/>
  <c r="D963" i="6"/>
  <c r="D962" i="6"/>
  <c r="D961" i="6"/>
  <c r="D960" i="6"/>
  <c r="D959" i="6"/>
  <c r="D958" i="6"/>
  <c r="D957" i="6"/>
  <c r="D956" i="6"/>
  <c r="D955" i="6"/>
  <c r="D954" i="6"/>
  <c r="D953" i="6"/>
  <c r="D952" i="6"/>
  <c r="D951" i="6"/>
  <c r="D950" i="6"/>
  <c r="D949" i="6"/>
  <c r="D948" i="6"/>
  <c r="D947" i="6"/>
  <c r="D946" i="6"/>
  <c r="D945" i="6"/>
  <c r="D944" i="6"/>
  <c r="D943" i="6"/>
  <c r="D942" i="6"/>
  <c r="D941" i="6"/>
  <c r="D940" i="6"/>
  <c r="D939" i="6"/>
  <c r="D938" i="6"/>
  <c r="D937" i="6"/>
  <c r="D936" i="6"/>
  <c r="D935" i="6"/>
  <c r="D934" i="6"/>
  <c r="D933" i="6"/>
  <c r="D932" i="6"/>
  <c r="D931" i="6"/>
  <c r="D930" i="6"/>
  <c r="D929" i="6"/>
  <c r="D928" i="6"/>
  <c r="D927" i="6"/>
  <c r="D926" i="6"/>
  <c r="D925" i="6"/>
  <c r="D924" i="6"/>
  <c r="D923" i="6"/>
  <c r="D922" i="6"/>
  <c r="D921" i="6"/>
  <c r="D920" i="6"/>
  <c r="D919" i="6"/>
  <c r="D918" i="6"/>
  <c r="D917" i="6"/>
  <c r="D916" i="6"/>
  <c r="D915" i="6"/>
  <c r="D914" i="6"/>
  <c r="D913" i="6"/>
  <c r="D912" i="6"/>
  <c r="D911" i="6"/>
  <c r="D910" i="6"/>
  <c r="D909" i="6"/>
  <c r="D908" i="6"/>
  <c r="D907" i="6"/>
  <c r="D906" i="6"/>
  <c r="D905" i="6"/>
  <c r="D904" i="6"/>
  <c r="D903" i="6"/>
  <c r="D902" i="6"/>
  <c r="D901" i="6"/>
  <c r="D900" i="6"/>
  <c r="D899" i="6"/>
  <c r="D898" i="6"/>
  <c r="D897" i="6"/>
  <c r="D896" i="6"/>
  <c r="D895" i="6"/>
  <c r="D894" i="6"/>
  <c r="D893" i="6"/>
  <c r="D892" i="6"/>
  <c r="D891" i="6"/>
  <c r="D890" i="6"/>
  <c r="D889" i="6"/>
  <c r="D888" i="6"/>
  <c r="D887" i="6"/>
  <c r="D886" i="6"/>
  <c r="D885" i="6"/>
  <c r="D884" i="6"/>
  <c r="D883" i="6"/>
  <c r="D882" i="6"/>
  <c r="D881" i="6"/>
  <c r="D880" i="6"/>
  <c r="D879" i="6"/>
  <c r="D878" i="6"/>
  <c r="D877" i="6"/>
  <c r="D876" i="6"/>
  <c r="D875" i="6"/>
  <c r="D874" i="6"/>
  <c r="D873" i="6"/>
  <c r="D872" i="6"/>
  <c r="D871" i="6"/>
  <c r="D870" i="6"/>
  <c r="D869" i="6"/>
  <c r="D868" i="6"/>
  <c r="D867" i="6"/>
  <c r="D866" i="6"/>
  <c r="D865" i="6"/>
  <c r="D864" i="6"/>
  <c r="D863" i="6"/>
  <c r="D862" i="6"/>
  <c r="D861" i="6"/>
  <c r="D860" i="6"/>
  <c r="D859" i="6"/>
  <c r="D858" i="6"/>
  <c r="D857" i="6"/>
  <c r="D856" i="6"/>
  <c r="D855" i="6"/>
  <c r="D854" i="6"/>
  <c r="D853" i="6"/>
  <c r="D852" i="6"/>
  <c r="D851" i="6"/>
  <c r="D850" i="6"/>
  <c r="D849" i="6"/>
  <c r="D848" i="6"/>
  <c r="D847" i="6"/>
  <c r="D846" i="6"/>
  <c r="D845" i="6"/>
  <c r="D844" i="6"/>
  <c r="D843" i="6"/>
  <c r="D842" i="6"/>
  <c r="D841" i="6"/>
  <c r="D840" i="6"/>
  <c r="D839" i="6"/>
  <c r="D838" i="6"/>
  <c r="D837" i="6"/>
  <c r="D836" i="6"/>
  <c r="D835" i="6"/>
  <c r="D834" i="6"/>
  <c r="D833" i="6"/>
  <c r="D832" i="6"/>
  <c r="D831" i="6"/>
  <c r="D830" i="6"/>
  <c r="D829" i="6"/>
  <c r="D828" i="6"/>
  <c r="D827" i="6"/>
  <c r="D826" i="6"/>
  <c r="D825" i="6"/>
  <c r="D824" i="6"/>
  <c r="D823" i="6"/>
  <c r="D822" i="6"/>
  <c r="D821" i="6"/>
  <c r="D820" i="6"/>
  <c r="D819" i="6"/>
  <c r="D818" i="6"/>
  <c r="D817" i="6"/>
  <c r="D816" i="6"/>
  <c r="D815" i="6"/>
  <c r="D814" i="6"/>
  <c r="D813" i="6"/>
  <c r="D812" i="6"/>
  <c r="D811" i="6"/>
  <c r="D810" i="6"/>
  <c r="D809" i="6"/>
  <c r="D808" i="6"/>
  <c r="D807" i="6"/>
  <c r="D806" i="6"/>
  <c r="D805" i="6"/>
  <c r="D804" i="6"/>
  <c r="D803" i="6"/>
  <c r="D802" i="6"/>
  <c r="D801" i="6"/>
  <c r="D800" i="6"/>
  <c r="D799" i="6"/>
  <c r="D798" i="6"/>
  <c r="D797" i="6"/>
  <c r="D796" i="6"/>
  <c r="D795" i="6"/>
  <c r="D794" i="6"/>
  <c r="D793" i="6"/>
  <c r="D792" i="6"/>
  <c r="D791" i="6"/>
  <c r="D790" i="6"/>
  <c r="D789" i="6"/>
  <c r="D788" i="6"/>
  <c r="D787" i="6"/>
  <c r="D786" i="6"/>
  <c r="D785" i="6"/>
  <c r="D784" i="6"/>
  <c r="D783" i="6"/>
  <c r="D782" i="6"/>
  <c r="D781" i="6"/>
  <c r="D780" i="6"/>
  <c r="D779" i="6"/>
  <c r="D778" i="6"/>
  <c r="D777" i="6"/>
  <c r="D776" i="6"/>
  <c r="D775" i="6"/>
  <c r="D774" i="6"/>
  <c r="D773" i="6"/>
  <c r="D772" i="6"/>
  <c r="D771" i="6"/>
  <c r="D770" i="6"/>
  <c r="D769" i="6"/>
  <c r="D768" i="6"/>
  <c r="D767" i="6"/>
  <c r="D766" i="6"/>
  <c r="D765" i="6"/>
  <c r="D764" i="6"/>
  <c r="D763" i="6"/>
  <c r="D762" i="6"/>
  <c r="D761" i="6"/>
  <c r="D760" i="6"/>
  <c r="D759" i="6"/>
  <c r="D758" i="6"/>
  <c r="D757" i="6"/>
  <c r="D756" i="6"/>
  <c r="D755" i="6"/>
  <c r="D754" i="6"/>
  <c r="D753" i="6"/>
  <c r="D752" i="6"/>
  <c r="D751" i="6"/>
  <c r="D750" i="6"/>
  <c r="D749" i="6"/>
  <c r="D748" i="6"/>
  <c r="D747" i="6"/>
  <c r="D746" i="6"/>
  <c r="D745" i="6"/>
  <c r="D744" i="6"/>
  <c r="D743" i="6"/>
  <c r="D742" i="6"/>
  <c r="D741" i="6"/>
  <c r="D740" i="6"/>
  <c r="D739" i="6"/>
  <c r="D738" i="6"/>
  <c r="D737" i="6"/>
  <c r="D736" i="6"/>
  <c r="D735" i="6"/>
  <c r="D734" i="6"/>
  <c r="D733" i="6"/>
  <c r="D732" i="6"/>
  <c r="D731" i="6"/>
  <c r="D730" i="6"/>
  <c r="D729" i="6"/>
  <c r="D728" i="6"/>
  <c r="D727" i="6"/>
  <c r="D726" i="6"/>
  <c r="D725" i="6"/>
  <c r="D724" i="6"/>
  <c r="D723" i="6"/>
  <c r="D722" i="6"/>
  <c r="D721" i="6"/>
  <c r="D720" i="6"/>
  <c r="D719" i="6"/>
  <c r="D718" i="6"/>
  <c r="D717" i="6"/>
  <c r="D716" i="6"/>
  <c r="D715" i="6"/>
  <c r="D714" i="6"/>
  <c r="D713" i="6"/>
  <c r="D712" i="6"/>
  <c r="D711" i="6"/>
  <c r="D710" i="6"/>
  <c r="D709" i="6"/>
  <c r="D708" i="6"/>
  <c r="D707" i="6"/>
  <c r="D706" i="6"/>
  <c r="D705" i="6"/>
  <c r="D704" i="6"/>
  <c r="D703" i="6"/>
  <c r="D702" i="6"/>
  <c r="D701" i="6"/>
  <c r="D700" i="6"/>
  <c r="D699" i="6"/>
  <c r="D698" i="6"/>
  <c r="D697" i="6"/>
  <c r="D696" i="6"/>
  <c r="D695" i="6"/>
  <c r="D694" i="6"/>
  <c r="D693" i="6"/>
  <c r="D692" i="6"/>
  <c r="D691" i="6"/>
  <c r="D690" i="6"/>
  <c r="D689" i="6"/>
  <c r="D688" i="6"/>
  <c r="D687" i="6"/>
  <c r="D686" i="6"/>
  <c r="D685" i="6"/>
  <c r="D684" i="6"/>
  <c r="D683" i="6"/>
  <c r="D682" i="6"/>
  <c r="D681" i="6"/>
  <c r="D680" i="6"/>
  <c r="D679" i="6"/>
  <c r="D678" i="6"/>
  <c r="D677" i="6"/>
  <c r="D676" i="6"/>
  <c r="D675" i="6"/>
  <c r="D674" i="6"/>
  <c r="D673" i="6"/>
  <c r="D672" i="6"/>
  <c r="D671" i="6"/>
  <c r="D670" i="6"/>
  <c r="D669" i="6"/>
  <c r="D668" i="6"/>
  <c r="D667" i="6"/>
  <c r="D666" i="6"/>
  <c r="D665" i="6"/>
  <c r="D664" i="6"/>
  <c r="D663" i="6"/>
  <c r="D662" i="6"/>
  <c r="D661" i="6"/>
  <c r="D660" i="6"/>
  <c r="D659" i="6"/>
  <c r="D658" i="6"/>
  <c r="D657" i="6"/>
  <c r="D656" i="6"/>
  <c r="D655" i="6"/>
  <c r="D654" i="6"/>
  <c r="D653" i="6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B2000" i="6"/>
  <c r="B1999" i="6"/>
  <c r="B1998" i="6"/>
  <c r="B1997" i="6"/>
  <c r="B1996" i="6"/>
  <c r="B1995" i="6"/>
  <c r="B1994" i="6"/>
  <c r="B1993" i="6"/>
  <c r="B1992" i="6"/>
  <c r="B1991" i="6"/>
  <c r="B1990" i="6"/>
  <c r="B1989" i="6"/>
  <c r="B1988" i="6"/>
  <c r="B1987" i="6"/>
  <c r="B1986" i="6"/>
  <c r="B1985" i="6"/>
  <c r="B1984" i="6"/>
  <c r="B1983" i="6"/>
  <c r="B1982" i="6"/>
  <c r="B1981" i="6"/>
  <c r="B1980" i="6"/>
  <c r="B1979" i="6"/>
  <c r="B1978" i="6"/>
  <c r="B1977" i="6"/>
  <c r="B1976" i="6"/>
  <c r="B1975" i="6"/>
  <c r="B1974" i="6"/>
  <c r="B1973" i="6"/>
  <c r="B1972" i="6"/>
  <c r="B1971" i="6"/>
  <c r="B1970" i="6"/>
  <c r="B1969" i="6"/>
  <c r="B1968" i="6"/>
  <c r="B1967" i="6"/>
  <c r="B1966" i="6"/>
  <c r="B1965" i="6"/>
  <c r="B1964" i="6"/>
  <c r="B1963" i="6"/>
  <c r="B1962" i="6"/>
  <c r="B1961" i="6"/>
  <c r="B1960" i="6"/>
  <c r="B1959" i="6"/>
  <c r="B1958" i="6"/>
  <c r="B1957" i="6"/>
  <c r="B1956" i="6"/>
  <c r="B1955" i="6"/>
  <c r="B1954" i="6"/>
  <c r="B1953" i="6"/>
  <c r="B1952" i="6"/>
  <c r="B1951" i="6"/>
  <c r="B1950" i="6"/>
  <c r="B1949" i="6"/>
  <c r="B1948" i="6"/>
  <c r="B1947" i="6"/>
  <c r="B1946" i="6"/>
  <c r="B1945" i="6"/>
  <c r="B1944" i="6"/>
  <c r="B1943" i="6"/>
  <c r="B1942" i="6"/>
  <c r="B1941" i="6"/>
  <c r="B1940" i="6"/>
  <c r="B1939" i="6"/>
  <c r="B1938" i="6"/>
  <c r="B1937" i="6"/>
  <c r="B1936" i="6"/>
  <c r="B1935" i="6"/>
  <c r="B1934" i="6"/>
  <c r="B1933" i="6"/>
  <c r="B1932" i="6"/>
  <c r="B1931" i="6"/>
  <c r="B1930" i="6"/>
  <c r="B1929" i="6"/>
  <c r="B1928" i="6"/>
  <c r="B1927" i="6"/>
  <c r="B1926" i="6"/>
  <c r="B1925" i="6"/>
  <c r="B1924" i="6"/>
  <c r="B1923" i="6"/>
  <c r="B1922" i="6"/>
  <c r="B1921" i="6"/>
  <c r="B1920" i="6"/>
  <c r="B1919" i="6"/>
  <c r="B1918" i="6"/>
  <c r="B1917" i="6"/>
  <c r="B1916" i="6"/>
  <c r="B1915" i="6"/>
  <c r="B1914" i="6"/>
  <c r="B1913" i="6"/>
  <c r="B1912" i="6"/>
  <c r="B1911" i="6"/>
  <c r="B1910" i="6"/>
  <c r="B1909" i="6"/>
  <c r="B1908" i="6"/>
  <c r="B1907" i="6"/>
  <c r="B1906" i="6"/>
  <c r="B1905" i="6"/>
  <c r="B1904" i="6"/>
  <c r="B1903" i="6"/>
  <c r="B1902" i="6"/>
  <c r="B1901" i="6"/>
  <c r="B1900" i="6"/>
  <c r="B1899" i="6"/>
  <c r="B1898" i="6"/>
  <c r="B1897" i="6"/>
  <c r="B1896" i="6"/>
  <c r="B1895" i="6"/>
  <c r="B1894" i="6"/>
  <c r="B1893" i="6"/>
  <c r="B1892" i="6"/>
  <c r="B1891" i="6"/>
  <c r="B1890" i="6"/>
  <c r="B1889" i="6"/>
  <c r="B1888" i="6"/>
  <c r="B1887" i="6"/>
  <c r="B1886" i="6"/>
  <c r="B1885" i="6"/>
  <c r="B1884" i="6"/>
  <c r="B1883" i="6"/>
  <c r="B1882" i="6"/>
  <c r="B1881" i="6"/>
  <c r="B1880" i="6"/>
  <c r="B1879" i="6"/>
  <c r="B1878" i="6"/>
  <c r="B1877" i="6"/>
  <c r="B1876" i="6"/>
  <c r="B1875" i="6"/>
  <c r="B1874" i="6"/>
  <c r="B1873" i="6"/>
  <c r="B1872" i="6"/>
  <c r="B1871" i="6"/>
  <c r="B1870" i="6"/>
  <c r="B1869" i="6"/>
  <c r="B1868" i="6"/>
  <c r="B1867" i="6"/>
  <c r="B1866" i="6"/>
  <c r="B1865" i="6"/>
  <c r="B1864" i="6"/>
  <c r="B1863" i="6"/>
  <c r="B1862" i="6"/>
  <c r="B1861" i="6"/>
  <c r="B1860" i="6"/>
  <c r="B1859" i="6"/>
  <c r="B1858" i="6"/>
  <c r="B1857" i="6"/>
  <c r="B1856" i="6"/>
  <c r="B1855" i="6"/>
  <c r="B1854" i="6"/>
  <c r="B1853" i="6"/>
  <c r="B1852" i="6"/>
  <c r="B1851" i="6"/>
  <c r="B1850" i="6"/>
  <c r="B1849" i="6"/>
  <c r="B1848" i="6"/>
  <c r="B1847" i="6"/>
  <c r="B1846" i="6"/>
  <c r="B1845" i="6"/>
  <c r="B1844" i="6"/>
  <c r="B1843" i="6"/>
  <c r="B1842" i="6"/>
  <c r="B1841" i="6"/>
  <c r="B1840" i="6"/>
  <c r="B1839" i="6"/>
  <c r="B1838" i="6"/>
  <c r="B1837" i="6"/>
  <c r="B1836" i="6"/>
  <c r="B1835" i="6"/>
  <c r="B1834" i="6"/>
  <c r="B1833" i="6"/>
  <c r="B1832" i="6"/>
  <c r="B1831" i="6"/>
  <c r="B1830" i="6"/>
  <c r="B1829" i="6"/>
  <c r="B1828" i="6"/>
  <c r="B1827" i="6"/>
  <c r="B1826" i="6"/>
  <c r="B1825" i="6"/>
  <c r="B1824" i="6"/>
  <c r="B1823" i="6"/>
  <c r="B1822" i="6"/>
  <c r="B1821" i="6"/>
  <c r="B1820" i="6"/>
  <c r="B1819" i="6"/>
  <c r="B1818" i="6"/>
  <c r="B1817" i="6"/>
  <c r="B1816" i="6"/>
  <c r="B1815" i="6"/>
  <c r="B1814" i="6"/>
  <c r="B1813" i="6"/>
  <c r="B1812" i="6"/>
  <c r="B1811" i="6"/>
  <c r="B1810" i="6"/>
  <c r="B1809" i="6"/>
  <c r="B1808" i="6"/>
  <c r="B1807" i="6"/>
  <c r="B1806" i="6"/>
  <c r="B1805" i="6"/>
  <c r="B1804" i="6"/>
  <c r="B1803" i="6"/>
  <c r="B1802" i="6"/>
  <c r="B1801" i="6"/>
  <c r="B1800" i="6"/>
  <c r="B1799" i="6"/>
  <c r="B1798" i="6"/>
  <c r="B1797" i="6"/>
  <c r="B1796" i="6"/>
  <c r="B1795" i="6"/>
  <c r="B1794" i="6"/>
  <c r="B1793" i="6"/>
  <c r="B1792" i="6"/>
  <c r="B1791" i="6"/>
  <c r="B1790" i="6"/>
  <c r="B1789" i="6"/>
  <c r="B1788" i="6"/>
  <c r="B1787" i="6"/>
  <c r="B1786" i="6"/>
  <c r="B1785" i="6"/>
  <c r="B1784" i="6"/>
  <c r="B1783" i="6"/>
  <c r="B1782" i="6"/>
  <c r="B1781" i="6"/>
  <c r="B1780" i="6"/>
  <c r="B1779" i="6"/>
  <c r="B1778" i="6"/>
  <c r="B1777" i="6"/>
  <c r="B1776" i="6"/>
  <c r="B1775" i="6"/>
  <c r="B1774" i="6"/>
  <c r="B1773" i="6"/>
  <c r="B1772" i="6"/>
  <c r="B1771" i="6"/>
  <c r="B1770" i="6"/>
  <c r="B1769" i="6"/>
  <c r="B1768" i="6"/>
  <c r="B1767" i="6"/>
  <c r="B1766" i="6"/>
  <c r="B1765" i="6"/>
  <c r="B1764" i="6"/>
  <c r="B1763" i="6"/>
  <c r="B1762" i="6"/>
  <c r="B1761" i="6"/>
  <c r="B1760" i="6"/>
  <c r="B1759" i="6"/>
  <c r="B1758" i="6"/>
  <c r="B1757" i="6"/>
  <c r="B1756" i="6"/>
  <c r="B1755" i="6"/>
  <c r="B1754" i="6"/>
  <c r="B1753" i="6"/>
  <c r="B1752" i="6"/>
  <c r="B1751" i="6"/>
  <c r="B1750" i="6"/>
  <c r="B1749" i="6"/>
  <c r="B1748" i="6"/>
  <c r="B1747" i="6"/>
  <c r="B1746" i="6"/>
  <c r="B1745" i="6"/>
  <c r="B1744" i="6"/>
  <c r="B1743" i="6"/>
  <c r="B1742" i="6"/>
  <c r="B1741" i="6"/>
  <c r="B1740" i="6"/>
  <c r="B1739" i="6"/>
  <c r="B1738" i="6"/>
  <c r="B1737" i="6"/>
  <c r="B1736" i="6"/>
  <c r="B1735" i="6"/>
  <c r="B1734" i="6"/>
  <c r="B1733" i="6"/>
  <c r="B1732" i="6"/>
  <c r="B1731" i="6"/>
  <c r="B1730" i="6"/>
  <c r="B1729" i="6"/>
  <c r="B1728" i="6"/>
  <c r="B1727" i="6"/>
  <c r="B1726" i="6"/>
  <c r="B1725" i="6"/>
  <c r="B1724" i="6"/>
  <c r="B1723" i="6"/>
  <c r="B1722" i="6"/>
  <c r="B1721" i="6"/>
  <c r="B1720" i="6"/>
  <c r="B1719" i="6"/>
  <c r="B1718" i="6"/>
  <c r="B1717" i="6"/>
  <c r="B1716" i="6"/>
  <c r="B1715" i="6"/>
  <c r="B1714" i="6"/>
  <c r="B1713" i="6"/>
  <c r="B1712" i="6"/>
  <c r="B1711" i="6"/>
  <c r="B1710" i="6"/>
  <c r="B1709" i="6"/>
  <c r="B1708" i="6"/>
  <c r="B1707" i="6"/>
  <c r="B1706" i="6"/>
  <c r="B1705" i="6"/>
  <c r="B1704" i="6"/>
  <c r="B1703" i="6"/>
  <c r="B1702" i="6"/>
  <c r="B1701" i="6"/>
  <c r="B1700" i="6"/>
  <c r="B1699" i="6"/>
  <c r="B1698" i="6"/>
  <c r="B1697" i="6"/>
  <c r="B1696" i="6"/>
  <c r="B1695" i="6"/>
  <c r="B1694" i="6"/>
  <c r="B1693" i="6"/>
  <c r="B1692" i="6"/>
  <c r="B1691" i="6"/>
  <c r="B1690" i="6"/>
  <c r="B1689" i="6"/>
  <c r="B1688" i="6"/>
  <c r="B1687" i="6"/>
  <c r="B1686" i="6"/>
  <c r="B1685" i="6"/>
  <c r="B1684" i="6"/>
  <c r="B1683" i="6"/>
  <c r="B1682" i="6"/>
  <c r="B1681" i="6"/>
  <c r="B1680" i="6"/>
  <c r="B1679" i="6"/>
  <c r="B1678" i="6"/>
  <c r="B1677" i="6"/>
  <c r="B1676" i="6"/>
  <c r="B1675" i="6"/>
  <c r="B1674" i="6"/>
  <c r="B1673" i="6"/>
  <c r="B1672" i="6"/>
  <c r="B1671" i="6"/>
  <c r="B1670" i="6"/>
  <c r="B1669" i="6"/>
  <c r="B1668" i="6"/>
  <c r="B1667" i="6"/>
  <c r="B1666" i="6"/>
  <c r="B1665" i="6"/>
  <c r="B1664" i="6"/>
  <c r="B1663" i="6"/>
  <c r="B1662" i="6"/>
  <c r="B1661" i="6"/>
  <c r="B1660" i="6"/>
  <c r="B1659" i="6"/>
  <c r="B1658" i="6"/>
  <c r="B1657" i="6"/>
  <c r="B1656" i="6"/>
  <c r="B1655" i="6"/>
  <c r="B1654" i="6"/>
  <c r="B1653" i="6"/>
  <c r="B1652" i="6"/>
  <c r="B1651" i="6"/>
  <c r="B1650" i="6"/>
  <c r="B1649" i="6"/>
  <c r="B1648" i="6"/>
  <c r="B1647" i="6"/>
  <c r="B1646" i="6"/>
  <c r="B1645" i="6"/>
  <c r="B1644" i="6"/>
  <c r="B1643" i="6"/>
  <c r="B1642" i="6"/>
  <c r="B1641" i="6"/>
  <c r="B1640" i="6"/>
  <c r="B1639" i="6"/>
  <c r="B1638" i="6"/>
  <c r="B1637" i="6"/>
  <c r="B1636" i="6"/>
  <c r="B1635" i="6"/>
  <c r="B1634" i="6"/>
  <c r="B1633" i="6"/>
  <c r="B1632" i="6"/>
  <c r="B1631" i="6"/>
  <c r="B1630" i="6"/>
  <c r="B1629" i="6"/>
  <c r="B1628" i="6"/>
  <c r="B1627" i="6"/>
  <c r="B1626" i="6"/>
  <c r="B1625" i="6"/>
  <c r="B1624" i="6"/>
  <c r="B1623" i="6"/>
  <c r="B1622" i="6"/>
  <c r="B1621" i="6"/>
  <c r="B1620" i="6"/>
  <c r="B1619" i="6"/>
  <c r="B1618" i="6"/>
  <c r="B1617" i="6"/>
  <c r="B1616" i="6"/>
  <c r="B1615" i="6"/>
  <c r="B1614" i="6"/>
  <c r="B1613" i="6"/>
  <c r="B1612" i="6"/>
  <c r="B1611" i="6"/>
  <c r="B1610" i="6"/>
  <c r="B1609" i="6"/>
  <c r="B1608" i="6"/>
  <c r="B1607" i="6"/>
  <c r="B1606" i="6"/>
  <c r="B1605" i="6"/>
  <c r="B1604" i="6"/>
  <c r="B1603" i="6"/>
  <c r="B1602" i="6"/>
  <c r="B1601" i="6"/>
  <c r="B1600" i="6"/>
  <c r="B1599" i="6"/>
  <c r="B1598" i="6"/>
  <c r="B1597" i="6"/>
  <c r="B1596" i="6"/>
  <c r="B1595" i="6"/>
  <c r="B1594" i="6"/>
  <c r="B1593" i="6"/>
  <c r="B1592" i="6"/>
  <c r="B1591" i="6"/>
  <c r="B1590" i="6"/>
  <c r="B1589" i="6"/>
  <c r="B1588" i="6"/>
  <c r="B1587" i="6"/>
  <c r="B1586" i="6"/>
  <c r="B1585" i="6"/>
  <c r="B1584" i="6"/>
  <c r="B1583" i="6"/>
  <c r="B1582" i="6"/>
  <c r="B1581" i="6"/>
  <c r="B1580" i="6"/>
  <c r="B1579" i="6"/>
  <c r="B1578" i="6"/>
  <c r="B1577" i="6"/>
  <c r="B1576" i="6"/>
  <c r="B1575" i="6"/>
  <c r="B1574" i="6"/>
  <c r="B1573" i="6"/>
  <c r="B1572" i="6"/>
  <c r="B1571" i="6"/>
  <c r="B1570" i="6"/>
  <c r="B1569" i="6"/>
  <c r="B1568" i="6"/>
  <c r="B1567" i="6"/>
  <c r="B1566" i="6"/>
  <c r="B1565" i="6"/>
  <c r="B1564" i="6"/>
  <c r="B1563" i="6"/>
  <c r="B1562" i="6"/>
  <c r="B1561" i="6"/>
  <c r="B1560" i="6"/>
  <c r="B1559" i="6"/>
  <c r="B1558" i="6"/>
  <c r="B1557" i="6"/>
  <c r="B1556" i="6"/>
  <c r="B1555" i="6"/>
  <c r="B1554" i="6"/>
  <c r="B1553" i="6"/>
  <c r="B1552" i="6"/>
  <c r="B1551" i="6"/>
  <c r="B1550" i="6"/>
  <c r="B1549" i="6"/>
  <c r="B1548" i="6"/>
  <c r="B1547" i="6"/>
  <c r="B1546" i="6"/>
  <c r="B1545" i="6"/>
  <c r="B1544" i="6"/>
  <c r="B1543" i="6"/>
  <c r="B1542" i="6"/>
  <c r="B1541" i="6"/>
  <c r="B1540" i="6"/>
  <c r="B1539" i="6"/>
  <c r="B1538" i="6"/>
  <c r="B1537" i="6"/>
  <c r="B1536" i="6"/>
  <c r="B1535" i="6"/>
  <c r="B1534" i="6"/>
  <c r="B1533" i="6"/>
  <c r="B1532" i="6"/>
  <c r="B1531" i="6"/>
  <c r="B1530" i="6"/>
  <c r="B1529" i="6"/>
  <c r="B1528" i="6"/>
  <c r="B1527" i="6"/>
  <c r="B1526" i="6"/>
  <c r="B1525" i="6"/>
  <c r="B1524" i="6"/>
  <c r="B1523" i="6"/>
  <c r="B1522" i="6"/>
  <c r="B1521" i="6"/>
  <c r="B1520" i="6"/>
  <c r="B1519" i="6"/>
  <c r="B1518" i="6"/>
  <c r="B1517" i="6"/>
  <c r="B1516" i="6"/>
  <c r="B1515" i="6"/>
  <c r="B1514" i="6"/>
  <c r="B1513" i="6"/>
  <c r="B1512" i="6"/>
  <c r="B1511" i="6"/>
  <c r="B1510" i="6"/>
  <c r="B1509" i="6"/>
  <c r="B1508" i="6"/>
  <c r="B1507" i="6"/>
  <c r="B1506" i="6"/>
  <c r="B1505" i="6"/>
  <c r="B1504" i="6"/>
  <c r="B1503" i="6"/>
  <c r="B1502" i="6"/>
  <c r="B1501" i="6"/>
  <c r="B1500" i="6"/>
  <c r="B1499" i="6"/>
  <c r="B1498" i="6"/>
  <c r="B1497" i="6"/>
  <c r="B1496" i="6"/>
  <c r="B1495" i="6"/>
  <c r="B1494" i="6"/>
  <c r="B1493" i="6"/>
  <c r="B1492" i="6"/>
  <c r="B1491" i="6"/>
  <c r="B1490" i="6"/>
  <c r="B1489" i="6"/>
  <c r="B1488" i="6"/>
  <c r="B1487" i="6"/>
  <c r="B1486" i="6"/>
  <c r="B1485" i="6"/>
  <c r="B1484" i="6"/>
  <c r="B1483" i="6"/>
  <c r="B1482" i="6"/>
  <c r="B1481" i="6"/>
  <c r="B1480" i="6"/>
  <c r="B1479" i="6"/>
  <c r="B1478" i="6"/>
  <c r="B1477" i="6"/>
  <c r="B1476" i="6"/>
  <c r="B1475" i="6"/>
  <c r="B1474" i="6"/>
  <c r="B1473" i="6"/>
  <c r="B1472" i="6"/>
  <c r="B1471" i="6"/>
  <c r="B1470" i="6"/>
  <c r="B1469" i="6"/>
  <c r="B1468" i="6"/>
  <c r="B1467" i="6"/>
  <c r="B1466" i="6"/>
  <c r="B1465" i="6"/>
  <c r="B1464" i="6"/>
  <c r="B1463" i="6"/>
  <c r="B1462" i="6"/>
  <c r="B1461" i="6"/>
  <c r="B1460" i="6"/>
  <c r="B1459" i="6"/>
  <c r="B1458" i="6"/>
  <c r="B1457" i="6"/>
  <c r="B1456" i="6"/>
  <c r="B1455" i="6"/>
  <c r="B1454" i="6"/>
  <c r="B1453" i="6"/>
  <c r="B1452" i="6"/>
  <c r="B1451" i="6"/>
  <c r="B1450" i="6"/>
  <c r="B1449" i="6"/>
  <c r="B1448" i="6"/>
  <c r="B1447" i="6"/>
  <c r="B1446" i="6"/>
  <c r="B1445" i="6"/>
  <c r="B1444" i="6"/>
  <c r="B1443" i="6"/>
  <c r="B1442" i="6"/>
  <c r="B1441" i="6"/>
  <c r="B1440" i="6"/>
  <c r="B1439" i="6"/>
  <c r="B1438" i="6"/>
  <c r="B1437" i="6"/>
  <c r="B1436" i="6"/>
  <c r="B1435" i="6"/>
  <c r="B1434" i="6"/>
  <c r="B1433" i="6"/>
  <c r="B1432" i="6"/>
  <c r="B1431" i="6"/>
  <c r="B1430" i="6"/>
  <c r="B1429" i="6"/>
  <c r="B1428" i="6"/>
  <c r="B1427" i="6"/>
  <c r="B1426" i="6"/>
  <c r="B1425" i="6"/>
  <c r="B1424" i="6"/>
  <c r="B1423" i="6"/>
  <c r="B1422" i="6"/>
  <c r="B1421" i="6"/>
  <c r="B1420" i="6"/>
  <c r="B1419" i="6"/>
  <c r="B1418" i="6"/>
  <c r="B1417" i="6"/>
  <c r="B1416" i="6"/>
  <c r="B1415" i="6"/>
  <c r="B1414" i="6"/>
  <c r="B1413" i="6"/>
  <c r="B1412" i="6"/>
  <c r="B1411" i="6"/>
  <c r="B1410" i="6"/>
  <c r="B1409" i="6"/>
  <c r="B1408" i="6"/>
  <c r="B1407" i="6"/>
  <c r="B1406" i="6"/>
  <c r="B1405" i="6"/>
  <c r="B1404" i="6"/>
  <c r="B1403" i="6"/>
  <c r="B1402" i="6"/>
  <c r="B1401" i="6"/>
  <c r="B1400" i="6"/>
  <c r="B1399" i="6"/>
  <c r="B1398" i="6"/>
  <c r="B1397" i="6"/>
  <c r="B1396" i="6"/>
  <c r="B1395" i="6"/>
  <c r="B1394" i="6"/>
  <c r="B1393" i="6"/>
  <c r="B1392" i="6"/>
  <c r="B1391" i="6"/>
  <c r="B1390" i="6"/>
  <c r="B1389" i="6"/>
  <c r="B1388" i="6"/>
  <c r="B1387" i="6"/>
  <c r="B1386" i="6"/>
  <c r="B1385" i="6"/>
  <c r="B1384" i="6"/>
  <c r="B1383" i="6"/>
  <c r="B1382" i="6"/>
  <c r="B1381" i="6"/>
  <c r="B1380" i="6"/>
  <c r="B1379" i="6"/>
  <c r="B1378" i="6"/>
  <c r="B1377" i="6"/>
  <c r="B1376" i="6"/>
  <c r="B1375" i="6"/>
  <c r="B1374" i="6"/>
  <c r="B1373" i="6"/>
  <c r="B1372" i="6"/>
  <c r="B1371" i="6"/>
  <c r="B1370" i="6"/>
  <c r="B1369" i="6"/>
  <c r="B1368" i="6"/>
  <c r="B1367" i="6"/>
  <c r="B1366" i="6"/>
  <c r="B1365" i="6"/>
  <c r="B1364" i="6"/>
  <c r="B1363" i="6"/>
  <c r="B1362" i="6"/>
  <c r="B1361" i="6"/>
  <c r="B1360" i="6"/>
  <c r="B1359" i="6"/>
  <c r="B1358" i="6"/>
  <c r="B1357" i="6"/>
  <c r="B1356" i="6"/>
  <c r="B1355" i="6"/>
  <c r="B1354" i="6"/>
  <c r="B1353" i="6"/>
  <c r="B1352" i="6"/>
  <c r="B1351" i="6"/>
  <c r="B1350" i="6"/>
  <c r="B1349" i="6"/>
  <c r="B1348" i="6"/>
  <c r="B1347" i="6"/>
  <c r="B1346" i="6"/>
  <c r="B1345" i="6"/>
  <c r="B1344" i="6"/>
  <c r="B1343" i="6"/>
  <c r="B1342" i="6"/>
  <c r="B1341" i="6"/>
  <c r="B1340" i="6"/>
  <c r="B1339" i="6"/>
  <c r="B1338" i="6"/>
  <c r="B1337" i="6"/>
  <c r="B1336" i="6"/>
  <c r="B1335" i="6"/>
  <c r="B1334" i="6"/>
  <c r="B1333" i="6"/>
  <c r="B1332" i="6"/>
  <c r="B1331" i="6"/>
  <c r="B1330" i="6"/>
  <c r="B1329" i="6"/>
  <c r="B1328" i="6"/>
  <c r="B1327" i="6"/>
  <c r="B1326" i="6"/>
  <c r="B1325" i="6"/>
  <c r="B1324" i="6"/>
  <c r="B1323" i="6"/>
  <c r="B1322" i="6"/>
  <c r="B1321" i="6"/>
  <c r="B1320" i="6"/>
  <c r="B1319" i="6"/>
  <c r="B1318" i="6"/>
  <c r="B1317" i="6"/>
  <c r="B1316" i="6"/>
  <c r="B1315" i="6"/>
  <c r="B1314" i="6"/>
  <c r="B1313" i="6"/>
  <c r="B1312" i="6"/>
  <c r="B1311" i="6"/>
  <c r="B1310" i="6"/>
  <c r="B1309" i="6"/>
  <c r="B1308" i="6"/>
  <c r="B1307" i="6"/>
  <c r="B1306" i="6"/>
  <c r="B1305" i="6"/>
  <c r="B1304" i="6"/>
  <c r="B1303" i="6"/>
  <c r="B1302" i="6"/>
  <c r="B1301" i="6"/>
  <c r="B1300" i="6"/>
  <c r="B1299" i="6"/>
  <c r="B1298" i="6"/>
  <c r="B1297" i="6"/>
  <c r="B1296" i="6"/>
  <c r="B1295" i="6"/>
  <c r="B1294" i="6"/>
  <c r="B1293" i="6"/>
  <c r="B1292" i="6"/>
  <c r="B1291" i="6"/>
  <c r="B1290" i="6"/>
  <c r="B1289" i="6"/>
  <c r="B1288" i="6"/>
  <c r="B1287" i="6"/>
  <c r="B1286" i="6"/>
  <c r="B1285" i="6"/>
  <c r="B1284" i="6"/>
  <c r="B1283" i="6"/>
  <c r="B1282" i="6"/>
  <c r="B1281" i="6"/>
  <c r="B1280" i="6"/>
  <c r="B1279" i="6"/>
  <c r="B1278" i="6"/>
  <c r="B1277" i="6"/>
  <c r="B1276" i="6"/>
  <c r="B1275" i="6"/>
  <c r="B1274" i="6"/>
  <c r="B1273" i="6"/>
  <c r="B1272" i="6"/>
  <c r="B1271" i="6"/>
  <c r="B1270" i="6"/>
  <c r="B1269" i="6"/>
  <c r="B1268" i="6"/>
  <c r="B1267" i="6"/>
  <c r="B1266" i="6"/>
  <c r="B1265" i="6"/>
  <c r="B1264" i="6"/>
  <c r="B1263" i="6"/>
  <c r="B1262" i="6"/>
  <c r="B1261" i="6"/>
  <c r="B1260" i="6"/>
  <c r="B1259" i="6"/>
  <c r="B1258" i="6"/>
  <c r="B1257" i="6"/>
  <c r="B1256" i="6"/>
  <c r="B1255" i="6"/>
  <c r="B1254" i="6"/>
  <c r="B1253" i="6"/>
  <c r="B1252" i="6"/>
  <c r="B1251" i="6"/>
  <c r="B1250" i="6"/>
  <c r="B1249" i="6"/>
  <c r="B1248" i="6"/>
  <c r="B1247" i="6"/>
  <c r="B1246" i="6"/>
  <c r="B1245" i="6"/>
  <c r="B1244" i="6"/>
  <c r="B1243" i="6"/>
  <c r="B1242" i="6"/>
  <c r="B1241" i="6"/>
  <c r="B1240" i="6"/>
  <c r="B1239" i="6"/>
  <c r="B1238" i="6"/>
  <c r="B1237" i="6"/>
  <c r="B1236" i="6"/>
  <c r="B1235" i="6"/>
  <c r="B1234" i="6"/>
  <c r="B1233" i="6"/>
  <c r="B1232" i="6"/>
  <c r="B1231" i="6"/>
  <c r="B1230" i="6"/>
  <c r="B1229" i="6"/>
  <c r="B1228" i="6"/>
  <c r="B1227" i="6"/>
  <c r="B1226" i="6"/>
  <c r="B1225" i="6"/>
  <c r="B1224" i="6"/>
  <c r="B1223" i="6"/>
  <c r="B1222" i="6"/>
  <c r="B1221" i="6"/>
  <c r="B1220" i="6"/>
  <c r="B1219" i="6"/>
  <c r="B1218" i="6"/>
  <c r="B1217" i="6"/>
  <c r="B1216" i="6"/>
  <c r="B1215" i="6"/>
  <c r="B1214" i="6"/>
  <c r="B1213" i="6"/>
  <c r="B1212" i="6"/>
  <c r="B1211" i="6"/>
  <c r="B1210" i="6"/>
  <c r="B1209" i="6"/>
  <c r="B1208" i="6"/>
  <c r="B1207" i="6"/>
  <c r="B1206" i="6"/>
  <c r="B1205" i="6"/>
  <c r="B1204" i="6"/>
  <c r="B1203" i="6"/>
  <c r="B1202" i="6"/>
  <c r="B1201" i="6"/>
  <c r="B1200" i="6"/>
  <c r="B1199" i="6"/>
  <c r="B1198" i="6"/>
  <c r="B1197" i="6"/>
  <c r="B1196" i="6"/>
  <c r="B1195" i="6"/>
  <c r="B1194" i="6"/>
  <c r="B1193" i="6"/>
  <c r="B1192" i="6"/>
  <c r="B1191" i="6"/>
  <c r="B1190" i="6"/>
  <c r="B1189" i="6"/>
  <c r="B1188" i="6"/>
  <c r="B1187" i="6"/>
  <c r="B1186" i="6"/>
  <c r="B1185" i="6"/>
  <c r="B1184" i="6"/>
  <c r="B1183" i="6"/>
  <c r="B1182" i="6"/>
  <c r="B1181" i="6"/>
  <c r="B1180" i="6"/>
  <c r="B1179" i="6"/>
  <c r="B1178" i="6"/>
  <c r="B1177" i="6"/>
  <c r="B1176" i="6"/>
  <c r="B1175" i="6"/>
  <c r="B1174" i="6"/>
  <c r="B1173" i="6"/>
  <c r="B1172" i="6"/>
  <c r="B1171" i="6"/>
  <c r="B1170" i="6"/>
  <c r="B1169" i="6"/>
  <c r="B1168" i="6"/>
  <c r="B1167" i="6"/>
  <c r="B1166" i="6"/>
  <c r="B1165" i="6"/>
  <c r="B1164" i="6"/>
  <c r="B1163" i="6"/>
  <c r="B1162" i="6"/>
  <c r="B1161" i="6"/>
  <c r="B1160" i="6"/>
  <c r="B1159" i="6"/>
  <c r="B1158" i="6"/>
  <c r="B1157" i="6"/>
  <c r="B1156" i="6"/>
  <c r="B1155" i="6"/>
  <c r="B1154" i="6"/>
  <c r="B1153" i="6"/>
  <c r="B1152" i="6"/>
  <c r="B1151" i="6"/>
  <c r="B1150" i="6"/>
  <c r="B1149" i="6"/>
  <c r="B1148" i="6"/>
  <c r="B1147" i="6"/>
  <c r="B1146" i="6"/>
  <c r="B1145" i="6"/>
  <c r="B1144" i="6"/>
  <c r="B1143" i="6"/>
  <c r="B1142" i="6"/>
  <c r="B1141" i="6"/>
  <c r="B1140" i="6"/>
  <c r="B1139" i="6"/>
  <c r="B1138" i="6"/>
  <c r="B1137" i="6"/>
  <c r="B1136" i="6"/>
  <c r="B1135" i="6"/>
  <c r="B1134" i="6"/>
  <c r="B1133" i="6"/>
  <c r="B1132" i="6"/>
  <c r="B1131" i="6"/>
  <c r="B1130" i="6"/>
  <c r="B1129" i="6"/>
  <c r="B1128" i="6"/>
  <c r="B1127" i="6"/>
  <c r="B1126" i="6"/>
  <c r="B1125" i="6"/>
  <c r="B1124" i="6"/>
  <c r="B1123" i="6"/>
  <c r="B1122" i="6"/>
  <c r="B1121" i="6"/>
  <c r="B1120" i="6"/>
  <c r="B1119" i="6"/>
  <c r="B1118" i="6"/>
  <c r="B1117" i="6"/>
  <c r="B1116" i="6"/>
  <c r="B1115" i="6"/>
  <c r="B1114" i="6"/>
  <c r="B1113" i="6"/>
  <c r="B1112" i="6"/>
  <c r="B1111" i="6"/>
  <c r="B1110" i="6"/>
  <c r="B1109" i="6"/>
  <c r="B1108" i="6"/>
  <c r="B1107" i="6"/>
  <c r="B1106" i="6"/>
  <c r="B1105" i="6"/>
  <c r="B1104" i="6"/>
  <c r="B1103" i="6"/>
  <c r="B1102" i="6"/>
  <c r="B1101" i="6"/>
  <c r="B1100" i="6"/>
  <c r="B1099" i="6"/>
  <c r="B1098" i="6"/>
  <c r="B1097" i="6"/>
  <c r="B1096" i="6"/>
  <c r="B1095" i="6"/>
  <c r="B1094" i="6"/>
  <c r="B1093" i="6"/>
  <c r="B1092" i="6"/>
  <c r="B1091" i="6"/>
  <c r="B1090" i="6"/>
  <c r="B1089" i="6"/>
  <c r="B1088" i="6"/>
  <c r="B1087" i="6"/>
  <c r="B1086" i="6"/>
  <c r="B1085" i="6"/>
  <c r="B1084" i="6"/>
  <c r="B1083" i="6"/>
  <c r="B1082" i="6"/>
  <c r="B1081" i="6"/>
  <c r="B1080" i="6"/>
  <c r="B1079" i="6"/>
  <c r="B1078" i="6"/>
  <c r="B1077" i="6"/>
  <c r="B1076" i="6"/>
  <c r="B1075" i="6"/>
  <c r="B1074" i="6"/>
  <c r="B1073" i="6"/>
  <c r="B1072" i="6"/>
  <c r="B1071" i="6"/>
  <c r="B1070" i="6"/>
  <c r="B1069" i="6"/>
  <c r="B1068" i="6"/>
  <c r="B1067" i="6"/>
  <c r="B1066" i="6"/>
  <c r="B1065" i="6"/>
  <c r="B1064" i="6"/>
  <c r="B1063" i="6"/>
  <c r="B1062" i="6"/>
  <c r="B1061" i="6"/>
  <c r="B1060" i="6"/>
  <c r="B1059" i="6"/>
  <c r="B1058" i="6"/>
  <c r="B1057" i="6"/>
  <c r="B1056" i="6"/>
  <c r="B1055" i="6"/>
  <c r="B1054" i="6"/>
  <c r="B1053" i="6"/>
  <c r="B1052" i="6"/>
  <c r="B1051" i="6"/>
  <c r="B1050" i="6"/>
  <c r="B1049" i="6"/>
  <c r="B1048" i="6"/>
  <c r="B1047" i="6"/>
  <c r="B1046" i="6"/>
  <c r="B1045" i="6"/>
  <c r="B1044" i="6"/>
  <c r="B1043" i="6"/>
  <c r="B1042" i="6"/>
  <c r="B1041" i="6"/>
  <c r="B1040" i="6"/>
  <c r="B1039" i="6"/>
  <c r="B1038" i="6"/>
  <c r="B1037" i="6"/>
  <c r="B1036" i="6"/>
  <c r="B1035" i="6"/>
  <c r="B1034" i="6"/>
  <c r="B1033" i="6"/>
  <c r="B1032" i="6"/>
  <c r="B1031" i="6"/>
  <c r="B1030" i="6"/>
  <c r="B1029" i="6"/>
  <c r="B1028" i="6"/>
  <c r="B1027" i="6"/>
  <c r="B1026" i="6"/>
  <c r="B1025" i="6"/>
  <c r="B1024" i="6"/>
  <c r="B1023" i="6"/>
  <c r="B1022" i="6"/>
  <c r="B1021" i="6"/>
  <c r="B1020" i="6"/>
  <c r="B1019" i="6"/>
  <c r="B1018" i="6"/>
  <c r="B1017" i="6"/>
  <c r="B1016" i="6"/>
  <c r="B1015" i="6"/>
  <c r="B1014" i="6"/>
  <c r="B1013" i="6"/>
  <c r="B1012" i="6"/>
  <c r="B1011" i="6"/>
  <c r="B1010" i="6"/>
  <c r="B1009" i="6"/>
  <c r="B1008" i="6"/>
  <c r="B1007" i="6"/>
  <c r="B1006" i="6"/>
  <c r="B1005" i="6"/>
  <c r="B1004" i="6"/>
  <c r="B1003" i="6"/>
  <c r="B1002" i="6"/>
  <c r="B1001" i="6"/>
  <c r="B1000" i="6"/>
  <c r="B999" i="6"/>
  <c r="B998" i="6"/>
  <c r="B997" i="6"/>
  <c r="B996" i="6"/>
  <c r="B995" i="6"/>
  <c r="B994" i="6"/>
  <c r="B993" i="6"/>
  <c r="B992" i="6"/>
  <c r="B991" i="6"/>
  <c r="B990" i="6"/>
  <c r="B989" i="6"/>
  <c r="B988" i="6"/>
  <c r="B987" i="6"/>
  <c r="B986" i="6"/>
  <c r="B985" i="6"/>
  <c r="B984" i="6"/>
  <c r="B983" i="6"/>
  <c r="B982" i="6"/>
  <c r="B981" i="6"/>
  <c r="B980" i="6"/>
  <c r="B979" i="6"/>
  <c r="B978" i="6"/>
  <c r="B977" i="6"/>
  <c r="B976" i="6"/>
  <c r="B975" i="6"/>
  <c r="B974" i="6"/>
  <c r="B973" i="6"/>
  <c r="B972" i="6"/>
  <c r="B971" i="6"/>
  <c r="B970" i="6"/>
  <c r="B969" i="6"/>
  <c r="B968" i="6"/>
  <c r="B967" i="6"/>
  <c r="B966" i="6"/>
  <c r="B965" i="6"/>
  <c r="B964" i="6"/>
  <c r="B963" i="6"/>
  <c r="B962" i="6"/>
  <c r="B961" i="6"/>
  <c r="B960" i="6"/>
  <c r="B959" i="6"/>
  <c r="B958" i="6"/>
  <c r="B957" i="6"/>
  <c r="B956" i="6"/>
  <c r="B955" i="6"/>
  <c r="B954" i="6"/>
  <c r="B953" i="6"/>
  <c r="B952" i="6"/>
  <c r="B951" i="6"/>
  <c r="B950" i="6"/>
  <c r="B949" i="6"/>
  <c r="B948" i="6"/>
  <c r="B947" i="6"/>
  <c r="B946" i="6"/>
  <c r="B945" i="6"/>
  <c r="B944" i="6"/>
  <c r="B943" i="6"/>
  <c r="B942" i="6"/>
  <c r="B941" i="6"/>
  <c r="B940" i="6"/>
  <c r="B939" i="6"/>
  <c r="B938" i="6"/>
  <c r="B937" i="6"/>
  <c r="B936" i="6"/>
  <c r="B935" i="6"/>
  <c r="B934" i="6"/>
  <c r="B933" i="6"/>
  <c r="B932" i="6"/>
  <c r="B931" i="6"/>
  <c r="B930" i="6"/>
  <c r="B929" i="6"/>
  <c r="B928" i="6"/>
  <c r="B927" i="6"/>
  <c r="B926" i="6"/>
  <c r="B925" i="6"/>
  <c r="B924" i="6"/>
  <c r="B923" i="6"/>
  <c r="B922" i="6"/>
  <c r="B921" i="6"/>
  <c r="B920" i="6"/>
  <c r="B919" i="6"/>
  <c r="B918" i="6"/>
  <c r="B917" i="6"/>
  <c r="B916" i="6"/>
  <c r="B915" i="6"/>
  <c r="B914" i="6"/>
  <c r="B913" i="6"/>
  <c r="B912" i="6"/>
  <c r="B911" i="6"/>
  <c r="B910" i="6"/>
  <c r="B909" i="6"/>
  <c r="B908" i="6"/>
  <c r="B907" i="6"/>
  <c r="B906" i="6"/>
  <c r="B905" i="6"/>
  <c r="B904" i="6"/>
  <c r="B903" i="6"/>
  <c r="B902" i="6"/>
  <c r="B901" i="6"/>
  <c r="B900" i="6"/>
  <c r="B899" i="6"/>
  <c r="B898" i="6"/>
  <c r="B897" i="6"/>
  <c r="B896" i="6"/>
  <c r="B895" i="6"/>
  <c r="B894" i="6"/>
  <c r="B893" i="6"/>
  <c r="B892" i="6"/>
  <c r="B891" i="6"/>
  <c r="B890" i="6"/>
  <c r="B889" i="6"/>
  <c r="B888" i="6"/>
  <c r="B887" i="6"/>
  <c r="B886" i="6"/>
  <c r="B885" i="6"/>
  <c r="B884" i="6"/>
  <c r="B883" i="6"/>
  <c r="B882" i="6"/>
  <c r="B881" i="6"/>
  <c r="B880" i="6"/>
  <c r="B879" i="6"/>
  <c r="B878" i="6"/>
  <c r="B877" i="6"/>
  <c r="B876" i="6"/>
  <c r="B875" i="6"/>
  <c r="B874" i="6"/>
  <c r="B873" i="6"/>
  <c r="B872" i="6"/>
  <c r="B871" i="6"/>
  <c r="B870" i="6"/>
  <c r="B869" i="6"/>
  <c r="B868" i="6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F10000" i="3"/>
  <c r="F9999" i="3"/>
  <c r="F9998" i="3"/>
  <c r="F9997" i="3"/>
  <c r="F9996" i="3"/>
  <c r="F9995" i="3"/>
  <c r="F9994" i="3"/>
  <c r="F9993" i="3"/>
  <c r="F9992" i="3"/>
  <c r="F9991" i="3"/>
  <c r="F9990" i="3"/>
  <c r="F9989" i="3"/>
  <c r="F9988" i="3"/>
  <c r="F9987" i="3"/>
  <c r="F9986" i="3"/>
  <c r="F9985" i="3"/>
  <c r="F9984" i="3"/>
  <c r="F9983" i="3"/>
  <c r="F9982" i="3"/>
  <c r="F9981" i="3"/>
  <c r="F9980" i="3"/>
  <c r="F9979" i="3"/>
  <c r="F9978" i="3"/>
  <c r="F9977" i="3"/>
  <c r="F9976" i="3"/>
  <c r="F9975" i="3"/>
  <c r="F9974" i="3"/>
  <c r="F9973" i="3"/>
  <c r="F9972" i="3"/>
  <c r="F9971" i="3"/>
  <c r="F9970" i="3"/>
  <c r="F9969" i="3"/>
  <c r="F9968" i="3"/>
  <c r="F9967" i="3"/>
  <c r="F9966" i="3"/>
  <c r="F9965" i="3"/>
  <c r="F9964" i="3"/>
  <c r="F9963" i="3"/>
  <c r="F9962" i="3"/>
  <c r="F9961" i="3"/>
  <c r="F9960" i="3"/>
  <c r="F9959" i="3"/>
  <c r="F9958" i="3"/>
  <c r="F9957" i="3"/>
  <c r="F9956" i="3"/>
  <c r="F9955" i="3"/>
  <c r="F9954" i="3"/>
  <c r="F9953" i="3"/>
  <c r="F9952" i="3"/>
  <c r="F9951" i="3"/>
  <c r="F9950" i="3"/>
  <c r="F9949" i="3"/>
  <c r="F9948" i="3"/>
  <c r="F9947" i="3"/>
  <c r="F9946" i="3"/>
  <c r="F9945" i="3"/>
  <c r="F9944" i="3"/>
  <c r="F9943" i="3"/>
  <c r="F9942" i="3"/>
  <c r="F9941" i="3"/>
  <c r="F9940" i="3"/>
  <c r="F9939" i="3"/>
  <c r="F9938" i="3"/>
  <c r="F9937" i="3"/>
  <c r="F9936" i="3"/>
  <c r="F9935" i="3"/>
  <c r="F9934" i="3"/>
  <c r="F9933" i="3"/>
  <c r="F9932" i="3"/>
  <c r="F9931" i="3"/>
  <c r="F9930" i="3"/>
  <c r="F9929" i="3"/>
  <c r="F9928" i="3"/>
  <c r="F9927" i="3"/>
  <c r="F9926" i="3"/>
  <c r="F9925" i="3"/>
  <c r="F9924" i="3"/>
  <c r="F9923" i="3"/>
  <c r="F9922" i="3"/>
  <c r="F9921" i="3"/>
  <c r="F9920" i="3"/>
  <c r="F9919" i="3"/>
  <c r="F9918" i="3"/>
  <c r="F9917" i="3"/>
  <c r="F9916" i="3"/>
  <c r="F9915" i="3"/>
  <c r="F9914" i="3"/>
  <c r="F9913" i="3"/>
  <c r="F9912" i="3"/>
  <c r="F9911" i="3"/>
  <c r="F9910" i="3"/>
  <c r="F9909" i="3"/>
  <c r="F9908" i="3"/>
  <c r="F9907" i="3"/>
  <c r="F9906" i="3"/>
  <c r="F9905" i="3"/>
  <c r="F9904" i="3"/>
  <c r="F9903" i="3"/>
  <c r="F9902" i="3"/>
  <c r="F9901" i="3"/>
  <c r="F9900" i="3"/>
  <c r="F9899" i="3"/>
  <c r="F9898" i="3"/>
  <c r="F9897" i="3"/>
  <c r="F9896" i="3"/>
  <c r="F9895" i="3"/>
  <c r="F9894" i="3"/>
  <c r="F9893" i="3"/>
  <c r="F9892" i="3"/>
  <c r="F9891" i="3"/>
  <c r="F9890" i="3"/>
  <c r="F9889" i="3"/>
  <c r="F9888" i="3"/>
  <c r="F9887" i="3"/>
  <c r="F9886" i="3"/>
  <c r="F9885" i="3"/>
  <c r="F9884" i="3"/>
  <c r="F9883" i="3"/>
  <c r="F9882" i="3"/>
  <c r="F9881" i="3"/>
  <c r="F9880" i="3"/>
  <c r="F9879" i="3"/>
  <c r="F9878" i="3"/>
  <c r="F9877" i="3"/>
  <c r="F9876" i="3"/>
  <c r="F9875" i="3"/>
  <c r="F9874" i="3"/>
  <c r="F9873" i="3"/>
  <c r="F9872" i="3"/>
  <c r="F9871" i="3"/>
  <c r="F9870" i="3"/>
  <c r="F9869" i="3"/>
  <c r="F9868" i="3"/>
  <c r="F9867" i="3"/>
  <c r="F9866" i="3"/>
  <c r="F9865" i="3"/>
  <c r="F9864" i="3"/>
  <c r="F9863" i="3"/>
  <c r="F9862" i="3"/>
  <c r="F9861" i="3"/>
  <c r="F9860" i="3"/>
  <c r="F9859" i="3"/>
  <c r="F9858" i="3"/>
  <c r="F9857" i="3"/>
  <c r="F9856" i="3"/>
  <c r="F9855" i="3"/>
  <c r="F9854" i="3"/>
  <c r="F9853" i="3"/>
  <c r="F9852" i="3"/>
  <c r="F9851" i="3"/>
  <c r="F9850" i="3"/>
  <c r="F9849" i="3"/>
  <c r="F9848" i="3"/>
  <c r="F9847" i="3"/>
  <c r="F9846" i="3"/>
  <c r="F9845" i="3"/>
  <c r="F9844" i="3"/>
  <c r="F9843" i="3"/>
  <c r="F9842" i="3"/>
  <c r="F9841" i="3"/>
  <c r="F9840" i="3"/>
  <c r="F9839" i="3"/>
  <c r="F9838" i="3"/>
  <c r="F9837" i="3"/>
  <c r="F9836" i="3"/>
  <c r="F9835" i="3"/>
  <c r="F9834" i="3"/>
  <c r="F9833" i="3"/>
  <c r="F9832" i="3"/>
  <c r="F9831" i="3"/>
  <c r="F9830" i="3"/>
  <c r="F9829" i="3"/>
  <c r="F9828" i="3"/>
  <c r="F9827" i="3"/>
  <c r="F9826" i="3"/>
  <c r="F9825" i="3"/>
  <c r="F9824" i="3"/>
  <c r="F9823" i="3"/>
  <c r="F9822" i="3"/>
  <c r="F9821" i="3"/>
  <c r="F9820" i="3"/>
  <c r="F9819" i="3"/>
  <c r="F9818" i="3"/>
  <c r="F9817" i="3"/>
  <c r="F9816" i="3"/>
  <c r="F9815" i="3"/>
  <c r="F9814" i="3"/>
  <c r="F9813" i="3"/>
  <c r="F9812" i="3"/>
  <c r="F9811" i="3"/>
  <c r="F9810" i="3"/>
  <c r="F9809" i="3"/>
  <c r="F9808" i="3"/>
  <c r="F9807" i="3"/>
  <c r="F9806" i="3"/>
  <c r="F9805" i="3"/>
  <c r="F9804" i="3"/>
  <c r="F9803" i="3"/>
  <c r="F9802" i="3"/>
  <c r="F9801" i="3"/>
  <c r="F9800" i="3"/>
  <c r="F9799" i="3"/>
  <c r="F9798" i="3"/>
  <c r="F9797" i="3"/>
  <c r="F9796" i="3"/>
  <c r="F9795" i="3"/>
  <c r="F9794" i="3"/>
  <c r="F9793" i="3"/>
  <c r="F9792" i="3"/>
  <c r="F9791" i="3"/>
  <c r="F9790" i="3"/>
  <c r="F9789" i="3"/>
  <c r="F9788" i="3"/>
  <c r="F9787" i="3"/>
  <c r="F9786" i="3"/>
  <c r="F9785" i="3"/>
  <c r="F9784" i="3"/>
  <c r="F9783" i="3"/>
  <c r="F9782" i="3"/>
  <c r="F9781" i="3"/>
  <c r="F9780" i="3"/>
  <c r="F9779" i="3"/>
  <c r="F9778" i="3"/>
  <c r="F9777" i="3"/>
  <c r="F9776" i="3"/>
  <c r="F9775" i="3"/>
  <c r="F9774" i="3"/>
  <c r="F9773" i="3"/>
  <c r="F9772" i="3"/>
  <c r="F9771" i="3"/>
  <c r="F9770" i="3"/>
  <c r="F9769" i="3"/>
  <c r="F9768" i="3"/>
  <c r="F9767" i="3"/>
  <c r="F9766" i="3"/>
  <c r="F9765" i="3"/>
  <c r="F9764" i="3"/>
  <c r="F9763" i="3"/>
  <c r="F9762" i="3"/>
  <c r="F9761" i="3"/>
  <c r="F9760" i="3"/>
  <c r="F9759" i="3"/>
  <c r="F9758" i="3"/>
  <c r="F9757" i="3"/>
  <c r="F9756" i="3"/>
  <c r="F9755" i="3"/>
  <c r="F9754" i="3"/>
  <c r="F9753" i="3"/>
  <c r="F9752" i="3"/>
  <c r="F9751" i="3"/>
  <c r="F9750" i="3"/>
  <c r="F9749" i="3"/>
  <c r="F9748" i="3"/>
  <c r="F9747" i="3"/>
  <c r="F9746" i="3"/>
  <c r="F9745" i="3"/>
  <c r="F9744" i="3"/>
  <c r="F9743" i="3"/>
  <c r="F9742" i="3"/>
  <c r="F9741" i="3"/>
  <c r="F9740" i="3"/>
  <c r="F9739" i="3"/>
  <c r="F9738" i="3"/>
  <c r="F9737" i="3"/>
  <c r="F9736" i="3"/>
  <c r="F9735" i="3"/>
  <c r="F9734" i="3"/>
  <c r="F9733" i="3"/>
  <c r="F9732" i="3"/>
  <c r="F9731" i="3"/>
  <c r="F9730" i="3"/>
  <c r="F9729" i="3"/>
  <c r="F9728" i="3"/>
  <c r="F9727" i="3"/>
  <c r="F9726" i="3"/>
  <c r="F9725" i="3"/>
  <c r="F9724" i="3"/>
  <c r="F9723" i="3"/>
  <c r="F9722" i="3"/>
  <c r="F9721" i="3"/>
  <c r="F9720" i="3"/>
  <c r="F9719" i="3"/>
  <c r="F9718" i="3"/>
  <c r="F9717" i="3"/>
  <c r="F9716" i="3"/>
  <c r="F9715" i="3"/>
  <c r="F9714" i="3"/>
  <c r="F9713" i="3"/>
  <c r="F9712" i="3"/>
  <c r="F9711" i="3"/>
  <c r="F9710" i="3"/>
  <c r="F9709" i="3"/>
  <c r="F9708" i="3"/>
  <c r="F9707" i="3"/>
  <c r="F9706" i="3"/>
  <c r="F9705" i="3"/>
  <c r="F9704" i="3"/>
  <c r="F9703" i="3"/>
  <c r="F9702" i="3"/>
  <c r="F9701" i="3"/>
  <c r="F9700" i="3"/>
  <c r="F9699" i="3"/>
  <c r="F9698" i="3"/>
  <c r="F9697" i="3"/>
  <c r="F9696" i="3"/>
  <c r="F9695" i="3"/>
  <c r="F9694" i="3"/>
  <c r="F9693" i="3"/>
  <c r="F9692" i="3"/>
  <c r="F9691" i="3"/>
  <c r="F9690" i="3"/>
  <c r="F9689" i="3"/>
  <c r="F9688" i="3"/>
  <c r="F9687" i="3"/>
  <c r="F9686" i="3"/>
  <c r="F9685" i="3"/>
  <c r="F9684" i="3"/>
  <c r="F9683" i="3"/>
  <c r="F9682" i="3"/>
  <c r="F9681" i="3"/>
  <c r="F9680" i="3"/>
  <c r="F9679" i="3"/>
  <c r="F9678" i="3"/>
  <c r="F9677" i="3"/>
  <c r="F9676" i="3"/>
  <c r="F9675" i="3"/>
  <c r="F9674" i="3"/>
  <c r="F9673" i="3"/>
  <c r="F9672" i="3"/>
  <c r="F9671" i="3"/>
  <c r="F9670" i="3"/>
  <c r="F9669" i="3"/>
  <c r="F9668" i="3"/>
  <c r="F9667" i="3"/>
  <c r="F9666" i="3"/>
  <c r="F9665" i="3"/>
  <c r="F9664" i="3"/>
  <c r="F9663" i="3"/>
  <c r="F9662" i="3"/>
  <c r="F9661" i="3"/>
  <c r="F9660" i="3"/>
  <c r="F9659" i="3"/>
  <c r="F9658" i="3"/>
  <c r="F9657" i="3"/>
  <c r="F9656" i="3"/>
  <c r="F9655" i="3"/>
  <c r="F9654" i="3"/>
  <c r="F9653" i="3"/>
  <c r="F9652" i="3"/>
  <c r="F9651" i="3"/>
  <c r="F9650" i="3"/>
  <c r="F9649" i="3"/>
  <c r="F9648" i="3"/>
  <c r="F9647" i="3"/>
  <c r="F9646" i="3"/>
  <c r="F9645" i="3"/>
  <c r="F9644" i="3"/>
  <c r="F9643" i="3"/>
  <c r="F9642" i="3"/>
  <c r="F9641" i="3"/>
  <c r="F9640" i="3"/>
  <c r="F9639" i="3"/>
  <c r="F9638" i="3"/>
  <c r="F9637" i="3"/>
  <c r="F9636" i="3"/>
  <c r="F9635" i="3"/>
  <c r="F9634" i="3"/>
  <c r="F9633" i="3"/>
  <c r="F9632" i="3"/>
  <c r="F9631" i="3"/>
  <c r="F9630" i="3"/>
  <c r="F9629" i="3"/>
  <c r="F9628" i="3"/>
  <c r="F9627" i="3"/>
  <c r="F9626" i="3"/>
  <c r="F9625" i="3"/>
  <c r="F9624" i="3"/>
  <c r="F9623" i="3"/>
  <c r="F9622" i="3"/>
  <c r="F9621" i="3"/>
  <c r="F9620" i="3"/>
  <c r="F9619" i="3"/>
  <c r="F9618" i="3"/>
  <c r="F9617" i="3"/>
  <c r="F9616" i="3"/>
  <c r="F9615" i="3"/>
  <c r="F9614" i="3"/>
  <c r="F9613" i="3"/>
  <c r="F9612" i="3"/>
  <c r="F9611" i="3"/>
  <c r="F9610" i="3"/>
  <c r="F9609" i="3"/>
  <c r="F9608" i="3"/>
  <c r="F9607" i="3"/>
  <c r="F9606" i="3"/>
  <c r="F9605" i="3"/>
  <c r="F9604" i="3"/>
  <c r="F9603" i="3"/>
  <c r="F9602" i="3"/>
  <c r="F9601" i="3"/>
  <c r="F9600" i="3"/>
  <c r="F9599" i="3"/>
  <c r="F9598" i="3"/>
  <c r="F9597" i="3"/>
  <c r="F9596" i="3"/>
  <c r="F9595" i="3"/>
  <c r="F9594" i="3"/>
  <c r="F9593" i="3"/>
  <c r="F9592" i="3"/>
  <c r="F9591" i="3"/>
  <c r="F9590" i="3"/>
  <c r="F9589" i="3"/>
  <c r="F9588" i="3"/>
  <c r="F9587" i="3"/>
  <c r="F9586" i="3"/>
  <c r="F9585" i="3"/>
  <c r="F9584" i="3"/>
  <c r="F9583" i="3"/>
  <c r="F9582" i="3"/>
  <c r="F9581" i="3"/>
  <c r="F9580" i="3"/>
  <c r="F9579" i="3"/>
  <c r="F9578" i="3"/>
  <c r="F9577" i="3"/>
  <c r="F9576" i="3"/>
  <c r="F9575" i="3"/>
  <c r="F9574" i="3"/>
  <c r="F9573" i="3"/>
  <c r="F9572" i="3"/>
  <c r="F9571" i="3"/>
  <c r="F9570" i="3"/>
  <c r="F9569" i="3"/>
  <c r="F9568" i="3"/>
  <c r="F9567" i="3"/>
  <c r="F9566" i="3"/>
  <c r="F9565" i="3"/>
  <c r="F9564" i="3"/>
  <c r="F9563" i="3"/>
  <c r="F9562" i="3"/>
  <c r="F9561" i="3"/>
  <c r="F9560" i="3"/>
  <c r="F9559" i="3"/>
  <c r="F9558" i="3"/>
  <c r="F9557" i="3"/>
  <c r="F9556" i="3"/>
  <c r="F9555" i="3"/>
  <c r="F9554" i="3"/>
  <c r="F9553" i="3"/>
  <c r="F9552" i="3"/>
  <c r="F9551" i="3"/>
  <c r="F9550" i="3"/>
  <c r="F9549" i="3"/>
  <c r="F9548" i="3"/>
  <c r="F9547" i="3"/>
  <c r="F9546" i="3"/>
  <c r="F9545" i="3"/>
  <c r="F9544" i="3"/>
  <c r="F9543" i="3"/>
  <c r="F9542" i="3"/>
  <c r="F9541" i="3"/>
  <c r="F9540" i="3"/>
  <c r="F9539" i="3"/>
  <c r="F9538" i="3"/>
  <c r="F9537" i="3"/>
  <c r="F9536" i="3"/>
  <c r="F9535" i="3"/>
  <c r="F9534" i="3"/>
  <c r="F9533" i="3"/>
  <c r="F9532" i="3"/>
  <c r="F9531" i="3"/>
  <c r="F9530" i="3"/>
  <c r="F9529" i="3"/>
  <c r="F9528" i="3"/>
  <c r="F9527" i="3"/>
  <c r="F9526" i="3"/>
  <c r="F9525" i="3"/>
  <c r="F9524" i="3"/>
  <c r="F9523" i="3"/>
  <c r="F9522" i="3"/>
  <c r="F9521" i="3"/>
  <c r="F9520" i="3"/>
  <c r="F9519" i="3"/>
  <c r="F9518" i="3"/>
  <c r="F9517" i="3"/>
  <c r="F9516" i="3"/>
  <c r="F9515" i="3"/>
  <c r="F9514" i="3"/>
  <c r="F9513" i="3"/>
  <c r="F9512" i="3"/>
  <c r="F9511" i="3"/>
  <c r="F9510" i="3"/>
  <c r="F9509" i="3"/>
  <c r="F9508" i="3"/>
  <c r="F9507" i="3"/>
  <c r="F9506" i="3"/>
  <c r="F9505" i="3"/>
  <c r="F9504" i="3"/>
  <c r="F9503" i="3"/>
  <c r="F9502" i="3"/>
  <c r="F9501" i="3"/>
  <c r="F9500" i="3"/>
  <c r="F9499" i="3"/>
  <c r="F9498" i="3"/>
  <c r="F9497" i="3"/>
  <c r="F9496" i="3"/>
  <c r="F9495" i="3"/>
  <c r="F9494" i="3"/>
  <c r="F9493" i="3"/>
  <c r="F9492" i="3"/>
  <c r="F9491" i="3"/>
  <c r="F9490" i="3"/>
  <c r="F9489" i="3"/>
  <c r="F9488" i="3"/>
  <c r="F9487" i="3"/>
  <c r="F9486" i="3"/>
  <c r="F9485" i="3"/>
  <c r="F9484" i="3"/>
  <c r="F9483" i="3"/>
  <c r="F9482" i="3"/>
  <c r="F9481" i="3"/>
  <c r="F9480" i="3"/>
  <c r="F9479" i="3"/>
  <c r="F9478" i="3"/>
  <c r="F9477" i="3"/>
  <c r="F9476" i="3"/>
  <c r="F9475" i="3"/>
  <c r="F9474" i="3"/>
  <c r="F9473" i="3"/>
  <c r="F9472" i="3"/>
  <c r="F9471" i="3"/>
  <c r="F9470" i="3"/>
  <c r="F9469" i="3"/>
  <c r="F9468" i="3"/>
  <c r="F9467" i="3"/>
  <c r="F9466" i="3"/>
  <c r="F9465" i="3"/>
  <c r="F9464" i="3"/>
  <c r="F9463" i="3"/>
  <c r="F9462" i="3"/>
  <c r="F9461" i="3"/>
  <c r="F9460" i="3"/>
  <c r="F9459" i="3"/>
  <c r="F9458" i="3"/>
  <c r="F9457" i="3"/>
  <c r="F9456" i="3"/>
  <c r="F9455" i="3"/>
  <c r="F9454" i="3"/>
  <c r="F9453" i="3"/>
  <c r="F9452" i="3"/>
  <c r="F9451" i="3"/>
  <c r="F9450" i="3"/>
  <c r="F9449" i="3"/>
  <c r="F9448" i="3"/>
  <c r="F9447" i="3"/>
  <c r="F9446" i="3"/>
  <c r="F9445" i="3"/>
  <c r="F9444" i="3"/>
  <c r="F9443" i="3"/>
  <c r="F9442" i="3"/>
  <c r="F9441" i="3"/>
  <c r="F9440" i="3"/>
  <c r="F9439" i="3"/>
  <c r="F9438" i="3"/>
  <c r="F9437" i="3"/>
  <c r="F9436" i="3"/>
  <c r="F9435" i="3"/>
  <c r="F9434" i="3"/>
  <c r="F9433" i="3"/>
  <c r="F9432" i="3"/>
  <c r="F9431" i="3"/>
  <c r="F9430" i="3"/>
  <c r="F9429" i="3"/>
  <c r="F9428" i="3"/>
  <c r="F9427" i="3"/>
  <c r="F9426" i="3"/>
  <c r="F9425" i="3"/>
  <c r="F9424" i="3"/>
  <c r="F9423" i="3"/>
  <c r="F9422" i="3"/>
  <c r="F9421" i="3"/>
  <c r="F9420" i="3"/>
  <c r="F9419" i="3"/>
  <c r="F9418" i="3"/>
  <c r="F9417" i="3"/>
  <c r="F9416" i="3"/>
  <c r="F9415" i="3"/>
  <c r="F9414" i="3"/>
  <c r="F9413" i="3"/>
  <c r="F9412" i="3"/>
  <c r="F9411" i="3"/>
  <c r="F9410" i="3"/>
  <c r="F9409" i="3"/>
  <c r="F9408" i="3"/>
  <c r="F9407" i="3"/>
  <c r="F9406" i="3"/>
  <c r="F9405" i="3"/>
  <c r="F9404" i="3"/>
  <c r="F9403" i="3"/>
  <c r="F9402" i="3"/>
  <c r="F9401" i="3"/>
  <c r="F9400" i="3"/>
  <c r="F9399" i="3"/>
  <c r="F9398" i="3"/>
  <c r="F9397" i="3"/>
  <c r="F9396" i="3"/>
  <c r="F9395" i="3"/>
  <c r="F9394" i="3"/>
  <c r="F9393" i="3"/>
  <c r="F9392" i="3"/>
  <c r="F9391" i="3"/>
  <c r="F9390" i="3"/>
  <c r="F9389" i="3"/>
  <c r="F9388" i="3"/>
  <c r="F9387" i="3"/>
  <c r="F9386" i="3"/>
  <c r="F9385" i="3"/>
  <c r="F9384" i="3"/>
  <c r="F9383" i="3"/>
  <c r="F9382" i="3"/>
  <c r="F9381" i="3"/>
  <c r="F9380" i="3"/>
  <c r="F9379" i="3"/>
  <c r="F9378" i="3"/>
  <c r="F9377" i="3"/>
  <c r="F9376" i="3"/>
  <c r="F9375" i="3"/>
  <c r="F9374" i="3"/>
  <c r="F9373" i="3"/>
  <c r="F9372" i="3"/>
  <c r="F9371" i="3"/>
  <c r="F9370" i="3"/>
  <c r="F9369" i="3"/>
  <c r="F9368" i="3"/>
  <c r="F9367" i="3"/>
  <c r="F9366" i="3"/>
  <c r="F9365" i="3"/>
  <c r="F9364" i="3"/>
  <c r="F9363" i="3"/>
  <c r="F9362" i="3"/>
  <c r="F9361" i="3"/>
  <c r="F9360" i="3"/>
  <c r="F9359" i="3"/>
  <c r="F9358" i="3"/>
  <c r="F9357" i="3"/>
  <c r="F9356" i="3"/>
  <c r="F9355" i="3"/>
  <c r="F9354" i="3"/>
  <c r="F9353" i="3"/>
  <c r="F9352" i="3"/>
  <c r="F9351" i="3"/>
  <c r="F9350" i="3"/>
  <c r="F9349" i="3"/>
  <c r="F9348" i="3"/>
  <c r="F9347" i="3"/>
  <c r="F9346" i="3"/>
  <c r="F9345" i="3"/>
  <c r="F9344" i="3"/>
  <c r="F9343" i="3"/>
  <c r="F9342" i="3"/>
  <c r="F9341" i="3"/>
  <c r="F9340" i="3"/>
  <c r="F9339" i="3"/>
  <c r="F9338" i="3"/>
  <c r="F9337" i="3"/>
  <c r="F9336" i="3"/>
  <c r="F9335" i="3"/>
  <c r="F9334" i="3"/>
  <c r="F9333" i="3"/>
  <c r="F9332" i="3"/>
  <c r="F9331" i="3"/>
  <c r="F9330" i="3"/>
  <c r="F9329" i="3"/>
  <c r="F9328" i="3"/>
  <c r="F9327" i="3"/>
  <c r="F9326" i="3"/>
  <c r="F9325" i="3"/>
  <c r="F9324" i="3"/>
  <c r="F9323" i="3"/>
  <c r="F9322" i="3"/>
  <c r="F9321" i="3"/>
  <c r="F9320" i="3"/>
  <c r="F9319" i="3"/>
  <c r="F9318" i="3"/>
  <c r="F9317" i="3"/>
  <c r="F9316" i="3"/>
  <c r="F9315" i="3"/>
  <c r="F9314" i="3"/>
  <c r="F9313" i="3"/>
  <c r="F9312" i="3"/>
  <c r="F9311" i="3"/>
  <c r="F9310" i="3"/>
  <c r="F9309" i="3"/>
  <c r="F9308" i="3"/>
  <c r="F9307" i="3"/>
  <c r="F9306" i="3"/>
  <c r="F9305" i="3"/>
  <c r="F9304" i="3"/>
  <c r="F9303" i="3"/>
  <c r="F9302" i="3"/>
  <c r="F9301" i="3"/>
  <c r="F9300" i="3"/>
  <c r="F9299" i="3"/>
  <c r="F9298" i="3"/>
  <c r="F9297" i="3"/>
  <c r="F9296" i="3"/>
  <c r="F9295" i="3"/>
  <c r="F9294" i="3"/>
  <c r="F9293" i="3"/>
  <c r="F9292" i="3"/>
  <c r="F9291" i="3"/>
  <c r="F9290" i="3"/>
  <c r="F9289" i="3"/>
  <c r="F9288" i="3"/>
  <c r="F9287" i="3"/>
  <c r="F9286" i="3"/>
  <c r="F9285" i="3"/>
  <c r="F9284" i="3"/>
  <c r="F9283" i="3"/>
  <c r="F9282" i="3"/>
  <c r="F9281" i="3"/>
  <c r="F9280" i="3"/>
  <c r="F9279" i="3"/>
  <c r="F9278" i="3"/>
  <c r="F9277" i="3"/>
  <c r="F9276" i="3"/>
  <c r="F9275" i="3"/>
  <c r="F9274" i="3"/>
  <c r="F9273" i="3"/>
  <c r="F9272" i="3"/>
  <c r="F9271" i="3"/>
  <c r="F9270" i="3"/>
  <c r="F9269" i="3"/>
  <c r="F9268" i="3"/>
  <c r="F9267" i="3"/>
  <c r="F9266" i="3"/>
  <c r="F9265" i="3"/>
  <c r="F9264" i="3"/>
  <c r="F9263" i="3"/>
  <c r="F9262" i="3"/>
  <c r="F9261" i="3"/>
  <c r="F9260" i="3"/>
  <c r="F9259" i="3"/>
  <c r="F9258" i="3"/>
  <c r="F9257" i="3"/>
  <c r="F9256" i="3"/>
  <c r="F9255" i="3"/>
  <c r="F9254" i="3"/>
  <c r="F9253" i="3"/>
  <c r="F9252" i="3"/>
  <c r="F9251" i="3"/>
  <c r="F9250" i="3"/>
  <c r="F9249" i="3"/>
  <c r="F9248" i="3"/>
  <c r="F9247" i="3"/>
  <c r="F9246" i="3"/>
  <c r="F9245" i="3"/>
  <c r="F9244" i="3"/>
  <c r="F9243" i="3"/>
  <c r="F9242" i="3"/>
  <c r="F9241" i="3"/>
  <c r="F9240" i="3"/>
  <c r="F9239" i="3"/>
  <c r="F9238" i="3"/>
  <c r="F9237" i="3"/>
  <c r="F9236" i="3"/>
  <c r="F9235" i="3"/>
  <c r="F9234" i="3"/>
  <c r="F9233" i="3"/>
  <c r="F9232" i="3"/>
  <c r="F9231" i="3"/>
  <c r="F9230" i="3"/>
  <c r="F9229" i="3"/>
  <c r="F9228" i="3"/>
  <c r="F9227" i="3"/>
  <c r="F9226" i="3"/>
  <c r="F9225" i="3"/>
  <c r="F9224" i="3"/>
  <c r="F9223" i="3"/>
  <c r="F9222" i="3"/>
  <c r="F9221" i="3"/>
  <c r="F9220" i="3"/>
  <c r="F9219" i="3"/>
  <c r="F9218" i="3"/>
  <c r="F9217" i="3"/>
  <c r="F9216" i="3"/>
  <c r="F9215" i="3"/>
  <c r="F9214" i="3"/>
  <c r="F9213" i="3"/>
  <c r="F9212" i="3"/>
  <c r="F9211" i="3"/>
  <c r="F9210" i="3"/>
  <c r="F9209" i="3"/>
  <c r="F9208" i="3"/>
  <c r="F9207" i="3"/>
  <c r="F9206" i="3"/>
  <c r="F9205" i="3"/>
  <c r="F9204" i="3"/>
  <c r="F9203" i="3"/>
  <c r="F9202" i="3"/>
  <c r="F9201" i="3"/>
  <c r="F9200" i="3"/>
  <c r="F9199" i="3"/>
  <c r="F9198" i="3"/>
  <c r="F9197" i="3"/>
  <c r="F9196" i="3"/>
  <c r="F9195" i="3"/>
  <c r="F9194" i="3"/>
  <c r="F9193" i="3"/>
  <c r="F9192" i="3"/>
  <c r="F9191" i="3"/>
  <c r="F9190" i="3"/>
  <c r="F9189" i="3"/>
  <c r="F9188" i="3"/>
  <c r="F9187" i="3"/>
  <c r="F9186" i="3"/>
  <c r="F9185" i="3"/>
  <c r="F9184" i="3"/>
  <c r="F9183" i="3"/>
  <c r="F9182" i="3"/>
  <c r="F9181" i="3"/>
  <c r="F9180" i="3"/>
  <c r="F9179" i="3"/>
  <c r="F9178" i="3"/>
  <c r="F9177" i="3"/>
  <c r="F9176" i="3"/>
  <c r="F9175" i="3"/>
  <c r="F9174" i="3"/>
  <c r="F9173" i="3"/>
  <c r="F9172" i="3"/>
  <c r="F9171" i="3"/>
  <c r="F9170" i="3"/>
  <c r="F9169" i="3"/>
  <c r="F9168" i="3"/>
  <c r="F9167" i="3"/>
  <c r="F9166" i="3"/>
  <c r="F9165" i="3"/>
  <c r="F9164" i="3"/>
  <c r="F9163" i="3"/>
  <c r="F9162" i="3"/>
  <c r="F9161" i="3"/>
  <c r="F9160" i="3"/>
  <c r="F9159" i="3"/>
  <c r="F9158" i="3"/>
  <c r="F9157" i="3"/>
  <c r="F9156" i="3"/>
  <c r="F9155" i="3"/>
  <c r="F9154" i="3"/>
  <c r="F9153" i="3"/>
  <c r="F9152" i="3"/>
  <c r="F9151" i="3"/>
  <c r="F9150" i="3"/>
  <c r="F9149" i="3"/>
  <c r="F9148" i="3"/>
  <c r="F9147" i="3"/>
  <c r="F9146" i="3"/>
  <c r="F9145" i="3"/>
  <c r="F9144" i="3"/>
  <c r="F9143" i="3"/>
  <c r="F9142" i="3"/>
  <c r="F9141" i="3"/>
  <c r="F9140" i="3"/>
  <c r="F9139" i="3"/>
  <c r="F9138" i="3"/>
  <c r="F9137" i="3"/>
  <c r="F9136" i="3"/>
  <c r="F9135" i="3"/>
  <c r="F9134" i="3"/>
  <c r="F9133" i="3"/>
  <c r="F9132" i="3"/>
  <c r="F9131" i="3"/>
  <c r="F9130" i="3"/>
  <c r="F9129" i="3"/>
  <c r="F9128" i="3"/>
  <c r="F9127" i="3"/>
  <c r="F9126" i="3"/>
  <c r="F9125" i="3"/>
  <c r="F9124" i="3"/>
  <c r="F9123" i="3"/>
  <c r="F9122" i="3"/>
  <c r="F9121" i="3"/>
  <c r="F9120" i="3"/>
  <c r="F9119" i="3"/>
  <c r="F9118" i="3"/>
  <c r="F9117" i="3"/>
  <c r="F9116" i="3"/>
  <c r="F9115" i="3"/>
  <c r="F9114" i="3"/>
  <c r="F9113" i="3"/>
  <c r="F9112" i="3"/>
  <c r="F9111" i="3"/>
  <c r="F9110" i="3"/>
  <c r="F9109" i="3"/>
  <c r="F9108" i="3"/>
  <c r="F9107" i="3"/>
  <c r="F9106" i="3"/>
  <c r="F9105" i="3"/>
  <c r="F9104" i="3"/>
  <c r="F9103" i="3"/>
  <c r="F9102" i="3"/>
  <c r="F9101" i="3"/>
  <c r="F9100" i="3"/>
  <c r="F9099" i="3"/>
  <c r="F9098" i="3"/>
  <c r="F9097" i="3"/>
  <c r="F9096" i="3"/>
  <c r="F9095" i="3"/>
  <c r="F9094" i="3"/>
  <c r="F9093" i="3"/>
  <c r="F9092" i="3"/>
  <c r="F9091" i="3"/>
  <c r="F9090" i="3"/>
  <c r="F9089" i="3"/>
  <c r="F9088" i="3"/>
  <c r="F9087" i="3"/>
  <c r="F9086" i="3"/>
  <c r="F9085" i="3"/>
  <c r="F9084" i="3"/>
  <c r="F9083" i="3"/>
  <c r="F9082" i="3"/>
  <c r="F9081" i="3"/>
  <c r="F9080" i="3"/>
  <c r="F9079" i="3"/>
  <c r="F9078" i="3"/>
  <c r="F9077" i="3"/>
  <c r="F9076" i="3"/>
  <c r="F9075" i="3"/>
  <c r="F9074" i="3"/>
  <c r="F9073" i="3"/>
  <c r="F9072" i="3"/>
  <c r="F9071" i="3"/>
  <c r="F9070" i="3"/>
  <c r="F9069" i="3"/>
  <c r="F9068" i="3"/>
  <c r="F9067" i="3"/>
  <c r="F9066" i="3"/>
  <c r="F9065" i="3"/>
  <c r="F9064" i="3"/>
  <c r="F9063" i="3"/>
  <c r="F9062" i="3"/>
  <c r="F9061" i="3"/>
  <c r="F9060" i="3"/>
  <c r="F9059" i="3"/>
  <c r="F9058" i="3"/>
  <c r="F9057" i="3"/>
  <c r="F9056" i="3"/>
  <c r="F9055" i="3"/>
  <c r="F9054" i="3"/>
  <c r="F9053" i="3"/>
  <c r="F9052" i="3"/>
  <c r="F9051" i="3"/>
  <c r="F9050" i="3"/>
  <c r="F9049" i="3"/>
  <c r="F9048" i="3"/>
  <c r="F9047" i="3"/>
  <c r="F9046" i="3"/>
  <c r="F9045" i="3"/>
  <c r="F9044" i="3"/>
  <c r="F9043" i="3"/>
  <c r="F9042" i="3"/>
  <c r="F9041" i="3"/>
  <c r="F9040" i="3"/>
  <c r="F9039" i="3"/>
  <c r="F9038" i="3"/>
  <c r="F9037" i="3"/>
  <c r="F9036" i="3"/>
  <c r="F9035" i="3"/>
  <c r="F9034" i="3"/>
  <c r="F9033" i="3"/>
  <c r="F9032" i="3"/>
  <c r="F9031" i="3"/>
  <c r="F9030" i="3"/>
  <c r="F9029" i="3"/>
  <c r="F9028" i="3"/>
  <c r="F9027" i="3"/>
  <c r="F9026" i="3"/>
  <c r="F9025" i="3"/>
  <c r="F9024" i="3"/>
  <c r="F9023" i="3"/>
  <c r="F9022" i="3"/>
  <c r="F9021" i="3"/>
  <c r="F9020" i="3"/>
  <c r="F9019" i="3"/>
  <c r="F9018" i="3"/>
  <c r="F9017" i="3"/>
  <c r="F9016" i="3"/>
  <c r="F9015" i="3"/>
  <c r="F9014" i="3"/>
  <c r="F9013" i="3"/>
  <c r="F9012" i="3"/>
  <c r="F9011" i="3"/>
  <c r="F9010" i="3"/>
  <c r="F9009" i="3"/>
  <c r="F9008" i="3"/>
  <c r="F9007" i="3"/>
  <c r="F9006" i="3"/>
  <c r="F9005" i="3"/>
  <c r="F9004" i="3"/>
  <c r="F9003" i="3"/>
  <c r="F9002" i="3"/>
  <c r="F9001" i="3"/>
  <c r="F9000" i="3"/>
  <c r="F8999" i="3"/>
  <c r="F8998" i="3"/>
  <c r="F8997" i="3"/>
  <c r="F8996" i="3"/>
  <c r="F8995" i="3"/>
  <c r="F8994" i="3"/>
  <c r="F8993" i="3"/>
  <c r="F8992" i="3"/>
  <c r="F8991" i="3"/>
  <c r="F8990" i="3"/>
  <c r="F8989" i="3"/>
  <c r="F8988" i="3"/>
  <c r="F8987" i="3"/>
  <c r="F8986" i="3"/>
  <c r="F8985" i="3"/>
  <c r="F8984" i="3"/>
  <c r="F8983" i="3"/>
  <c r="F8982" i="3"/>
  <c r="F8981" i="3"/>
  <c r="F8980" i="3"/>
  <c r="F8979" i="3"/>
  <c r="F8978" i="3"/>
  <c r="F8977" i="3"/>
  <c r="F8976" i="3"/>
  <c r="F8975" i="3"/>
  <c r="F8974" i="3"/>
  <c r="F8973" i="3"/>
  <c r="F8972" i="3"/>
  <c r="F8971" i="3"/>
  <c r="F8970" i="3"/>
  <c r="F8969" i="3"/>
  <c r="F8968" i="3"/>
  <c r="F8967" i="3"/>
  <c r="F8966" i="3"/>
  <c r="F8965" i="3"/>
  <c r="F8964" i="3"/>
  <c r="F8963" i="3"/>
  <c r="F8962" i="3"/>
  <c r="F8961" i="3"/>
  <c r="F8960" i="3"/>
  <c r="F8959" i="3"/>
  <c r="F8958" i="3"/>
  <c r="F8957" i="3"/>
  <c r="F8956" i="3"/>
  <c r="F8955" i="3"/>
  <c r="F8954" i="3"/>
  <c r="F8953" i="3"/>
  <c r="F8952" i="3"/>
  <c r="F8951" i="3"/>
  <c r="F8950" i="3"/>
  <c r="F8949" i="3"/>
  <c r="F8948" i="3"/>
  <c r="F8947" i="3"/>
  <c r="F8946" i="3"/>
  <c r="F8945" i="3"/>
  <c r="F8944" i="3"/>
  <c r="F8943" i="3"/>
  <c r="F8942" i="3"/>
  <c r="F8941" i="3"/>
  <c r="F8940" i="3"/>
  <c r="F8939" i="3"/>
  <c r="F8938" i="3"/>
  <c r="F8937" i="3"/>
  <c r="F8936" i="3"/>
  <c r="F8935" i="3"/>
  <c r="F8934" i="3"/>
  <c r="F8933" i="3"/>
  <c r="F8932" i="3"/>
  <c r="F8931" i="3"/>
  <c r="F8930" i="3"/>
  <c r="F8929" i="3"/>
  <c r="F8928" i="3"/>
  <c r="F8927" i="3"/>
  <c r="F8926" i="3"/>
  <c r="F8925" i="3"/>
  <c r="F8924" i="3"/>
  <c r="F8923" i="3"/>
  <c r="F8922" i="3"/>
  <c r="F8921" i="3"/>
  <c r="F8920" i="3"/>
  <c r="F8919" i="3"/>
  <c r="F8918" i="3"/>
  <c r="F8917" i="3"/>
  <c r="F8916" i="3"/>
  <c r="F8915" i="3"/>
  <c r="F8914" i="3"/>
  <c r="F8913" i="3"/>
  <c r="F8912" i="3"/>
  <c r="F8911" i="3"/>
  <c r="F8910" i="3"/>
  <c r="F8909" i="3"/>
  <c r="F8908" i="3"/>
  <c r="F8907" i="3"/>
  <c r="F8906" i="3"/>
  <c r="F8905" i="3"/>
  <c r="F8904" i="3"/>
  <c r="F8903" i="3"/>
  <c r="F8902" i="3"/>
  <c r="F8901" i="3"/>
  <c r="F8900" i="3"/>
  <c r="F8899" i="3"/>
  <c r="F8898" i="3"/>
  <c r="F8897" i="3"/>
  <c r="F8896" i="3"/>
  <c r="F8895" i="3"/>
  <c r="F8894" i="3"/>
  <c r="F8893" i="3"/>
  <c r="F8892" i="3"/>
  <c r="F8891" i="3"/>
  <c r="F8890" i="3"/>
  <c r="F8889" i="3"/>
  <c r="F8888" i="3"/>
  <c r="F8887" i="3"/>
  <c r="F8886" i="3"/>
  <c r="F8885" i="3"/>
  <c r="F8884" i="3"/>
  <c r="F8883" i="3"/>
  <c r="F8882" i="3"/>
  <c r="F8881" i="3"/>
  <c r="F8880" i="3"/>
  <c r="F8879" i="3"/>
  <c r="F8878" i="3"/>
  <c r="F8877" i="3"/>
  <c r="F8876" i="3"/>
  <c r="F8875" i="3"/>
  <c r="F8874" i="3"/>
  <c r="F8873" i="3"/>
  <c r="F8872" i="3"/>
  <c r="F8871" i="3"/>
  <c r="F8870" i="3"/>
  <c r="F8869" i="3"/>
  <c r="F8868" i="3"/>
  <c r="F8867" i="3"/>
  <c r="F8866" i="3"/>
  <c r="F8865" i="3"/>
  <c r="F8864" i="3"/>
  <c r="F8863" i="3"/>
  <c r="F8862" i="3"/>
  <c r="F8861" i="3"/>
  <c r="F8860" i="3"/>
  <c r="F8859" i="3"/>
  <c r="F8858" i="3"/>
  <c r="F8857" i="3"/>
  <c r="F8856" i="3"/>
  <c r="F8855" i="3"/>
  <c r="F8854" i="3"/>
  <c r="F8853" i="3"/>
  <c r="F8852" i="3"/>
  <c r="F8851" i="3"/>
  <c r="F8850" i="3"/>
  <c r="F8849" i="3"/>
  <c r="F8848" i="3"/>
  <c r="F8847" i="3"/>
  <c r="F8846" i="3"/>
  <c r="F8845" i="3"/>
  <c r="F8844" i="3"/>
  <c r="F8843" i="3"/>
  <c r="F8842" i="3"/>
  <c r="F8841" i="3"/>
  <c r="F8840" i="3"/>
  <c r="F8839" i="3"/>
  <c r="F8838" i="3"/>
  <c r="F8837" i="3"/>
  <c r="F8836" i="3"/>
  <c r="F8835" i="3"/>
  <c r="F8834" i="3"/>
  <c r="F8833" i="3"/>
  <c r="F8832" i="3"/>
  <c r="F8831" i="3"/>
  <c r="F8830" i="3"/>
  <c r="F8829" i="3"/>
  <c r="F8828" i="3"/>
  <c r="F8827" i="3"/>
  <c r="F8826" i="3"/>
  <c r="F8825" i="3"/>
  <c r="F8824" i="3"/>
  <c r="F8823" i="3"/>
  <c r="F8822" i="3"/>
  <c r="F8821" i="3"/>
  <c r="F8820" i="3"/>
  <c r="F8819" i="3"/>
  <c r="F8818" i="3"/>
  <c r="F8817" i="3"/>
  <c r="F8816" i="3"/>
  <c r="F8815" i="3"/>
  <c r="F8814" i="3"/>
  <c r="F8813" i="3"/>
  <c r="F8812" i="3"/>
  <c r="F8811" i="3"/>
  <c r="F8810" i="3"/>
  <c r="F8809" i="3"/>
  <c r="F8808" i="3"/>
  <c r="F8807" i="3"/>
  <c r="F8806" i="3"/>
  <c r="F8805" i="3"/>
  <c r="F8804" i="3"/>
  <c r="F8803" i="3"/>
  <c r="F8802" i="3"/>
  <c r="F8801" i="3"/>
  <c r="F8800" i="3"/>
  <c r="F8799" i="3"/>
  <c r="F8798" i="3"/>
  <c r="F8797" i="3"/>
  <c r="F8796" i="3"/>
  <c r="F8795" i="3"/>
  <c r="F8794" i="3"/>
  <c r="F8793" i="3"/>
  <c r="F8792" i="3"/>
  <c r="F8791" i="3"/>
  <c r="F8790" i="3"/>
  <c r="F8789" i="3"/>
  <c r="F8788" i="3"/>
  <c r="F8787" i="3"/>
  <c r="F8786" i="3"/>
  <c r="F8785" i="3"/>
  <c r="F8784" i="3"/>
  <c r="F8783" i="3"/>
  <c r="F8782" i="3"/>
  <c r="F8781" i="3"/>
  <c r="F8780" i="3"/>
  <c r="F8779" i="3"/>
  <c r="F8778" i="3"/>
  <c r="F8777" i="3"/>
  <c r="F8776" i="3"/>
  <c r="F8775" i="3"/>
  <c r="F8774" i="3"/>
  <c r="F8773" i="3"/>
  <c r="F8772" i="3"/>
  <c r="F8771" i="3"/>
  <c r="F8770" i="3"/>
  <c r="F8769" i="3"/>
  <c r="F8768" i="3"/>
  <c r="F8767" i="3"/>
  <c r="F8766" i="3"/>
  <c r="F8765" i="3"/>
  <c r="F8764" i="3"/>
  <c r="F8763" i="3"/>
  <c r="F8762" i="3"/>
  <c r="F8761" i="3"/>
  <c r="F8760" i="3"/>
  <c r="F8759" i="3"/>
  <c r="F8758" i="3"/>
  <c r="F8757" i="3"/>
  <c r="F8756" i="3"/>
  <c r="F8755" i="3"/>
  <c r="F8754" i="3"/>
  <c r="F8753" i="3"/>
  <c r="F8752" i="3"/>
  <c r="F8751" i="3"/>
  <c r="F8750" i="3"/>
  <c r="F8749" i="3"/>
  <c r="F8748" i="3"/>
  <c r="F8747" i="3"/>
  <c r="F8746" i="3"/>
  <c r="F8745" i="3"/>
  <c r="F8744" i="3"/>
  <c r="F8743" i="3"/>
  <c r="F8742" i="3"/>
  <c r="F8741" i="3"/>
  <c r="F8740" i="3"/>
  <c r="F8739" i="3"/>
  <c r="F8738" i="3"/>
  <c r="F8737" i="3"/>
  <c r="F8736" i="3"/>
  <c r="F8735" i="3"/>
  <c r="F8734" i="3"/>
  <c r="F8733" i="3"/>
  <c r="F8732" i="3"/>
  <c r="F8731" i="3"/>
  <c r="F8730" i="3"/>
  <c r="F8729" i="3"/>
  <c r="F8728" i="3"/>
  <c r="F8727" i="3"/>
  <c r="F8726" i="3"/>
  <c r="F8725" i="3"/>
  <c r="F8724" i="3"/>
  <c r="F8723" i="3"/>
  <c r="F8722" i="3"/>
  <c r="F8721" i="3"/>
  <c r="F8720" i="3"/>
  <c r="F8719" i="3"/>
  <c r="F8718" i="3"/>
  <c r="F8717" i="3"/>
  <c r="F8716" i="3"/>
  <c r="F8715" i="3"/>
  <c r="F8714" i="3"/>
  <c r="F8713" i="3"/>
  <c r="F8712" i="3"/>
  <c r="F8711" i="3"/>
  <c r="F8710" i="3"/>
  <c r="F8709" i="3"/>
  <c r="F8708" i="3"/>
  <c r="F8707" i="3"/>
  <c r="F8706" i="3"/>
  <c r="F8705" i="3"/>
  <c r="F8704" i="3"/>
  <c r="F8703" i="3"/>
  <c r="F8702" i="3"/>
  <c r="F8701" i="3"/>
  <c r="F8700" i="3"/>
  <c r="F8699" i="3"/>
  <c r="F8698" i="3"/>
  <c r="F8697" i="3"/>
  <c r="F8696" i="3"/>
  <c r="F8695" i="3"/>
  <c r="F8694" i="3"/>
  <c r="F8693" i="3"/>
  <c r="F8692" i="3"/>
  <c r="F8691" i="3"/>
  <c r="F8690" i="3"/>
  <c r="F8689" i="3"/>
  <c r="F8688" i="3"/>
  <c r="F8687" i="3"/>
  <c r="F8686" i="3"/>
  <c r="F8685" i="3"/>
  <c r="F8684" i="3"/>
  <c r="F8683" i="3"/>
  <c r="F8682" i="3"/>
  <c r="F8681" i="3"/>
  <c r="F8680" i="3"/>
  <c r="F8679" i="3"/>
  <c r="F8678" i="3"/>
  <c r="F8677" i="3"/>
  <c r="F8676" i="3"/>
  <c r="F8675" i="3"/>
  <c r="F8674" i="3"/>
  <c r="F8673" i="3"/>
  <c r="F8672" i="3"/>
  <c r="F8671" i="3"/>
  <c r="F8670" i="3"/>
  <c r="F8669" i="3"/>
  <c r="F8668" i="3"/>
  <c r="F8667" i="3"/>
  <c r="F8666" i="3"/>
  <c r="F8665" i="3"/>
  <c r="F8664" i="3"/>
  <c r="F8663" i="3"/>
  <c r="F8662" i="3"/>
  <c r="F8661" i="3"/>
  <c r="F8660" i="3"/>
  <c r="F8659" i="3"/>
  <c r="F8658" i="3"/>
  <c r="F8657" i="3"/>
  <c r="F8656" i="3"/>
  <c r="F8655" i="3"/>
  <c r="F8654" i="3"/>
  <c r="F8653" i="3"/>
  <c r="F8652" i="3"/>
  <c r="F8651" i="3"/>
  <c r="F8650" i="3"/>
  <c r="F8649" i="3"/>
  <c r="F8648" i="3"/>
  <c r="F8647" i="3"/>
  <c r="F8646" i="3"/>
  <c r="F8645" i="3"/>
  <c r="F8644" i="3"/>
  <c r="F8643" i="3"/>
  <c r="F8642" i="3"/>
  <c r="F8641" i="3"/>
  <c r="F8640" i="3"/>
  <c r="F8639" i="3"/>
  <c r="F8638" i="3"/>
  <c r="F8637" i="3"/>
  <c r="F8636" i="3"/>
  <c r="F8635" i="3"/>
  <c r="F8634" i="3"/>
  <c r="F8633" i="3"/>
  <c r="F8632" i="3"/>
  <c r="F8631" i="3"/>
  <c r="F8630" i="3"/>
  <c r="F8629" i="3"/>
  <c r="F8628" i="3"/>
  <c r="F8627" i="3"/>
  <c r="F8626" i="3"/>
  <c r="F8625" i="3"/>
  <c r="F8624" i="3"/>
  <c r="F8623" i="3"/>
  <c r="F8622" i="3"/>
  <c r="F8621" i="3"/>
  <c r="F8620" i="3"/>
  <c r="F8619" i="3"/>
  <c r="F8618" i="3"/>
  <c r="F8617" i="3"/>
  <c r="F8616" i="3"/>
  <c r="F8615" i="3"/>
  <c r="F8614" i="3"/>
  <c r="F8613" i="3"/>
  <c r="F8612" i="3"/>
  <c r="F8611" i="3"/>
  <c r="F8610" i="3"/>
  <c r="F8609" i="3"/>
  <c r="F8608" i="3"/>
  <c r="F8607" i="3"/>
  <c r="F8606" i="3"/>
  <c r="F8605" i="3"/>
  <c r="F8604" i="3"/>
  <c r="F8603" i="3"/>
  <c r="F8602" i="3"/>
  <c r="F8601" i="3"/>
  <c r="F8600" i="3"/>
  <c r="F8599" i="3"/>
  <c r="F8598" i="3"/>
  <c r="F8597" i="3"/>
  <c r="F8596" i="3"/>
  <c r="F8595" i="3"/>
  <c r="F8594" i="3"/>
  <c r="F8593" i="3"/>
  <c r="F8592" i="3"/>
  <c r="F8591" i="3"/>
  <c r="F8590" i="3"/>
  <c r="F8589" i="3"/>
  <c r="F8588" i="3"/>
  <c r="F8587" i="3"/>
  <c r="F8586" i="3"/>
  <c r="F8585" i="3"/>
  <c r="F8584" i="3"/>
  <c r="F8583" i="3"/>
  <c r="F8582" i="3"/>
  <c r="F8581" i="3"/>
  <c r="F8580" i="3"/>
  <c r="F8579" i="3"/>
  <c r="F8578" i="3"/>
  <c r="F8577" i="3"/>
  <c r="F8576" i="3"/>
  <c r="F8575" i="3"/>
  <c r="F8574" i="3"/>
  <c r="F8573" i="3"/>
  <c r="F8572" i="3"/>
  <c r="F8571" i="3"/>
  <c r="F8570" i="3"/>
  <c r="F8569" i="3"/>
  <c r="F8568" i="3"/>
  <c r="F8567" i="3"/>
  <c r="F8566" i="3"/>
  <c r="F8565" i="3"/>
  <c r="F8564" i="3"/>
  <c r="F8563" i="3"/>
  <c r="F8562" i="3"/>
  <c r="F8561" i="3"/>
  <c r="F8560" i="3"/>
  <c r="F8559" i="3"/>
  <c r="F8558" i="3"/>
  <c r="F8557" i="3"/>
  <c r="F8556" i="3"/>
  <c r="F8555" i="3"/>
  <c r="F8554" i="3"/>
  <c r="F8553" i="3"/>
  <c r="F8552" i="3"/>
  <c r="F8551" i="3"/>
  <c r="F8550" i="3"/>
  <c r="F8549" i="3"/>
  <c r="F8548" i="3"/>
  <c r="F8547" i="3"/>
  <c r="F8546" i="3"/>
  <c r="F8545" i="3"/>
  <c r="F8544" i="3"/>
  <c r="F8543" i="3"/>
  <c r="F8542" i="3"/>
  <c r="F8541" i="3"/>
  <c r="F8540" i="3"/>
  <c r="F8539" i="3"/>
  <c r="F8538" i="3"/>
  <c r="F8537" i="3"/>
  <c r="F8536" i="3"/>
  <c r="F8535" i="3"/>
  <c r="F8534" i="3"/>
  <c r="F8533" i="3"/>
  <c r="F8532" i="3"/>
  <c r="F8531" i="3"/>
  <c r="F8530" i="3"/>
  <c r="F8529" i="3"/>
  <c r="F8528" i="3"/>
  <c r="F8527" i="3"/>
  <c r="F8526" i="3"/>
  <c r="F8525" i="3"/>
  <c r="F8524" i="3"/>
  <c r="F8523" i="3"/>
  <c r="F8522" i="3"/>
  <c r="F8521" i="3"/>
  <c r="F8520" i="3"/>
  <c r="F8519" i="3"/>
  <c r="F8518" i="3"/>
  <c r="F8517" i="3"/>
  <c r="F8516" i="3"/>
  <c r="F8515" i="3"/>
  <c r="F8514" i="3"/>
  <c r="F8513" i="3"/>
  <c r="F8512" i="3"/>
  <c r="F8511" i="3"/>
  <c r="F8510" i="3"/>
  <c r="F8509" i="3"/>
  <c r="F8508" i="3"/>
  <c r="F8507" i="3"/>
  <c r="F8506" i="3"/>
  <c r="F8505" i="3"/>
  <c r="F8504" i="3"/>
  <c r="F8503" i="3"/>
  <c r="F8502" i="3"/>
  <c r="F8501" i="3"/>
  <c r="F8500" i="3"/>
  <c r="F8499" i="3"/>
  <c r="F8498" i="3"/>
  <c r="F8497" i="3"/>
  <c r="F8496" i="3"/>
  <c r="F8495" i="3"/>
  <c r="F8494" i="3"/>
  <c r="F8493" i="3"/>
  <c r="F8492" i="3"/>
  <c r="F8491" i="3"/>
  <c r="F8490" i="3"/>
  <c r="F8489" i="3"/>
  <c r="F8488" i="3"/>
  <c r="F8487" i="3"/>
  <c r="F8486" i="3"/>
  <c r="F8485" i="3"/>
  <c r="F8484" i="3"/>
  <c r="F8483" i="3"/>
  <c r="F8482" i="3"/>
  <c r="F8481" i="3"/>
  <c r="F8480" i="3"/>
  <c r="F8479" i="3"/>
  <c r="F8478" i="3"/>
  <c r="F8477" i="3"/>
  <c r="F8476" i="3"/>
  <c r="F8475" i="3"/>
  <c r="F8474" i="3"/>
  <c r="F8473" i="3"/>
  <c r="F8472" i="3"/>
  <c r="F8471" i="3"/>
  <c r="F8470" i="3"/>
  <c r="F8469" i="3"/>
  <c r="F8468" i="3"/>
  <c r="F8467" i="3"/>
  <c r="F8466" i="3"/>
  <c r="F8465" i="3"/>
  <c r="F8464" i="3"/>
  <c r="F8463" i="3"/>
  <c r="F8462" i="3"/>
  <c r="F8461" i="3"/>
  <c r="F8460" i="3"/>
  <c r="F8459" i="3"/>
  <c r="F8458" i="3"/>
  <c r="F8457" i="3"/>
  <c r="F8456" i="3"/>
  <c r="F8455" i="3"/>
  <c r="F8454" i="3"/>
  <c r="F8453" i="3"/>
  <c r="F8452" i="3"/>
  <c r="F8451" i="3"/>
  <c r="F8450" i="3"/>
  <c r="F8449" i="3"/>
  <c r="F8448" i="3"/>
  <c r="F8447" i="3"/>
  <c r="F8446" i="3"/>
  <c r="F8445" i="3"/>
  <c r="F8444" i="3"/>
  <c r="F8443" i="3"/>
  <c r="F8442" i="3"/>
  <c r="F8441" i="3"/>
  <c r="F8440" i="3"/>
  <c r="F8439" i="3"/>
  <c r="F8438" i="3"/>
  <c r="F8437" i="3"/>
  <c r="F8436" i="3"/>
  <c r="F8435" i="3"/>
  <c r="F8434" i="3"/>
  <c r="F8433" i="3"/>
  <c r="F8432" i="3"/>
  <c r="F8431" i="3"/>
  <c r="F8430" i="3"/>
  <c r="F8429" i="3"/>
  <c r="F8428" i="3"/>
  <c r="F8427" i="3"/>
  <c r="F8426" i="3"/>
  <c r="F8425" i="3"/>
  <c r="F8424" i="3"/>
  <c r="F8423" i="3"/>
  <c r="F8422" i="3"/>
  <c r="F8421" i="3"/>
  <c r="F8420" i="3"/>
  <c r="F8419" i="3"/>
  <c r="F8418" i="3"/>
  <c r="F8417" i="3"/>
  <c r="F8416" i="3"/>
  <c r="F8415" i="3"/>
  <c r="F8414" i="3"/>
  <c r="F8413" i="3"/>
  <c r="F8412" i="3"/>
  <c r="F8411" i="3"/>
  <c r="F8410" i="3"/>
  <c r="F8409" i="3"/>
  <c r="F8408" i="3"/>
  <c r="F8407" i="3"/>
  <c r="F8406" i="3"/>
  <c r="F8405" i="3"/>
  <c r="F8404" i="3"/>
  <c r="F8403" i="3"/>
  <c r="F8402" i="3"/>
  <c r="F8401" i="3"/>
  <c r="F8400" i="3"/>
  <c r="F8399" i="3"/>
  <c r="F8398" i="3"/>
  <c r="F8397" i="3"/>
  <c r="F8396" i="3"/>
  <c r="F8395" i="3"/>
  <c r="F8394" i="3"/>
  <c r="F8393" i="3"/>
  <c r="F8392" i="3"/>
  <c r="F8391" i="3"/>
  <c r="F8390" i="3"/>
  <c r="F8389" i="3"/>
  <c r="F8388" i="3"/>
  <c r="F8387" i="3"/>
  <c r="F8386" i="3"/>
  <c r="F8385" i="3"/>
  <c r="F8384" i="3"/>
  <c r="F8383" i="3"/>
  <c r="F8382" i="3"/>
  <c r="F8381" i="3"/>
  <c r="F8380" i="3"/>
  <c r="F8379" i="3"/>
  <c r="F8378" i="3"/>
  <c r="F8377" i="3"/>
  <c r="F8376" i="3"/>
  <c r="F8375" i="3"/>
  <c r="F8374" i="3"/>
  <c r="F8373" i="3"/>
  <c r="F8372" i="3"/>
  <c r="F8371" i="3"/>
  <c r="F8370" i="3"/>
  <c r="F8369" i="3"/>
  <c r="F8368" i="3"/>
  <c r="F8367" i="3"/>
  <c r="F8366" i="3"/>
  <c r="F8365" i="3"/>
  <c r="F8364" i="3"/>
  <c r="F8363" i="3"/>
  <c r="F8362" i="3"/>
  <c r="F8361" i="3"/>
  <c r="F8360" i="3"/>
  <c r="F8359" i="3"/>
  <c r="F8358" i="3"/>
  <c r="F8357" i="3"/>
  <c r="F8356" i="3"/>
  <c r="F8355" i="3"/>
  <c r="F8354" i="3"/>
  <c r="F8353" i="3"/>
  <c r="F8352" i="3"/>
  <c r="F8351" i="3"/>
  <c r="F8350" i="3"/>
  <c r="F8349" i="3"/>
  <c r="F8348" i="3"/>
  <c r="F8347" i="3"/>
  <c r="F8346" i="3"/>
  <c r="F8345" i="3"/>
  <c r="F8344" i="3"/>
  <c r="F8343" i="3"/>
  <c r="F8342" i="3"/>
  <c r="F8341" i="3"/>
  <c r="F8340" i="3"/>
  <c r="F8339" i="3"/>
  <c r="F8338" i="3"/>
  <c r="F8337" i="3"/>
  <c r="F8336" i="3"/>
  <c r="F8335" i="3"/>
  <c r="F8334" i="3"/>
  <c r="F8333" i="3"/>
  <c r="F8332" i="3"/>
  <c r="F8331" i="3"/>
  <c r="F8330" i="3"/>
  <c r="F8329" i="3"/>
  <c r="F8328" i="3"/>
  <c r="F8327" i="3"/>
  <c r="F8326" i="3"/>
  <c r="F8325" i="3"/>
  <c r="F8324" i="3"/>
  <c r="F8323" i="3"/>
  <c r="F8322" i="3"/>
  <c r="F8321" i="3"/>
  <c r="F8320" i="3"/>
  <c r="F8319" i="3"/>
  <c r="F8318" i="3"/>
  <c r="F8317" i="3"/>
  <c r="F8316" i="3"/>
  <c r="F8315" i="3"/>
  <c r="F8314" i="3"/>
  <c r="F8313" i="3"/>
  <c r="F8312" i="3"/>
  <c r="F8311" i="3"/>
  <c r="F8310" i="3"/>
  <c r="F8309" i="3"/>
  <c r="F8308" i="3"/>
  <c r="F8307" i="3"/>
  <c r="F8306" i="3"/>
  <c r="F8305" i="3"/>
  <c r="F8304" i="3"/>
  <c r="F8303" i="3"/>
  <c r="F8302" i="3"/>
  <c r="F8301" i="3"/>
  <c r="F8300" i="3"/>
  <c r="F8299" i="3"/>
  <c r="F8298" i="3"/>
  <c r="F8297" i="3"/>
  <c r="F8296" i="3"/>
  <c r="F8295" i="3"/>
  <c r="F8294" i="3"/>
  <c r="F8293" i="3"/>
  <c r="F8292" i="3"/>
  <c r="F8291" i="3"/>
  <c r="F8290" i="3"/>
  <c r="F8289" i="3"/>
  <c r="F8288" i="3"/>
  <c r="F8287" i="3"/>
  <c r="F8286" i="3"/>
  <c r="F8285" i="3"/>
  <c r="F8284" i="3"/>
  <c r="F8283" i="3"/>
  <c r="F8282" i="3"/>
  <c r="F8281" i="3"/>
  <c r="F8280" i="3"/>
  <c r="F8279" i="3"/>
  <c r="F8278" i="3"/>
  <c r="F8277" i="3"/>
  <c r="F8276" i="3"/>
  <c r="F8275" i="3"/>
  <c r="F8274" i="3"/>
  <c r="F8273" i="3"/>
  <c r="F8272" i="3"/>
  <c r="F8271" i="3"/>
  <c r="F8270" i="3"/>
  <c r="F8269" i="3"/>
  <c r="F8268" i="3"/>
  <c r="F8267" i="3"/>
  <c r="F8266" i="3"/>
  <c r="F8265" i="3"/>
  <c r="F8264" i="3"/>
  <c r="F8263" i="3"/>
  <c r="F8262" i="3"/>
  <c r="F8261" i="3"/>
  <c r="F8260" i="3"/>
  <c r="F8259" i="3"/>
  <c r="F8258" i="3"/>
  <c r="F8257" i="3"/>
  <c r="F8256" i="3"/>
  <c r="F8255" i="3"/>
  <c r="F8254" i="3"/>
  <c r="F8253" i="3"/>
  <c r="F8252" i="3"/>
  <c r="F8251" i="3"/>
  <c r="F8250" i="3"/>
  <c r="F8249" i="3"/>
  <c r="F8248" i="3"/>
  <c r="F8247" i="3"/>
  <c r="F8246" i="3"/>
  <c r="F8245" i="3"/>
  <c r="F8244" i="3"/>
  <c r="F8243" i="3"/>
  <c r="F8242" i="3"/>
  <c r="F8241" i="3"/>
  <c r="F8240" i="3"/>
  <c r="F8239" i="3"/>
  <c r="F8238" i="3"/>
  <c r="F8237" i="3"/>
  <c r="F8236" i="3"/>
  <c r="F8235" i="3"/>
  <c r="F8234" i="3"/>
  <c r="F8233" i="3"/>
  <c r="F8232" i="3"/>
  <c r="F8231" i="3"/>
  <c r="F8230" i="3"/>
  <c r="F8229" i="3"/>
  <c r="F8228" i="3"/>
  <c r="F8227" i="3"/>
  <c r="F8226" i="3"/>
  <c r="F8225" i="3"/>
  <c r="F8224" i="3"/>
  <c r="F8223" i="3"/>
  <c r="F8222" i="3"/>
  <c r="F8221" i="3"/>
  <c r="F8220" i="3"/>
  <c r="F8219" i="3"/>
  <c r="F8218" i="3"/>
  <c r="F8217" i="3"/>
  <c r="F8216" i="3"/>
  <c r="F8215" i="3"/>
  <c r="F8214" i="3"/>
  <c r="F8213" i="3"/>
  <c r="F8212" i="3"/>
  <c r="F8211" i="3"/>
  <c r="F8210" i="3"/>
  <c r="F8209" i="3"/>
  <c r="F8208" i="3"/>
  <c r="F8207" i="3"/>
  <c r="F8206" i="3"/>
  <c r="F8205" i="3"/>
  <c r="F8204" i="3"/>
  <c r="F8203" i="3"/>
  <c r="F8202" i="3"/>
  <c r="F8201" i="3"/>
  <c r="F8200" i="3"/>
  <c r="F8199" i="3"/>
  <c r="F8198" i="3"/>
  <c r="F8197" i="3"/>
  <c r="F8196" i="3"/>
  <c r="F8195" i="3"/>
  <c r="F8194" i="3"/>
  <c r="F8193" i="3"/>
  <c r="F8192" i="3"/>
  <c r="F8191" i="3"/>
  <c r="F8190" i="3"/>
  <c r="F8189" i="3"/>
  <c r="F8188" i="3"/>
  <c r="F8187" i="3"/>
  <c r="F8186" i="3"/>
  <c r="F8185" i="3"/>
  <c r="F8184" i="3"/>
  <c r="F8183" i="3"/>
  <c r="F8182" i="3"/>
  <c r="F8181" i="3"/>
  <c r="F8180" i="3"/>
  <c r="F8179" i="3"/>
  <c r="F8178" i="3"/>
  <c r="F8177" i="3"/>
  <c r="F8176" i="3"/>
  <c r="F8175" i="3"/>
  <c r="F8174" i="3"/>
  <c r="F8173" i="3"/>
  <c r="F8172" i="3"/>
  <c r="F8171" i="3"/>
  <c r="F8170" i="3"/>
  <c r="F8169" i="3"/>
  <c r="F8168" i="3"/>
  <c r="F8167" i="3"/>
  <c r="F8166" i="3"/>
  <c r="F8165" i="3"/>
  <c r="F8164" i="3"/>
  <c r="F8163" i="3"/>
  <c r="F8162" i="3"/>
  <c r="F8161" i="3"/>
  <c r="F8160" i="3"/>
  <c r="F8159" i="3"/>
  <c r="F8158" i="3"/>
  <c r="F8157" i="3"/>
  <c r="F8156" i="3"/>
  <c r="F8155" i="3"/>
  <c r="F8154" i="3"/>
  <c r="F8153" i="3"/>
  <c r="F8152" i="3"/>
  <c r="F8151" i="3"/>
  <c r="F8150" i="3"/>
  <c r="F8149" i="3"/>
  <c r="F8148" i="3"/>
  <c r="F8147" i="3"/>
  <c r="F8146" i="3"/>
  <c r="F8145" i="3"/>
  <c r="F8144" i="3"/>
  <c r="F8143" i="3"/>
  <c r="F8142" i="3"/>
  <c r="F8141" i="3"/>
  <c r="F8140" i="3"/>
  <c r="F8139" i="3"/>
  <c r="F8138" i="3"/>
  <c r="F8137" i="3"/>
  <c r="F8136" i="3"/>
  <c r="F8135" i="3"/>
  <c r="F8134" i="3"/>
  <c r="F8133" i="3"/>
  <c r="F8132" i="3"/>
  <c r="F8131" i="3"/>
  <c r="F8130" i="3"/>
  <c r="F8129" i="3"/>
  <c r="F8128" i="3"/>
  <c r="F8127" i="3"/>
  <c r="F8126" i="3"/>
  <c r="F8125" i="3"/>
  <c r="F8124" i="3"/>
  <c r="F8123" i="3"/>
  <c r="F8122" i="3"/>
  <c r="F8121" i="3"/>
  <c r="F8120" i="3"/>
  <c r="F8119" i="3"/>
  <c r="F8118" i="3"/>
  <c r="F8117" i="3"/>
  <c r="F8116" i="3"/>
  <c r="F8115" i="3"/>
  <c r="F8114" i="3"/>
  <c r="F8113" i="3"/>
  <c r="F8112" i="3"/>
  <c r="F8111" i="3"/>
  <c r="F8110" i="3"/>
  <c r="F8109" i="3"/>
  <c r="F8108" i="3"/>
  <c r="F8107" i="3"/>
  <c r="F8106" i="3"/>
  <c r="F8105" i="3"/>
  <c r="F8104" i="3"/>
  <c r="F8103" i="3"/>
  <c r="F8102" i="3"/>
  <c r="F8101" i="3"/>
  <c r="F8100" i="3"/>
  <c r="F8099" i="3"/>
  <c r="F8098" i="3"/>
  <c r="F8097" i="3"/>
  <c r="F8096" i="3"/>
  <c r="F8095" i="3"/>
  <c r="F8094" i="3"/>
  <c r="F8093" i="3"/>
  <c r="F8092" i="3"/>
  <c r="F8091" i="3"/>
  <c r="F8090" i="3"/>
  <c r="F8089" i="3"/>
  <c r="F8088" i="3"/>
  <c r="F8087" i="3"/>
  <c r="F8086" i="3"/>
  <c r="F8085" i="3"/>
  <c r="F8084" i="3"/>
  <c r="F8083" i="3"/>
  <c r="F8082" i="3"/>
  <c r="F8081" i="3"/>
  <c r="F8080" i="3"/>
  <c r="F8079" i="3"/>
  <c r="F8078" i="3"/>
  <c r="F8077" i="3"/>
  <c r="F8076" i="3"/>
  <c r="F8075" i="3"/>
  <c r="F8074" i="3"/>
  <c r="F8073" i="3"/>
  <c r="F8072" i="3"/>
  <c r="F8071" i="3"/>
  <c r="F8070" i="3"/>
  <c r="F8069" i="3"/>
  <c r="F8068" i="3"/>
  <c r="F8067" i="3"/>
  <c r="F8066" i="3"/>
  <c r="F8065" i="3"/>
  <c r="F8064" i="3"/>
  <c r="F8063" i="3"/>
  <c r="F8062" i="3"/>
  <c r="F8061" i="3"/>
  <c r="F8060" i="3"/>
  <c r="F8059" i="3"/>
  <c r="F8058" i="3"/>
  <c r="F8057" i="3"/>
  <c r="F8056" i="3"/>
  <c r="F8055" i="3"/>
  <c r="F8054" i="3"/>
  <c r="F8053" i="3"/>
  <c r="F8052" i="3"/>
  <c r="F8051" i="3"/>
  <c r="F8050" i="3"/>
  <c r="F8049" i="3"/>
  <c r="F8048" i="3"/>
  <c r="F8047" i="3"/>
  <c r="F8046" i="3"/>
  <c r="F8045" i="3"/>
  <c r="F8044" i="3"/>
  <c r="F8043" i="3"/>
  <c r="F8042" i="3"/>
  <c r="F8041" i="3"/>
  <c r="F8040" i="3"/>
  <c r="F8039" i="3"/>
  <c r="F8038" i="3"/>
  <c r="F8037" i="3"/>
  <c r="F8036" i="3"/>
  <c r="F8035" i="3"/>
  <c r="F8034" i="3"/>
  <c r="F8033" i="3"/>
  <c r="F8032" i="3"/>
  <c r="F8031" i="3"/>
  <c r="F8030" i="3"/>
  <c r="F8029" i="3"/>
  <c r="F8028" i="3"/>
  <c r="F8027" i="3"/>
  <c r="F8026" i="3"/>
  <c r="F8025" i="3"/>
  <c r="F8024" i="3"/>
  <c r="F8023" i="3"/>
  <c r="F8022" i="3"/>
  <c r="F8021" i="3"/>
  <c r="F8020" i="3"/>
  <c r="F8019" i="3"/>
  <c r="F8018" i="3"/>
  <c r="F8017" i="3"/>
  <c r="F8016" i="3"/>
  <c r="F8015" i="3"/>
  <c r="F8014" i="3"/>
  <c r="F8013" i="3"/>
  <c r="F8012" i="3"/>
  <c r="F8011" i="3"/>
  <c r="F8010" i="3"/>
  <c r="F8009" i="3"/>
  <c r="F8008" i="3"/>
  <c r="F8007" i="3"/>
  <c r="F8006" i="3"/>
  <c r="F8005" i="3"/>
  <c r="F8004" i="3"/>
  <c r="F8003" i="3"/>
  <c r="F8002" i="3"/>
  <c r="F8001" i="3"/>
  <c r="F8000" i="3"/>
  <c r="F7999" i="3"/>
  <c r="F7998" i="3"/>
  <c r="F7997" i="3"/>
  <c r="F7996" i="3"/>
  <c r="F7995" i="3"/>
  <c r="F7994" i="3"/>
  <c r="F7993" i="3"/>
  <c r="F7992" i="3"/>
  <c r="F7991" i="3"/>
  <c r="F7990" i="3"/>
  <c r="F7989" i="3"/>
  <c r="F7988" i="3"/>
  <c r="F7987" i="3"/>
  <c r="F7986" i="3"/>
  <c r="F7985" i="3"/>
  <c r="F7984" i="3"/>
  <c r="F7983" i="3"/>
  <c r="F7982" i="3"/>
  <c r="F7981" i="3"/>
  <c r="F7980" i="3"/>
  <c r="F7979" i="3"/>
  <c r="F7978" i="3"/>
  <c r="F7977" i="3"/>
  <c r="F7976" i="3"/>
  <c r="F7975" i="3"/>
  <c r="F7974" i="3"/>
  <c r="F7973" i="3"/>
  <c r="F7972" i="3"/>
  <c r="F7971" i="3"/>
  <c r="F7970" i="3"/>
  <c r="F7969" i="3"/>
  <c r="F7968" i="3"/>
  <c r="F7967" i="3"/>
  <c r="F7966" i="3"/>
  <c r="F7965" i="3"/>
  <c r="F7964" i="3"/>
  <c r="F7963" i="3"/>
  <c r="F7962" i="3"/>
  <c r="F7961" i="3"/>
  <c r="F7960" i="3"/>
  <c r="F7959" i="3"/>
  <c r="F7958" i="3"/>
  <c r="F7957" i="3"/>
  <c r="F7956" i="3"/>
  <c r="F7955" i="3"/>
  <c r="F7954" i="3"/>
  <c r="F7953" i="3"/>
  <c r="F7952" i="3"/>
  <c r="F7951" i="3"/>
  <c r="F7950" i="3"/>
  <c r="F7949" i="3"/>
  <c r="F7948" i="3"/>
  <c r="F7947" i="3"/>
  <c r="F7946" i="3"/>
  <c r="F7945" i="3"/>
  <c r="F7944" i="3"/>
  <c r="F7943" i="3"/>
  <c r="F7942" i="3"/>
  <c r="F7941" i="3"/>
  <c r="F7940" i="3"/>
  <c r="F7939" i="3"/>
  <c r="F7938" i="3"/>
  <c r="F7937" i="3"/>
  <c r="F7936" i="3"/>
  <c r="F7935" i="3"/>
  <c r="F7934" i="3"/>
  <c r="F7933" i="3"/>
  <c r="F7932" i="3"/>
  <c r="F7931" i="3"/>
  <c r="F7930" i="3"/>
  <c r="F7929" i="3"/>
  <c r="F7928" i="3"/>
  <c r="F7927" i="3"/>
  <c r="F7926" i="3"/>
  <c r="F7925" i="3"/>
  <c r="F7924" i="3"/>
  <c r="F7923" i="3"/>
  <c r="F7922" i="3"/>
  <c r="F7921" i="3"/>
  <c r="F7920" i="3"/>
  <c r="F7919" i="3"/>
  <c r="F7918" i="3"/>
  <c r="F7917" i="3"/>
  <c r="F7916" i="3"/>
  <c r="F7915" i="3"/>
  <c r="F7914" i="3"/>
  <c r="F7913" i="3"/>
  <c r="F7912" i="3"/>
  <c r="F7911" i="3"/>
  <c r="F7910" i="3"/>
  <c r="F7909" i="3"/>
  <c r="F7908" i="3"/>
  <c r="F7907" i="3"/>
  <c r="F7906" i="3"/>
  <c r="F7905" i="3"/>
  <c r="F7904" i="3"/>
  <c r="F7903" i="3"/>
  <c r="F7902" i="3"/>
  <c r="F7901" i="3"/>
  <c r="F7900" i="3"/>
  <c r="F7899" i="3"/>
  <c r="F7898" i="3"/>
  <c r="F7897" i="3"/>
  <c r="F7896" i="3"/>
  <c r="F7895" i="3"/>
  <c r="F7894" i="3"/>
  <c r="F7893" i="3"/>
  <c r="F7892" i="3"/>
  <c r="F7891" i="3"/>
  <c r="F7890" i="3"/>
  <c r="F7889" i="3"/>
  <c r="F7888" i="3"/>
  <c r="F7887" i="3"/>
  <c r="F7886" i="3"/>
  <c r="F7885" i="3"/>
  <c r="F7884" i="3"/>
  <c r="F7883" i="3"/>
  <c r="F7882" i="3"/>
  <c r="F7881" i="3"/>
  <c r="F7880" i="3"/>
  <c r="F7879" i="3"/>
  <c r="F7878" i="3"/>
  <c r="F7877" i="3"/>
  <c r="F7876" i="3"/>
  <c r="F7875" i="3"/>
  <c r="F7874" i="3"/>
  <c r="F7873" i="3"/>
  <c r="F7872" i="3"/>
  <c r="F7871" i="3"/>
  <c r="F7870" i="3"/>
  <c r="F7869" i="3"/>
  <c r="F7868" i="3"/>
  <c r="F7867" i="3"/>
  <c r="F7866" i="3"/>
  <c r="F7865" i="3"/>
  <c r="F7864" i="3"/>
  <c r="F7863" i="3"/>
  <c r="F7862" i="3"/>
  <c r="F7861" i="3"/>
  <c r="F7860" i="3"/>
  <c r="F7859" i="3"/>
  <c r="F7858" i="3"/>
  <c r="F7857" i="3"/>
  <c r="F7856" i="3"/>
  <c r="F7855" i="3"/>
  <c r="F7854" i="3"/>
  <c r="F7853" i="3"/>
  <c r="F7852" i="3"/>
  <c r="F7851" i="3"/>
  <c r="F7850" i="3"/>
  <c r="F7849" i="3"/>
  <c r="F7848" i="3"/>
  <c r="F7847" i="3"/>
  <c r="F7846" i="3"/>
  <c r="F7845" i="3"/>
  <c r="F7844" i="3"/>
  <c r="F7843" i="3"/>
  <c r="F7842" i="3"/>
  <c r="F7841" i="3"/>
  <c r="F7840" i="3"/>
  <c r="F7839" i="3"/>
  <c r="F7838" i="3"/>
  <c r="F7837" i="3"/>
  <c r="F7836" i="3"/>
  <c r="F7835" i="3"/>
  <c r="F7834" i="3"/>
  <c r="F7833" i="3"/>
  <c r="F7832" i="3"/>
  <c r="F7831" i="3"/>
  <c r="F7830" i="3"/>
  <c r="F7829" i="3"/>
  <c r="F7828" i="3"/>
  <c r="F7827" i="3"/>
  <c r="F7826" i="3"/>
  <c r="F7825" i="3"/>
  <c r="F7824" i="3"/>
  <c r="F7823" i="3"/>
  <c r="F7822" i="3"/>
  <c r="F7821" i="3"/>
  <c r="F7820" i="3"/>
  <c r="F7819" i="3"/>
  <c r="F7818" i="3"/>
  <c r="F7817" i="3"/>
  <c r="F7816" i="3"/>
  <c r="F7815" i="3"/>
  <c r="F7814" i="3"/>
  <c r="F7813" i="3"/>
  <c r="F7812" i="3"/>
  <c r="F7811" i="3"/>
  <c r="F7810" i="3"/>
  <c r="F7809" i="3"/>
  <c r="F7808" i="3"/>
  <c r="F7807" i="3"/>
  <c r="F7806" i="3"/>
  <c r="F7805" i="3"/>
  <c r="F7804" i="3"/>
  <c r="F7803" i="3"/>
  <c r="F7802" i="3"/>
  <c r="F7801" i="3"/>
  <c r="F7800" i="3"/>
  <c r="F7799" i="3"/>
  <c r="F7798" i="3"/>
  <c r="F7797" i="3"/>
  <c r="F7796" i="3"/>
  <c r="F7795" i="3"/>
  <c r="F7794" i="3"/>
  <c r="F7793" i="3"/>
  <c r="F7792" i="3"/>
  <c r="F7791" i="3"/>
  <c r="F7790" i="3"/>
  <c r="F7789" i="3"/>
  <c r="F7788" i="3"/>
  <c r="F7787" i="3"/>
  <c r="F7786" i="3"/>
  <c r="F7785" i="3"/>
  <c r="F7784" i="3"/>
  <c r="F7783" i="3"/>
  <c r="F7782" i="3"/>
  <c r="F7781" i="3"/>
  <c r="F7780" i="3"/>
  <c r="F7779" i="3"/>
  <c r="F7778" i="3"/>
  <c r="F7777" i="3"/>
  <c r="F7776" i="3"/>
  <c r="F7775" i="3"/>
  <c r="F7774" i="3"/>
  <c r="F7773" i="3"/>
  <c r="F7772" i="3"/>
  <c r="F7771" i="3"/>
  <c r="F7770" i="3"/>
  <c r="F7769" i="3"/>
  <c r="F7768" i="3"/>
  <c r="F7767" i="3"/>
  <c r="F7766" i="3"/>
  <c r="F7765" i="3"/>
  <c r="F7764" i="3"/>
  <c r="F7763" i="3"/>
  <c r="F7762" i="3"/>
  <c r="F7761" i="3"/>
  <c r="F7760" i="3"/>
  <c r="F7759" i="3"/>
  <c r="F7758" i="3"/>
  <c r="F7757" i="3"/>
  <c r="F7756" i="3"/>
  <c r="F7755" i="3"/>
  <c r="F7754" i="3"/>
  <c r="F7753" i="3"/>
  <c r="F7752" i="3"/>
  <c r="F7751" i="3"/>
  <c r="F7750" i="3"/>
  <c r="F7749" i="3"/>
  <c r="F7748" i="3"/>
  <c r="F7747" i="3"/>
  <c r="F7746" i="3"/>
  <c r="F7745" i="3"/>
  <c r="F7744" i="3"/>
  <c r="F7743" i="3"/>
  <c r="F7742" i="3"/>
  <c r="F7741" i="3"/>
  <c r="F7740" i="3"/>
  <c r="F7739" i="3"/>
  <c r="F7738" i="3"/>
  <c r="F7737" i="3"/>
  <c r="F7736" i="3"/>
  <c r="F7735" i="3"/>
  <c r="F7734" i="3"/>
  <c r="F7733" i="3"/>
  <c r="F7732" i="3"/>
  <c r="F7731" i="3"/>
  <c r="F7730" i="3"/>
  <c r="F7729" i="3"/>
  <c r="F7728" i="3"/>
  <c r="F7727" i="3"/>
  <c r="F7726" i="3"/>
  <c r="F7725" i="3"/>
  <c r="F7724" i="3"/>
  <c r="F7723" i="3"/>
  <c r="F7722" i="3"/>
  <c r="F7721" i="3"/>
  <c r="F7720" i="3"/>
  <c r="F7719" i="3"/>
  <c r="F7718" i="3"/>
  <c r="F7717" i="3"/>
  <c r="F7716" i="3"/>
  <c r="F7715" i="3"/>
  <c r="F7714" i="3"/>
  <c r="F7713" i="3"/>
  <c r="F7712" i="3"/>
  <c r="F7711" i="3"/>
  <c r="F7710" i="3"/>
  <c r="F7709" i="3"/>
  <c r="F7708" i="3"/>
  <c r="F7707" i="3"/>
  <c r="F7706" i="3"/>
  <c r="F7705" i="3"/>
  <c r="F7704" i="3"/>
  <c r="F7703" i="3"/>
  <c r="F7702" i="3"/>
  <c r="F7701" i="3"/>
  <c r="F7700" i="3"/>
  <c r="F7699" i="3"/>
  <c r="F7698" i="3"/>
  <c r="F7697" i="3"/>
  <c r="F7696" i="3"/>
  <c r="F7695" i="3"/>
  <c r="F7694" i="3"/>
  <c r="F7693" i="3"/>
  <c r="F7692" i="3"/>
  <c r="F7691" i="3"/>
  <c r="F7690" i="3"/>
  <c r="F7689" i="3"/>
  <c r="F7688" i="3"/>
  <c r="F7687" i="3"/>
  <c r="F7686" i="3"/>
  <c r="F7685" i="3"/>
  <c r="F7684" i="3"/>
  <c r="F7683" i="3"/>
  <c r="F7682" i="3"/>
  <c r="F7681" i="3"/>
  <c r="F7680" i="3"/>
  <c r="F7679" i="3"/>
  <c r="F7678" i="3"/>
  <c r="F7677" i="3"/>
  <c r="F7676" i="3"/>
  <c r="F7675" i="3"/>
  <c r="F7674" i="3"/>
  <c r="F7673" i="3"/>
  <c r="F7672" i="3"/>
  <c r="F7671" i="3"/>
  <c r="F7670" i="3"/>
  <c r="F7669" i="3"/>
  <c r="F7668" i="3"/>
  <c r="F7667" i="3"/>
  <c r="F7666" i="3"/>
  <c r="F7665" i="3"/>
  <c r="F7664" i="3"/>
  <c r="F7663" i="3"/>
  <c r="F7662" i="3"/>
  <c r="F7661" i="3"/>
  <c r="F7660" i="3"/>
  <c r="F7659" i="3"/>
  <c r="F7658" i="3"/>
  <c r="F7657" i="3"/>
  <c r="F7656" i="3"/>
  <c r="F7655" i="3"/>
  <c r="F7654" i="3"/>
  <c r="F7653" i="3"/>
  <c r="F7652" i="3"/>
  <c r="F7651" i="3"/>
  <c r="F7650" i="3"/>
  <c r="F7649" i="3"/>
  <c r="F7648" i="3"/>
  <c r="F7647" i="3"/>
  <c r="F7646" i="3"/>
  <c r="F7645" i="3"/>
  <c r="F7644" i="3"/>
  <c r="F7643" i="3"/>
  <c r="F7642" i="3"/>
  <c r="F7641" i="3"/>
  <c r="F7640" i="3"/>
  <c r="F7639" i="3"/>
  <c r="F7638" i="3"/>
  <c r="F7637" i="3"/>
  <c r="F7636" i="3"/>
  <c r="F7635" i="3"/>
  <c r="F7634" i="3"/>
  <c r="F7633" i="3"/>
  <c r="F7632" i="3"/>
  <c r="F7631" i="3"/>
  <c r="F7630" i="3"/>
  <c r="F7629" i="3"/>
  <c r="F7628" i="3"/>
  <c r="F7627" i="3"/>
  <c r="F7626" i="3"/>
  <c r="F7625" i="3"/>
  <c r="F7624" i="3"/>
  <c r="F7623" i="3"/>
  <c r="F7622" i="3"/>
  <c r="F7621" i="3"/>
  <c r="F7620" i="3"/>
  <c r="F7619" i="3"/>
  <c r="F7618" i="3"/>
  <c r="F7617" i="3"/>
  <c r="F7616" i="3"/>
  <c r="F7615" i="3"/>
  <c r="F7614" i="3"/>
  <c r="F7613" i="3"/>
  <c r="F7612" i="3"/>
  <c r="F7611" i="3"/>
  <c r="F7610" i="3"/>
  <c r="F7609" i="3"/>
  <c r="F7608" i="3"/>
  <c r="F7607" i="3"/>
  <c r="F7606" i="3"/>
  <c r="F7605" i="3"/>
  <c r="F7604" i="3"/>
  <c r="F7603" i="3"/>
  <c r="F7602" i="3"/>
  <c r="F7601" i="3"/>
  <c r="F7600" i="3"/>
  <c r="F7599" i="3"/>
  <c r="F7598" i="3"/>
  <c r="F7597" i="3"/>
  <c r="F7596" i="3"/>
  <c r="F7595" i="3"/>
  <c r="F7594" i="3"/>
  <c r="F7593" i="3"/>
  <c r="F7592" i="3"/>
  <c r="F7591" i="3"/>
  <c r="F7590" i="3"/>
  <c r="F7589" i="3"/>
  <c r="F7588" i="3"/>
  <c r="F7587" i="3"/>
  <c r="F7586" i="3"/>
  <c r="F7585" i="3"/>
  <c r="F7584" i="3"/>
  <c r="F7583" i="3"/>
  <c r="F7582" i="3"/>
  <c r="F7581" i="3"/>
  <c r="F7580" i="3"/>
  <c r="F7579" i="3"/>
  <c r="F7578" i="3"/>
  <c r="F7577" i="3"/>
  <c r="F7576" i="3"/>
  <c r="F7575" i="3"/>
  <c r="F7574" i="3"/>
  <c r="F7573" i="3"/>
  <c r="F7572" i="3"/>
  <c r="F7571" i="3"/>
  <c r="F7570" i="3"/>
  <c r="F7569" i="3"/>
  <c r="F7568" i="3"/>
  <c r="F7567" i="3"/>
  <c r="F7566" i="3"/>
  <c r="F7565" i="3"/>
  <c r="F7564" i="3"/>
  <c r="F7563" i="3"/>
  <c r="F7562" i="3"/>
  <c r="F7561" i="3"/>
  <c r="F7560" i="3"/>
  <c r="F7559" i="3"/>
  <c r="F7558" i="3"/>
  <c r="F7557" i="3"/>
  <c r="F7556" i="3"/>
  <c r="F7555" i="3"/>
  <c r="F7554" i="3"/>
  <c r="F7553" i="3"/>
  <c r="F7552" i="3"/>
  <c r="F7551" i="3"/>
  <c r="F7550" i="3"/>
  <c r="F7549" i="3"/>
  <c r="F7548" i="3"/>
  <c r="F7547" i="3"/>
  <c r="F7546" i="3"/>
  <c r="F7545" i="3"/>
  <c r="F7544" i="3"/>
  <c r="F7543" i="3"/>
  <c r="F7542" i="3"/>
  <c r="F7541" i="3"/>
  <c r="F7540" i="3"/>
  <c r="F7539" i="3"/>
  <c r="F7538" i="3"/>
  <c r="F7537" i="3"/>
  <c r="F7536" i="3"/>
  <c r="F7535" i="3"/>
  <c r="F7534" i="3"/>
  <c r="F7533" i="3"/>
  <c r="F7532" i="3"/>
  <c r="F7531" i="3"/>
  <c r="F7530" i="3"/>
  <c r="F7529" i="3"/>
  <c r="F7528" i="3"/>
  <c r="F7527" i="3"/>
  <c r="F7526" i="3"/>
  <c r="F7525" i="3"/>
  <c r="F7524" i="3"/>
  <c r="F7523" i="3"/>
  <c r="F7522" i="3"/>
  <c r="F7521" i="3"/>
  <c r="F7520" i="3"/>
  <c r="F7519" i="3"/>
  <c r="F7518" i="3"/>
  <c r="F7517" i="3"/>
  <c r="F7516" i="3"/>
  <c r="F7515" i="3"/>
  <c r="F7514" i="3"/>
  <c r="F7513" i="3"/>
  <c r="F7512" i="3"/>
  <c r="F7511" i="3"/>
  <c r="F7510" i="3"/>
  <c r="F7509" i="3"/>
  <c r="F7508" i="3"/>
  <c r="F7507" i="3"/>
  <c r="F7506" i="3"/>
  <c r="F7505" i="3"/>
  <c r="F7504" i="3"/>
  <c r="F7503" i="3"/>
  <c r="F7502" i="3"/>
  <c r="F7501" i="3"/>
  <c r="F7500" i="3"/>
  <c r="F7499" i="3"/>
  <c r="F7498" i="3"/>
  <c r="F7497" i="3"/>
  <c r="F7496" i="3"/>
  <c r="F7495" i="3"/>
  <c r="F7494" i="3"/>
  <c r="F7493" i="3"/>
  <c r="F7492" i="3"/>
  <c r="F7491" i="3"/>
  <c r="F7490" i="3"/>
  <c r="F7489" i="3"/>
  <c r="F7488" i="3"/>
  <c r="F7487" i="3"/>
  <c r="F7486" i="3"/>
  <c r="F7485" i="3"/>
  <c r="F7484" i="3"/>
  <c r="F7483" i="3"/>
  <c r="F7482" i="3"/>
  <c r="F7481" i="3"/>
  <c r="F7480" i="3"/>
  <c r="F7479" i="3"/>
  <c r="F7478" i="3"/>
  <c r="F7477" i="3"/>
  <c r="F7476" i="3"/>
  <c r="F7475" i="3"/>
  <c r="F7474" i="3"/>
  <c r="F7473" i="3"/>
  <c r="F7472" i="3"/>
  <c r="F7471" i="3"/>
  <c r="F7470" i="3"/>
  <c r="F7469" i="3"/>
  <c r="F7468" i="3"/>
  <c r="F7467" i="3"/>
  <c r="F7466" i="3"/>
  <c r="F7465" i="3"/>
  <c r="F7464" i="3"/>
  <c r="F7463" i="3"/>
  <c r="F7462" i="3"/>
  <c r="F7461" i="3"/>
  <c r="F7460" i="3"/>
  <c r="F7459" i="3"/>
  <c r="F7458" i="3"/>
  <c r="F7457" i="3"/>
  <c r="F7456" i="3"/>
  <c r="F7455" i="3"/>
  <c r="F7454" i="3"/>
  <c r="F7453" i="3"/>
  <c r="F7452" i="3"/>
  <c r="F7451" i="3"/>
  <c r="F7450" i="3"/>
  <c r="F7449" i="3"/>
  <c r="F7448" i="3"/>
  <c r="F7447" i="3"/>
  <c r="F7446" i="3"/>
  <c r="F7445" i="3"/>
  <c r="F7444" i="3"/>
  <c r="F7443" i="3"/>
  <c r="F7442" i="3"/>
  <c r="F7441" i="3"/>
  <c r="F7440" i="3"/>
  <c r="F7439" i="3"/>
  <c r="F7438" i="3"/>
  <c r="F7437" i="3"/>
  <c r="F7436" i="3"/>
  <c r="F7435" i="3"/>
  <c r="F7434" i="3"/>
  <c r="F7433" i="3"/>
  <c r="F7432" i="3"/>
  <c r="F7431" i="3"/>
  <c r="F7430" i="3"/>
  <c r="F7429" i="3"/>
  <c r="F7428" i="3"/>
  <c r="F7427" i="3"/>
  <c r="F7426" i="3"/>
  <c r="F7425" i="3"/>
  <c r="F7424" i="3"/>
  <c r="F7423" i="3"/>
  <c r="F7422" i="3"/>
  <c r="F7421" i="3"/>
  <c r="F7420" i="3"/>
  <c r="F7419" i="3"/>
  <c r="F7418" i="3"/>
  <c r="F7417" i="3"/>
  <c r="F7416" i="3"/>
  <c r="F7415" i="3"/>
  <c r="F7414" i="3"/>
  <c r="F7413" i="3"/>
  <c r="F7412" i="3"/>
  <c r="F7411" i="3"/>
  <c r="F7410" i="3"/>
  <c r="F7409" i="3"/>
  <c r="F7408" i="3"/>
  <c r="F7407" i="3"/>
  <c r="F7406" i="3"/>
  <c r="F7405" i="3"/>
  <c r="F7404" i="3"/>
  <c r="F7403" i="3"/>
  <c r="F7402" i="3"/>
  <c r="F7401" i="3"/>
  <c r="F7400" i="3"/>
  <c r="F7399" i="3"/>
  <c r="F7398" i="3"/>
  <c r="F7397" i="3"/>
  <c r="F7396" i="3"/>
  <c r="F7395" i="3"/>
  <c r="F7394" i="3"/>
  <c r="F7393" i="3"/>
  <c r="F7392" i="3"/>
  <c r="F7391" i="3"/>
  <c r="F7390" i="3"/>
  <c r="F7389" i="3"/>
  <c r="F7388" i="3"/>
  <c r="F7387" i="3"/>
  <c r="F7386" i="3"/>
  <c r="F7385" i="3"/>
  <c r="F7384" i="3"/>
  <c r="F7383" i="3"/>
  <c r="F7382" i="3"/>
  <c r="F7381" i="3"/>
  <c r="F7380" i="3"/>
  <c r="F7379" i="3"/>
  <c r="F7378" i="3"/>
  <c r="F7377" i="3"/>
  <c r="F7376" i="3"/>
  <c r="F7375" i="3"/>
  <c r="F7374" i="3"/>
  <c r="F7373" i="3"/>
  <c r="F7372" i="3"/>
  <c r="F7371" i="3"/>
  <c r="F7370" i="3"/>
  <c r="F7369" i="3"/>
  <c r="F7368" i="3"/>
  <c r="F7367" i="3"/>
  <c r="F7366" i="3"/>
  <c r="F7365" i="3"/>
  <c r="F7364" i="3"/>
  <c r="F7363" i="3"/>
  <c r="F7362" i="3"/>
  <c r="F7361" i="3"/>
  <c r="F7360" i="3"/>
  <c r="F7359" i="3"/>
  <c r="F7358" i="3"/>
  <c r="F7357" i="3"/>
  <c r="F7356" i="3"/>
  <c r="F7355" i="3"/>
  <c r="F7354" i="3"/>
  <c r="F7353" i="3"/>
  <c r="F7352" i="3"/>
  <c r="F7351" i="3"/>
  <c r="F7350" i="3"/>
  <c r="F7349" i="3"/>
  <c r="F7348" i="3"/>
  <c r="F7347" i="3"/>
  <c r="F7346" i="3"/>
  <c r="F7345" i="3"/>
  <c r="F7344" i="3"/>
  <c r="F7343" i="3"/>
  <c r="F7342" i="3"/>
  <c r="F7341" i="3"/>
  <c r="F7340" i="3"/>
  <c r="F7339" i="3"/>
  <c r="F7338" i="3"/>
  <c r="F7337" i="3"/>
  <c r="F7336" i="3"/>
  <c r="F7335" i="3"/>
  <c r="F7334" i="3"/>
  <c r="F7333" i="3"/>
  <c r="F7332" i="3"/>
  <c r="F7331" i="3"/>
  <c r="F7330" i="3"/>
  <c r="F7329" i="3"/>
  <c r="F7328" i="3"/>
  <c r="F7327" i="3"/>
  <c r="F7326" i="3"/>
  <c r="F7325" i="3"/>
  <c r="F7324" i="3"/>
  <c r="F7323" i="3"/>
  <c r="F7322" i="3"/>
  <c r="F7321" i="3"/>
  <c r="F7320" i="3"/>
  <c r="F7319" i="3"/>
  <c r="F7318" i="3"/>
  <c r="F7317" i="3"/>
  <c r="F7316" i="3"/>
  <c r="F7315" i="3"/>
  <c r="F7314" i="3"/>
  <c r="F7313" i="3"/>
  <c r="F7312" i="3"/>
  <c r="F7311" i="3"/>
  <c r="F7310" i="3"/>
  <c r="F7309" i="3"/>
  <c r="F7308" i="3"/>
  <c r="F7307" i="3"/>
  <c r="F7306" i="3"/>
  <c r="F7305" i="3"/>
  <c r="F7304" i="3"/>
  <c r="F7303" i="3"/>
  <c r="F7302" i="3"/>
  <c r="F7301" i="3"/>
  <c r="F7300" i="3"/>
  <c r="F7299" i="3"/>
  <c r="F7298" i="3"/>
  <c r="F7297" i="3"/>
  <c r="F7296" i="3"/>
  <c r="F7295" i="3"/>
  <c r="F7294" i="3"/>
  <c r="F7293" i="3"/>
  <c r="F7292" i="3"/>
  <c r="F7291" i="3"/>
  <c r="F7290" i="3"/>
  <c r="F7289" i="3"/>
  <c r="F7288" i="3"/>
  <c r="F7287" i="3"/>
  <c r="F7286" i="3"/>
  <c r="F7285" i="3"/>
  <c r="F7284" i="3"/>
  <c r="F7283" i="3"/>
  <c r="F7282" i="3"/>
  <c r="F7281" i="3"/>
  <c r="F7280" i="3"/>
  <c r="F7279" i="3"/>
  <c r="F7278" i="3"/>
  <c r="F7277" i="3"/>
  <c r="F7276" i="3"/>
  <c r="F7275" i="3"/>
  <c r="F7274" i="3"/>
  <c r="F7273" i="3"/>
  <c r="F7272" i="3"/>
  <c r="F7271" i="3"/>
  <c r="F7270" i="3"/>
  <c r="F7269" i="3"/>
  <c r="F7268" i="3"/>
  <c r="F7267" i="3"/>
  <c r="F7266" i="3"/>
  <c r="F7265" i="3"/>
  <c r="F7264" i="3"/>
  <c r="F7263" i="3"/>
  <c r="F7262" i="3"/>
  <c r="F7261" i="3"/>
  <c r="F7260" i="3"/>
  <c r="F7259" i="3"/>
  <c r="F7258" i="3"/>
  <c r="F7257" i="3"/>
  <c r="F7256" i="3"/>
  <c r="F7255" i="3"/>
  <c r="F7254" i="3"/>
  <c r="F7253" i="3"/>
  <c r="F7252" i="3"/>
  <c r="F7251" i="3"/>
  <c r="F7250" i="3"/>
  <c r="F7249" i="3"/>
  <c r="F7248" i="3"/>
  <c r="F7247" i="3"/>
  <c r="F7246" i="3"/>
  <c r="F7245" i="3"/>
  <c r="F7244" i="3"/>
  <c r="F7243" i="3"/>
  <c r="F7242" i="3"/>
  <c r="F7241" i="3"/>
  <c r="F7240" i="3"/>
  <c r="F7239" i="3"/>
  <c r="F7238" i="3"/>
  <c r="F7237" i="3"/>
  <c r="F7236" i="3"/>
  <c r="F7235" i="3"/>
  <c r="F7234" i="3"/>
  <c r="F7233" i="3"/>
  <c r="F7232" i="3"/>
  <c r="F7231" i="3"/>
  <c r="F7230" i="3"/>
  <c r="F7229" i="3"/>
  <c r="F7228" i="3"/>
  <c r="F7227" i="3"/>
  <c r="F7226" i="3"/>
  <c r="F7225" i="3"/>
  <c r="F7224" i="3"/>
  <c r="F7223" i="3"/>
  <c r="F7222" i="3"/>
  <c r="F7221" i="3"/>
  <c r="F7220" i="3"/>
  <c r="F7219" i="3"/>
  <c r="F7218" i="3"/>
  <c r="F7217" i="3"/>
  <c r="F7216" i="3"/>
  <c r="F7215" i="3"/>
  <c r="F7214" i="3"/>
  <c r="F7213" i="3"/>
  <c r="F7212" i="3"/>
  <c r="F7211" i="3"/>
  <c r="F7210" i="3"/>
  <c r="F7209" i="3"/>
  <c r="F7208" i="3"/>
  <c r="F7207" i="3"/>
  <c r="F7206" i="3"/>
  <c r="F7205" i="3"/>
  <c r="F7204" i="3"/>
  <c r="F7203" i="3"/>
  <c r="F7202" i="3"/>
  <c r="F7201" i="3"/>
  <c r="F7200" i="3"/>
  <c r="F7199" i="3"/>
  <c r="F7198" i="3"/>
  <c r="F7197" i="3"/>
  <c r="F7196" i="3"/>
  <c r="F7195" i="3"/>
  <c r="F7194" i="3"/>
  <c r="F7193" i="3"/>
  <c r="F7192" i="3"/>
  <c r="F7191" i="3"/>
  <c r="F7190" i="3"/>
  <c r="F7189" i="3"/>
  <c r="F7188" i="3"/>
  <c r="F7187" i="3"/>
  <c r="F7186" i="3"/>
  <c r="F7185" i="3"/>
  <c r="F7184" i="3"/>
  <c r="F7183" i="3"/>
  <c r="F7182" i="3"/>
  <c r="F7181" i="3"/>
  <c r="F7180" i="3"/>
  <c r="F7179" i="3"/>
  <c r="F7178" i="3"/>
  <c r="F7177" i="3"/>
  <c r="F7176" i="3"/>
  <c r="F7175" i="3"/>
  <c r="F7174" i="3"/>
  <c r="F7173" i="3"/>
  <c r="F7172" i="3"/>
  <c r="F7171" i="3"/>
  <c r="F7170" i="3"/>
  <c r="F7169" i="3"/>
  <c r="F7168" i="3"/>
  <c r="F7167" i="3"/>
  <c r="F7166" i="3"/>
  <c r="F7165" i="3"/>
  <c r="F7164" i="3"/>
  <c r="F7163" i="3"/>
  <c r="F7162" i="3"/>
  <c r="F7161" i="3"/>
  <c r="F7160" i="3"/>
  <c r="F7159" i="3"/>
  <c r="F7158" i="3"/>
  <c r="F7157" i="3"/>
  <c r="F7156" i="3"/>
  <c r="F7155" i="3"/>
  <c r="F7154" i="3"/>
  <c r="F7153" i="3"/>
  <c r="F7152" i="3"/>
  <c r="F7151" i="3"/>
  <c r="F7150" i="3"/>
  <c r="F7149" i="3"/>
  <c r="F7148" i="3"/>
  <c r="F7147" i="3"/>
  <c r="F7146" i="3"/>
  <c r="F7145" i="3"/>
  <c r="F7144" i="3"/>
  <c r="F7143" i="3"/>
  <c r="F7142" i="3"/>
  <c r="F7141" i="3"/>
  <c r="F7140" i="3"/>
  <c r="F7139" i="3"/>
  <c r="F7138" i="3"/>
  <c r="F7137" i="3"/>
  <c r="F7136" i="3"/>
  <c r="F7135" i="3"/>
  <c r="F7134" i="3"/>
  <c r="F7133" i="3"/>
  <c r="F7132" i="3"/>
  <c r="F7131" i="3"/>
  <c r="F7130" i="3"/>
  <c r="F7129" i="3"/>
  <c r="F7128" i="3"/>
  <c r="F7127" i="3"/>
  <c r="F7126" i="3"/>
  <c r="F7125" i="3"/>
  <c r="F7124" i="3"/>
  <c r="F7123" i="3"/>
  <c r="F7122" i="3"/>
  <c r="F7121" i="3"/>
  <c r="F7120" i="3"/>
  <c r="F7119" i="3"/>
  <c r="F7118" i="3"/>
  <c r="F7117" i="3"/>
  <c r="F7116" i="3"/>
  <c r="F7115" i="3"/>
  <c r="F7114" i="3"/>
  <c r="F7113" i="3"/>
  <c r="F7112" i="3"/>
  <c r="F7111" i="3"/>
  <c r="F7110" i="3"/>
  <c r="F7109" i="3"/>
  <c r="F7108" i="3"/>
  <c r="F7107" i="3"/>
  <c r="F7106" i="3"/>
  <c r="F7105" i="3"/>
  <c r="F7104" i="3"/>
  <c r="F7103" i="3"/>
  <c r="F7102" i="3"/>
  <c r="F7101" i="3"/>
  <c r="F7100" i="3"/>
  <c r="F7099" i="3"/>
  <c r="F7098" i="3"/>
  <c r="F7097" i="3"/>
  <c r="F7096" i="3"/>
  <c r="F7095" i="3"/>
  <c r="F7094" i="3"/>
  <c r="F7093" i="3"/>
  <c r="F7092" i="3"/>
  <c r="F7091" i="3"/>
  <c r="F7090" i="3"/>
  <c r="F7089" i="3"/>
  <c r="F7088" i="3"/>
  <c r="F7087" i="3"/>
  <c r="F7086" i="3"/>
  <c r="F7085" i="3"/>
  <c r="F7084" i="3"/>
  <c r="F7083" i="3"/>
  <c r="F7082" i="3"/>
  <c r="F7081" i="3"/>
  <c r="F7080" i="3"/>
  <c r="F7079" i="3"/>
  <c r="F7078" i="3"/>
  <c r="F7077" i="3"/>
  <c r="F7076" i="3"/>
  <c r="F7075" i="3"/>
  <c r="F7074" i="3"/>
  <c r="F7073" i="3"/>
  <c r="F7072" i="3"/>
  <c r="F7071" i="3"/>
  <c r="F7070" i="3"/>
  <c r="F7069" i="3"/>
  <c r="F7068" i="3"/>
  <c r="F7067" i="3"/>
  <c r="F7066" i="3"/>
  <c r="F7065" i="3"/>
  <c r="F7064" i="3"/>
  <c r="F7063" i="3"/>
  <c r="F7062" i="3"/>
  <c r="F7061" i="3"/>
  <c r="F7060" i="3"/>
  <c r="F7059" i="3"/>
  <c r="F7058" i="3"/>
  <c r="F7057" i="3"/>
  <c r="F7056" i="3"/>
  <c r="F7055" i="3"/>
  <c r="F7054" i="3"/>
  <c r="F7053" i="3"/>
  <c r="F7052" i="3"/>
  <c r="F7051" i="3"/>
  <c r="F7050" i="3"/>
  <c r="F7049" i="3"/>
  <c r="F7048" i="3"/>
  <c r="F7047" i="3"/>
  <c r="F7046" i="3"/>
  <c r="F7045" i="3"/>
  <c r="F7044" i="3"/>
  <c r="F7043" i="3"/>
  <c r="F7042" i="3"/>
  <c r="F7041" i="3"/>
  <c r="F7040" i="3"/>
  <c r="F7039" i="3"/>
  <c r="F7038" i="3"/>
  <c r="F7037" i="3"/>
  <c r="F7036" i="3"/>
  <c r="F7035" i="3"/>
  <c r="F7034" i="3"/>
  <c r="F7033" i="3"/>
  <c r="F7032" i="3"/>
  <c r="F7031" i="3"/>
  <c r="F7030" i="3"/>
  <c r="F7029" i="3"/>
  <c r="F7028" i="3"/>
  <c r="F7027" i="3"/>
  <c r="F7026" i="3"/>
  <c r="F7025" i="3"/>
  <c r="F7024" i="3"/>
  <c r="F7023" i="3"/>
  <c r="F7022" i="3"/>
  <c r="F7021" i="3"/>
  <c r="F7020" i="3"/>
  <c r="F7019" i="3"/>
  <c r="F7018" i="3"/>
  <c r="F7017" i="3"/>
  <c r="F7016" i="3"/>
  <c r="F7015" i="3"/>
  <c r="F7014" i="3"/>
  <c r="F7013" i="3"/>
  <c r="F7012" i="3"/>
  <c r="F7011" i="3"/>
  <c r="F7010" i="3"/>
  <c r="F7009" i="3"/>
  <c r="F7008" i="3"/>
  <c r="F7007" i="3"/>
  <c r="F7006" i="3"/>
  <c r="F7005" i="3"/>
  <c r="F7004" i="3"/>
  <c r="F7003" i="3"/>
  <c r="F7002" i="3"/>
  <c r="F7001" i="3"/>
  <c r="F7000" i="3"/>
  <c r="F6999" i="3"/>
  <c r="F6998" i="3"/>
  <c r="F6997" i="3"/>
  <c r="F6996" i="3"/>
  <c r="F6995" i="3"/>
  <c r="F6994" i="3"/>
  <c r="F6993" i="3"/>
  <c r="F6992" i="3"/>
  <c r="F6991" i="3"/>
  <c r="F6990" i="3"/>
  <c r="F6989" i="3"/>
  <c r="F6988" i="3"/>
  <c r="F6987" i="3"/>
  <c r="F6986" i="3"/>
  <c r="F6985" i="3"/>
  <c r="F6984" i="3"/>
  <c r="F6983" i="3"/>
  <c r="F6982" i="3"/>
  <c r="F6981" i="3"/>
  <c r="F6980" i="3"/>
  <c r="F6979" i="3"/>
  <c r="F6978" i="3"/>
  <c r="F6977" i="3"/>
  <c r="F6976" i="3"/>
  <c r="F6975" i="3"/>
  <c r="F6974" i="3"/>
  <c r="F6973" i="3"/>
  <c r="F6972" i="3"/>
  <c r="F6971" i="3"/>
  <c r="F6970" i="3"/>
  <c r="F6969" i="3"/>
  <c r="F6968" i="3"/>
  <c r="F6967" i="3"/>
  <c r="F6966" i="3"/>
  <c r="F6965" i="3"/>
  <c r="F6964" i="3"/>
  <c r="F6963" i="3"/>
  <c r="F6962" i="3"/>
  <c r="F6961" i="3"/>
  <c r="F6960" i="3"/>
  <c r="F6959" i="3"/>
  <c r="F6958" i="3"/>
  <c r="F6957" i="3"/>
  <c r="F6956" i="3"/>
  <c r="F6955" i="3"/>
  <c r="F6954" i="3"/>
  <c r="F6953" i="3"/>
  <c r="F6952" i="3"/>
  <c r="F6951" i="3"/>
  <c r="F6950" i="3"/>
  <c r="F6949" i="3"/>
  <c r="F6948" i="3"/>
  <c r="F6947" i="3"/>
  <c r="F6946" i="3"/>
  <c r="F6945" i="3"/>
  <c r="F6944" i="3"/>
  <c r="F6943" i="3"/>
  <c r="F6942" i="3"/>
  <c r="F6941" i="3"/>
  <c r="F6940" i="3"/>
  <c r="F6939" i="3"/>
  <c r="F6938" i="3"/>
  <c r="F6937" i="3"/>
  <c r="F6936" i="3"/>
  <c r="F6935" i="3"/>
  <c r="F6934" i="3"/>
  <c r="F6933" i="3"/>
  <c r="F6932" i="3"/>
  <c r="F6931" i="3"/>
  <c r="F6930" i="3"/>
  <c r="F6929" i="3"/>
  <c r="F6928" i="3"/>
  <c r="F6927" i="3"/>
  <c r="F6926" i="3"/>
  <c r="F6925" i="3"/>
  <c r="F6924" i="3"/>
  <c r="F6923" i="3"/>
  <c r="F6922" i="3"/>
  <c r="F6921" i="3"/>
  <c r="F6920" i="3"/>
  <c r="F6919" i="3"/>
  <c r="F6918" i="3"/>
  <c r="F6917" i="3"/>
  <c r="F6916" i="3"/>
  <c r="F6915" i="3"/>
  <c r="F6914" i="3"/>
  <c r="F6913" i="3"/>
  <c r="F6912" i="3"/>
  <c r="F6911" i="3"/>
  <c r="F6910" i="3"/>
  <c r="F6909" i="3"/>
  <c r="F6908" i="3"/>
  <c r="F6907" i="3"/>
  <c r="F6906" i="3"/>
  <c r="F6905" i="3"/>
  <c r="F6904" i="3"/>
  <c r="F6903" i="3"/>
  <c r="F6902" i="3"/>
  <c r="F6901" i="3"/>
  <c r="F6900" i="3"/>
  <c r="F6899" i="3"/>
  <c r="F6898" i="3"/>
  <c r="F6897" i="3"/>
  <c r="F6896" i="3"/>
  <c r="F6895" i="3"/>
  <c r="F6894" i="3"/>
  <c r="F6893" i="3"/>
  <c r="F6892" i="3"/>
  <c r="F6891" i="3"/>
  <c r="F6890" i="3"/>
  <c r="F6889" i="3"/>
  <c r="F6888" i="3"/>
  <c r="F6887" i="3"/>
  <c r="F6886" i="3"/>
  <c r="F6885" i="3"/>
  <c r="F6884" i="3"/>
  <c r="F6883" i="3"/>
  <c r="F6882" i="3"/>
  <c r="F6881" i="3"/>
  <c r="F6880" i="3"/>
  <c r="F6879" i="3"/>
  <c r="F6878" i="3"/>
  <c r="F6877" i="3"/>
  <c r="F6876" i="3"/>
  <c r="F6875" i="3"/>
  <c r="F6874" i="3"/>
  <c r="F6873" i="3"/>
  <c r="F6872" i="3"/>
  <c r="F6871" i="3"/>
  <c r="F6870" i="3"/>
  <c r="F6869" i="3"/>
  <c r="F6868" i="3"/>
  <c r="F6867" i="3"/>
  <c r="F6866" i="3"/>
  <c r="F6865" i="3"/>
  <c r="F6864" i="3"/>
  <c r="F6863" i="3"/>
  <c r="F6862" i="3"/>
  <c r="F6861" i="3"/>
  <c r="F6860" i="3"/>
  <c r="F6859" i="3"/>
  <c r="F6858" i="3"/>
  <c r="F6857" i="3"/>
  <c r="F6856" i="3"/>
  <c r="F6855" i="3"/>
  <c r="F6854" i="3"/>
  <c r="F6853" i="3"/>
  <c r="F6852" i="3"/>
  <c r="F6851" i="3"/>
  <c r="F6850" i="3"/>
  <c r="F6849" i="3"/>
  <c r="F6848" i="3"/>
  <c r="F6847" i="3"/>
  <c r="F6846" i="3"/>
  <c r="F6845" i="3"/>
  <c r="F6844" i="3"/>
  <c r="F6843" i="3"/>
  <c r="F6842" i="3"/>
  <c r="F6841" i="3"/>
  <c r="F6840" i="3"/>
  <c r="F6839" i="3"/>
  <c r="F6838" i="3"/>
  <c r="F6837" i="3"/>
  <c r="F6836" i="3"/>
  <c r="F6835" i="3"/>
  <c r="F6834" i="3"/>
  <c r="F6833" i="3"/>
  <c r="F6832" i="3"/>
  <c r="F6831" i="3"/>
  <c r="F6830" i="3"/>
  <c r="F6829" i="3"/>
  <c r="F6828" i="3"/>
  <c r="F6827" i="3"/>
  <c r="F6826" i="3"/>
  <c r="F6825" i="3"/>
  <c r="F6824" i="3"/>
  <c r="F6823" i="3"/>
  <c r="F6822" i="3"/>
  <c r="F6821" i="3"/>
  <c r="F6820" i="3"/>
  <c r="F6819" i="3"/>
  <c r="F6818" i="3"/>
  <c r="F6817" i="3"/>
  <c r="F6816" i="3"/>
  <c r="F6815" i="3"/>
  <c r="F6814" i="3"/>
  <c r="F6813" i="3"/>
  <c r="F6812" i="3"/>
  <c r="F6811" i="3"/>
  <c r="F6810" i="3"/>
  <c r="F6809" i="3"/>
  <c r="F6808" i="3"/>
  <c r="F6807" i="3"/>
  <c r="F6806" i="3"/>
  <c r="F6805" i="3"/>
  <c r="F6804" i="3"/>
  <c r="F6803" i="3"/>
  <c r="F6802" i="3"/>
  <c r="F6801" i="3"/>
  <c r="F6800" i="3"/>
  <c r="F6799" i="3"/>
  <c r="F6798" i="3"/>
  <c r="F6797" i="3"/>
  <c r="F6796" i="3"/>
  <c r="F6795" i="3"/>
  <c r="F6794" i="3"/>
  <c r="F6793" i="3"/>
  <c r="F6792" i="3"/>
  <c r="F6791" i="3"/>
  <c r="F6790" i="3"/>
  <c r="F6789" i="3"/>
  <c r="F6788" i="3"/>
  <c r="F6787" i="3"/>
  <c r="F6786" i="3"/>
  <c r="F6785" i="3"/>
  <c r="F6784" i="3"/>
  <c r="F6783" i="3"/>
  <c r="F6782" i="3"/>
  <c r="F6781" i="3"/>
  <c r="F6780" i="3"/>
  <c r="F6779" i="3"/>
  <c r="F6778" i="3"/>
  <c r="F6777" i="3"/>
  <c r="F6776" i="3"/>
  <c r="F6775" i="3"/>
  <c r="F6774" i="3"/>
  <c r="F6773" i="3"/>
  <c r="F6772" i="3"/>
  <c r="F6771" i="3"/>
  <c r="F6770" i="3"/>
  <c r="F6769" i="3"/>
  <c r="F6768" i="3"/>
  <c r="F6767" i="3"/>
  <c r="F6766" i="3"/>
  <c r="F6765" i="3"/>
  <c r="F6764" i="3"/>
  <c r="F6763" i="3"/>
  <c r="F6762" i="3"/>
  <c r="F6761" i="3"/>
  <c r="F6760" i="3"/>
  <c r="F6759" i="3"/>
  <c r="F6758" i="3"/>
  <c r="F6757" i="3"/>
  <c r="F6756" i="3"/>
  <c r="F6755" i="3"/>
  <c r="F6754" i="3"/>
  <c r="F6753" i="3"/>
  <c r="F6752" i="3"/>
  <c r="F6751" i="3"/>
  <c r="F6750" i="3"/>
  <c r="F6749" i="3"/>
  <c r="F6748" i="3"/>
  <c r="F6747" i="3"/>
  <c r="F6746" i="3"/>
  <c r="F6745" i="3"/>
  <c r="F6744" i="3"/>
  <c r="F6743" i="3"/>
  <c r="F6742" i="3"/>
  <c r="F6741" i="3"/>
  <c r="F6740" i="3"/>
  <c r="F6739" i="3"/>
  <c r="F6738" i="3"/>
  <c r="F6737" i="3"/>
  <c r="F6736" i="3"/>
  <c r="F6735" i="3"/>
  <c r="F6734" i="3"/>
  <c r="F6733" i="3"/>
  <c r="F6732" i="3"/>
  <c r="F6731" i="3"/>
  <c r="F6730" i="3"/>
  <c r="F6729" i="3"/>
  <c r="F6728" i="3"/>
  <c r="F6727" i="3"/>
  <c r="F6726" i="3"/>
  <c r="F6725" i="3"/>
  <c r="F6724" i="3"/>
  <c r="F6723" i="3"/>
  <c r="F6722" i="3"/>
  <c r="F6721" i="3"/>
  <c r="F6720" i="3"/>
  <c r="F6719" i="3"/>
  <c r="F6718" i="3"/>
  <c r="F6717" i="3"/>
  <c r="F6716" i="3"/>
  <c r="F6715" i="3"/>
  <c r="F6714" i="3"/>
  <c r="F6713" i="3"/>
  <c r="F6712" i="3"/>
  <c r="F6711" i="3"/>
  <c r="F6710" i="3"/>
  <c r="F6709" i="3"/>
  <c r="F6708" i="3"/>
  <c r="F6707" i="3"/>
  <c r="F6706" i="3"/>
  <c r="F6705" i="3"/>
  <c r="F6704" i="3"/>
  <c r="F6703" i="3"/>
  <c r="F6702" i="3"/>
  <c r="F6701" i="3"/>
  <c r="F6700" i="3"/>
  <c r="F6699" i="3"/>
  <c r="F6698" i="3"/>
  <c r="F6697" i="3"/>
  <c r="F6696" i="3"/>
  <c r="F6695" i="3"/>
  <c r="F6694" i="3"/>
  <c r="F6693" i="3"/>
  <c r="F6692" i="3"/>
  <c r="F6691" i="3"/>
  <c r="F6690" i="3"/>
  <c r="F6689" i="3"/>
  <c r="F6688" i="3"/>
  <c r="F6687" i="3"/>
  <c r="F6686" i="3"/>
  <c r="F6685" i="3"/>
  <c r="F6684" i="3"/>
  <c r="F6683" i="3"/>
  <c r="F6682" i="3"/>
  <c r="F6681" i="3"/>
  <c r="F6680" i="3"/>
  <c r="F6679" i="3"/>
  <c r="F6678" i="3"/>
  <c r="F6677" i="3"/>
  <c r="F6676" i="3"/>
  <c r="F6675" i="3"/>
  <c r="F6674" i="3"/>
  <c r="F6673" i="3"/>
  <c r="F6672" i="3"/>
  <c r="F6671" i="3"/>
  <c r="F6670" i="3"/>
  <c r="F6669" i="3"/>
  <c r="F6668" i="3"/>
  <c r="F6667" i="3"/>
  <c r="F6666" i="3"/>
  <c r="F6665" i="3"/>
  <c r="F6664" i="3"/>
  <c r="F6663" i="3"/>
  <c r="F6662" i="3"/>
  <c r="F6661" i="3"/>
  <c r="F6660" i="3"/>
  <c r="F6659" i="3"/>
  <c r="F6658" i="3"/>
  <c r="F6657" i="3"/>
  <c r="F6656" i="3"/>
  <c r="F6655" i="3"/>
  <c r="F6654" i="3"/>
  <c r="F6653" i="3"/>
  <c r="F6652" i="3"/>
  <c r="F6651" i="3"/>
  <c r="F6650" i="3"/>
  <c r="F6649" i="3"/>
  <c r="F6648" i="3"/>
  <c r="F6647" i="3"/>
  <c r="F6646" i="3"/>
  <c r="F6645" i="3"/>
  <c r="F6644" i="3"/>
  <c r="F6643" i="3"/>
  <c r="F6642" i="3"/>
  <c r="F6641" i="3"/>
  <c r="F6640" i="3"/>
  <c r="F6639" i="3"/>
  <c r="F6638" i="3"/>
  <c r="F6637" i="3"/>
  <c r="F6636" i="3"/>
  <c r="F6635" i="3"/>
  <c r="F6634" i="3"/>
  <c r="F6633" i="3"/>
  <c r="F6632" i="3"/>
  <c r="F6631" i="3"/>
  <c r="F6630" i="3"/>
  <c r="F6629" i="3"/>
  <c r="F6628" i="3"/>
  <c r="F6627" i="3"/>
  <c r="F6626" i="3"/>
  <c r="F6625" i="3"/>
  <c r="F6624" i="3"/>
  <c r="F6623" i="3"/>
  <c r="F6622" i="3"/>
  <c r="F6621" i="3"/>
  <c r="F6620" i="3"/>
  <c r="F6619" i="3"/>
  <c r="F6618" i="3"/>
  <c r="F6617" i="3"/>
  <c r="F6616" i="3"/>
  <c r="F6615" i="3"/>
  <c r="F6614" i="3"/>
  <c r="F6613" i="3"/>
  <c r="F6612" i="3"/>
  <c r="F6611" i="3"/>
  <c r="F6610" i="3"/>
  <c r="F6609" i="3"/>
  <c r="F6608" i="3"/>
  <c r="F6607" i="3"/>
  <c r="F6606" i="3"/>
  <c r="F6605" i="3"/>
  <c r="F6604" i="3"/>
  <c r="F6603" i="3"/>
  <c r="F6602" i="3"/>
  <c r="F6601" i="3"/>
  <c r="F6600" i="3"/>
  <c r="F6599" i="3"/>
  <c r="F6598" i="3"/>
  <c r="F6597" i="3"/>
  <c r="F6596" i="3"/>
  <c r="F6595" i="3"/>
  <c r="F6594" i="3"/>
  <c r="F6593" i="3"/>
  <c r="F6592" i="3"/>
  <c r="F6591" i="3"/>
  <c r="F6590" i="3"/>
  <c r="F6589" i="3"/>
  <c r="F6588" i="3"/>
  <c r="F6587" i="3"/>
  <c r="F6586" i="3"/>
  <c r="F6585" i="3"/>
  <c r="F6584" i="3"/>
  <c r="F6583" i="3"/>
  <c r="F6582" i="3"/>
  <c r="F6581" i="3"/>
  <c r="F6580" i="3"/>
  <c r="F6579" i="3"/>
  <c r="F6578" i="3"/>
  <c r="F6577" i="3"/>
  <c r="F6576" i="3"/>
  <c r="F6575" i="3"/>
  <c r="F6574" i="3"/>
  <c r="F6573" i="3"/>
  <c r="F6572" i="3"/>
  <c r="F6571" i="3"/>
  <c r="F6570" i="3"/>
  <c r="F6569" i="3"/>
  <c r="F6568" i="3"/>
  <c r="F6567" i="3"/>
  <c r="F6566" i="3"/>
  <c r="F6565" i="3"/>
  <c r="F6564" i="3"/>
  <c r="F6563" i="3"/>
  <c r="F6562" i="3"/>
  <c r="F6561" i="3"/>
  <c r="F6560" i="3"/>
  <c r="F6559" i="3"/>
  <c r="F6558" i="3"/>
  <c r="F6557" i="3"/>
  <c r="F6556" i="3"/>
  <c r="F6555" i="3"/>
  <c r="F6554" i="3"/>
  <c r="F6553" i="3"/>
  <c r="F6552" i="3"/>
  <c r="F6551" i="3"/>
  <c r="F6550" i="3"/>
  <c r="F6549" i="3"/>
  <c r="F6548" i="3"/>
  <c r="F6547" i="3"/>
  <c r="F6546" i="3"/>
  <c r="F6545" i="3"/>
  <c r="F6544" i="3"/>
  <c r="F6543" i="3"/>
  <c r="F6542" i="3"/>
  <c r="F6541" i="3"/>
  <c r="F6540" i="3"/>
  <c r="F6539" i="3"/>
  <c r="F6538" i="3"/>
  <c r="F6537" i="3"/>
  <c r="F6536" i="3"/>
  <c r="F6535" i="3"/>
  <c r="F6534" i="3"/>
  <c r="F6533" i="3"/>
  <c r="F6532" i="3"/>
  <c r="F6531" i="3"/>
  <c r="F6530" i="3"/>
  <c r="F6529" i="3"/>
  <c r="F6528" i="3"/>
  <c r="F6527" i="3"/>
  <c r="F6526" i="3"/>
  <c r="F6525" i="3"/>
  <c r="F6524" i="3"/>
  <c r="F6523" i="3"/>
  <c r="F6522" i="3"/>
  <c r="F6521" i="3"/>
  <c r="F6520" i="3"/>
  <c r="F6519" i="3"/>
  <c r="F6518" i="3"/>
  <c r="F6517" i="3"/>
  <c r="F6516" i="3"/>
  <c r="F6515" i="3"/>
  <c r="F6514" i="3"/>
  <c r="F6513" i="3"/>
  <c r="F6512" i="3"/>
  <c r="F6511" i="3"/>
  <c r="F6510" i="3"/>
  <c r="F6509" i="3"/>
  <c r="F6508" i="3"/>
  <c r="F6507" i="3"/>
  <c r="F6506" i="3"/>
  <c r="F6505" i="3"/>
  <c r="F6504" i="3"/>
  <c r="F6503" i="3"/>
  <c r="F6502" i="3"/>
  <c r="F6501" i="3"/>
  <c r="F6500" i="3"/>
  <c r="F6499" i="3"/>
  <c r="F6498" i="3"/>
  <c r="F6497" i="3"/>
  <c r="F6496" i="3"/>
  <c r="F6495" i="3"/>
  <c r="F6494" i="3"/>
  <c r="F6493" i="3"/>
  <c r="F6492" i="3"/>
  <c r="F6491" i="3"/>
  <c r="F6490" i="3"/>
  <c r="F6489" i="3"/>
  <c r="F6488" i="3"/>
  <c r="F6487" i="3"/>
  <c r="F6486" i="3"/>
  <c r="F6485" i="3"/>
  <c r="F6484" i="3"/>
  <c r="F6483" i="3"/>
  <c r="F6482" i="3"/>
  <c r="F6481" i="3"/>
  <c r="F6480" i="3"/>
  <c r="F6479" i="3"/>
  <c r="F6478" i="3"/>
  <c r="F6477" i="3"/>
  <c r="F6476" i="3"/>
  <c r="F6475" i="3"/>
  <c r="F6474" i="3"/>
  <c r="F6473" i="3"/>
  <c r="F6472" i="3"/>
  <c r="F6471" i="3"/>
  <c r="F6470" i="3"/>
  <c r="F6469" i="3"/>
  <c r="F6468" i="3"/>
  <c r="F6467" i="3"/>
  <c r="F6466" i="3"/>
  <c r="F6465" i="3"/>
  <c r="F6464" i="3"/>
  <c r="F6463" i="3"/>
  <c r="F6462" i="3"/>
  <c r="F6461" i="3"/>
  <c r="F6460" i="3"/>
  <c r="F6459" i="3"/>
  <c r="F6458" i="3"/>
  <c r="F6457" i="3"/>
  <c r="F6456" i="3"/>
  <c r="F6455" i="3"/>
  <c r="F6454" i="3"/>
  <c r="F6453" i="3"/>
  <c r="F6452" i="3"/>
  <c r="F6451" i="3"/>
  <c r="F6450" i="3"/>
  <c r="F6449" i="3"/>
  <c r="F6448" i="3"/>
  <c r="F6447" i="3"/>
  <c r="F6446" i="3"/>
  <c r="F6445" i="3"/>
  <c r="F6444" i="3"/>
  <c r="F6443" i="3"/>
  <c r="F6442" i="3"/>
  <c r="F6441" i="3"/>
  <c r="F6440" i="3"/>
  <c r="F6439" i="3"/>
  <c r="F6438" i="3"/>
  <c r="F6437" i="3"/>
  <c r="F6436" i="3"/>
  <c r="F6435" i="3"/>
  <c r="F6434" i="3"/>
  <c r="F6433" i="3"/>
  <c r="F6432" i="3"/>
  <c r="F6431" i="3"/>
  <c r="F6430" i="3"/>
  <c r="F6429" i="3"/>
  <c r="F6428" i="3"/>
  <c r="F6427" i="3"/>
  <c r="F6426" i="3"/>
  <c r="F6425" i="3"/>
  <c r="F6424" i="3"/>
  <c r="F6423" i="3"/>
  <c r="F6422" i="3"/>
  <c r="F6421" i="3"/>
  <c r="F6420" i="3"/>
  <c r="F6419" i="3"/>
  <c r="F6418" i="3"/>
  <c r="F6417" i="3"/>
  <c r="F6416" i="3"/>
  <c r="F6415" i="3"/>
  <c r="F6414" i="3"/>
  <c r="F6413" i="3"/>
  <c r="F6412" i="3"/>
  <c r="F6411" i="3"/>
  <c r="F6410" i="3"/>
  <c r="F6409" i="3"/>
  <c r="F6408" i="3"/>
  <c r="F6407" i="3"/>
  <c r="F6406" i="3"/>
  <c r="F6405" i="3"/>
  <c r="F6404" i="3"/>
  <c r="F6403" i="3"/>
  <c r="F6402" i="3"/>
  <c r="F6401" i="3"/>
  <c r="F6400" i="3"/>
  <c r="F6399" i="3"/>
  <c r="F6398" i="3"/>
  <c r="F6397" i="3"/>
  <c r="F6396" i="3"/>
  <c r="F6395" i="3"/>
  <c r="F6394" i="3"/>
  <c r="F6393" i="3"/>
  <c r="F6392" i="3"/>
  <c r="F6391" i="3"/>
  <c r="F6390" i="3"/>
  <c r="F6389" i="3"/>
  <c r="F6388" i="3"/>
  <c r="F6387" i="3"/>
  <c r="F6386" i="3"/>
  <c r="F6385" i="3"/>
  <c r="F6384" i="3"/>
  <c r="F6383" i="3"/>
  <c r="F6382" i="3"/>
  <c r="F6381" i="3"/>
  <c r="F6380" i="3"/>
  <c r="F6379" i="3"/>
  <c r="F6378" i="3"/>
  <c r="F6377" i="3"/>
  <c r="F6376" i="3"/>
  <c r="F6375" i="3"/>
  <c r="F6374" i="3"/>
  <c r="F6373" i="3"/>
  <c r="F6372" i="3"/>
  <c r="F6371" i="3"/>
  <c r="F6370" i="3"/>
  <c r="F6369" i="3"/>
  <c r="F6368" i="3"/>
  <c r="F6367" i="3"/>
  <c r="F6366" i="3"/>
  <c r="F6365" i="3"/>
  <c r="F6364" i="3"/>
  <c r="F6363" i="3"/>
  <c r="F6362" i="3"/>
  <c r="F6361" i="3"/>
  <c r="F6360" i="3"/>
  <c r="F6359" i="3"/>
  <c r="F6358" i="3"/>
  <c r="F6357" i="3"/>
  <c r="F6356" i="3"/>
  <c r="F6355" i="3"/>
  <c r="F6354" i="3"/>
  <c r="F6353" i="3"/>
  <c r="F6352" i="3"/>
  <c r="F6351" i="3"/>
  <c r="F6350" i="3"/>
  <c r="F6349" i="3"/>
  <c r="F6348" i="3"/>
  <c r="F6347" i="3"/>
  <c r="F6346" i="3"/>
  <c r="F6345" i="3"/>
  <c r="F6344" i="3"/>
  <c r="F6343" i="3"/>
  <c r="F6342" i="3"/>
  <c r="F6341" i="3"/>
  <c r="F6340" i="3"/>
  <c r="F6339" i="3"/>
  <c r="F6338" i="3"/>
  <c r="F6337" i="3"/>
  <c r="F6336" i="3"/>
  <c r="F6335" i="3"/>
  <c r="F6334" i="3"/>
  <c r="F6333" i="3"/>
  <c r="F6332" i="3"/>
  <c r="F6331" i="3"/>
  <c r="F6330" i="3"/>
  <c r="F6329" i="3"/>
  <c r="F6328" i="3"/>
  <c r="F6327" i="3"/>
  <c r="F6326" i="3"/>
  <c r="F6325" i="3"/>
  <c r="F6324" i="3"/>
  <c r="F6323" i="3"/>
  <c r="F6322" i="3"/>
  <c r="F6321" i="3"/>
  <c r="F6320" i="3"/>
  <c r="F6319" i="3"/>
  <c r="F6318" i="3"/>
  <c r="F6317" i="3"/>
  <c r="F6316" i="3"/>
  <c r="F6315" i="3"/>
  <c r="F6314" i="3"/>
  <c r="F6313" i="3"/>
  <c r="F6312" i="3"/>
  <c r="F6311" i="3"/>
  <c r="F6310" i="3"/>
  <c r="F6309" i="3"/>
  <c r="F6308" i="3"/>
  <c r="F6307" i="3"/>
  <c r="F6306" i="3"/>
  <c r="F6305" i="3"/>
  <c r="F6304" i="3"/>
  <c r="F6303" i="3"/>
  <c r="F6302" i="3"/>
  <c r="F6301" i="3"/>
  <c r="F6300" i="3"/>
  <c r="F6299" i="3"/>
  <c r="F6298" i="3"/>
  <c r="F6297" i="3"/>
  <c r="F6296" i="3"/>
  <c r="F6295" i="3"/>
  <c r="F6294" i="3"/>
  <c r="F6293" i="3"/>
  <c r="F6292" i="3"/>
  <c r="F6291" i="3"/>
  <c r="F6290" i="3"/>
  <c r="F6289" i="3"/>
  <c r="F6288" i="3"/>
  <c r="F6287" i="3"/>
  <c r="F6286" i="3"/>
  <c r="F6285" i="3"/>
  <c r="F6284" i="3"/>
  <c r="F6283" i="3"/>
  <c r="F6282" i="3"/>
  <c r="F6281" i="3"/>
  <c r="F6280" i="3"/>
  <c r="F6279" i="3"/>
  <c r="F6278" i="3"/>
  <c r="F6277" i="3"/>
  <c r="F6276" i="3"/>
  <c r="F6275" i="3"/>
  <c r="F6274" i="3"/>
  <c r="F6273" i="3"/>
  <c r="F6272" i="3"/>
  <c r="F6271" i="3"/>
  <c r="F6270" i="3"/>
  <c r="F6269" i="3"/>
  <c r="F6268" i="3"/>
  <c r="F6267" i="3"/>
  <c r="F6266" i="3"/>
  <c r="F6265" i="3"/>
  <c r="F6264" i="3"/>
  <c r="F6263" i="3"/>
  <c r="F6262" i="3"/>
  <c r="F6261" i="3"/>
  <c r="F6260" i="3"/>
  <c r="F6259" i="3"/>
  <c r="F6258" i="3"/>
  <c r="F6257" i="3"/>
  <c r="F6256" i="3"/>
  <c r="F6255" i="3"/>
  <c r="F6254" i="3"/>
  <c r="F6253" i="3"/>
  <c r="F6252" i="3"/>
  <c r="F6251" i="3"/>
  <c r="F6250" i="3"/>
  <c r="F6249" i="3"/>
  <c r="F6248" i="3"/>
  <c r="F6247" i="3"/>
  <c r="F6246" i="3"/>
  <c r="F6245" i="3"/>
  <c r="F6244" i="3"/>
  <c r="F6243" i="3"/>
  <c r="F6242" i="3"/>
  <c r="F6241" i="3"/>
  <c r="F6240" i="3"/>
  <c r="F6239" i="3"/>
  <c r="F6238" i="3"/>
  <c r="F6237" i="3"/>
  <c r="F6236" i="3"/>
  <c r="F6235" i="3"/>
  <c r="F6234" i="3"/>
  <c r="F6233" i="3"/>
  <c r="F6232" i="3"/>
  <c r="F6231" i="3"/>
  <c r="F6230" i="3"/>
  <c r="F6229" i="3"/>
  <c r="F6228" i="3"/>
  <c r="F6227" i="3"/>
  <c r="F6226" i="3"/>
  <c r="F6225" i="3"/>
  <c r="F6224" i="3"/>
  <c r="F6223" i="3"/>
  <c r="F6222" i="3"/>
  <c r="F6221" i="3"/>
  <c r="F6220" i="3"/>
  <c r="F6219" i="3"/>
  <c r="F6218" i="3"/>
  <c r="F6217" i="3"/>
  <c r="F6216" i="3"/>
  <c r="F6215" i="3"/>
  <c r="F6214" i="3"/>
  <c r="F6213" i="3"/>
  <c r="F6212" i="3"/>
  <c r="F6211" i="3"/>
  <c r="F6210" i="3"/>
  <c r="F6209" i="3"/>
  <c r="F6208" i="3"/>
  <c r="F6207" i="3"/>
  <c r="F6206" i="3"/>
  <c r="F6205" i="3"/>
  <c r="F6204" i="3"/>
  <c r="F6203" i="3"/>
  <c r="F6202" i="3"/>
  <c r="F6201" i="3"/>
  <c r="F6200" i="3"/>
  <c r="F6199" i="3"/>
  <c r="F6198" i="3"/>
  <c r="F6197" i="3"/>
  <c r="F6196" i="3"/>
  <c r="F6195" i="3"/>
  <c r="F6194" i="3"/>
  <c r="F6193" i="3"/>
  <c r="F6192" i="3"/>
  <c r="F6191" i="3"/>
  <c r="F6190" i="3"/>
  <c r="F6189" i="3"/>
  <c r="F6188" i="3"/>
  <c r="F6187" i="3"/>
  <c r="F6186" i="3"/>
  <c r="F6185" i="3"/>
  <c r="F6184" i="3"/>
  <c r="F6183" i="3"/>
  <c r="F6182" i="3"/>
  <c r="F6181" i="3"/>
  <c r="F6180" i="3"/>
  <c r="F6179" i="3"/>
  <c r="F6178" i="3"/>
  <c r="F6177" i="3"/>
  <c r="F6176" i="3"/>
  <c r="F6175" i="3"/>
  <c r="F6174" i="3"/>
  <c r="F6173" i="3"/>
  <c r="F6172" i="3"/>
  <c r="F6171" i="3"/>
  <c r="F6170" i="3"/>
  <c r="F6169" i="3"/>
  <c r="F6168" i="3"/>
  <c r="F6167" i="3"/>
  <c r="F6166" i="3"/>
  <c r="F6165" i="3"/>
  <c r="F6164" i="3"/>
  <c r="F6163" i="3"/>
  <c r="F6162" i="3"/>
  <c r="F6161" i="3"/>
  <c r="F6160" i="3"/>
  <c r="F6159" i="3"/>
  <c r="F6158" i="3"/>
  <c r="F6157" i="3"/>
  <c r="F6156" i="3"/>
  <c r="F6155" i="3"/>
  <c r="F6154" i="3"/>
  <c r="F6153" i="3"/>
  <c r="F6152" i="3"/>
  <c r="F6151" i="3"/>
  <c r="F6150" i="3"/>
  <c r="F6149" i="3"/>
  <c r="F6148" i="3"/>
  <c r="F6147" i="3"/>
  <c r="F6146" i="3"/>
  <c r="F6145" i="3"/>
  <c r="F6144" i="3"/>
  <c r="F6143" i="3"/>
  <c r="F6142" i="3"/>
  <c r="F6141" i="3"/>
  <c r="F6140" i="3"/>
  <c r="F6139" i="3"/>
  <c r="F6138" i="3"/>
  <c r="F6137" i="3"/>
  <c r="F6136" i="3"/>
  <c r="F6135" i="3"/>
  <c r="F6134" i="3"/>
  <c r="F6133" i="3"/>
  <c r="F6132" i="3"/>
  <c r="F6131" i="3"/>
  <c r="F6130" i="3"/>
  <c r="F6129" i="3"/>
  <c r="F6128" i="3"/>
  <c r="F6127" i="3"/>
  <c r="F6126" i="3"/>
  <c r="F6125" i="3"/>
  <c r="F6124" i="3"/>
  <c r="F6123" i="3"/>
  <c r="F6122" i="3"/>
  <c r="F6121" i="3"/>
  <c r="F6120" i="3"/>
  <c r="F6119" i="3"/>
  <c r="F6118" i="3"/>
  <c r="F6117" i="3"/>
  <c r="F6116" i="3"/>
  <c r="F6115" i="3"/>
  <c r="F6114" i="3"/>
  <c r="F6113" i="3"/>
  <c r="F6112" i="3"/>
  <c r="F6111" i="3"/>
  <c r="F6110" i="3"/>
  <c r="F6109" i="3"/>
  <c r="F6108" i="3"/>
  <c r="F6107" i="3"/>
  <c r="F6106" i="3"/>
  <c r="F6105" i="3"/>
  <c r="F6104" i="3"/>
  <c r="F6103" i="3"/>
  <c r="F6102" i="3"/>
  <c r="F6101" i="3"/>
  <c r="F6100" i="3"/>
  <c r="F6099" i="3"/>
  <c r="F6098" i="3"/>
  <c r="F6097" i="3"/>
  <c r="F6096" i="3"/>
  <c r="F6095" i="3"/>
  <c r="F6094" i="3"/>
  <c r="F6093" i="3"/>
  <c r="F6092" i="3"/>
  <c r="F6091" i="3"/>
  <c r="F6090" i="3"/>
  <c r="F6089" i="3"/>
  <c r="F6088" i="3"/>
  <c r="F6087" i="3"/>
  <c r="F6086" i="3"/>
  <c r="F6085" i="3"/>
  <c r="F6084" i="3"/>
  <c r="F6083" i="3"/>
  <c r="F6082" i="3"/>
  <c r="F6081" i="3"/>
  <c r="F6080" i="3"/>
  <c r="F6079" i="3"/>
  <c r="F6078" i="3"/>
  <c r="F6077" i="3"/>
  <c r="F6076" i="3"/>
  <c r="F6075" i="3"/>
  <c r="F6074" i="3"/>
  <c r="F6073" i="3"/>
  <c r="F6072" i="3"/>
  <c r="F6071" i="3"/>
  <c r="F6070" i="3"/>
  <c r="F6069" i="3"/>
  <c r="F6068" i="3"/>
  <c r="F6067" i="3"/>
  <c r="F6066" i="3"/>
  <c r="F6065" i="3"/>
  <c r="F6064" i="3"/>
  <c r="F6063" i="3"/>
  <c r="F6062" i="3"/>
  <c r="F6061" i="3"/>
  <c r="F6060" i="3"/>
  <c r="F6059" i="3"/>
  <c r="F6058" i="3"/>
  <c r="F6057" i="3"/>
  <c r="F6056" i="3"/>
  <c r="F6055" i="3"/>
  <c r="F6054" i="3"/>
  <c r="F6053" i="3"/>
  <c r="F6052" i="3"/>
  <c r="F6051" i="3"/>
  <c r="F6050" i="3"/>
  <c r="F6049" i="3"/>
  <c r="F6048" i="3"/>
  <c r="F6047" i="3"/>
  <c r="F6046" i="3"/>
  <c r="F6045" i="3"/>
  <c r="F6044" i="3"/>
  <c r="F6043" i="3"/>
  <c r="F6042" i="3"/>
  <c r="F6041" i="3"/>
  <c r="F6040" i="3"/>
  <c r="F6039" i="3"/>
  <c r="F6038" i="3"/>
  <c r="F6037" i="3"/>
  <c r="F6036" i="3"/>
  <c r="F6035" i="3"/>
  <c r="F6034" i="3"/>
  <c r="F6033" i="3"/>
  <c r="F6032" i="3"/>
  <c r="F6031" i="3"/>
  <c r="F6030" i="3"/>
  <c r="F6029" i="3"/>
  <c r="F6028" i="3"/>
  <c r="F6027" i="3"/>
  <c r="F6026" i="3"/>
  <c r="F6025" i="3"/>
  <c r="F6024" i="3"/>
  <c r="F6023" i="3"/>
  <c r="F6022" i="3"/>
  <c r="F6021" i="3"/>
  <c r="F6020" i="3"/>
  <c r="F6019" i="3"/>
  <c r="F6018" i="3"/>
  <c r="F6017" i="3"/>
  <c r="F6016" i="3"/>
  <c r="F6015" i="3"/>
  <c r="F6014" i="3"/>
  <c r="F6013" i="3"/>
  <c r="F6012" i="3"/>
  <c r="F6011" i="3"/>
  <c r="F6010" i="3"/>
  <c r="F6009" i="3"/>
  <c r="F6008" i="3"/>
  <c r="F6007" i="3"/>
  <c r="F6006" i="3"/>
  <c r="F6005" i="3"/>
  <c r="F6004" i="3"/>
  <c r="F6003" i="3"/>
  <c r="F6002" i="3"/>
  <c r="F6001" i="3"/>
  <c r="F6000" i="3"/>
  <c r="F5999" i="3"/>
  <c r="F5998" i="3"/>
  <c r="F5997" i="3"/>
  <c r="F5996" i="3"/>
  <c r="F5995" i="3"/>
  <c r="F5994" i="3"/>
  <c r="F5993" i="3"/>
  <c r="F5992" i="3"/>
  <c r="F5991" i="3"/>
  <c r="F5990" i="3"/>
  <c r="F5989" i="3"/>
  <c r="F5988" i="3"/>
  <c r="F5987" i="3"/>
  <c r="F5986" i="3"/>
  <c r="F5985" i="3"/>
  <c r="F5984" i="3"/>
  <c r="F5983" i="3"/>
  <c r="F5982" i="3"/>
  <c r="F5981" i="3"/>
  <c r="F5980" i="3"/>
  <c r="F5979" i="3"/>
  <c r="F5978" i="3"/>
  <c r="F5977" i="3"/>
  <c r="F5976" i="3"/>
  <c r="F5975" i="3"/>
  <c r="F5974" i="3"/>
  <c r="F5973" i="3"/>
  <c r="F5972" i="3"/>
  <c r="F5971" i="3"/>
  <c r="F5970" i="3"/>
  <c r="F5969" i="3"/>
  <c r="F5968" i="3"/>
  <c r="F5967" i="3"/>
  <c r="F5966" i="3"/>
  <c r="F5965" i="3"/>
  <c r="F5964" i="3"/>
  <c r="F5963" i="3"/>
  <c r="F5962" i="3"/>
  <c r="F5961" i="3"/>
  <c r="F5960" i="3"/>
  <c r="F5959" i="3"/>
  <c r="F5958" i="3"/>
  <c r="F5957" i="3"/>
  <c r="F5956" i="3"/>
  <c r="F5955" i="3"/>
  <c r="F5954" i="3"/>
  <c r="F5953" i="3"/>
  <c r="F5952" i="3"/>
  <c r="F5951" i="3"/>
  <c r="F5950" i="3"/>
  <c r="F5949" i="3"/>
  <c r="F5948" i="3"/>
  <c r="F5947" i="3"/>
  <c r="F5946" i="3"/>
  <c r="F5945" i="3"/>
  <c r="F5944" i="3"/>
  <c r="F5943" i="3"/>
  <c r="F5942" i="3"/>
  <c r="F5941" i="3"/>
  <c r="F5940" i="3"/>
  <c r="F5939" i="3"/>
  <c r="F5938" i="3"/>
  <c r="F5937" i="3"/>
  <c r="F5936" i="3"/>
  <c r="F5935" i="3"/>
  <c r="F5934" i="3"/>
  <c r="F5933" i="3"/>
  <c r="F5932" i="3"/>
  <c r="F5931" i="3"/>
  <c r="F5930" i="3"/>
  <c r="F5929" i="3"/>
  <c r="F5928" i="3"/>
  <c r="F5927" i="3"/>
  <c r="F5926" i="3"/>
  <c r="F5925" i="3"/>
  <c r="F5924" i="3"/>
  <c r="F5923" i="3"/>
  <c r="F5922" i="3"/>
  <c r="F5921" i="3"/>
  <c r="F5920" i="3"/>
  <c r="F5919" i="3"/>
  <c r="F5918" i="3"/>
  <c r="F5917" i="3"/>
  <c r="F5916" i="3"/>
  <c r="F5915" i="3"/>
  <c r="F5914" i="3"/>
  <c r="F5913" i="3"/>
  <c r="F5912" i="3"/>
  <c r="F5911" i="3"/>
  <c r="F5910" i="3"/>
  <c r="F5909" i="3"/>
  <c r="F5908" i="3"/>
  <c r="F5907" i="3"/>
  <c r="F5906" i="3"/>
  <c r="F5905" i="3"/>
  <c r="F5904" i="3"/>
  <c r="F5903" i="3"/>
  <c r="F5902" i="3"/>
  <c r="F5901" i="3"/>
  <c r="F5900" i="3"/>
  <c r="F5899" i="3"/>
  <c r="F5898" i="3"/>
  <c r="F5897" i="3"/>
  <c r="F5896" i="3"/>
  <c r="F5895" i="3"/>
  <c r="F5894" i="3"/>
  <c r="F5893" i="3"/>
  <c r="F5892" i="3"/>
  <c r="F5891" i="3"/>
  <c r="F5890" i="3"/>
  <c r="F5889" i="3"/>
  <c r="F5888" i="3"/>
  <c r="F5887" i="3"/>
  <c r="F5886" i="3"/>
  <c r="F5885" i="3"/>
  <c r="F5884" i="3"/>
  <c r="F5883" i="3"/>
  <c r="F5882" i="3"/>
  <c r="F5881" i="3"/>
  <c r="F5880" i="3"/>
  <c r="F5879" i="3"/>
  <c r="F5878" i="3"/>
  <c r="F5877" i="3"/>
  <c r="F5876" i="3"/>
  <c r="F5875" i="3"/>
  <c r="F5874" i="3"/>
  <c r="F5873" i="3"/>
  <c r="F5872" i="3"/>
  <c r="F5871" i="3"/>
  <c r="F5870" i="3"/>
  <c r="F5869" i="3"/>
  <c r="F5868" i="3"/>
  <c r="F5867" i="3"/>
  <c r="F5866" i="3"/>
  <c r="F5865" i="3"/>
  <c r="F5864" i="3"/>
  <c r="F5863" i="3"/>
  <c r="F5862" i="3"/>
  <c r="F5861" i="3"/>
  <c r="F5860" i="3"/>
  <c r="F5859" i="3"/>
  <c r="F5858" i="3"/>
  <c r="F5857" i="3"/>
  <c r="F5856" i="3"/>
  <c r="F5855" i="3"/>
  <c r="F5854" i="3"/>
  <c r="F5853" i="3"/>
  <c r="F5852" i="3"/>
  <c r="F5851" i="3"/>
  <c r="F5850" i="3"/>
  <c r="F5849" i="3"/>
  <c r="F5848" i="3"/>
  <c r="F5847" i="3"/>
  <c r="F5846" i="3"/>
  <c r="F5845" i="3"/>
  <c r="F5844" i="3"/>
  <c r="F5843" i="3"/>
  <c r="F5842" i="3"/>
  <c r="F5841" i="3"/>
  <c r="F5840" i="3"/>
  <c r="F5839" i="3"/>
  <c r="F5838" i="3"/>
  <c r="F5837" i="3"/>
  <c r="F5836" i="3"/>
  <c r="F5835" i="3"/>
  <c r="F5834" i="3"/>
  <c r="F5833" i="3"/>
  <c r="F5832" i="3"/>
  <c r="F5831" i="3"/>
  <c r="F5830" i="3"/>
  <c r="F5829" i="3"/>
  <c r="F5828" i="3"/>
  <c r="F5827" i="3"/>
  <c r="F5826" i="3"/>
  <c r="F5825" i="3"/>
  <c r="F5824" i="3"/>
  <c r="F5823" i="3"/>
  <c r="F5822" i="3"/>
  <c r="F5821" i="3"/>
  <c r="F5820" i="3"/>
  <c r="F5819" i="3"/>
  <c r="F5818" i="3"/>
  <c r="F5817" i="3"/>
  <c r="F5816" i="3"/>
  <c r="F5815" i="3"/>
  <c r="F5814" i="3"/>
  <c r="F5813" i="3"/>
  <c r="F5812" i="3"/>
  <c r="F5811" i="3"/>
  <c r="F5810" i="3"/>
  <c r="F5809" i="3"/>
  <c r="F5808" i="3"/>
  <c r="F5807" i="3"/>
  <c r="F5806" i="3"/>
  <c r="F5805" i="3"/>
  <c r="F5804" i="3"/>
  <c r="F5803" i="3"/>
  <c r="F5802" i="3"/>
  <c r="F5801" i="3"/>
  <c r="F5800" i="3"/>
  <c r="F5799" i="3"/>
  <c r="F5798" i="3"/>
  <c r="F5797" i="3"/>
  <c r="F5796" i="3"/>
  <c r="F5795" i="3"/>
  <c r="F5794" i="3"/>
  <c r="F5793" i="3"/>
  <c r="F5792" i="3"/>
  <c r="F5791" i="3"/>
  <c r="F5790" i="3"/>
  <c r="F5789" i="3"/>
  <c r="F5788" i="3"/>
  <c r="F5787" i="3"/>
  <c r="F5786" i="3"/>
  <c r="F5785" i="3"/>
  <c r="F5784" i="3"/>
  <c r="F5783" i="3"/>
  <c r="F5782" i="3"/>
  <c r="F5781" i="3"/>
  <c r="F5780" i="3"/>
  <c r="F5779" i="3"/>
  <c r="F5778" i="3"/>
  <c r="F5777" i="3"/>
  <c r="F5776" i="3"/>
  <c r="F5775" i="3"/>
  <c r="F5774" i="3"/>
  <c r="F5773" i="3"/>
  <c r="F5772" i="3"/>
  <c r="F5771" i="3"/>
  <c r="F5770" i="3"/>
  <c r="F5769" i="3"/>
  <c r="F5768" i="3"/>
  <c r="F5767" i="3"/>
  <c r="F5766" i="3"/>
  <c r="F5765" i="3"/>
  <c r="F5764" i="3"/>
  <c r="F5763" i="3"/>
  <c r="F5762" i="3"/>
  <c r="F5761" i="3"/>
  <c r="F5760" i="3"/>
  <c r="F5759" i="3"/>
  <c r="F5758" i="3"/>
  <c r="F5757" i="3"/>
  <c r="F5756" i="3"/>
  <c r="F5755" i="3"/>
  <c r="F5754" i="3"/>
  <c r="F5753" i="3"/>
  <c r="F5752" i="3"/>
  <c r="F5751" i="3"/>
  <c r="F5750" i="3"/>
  <c r="F5749" i="3"/>
  <c r="F5748" i="3"/>
  <c r="F5747" i="3"/>
  <c r="F5746" i="3"/>
  <c r="F5745" i="3"/>
  <c r="F5744" i="3"/>
  <c r="F5743" i="3"/>
  <c r="F5742" i="3"/>
  <c r="F5741" i="3"/>
  <c r="F5740" i="3"/>
  <c r="F5739" i="3"/>
  <c r="F5738" i="3"/>
  <c r="F5737" i="3"/>
  <c r="F5736" i="3"/>
  <c r="F5735" i="3"/>
  <c r="F5734" i="3"/>
  <c r="F5733" i="3"/>
  <c r="F5732" i="3"/>
  <c r="F5731" i="3"/>
  <c r="F5730" i="3"/>
  <c r="F5729" i="3"/>
  <c r="F5728" i="3"/>
  <c r="F5727" i="3"/>
  <c r="F5726" i="3"/>
  <c r="F5725" i="3"/>
  <c r="F5724" i="3"/>
  <c r="F5723" i="3"/>
  <c r="F5722" i="3"/>
  <c r="F5721" i="3"/>
  <c r="F5720" i="3"/>
  <c r="F5719" i="3"/>
  <c r="F5718" i="3"/>
  <c r="F5717" i="3"/>
  <c r="F5716" i="3"/>
  <c r="F5715" i="3"/>
  <c r="F5714" i="3"/>
  <c r="F5713" i="3"/>
  <c r="F5712" i="3"/>
  <c r="F5711" i="3"/>
  <c r="F5710" i="3"/>
  <c r="F5709" i="3"/>
  <c r="F5708" i="3"/>
  <c r="F5707" i="3"/>
  <c r="F5706" i="3"/>
  <c r="F5705" i="3"/>
  <c r="F5704" i="3"/>
  <c r="F5703" i="3"/>
  <c r="F5702" i="3"/>
  <c r="F5701" i="3"/>
  <c r="F5700" i="3"/>
  <c r="F5699" i="3"/>
  <c r="F5698" i="3"/>
  <c r="F5697" i="3"/>
  <c r="F5696" i="3"/>
  <c r="F5695" i="3"/>
  <c r="F5694" i="3"/>
  <c r="F5693" i="3"/>
  <c r="F5692" i="3"/>
  <c r="F5691" i="3"/>
  <c r="F5690" i="3"/>
  <c r="F5689" i="3"/>
  <c r="F5688" i="3"/>
  <c r="F5687" i="3"/>
  <c r="F5686" i="3"/>
  <c r="F5685" i="3"/>
  <c r="F5684" i="3"/>
  <c r="F5683" i="3"/>
  <c r="F5682" i="3"/>
  <c r="F5681" i="3"/>
  <c r="F5680" i="3"/>
  <c r="F5679" i="3"/>
  <c r="F5678" i="3"/>
  <c r="F5677" i="3"/>
  <c r="F5676" i="3"/>
  <c r="F5675" i="3"/>
  <c r="F5674" i="3"/>
  <c r="F5673" i="3"/>
  <c r="F5672" i="3"/>
  <c r="F5671" i="3"/>
  <c r="F5670" i="3"/>
  <c r="F5669" i="3"/>
  <c r="F5668" i="3"/>
  <c r="F5667" i="3"/>
  <c r="F5666" i="3"/>
  <c r="F5665" i="3"/>
  <c r="F5664" i="3"/>
  <c r="F5663" i="3"/>
  <c r="F5662" i="3"/>
  <c r="F5661" i="3"/>
  <c r="F5660" i="3"/>
  <c r="F5659" i="3"/>
  <c r="F5658" i="3"/>
  <c r="F5657" i="3"/>
  <c r="F5656" i="3"/>
  <c r="F5655" i="3"/>
  <c r="F5654" i="3"/>
  <c r="F5653" i="3"/>
  <c r="F5652" i="3"/>
  <c r="F5651" i="3"/>
  <c r="F5650" i="3"/>
  <c r="F5649" i="3"/>
  <c r="F5648" i="3"/>
  <c r="F5647" i="3"/>
  <c r="F5646" i="3"/>
  <c r="F5645" i="3"/>
  <c r="F5644" i="3"/>
  <c r="F5643" i="3"/>
  <c r="F5642" i="3"/>
  <c r="F5641" i="3"/>
  <c r="F5640" i="3"/>
  <c r="F5639" i="3"/>
  <c r="F5638" i="3"/>
  <c r="F5637" i="3"/>
  <c r="F5636" i="3"/>
  <c r="F5635" i="3"/>
  <c r="F5634" i="3"/>
  <c r="F5633" i="3"/>
  <c r="F5632" i="3"/>
  <c r="F5631" i="3"/>
  <c r="F5630" i="3"/>
  <c r="F5629" i="3"/>
  <c r="F5628" i="3"/>
  <c r="F5627" i="3"/>
  <c r="F5626" i="3"/>
  <c r="F5625" i="3"/>
  <c r="F5624" i="3"/>
  <c r="F5623" i="3"/>
  <c r="F5622" i="3"/>
  <c r="F5621" i="3"/>
  <c r="F5620" i="3"/>
  <c r="F5619" i="3"/>
  <c r="F5618" i="3"/>
  <c r="F5617" i="3"/>
  <c r="F5616" i="3"/>
  <c r="F5615" i="3"/>
  <c r="F5614" i="3"/>
  <c r="F5613" i="3"/>
  <c r="F5612" i="3"/>
  <c r="F5611" i="3"/>
  <c r="F5610" i="3"/>
  <c r="F5609" i="3"/>
  <c r="F5608" i="3"/>
  <c r="F5607" i="3"/>
  <c r="F5606" i="3"/>
  <c r="F5605" i="3"/>
  <c r="F5604" i="3"/>
  <c r="F5603" i="3"/>
  <c r="F5602" i="3"/>
  <c r="F5601" i="3"/>
  <c r="F5600" i="3"/>
  <c r="F5599" i="3"/>
  <c r="F5598" i="3"/>
  <c r="F5597" i="3"/>
  <c r="F5596" i="3"/>
  <c r="F5595" i="3"/>
  <c r="F5594" i="3"/>
  <c r="F5593" i="3"/>
  <c r="F5592" i="3"/>
  <c r="F5591" i="3"/>
  <c r="F5590" i="3"/>
  <c r="F5589" i="3"/>
  <c r="F5588" i="3"/>
  <c r="F5587" i="3"/>
  <c r="F5586" i="3"/>
  <c r="F5585" i="3"/>
  <c r="F5584" i="3"/>
  <c r="F5583" i="3"/>
  <c r="F5582" i="3"/>
  <c r="F5581" i="3"/>
  <c r="F5580" i="3"/>
  <c r="F5579" i="3"/>
  <c r="F5578" i="3"/>
  <c r="F5577" i="3"/>
  <c r="F5576" i="3"/>
  <c r="F5575" i="3"/>
  <c r="F5574" i="3"/>
  <c r="F5573" i="3"/>
  <c r="F5572" i="3"/>
  <c r="F5571" i="3"/>
  <c r="F5570" i="3"/>
  <c r="F5569" i="3"/>
  <c r="F5568" i="3"/>
  <c r="F5567" i="3"/>
  <c r="F5566" i="3"/>
  <c r="F5565" i="3"/>
  <c r="F5564" i="3"/>
  <c r="F5563" i="3"/>
  <c r="F5562" i="3"/>
  <c r="F5561" i="3"/>
  <c r="F5560" i="3"/>
  <c r="F5559" i="3"/>
  <c r="F5558" i="3"/>
  <c r="F5557" i="3"/>
  <c r="F5556" i="3"/>
  <c r="F5555" i="3"/>
  <c r="F5554" i="3"/>
  <c r="F5553" i="3"/>
  <c r="F5552" i="3"/>
  <c r="F5551" i="3"/>
  <c r="F5550" i="3"/>
  <c r="F5549" i="3"/>
  <c r="F5548" i="3"/>
  <c r="F5547" i="3"/>
  <c r="F5546" i="3"/>
  <c r="F5545" i="3"/>
  <c r="F5544" i="3"/>
  <c r="F5543" i="3"/>
  <c r="F5542" i="3"/>
  <c r="F5541" i="3"/>
  <c r="F5540" i="3"/>
  <c r="F5539" i="3"/>
  <c r="F5538" i="3"/>
  <c r="F5537" i="3"/>
  <c r="F5536" i="3"/>
  <c r="F5535" i="3"/>
  <c r="F5534" i="3"/>
  <c r="F5533" i="3"/>
  <c r="F5532" i="3"/>
  <c r="F5531" i="3"/>
  <c r="F5530" i="3"/>
  <c r="F5529" i="3"/>
  <c r="F5528" i="3"/>
  <c r="F5527" i="3"/>
  <c r="F5526" i="3"/>
  <c r="F5525" i="3"/>
  <c r="F5524" i="3"/>
  <c r="F5523" i="3"/>
  <c r="F5522" i="3"/>
  <c r="F5521" i="3"/>
  <c r="F5520" i="3"/>
  <c r="F5519" i="3"/>
  <c r="F5518" i="3"/>
  <c r="F5517" i="3"/>
  <c r="F5516" i="3"/>
  <c r="F5515" i="3"/>
  <c r="F5514" i="3"/>
  <c r="F5513" i="3"/>
  <c r="F5512" i="3"/>
  <c r="F5511" i="3"/>
  <c r="F5510" i="3"/>
  <c r="F5509" i="3"/>
  <c r="F5508" i="3"/>
  <c r="F5507" i="3"/>
  <c r="F5506" i="3"/>
  <c r="F5505" i="3"/>
  <c r="F5504" i="3"/>
  <c r="F5503" i="3"/>
  <c r="F5502" i="3"/>
  <c r="F5501" i="3"/>
  <c r="F5500" i="3"/>
  <c r="F5499" i="3"/>
  <c r="F5498" i="3"/>
  <c r="F5497" i="3"/>
  <c r="F5496" i="3"/>
  <c r="F5495" i="3"/>
  <c r="F5494" i="3"/>
  <c r="F5493" i="3"/>
  <c r="F5492" i="3"/>
  <c r="F5491" i="3"/>
  <c r="F5490" i="3"/>
  <c r="F5489" i="3"/>
  <c r="F5488" i="3"/>
  <c r="F5487" i="3"/>
  <c r="F5486" i="3"/>
  <c r="F5485" i="3"/>
  <c r="F5484" i="3"/>
  <c r="F5483" i="3"/>
  <c r="F5482" i="3"/>
  <c r="F5481" i="3"/>
  <c r="F5480" i="3"/>
  <c r="F5479" i="3"/>
  <c r="F5478" i="3"/>
  <c r="F5477" i="3"/>
  <c r="F5476" i="3"/>
  <c r="F5475" i="3"/>
  <c r="F5474" i="3"/>
  <c r="F5473" i="3"/>
  <c r="F5472" i="3"/>
  <c r="F5471" i="3"/>
  <c r="F5470" i="3"/>
  <c r="F5469" i="3"/>
  <c r="F5468" i="3"/>
  <c r="F5467" i="3"/>
  <c r="F5466" i="3"/>
  <c r="F5465" i="3"/>
  <c r="F5464" i="3"/>
  <c r="F5463" i="3"/>
  <c r="F5462" i="3"/>
  <c r="F5461" i="3"/>
  <c r="F5460" i="3"/>
  <c r="F5459" i="3"/>
  <c r="F5458" i="3"/>
  <c r="F5457" i="3"/>
  <c r="F5456" i="3"/>
  <c r="F5455" i="3"/>
  <c r="F5454" i="3"/>
  <c r="F5453" i="3"/>
  <c r="F5452" i="3"/>
  <c r="F5451" i="3"/>
  <c r="F5450" i="3"/>
  <c r="F5449" i="3"/>
  <c r="F5448" i="3"/>
  <c r="F5447" i="3"/>
  <c r="F5446" i="3"/>
  <c r="F5445" i="3"/>
  <c r="F5444" i="3"/>
  <c r="F5443" i="3"/>
  <c r="F5442" i="3"/>
  <c r="F5441" i="3"/>
  <c r="F5440" i="3"/>
  <c r="F5439" i="3"/>
  <c r="F5438" i="3"/>
  <c r="F5437" i="3"/>
  <c r="F5436" i="3"/>
  <c r="F5435" i="3"/>
  <c r="F5434" i="3"/>
  <c r="F5433" i="3"/>
  <c r="F5432" i="3"/>
  <c r="F5431" i="3"/>
  <c r="F5430" i="3"/>
  <c r="F5429" i="3"/>
  <c r="F5428" i="3"/>
  <c r="F5427" i="3"/>
  <c r="F5426" i="3"/>
  <c r="F5425" i="3"/>
  <c r="F5424" i="3"/>
  <c r="F5423" i="3"/>
  <c r="F5422" i="3"/>
  <c r="F5421" i="3"/>
  <c r="F5420" i="3"/>
  <c r="F5419" i="3"/>
  <c r="F5418" i="3"/>
  <c r="F5417" i="3"/>
  <c r="F5416" i="3"/>
  <c r="F5415" i="3"/>
  <c r="F5414" i="3"/>
  <c r="F5413" i="3"/>
  <c r="F5412" i="3"/>
  <c r="F5411" i="3"/>
  <c r="F5410" i="3"/>
  <c r="F5409" i="3"/>
  <c r="F5408" i="3"/>
  <c r="F5407" i="3"/>
  <c r="F5406" i="3"/>
  <c r="F5405" i="3"/>
  <c r="F5404" i="3"/>
  <c r="F5403" i="3"/>
  <c r="F5402" i="3"/>
  <c r="F5401" i="3"/>
  <c r="F5400" i="3"/>
  <c r="F5399" i="3"/>
  <c r="F5398" i="3"/>
  <c r="F5397" i="3"/>
  <c r="F5396" i="3"/>
  <c r="F5395" i="3"/>
  <c r="F5394" i="3"/>
  <c r="F5393" i="3"/>
  <c r="F5392" i="3"/>
  <c r="F5391" i="3"/>
  <c r="F5390" i="3"/>
  <c r="F5389" i="3"/>
  <c r="F5388" i="3"/>
  <c r="F5387" i="3"/>
  <c r="F5386" i="3"/>
  <c r="F5385" i="3"/>
  <c r="F5384" i="3"/>
  <c r="F5383" i="3"/>
  <c r="F5382" i="3"/>
  <c r="F5381" i="3"/>
  <c r="F5380" i="3"/>
  <c r="F5379" i="3"/>
  <c r="F5378" i="3"/>
  <c r="F5377" i="3"/>
  <c r="F5376" i="3"/>
  <c r="F5375" i="3"/>
  <c r="F5374" i="3"/>
  <c r="F5373" i="3"/>
  <c r="F5372" i="3"/>
  <c r="F5371" i="3"/>
  <c r="F5370" i="3"/>
  <c r="F5369" i="3"/>
  <c r="F5368" i="3"/>
  <c r="F5367" i="3"/>
  <c r="F5366" i="3"/>
  <c r="F5365" i="3"/>
  <c r="F5364" i="3"/>
  <c r="F5363" i="3"/>
  <c r="F5362" i="3"/>
  <c r="F5361" i="3"/>
  <c r="F5360" i="3"/>
  <c r="F5359" i="3"/>
  <c r="F5358" i="3"/>
  <c r="F5357" i="3"/>
  <c r="F5356" i="3"/>
  <c r="F5355" i="3"/>
  <c r="F5354" i="3"/>
  <c r="F5353" i="3"/>
  <c r="F5352" i="3"/>
  <c r="F5351" i="3"/>
  <c r="F5350" i="3"/>
  <c r="F5349" i="3"/>
  <c r="F5348" i="3"/>
  <c r="F5347" i="3"/>
  <c r="F5346" i="3"/>
  <c r="F5345" i="3"/>
  <c r="F5344" i="3"/>
  <c r="F5343" i="3"/>
  <c r="F5342" i="3"/>
  <c r="F5341" i="3"/>
  <c r="F5340" i="3"/>
  <c r="F5339" i="3"/>
  <c r="F5338" i="3"/>
  <c r="F5337" i="3"/>
  <c r="F5336" i="3"/>
  <c r="F5335" i="3"/>
  <c r="F5334" i="3"/>
  <c r="F5333" i="3"/>
  <c r="F5332" i="3"/>
  <c r="F5331" i="3"/>
  <c r="F5330" i="3"/>
  <c r="F5329" i="3"/>
  <c r="F5328" i="3"/>
  <c r="F5327" i="3"/>
  <c r="F5326" i="3"/>
  <c r="F5325" i="3"/>
  <c r="F5324" i="3"/>
  <c r="F5323" i="3"/>
  <c r="F5322" i="3"/>
  <c r="F5321" i="3"/>
  <c r="F5320" i="3"/>
  <c r="F5319" i="3"/>
  <c r="F5318" i="3"/>
  <c r="F5317" i="3"/>
  <c r="F5316" i="3"/>
  <c r="F5315" i="3"/>
  <c r="F5314" i="3"/>
  <c r="F5313" i="3"/>
  <c r="F5312" i="3"/>
  <c r="F5311" i="3"/>
  <c r="F5310" i="3"/>
  <c r="F5309" i="3"/>
  <c r="F5308" i="3"/>
  <c r="F5307" i="3"/>
  <c r="F5306" i="3"/>
  <c r="F5305" i="3"/>
  <c r="F5304" i="3"/>
  <c r="F5303" i="3"/>
  <c r="F5302" i="3"/>
  <c r="F5301" i="3"/>
  <c r="F5300" i="3"/>
  <c r="F5299" i="3"/>
  <c r="F5298" i="3"/>
  <c r="F5297" i="3"/>
  <c r="F5296" i="3"/>
  <c r="F5295" i="3"/>
  <c r="F5294" i="3"/>
  <c r="F5293" i="3"/>
  <c r="F5292" i="3"/>
  <c r="F5291" i="3"/>
  <c r="F5290" i="3"/>
  <c r="F5289" i="3"/>
  <c r="F5288" i="3"/>
  <c r="F5287" i="3"/>
  <c r="F5286" i="3"/>
  <c r="F5285" i="3"/>
  <c r="F5284" i="3"/>
  <c r="F5283" i="3"/>
  <c r="F5282" i="3"/>
  <c r="F5281" i="3"/>
  <c r="F5280" i="3"/>
  <c r="F5279" i="3"/>
  <c r="F5278" i="3"/>
  <c r="F5277" i="3"/>
  <c r="F5276" i="3"/>
  <c r="F5275" i="3"/>
  <c r="F5274" i="3"/>
  <c r="F5273" i="3"/>
  <c r="F5272" i="3"/>
  <c r="F5271" i="3"/>
  <c r="F5270" i="3"/>
  <c r="F5269" i="3"/>
  <c r="F5268" i="3"/>
  <c r="F5267" i="3"/>
  <c r="F5266" i="3"/>
  <c r="F5265" i="3"/>
  <c r="F5264" i="3"/>
  <c r="F5263" i="3"/>
  <c r="F5262" i="3"/>
  <c r="F5261" i="3"/>
  <c r="F5260" i="3"/>
  <c r="F5259" i="3"/>
  <c r="F5258" i="3"/>
  <c r="F5257" i="3"/>
  <c r="F5256" i="3"/>
  <c r="F5255" i="3"/>
  <c r="F5254" i="3"/>
  <c r="F5253" i="3"/>
  <c r="F5252" i="3"/>
  <c r="F5251" i="3"/>
  <c r="F5250" i="3"/>
  <c r="F5249" i="3"/>
  <c r="F5248" i="3"/>
  <c r="F5247" i="3"/>
  <c r="F5246" i="3"/>
  <c r="F5245" i="3"/>
  <c r="F5244" i="3"/>
  <c r="F5243" i="3"/>
  <c r="F5242" i="3"/>
  <c r="F5241" i="3"/>
  <c r="F5240" i="3"/>
  <c r="F5239" i="3"/>
  <c r="F5238" i="3"/>
  <c r="F5237" i="3"/>
  <c r="F5236" i="3"/>
  <c r="F5235" i="3"/>
  <c r="F5234" i="3"/>
  <c r="F5233" i="3"/>
  <c r="F5232" i="3"/>
  <c r="F5231" i="3"/>
  <c r="F5230" i="3"/>
  <c r="F5229" i="3"/>
  <c r="F5228" i="3"/>
  <c r="F5227" i="3"/>
  <c r="F5226" i="3"/>
  <c r="F5225" i="3"/>
  <c r="F5224" i="3"/>
  <c r="F5223" i="3"/>
  <c r="F5222" i="3"/>
  <c r="F5221" i="3"/>
  <c r="F5220" i="3"/>
  <c r="F5219" i="3"/>
  <c r="F5218" i="3"/>
  <c r="F5217" i="3"/>
  <c r="F5216" i="3"/>
  <c r="F5215" i="3"/>
  <c r="F5214" i="3"/>
  <c r="F5213" i="3"/>
  <c r="F5212" i="3"/>
  <c r="F5211" i="3"/>
  <c r="F5210" i="3"/>
  <c r="F5209" i="3"/>
  <c r="F5208" i="3"/>
  <c r="F5207" i="3"/>
  <c r="F5206" i="3"/>
  <c r="F5205" i="3"/>
  <c r="F5204" i="3"/>
  <c r="F5203" i="3"/>
  <c r="F5202" i="3"/>
  <c r="F5201" i="3"/>
  <c r="F5200" i="3"/>
  <c r="F5199" i="3"/>
  <c r="F5198" i="3"/>
  <c r="F5197" i="3"/>
  <c r="F5196" i="3"/>
  <c r="F5195" i="3"/>
  <c r="F5194" i="3"/>
  <c r="F5193" i="3"/>
  <c r="F5192" i="3"/>
  <c r="F5191" i="3"/>
  <c r="F5190" i="3"/>
  <c r="F5189" i="3"/>
  <c r="F5188" i="3"/>
  <c r="F5187" i="3"/>
  <c r="F5186" i="3"/>
  <c r="F5185" i="3"/>
  <c r="F5184" i="3"/>
  <c r="F5183" i="3"/>
  <c r="F5182" i="3"/>
  <c r="F5181" i="3"/>
  <c r="F5180" i="3"/>
  <c r="F5179" i="3"/>
  <c r="F5178" i="3"/>
  <c r="F5177" i="3"/>
  <c r="F5176" i="3"/>
  <c r="F5175" i="3"/>
  <c r="F5174" i="3"/>
  <c r="F5173" i="3"/>
  <c r="F5172" i="3"/>
  <c r="F5171" i="3"/>
  <c r="F5170" i="3"/>
  <c r="F5169" i="3"/>
  <c r="F5168" i="3"/>
  <c r="F5167" i="3"/>
  <c r="F5166" i="3"/>
  <c r="F5165" i="3"/>
  <c r="F5164" i="3"/>
  <c r="F5163" i="3"/>
  <c r="F5162" i="3"/>
  <c r="F5161" i="3"/>
  <c r="F5160" i="3"/>
  <c r="F5159" i="3"/>
  <c r="F5158" i="3"/>
  <c r="F5157" i="3"/>
  <c r="F5156" i="3"/>
  <c r="F5155" i="3"/>
  <c r="F5154" i="3"/>
  <c r="F5153" i="3"/>
  <c r="F5152" i="3"/>
  <c r="F5151" i="3"/>
  <c r="F5150" i="3"/>
  <c r="F5149" i="3"/>
  <c r="F5148" i="3"/>
  <c r="F5147" i="3"/>
  <c r="F5146" i="3"/>
  <c r="F5145" i="3"/>
  <c r="F5144" i="3"/>
  <c r="F5143" i="3"/>
  <c r="F5142" i="3"/>
  <c r="F5141" i="3"/>
  <c r="F5140" i="3"/>
  <c r="F5139" i="3"/>
  <c r="F5138" i="3"/>
  <c r="F5137" i="3"/>
  <c r="F5136" i="3"/>
  <c r="F5135" i="3"/>
  <c r="F5134" i="3"/>
  <c r="F5133" i="3"/>
  <c r="F5132" i="3"/>
  <c r="F5131" i="3"/>
  <c r="F5130" i="3"/>
  <c r="F5129" i="3"/>
  <c r="F5128" i="3"/>
  <c r="F5127" i="3"/>
  <c r="F5126" i="3"/>
  <c r="F5125" i="3"/>
  <c r="F5124" i="3"/>
  <c r="F5123" i="3"/>
  <c r="F5122" i="3"/>
  <c r="F5121" i="3"/>
  <c r="F5120" i="3"/>
  <c r="F5119" i="3"/>
  <c r="F5118" i="3"/>
  <c r="F5117" i="3"/>
  <c r="F5116" i="3"/>
  <c r="F5115" i="3"/>
  <c r="F5114" i="3"/>
  <c r="F5113" i="3"/>
  <c r="F5112" i="3"/>
  <c r="F5111" i="3"/>
  <c r="F5110" i="3"/>
  <c r="F5109" i="3"/>
  <c r="F5108" i="3"/>
  <c r="F5107" i="3"/>
  <c r="F5106" i="3"/>
  <c r="F5105" i="3"/>
  <c r="F5104" i="3"/>
  <c r="F5103" i="3"/>
  <c r="F5102" i="3"/>
  <c r="F5101" i="3"/>
  <c r="F5100" i="3"/>
  <c r="F5099" i="3"/>
  <c r="F5098" i="3"/>
  <c r="F5097" i="3"/>
  <c r="F5096" i="3"/>
  <c r="F5095" i="3"/>
  <c r="F5094" i="3"/>
  <c r="F5093" i="3"/>
  <c r="F5092" i="3"/>
  <c r="F5091" i="3"/>
  <c r="F5090" i="3"/>
  <c r="F5089" i="3"/>
  <c r="F5088" i="3"/>
  <c r="F5087" i="3"/>
  <c r="F5086" i="3"/>
  <c r="F5085" i="3"/>
  <c r="F5084" i="3"/>
  <c r="F5083" i="3"/>
  <c r="F5082" i="3"/>
  <c r="F5081" i="3"/>
  <c r="F5080" i="3"/>
  <c r="F5079" i="3"/>
  <c r="F5078" i="3"/>
  <c r="F5077" i="3"/>
  <c r="F5076" i="3"/>
  <c r="F5075" i="3"/>
  <c r="F5074" i="3"/>
  <c r="F5073" i="3"/>
  <c r="F5072" i="3"/>
  <c r="F5071" i="3"/>
  <c r="F5070" i="3"/>
  <c r="F5069" i="3"/>
  <c r="F5068" i="3"/>
  <c r="F5067" i="3"/>
  <c r="F5066" i="3"/>
  <c r="F5065" i="3"/>
  <c r="F5064" i="3"/>
  <c r="F5063" i="3"/>
  <c r="F5062" i="3"/>
  <c r="F5061" i="3"/>
  <c r="F5060" i="3"/>
  <c r="F5059" i="3"/>
  <c r="F5058" i="3"/>
  <c r="F5057" i="3"/>
  <c r="F5056" i="3"/>
  <c r="F5055" i="3"/>
  <c r="F5054" i="3"/>
  <c r="F5053" i="3"/>
  <c r="F5052" i="3"/>
  <c r="F5051" i="3"/>
  <c r="F5050" i="3"/>
  <c r="F5049" i="3"/>
  <c r="F5048" i="3"/>
  <c r="F5047" i="3"/>
  <c r="F5046" i="3"/>
  <c r="F5045" i="3"/>
  <c r="F5044" i="3"/>
  <c r="F5043" i="3"/>
  <c r="F5042" i="3"/>
  <c r="F5041" i="3"/>
  <c r="F5040" i="3"/>
  <c r="F5039" i="3"/>
  <c r="F5038" i="3"/>
  <c r="F5037" i="3"/>
  <c r="F5036" i="3"/>
  <c r="F5035" i="3"/>
  <c r="F5034" i="3"/>
  <c r="F5033" i="3"/>
  <c r="F5032" i="3"/>
  <c r="F5031" i="3"/>
  <c r="F5030" i="3"/>
  <c r="F5029" i="3"/>
  <c r="F5028" i="3"/>
  <c r="F5027" i="3"/>
  <c r="F5026" i="3"/>
  <c r="F5025" i="3"/>
  <c r="F5024" i="3"/>
  <c r="F5023" i="3"/>
  <c r="F5022" i="3"/>
  <c r="F5021" i="3"/>
  <c r="F5020" i="3"/>
  <c r="F5019" i="3"/>
  <c r="F5018" i="3"/>
  <c r="F5017" i="3"/>
  <c r="F5016" i="3"/>
  <c r="F5015" i="3"/>
  <c r="F5014" i="3"/>
  <c r="F5013" i="3"/>
  <c r="F5012" i="3"/>
  <c r="F5011" i="3"/>
  <c r="F5010" i="3"/>
  <c r="F5009" i="3"/>
  <c r="F5008" i="3"/>
  <c r="F5007" i="3"/>
  <c r="F5006" i="3"/>
  <c r="F5005" i="3"/>
  <c r="F5004" i="3"/>
  <c r="F5003" i="3"/>
  <c r="F5002" i="3"/>
  <c r="F5001" i="3"/>
  <c r="F5000" i="3"/>
  <c r="F4999" i="3"/>
  <c r="F4998" i="3"/>
  <c r="F4997" i="3"/>
  <c r="F4996" i="3"/>
  <c r="F4995" i="3"/>
  <c r="F4994" i="3"/>
  <c r="F4993" i="3"/>
  <c r="F4992" i="3"/>
  <c r="F4991" i="3"/>
  <c r="F4990" i="3"/>
  <c r="F4989" i="3"/>
  <c r="F4988" i="3"/>
  <c r="F4987" i="3"/>
  <c r="F4986" i="3"/>
  <c r="F4985" i="3"/>
  <c r="F4984" i="3"/>
  <c r="F4983" i="3"/>
  <c r="F4982" i="3"/>
  <c r="F4981" i="3"/>
  <c r="F4980" i="3"/>
  <c r="F4979" i="3"/>
  <c r="F4978" i="3"/>
  <c r="F4977" i="3"/>
  <c r="F4976" i="3"/>
  <c r="F4975" i="3"/>
  <c r="F4974" i="3"/>
  <c r="F4973" i="3"/>
  <c r="F4972" i="3"/>
  <c r="F4971" i="3"/>
  <c r="F4970" i="3"/>
  <c r="F4969" i="3"/>
  <c r="F4968" i="3"/>
  <c r="F4967" i="3"/>
  <c r="F4966" i="3"/>
  <c r="F4965" i="3"/>
  <c r="F4964" i="3"/>
  <c r="F4963" i="3"/>
  <c r="F4962" i="3"/>
  <c r="F4961" i="3"/>
  <c r="F4960" i="3"/>
  <c r="F4959" i="3"/>
  <c r="F4958" i="3"/>
  <c r="F4957" i="3"/>
  <c r="F4956" i="3"/>
  <c r="F4955" i="3"/>
  <c r="F4954" i="3"/>
  <c r="F4953" i="3"/>
  <c r="F4952" i="3"/>
  <c r="F4951" i="3"/>
  <c r="F4950" i="3"/>
  <c r="F4949" i="3"/>
  <c r="F4948" i="3"/>
  <c r="F4947" i="3"/>
  <c r="F4946" i="3"/>
  <c r="F4945" i="3"/>
  <c r="F4944" i="3"/>
  <c r="F4943" i="3"/>
  <c r="F4942" i="3"/>
  <c r="F4941" i="3"/>
  <c r="F4940" i="3"/>
  <c r="F4939" i="3"/>
  <c r="F4938" i="3"/>
  <c r="F4937" i="3"/>
  <c r="F4936" i="3"/>
  <c r="F4935" i="3"/>
  <c r="F4934" i="3"/>
  <c r="F4933" i="3"/>
  <c r="F4932" i="3"/>
  <c r="F4931" i="3"/>
  <c r="F4930" i="3"/>
  <c r="F4929" i="3"/>
  <c r="F4928" i="3"/>
  <c r="F4927" i="3"/>
  <c r="F4926" i="3"/>
  <c r="F4925" i="3"/>
  <c r="F4924" i="3"/>
  <c r="F4923" i="3"/>
  <c r="F4922" i="3"/>
  <c r="F4921" i="3"/>
  <c r="F4920" i="3"/>
  <c r="F4919" i="3"/>
  <c r="F4918" i="3"/>
  <c r="F4917" i="3"/>
  <c r="F4916" i="3"/>
  <c r="F4915" i="3"/>
  <c r="F4914" i="3"/>
  <c r="F4913" i="3"/>
  <c r="F4912" i="3"/>
  <c r="F4911" i="3"/>
  <c r="F4910" i="3"/>
  <c r="F4909" i="3"/>
  <c r="F4908" i="3"/>
  <c r="F4907" i="3"/>
  <c r="F4906" i="3"/>
  <c r="F4905" i="3"/>
  <c r="F4904" i="3"/>
  <c r="F4903" i="3"/>
  <c r="F4902" i="3"/>
  <c r="F4901" i="3"/>
  <c r="F4900" i="3"/>
  <c r="F4899" i="3"/>
  <c r="F4898" i="3"/>
  <c r="F4897" i="3"/>
  <c r="F4896" i="3"/>
  <c r="F4895" i="3"/>
  <c r="F4894" i="3"/>
  <c r="F4893" i="3"/>
  <c r="F4892" i="3"/>
  <c r="F4891" i="3"/>
  <c r="F4890" i="3"/>
  <c r="F4889" i="3"/>
  <c r="F4888" i="3"/>
  <c r="F4887" i="3"/>
  <c r="F4886" i="3"/>
  <c r="F4885" i="3"/>
  <c r="F4884" i="3"/>
  <c r="F4883" i="3"/>
  <c r="F4882" i="3"/>
  <c r="F4881" i="3"/>
  <c r="F4880" i="3"/>
  <c r="F4879" i="3"/>
  <c r="F4878" i="3"/>
  <c r="F4877" i="3"/>
  <c r="F4876" i="3"/>
  <c r="F4875" i="3"/>
  <c r="F4874" i="3"/>
  <c r="F4873" i="3"/>
  <c r="F4872" i="3"/>
  <c r="F4871" i="3"/>
  <c r="F4870" i="3"/>
  <c r="F4869" i="3"/>
  <c r="F4868" i="3"/>
  <c r="F4867" i="3"/>
  <c r="F4866" i="3"/>
  <c r="F4865" i="3"/>
  <c r="F4864" i="3"/>
  <c r="F4863" i="3"/>
  <c r="F4862" i="3"/>
  <c r="F4861" i="3"/>
  <c r="F4860" i="3"/>
  <c r="F4859" i="3"/>
  <c r="F4858" i="3"/>
  <c r="F4857" i="3"/>
  <c r="F4856" i="3"/>
  <c r="F4855" i="3"/>
  <c r="F4854" i="3"/>
  <c r="F4853" i="3"/>
  <c r="F4852" i="3"/>
  <c r="F4851" i="3"/>
  <c r="F4850" i="3"/>
  <c r="F4849" i="3"/>
  <c r="F4848" i="3"/>
  <c r="F4847" i="3"/>
  <c r="F4846" i="3"/>
  <c r="F4845" i="3"/>
  <c r="F4844" i="3"/>
  <c r="F4843" i="3"/>
  <c r="F4842" i="3"/>
  <c r="F4841" i="3"/>
  <c r="F4840" i="3"/>
  <c r="F4839" i="3"/>
  <c r="F4838" i="3"/>
  <c r="F4837" i="3"/>
  <c r="F4836" i="3"/>
  <c r="F4835" i="3"/>
  <c r="F4834" i="3"/>
  <c r="F4833" i="3"/>
  <c r="F4832" i="3"/>
  <c r="F4831" i="3"/>
  <c r="F4830" i="3"/>
  <c r="F4829" i="3"/>
  <c r="F4828" i="3"/>
  <c r="F4827" i="3"/>
  <c r="F4826" i="3"/>
  <c r="F4825" i="3"/>
  <c r="F4824" i="3"/>
  <c r="F4823" i="3"/>
  <c r="F4822" i="3"/>
  <c r="F4821" i="3"/>
  <c r="F4820" i="3"/>
  <c r="F4819" i="3"/>
  <c r="F4818" i="3"/>
  <c r="F4817" i="3"/>
  <c r="F4816" i="3"/>
  <c r="F4815" i="3"/>
  <c r="F4814" i="3"/>
  <c r="F4813" i="3"/>
  <c r="F4812" i="3"/>
  <c r="F4811" i="3"/>
  <c r="F4810" i="3"/>
  <c r="F4809" i="3"/>
  <c r="F4808" i="3"/>
  <c r="F4807" i="3"/>
  <c r="F4806" i="3"/>
  <c r="F4805" i="3"/>
  <c r="F4804" i="3"/>
  <c r="F4803" i="3"/>
  <c r="F4802" i="3"/>
  <c r="F4801" i="3"/>
  <c r="F4800" i="3"/>
  <c r="F4799" i="3"/>
  <c r="F4798" i="3"/>
  <c r="F4797" i="3"/>
  <c r="F4796" i="3"/>
  <c r="F4795" i="3"/>
  <c r="F4794" i="3"/>
  <c r="F4793" i="3"/>
  <c r="F4792" i="3"/>
  <c r="F4791" i="3"/>
  <c r="F4790" i="3"/>
  <c r="F4789" i="3"/>
  <c r="F4788" i="3"/>
  <c r="F4787" i="3"/>
  <c r="F4786" i="3"/>
  <c r="F4785" i="3"/>
  <c r="F4784" i="3"/>
  <c r="F4783" i="3"/>
  <c r="F4782" i="3"/>
  <c r="F4781" i="3"/>
  <c r="F4780" i="3"/>
  <c r="F4779" i="3"/>
  <c r="F4778" i="3"/>
  <c r="F4777" i="3"/>
  <c r="F4776" i="3"/>
  <c r="F4775" i="3"/>
  <c r="F4774" i="3"/>
  <c r="F4773" i="3"/>
  <c r="F4772" i="3"/>
  <c r="F4771" i="3"/>
  <c r="F4770" i="3"/>
  <c r="F4769" i="3"/>
  <c r="F4768" i="3"/>
  <c r="F4767" i="3"/>
  <c r="F4766" i="3"/>
  <c r="F4765" i="3"/>
  <c r="F4764" i="3"/>
  <c r="F4763" i="3"/>
  <c r="F4762" i="3"/>
  <c r="F4761" i="3"/>
  <c r="F4760" i="3"/>
  <c r="F4759" i="3"/>
  <c r="F4758" i="3"/>
  <c r="F4757" i="3"/>
  <c r="F4756" i="3"/>
  <c r="F4755" i="3"/>
  <c r="F4754" i="3"/>
  <c r="F4753" i="3"/>
  <c r="F4752" i="3"/>
  <c r="F4751" i="3"/>
  <c r="F4750" i="3"/>
  <c r="F4749" i="3"/>
  <c r="F4748" i="3"/>
  <c r="F4747" i="3"/>
  <c r="F4746" i="3"/>
  <c r="F4745" i="3"/>
  <c r="F4744" i="3"/>
  <c r="F4743" i="3"/>
  <c r="F4742" i="3"/>
  <c r="F4741" i="3"/>
  <c r="F4740" i="3"/>
  <c r="F4739" i="3"/>
  <c r="F4738" i="3"/>
  <c r="F4737" i="3"/>
  <c r="F4736" i="3"/>
  <c r="F4735" i="3"/>
  <c r="F4734" i="3"/>
  <c r="F4733" i="3"/>
  <c r="F4732" i="3"/>
  <c r="F4731" i="3"/>
  <c r="F4730" i="3"/>
  <c r="F4729" i="3"/>
  <c r="F4728" i="3"/>
  <c r="F4727" i="3"/>
  <c r="F4726" i="3"/>
  <c r="F4725" i="3"/>
  <c r="F4724" i="3"/>
  <c r="F4723" i="3"/>
  <c r="F4722" i="3"/>
  <c r="F4721" i="3"/>
  <c r="F4720" i="3"/>
  <c r="F4719" i="3"/>
  <c r="F4718" i="3"/>
  <c r="F4717" i="3"/>
  <c r="F4716" i="3"/>
  <c r="F4715" i="3"/>
  <c r="F4714" i="3"/>
  <c r="F4713" i="3"/>
  <c r="F4712" i="3"/>
  <c r="F4711" i="3"/>
  <c r="F4710" i="3"/>
  <c r="F4709" i="3"/>
  <c r="F4708" i="3"/>
  <c r="F4707" i="3"/>
  <c r="F4706" i="3"/>
  <c r="F4705" i="3"/>
  <c r="F4704" i="3"/>
  <c r="F4703" i="3"/>
  <c r="F4702" i="3"/>
  <c r="F4701" i="3"/>
  <c r="F4700" i="3"/>
  <c r="F4699" i="3"/>
  <c r="F4698" i="3"/>
  <c r="F4697" i="3"/>
  <c r="F4696" i="3"/>
  <c r="F4695" i="3"/>
  <c r="F4694" i="3"/>
  <c r="F4693" i="3"/>
  <c r="F4692" i="3"/>
  <c r="F4691" i="3"/>
  <c r="F4690" i="3"/>
  <c r="F4689" i="3"/>
  <c r="F4688" i="3"/>
  <c r="F4687" i="3"/>
  <c r="F4686" i="3"/>
  <c r="F4685" i="3"/>
  <c r="F4684" i="3"/>
  <c r="F4683" i="3"/>
  <c r="F4682" i="3"/>
  <c r="F4681" i="3"/>
  <c r="F4680" i="3"/>
  <c r="F4679" i="3"/>
  <c r="F4678" i="3"/>
  <c r="F4677" i="3"/>
  <c r="F4676" i="3"/>
  <c r="F4675" i="3"/>
  <c r="F4674" i="3"/>
  <c r="F4673" i="3"/>
  <c r="F4672" i="3"/>
  <c r="F4671" i="3"/>
  <c r="F4670" i="3"/>
  <c r="F4669" i="3"/>
  <c r="F4668" i="3"/>
  <c r="F4667" i="3"/>
  <c r="F4666" i="3"/>
  <c r="F4665" i="3"/>
  <c r="F4664" i="3"/>
  <c r="F4663" i="3"/>
  <c r="F4662" i="3"/>
  <c r="F4661" i="3"/>
  <c r="F4660" i="3"/>
  <c r="F4659" i="3"/>
  <c r="F4658" i="3"/>
  <c r="F4657" i="3"/>
  <c r="F4656" i="3"/>
  <c r="F4655" i="3"/>
  <c r="F4654" i="3"/>
  <c r="F4653" i="3"/>
  <c r="F4652" i="3"/>
  <c r="F4651" i="3"/>
  <c r="F4650" i="3"/>
  <c r="F4649" i="3"/>
  <c r="F4648" i="3"/>
  <c r="F4647" i="3"/>
  <c r="F4646" i="3"/>
  <c r="F4645" i="3"/>
  <c r="F4644" i="3"/>
  <c r="F4643" i="3"/>
  <c r="F4642" i="3"/>
  <c r="F4641" i="3"/>
  <c r="F4640" i="3"/>
  <c r="F4639" i="3"/>
  <c r="F4638" i="3"/>
  <c r="F4637" i="3"/>
  <c r="F4636" i="3"/>
  <c r="F4635" i="3"/>
  <c r="F4634" i="3"/>
  <c r="F4633" i="3"/>
  <c r="F4632" i="3"/>
  <c r="F4631" i="3"/>
  <c r="F4630" i="3"/>
  <c r="F4629" i="3"/>
  <c r="F4628" i="3"/>
  <c r="F4627" i="3"/>
  <c r="F4626" i="3"/>
  <c r="F4625" i="3"/>
  <c r="F4624" i="3"/>
  <c r="F4623" i="3"/>
  <c r="F4622" i="3"/>
  <c r="F4621" i="3"/>
  <c r="F4620" i="3"/>
  <c r="F4619" i="3"/>
  <c r="F4618" i="3"/>
  <c r="F4617" i="3"/>
  <c r="F4616" i="3"/>
  <c r="F4615" i="3"/>
  <c r="F4614" i="3"/>
  <c r="F4613" i="3"/>
  <c r="F4612" i="3"/>
  <c r="F4611" i="3"/>
  <c r="F4610" i="3"/>
  <c r="F4609" i="3"/>
  <c r="F4608" i="3"/>
  <c r="F4607" i="3"/>
  <c r="F4606" i="3"/>
  <c r="F4605" i="3"/>
  <c r="F4604" i="3"/>
  <c r="F4603" i="3"/>
  <c r="F4602" i="3"/>
  <c r="F4601" i="3"/>
  <c r="F4600" i="3"/>
  <c r="F4599" i="3"/>
  <c r="F4598" i="3"/>
  <c r="F4597" i="3"/>
  <c r="F4596" i="3"/>
  <c r="F4595" i="3"/>
  <c r="F4594" i="3"/>
  <c r="F4593" i="3"/>
  <c r="F4592" i="3"/>
  <c r="F4591" i="3"/>
  <c r="F4590" i="3"/>
  <c r="F4589" i="3"/>
  <c r="F4588" i="3"/>
  <c r="F4587" i="3"/>
  <c r="F4586" i="3"/>
  <c r="F4585" i="3"/>
  <c r="F4584" i="3"/>
  <c r="F4583" i="3"/>
  <c r="F4582" i="3"/>
  <c r="F4581" i="3"/>
  <c r="F4580" i="3"/>
  <c r="F4579" i="3"/>
  <c r="F4578" i="3"/>
  <c r="F4577" i="3"/>
  <c r="F4576" i="3"/>
  <c r="F4575" i="3"/>
  <c r="F4574" i="3"/>
  <c r="F4573" i="3"/>
  <c r="F4572" i="3"/>
  <c r="F4571" i="3"/>
  <c r="F4570" i="3"/>
  <c r="F4569" i="3"/>
  <c r="F4568" i="3"/>
  <c r="F4567" i="3"/>
  <c r="F4566" i="3"/>
  <c r="F4565" i="3"/>
  <c r="F4564" i="3"/>
  <c r="F4563" i="3"/>
  <c r="F4562" i="3"/>
  <c r="F4561" i="3"/>
  <c r="F4560" i="3"/>
  <c r="F4559" i="3"/>
  <c r="F4558" i="3"/>
  <c r="F4557" i="3"/>
  <c r="F4556" i="3"/>
  <c r="F4555" i="3"/>
  <c r="F4554" i="3"/>
  <c r="F4553" i="3"/>
  <c r="F4552" i="3"/>
  <c r="F4551" i="3"/>
  <c r="F4550" i="3"/>
  <c r="F4549" i="3"/>
  <c r="F4548" i="3"/>
  <c r="F4547" i="3"/>
  <c r="F4546" i="3"/>
  <c r="F4545" i="3"/>
  <c r="F4544" i="3"/>
  <c r="F4543" i="3"/>
  <c r="F4542" i="3"/>
  <c r="F4541" i="3"/>
  <c r="F4540" i="3"/>
  <c r="F4539" i="3"/>
  <c r="F4538" i="3"/>
  <c r="F4537" i="3"/>
  <c r="F4536" i="3"/>
  <c r="F4535" i="3"/>
  <c r="F4534" i="3"/>
  <c r="F4533" i="3"/>
  <c r="F4532" i="3"/>
  <c r="F4531" i="3"/>
  <c r="F4530" i="3"/>
  <c r="F4529" i="3"/>
  <c r="F4528" i="3"/>
  <c r="F4527" i="3"/>
  <c r="F4526" i="3"/>
  <c r="F4525" i="3"/>
  <c r="F4524" i="3"/>
  <c r="F4523" i="3"/>
  <c r="F4522" i="3"/>
  <c r="F4521" i="3"/>
  <c r="F4520" i="3"/>
  <c r="F4519" i="3"/>
  <c r="F4518" i="3"/>
  <c r="F4517" i="3"/>
  <c r="F4516" i="3"/>
  <c r="F4515" i="3"/>
  <c r="F4514" i="3"/>
  <c r="F4513" i="3"/>
  <c r="F4512" i="3"/>
  <c r="F4511" i="3"/>
  <c r="F4510" i="3"/>
  <c r="F4509" i="3"/>
  <c r="F4508" i="3"/>
  <c r="F4507" i="3"/>
  <c r="F4506" i="3"/>
  <c r="F4505" i="3"/>
  <c r="F4504" i="3"/>
  <c r="F4503" i="3"/>
  <c r="F4502" i="3"/>
  <c r="F4501" i="3"/>
  <c r="F4500" i="3"/>
  <c r="F4499" i="3"/>
  <c r="F4498" i="3"/>
  <c r="F4497" i="3"/>
  <c r="F4496" i="3"/>
  <c r="F4495" i="3"/>
  <c r="F4494" i="3"/>
  <c r="F4493" i="3"/>
  <c r="F4492" i="3"/>
  <c r="F4491" i="3"/>
  <c r="F4490" i="3"/>
  <c r="F4489" i="3"/>
  <c r="F4488" i="3"/>
  <c r="F4487" i="3"/>
  <c r="F4486" i="3"/>
  <c r="F4485" i="3"/>
  <c r="F4484" i="3"/>
  <c r="F4483" i="3"/>
  <c r="F4482" i="3"/>
  <c r="F4481" i="3"/>
  <c r="F4480" i="3"/>
  <c r="F4479" i="3"/>
  <c r="F4478" i="3"/>
  <c r="F4477" i="3"/>
  <c r="F4476" i="3"/>
  <c r="F4475" i="3"/>
  <c r="F4474" i="3"/>
  <c r="F4473" i="3"/>
  <c r="F4472" i="3"/>
  <c r="F4471" i="3"/>
  <c r="F4470" i="3"/>
  <c r="F4469" i="3"/>
  <c r="F4468" i="3"/>
  <c r="F4467" i="3"/>
  <c r="F4466" i="3"/>
  <c r="F4465" i="3"/>
  <c r="F4464" i="3"/>
  <c r="F4463" i="3"/>
  <c r="F4462" i="3"/>
  <c r="F4461" i="3"/>
  <c r="F4460" i="3"/>
  <c r="F4459" i="3"/>
  <c r="F4458" i="3"/>
  <c r="F4457" i="3"/>
  <c r="F4456" i="3"/>
  <c r="F4455" i="3"/>
  <c r="F4454" i="3"/>
  <c r="F4453" i="3"/>
  <c r="F4452" i="3"/>
  <c r="F4451" i="3"/>
  <c r="F4450" i="3"/>
  <c r="F4449" i="3"/>
  <c r="F4448" i="3"/>
  <c r="F4447" i="3"/>
  <c r="F4446" i="3"/>
  <c r="F4445" i="3"/>
  <c r="F4444" i="3"/>
  <c r="F4443" i="3"/>
  <c r="F4442" i="3"/>
  <c r="F4441" i="3"/>
  <c r="F4440" i="3"/>
  <c r="F4439" i="3"/>
  <c r="F4438" i="3"/>
  <c r="F4437" i="3"/>
  <c r="F4436" i="3"/>
  <c r="F4435" i="3"/>
  <c r="F4434" i="3"/>
  <c r="F4433" i="3"/>
  <c r="F4432" i="3"/>
  <c r="F4431" i="3"/>
  <c r="F4430" i="3"/>
  <c r="F4429" i="3"/>
  <c r="F4428" i="3"/>
  <c r="F4427" i="3"/>
  <c r="F4426" i="3"/>
  <c r="F4425" i="3"/>
  <c r="F4424" i="3"/>
  <c r="F4423" i="3"/>
  <c r="F4422" i="3"/>
  <c r="F4421" i="3"/>
  <c r="F4420" i="3"/>
  <c r="F4419" i="3"/>
  <c r="F4418" i="3"/>
  <c r="F4417" i="3"/>
  <c r="F4416" i="3"/>
  <c r="F4415" i="3"/>
  <c r="F4414" i="3"/>
  <c r="F4413" i="3"/>
  <c r="F4412" i="3"/>
  <c r="F4411" i="3"/>
  <c r="F4410" i="3"/>
  <c r="F4409" i="3"/>
  <c r="F4408" i="3"/>
  <c r="F4407" i="3"/>
  <c r="F4406" i="3"/>
  <c r="F4405" i="3"/>
  <c r="F4404" i="3"/>
  <c r="F4403" i="3"/>
  <c r="F4402" i="3"/>
  <c r="F4401" i="3"/>
  <c r="F4400" i="3"/>
  <c r="F4399" i="3"/>
  <c r="F4398" i="3"/>
  <c r="F4397" i="3"/>
  <c r="F4396" i="3"/>
  <c r="F4395" i="3"/>
  <c r="F4394" i="3"/>
  <c r="F4393" i="3"/>
  <c r="F4392" i="3"/>
  <c r="F4391" i="3"/>
  <c r="F4390" i="3"/>
  <c r="F4389" i="3"/>
  <c r="F4388" i="3"/>
  <c r="F4387" i="3"/>
  <c r="F4386" i="3"/>
  <c r="F4385" i="3"/>
  <c r="F4384" i="3"/>
  <c r="F4383" i="3"/>
  <c r="F4382" i="3"/>
  <c r="F4381" i="3"/>
  <c r="F4380" i="3"/>
  <c r="F4379" i="3"/>
  <c r="F4378" i="3"/>
  <c r="F4377" i="3"/>
  <c r="F4376" i="3"/>
  <c r="F4375" i="3"/>
  <c r="F4374" i="3"/>
  <c r="F4373" i="3"/>
  <c r="F4372" i="3"/>
  <c r="F4371" i="3"/>
  <c r="F4370" i="3"/>
  <c r="F4369" i="3"/>
  <c r="F4368" i="3"/>
  <c r="F4367" i="3"/>
  <c r="F4366" i="3"/>
  <c r="F4365" i="3"/>
  <c r="F4364" i="3"/>
  <c r="F4363" i="3"/>
  <c r="F4362" i="3"/>
  <c r="F4361" i="3"/>
  <c r="F4360" i="3"/>
  <c r="F4359" i="3"/>
  <c r="F4358" i="3"/>
  <c r="F4357" i="3"/>
  <c r="F4356" i="3"/>
  <c r="F4355" i="3"/>
  <c r="F4354" i="3"/>
  <c r="F4353" i="3"/>
  <c r="F4352" i="3"/>
  <c r="F4351" i="3"/>
  <c r="F4350" i="3"/>
  <c r="F4349" i="3"/>
  <c r="F4348" i="3"/>
  <c r="F4347" i="3"/>
  <c r="F4346" i="3"/>
  <c r="F4345" i="3"/>
  <c r="F4344" i="3"/>
  <c r="F4343" i="3"/>
  <c r="F4342" i="3"/>
  <c r="F4341" i="3"/>
  <c r="F4340" i="3"/>
  <c r="F4339" i="3"/>
  <c r="F4338" i="3"/>
  <c r="F4337" i="3"/>
  <c r="F4336" i="3"/>
  <c r="F4335" i="3"/>
  <c r="F4334" i="3"/>
  <c r="F4333" i="3"/>
  <c r="F4332" i="3"/>
  <c r="F4331" i="3"/>
  <c r="F4330" i="3"/>
  <c r="F4329" i="3"/>
  <c r="F4328" i="3"/>
  <c r="F4327" i="3"/>
  <c r="F4326" i="3"/>
  <c r="F4325" i="3"/>
  <c r="F4324" i="3"/>
  <c r="F4323" i="3"/>
  <c r="F4322" i="3"/>
  <c r="F4321" i="3"/>
  <c r="F4320" i="3"/>
  <c r="F4319" i="3"/>
  <c r="F4318" i="3"/>
  <c r="F4317" i="3"/>
  <c r="F4316" i="3"/>
  <c r="F4315" i="3"/>
  <c r="F4314" i="3"/>
  <c r="F4313" i="3"/>
  <c r="F4312" i="3"/>
  <c r="F4311" i="3"/>
  <c r="F4310" i="3"/>
  <c r="F4309" i="3"/>
  <c r="F4308" i="3"/>
  <c r="F4307" i="3"/>
  <c r="F4306" i="3"/>
  <c r="F4305" i="3"/>
  <c r="F4304" i="3"/>
  <c r="F4303" i="3"/>
  <c r="F4302" i="3"/>
  <c r="F4301" i="3"/>
  <c r="F4300" i="3"/>
  <c r="F4299" i="3"/>
  <c r="F4298" i="3"/>
  <c r="F4297" i="3"/>
  <c r="F4296" i="3"/>
  <c r="F4295" i="3"/>
  <c r="F4294" i="3"/>
  <c r="F4293" i="3"/>
  <c r="F4292" i="3"/>
  <c r="F4291" i="3"/>
  <c r="F4290" i="3"/>
  <c r="F4289" i="3"/>
  <c r="F4288" i="3"/>
  <c r="F4287" i="3"/>
  <c r="F4286" i="3"/>
  <c r="F4285" i="3"/>
  <c r="F4284" i="3"/>
  <c r="F4283" i="3"/>
  <c r="F4282" i="3"/>
  <c r="F4281" i="3"/>
  <c r="F4280" i="3"/>
  <c r="F4279" i="3"/>
  <c r="F4278" i="3"/>
  <c r="F4277" i="3"/>
  <c r="F4276" i="3"/>
  <c r="F4275" i="3"/>
  <c r="F4274" i="3"/>
  <c r="F4273" i="3"/>
  <c r="F4272" i="3"/>
  <c r="F4271" i="3"/>
  <c r="F4270" i="3"/>
  <c r="F4269" i="3"/>
  <c r="F4268" i="3"/>
  <c r="F4267" i="3"/>
  <c r="F4266" i="3"/>
  <c r="F4265" i="3"/>
  <c r="F4264" i="3"/>
  <c r="F4263" i="3"/>
  <c r="F4262" i="3"/>
  <c r="F4261" i="3"/>
  <c r="F4260" i="3"/>
  <c r="F4259" i="3"/>
  <c r="F4258" i="3"/>
  <c r="F4257" i="3"/>
  <c r="F4256" i="3"/>
  <c r="F4255" i="3"/>
  <c r="F4254" i="3"/>
  <c r="F4253" i="3"/>
  <c r="F4252" i="3"/>
  <c r="F4251" i="3"/>
  <c r="F4250" i="3"/>
  <c r="F4249" i="3"/>
  <c r="F4248" i="3"/>
  <c r="F4247" i="3"/>
  <c r="F4246" i="3"/>
  <c r="F4245" i="3"/>
  <c r="F4244" i="3"/>
  <c r="F4243" i="3"/>
  <c r="F4242" i="3"/>
  <c r="F4241" i="3"/>
  <c r="F4240" i="3"/>
  <c r="F4239" i="3"/>
  <c r="F4238" i="3"/>
  <c r="F4237" i="3"/>
  <c r="F4236" i="3"/>
  <c r="F4235" i="3"/>
  <c r="F4234" i="3"/>
  <c r="F4233" i="3"/>
  <c r="F4232" i="3"/>
  <c r="F4231" i="3"/>
  <c r="F4230" i="3"/>
  <c r="F4229" i="3"/>
  <c r="F4228" i="3"/>
  <c r="F4227" i="3"/>
  <c r="F4226" i="3"/>
  <c r="F4225" i="3"/>
  <c r="F4224" i="3"/>
  <c r="F4223" i="3"/>
  <c r="F4222" i="3"/>
  <c r="F4221" i="3"/>
  <c r="F4220" i="3"/>
  <c r="F4219" i="3"/>
  <c r="F4218" i="3"/>
  <c r="F4217" i="3"/>
  <c r="F4216" i="3"/>
  <c r="F4215" i="3"/>
  <c r="F4214" i="3"/>
  <c r="F4213" i="3"/>
  <c r="F4212" i="3"/>
  <c r="F4211" i="3"/>
  <c r="F4210" i="3"/>
  <c r="F4209" i="3"/>
  <c r="F4208" i="3"/>
  <c r="F4207" i="3"/>
  <c r="F4206" i="3"/>
  <c r="F4205" i="3"/>
  <c r="F4204" i="3"/>
  <c r="F4203" i="3"/>
  <c r="F4202" i="3"/>
  <c r="F4201" i="3"/>
  <c r="F4200" i="3"/>
  <c r="F4199" i="3"/>
  <c r="F4198" i="3"/>
  <c r="F4197" i="3"/>
  <c r="F4196" i="3"/>
  <c r="F4195" i="3"/>
  <c r="F4194" i="3"/>
  <c r="F4193" i="3"/>
  <c r="F4192" i="3"/>
  <c r="F4191" i="3"/>
  <c r="F4190" i="3"/>
  <c r="F4189" i="3"/>
  <c r="F4188" i="3"/>
  <c r="F4187" i="3"/>
  <c r="F4186" i="3"/>
  <c r="F4185" i="3"/>
  <c r="F4184" i="3"/>
  <c r="F4183" i="3"/>
  <c r="F4182" i="3"/>
  <c r="F4181" i="3"/>
  <c r="F4180" i="3"/>
  <c r="F4179" i="3"/>
  <c r="F4178" i="3"/>
  <c r="F4177" i="3"/>
  <c r="F4176" i="3"/>
  <c r="F4175" i="3"/>
  <c r="F4174" i="3"/>
  <c r="F4173" i="3"/>
  <c r="F4172" i="3"/>
  <c r="F4171" i="3"/>
  <c r="F4170" i="3"/>
  <c r="F4169" i="3"/>
  <c r="F4168" i="3"/>
  <c r="F4167" i="3"/>
  <c r="F4166" i="3"/>
  <c r="F4165" i="3"/>
  <c r="F4164" i="3"/>
  <c r="F4163" i="3"/>
  <c r="F4162" i="3"/>
  <c r="F4161" i="3"/>
  <c r="F4160" i="3"/>
  <c r="F4159" i="3"/>
  <c r="F4158" i="3"/>
  <c r="F4157" i="3"/>
  <c r="F4156" i="3"/>
  <c r="F4155" i="3"/>
  <c r="F4154" i="3"/>
  <c r="F4153" i="3"/>
  <c r="F4152" i="3"/>
  <c r="F4151" i="3"/>
  <c r="F4150" i="3"/>
  <c r="F4149" i="3"/>
  <c r="F4148" i="3"/>
  <c r="F4147" i="3"/>
  <c r="F4146" i="3"/>
  <c r="F4145" i="3"/>
  <c r="F4144" i="3"/>
  <c r="F4143" i="3"/>
  <c r="F4142" i="3"/>
  <c r="F4141" i="3"/>
  <c r="F4140" i="3"/>
  <c r="F4139" i="3"/>
  <c r="F4138" i="3"/>
  <c r="F4137" i="3"/>
  <c r="F4136" i="3"/>
  <c r="F4135" i="3"/>
  <c r="F4134" i="3"/>
  <c r="F4133" i="3"/>
  <c r="F4132" i="3"/>
  <c r="F4131" i="3"/>
  <c r="F4130" i="3"/>
  <c r="F4129" i="3"/>
  <c r="F4128" i="3"/>
  <c r="F4127" i="3"/>
  <c r="F4126" i="3"/>
  <c r="F4125" i="3"/>
  <c r="F4124" i="3"/>
  <c r="F4123" i="3"/>
  <c r="F4122" i="3"/>
  <c r="F4121" i="3"/>
  <c r="F4120" i="3"/>
  <c r="F4119" i="3"/>
  <c r="F4118" i="3"/>
  <c r="F4117" i="3"/>
  <c r="F4116" i="3"/>
  <c r="F4115" i="3"/>
  <c r="F4114" i="3"/>
  <c r="F4113" i="3"/>
  <c r="F4112" i="3"/>
  <c r="F4111" i="3"/>
  <c r="F4110" i="3"/>
  <c r="F4109" i="3"/>
  <c r="F4108" i="3"/>
  <c r="F4107" i="3"/>
  <c r="F4106" i="3"/>
  <c r="F4105" i="3"/>
  <c r="F4104" i="3"/>
  <c r="F4103" i="3"/>
  <c r="F4102" i="3"/>
  <c r="F4101" i="3"/>
  <c r="F4100" i="3"/>
  <c r="F4099" i="3"/>
  <c r="F4098" i="3"/>
  <c r="F4097" i="3"/>
  <c r="F4096" i="3"/>
  <c r="F4095" i="3"/>
  <c r="F4094" i="3"/>
  <c r="F4093" i="3"/>
  <c r="F4092" i="3"/>
  <c r="F4091" i="3"/>
  <c r="F4090" i="3"/>
  <c r="F4089" i="3"/>
  <c r="F4088" i="3"/>
  <c r="F4087" i="3"/>
  <c r="F4086" i="3"/>
  <c r="F4085" i="3"/>
  <c r="F4084" i="3"/>
  <c r="F4083" i="3"/>
  <c r="F4082" i="3"/>
  <c r="F4081" i="3"/>
  <c r="F4080" i="3"/>
  <c r="F4079" i="3"/>
  <c r="F4078" i="3"/>
  <c r="F4077" i="3"/>
  <c r="F4076" i="3"/>
  <c r="F4075" i="3"/>
  <c r="F4074" i="3"/>
  <c r="F4073" i="3"/>
  <c r="F4072" i="3"/>
  <c r="F4071" i="3"/>
  <c r="F4070" i="3"/>
  <c r="F4069" i="3"/>
  <c r="F4068" i="3"/>
  <c r="F4067" i="3"/>
  <c r="F4066" i="3"/>
  <c r="F4065" i="3"/>
  <c r="F4064" i="3"/>
  <c r="F4063" i="3"/>
  <c r="F4062" i="3"/>
  <c r="F4061" i="3"/>
  <c r="F4060" i="3"/>
  <c r="F4059" i="3"/>
  <c r="F4058" i="3"/>
  <c r="F4057" i="3"/>
  <c r="F4056" i="3"/>
  <c r="F4055" i="3"/>
  <c r="F4054" i="3"/>
  <c r="F4053" i="3"/>
  <c r="F4052" i="3"/>
  <c r="F4051" i="3"/>
  <c r="F4050" i="3"/>
  <c r="F4049" i="3"/>
  <c r="F4048" i="3"/>
  <c r="F4047" i="3"/>
  <c r="F4046" i="3"/>
  <c r="F4045" i="3"/>
  <c r="F4044" i="3"/>
  <c r="F4043" i="3"/>
  <c r="F4042" i="3"/>
  <c r="F4041" i="3"/>
  <c r="F4040" i="3"/>
  <c r="F4039" i="3"/>
  <c r="F4038" i="3"/>
  <c r="F4037" i="3"/>
  <c r="F4036" i="3"/>
  <c r="F4035" i="3"/>
  <c r="F4034" i="3"/>
  <c r="F4033" i="3"/>
  <c r="F4032" i="3"/>
  <c r="F4031" i="3"/>
  <c r="F4030" i="3"/>
  <c r="F4029" i="3"/>
  <c r="F4028" i="3"/>
  <c r="F4027" i="3"/>
  <c r="F4026" i="3"/>
  <c r="F4025" i="3"/>
  <c r="F4024" i="3"/>
  <c r="F4023" i="3"/>
  <c r="F4022" i="3"/>
  <c r="F4021" i="3"/>
  <c r="F4020" i="3"/>
  <c r="F4019" i="3"/>
  <c r="F4018" i="3"/>
  <c r="F4017" i="3"/>
  <c r="F4016" i="3"/>
  <c r="F4015" i="3"/>
  <c r="F4014" i="3"/>
  <c r="F4013" i="3"/>
  <c r="F4012" i="3"/>
  <c r="F4011" i="3"/>
  <c r="F4010" i="3"/>
  <c r="F4009" i="3"/>
  <c r="F4008" i="3"/>
  <c r="F4007" i="3"/>
  <c r="F4006" i="3"/>
  <c r="F4005" i="3"/>
  <c r="F4004" i="3"/>
  <c r="F4003" i="3"/>
  <c r="F4002" i="3"/>
  <c r="F4001" i="3"/>
  <c r="F4000" i="3"/>
  <c r="F3999" i="3"/>
  <c r="F3998" i="3"/>
  <c r="F3997" i="3"/>
  <c r="F3996" i="3"/>
  <c r="F3995" i="3"/>
  <c r="F3994" i="3"/>
  <c r="F3993" i="3"/>
  <c r="F3992" i="3"/>
  <c r="F3991" i="3"/>
  <c r="F3990" i="3"/>
  <c r="F3989" i="3"/>
  <c r="F3988" i="3"/>
  <c r="F3987" i="3"/>
  <c r="F3986" i="3"/>
  <c r="F3985" i="3"/>
  <c r="F3984" i="3"/>
  <c r="F3983" i="3"/>
  <c r="F3982" i="3"/>
  <c r="F3981" i="3"/>
  <c r="F3980" i="3"/>
  <c r="F3979" i="3"/>
  <c r="F3978" i="3"/>
  <c r="F3977" i="3"/>
  <c r="F3976" i="3"/>
  <c r="F3975" i="3"/>
  <c r="F3974" i="3"/>
  <c r="F3973" i="3"/>
  <c r="F3972" i="3"/>
  <c r="F3971" i="3"/>
  <c r="F3970" i="3"/>
  <c r="F3969" i="3"/>
  <c r="F3968" i="3"/>
  <c r="F3967" i="3"/>
  <c r="F3966" i="3"/>
  <c r="F3965" i="3"/>
  <c r="F3964" i="3"/>
  <c r="F3963" i="3"/>
  <c r="F3962" i="3"/>
  <c r="F3961" i="3"/>
  <c r="F3960" i="3"/>
  <c r="F3959" i="3"/>
  <c r="F3958" i="3"/>
  <c r="F3957" i="3"/>
  <c r="F3956" i="3"/>
  <c r="F3955" i="3"/>
  <c r="F3954" i="3"/>
  <c r="F3953" i="3"/>
  <c r="F3952" i="3"/>
  <c r="F3951" i="3"/>
  <c r="F3950" i="3"/>
  <c r="F3949" i="3"/>
  <c r="F3948" i="3"/>
  <c r="F3947" i="3"/>
  <c r="F3946" i="3"/>
  <c r="F3945" i="3"/>
  <c r="F3944" i="3"/>
  <c r="F3943" i="3"/>
  <c r="F3942" i="3"/>
  <c r="F3941" i="3"/>
  <c r="F3940" i="3"/>
  <c r="F3939" i="3"/>
  <c r="F3938" i="3"/>
  <c r="F3937" i="3"/>
  <c r="F3936" i="3"/>
  <c r="F3935" i="3"/>
  <c r="F3934" i="3"/>
  <c r="F3933" i="3"/>
  <c r="F3932" i="3"/>
  <c r="F3931" i="3"/>
  <c r="F3930" i="3"/>
  <c r="F3929" i="3"/>
  <c r="F3928" i="3"/>
  <c r="F3927" i="3"/>
  <c r="F3926" i="3"/>
  <c r="F3925" i="3"/>
  <c r="F3924" i="3"/>
  <c r="F3923" i="3"/>
  <c r="F3922" i="3"/>
  <c r="F3921" i="3"/>
  <c r="F3920" i="3"/>
  <c r="F3919" i="3"/>
  <c r="F3918" i="3"/>
  <c r="F3917" i="3"/>
  <c r="F3916" i="3"/>
  <c r="F3915" i="3"/>
  <c r="F3914" i="3"/>
  <c r="F3913" i="3"/>
  <c r="F3912" i="3"/>
  <c r="F3911" i="3"/>
  <c r="F3910" i="3"/>
  <c r="F3909" i="3"/>
  <c r="F3908" i="3"/>
  <c r="F3907" i="3"/>
  <c r="F3906" i="3"/>
  <c r="F3905" i="3"/>
  <c r="F3904" i="3"/>
  <c r="F3903" i="3"/>
  <c r="F3902" i="3"/>
  <c r="F3901" i="3"/>
  <c r="F3900" i="3"/>
  <c r="F3899" i="3"/>
  <c r="F3898" i="3"/>
  <c r="F3897" i="3"/>
  <c r="F3896" i="3"/>
  <c r="F3895" i="3"/>
  <c r="F3894" i="3"/>
  <c r="F3893" i="3"/>
  <c r="F3892" i="3"/>
  <c r="F3891" i="3"/>
  <c r="F3890" i="3"/>
  <c r="F3889" i="3"/>
  <c r="F3888" i="3"/>
  <c r="F3887" i="3"/>
  <c r="F3886" i="3"/>
  <c r="F3885" i="3"/>
  <c r="F3884" i="3"/>
  <c r="F3883" i="3"/>
  <c r="F3882" i="3"/>
  <c r="F3881" i="3"/>
  <c r="F3880" i="3"/>
  <c r="F3879" i="3"/>
  <c r="F3878" i="3"/>
  <c r="F3877" i="3"/>
  <c r="F3876" i="3"/>
  <c r="F3875" i="3"/>
  <c r="F3874" i="3"/>
  <c r="F3873" i="3"/>
  <c r="F3872" i="3"/>
  <c r="F3871" i="3"/>
  <c r="F3870" i="3"/>
  <c r="F3869" i="3"/>
  <c r="F3868" i="3"/>
  <c r="F3867" i="3"/>
  <c r="F3866" i="3"/>
  <c r="F3865" i="3"/>
  <c r="F3864" i="3"/>
  <c r="F3863" i="3"/>
  <c r="F3862" i="3"/>
  <c r="F3861" i="3"/>
  <c r="F3860" i="3"/>
  <c r="F3859" i="3"/>
  <c r="F3858" i="3"/>
  <c r="F3857" i="3"/>
  <c r="F3856" i="3"/>
  <c r="F3855" i="3"/>
  <c r="F3854" i="3"/>
  <c r="F3853" i="3"/>
  <c r="F3852" i="3"/>
  <c r="F3851" i="3"/>
  <c r="F3850" i="3"/>
  <c r="F3849" i="3"/>
  <c r="F3848" i="3"/>
  <c r="F3847" i="3"/>
  <c r="F3846" i="3"/>
  <c r="F3845" i="3"/>
  <c r="F3844" i="3"/>
  <c r="F3843" i="3"/>
  <c r="F3842" i="3"/>
  <c r="F3841" i="3"/>
  <c r="F3840" i="3"/>
  <c r="F3839" i="3"/>
  <c r="F3838" i="3"/>
  <c r="F3837" i="3"/>
  <c r="F3836" i="3"/>
  <c r="F3835" i="3"/>
  <c r="F3834" i="3"/>
  <c r="F3833" i="3"/>
  <c r="F3832" i="3"/>
  <c r="F3831" i="3"/>
  <c r="F3830" i="3"/>
  <c r="F3829" i="3"/>
  <c r="F3828" i="3"/>
  <c r="F3827" i="3"/>
  <c r="F3826" i="3"/>
  <c r="F3825" i="3"/>
  <c r="F3824" i="3"/>
  <c r="F3823" i="3"/>
  <c r="F3822" i="3"/>
  <c r="F3821" i="3"/>
  <c r="F3820" i="3"/>
  <c r="F3819" i="3"/>
  <c r="F3818" i="3"/>
  <c r="F3817" i="3"/>
  <c r="F3816" i="3"/>
  <c r="F3815" i="3"/>
  <c r="F3814" i="3"/>
  <c r="F3813" i="3"/>
  <c r="F3812" i="3"/>
  <c r="F3811" i="3"/>
  <c r="F3810" i="3"/>
  <c r="F3809" i="3"/>
  <c r="F3808" i="3"/>
  <c r="F3807" i="3"/>
  <c r="F3806" i="3"/>
  <c r="F3805" i="3"/>
  <c r="F3804" i="3"/>
  <c r="F3803" i="3"/>
  <c r="F3802" i="3"/>
  <c r="F3801" i="3"/>
  <c r="F3800" i="3"/>
  <c r="F3799" i="3"/>
  <c r="F3798" i="3"/>
  <c r="F3797" i="3"/>
  <c r="F3796" i="3"/>
  <c r="F3795" i="3"/>
  <c r="F3794" i="3"/>
  <c r="F3793" i="3"/>
  <c r="F3792" i="3"/>
  <c r="F3791" i="3"/>
  <c r="F3790" i="3"/>
  <c r="F3789" i="3"/>
  <c r="F3788" i="3"/>
  <c r="F3787" i="3"/>
  <c r="F3786" i="3"/>
  <c r="F3785" i="3"/>
  <c r="F3784" i="3"/>
  <c r="F3783" i="3"/>
  <c r="F3782" i="3"/>
  <c r="F3781" i="3"/>
  <c r="F3780" i="3"/>
  <c r="F3779" i="3"/>
  <c r="F3778" i="3"/>
  <c r="F3777" i="3"/>
  <c r="F3776" i="3"/>
  <c r="F3775" i="3"/>
  <c r="F3774" i="3"/>
  <c r="F3773" i="3"/>
  <c r="F3772" i="3"/>
  <c r="F3771" i="3"/>
  <c r="F3770" i="3"/>
  <c r="F3769" i="3"/>
  <c r="F3768" i="3"/>
  <c r="F3767" i="3"/>
  <c r="F3766" i="3"/>
  <c r="F3765" i="3"/>
  <c r="F3764" i="3"/>
  <c r="F3763" i="3"/>
  <c r="F3762" i="3"/>
  <c r="F3761" i="3"/>
  <c r="F3760" i="3"/>
  <c r="F3759" i="3"/>
  <c r="F3758" i="3"/>
  <c r="F3757" i="3"/>
  <c r="F3756" i="3"/>
  <c r="F3755" i="3"/>
  <c r="F3754" i="3"/>
  <c r="F3753" i="3"/>
  <c r="F3752" i="3"/>
  <c r="F3751" i="3"/>
  <c r="F3750" i="3"/>
  <c r="F3749" i="3"/>
  <c r="F3748" i="3"/>
  <c r="F3747" i="3"/>
  <c r="F3746" i="3"/>
  <c r="F3745" i="3"/>
  <c r="F3744" i="3"/>
  <c r="F3743" i="3"/>
  <c r="F3742" i="3"/>
  <c r="F3741" i="3"/>
  <c r="F3740" i="3"/>
  <c r="F3739" i="3"/>
  <c r="F3738" i="3"/>
  <c r="F3737" i="3"/>
  <c r="F3736" i="3"/>
  <c r="F3735" i="3"/>
  <c r="F3734" i="3"/>
  <c r="F3733" i="3"/>
  <c r="F3732" i="3"/>
  <c r="F3731" i="3"/>
  <c r="F3730" i="3"/>
  <c r="F3729" i="3"/>
  <c r="F3728" i="3"/>
  <c r="F3727" i="3"/>
  <c r="F3726" i="3"/>
  <c r="F3725" i="3"/>
  <c r="F3724" i="3"/>
  <c r="F3723" i="3"/>
  <c r="F3722" i="3"/>
  <c r="F3721" i="3"/>
  <c r="F3720" i="3"/>
  <c r="F3719" i="3"/>
  <c r="F3718" i="3"/>
  <c r="F3717" i="3"/>
  <c r="F3716" i="3"/>
  <c r="F3715" i="3"/>
  <c r="F3714" i="3"/>
  <c r="F3713" i="3"/>
  <c r="F3712" i="3"/>
  <c r="F3711" i="3"/>
  <c r="F3710" i="3"/>
  <c r="F3709" i="3"/>
  <c r="F3708" i="3"/>
  <c r="F3707" i="3"/>
  <c r="F3706" i="3"/>
  <c r="F3705" i="3"/>
  <c r="F3704" i="3"/>
  <c r="F3703" i="3"/>
  <c r="F3702" i="3"/>
  <c r="F3701" i="3"/>
  <c r="F3700" i="3"/>
  <c r="F3699" i="3"/>
  <c r="F3698" i="3"/>
  <c r="F3697" i="3"/>
  <c r="F3696" i="3"/>
  <c r="F3695" i="3"/>
  <c r="F3694" i="3"/>
  <c r="F3693" i="3"/>
  <c r="F3692" i="3"/>
  <c r="F3691" i="3"/>
  <c r="F3690" i="3"/>
  <c r="F3689" i="3"/>
  <c r="F3688" i="3"/>
  <c r="F3687" i="3"/>
  <c r="F3686" i="3"/>
  <c r="F3685" i="3"/>
  <c r="F3684" i="3"/>
  <c r="F3683" i="3"/>
  <c r="F3682" i="3"/>
  <c r="F3681" i="3"/>
  <c r="F3680" i="3"/>
  <c r="F3679" i="3"/>
  <c r="F3678" i="3"/>
  <c r="F3677" i="3"/>
  <c r="F3676" i="3"/>
  <c r="F3675" i="3"/>
  <c r="F3674" i="3"/>
  <c r="F3673" i="3"/>
  <c r="F3672" i="3"/>
  <c r="F3671" i="3"/>
  <c r="F3670" i="3"/>
  <c r="F3669" i="3"/>
  <c r="F3668" i="3"/>
  <c r="F3667" i="3"/>
  <c r="F3666" i="3"/>
  <c r="F3665" i="3"/>
  <c r="F3664" i="3"/>
  <c r="F3663" i="3"/>
  <c r="F3662" i="3"/>
  <c r="F3661" i="3"/>
  <c r="F3660" i="3"/>
  <c r="F3659" i="3"/>
  <c r="F3658" i="3"/>
  <c r="F3657" i="3"/>
  <c r="F3656" i="3"/>
  <c r="F3655" i="3"/>
  <c r="F3654" i="3"/>
  <c r="F3653" i="3"/>
  <c r="F3652" i="3"/>
  <c r="F3651" i="3"/>
  <c r="F3650" i="3"/>
  <c r="F3649" i="3"/>
  <c r="F3648" i="3"/>
  <c r="F3647" i="3"/>
  <c r="F3646" i="3"/>
  <c r="F3645" i="3"/>
  <c r="F3644" i="3"/>
  <c r="F3643" i="3"/>
  <c r="F3642" i="3"/>
  <c r="F3641" i="3"/>
  <c r="F3640" i="3"/>
  <c r="F3639" i="3"/>
  <c r="F3638" i="3"/>
  <c r="F3637" i="3"/>
  <c r="F3636" i="3"/>
  <c r="F3635" i="3"/>
  <c r="F3634" i="3"/>
  <c r="F3633" i="3"/>
  <c r="F3632" i="3"/>
  <c r="F3631" i="3"/>
  <c r="F3630" i="3"/>
  <c r="F3629" i="3"/>
  <c r="F3628" i="3"/>
  <c r="F3627" i="3"/>
  <c r="F3626" i="3"/>
  <c r="F3625" i="3"/>
  <c r="F3624" i="3"/>
  <c r="F3623" i="3"/>
  <c r="F3622" i="3"/>
  <c r="F3621" i="3"/>
  <c r="F3620" i="3"/>
  <c r="F3619" i="3"/>
  <c r="F3618" i="3"/>
  <c r="F3617" i="3"/>
  <c r="F3616" i="3"/>
  <c r="F3615" i="3"/>
  <c r="F3614" i="3"/>
  <c r="F3613" i="3"/>
  <c r="F3612" i="3"/>
  <c r="F3611" i="3"/>
  <c r="F3610" i="3"/>
  <c r="F3609" i="3"/>
  <c r="F3608" i="3"/>
  <c r="F3607" i="3"/>
  <c r="F3606" i="3"/>
  <c r="F3605" i="3"/>
  <c r="F3604" i="3"/>
  <c r="F3603" i="3"/>
  <c r="F3602" i="3"/>
  <c r="F3601" i="3"/>
  <c r="F3600" i="3"/>
  <c r="F3599" i="3"/>
  <c r="F3598" i="3"/>
  <c r="F3597" i="3"/>
  <c r="F3596" i="3"/>
  <c r="F3595" i="3"/>
  <c r="F3594" i="3"/>
  <c r="F3593" i="3"/>
  <c r="F3592" i="3"/>
  <c r="F3591" i="3"/>
  <c r="F3590" i="3"/>
  <c r="F3589" i="3"/>
  <c r="F3588" i="3"/>
  <c r="F3587" i="3"/>
  <c r="F3586" i="3"/>
  <c r="F3585" i="3"/>
  <c r="F3584" i="3"/>
  <c r="F3583" i="3"/>
  <c r="F3582" i="3"/>
  <c r="F3581" i="3"/>
  <c r="F3580" i="3"/>
  <c r="F3579" i="3"/>
  <c r="F3578" i="3"/>
  <c r="F3577" i="3"/>
  <c r="F3576" i="3"/>
  <c r="F3575" i="3"/>
  <c r="F3574" i="3"/>
  <c r="F3573" i="3"/>
  <c r="F3572" i="3"/>
  <c r="F3571" i="3"/>
  <c r="F3570" i="3"/>
  <c r="F3569" i="3"/>
  <c r="F3568" i="3"/>
  <c r="F3567" i="3"/>
  <c r="F3566" i="3"/>
  <c r="F3565" i="3"/>
  <c r="F3564" i="3"/>
  <c r="F3563" i="3"/>
  <c r="F3562" i="3"/>
  <c r="F3561" i="3"/>
  <c r="F3560" i="3"/>
  <c r="F3559" i="3"/>
  <c r="F3558" i="3"/>
  <c r="F3557" i="3"/>
  <c r="F3556" i="3"/>
  <c r="F3555" i="3"/>
  <c r="F3554" i="3"/>
  <c r="F3553" i="3"/>
  <c r="F3552" i="3"/>
  <c r="F3551" i="3"/>
  <c r="F3550" i="3"/>
  <c r="F3549" i="3"/>
  <c r="F3548" i="3"/>
  <c r="F3547" i="3"/>
  <c r="F3546" i="3"/>
  <c r="F3545" i="3"/>
  <c r="F3544" i="3"/>
  <c r="F3543" i="3"/>
  <c r="F3542" i="3"/>
  <c r="F3541" i="3"/>
  <c r="F3540" i="3"/>
  <c r="F3539" i="3"/>
  <c r="F3538" i="3"/>
  <c r="F3537" i="3"/>
  <c r="F3536" i="3"/>
  <c r="F3535" i="3"/>
  <c r="F3534" i="3"/>
  <c r="F3533" i="3"/>
  <c r="F3532" i="3"/>
  <c r="F3531" i="3"/>
  <c r="F3530" i="3"/>
  <c r="F3529" i="3"/>
  <c r="F3528" i="3"/>
  <c r="F3527" i="3"/>
  <c r="F3526" i="3"/>
  <c r="F3525" i="3"/>
  <c r="F3524" i="3"/>
  <c r="F3523" i="3"/>
  <c r="F3522" i="3"/>
  <c r="F3521" i="3"/>
  <c r="F3520" i="3"/>
  <c r="F3519" i="3"/>
  <c r="F3518" i="3"/>
  <c r="F3517" i="3"/>
  <c r="F3516" i="3"/>
  <c r="F3515" i="3"/>
  <c r="F3514" i="3"/>
  <c r="F3513" i="3"/>
  <c r="F3512" i="3"/>
  <c r="F3511" i="3"/>
  <c r="F3510" i="3"/>
  <c r="F3509" i="3"/>
  <c r="F3508" i="3"/>
  <c r="F3507" i="3"/>
  <c r="F3506" i="3"/>
  <c r="F3505" i="3"/>
  <c r="F3504" i="3"/>
  <c r="F3503" i="3"/>
  <c r="F3502" i="3"/>
  <c r="F3501" i="3"/>
  <c r="F3500" i="3"/>
  <c r="F3499" i="3"/>
  <c r="F3498" i="3"/>
  <c r="F3497" i="3"/>
  <c r="F3496" i="3"/>
  <c r="F3495" i="3"/>
  <c r="F3494" i="3"/>
  <c r="F3493" i="3"/>
  <c r="F3492" i="3"/>
  <c r="F3491" i="3"/>
  <c r="F3490" i="3"/>
  <c r="F3489" i="3"/>
  <c r="F3488" i="3"/>
  <c r="F3487" i="3"/>
  <c r="F3486" i="3"/>
  <c r="F3485" i="3"/>
  <c r="F3484" i="3"/>
  <c r="F3483" i="3"/>
  <c r="F3482" i="3"/>
  <c r="F3481" i="3"/>
  <c r="F3480" i="3"/>
  <c r="F3479" i="3"/>
  <c r="F3478" i="3"/>
  <c r="F3477" i="3"/>
  <c r="F3476" i="3"/>
  <c r="F3475" i="3"/>
  <c r="F3474" i="3"/>
  <c r="F3473" i="3"/>
  <c r="F3472" i="3"/>
  <c r="F3471" i="3"/>
  <c r="F3470" i="3"/>
  <c r="F3469" i="3"/>
  <c r="F3468" i="3"/>
  <c r="F3467" i="3"/>
  <c r="F3466" i="3"/>
  <c r="F3465" i="3"/>
  <c r="F3464" i="3"/>
  <c r="F3463" i="3"/>
  <c r="F3462" i="3"/>
  <c r="F3461" i="3"/>
  <c r="F3460" i="3"/>
  <c r="F3459" i="3"/>
  <c r="F3458" i="3"/>
  <c r="F3457" i="3"/>
  <c r="F3456" i="3"/>
  <c r="F3455" i="3"/>
  <c r="F3454" i="3"/>
  <c r="F3453" i="3"/>
  <c r="F3452" i="3"/>
  <c r="F3451" i="3"/>
  <c r="F3450" i="3"/>
  <c r="F3449" i="3"/>
  <c r="F3448" i="3"/>
  <c r="F3447" i="3"/>
  <c r="F3446" i="3"/>
  <c r="F3445" i="3"/>
  <c r="F3444" i="3"/>
  <c r="F3443" i="3"/>
  <c r="F3442" i="3"/>
  <c r="F3441" i="3"/>
  <c r="F3440" i="3"/>
  <c r="F3439" i="3"/>
  <c r="F3438" i="3"/>
  <c r="F3437" i="3"/>
  <c r="F3436" i="3"/>
  <c r="F3435" i="3"/>
  <c r="F3434" i="3"/>
  <c r="F3433" i="3"/>
  <c r="F3432" i="3"/>
  <c r="F3431" i="3"/>
  <c r="F3430" i="3"/>
  <c r="F3429" i="3"/>
  <c r="F3428" i="3"/>
  <c r="F3427" i="3"/>
  <c r="F3426" i="3"/>
  <c r="F3425" i="3"/>
  <c r="F3424" i="3"/>
  <c r="F3423" i="3"/>
  <c r="F3422" i="3"/>
  <c r="F3421" i="3"/>
  <c r="F3420" i="3"/>
  <c r="F3419" i="3"/>
  <c r="F3418" i="3"/>
  <c r="F3417" i="3"/>
  <c r="F3416" i="3"/>
  <c r="F3415" i="3"/>
  <c r="F3414" i="3"/>
  <c r="F3413" i="3"/>
  <c r="F3412" i="3"/>
  <c r="F3411" i="3"/>
  <c r="F3410" i="3"/>
  <c r="F3409" i="3"/>
  <c r="F3408" i="3"/>
  <c r="F3407" i="3"/>
  <c r="F3406" i="3"/>
  <c r="F3405" i="3"/>
  <c r="F3404" i="3"/>
  <c r="F3403" i="3"/>
  <c r="F3402" i="3"/>
  <c r="F3401" i="3"/>
  <c r="F3400" i="3"/>
  <c r="F3399" i="3"/>
  <c r="F3398" i="3"/>
  <c r="F3397" i="3"/>
  <c r="F3396" i="3"/>
  <c r="F3395" i="3"/>
  <c r="F3394" i="3"/>
  <c r="F3393" i="3"/>
  <c r="F3392" i="3"/>
  <c r="F3391" i="3"/>
  <c r="F3390" i="3"/>
  <c r="F3389" i="3"/>
  <c r="F3388" i="3"/>
  <c r="F3387" i="3"/>
  <c r="F3386" i="3"/>
  <c r="F3385" i="3"/>
  <c r="F3384" i="3"/>
  <c r="F3383" i="3"/>
  <c r="F3382" i="3"/>
  <c r="F3381" i="3"/>
  <c r="F3380" i="3"/>
  <c r="F3379" i="3"/>
  <c r="F3378" i="3"/>
  <c r="F3377" i="3"/>
  <c r="F3376" i="3"/>
  <c r="F3375" i="3"/>
  <c r="F3374" i="3"/>
  <c r="F3373" i="3"/>
  <c r="F3372" i="3"/>
  <c r="F3371" i="3"/>
  <c r="F3370" i="3"/>
  <c r="F3369" i="3"/>
  <c r="F3368" i="3"/>
  <c r="F3367" i="3"/>
  <c r="F3366" i="3"/>
  <c r="F3365" i="3"/>
  <c r="F3364" i="3"/>
  <c r="F3363" i="3"/>
  <c r="F3362" i="3"/>
  <c r="F3361" i="3"/>
  <c r="F3360" i="3"/>
  <c r="F3359" i="3"/>
  <c r="F3358" i="3"/>
  <c r="F3357" i="3"/>
  <c r="F3356" i="3"/>
  <c r="F3355" i="3"/>
  <c r="F3354" i="3"/>
  <c r="F3353" i="3"/>
  <c r="F3352" i="3"/>
  <c r="F3351" i="3"/>
  <c r="F3350" i="3"/>
  <c r="F3349" i="3"/>
  <c r="F3348" i="3"/>
  <c r="F3347" i="3"/>
  <c r="F3346" i="3"/>
  <c r="F3345" i="3"/>
  <c r="F3344" i="3"/>
  <c r="F3343" i="3"/>
  <c r="F3342" i="3"/>
  <c r="F3341" i="3"/>
  <c r="F3340" i="3"/>
  <c r="F3339" i="3"/>
  <c r="L5" i="6" l="1"/>
  <c r="K5" i="6"/>
  <c r="I5" i="6"/>
  <c r="B5" i="6"/>
  <c r="D5" i="6" s="1"/>
  <c r="J200" i="8" l="1"/>
  <c r="J199" i="8"/>
  <c r="J198" i="8"/>
  <c r="J197" i="8"/>
  <c r="J196" i="8"/>
  <c r="J195" i="8"/>
  <c r="J194" i="8"/>
  <c r="J193" i="8"/>
  <c r="J192" i="8"/>
  <c r="J191" i="8"/>
  <c r="J190" i="8"/>
  <c r="J189" i="8"/>
  <c r="J188" i="8"/>
  <c r="J187" i="8"/>
  <c r="J186" i="8"/>
  <c r="J185" i="8"/>
  <c r="J184" i="8"/>
  <c r="J183" i="8"/>
  <c r="J182" i="8"/>
  <c r="J181" i="8"/>
  <c r="J180" i="8"/>
  <c r="J179" i="8"/>
  <c r="J178" i="8"/>
  <c r="J177" i="8"/>
  <c r="J176" i="8"/>
  <c r="J175" i="8"/>
  <c r="J174" i="8"/>
  <c r="J173" i="8"/>
  <c r="J172" i="8"/>
  <c r="J171" i="8"/>
  <c r="J170" i="8"/>
  <c r="J169" i="8"/>
  <c r="J168" i="8"/>
  <c r="J167" i="8"/>
  <c r="J166" i="8"/>
  <c r="J165" i="8"/>
  <c r="J164" i="8"/>
  <c r="J163" i="8"/>
  <c r="J162" i="8"/>
  <c r="J161" i="8"/>
  <c r="J160" i="8"/>
  <c r="J159" i="8"/>
  <c r="J158" i="8"/>
  <c r="J157" i="8"/>
  <c r="J156" i="8"/>
  <c r="J155" i="8"/>
  <c r="J154" i="8"/>
  <c r="J153" i="8"/>
  <c r="J152" i="8"/>
  <c r="J151" i="8"/>
  <c r="J150" i="8"/>
  <c r="J149" i="8"/>
  <c r="J148" i="8"/>
  <c r="J147" i="8"/>
  <c r="J146" i="8"/>
  <c r="J145" i="8"/>
  <c r="J144" i="8"/>
  <c r="J143" i="8"/>
  <c r="J142" i="8"/>
  <c r="J141" i="8"/>
  <c r="J140" i="8"/>
  <c r="J139" i="8"/>
  <c r="J138" i="8"/>
  <c r="J137" i="8"/>
  <c r="J136" i="8"/>
  <c r="J135" i="8"/>
  <c r="J134" i="8"/>
  <c r="J133" i="8"/>
  <c r="J132" i="8"/>
  <c r="J131" i="8"/>
  <c r="J130" i="8"/>
  <c r="J129" i="8"/>
  <c r="J128" i="8"/>
  <c r="J127" i="8"/>
  <c r="J126" i="8"/>
  <c r="J125" i="8"/>
  <c r="J124" i="8"/>
  <c r="J123" i="8"/>
  <c r="J122" i="8"/>
  <c r="J121" i="8"/>
  <c r="J120" i="8"/>
  <c r="J119" i="8"/>
  <c r="J118" i="8"/>
  <c r="J117" i="8"/>
  <c r="J116" i="8"/>
  <c r="J115" i="8"/>
  <c r="J114" i="8"/>
  <c r="J113" i="8"/>
  <c r="J112" i="8"/>
  <c r="J111" i="8"/>
  <c r="J110" i="8"/>
  <c r="J109" i="8"/>
  <c r="J108" i="8"/>
  <c r="J107" i="8"/>
  <c r="J106" i="8"/>
  <c r="J105" i="8"/>
  <c r="J104" i="8"/>
  <c r="J103" i="8"/>
  <c r="J102" i="8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I200" i="8"/>
  <c r="I199" i="8"/>
  <c r="I198" i="8"/>
  <c r="I197" i="8"/>
  <c r="I196" i="8"/>
  <c r="I195" i="8"/>
  <c r="I194" i="8"/>
  <c r="I193" i="8"/>
  <c r="I192" i="8"/>
  <c r="I191" i="8"/>
  <c r="I190" i="8"/>
  <c r="I189" i="8"/>
  <c r="I188" i="8"/>
  <c r="I187" i="8"/>
  <c r="I186" i="8"/>
  <c r="I185" i="8"/>
  <c r="I184" i="8"/>
  <c r="I183" i="8"/>
  <c r="I182" i="8"/>
  <c r="I181" i="8"/>
  <c r="I180" i="8"/>
  <c r="I179" i="8"/>
  <c r="I178" i="8"/>
  <c r="I177" i="8"/>
  <c r="I176" i="8"/>
  <c r="I175" i="8"/>
  <c r="I174" i="8"/>
  <c r="I173" i="8"/>
  <c r="I172" i="8"/>
  <c r="I171" i="8"/>
  <c r="I170" i="8"/>
  <c r="I169" i="8"/>
  <c r="I168" i="8"/>
  <c r="I167" i="8"/>
  <c r="I166" i="8"/>
  <c r="I165" i="8"/>
  <c r="I164" i="8"/>
  <c r="I163" i="8"/>
  <c r="I162" i="8"/>
  <c r="I161" i="8"/>
  <c r="I160" i="8"/>
  <c r="I159" i="8"/>
  <c r="I158" i="8"/>
  <c r="I157" i="8"/>
  <c r="I156" i="8"/>
  <c r="I155" i="8"/>
  <c r="I154" i="8"/>
  <c r="I153" i="8"/>
  <c r="I152" i="8"/>
  <c r="I151" i="8"/>
  <c r="I150" i="8"/>
  <c r="I149" i="8"/>
  <c r="I148" i="8"/>
  <c r="I147" i="8"/>
  <c r="I146" i="8"/>
  <c r="I145" i="8"/>
  <c r="I144" i="8"/>
  <c r="I143" i="8"/>
  <c r="I142" i="8"/>
  <c r="I141" i="8"/>
  <c r="I140" i="8"/>
  <c r="I139" i="8"/>
  <c r="I138" i="8"/>
  <c r="I137" i="8"/>
  <c r="I136" i="8"/>
  <c r="I135" i="8"/>
  <c r="I134" i="8"/>
  <c r="I133" i="8"/>
  <c r="I132" i="8"/>
  <c r="I131" i="8"/>
  <c r="I130" i="8"/>
  <c r="I129" i="8"/>
  <c r="I128" i="8"/>
  <c r="I127" i="8"/>
  <c r="I126" i="8"/>
  <c r="I125" i="8"/>
  <c r="I124" i="8"/>
  <c r="I123" i="8"/>
  <c r="I122" i="8"/>
  <c r="I121" i="8"/>
  <c r="I120" i="8"/>
  <c r="I119" i="8"/>
  <c r="I118" i="8"/>
  <c r="I117" i="8"/>
  <c r="I116" i="8"/>
  <c r="I115" i="8"/>
  <c r="I114" i="8"/>
  <c r="I113" i="8"/>
  <c r="I112" i="8"/>
  <c r="I111" i="8"/>
  <c r="I110" i="8"/>
  <c r="I109" i="8"/>
  <c r="I108" i="8"/>
  <c r="I107" i="8"/>
  <c r="I106" i="8"/>
  <c r="I105" i="8"/>
  <c r="I104" i="8"/>
  <c r="I103" i="8"/>
  <c r="I102" i="8"/>
  <c r="I101" i="8"/>
  <c r="I100" i="8"/>
  <c r="I99" i="8"/>
  <c r="I98" i="8"/>
  <c r="I97" i="8"/>
  <c r="I96" i="8"/>
  <c r="I95" i="8"/>
  <c r="I94" i="8"/>
  <c r="I93" i="8"/>
  <c r="I92" i="8"/>
  <c r="I91" i="8"/>
  <c r="I90" i="8"/>
  <c r="I89" i="8"/>
  <c r="I88" i="8"/>
  <c r="I87" i="8"/>
  <c r="I86" i="8"/>
  <c r="I85" i="8"/>
  <c r="I84" i="8"/>
  <c r="I83" i="8"/>
  <c r="I82" i="8"/>
  <c r="I81" i="8"/>
  <c r="I80" i="8"/>
  <c r="I79" i="8"/>
  <c r="I78" i="8"/>
  <c r="I77" i="8"/>
  <c r="I76" i="8"/>
  <c r="I75" i="8"/>
  <c r="I74" i="8"/>
  <c r="I73" i="8"/>
  <c r="I72" i="8"/>
  <c r="I71" i="8"/>
  <c r="I70" i="8"/>
  <c r="I69" i="8"/>
  <c r="I68" i="8"/>
  <c r="I67" i="8"/>
  <c r="I66" i="8"/>
  <c r="I65" i="8"/>
  <c r="I64" i="8"/>
  <c r="I63" i="8"/>
  <c r="I62" i="8"/>
  <c r="I61" i="8"/>
  <c r="I60" i="8"/>
  <c r="I59" i="8"/>
  <c r="I58" i="8"/>
  <c r="I57" i="8"/>
  <c r="I56" i="8"/>
  <c r="I55" i="8"/>
  <c r="I54" i="8"/>
  <c r="I53" i="8"/>
  <c r="I52" i="8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G200" i="8"/>
  <c r="G199" i="8"/>
  <c r="G198" i="8"/>
  <c r="G197" i="8"/>
  <c r="G196" i="8"/>
  <c r="G195" i="8"/>
  <c r="G194" i="8"/>
  <c r="G193" i="8"/>
  <c r="G192" i="8"/>
  <c r="G191" i="8"/>
  <c r="G190" i="8"/>
  <c r="G189" i="8"/>
  <c r="G188" i="8"/>
  <c r="G187" i="8"/>
  <c r="G186" i="8"/>
  <c r="G185" i="8"/>
  <c r="G184" i="8"/>
  <c r="G183" i="8"/>
  <c r="G182" i="8"/>
  <c r="G181" i="8"/>
  <c r="G180" i="8"/>
  <c r="G179" i="8"/>
  <c r="G178" i="8"/>
  <c r="G177" i="8"/>
  <c r="G176" i="8"/>
  <c r="G175" i="8"/>
  <c r="G174" i="8"/>
  <c r="G173" i="8"/>
  <c r="G172" i="8"/>
  <c r="G171" i="8"/>
  <c r="G170" i="8"/>
  <c r="G169" i="8"/>
  <c r="G168" i="8"/>
  <c r="G167" i="8"/>
  <c r="G166" i="8"/>
  <c r="G165" i="8"/>
  <c r="G164" i="8"/>
  <c r="G163" i="8"/>
  <c r="G162" i="8"/>
  <c r="G161" i="8"/>
  <c r="G160" i="8"/>
  <c r="G159" i="8"/>
  <c r="G158" i="8"/>
  <c r="G157" i="8"/>
  <c r="G156" i="8"/>
  <c r="G155" i="8"/>
  <c r="G154" i="8"/>
  <c r="G153" i="8"/>
  <c r="G152" i="8"/>
  <c r="G151" i="8"/>
  <c r="G150" i="8"/>
  <c r="G149" i="8"/>
  <c r="G148" i="8"/>
  <c r="G147" i="8"/>
  <c r="G146" i="8"/>
  <c r="G145" i="8"/>
  <c r="G144" i="8"/>
  <c r="G143" i="8"/>
  <c r="G142" i="8"/>
  <c r="G141" i="8"/>
  <c r="G140" i="8"/>
  <c r="G139" i="8"/>
  <c r="G138" i="8"/>
  <c r="G137" i="8"/>
  <c r="G136" i="8"/>
  <c r="G135" i="8"/>
  <c r="G134" i="8"/>
  <c r="G133" i="8"/>
  <c r="G132" i="8"/>
  <c r="G131" i="8"/>
  <c r="G130" i="8"/>
  <c r="G129" i="8"/>
  <c r="G128" i="8"/>
  <c r="G127" i="8"/>
  <c r="G126" i="8"/>
  <c r="G125" i="8"/>
  <c r="G124" i="8"/>
  <c r="G123" i="8"/>
  <c r="G122" i="8"/>
  <c r="G121" i="8"/>
  <c r="G120" i="8"/>
  <c r="G119" i="8"/>
  <c r="G118" i="8"/>
  <c r="G117" i="8"/>
  <c r="G116" i="8"/>
  <c r="G115" i="8"/>
  <c r="G114" i="8"/>
  <c r="G113" i="8"/>
  <c r="G112" i="8"/>
  <c r="G111" i="8"/>
  <c r="G110" i="8"/>
  <c r="G109" i="8"/>
  <c r="G108" i="8"/>
  <c r="G107" i="8"/>
  <c r="G106" i="8"/>
  <c r="G105" i="8"/>
  <c r="G104" i="8"/>
  <c r="G103" i="8"/>
  <c r="G102" i="8"/>
  <c r="G101" i="8"/>
  <c r="G100" i="8"/>
  <c r="G99" i="8"/>
  <c r="G98" i="8"/>
  <c r="G97" i="8"/>
  <c r="G96" i="8"/>
  <c r="G95" i="8"/>
  <c r="G94" i="8"/>
  <c r="G93" i="8"/>
  <c r="G92" i="8"/>
  <c r="G91" i="8"/>
  <c r="G90" i="8"/>
  <c r="G89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U157" i="8" l="1"/>
  <c r="U161" i="8"/>
  <c r="U165" i="8"/>
  <c r="U169" i="8"/>
  <c r="U173" i="8"/>
  <c r="U177" i="8"/>
  <c r="U181" i="8"/>
  <c r="U185" i="8"/>
  <c r="U189" i="8"/>
  <c r="U193" i="8"/>
  <c r="U197" i="8"/>
  <c r="U142" i="8"/>
  <c r="U146" i="8"/>
  <c r="U150" i="8"/>
  <c r="U154" i="8"/>
  <c r="U158" i="8"/>
  <c r="U162" i="8"/>
  <c r="U166" i="8"/>
  <c r="U170" i="8"/>
  <c r="U174" i="8"/>
  <c r="U178" i="8"/>
  <c r="U182" i="8"/>
  <c r="U186" i="8"/>
  <c r="U190" i="8"/>
  <c r="U194" i="8"/>
  <c r="U198" i="8"/>
  <c r="U164" i="8"/>
  <c r="U168" i="8"/>
  <c r="U172" i="8"/>
  <c r="U176" i="8"/>
  <c r="U180" i="8"/>
  <c r="U184" i="8"/>
  <c r="U188" i="8"/>
  <c r="U192" i="8"/>
  <c r="U196" i="8"/>
  <c r="U200" i="8"/>
  <c r="U121" i="8"/>
  <c r="U125" i="8"/>
  <c r="U129" i="8"/>
  <c r="U133" i="8"/>
  <c r="U137" i="8"/>
  <c r="U141" i="8"/>
  <c r="U145" i="8"/>
  <c r="U149" i="8"/>
  <c r="U153" i="8"/>
  <c r="U86" i="8"/>
  <c r="U90" i="8"/>
  <c r="U94" i="8"/>
  <c r="U98" i="8"/>
  <c r="U102" i="8"/>
  <c r="U106" i="8"/>
  <c r="U110" i="8"/>
  <c r="U114" i="8"/>
  <c r="U118" i="8"/>
  <c r="U122" i="8"/>
  <c r="U126" i="8"/>
  <c r="U130" i="8"/>
  <c r="U134" i="8"/>
  <c r="U138" i="8"/>
  <c r="U195" i="8"/>
  <c r="U199" i="8"/>
  <c r="U62" i="8"/>
  <c r="U66" i="8"/>
  <c r="U70" i="8"/>
  <c r="U74" i="8"/>
  <c r="U78" i="8"/>
  <c r="U82" i="8"/>
  <c r="U152" i="8"/>
  <c r="U156" i="8"/>
  <c r="U160" i="8"/>
  <c r="U72" i="8"/>
  <c r="U76" i="8"/>
  <c r="U80" i="8"/>
  <c r="U84" i="8"/>
  <c r="U88" i="8"/>
  <c r="U92" i="8"/>
  <c r="U96" i="8"/>
  <c r="U100" i="8"/>
  <c r="U104" i="8"/>
  <c r="U108" i="8"/>
  <c r="U112" i="8"/>
  <c r="U116" i="8"/>
  <c r="U120" i="8"/>
  <c r="U124" i="8"/>
  <c r="U128" i="8"/>
  <c r="U132" i="8"/>
  <c r="U136" i="8"/>
  <c r="U140" i="8"/>
  <c r="U144" i="8"/>
  <c r="U148" i="8"/>
  <c r="U54" i="8"/>
  <c r="U58" i="8"/>
  <c r="U68" i="8"/>
  <c r="U46" i="8"/>
  <c r="U50" i="8"/>
  <c r="U77" i="8"/>
  <c r="U81" i="8"/>
  <c r="U85" i="8"/>
  <c r="U89" i="8"/>
  <c r="U93" i="8"/>
  <c r="U97" i="8"/>
  <c r="U101" i="8"/>
  <c r="U105" i="8"/>
  <c r="U109" i="8"/>
  <c r="U113" i="8"/>
  <c r="U117" i="8"/>
  <c r="U34" i="8"/>
  <c r="U38" i="8"/>
  <c r="U42" i="8"/>
  <c r="U12" i="8"/>
  <c r="U16" i="8"/>
  <c r="U20" i="8"/>
  <c r="U24" i="8"/>
  <c r="U28" i="8"/>
  <c r="U32" i="8"/>
  <c r="U36" i="8"/>
  <c r="U40" i="8"/>
  <c r="U44" i="8"/>
  <c r="U48" i="8"/>
  <c r="U52" i="8"/>
  <c r="U56" i="8"/>
  <c r="U60" i="8"/>
  <c r="U64" i="8"/>
  <c r="U18" i="8"/>
  <c r="U22" i="8"/>
  <c r="U26" i="8"/>
  <c r="U30" i="8"/>
  <c r="U171" i="8"/>
  <c r="U175" i="8"/>
  <c r="U179" i="8"/>
  <c r="U183" i="8"/>
  <c r="U187" i="8"/>
  <c r="U191" i="8"/>
  <c r="U155" i="8"/>
  <c r="U159" i="8"/>
  <c r="U163" i="8"/>
  <c r="U147" i="8"/>
  <c r="U151" i="8"/>
  <c r="U167" i="8"/>
  <c r="U73" i="8"/>
  <c r="U11" i="8"/>
  <c r="U15" i="8"/>
  <c r="U19" i="8"/>
  <c r="U23" i="8"/>
  <c r="U27" i="8"/>
  <c r="U31" i="8"/>
  <c r="U35" i="8"/>
  <c r="U39" i="8"/>
  <c r="U43" i="8"/>
  <c r="U47" i="8"/>
  <c r="U51" i="8"/>
  <c r="U55" i="8"/>
  <c r="U59" i="8"/>
  <c r="U63" i="8"/>
  <c r="U67" i="8"/>
  <c r="U71" i="8"/>
  <c r="U75" i="8"/>
  <c r="U79" i="8"/>
  <c r="U83" i="8"/>
  <c r="U87" i="8"/>
  <c r="U91" i="8"/>
  <c r="U95" i="8"/>
  <c r="U99" i="8"/>
  <c r="U103" i="8"/>
  <c r="U107" i="8"/>
  <c r="U111" i="8"/>
  <c r="U115" i="8"/>
  <c r="U119" i="8"/>
  <c r="U123" i="8"/>
  <c r="U127" i="8"/>
  <c r="U131" i="8"/>
  <c r="U135" i="8"/>
  <c r="U139" i="8"/>
  <c r="U143" i="8"/>
  <c r="U13" i="8"/>
  <c r="U17" i="8"/>
  <c r="U21" i="8"/>
  <c r="U25" i="8"/>
  <c r="U29" i="8"/>
  <c r="U33" i="8"/>
  <c r="U37" i="8"/>
  <c r="U41" i="8"/>
  <c r="U45" i="8"/>
  <c r="U49" i="8"/>
  <c r="U53" i="8"/>
  <c r="U57" i="8"/>
  <c r="U61" i="8"/>
  <c r="U65" i="8"/>
  <c r="U69" i="8"/>
  <c r="U10" i="8"/>
  <c r="U14" i="8"/>
  <c r="J5" i="8"/>
  <c r="I5" i="8"/>
  <c r="G5" i="8"/>
  <c r="E5" i="8"/>
  <c r="D5" i="8"/>
  <c r="B5" i="8"/>
  <c r="U5" i="8" l="1"/>
  <c r="R11" i="8"/>
  <c r="R12" i="8"/>
  <c r="R200" i="8"/>
  <c r="R199" i="8"/>
  <c r="R198" i="8"/>
  <c r="R197" i="8"/>
  <c r="R196" i="8"/>
  <c r="R195" i="8"/>
  <c r="R194" i="8"/>
  <c r="R193" i="8"/>
  <c r="R192" i="8"/>
  <c r="R191" i="8"/>
  <c r="R190" i="8"/>
  <c r="R189" i="8"/>
  <c r="R188" i="8"/>
  <c r="R187" i="8"/>
  <c r="R186" i="8"/>
  <c r="R185" i="8"/>
  <c r="R184" i="8"/>
  <c r="R183" i="8"/>
  <c r="R182" i="8"/>
  <c r="R181" i="8"/>
  <c r="R180" i="8"/>
  <c r="R179" i="8"/>
  <c r="R178" i="8"/>
  <c r="R177" i="8"/>
  <c r="R176" i="8"/>
  <c r="R175" i="8"/>
  <c r="R174" i="8"/>
  <c r="R173" i="8"/>
  <c r="R172" i="8"/>
  <c r="R171" i="8"/>
  <c r="R170" i="8"/>
  <c r="R169" i="8"/>
  <c r="R168" i="8"/>
  <c r="R167" i="8"/>
  <c r="R166" i="8"/>
  <c r="R165" i="8"/>
  <c r="R164" i="8"/>
  <c r="R163" i="8"/>
  <c r="R162" i="8"/>
  <c r="R161" i="8"/>
  <c r="R160" i="8"/>
  <c r="R159" i="8"/>
  <c r="R158" i="8"/>
  <c r="R157" i="8"/>
  <c r="R156" i="8"/>
  <c r="R155" i="8"/>
  <c r="R154" i="8"/>
  <c r="R153" i="8"/>
  <c r="R152" i="8"/>
  <c r="R151" i="8"/>
  <c r="R150" i="8"/>
  <c r="R149" i="8"/>
  <c r="R148" i="8"/>
  <c r="R147" i="8"/>
  <c r="R146" i="8"/>
  <c r="R145" i="8"/>
  <c r="R144" i="8"/>
  <c r="R143" i="8"/>
  <c r="R142" i="8"/>
  <c r="R141" i="8"/>
  <c r="R140" i="8"/>
  <c r="R139" i="8"/>
  <c r="R138" i="8"/>
  <c r="R137" i="8"/>
  <c r="R136" i="8"/>
  <c r="R135" i="8"/>
  <c r="R134" i="8"/>
  <c r="R133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119" i="8"/>
  <c r="R118" i="8"/>
  <c r="R117" i="8"/>
  <c r="R116" i="8"/>
  <c r="R115" i="8"/>
  <c r="R114" i="8"/>
  <c r="R113" i="8"/>
  <c r="R112" i="8"/>
  <c r="R111" i="8"/>
  <c r="R110" i="8"/>
  <c r="R109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0" i="8"/>
  <c r="R13" i="8"/>
  <c r="R14" i="8"/>
  <c r="R15" i="8"/>
  <c r="N200" i="8"/>
  <c r="N199" i="8"/>
  <c r="N198" i="8"/>
  <c r="N197" i="8"/>
  <c r="N196" i="8"/>
  <c r="N195" i="8"/>
  <c r="N194" i="8"/>
  <c r="N193" i="8"/>
  <c r="N192" i="8"/>
  <c r="N191" i="8"/>
  <c r="N190" i="8"/>
  <c r="N189" i="8"/>
  <c r="N188" i="8"/>
  <c r="N187" i="8"/>
  <c r="N186" i="8"/>
  <c r="N185" i="8"/>
  <c r="N184" i="8"/>
  <c r="N183" i="8"/>
  <c r="N182" i="8"/>
  <c r="N181" i="8"/>
  <c r="N180" i="8"/>
  <c r="N179" i="8"/>
  <c r="N178" i="8"/>
  <c r="N177" i="8"/>
  <c r="N176" i="8"/>
  <c r="N175" i="8"/>
  <c r="N174" i="8"/>
  <c r="N173" i="8"/>
  <c r="N172" i="8"/>
  <c r="N171" i="8"/>
  <c r="N170" i="8"/>
  <c r="N169" i="8"/>
  <c r="N168" i="8"/>
  <c r="N167" i="8"/>
  <c r="N166" i="8"/>
  <c r="N165" i="8"/>
  <c r="N164" i="8"/>
  <c r="N163" i="8"/>
  <c r="N162" i="8"/>
  <c r="N161" i="8"/>
  <c r="N160" i="8"/>
  <c r="N159" i="8"/>
  <c r="N158" i="8"/>
  <c r="N157" i="8"/>
  <c r="N156" i="8"/>
  <c r="N155" i="8"/>
  <c r="N154" i="8"/>
  <c r="N153" i="8"/>
  <c r="N152" i="8"/>
  <c r="N151" i="8"/>
  <c r="N150" i="8"/>
  <c r="N149" i="8"/>
  <c r="N148" i="8"/>
  <c r="N147" i="8"/>
  <c r="N146" i="8"/>
  <c r="N145" i="8"/>
  <c r="N144" i="8"/>
  <c r="N143" i="8"/>
  <c r="N142" i="8"/>
  <c r="N141" i="8"/>
  <c r="N140" i="8"/>
  <c r="N139" i="8"/>
  <c r="N138" i="8"/>
  <c r="N137" i="8"/>
  <c r="N136" i="8"/>
  <c r="N135" i="8"/>
  <c r="N134" i="8"/>
  <c r="N133" i="8"/>
  <c r="N132" i="8"/>
  <c r="N131" i="8"/>
  <c r="N130" i="8"/>
  <c r="N129" i="8"/>
  <c r="N128" i="8"/>
  <c r="N127" i="8"/>
  <c r="N126" i="8"/>
  <c r="N125" i="8"/>
  <c r="N124" i="8"/>
  <c r="N123" i="8"/>
  <c r="N122" i="8"/>
  <c r="N121" i="8"/>
  <c r="N120" i="8"/>
  <c r="N119" i="8"/>
  <c r="N118" i="8"/>
  <c r="N117" i="8"/>
  <c r="N116" i="8"/>
  <c r="N115" i="8"/>
  <c r="N114" i="8"/>
  <c r="N113" i="8"/>
  <c r="N112" i="8"/>
  <c r="N111" i="8"/>
  <c r="N110" i="8"/>
  <c r="N109" i="8"/>
  <c r="N108" i="8"/>
  <c r="N107" i="8"/>
  <c r="N106" i="8"/>
  <c r="N105" i="8"/>
  <c r="N104" i="8"/>
  <c r="N103" i="8"/>
  <c r="N102" i="8"/>
  <c r="N101" i="8"/>
  <c r="N100" i="8"/>
  <c r="N99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N84" i="8"/>
  <c r="N83" i="8"/>
  <c r="N82" i="8"/>
  <c r="N81" i="8"/>
  <c r="N80" i="8"/>
  <c r="N79" i="8"/>
  <c r="N78" i="8"/>
  <c r="N77" i="8"/>
  <c r="N76" i="8"/>
  <c r="N75" i="8"/>
  <c r="N74" i="8"/>
  <c r="N73" i="8"/>
  <c r="N72" i="8"/>
  <c r="N71" i="8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57" i="8"/>
  <c r="N56" i="8"/>
  <c r="N55" i="8"/>
  <c r="N5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0" i="8"/>
  <c r="N13" i="8"/>
  <c r="N14" i="8"/>
  <c r="N15" i="8"/>
  <c r="N11" i="8"/>
  <c r="N12" i="8"/>
  <c r="N5" i="8" l="1"/>
  <c r="R5" i="8" l="1"/>
</calcChain>
</file>

<file path=xl/comments1.xml><?xml version="1.0" encoding="utf-8"?>
<comments xmlns="http://schemas.openxmlformats.org/spreadsheetml/2006/main">
  <authors>
    <author>Silva, Lincoln Lopes da (BR - Sao Paulo)</author>
  </authors>
  <commentList>
    <comment ref="M9" authorId="0" shapeId="0">
      <text>
        <r>
          <rPr>
            <b/>
            <sz val="9"/>
            <color indexed="81"/>
            <rFont val="Tahoma"/>
            <charset val="1"/>
          </rPr>
          <t>Silva, Lincoln Lopes da (BR - Sao Paulo):</t>
        </r>
        <r>
          <rPr>
            <sz val="9"/>
            <color indexed="81"/>
            <rFont val="Tahoma"/>
            <charset val="1"/>
          </rPr>
          <t xml:space="preserve">
Nome do fornecedor, preencher somente com os valores da lista</t>
        </r>
      </text>
    </comment>
  </commentList>
</comments>
</file>

<file path=xl/sharedStrings.xml><?xml version="1.0" encoding="utf-8"?>
<sst xmlns="http://schemas.openxmlformats.org/spreadsheetml/2006/main" count="18773" uniqueCount="4943">
  <si>
    <t>Proxy?</t>
  </si>
  <si>
    <t>Endereço:</t>
  </si>
  <si>
    <t>Porta:</t>
  </si>
  <si>
    <t>Usuário:</t>
  </si>
  <si>
    <t>Senha:</t>
  </si>
  <si>
    <t>Servidor:</t>
  </si>
  <si>
    <t>Usuário (e-mail):</t>
  </si>
  <si>
    <t>Debug</t>
  </si>
  <si>
    <t>Debug detalhado?</t>
  </si>
  <si>
    <t>Não</t>
  </si>
  <si>
    <t>QUERY CODE</t>
  </si>
  <si>
    <t>QUERY FILTER</t>
  </si>
  <si>
    <t>First row</t>
  </si>
  <si>
    <t>First Column</t>
  </si>
  <si>
    <t>Last Column</t>
  </si>
  <si>
    <t>.</t>
  </si>
  <si>
    <t>ID_INVESTIMENTO</t>
  </si>
  <si>
    <t>TASK_ID</t>
  </si>
  <si>
    <t>RESOURCE_ID</t>
  </si>
  <si>
    <t>RESOURCE TRANSCLASS</t>
  </si>
  <si>
    <t>ID TIPO CUSTO
Código de encargo
Charge Code</t>
  </si>
  <si>
    <t>ID CLASSE DE TRANSAÇÃO
Transclass</t>
  </si>
  <si>
    <t>TIPO CLASSE DE TRANSAÇÃO
Trans Type</t>
  </si>
  <si>
    <t>CÓDIGO DE ENTRADA</t>
  </si>
  <si>
    <t>ID COD ETAPA
Cód tipo de entrada
Type Code</t>
  </si>
  <si>
    <t>ESTABELECIMENTO</t>
  </si>
  <si>
    <t>ID ESTAB
VALOR 1 USR</t>
  </si>
  <si>
    <t>FORNECEDOR</t>
  </si>
  <si>
    <t>ID FORN
VALOR 2 USR</t>
  </si>
  <si>
    <t>DATA DA TRANSAÇÃO</t>
  </si>
  <si>
    <t>QUANTIDADE</t>
  </si>
  <si>
    <t>CUSTO TOTAL</t>
  </si>
  <si>
    <t>OBSERVAÇÕES</t>
  </si>
  <si>
    <t>ENVIADO COM SUCESSO?</t>
  </si>
  <si>
    <t>2016-08-26_10:54 - -------------Início da exportação transações de projeto-------------</t>
  </si>
  <si>
    <t>2016-08-26_10:54 - Arquivo xog sendo gravado em: C:\xog_rumo_all_financial\xog_transaction_lote_20160826_105402.xml</t>
  </si>
  <si>
    <t>2016-08-26_10:54 - -------------Fim da exportação transações de projeto-------------</t>
  </si>
  <si>
    <t>2016-08-26_10:54 - Arquivo xog sendo gravado em: C:\xog_rumo_all_financial\xog_transaction_lote_20160826_105404.xml</t>
  </si>
  <si>
    <t>2016-08-26_10:54 - Proxy identificado</t>
  </si>
  <si>
    <t>2016-08-26_10:54 - Ambiente selecionado: DEV</t>
  </si>
  <si>
    <t>2016-08-26_10:54 - Escrevendo tarefas...</t>
  </si>
  <si>
    <t>2016-08-26_10:56 - Proxy identificado</t>
  </si>
  <si>
    <t>2016-08-26_10:56 - Ambiente selecionado: DEV</t>
  </si>
  <si>
    <t>2016-08-26_10:56 - Escrevendo tarefas...</t>
  </si>
  <si>
    <t>2016-08-26_10:56 - Escrevendo locais...</t>
  </si>
  <si>
    <t>2016-08-26_10:56 - Escrevendo períodos...</t>
  </si>
  <si>
    <t>2016-08-26_10:56 - Escrevendo fornecedores...</t>
  </si>
  <si>
    <t>2016-08-26_10:56 - Escrevendo departamentos...</t>
  </si>
  <si>
    <t>2016-08-26_10:56 - Escrevendo centros de custo...</t>
  </si>
  <si>
    <t>2016-08-26_10:56 - Escrevendo recursos e classes de transacao...</t>
  </si>
  <si>
    <t>2016-08-26_10:56 - Escrevendo classes de transacao...</t>
  </si>
  <si>
    <t>2016-08-26_10:59 - Proxy identificado</t>
  </si>
  <si>
    <t>2016-08-26_10:59 - Ambiente selecionado: DEV</t>
  </si>
  <si>
    <t>2016-08-26_10:59 - Escrevendo tarefas...</t>
  </si>
  <si>
    <t>2016-08-26_10:59 - Escrevendo locais...</t>
  </si>
  <si>
    <t>2016-08-26_10:59 - Escrevendo períodos...</t>
  </si>
  <si>
    <t>2016-08-26_10:59 - Escrevendo fornecedores...</t>
  </si>
  <si>
    <t>2016-08-26_10:59 - Escrevendo departamentos...</t>
  </si>
  <si>
    <t>2016-08-26_10:59 - Escrevendo centros de custo...</t>
  </si>
  <si>
    <t>2016-08-26_10:59 - Escrevendo recursos e classes de transacao...</t>
  </si>
  <si>
    <t>2016-08-26_10:59 - Escrevendo classes de transacao...</t>
  </si>
  <si>
    <t>2016-08-26_11:00 - Proxy identificado</t>
  </si>
  <si>
    <t>2016-08-26_11:00 - Ambiente selecionado: DEV</t>
  </si>
  <si>
    <t>2016-08-26_11:00 - Escrevendo tarefas...</t>
  </si>
  <si>
    <t>2016-08-26_11:00 - Escrevendo locais...</t>
  </si>
  <si>
    <t>2016-08-26_11:00 - Escrevendo períodos...</t>
  </si>
  <si>
    <t>2016-08-26_11:00 - Escrevendo fornecedores...</t>
  </si>
  <si>
    <t>2016-08-26_11:00 - Escrevendo departamentos...</t>
  </si>
  <si>
    <t>2016-08-26_11:00 - Escrevendo centros de custo...</t>
  </si>
  <si>
    <t>2016-08-26_11:00 - Escrevendo recursos e classes de transacao...</t>
  </si>
  <si>
    <t>2016-08-26_11:00 - Escrevendo classes de transacao...</t>
  </si>
  <si>
    <t>2016-08-26_11:01 - Escrevendo classes de transacao...</t>
  </si>
  <si>
    <t>2016-08-26_11:01 - Proxy identificado</t>
  </si>
  <si>
    <t>2016-08-26_11:01 - Ambiente selecionado: DEV</t>
  </si>
  <si>
    <t>2016-08-26_11:01 - Escrevendo tarefas...</t>
  </si>
  <si>
    <t>2016-08-26_11:01 - Escrevendo locais...</t>
  </si>
  <si>
    <t>2016-08-26_11:01 - Escrevendo períodos...</t>
  </si>
  <si>
    <t>2016-08-26_11:01 - Escrevendo fornecedores...</t>
  </si>
  <si>
    <t>2016-08-26_11:01 - Escrevendo departamentos...</t>
  </si>
  <si>
    <t>2016-08-26_11:01 - Escrevendo centros de custo...</t>
  </si>
  <si>
    <t>2016-08-26_11:01 - Escrevendo recursos e classes de transacao...</t>
  </si>
  <si>
    <t>2016-08-26_11:06 - -------------Início da exportação transações de projeto-------------</t>
  </si>
  <si>
    <t>2016-08-26_11:06 - Arquivo xog sendo gravado em: C:\xog_rumo_all_financial\xog_transaction_lote_20160826_110603.xml</t>
  </si>
  <si>
    <t>2016-08-26_11:06 - -------------Fim da exportação transações de projeto-------------</t>
  </si>
  <si>
    <t>2016-08-26_11:06 - Arquivo xog sendo gravado em: C:\xog_rumo_all_financial\xog_transaction_lote_20160826_110605.xml</t>
  </si>
  <si>
    <t>2016-08-26_11:07 - -------------Início da exportação transações de projeto-------------</t>
  </si>
  <si>
    <t>2016-08-26_11:07 - Arquivo xog sendo gravado em: C:\xog_rumo_all_financial\xog_transaction_lote_20160826_110756.xml</t>
  </si>
  <si>
    <t>2016-08-26_11:07 - Proxy identificado</t>
  </si>
  <si>
    <t>2016-08-26_11:07 - Ambiente selecionado: DEV</t>
  </si>
  <si>
    <t>2016-08-26_11:07 -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</si>
  <si>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2016-08-26_11:07 - Enviando requisição de login</t>
  </si>
  <si>
    <t>2016-08-26_11:07 - Login realizado. SessionID capturado: 9365206__C8238F9C-2890-4A17-BD2A-272EB0C33757</t>
  </si>
  <si>
    <t>2016-08-26_11:07 - Chamando mensagem de requisição</t>
  </si>
  <si>
    <t>2016-08-26_11:07 - Capturando resultado final</t>
  </si>
  <si>
    <t>2016-08-26_11:07 - Efetuando logout</t>
  </si>
  <si>
    <t>2016-08-26_11:07 - Logout realizado</t>
  </si>
  <si>
    <t>2016-08-26_11:07 - -------------Fim da exportação transações de projeto-------------</t>
  </si>
  <si>
    <t>2016-08-26_11:08 - -------------Início da exportação transações de projeto-------------</t>
  </si>
  <si>
    <t>2016-08-26_11:08 - Arquivo xog sendo gravado em: C:\xog_rumo_all_financial\xog_transaction_lote_20160826_110800.xml</t>
  </si>
  <si>
    <t>2016-08-26_11:08 - Proxy identificado</t>
  </si>
  <si>
    <t>2016-08-26_11:08 - Ambiente selecionado: DEV</t>
  </si>
  <si>
    <t>2016-08-26_11:08 -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</si>
  <si>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2016-08-26_11:08 - Enviando requisição de login</t>
  </si>
  <si>
    <t>2016-08-26_11:08 - Login realizado. SessionID capturado: 9365207__A8BC0300-3718-4EBE-AAA8-B919560098BC</t>
  </si>
  <si>
    <t>2016-08-26_11:08 - Chamando mensagem de requisição</t>
  </si>
  <si>
    <t>2016-08-26_11:08 - Capturando resultado final</t>
  </si>
  <si>
    <t>2016-08-26_11:08 - Efetuando logout</t>
  </si>
  <si>
    <t>2016-08-26_11:08 - Logout realizado</t>
  </si>
  <si>
    <t>2016-08-26_11:08 - -------------Fim da exportação transações de projeto-------------</t>
  </si>
  <si>
    <t>2016-08-26_11:12 - -------------Início da exportação transações de projeto-------------</t>
  </si>
  <si>
    <t>2016-08-26_11:12 - Arquivo xog sendo gravado em: C:\xog_rumo_all_financial\xog_transaction_lote_20160826_111210.xml</t>
  </si>
  <si>
    <t>2016-08-26_11:12 - Proxy identificado</t>
  </si>
  <si>
    <t>2016-08-26_11:12 - Ambiente selecionado: DEV</t>
  </si>
  <si>
    <t>2016-08-26_11:12 -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</si>
  <si>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2016-08-26_11:12 - Enviando requisição de login</t>
  </si>
  <si>
    <t>2016-08-26_11:12 - Login realizado. SessionID capturado: 9365210__39699FAE-40F5-4952-A90E-ACB6F79EE257</t>
  </si>
  <si>
    <t>2016-08-26_11:12 - Chamando mensagem de requisição</t>
  </si>
  <si>
    <t>2016-08-26_11:12 - Capturando resultado final</t>
  </si>
  <si>
    <t>2016-08-26_11:12 - Efetuando logout</t>
  </si>
  <si>
    <t>2016-08-26_11:12 - Logout realizado</t>
  </si>
  <si>
    <t>2016-08-26_11:12 - -------------Fim da exportação transações de projeto-------------</t>
  </si>
  <si>
    <t>2016-08-26_11:12 - Arquivo xog sendo gravado em: C:\xog_rumo_all_financial\xog_transaction_lote_20160826_111214.xml</t>
  </si>
  <si>
    <t>2016-08-26_11:12 - Login realizado. SessionID capturado: 9365211__03EF9C9B-BDDC-44D7-9449-21170F366A4A</t>
  </si>
  <si>
    <t>2016-08-26_11:15 - Proxy identificado</t>
  </si>
  <si>
    <t>2016-08-26_11:15 - Ambiente selecionado: DEV</t>
  </si>
  <si>
    <t>2016-08-26_11:15 - Escrevendo tarefas...</t>
  </si>
  <si>
    <t>2016-08-26_11:15 - Escrevendo locais...</t>
  </si>
  <si>
    <t>2016-08-26_11:15 - Escrevendo períodos...</t>
  </si>
  <si>
    <t>2016-08-26_11:15 - Escrevendo fornecedores...</t>
  </si>
  <si>
    <t>2016-08-26_11:15 - Escrevendo departamentos...</t>
  </si>
  <si>
    <t>2016-08-26_11:15 - Escrevendo centros de custo...</t>
  </si>
  <si>
    <t>2016-08-26_11:15 - Escrevendo recursos e classes de transacao...</t>
  </si>
  <si>
    <t>2016-08-26_11:15 - Escrevendo classes de transacao...</t>
  </si>
  <si>
    <t>2016-08-26_11:16 - Proxy identificado</t>
  </si>
  <si>
    <t>2016-08-26_11:16 - Ambiente selecionado: DEV</t>
  </si>
  <si>
    <t>2016-08-26_11:17 - -------------Início da exportação transações de projeto-------------</t>
  </si>
  <si>
    <t>2016-08-26_11:17 - Arquivo xog sendo gravado em: C:\xog_rumo_all_financial\xog_transaction_lote_20160826_111738.xml</t>
  </si>
  <si>
    <t>2016-08-26_11:17 - Proxy identificado</t>
  </si>
  <si>
    <t>2016-08-26_11:17 - Ambiente selecionado: DEV</t>
  </si>
  <si>
    <t>2016-08-26_11:17 -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</si>
  <si>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2016-08-26_11:17 - Enviando requisição de login</t>
  </si>
  <si>
    <t>2016-08-26_11:17 - Login realizado. SessionID capturado: 9365221__FC30CD44-C26E-423E-ADE1-63717ABF33F1</t>
  </si>
  <si>
    <t>2016-08-26_11:17 - Chamando mensagem de requisição</t>
  </si>
  <si>
    <t>2016-08-26_11:17 - Capturando resultado final</t>
  </si>
  <si>
    <t>2016-08-26_11:17 - Efetuando logout</t>
  </si>
  <si>
    <t>2016-08-26_11:17 - Logout realizado</t>
  </si>
  <si>
    <t>2016-08-26_11:17 - -------------Fim da exportação transações de projeto-------------</t>
  </si>
  <si>
    <t>2016-08-26_11:17 - Arquivo xog sendo gravado em: C:\xog_rumo_all_financial\xog_transaction_lote_20160826_111741.xml</t>
  </si>
  <si>
    <t>2016-08-26_11:17 - Login realizado. SessionID capturado: 9365222__CFD121C3-C11A-46A2-9B70-518577F04DFA</t>
  </si>
  <si>
    <t>2016-08-26_13:59 - Proxy identificado</t>
  </si>
  <si>
    <t>2016-08-26_13:59 - Ambiente selecionado: DEV</t>
  </si>
  <si>
    <t>2016-08-26_13:59 - Escrevendo tarefas...</t>
  </si>
  <si>
    <t>2016-08-26_13:59 - Escrevendo locais...</t>
  </si>
  <si>
    <t>2016-08-26_13:59 - Escrevendo períodos...</t>
  </si>
  <si>
    <t>2016-08-26_13:59 - Escrevendo fornecedores...</t>
  </si>
  <si>
    <t>2016-08-26_13:59 - Escrevendo departamentos...</t>
  </si>
  <si>
    <t>2016-08-26_13:59 - Escrevendo centros de custo...</t>
  </si>
  <si>
    <t>2016-08-26_13:59 - Escrevendo recursos e classes de transacao...</t>
  </si>
  <si>
    <t>2016-08-26_13:59 - Escrevendo classes de transacao...</t>
  </si>
  <si>
    <t>2016-08-26_14:03 - Proxy identificado</t>
  </si>
  <si>
    <t>2016-08-26_14:03 - Ambiente selecionado: DEV</t>
  </si>
  <si>
    <t>2016-08-26_14:04 - Escrevendo tarefas...</t>
  </si>
  <si>
    <t>2016-08-26_14:04 - Escrevendo locais...</t>
  </si>
  <si>
    <t>2016-08-26_14:05 - Proxy identificado</t>
  </si>
  <si>
    <t>2016-08-26_14:05 - Ambiente selecionado: DEV</t>
  </si>
  <si>
    <t>2016-08-26_14:05 - Escrevendo tarefas...</t>
  </si>
  <si>
    <t>2016-08-26_14:05 - Escrevendo locais...</t>
  </si>
  <si>
    <t>2016-08-26_14:05 - Escrevendo períodos...</t>
  </si>
  <si>
    <t>2016-08-26_14:05 - Escrevendo fornecedores...</t>
  </si>
  <si>
    <t>2016-08-26_14:05 - Escrevendo departamentos...</t>
  </si>
  <si>
    <t>2016-08-26_14:05 - Escrevendo centros de custo...</t>
  </si>
  <si>
    <t>2016-08-26_14:05 - Escrevendo recursos e classes de transacao...</t>
  </si>
  <si>
    <t>2016-08-26_14:05 - Escrevendo classes de transacao...</t>
  </si>
  <si>
    <t>2016-08-26_14:06 - Escrevendo tarefas...</t>
  </si>
  <si>
    <t>2016-08-26_14:06 - Escrevendo locais...</t>
  </si>
  <si>
    <t>2016-08-26_14:06 - Escrevendo períodos...</t>
  </si>
  <si>
    <t>2016-08-26_14:06 - Escrevendo fornecedores...</t>
  </si>
  <si>
    <t>2016-08-26_14:06 - Escrevendo departamentos...</t>
  </si>
  <si>
    <t>2016-08-26_14:06 - Escrevendo centros de custo...</t>
  </si>
  <si>
    <t>2016-08-26_14:06 - Escrevendo recursos e classes de transacao...</t>
  </si>
  <si>
    <t>2016-08-26_14:06 - Escrevendo classes de transacao...</t>
  </si>
  <si>
    <t>2016-08-26_14:06 - Proxy identificado</t>
  </si>
  <si>
    <t>2016-08-26_14:06 - Ambiente selecionado: DEV</t>
  </si>
  <si>
    <t>2016-08-26_14:25 - Proxy identificado</t>
  </si>
  <si>
    <t>2016-08-26_14:25 - Ambiente selecionado: DEV</t>
  </si>
  <si>
    <t>2016-08-26_14:25 - Escrevendo tarefas...</t>
  </si>
  <si>
    <t>2016-08-26_14:25 - Escrevendo locais...</t>
  </si>
  <si>
    <t>2016-08-26_14:25 - Escrevendo períodos...</t>
  </si>
  <si>
    <t>2016-08-26_14:25 - Escrevendo fornecedores...</t>
  </si>
  <si>
    <t>2016-08-26_14:25 - Escrevendo departamentos...</t>
  </si>
  <si>
    <t>2016-08-26_14:25 - Escrevendo centros de custo...</t>
  </si>
  <si>
    <t>2016-08-26_14:25 - Escrevendo recursos e classes de transacao...</t>
  </si>
  <si>
    <t>2016-08-26_14:25 - Escrevendo classes de transacao...</t>
  </si>
  <si>
    <t>2016-08-26_14:31 - Proxy identificado</t>
  </si>
  <si>
    <t>2016-08-26_14:31 - Ambiente selecionado: DEV</t>
  </si>
  <si>
    <t>2016-08-26_14:31 - Escrevendo tarefas...</t>
  </si>
  <si>
    <t>2016-08-26_14:31 - Escrevendo locais...</t>
  </si>
  <si>
    <t>2016-08-26_14:31 - Escrevendo períodos...</t>
  </si>
  <si>
    <t>2016-08-26_14:31 - Escrevendo fornecedores...</t>
  </si>
  <si>
    <t>2016-08-26_14:31 - Escrevendo departamentos...</t>
  </si>
  <si>
    <t>2016-08-26_14:31 - Escrevendo centros de custo...</t>
  </si>
  <si>
    <t>2016-08-26_14:31 - Escrevendo recursos e classes de transacao...</t>
  </si>
  <si>
    <t>2016-08-26_14:31 - Escrevendo classes de transacao...</t>
  </si>
  <si>
    <t>2016-08-26_14:37 - Proxy identificado</t>
  </si>
  <si>
    <t>2016-08-26_14:37 - Ambiente selecionado: DEV</t>
  </si>
  <si>
    <t>2016-08-26_14:37 - Escrevendo tarefas...</t>
  </si>
  <si>
    <t>2016-08-26_14:37 - Escrevendo locais...</t>
  </si>
  <si>
    <t>2016-08-26_14:37 - Escrevendo períodos...</t>
  </si>
  <si>
    <t>2016-08-26_14:37 - Escrevendo fornecedores...</t>
  </si>
  <si>
    <t>2016-08-26_14:37 - Escrevendo departamentos...</t>
  </si>
  <si>
    <t>2016-08-26_14:37 - Escrevendo centros de custo...</t>
  </si>
  <si>
    <t>2016-08-26_14:37 - Escrevendo recursos e classes de transacao...</t>
  </si>
  <si>
    <t>2016-08-26_14:37 - Escrevendo classes de transacao...</t>
  </si>
  <si>
    <t>2016-08-26_14:38 - Proxy identificado</t>
  </si>
  <si>
    <t>2016-08-26_14:38 - Ambiente selecionado: DEV</t>
  </si>
  <si>
    <t>2016-08-26_14:38 - Escrevendo tarefas...</t>
  </si>
  <si>
    <t>2016-08-26_14:38 - Escrevendo locais...</t>
  </si>
  <si>
    <t>2016-08-26_14:38 - Escrevendo períodos...</t>
  </si>
  <si>
    <t>2016-08-26_14:38 - Escrevendo fornecedores...</t>
  </si>
  <si>
    <t>2016-08-26_14:38 - Escrevendo departamentos...</t>
  </si>
  <si>
    <t>2016-08-26_14:38 - Escrevendo centros de custo...</t>
  </si>
  <si>
    <t>2016-08-26_14:38 - Escrevendo recursos e classes de transacao...</t>
  </si>
  <si>
    <t>2016-08-26_14:38 - Escrevendo classes de transacao...</t>
  </si>
  <si>
    <t>2016-08-26_14:42 - Proxy identificado</t>
  </si>
  <si>
    <t>2016-08-26_14:42 - Ambiente selecionado: DEV</t>
  </si>
  <si>
    <t>2016-08-26_14:42 - Escrevendo tarefas...</t>
  </si>
  <si>
    <t>2016-08-26_14:42 - Escrevendo locais...</t>
  </si>
  <si>
    <t>2016-08-26_14:42 - Escrevendo períodos...</t>
  </si>
  <si>
    <t>2016-08-26_14:42 - Escrevendo fornecedores...</t>
  </si>
  <si>
    <t>2016-08-26_14:42 - Escrevendo departamentos...</t>
  </si>
  <si>
    <t>2016-08-26_14:42 - Escrevendo centros de custo...</t>
  </si>
  <si>
    <t>2016-08-26_14:42 - Escrevendo recursos e classes de transacao...</t>
  </si>
  <si>
    <t>2016-08-26_14:42 - Escrevendo classes de transacao...</t>
  </si>
  <si>
    <t>2016-08-26_14:44 - Escrevendo classes de transacao...</t>
  </si>
  <si>
    <t>2016-08-26_14:44 - Proxy identificado</t>
  </si>
  <si>
    <t>2016-08-26_14:44 - Ambiente selecionado: DEV</t>
  </si>
  <si>
    <t>2016-08-26_14:44 - Escrevendo tarefas...</t>
  </si>
  <si>
    <t>2016-08-26_14:44 - Escrevendo locais...</t>
  </si>
  <si>
    <t>2016-08-26_14:44 - Escrevendo períodos...</t>
  </si>
  <si>
    <t>2016-08-26_14:44 - Escrevendo fornecedores...</t>
  </si>
  <si>
    <t>2016-08-26_14:44 - Escrevendo departamentos...</t>
  </si>
  <si>
    <t>2016-08-26_14:44 - Escrevendo centros de custo...</t>
  </si>
  <si>
    <t>2016-08-26_14:44 - Escrevendo recursos e classes de transacao...</t>
  </si>
  <si>
    <t>2016-08-26_14:45 - Proxy identificado</t>
  </si>
  <si>
    <t>2016-08-26_14:45 - Ambiente selecionado: DEV</t>
  </si>
  <si>
    <t>2016-08-26_14:45 - Escrevendo tarefas...</t>
  </si>
  <si>
    <t>2016-08-26_14:45 - Escrevendo locais...</t>
  </si>
  <si>
    <t>2016-08-26_14:45 - Escrevendo períodos...</t>
  </si>
  <si>
    <t>2016-08-26_14:45 - Escrevendo fornecedores...</t>
  </si>
  <si>
    <t>2016-08-26_14:45 - Escrevendo departamentos...</t>
  </si>
  <si>
    <t>2016-08-26_14:45 - Escrevendo centros de custo...</t>
  </si>
  <si>
    <t>2016-08-26_14:45 - Escrevendo recursos e classes de transacao...</t>
  </si>
  <si>
    <t>2016-08-26_14:45 - Escrevendo classes de transacao...</t>
  </si>
  <si>
    <t>2016-08-26_14:46 - Escrevendo classes de transacao...</t>
  </si>
  <si>
    <t>2016-08-26_14:46 - Proxy identificado</t>
  </si>
  <si>
    <t>2016-08-26_14:46 - Ambiente selecionado: DEV</t>
  </si>
  <si>
    <t>2016-08-26_14:46 - Escrevendo tarefas...</t>
  </si>
  <si>
    <t>2016-08-26_14:46 - Escrevendo locais...</t>
  </si>
  <si>
    <t>2016-08-26_14:46 - Escrevendo períodos...</t>
  </si>
  <si>
    <t>2016-08-26_14:46 - Escrevendo fornecedores...</t>
  </si>
  <si>
    <t>2016-08-26_14:46 - Escrevendo departamentos...</t>
  </si>
  <si>
    <t>2016-08-26_14:46 - Escrevendo centros de custo...</t>
  </si>
  <si>
    <t>2016-08-26_14:46 - Escrevendo recursos e classes de transacao...</t>
  </si>
  <si>
    <t>2016-08-26_14:47 - Proxy identificado</t>
  </si>
  <si>
    <t>2016-08-26_14:47 - Ambiente selecionado: DEV</t>
  </si>
  <si>
    <t>2016-08-26_14:47 - Escrevendo tarefas...</t>
  </si>
  <si>
    <t>2016-08-26_14:47 - Escrevendo locais...</t>
  </si>
  <si>
    <t>2016-08-26_14:47 - Escrevendo períodos...</t>
  </si>
  <si>
    <t>2016-08-26_14:47 - Escrevendo fornecedores...</t>
  </si>
  <si>
    <t>2016-08-26_14:47 - Escrevendo departamentos...</t>
  </si>
  <si>
    <t>2016-08-26_14:48 - Escrevendo centros de custo...</t>
  </si>
  <si>
    <t>2016-08-26_14:48 - Escrevendo recursos e classes de transacao...</t>
  </si>
  <si>
    <t>2016-08-26_14:48 - Escrevendo classes de transacao...</t>
  </si>
  <si>
    <t>2016-08-26_14:48 - Proxy identificado</t>
  </si>
  <si>
    <t>2016-08-26_14:48 - Ambiente selecionado: DEV</t>
  </si>
  <si>
    <t>2016-08-26_14:48 - Escrevendo tarefas...</t>
  </si>
  <si>
    <t>2016-08-26_14:48 - Escrevendo locais...</t>
  </si>
  <si>
    <t>2016-08-26_14:48 - Escrevendo períodos...</t>
  </si>
  <si>
    <t>2016-08-26_14:48 - Escrevendo fornecedores...</t>
  </si>
  <si>
    <t>2016-08-26_14:48 - Escrevendo departamentos...</t>
  </si>
  <si>
    <t>2016-08-26_14:49 - Escrevendo classes de transacao...</t>
  </si>
  <si>
    <t>2016-08-26_14:49 - Proxy identificado</t>
  </si>
  <si>
    <t>2016-08-26_14:49 - Ambiente selecionado: DEV</t>
  </si>
  <si>
    <t>2016-08-26_14:49 - Escrevendo tarefas...</t>
  </si>
  <si>
    <t>2016-08-26_14:49 - Escrevendo locais...</t>
  </si>
  <si>
    <t>2016-08-26_14:49 - Escrevendo períodos...</t>
  </si>
  <si>
    <t>2016-08-26_14:49 - Escrevendo fornecedores...</t>
  </si>
  <si>
    <t>2016-08-26_14:49 - Escrevendo departamentos...</t>
  </si>
  <si>
    <t>2016-08-26_14:49 - Escrevendo centros de custo...</t>
  </si>
  <si>
    <t>2016-08-26_14:49 - Escrevendo recursos e classes de transacao...</t>
  </si>
  <si>
    <t>2016-08-26_14:54 - Proxy identificado</t>
  </si>
  <si>
    <t>2016-08-26_14:54 - Ambiente selecionado: DEV</t>
  </si>
  <si>
    <t>2016-08-26_14:54 - Escrevendo tarefas...</t>
  </si>
  <si>
    <t>2016-08-26_14:54 - Escrevendo locais...</t>
  </si>
  <si>
    <t>2016-08-26_14:54 - Escrevendo períodos...</t>
  </si>
  <si>
    <t>2016-08-26_14:54 - Escrevendo fornecedores...</t>
  </si>
  <si>
    <t>2016-08-26_14:54 - Escrevendo departamentos...</t>
  </si>
  <si>
    <t>2016-08-26_14:54 - Escrevendo centros de custo...</t>
  </si>
  <si>
    <t>2016-08-26_14:54 - Escrevendo recursos e classes de transacao...</t>
  </si>
  <si>
    <t>2016-08-26_14:54 - Escrevendo classes de transacao...</t>
  </si>
  <si>
    <t>2016-08-26_14:55 - Escrevendo períodos...</t>
  </si>
  <si>
    <t>2016-08-26_14:55 - Escrevendo fornecedores...</t>
  </si>
  <si>
    <t>2016-08-26_14:55 - Escrevendo departamentos...</t>
  </si>
  <si>
    <t>2016-08-26_14:55 - Escrevendo centros de custo...</t>
  </si>
  <si>
    <t>2016-08-26_14:55 - Escrevendo recursos e classes de transacao...</t>
  </si>
  <si>
    <t>2016-08-26_14:55 - Escrevendo classes de transacao...</t>
  </si>
  <si>
    <t>2016-08-26_14:55 - Proxy identificado</t>
  </si>
  <si>
    <t>2016-08-26_14:55 - Ambiente selecionado: DEV</t>
  </si>
  <si>
    <t>2016-08-26_14:55 - Escrevendo tarefas...</t>
  </si>
  <si>
    <t>2016-08-26_14:55 - Escrevendo locais...</t>
  </si>
  <si>
    <t>2016-08-26_14:56 - Escrevendo tarefas...</t>
  </si>
  <si>
    <t>2016-08-26_14:56 - Escrevendo locais...</t>
  </si>
  <si>
    <t>2016-08-26_14:56 - Escrevendo períodos...</t>
  </si>
  <si>
    <t>2016-08-26_14:56 - Escrevendo fornecedores...</t>
  </si>
  <si>
    <t>2016-08-26_14:56 - Escrevendo departamentos...</t>
  </si>
  <si>
    <t>2016-08-26_14:56 - Escrevendo centros de custo...</t>
  </si>
  <si>
    <t>2016-08-26_14:56 - Escrevendo recursos e classes de transacao...</t>
  </si>
  <si>
    <t>2016-08-26_14:56 - Escrevendo classes de transacao...</t>
  </si>
  <si>
    <t>2016-08-26_14:56 - Proxy identificado</t>
  </si>
  <si>
    <t>2016-08-26_14:56 - Ambiente selecionado: DEV</t>
  </si>
  <si>
    <t>2016-08-26_14:57 - Escrevendo classes de transacao...</t>
  </si>
  <si>
    <t>2016-08-26_14:57 - Proxy identificado</t>
  </si>
  <si>
    <t>2016-08-26_14:57 - Ambiente selecionado: DEV</t>
  </si>
  <si>
    <t>2016-08-26_14:57 - Escrevendo tarefas...</t>
  </si>
  <si>
    <t>2016-08-26_14:57 - Escrevendo locais...</t>
  </si>
  <si>
    <t>2016-08-26_14:57 - Escrevendo períodos...</t>
  </si>
  <si>
    <t>2016-08-26_14:57 - Escrevendo fornecedores...</t>
  </si>
  <si>
    <t>2016-08-26_14:57 - Escrevendo departamentos...</t>
  </si>
  <si>
    <t>2016-08-26_14:57 - Escrevendo centros de custo...</t>
  </si>
  <si>
    <t>2016-08-26_14:57 - Escrevendo recursos e classes de transacao...</t>
  </si>
  <si>
    <t>2016-08-26_14:58 - Proxy identificado</t>
  </si>
  <si>
    <t>2016-08-26_14:58 - Ambiente selecionado: DEV</t>
  </si>
  <si>
    <t>2016-08-26_14:58 - Escrevendo tarefas...</t>
  </si>
  <si>
    <t>2016-08-26_14:58 - Escrevendo locais...</t>
  </si>
  <si>
    <t>2016-08-26_14:58 - Escrevendo períodos...</t>
  </si>
  <si>
    <t>2016-08-26_14:58 - Escrevendo fornecedores...</t>
  </si>
  <si>
    <t>2016-08-26_14:58 - Escrevendo departamentos...</t>
  </si>
  <si>
    <t>2016-08-26_14:58 - Escrevendo centros de custo...</t>
  </si>
  <si>
    <t>2016-08-26_14:58 - Escrevendo recursos e classes de transacao...</t>
  </si>
  <si>
    <t>2016-08-26_14:58 - Escrevendo classes de transacao...</t>
  </si>
  <si>
    <t>2016-08-26_15:05 - -------------Início da exportação transações de projeto-------------</t>
  </si>
  <si>
    <t>2016-08-26_15:05 - Arquivo xog sendo gravado em: C:\xog_rumo_all_financial\xog_transaction_lote_20160826_150555.xml</t>
  </si>
  <si>
    <t>2016-08-26_15:06 - -------------Início da exportação transações de projeto-------------</t>
  </si>
  <si>
    <t>2016-08-26_15:06 - Arquivo xog sendo gravado em: C:\xog_rumo_all_financial\xog_transaction_lote_20160826_150632.xml</t>
  </si>
  <si>
    <t>2016-08-26_15:06 - -------------Fim da exportação transações de projeto-------------</t>
  </si>
  <si>
    <t>2016-08-26_15:06 - Arquivo xog sendo gravado em: C:\xog_rumo_all_financial\xog_transaction_lote_20160826_150634.xml</t>
  </si>
  <si>
    <t>2016-08-26_15:06 - Arquivo xog sendo gravado em: C:\xog_rumo_all_financial\xog_transaction_lote_20160826_150659.xml</t>
  </si>
  <si>
    <t>2016-08-26_15:06 - Proxy identificado</t>
  </si>
  <si>
    <t>2016-08-26_15:06 - Ambiente selecionado: DEV</t>
  </si>
  <si>
    <t>2016-08-26_15:06 -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</si>
  <si>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2016-08-26_15:06 - Enviando requisição de login</t>
  </si>
  <si>
    <t>2016-08-26_15:07 - Login realizado. SessionID capturado: 9365361__BC7C09B0-3E87-4099-881B-22ADC977D295</t>
  </si>
  <si>
    <t>2016-08-26_15:07 - Chamando mensagem de requisição</t>
  </si>
  <si>
    <t>2016-08-26_15:07 - Capturando resultado final</t>
  </si>
  <si>
    <t>2016-08-26_15:07 - Efetuando logout</t>
  </si>
  <si>
    <t>2016-08-26_15:07 - Logout realizado</t>
  </si>
  <si>
    <t>2016-08-26_15:07 - -------------Fim da exportação transações de projeto-------------</t>
  </si>
  <si>
    <t>2016-08-26_15:07 - -------------Início da exportação transações de projeto-------------</t>
  </si>
  <si>
    <t>2016-08-26_15:07 - Arquivo xog sendo gravado em: C:\xog_rumo_all_financial\xog_transaction_lote_20160826_150702.xml</t>
  </si>
  <si>
    <t>2016-08-26_15:07 - Proxy identificado</t>
  </si>
  <si>
    <t>2016-08-26_15:07 - Ambiente selecionado: DEV</t>
  </si>
  <si>
    <t>2016-08-26_15:07 -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</si>
  <si>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2016-08-26_15:07 - Enviando requisição de login</t>
  </si>
  <si>
    <t>2016-08-26_15:07 - Login realizado. SessionID capturado: 9365362__ABD02697-6C6A-4963-8DF3-CCDBD407D4CE</t>
  </si>
  <si>
    <t>2016-08-26_15:07 - Arquivo xog sendo gravado em: C:\xog_rumo_all_financial\xog_transaction_lote_20160826_150729.xml</t>
  </si>
  <si>
    <t>2016-08-26_15:08 - -------------Início da exportação transações de projeto-------------</t>
  </si>
  <si>
    <t>2016-08-26_15:08 - Arquivo xog sendo gravado em: C:\xog_rumo_all_financial\xog_transaction_lote_20160826_150812.xml</t>
  </si>
  <si>
    <t>2016-08-26_15:08 - -------------Fim da exportação transações de projeto-------------</t>
  </si>
  <si>
    <t>2016-08-26_15:08 - Arquivo xog sendo gravado em: C:\xog_rumo_all_financial\xog_transaction_lote_20160826_150814.xml</t>
  </si>
  <si>
    <t>2016-08-26_15:09 - -------------Início da exportação transações de projeto-------------</t>
  </si>
  <si>
    <t>2016-08-26_15:09 - Arquivo xog sendo gravado em: C:\xog_rumo_all_financial\xog_transaction_lote_20160826_150940.xml</t>
  </si>
  <si>
    <t>2016-08-26_15:09 - Proxy identificado</t>
  </si>
  <si>
    <t>2016-08-26_15:09 - Ambiente selecionado: DEV</t>
  </si>
  <si>
    <t>2016-08-26_15:09 -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</si>
  <si>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2016-08-26_15:09 - Enviando requisição de login</t>
  </si>
  <si>
    <t>2016-08-26_15:09 - Login realizado. SessionID capturado: 9365364__972668E6-041A-411E-87EF-B411BAD75DDF</t>
  </si>
  <si>
    <t>2016-08-26_15:09 - Chamando mensagem de requisição</t>
  </si>
  <si>
    <t>2016-08-26_15:09 - Capturando resultado final</t>
  </si>
  <si>
    <t>2016-08-26_15:09 - Efetuando logout</t>
  </si>
  <si>
    <t>2016-08-26_15:09 - Logout realizado</t>
  </si>
  <si>
    <t>2016-08-26_15:09 - -------------Fim da exportação transações de projeto-------------</t>
  </si>
  <si>
    <t>2016-08-26_15:09 - Arquivo xog sendo gravado em: C:\xog_rumo_all_financial\xog_transaction_lote_20160826_150943.xml</t>
  </si>
  <si>
    <t>2016-08-26_15:09 - Login realizado. SessionID capturado: 9365365__A67BF9DA-DA0A-421B-B6CE-397580972293</t>
  </si>
  <si>
    <t>2016-08-26_15:11 - -------------Início da exportação transações de projeto-------------</t>
  </si>
  <si>
    <t>2016-08-26_15:11 - Arquivo xog sendo gravado em: C:\xog_rumo_all_financial\xog_transaction_lote_20160826_151143.xml</t>
  </si>
  <si>
    <t>2016-08-26_15:11 - Proxy identificado</t>
  </si>
  <si>
    <t>2016-08-26_15:11 - Ambiente selecionado: DEV</t>
  </si>
  <si>
    <t>2016-08-26_15:11 -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</si>
  <si>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2016-08-26_15:11 - Enviando requisição de login</t>
  </si>
  <si>
    <t>2016-08-26_15:11 - Login realizado. SessionID capturado: 9365366__F877DFB2-6059-4897-BEE9-ABC35ADC5B4B</t>
  </si>
  <si>
    <t>2016-08-26_15:11 - Chamando mensagem de requisição</t>
  </si>
  <si>
    <t>2016-08-26_15:11 - Capturando resultado final</t>
  </si>
  <si>
    <t>2016-08-26_15:11 - Efetuando logout</t>
  </si>
  <si>
    <t>2016-08-26_15:11 - Logout realizado</t>
  </si>
  <si>
    <t>2016-08-26_15:11 - -------------Fim da exportação transações de projeto-------------</t>
  </si>
  <si>
    <t>2016-08-26_15:11 - Arquivo xog sendo gravado em: C:\xog_rumo_all_financial\xog_transaction_lote_20160826_151147.xml</t>
  </si>
  <si>
    <t>2016-08-26_15:11 - Login realizado. SessionID capturado: 9365367__440D8AD3-03BC-48F9-BAD8-7F68E3880735</t>
  </si>
  <si>
    <t>2016-08-30_10:32 - Ambiente selecionado: DEV</t>
  </si>
  <si>
    <t>2016-08-30_10:32 - Escrevendo tarefas...</t>
  </si>
  <si>
    <t>2016-08-30_10:32 - Escrevendo locais...</t>
  </si>
  <si>
    <t>2016-08-30_10:32 - Escrevendo períodos...</t>
  </si>
  <si>
    <t>2016-08-30_10:32 - Escrevendo fornecedores...</t>
  </si>
  <si>
    <t>2016-08-30_10:32 - Escrevendo departamentos...</t>
  </si>
  <si>
    <t>2016-08-30_10:32 - Escrevendo centros de custo...</t>
  </si>
  <si>
    <t>2016-08-30_10:32 - Escrevendo recursos e classes de transacao...</t>
  </si>
  <si>
    <t>2016-08-30_10:32 - Escrevendo classes de transacao...</t>
  </si>
  <si>
    <t>2016-08-30_10:34 - Ambiente selecionado: DEV</t>
  </si>
  <si>
    <t>2016-08-30_10:34 - Escrevendo tarefas...</t>
  </si>
  <si>
    <t>2016-08-30_10:34 - Escrevendo locais...</t>
  </si>
  <si>
    <t>2016-08-30_10:34 - Escrevendo períodos...</t>
  </si>
  <si>
    <t>2016-08-30_10:34 - Escrevendo fornecedores...</t>
  </si>
  <si>
    <t>2016-08-30_10:34 - Escrevendo departamentos...</t>
  </si>
  <si>
    <t>2016-08-30_10:34 - Escrevendo centros de custo...</t>
  </si>
  <si>
    <t>2016-08-30_10:34 - Escrevendo recursos e classes de transacao...</t>
  </si>
  <si>
    <t>2016-08-30_10:34 - Escrevendo classes de transacao...</t>
  </si>
  <si>
    <t>2016-08-30_10:35 - Escrevendo classes de transacao...</t>
  </si>
  <si>
    <t>2016-08-30_10:35 - Ambiente selecionado: DEV</t>
  </si>
  <si>
    <t>2016-08-30_10:35 - Escrevendo tarefas...</t>
  </si>
  <si>
    <t>2016-08-30_10:35 - Escrevendo locais...</t>
  </si>
  <si>
    <t>2016-08-30_10:35 - Escrevendo períodos...</t>
  </si>
  <si>
    <t>2016-08-30_10:35 - Escrevendo fornecedores...</t>
  </si>
  <si>
    <t>2016-08-30_10:35 - Escrevendo departamentos...</t>
  </si>
  <si>
    <t>2016-08-30_10:35 - Escrevendo centros de custo...</t>
  </si>
  <si>
    <t>2016-08-30_10:35 - Escrevendo recursos e classes de transacao...</t>
  </si>
  <si>
    <t>2016-08-30_10:38 - Ambiente selecionado: DEV</t>
  </si>
  <si>
    <t>2016-08-30_10:38 - Escrevendo tarefas...</t>
  </si>
  <si>
    <t>2016-08-30_10:38 - Escrevendo locais...</t>
  </si>
  <si>
    <t>2016-08-30_10:38 - Escrevendo períodos...</t>
  </si>
  <si>
    <t>2016-08-30_10:38 - Escrevendo fornecedores...</t>
  </si>
  <si>
    <t>2016-08-30_10:38 - Escrevendo departamentos...</t>
  </si>
  <si>
    <t>2016-08-30_10:38 - Escrevendo centros de custo...</t>
  </si>
  <si>
    <t>2016-08-30_10:38 - Escrevendo recursos e classes de transacao...</t>
  </si>
  <si>
    <t>2016-08-30_10:38 - Escrevendo classes de transacao...</t>
  </si>
  <si>
    <t>2016-08-30_10:39 - Escrevendo classes de transacao...</t>
  </si>
  <si>
    <t>2016-08-30_10:39 - Ambiente selecionado: DEV</t>
  </si>
  <si>
    <t>2016-08-30_10:39 - Escrevendo tarefas...</t>
  </si>
  <si>
    <t>2016-08-30_10:39 - Escrevendo locais...</t>
  </si>
  <si>
    <t>2016-08-30_10:39 - Escrevendo períodos...</t>
  </si>
  <si>
    <t>2016-08-30_10:39 - Escrevendo fornecedores...</t>
  </si>
  <si>
    <t>2016-08-30_10:39 - Escrevendo departamentos...</t>
  </si>
  <si>
    <t>2016-08-30_10:39 - Escrevendo centros de custo...</t>
  </si>
  <si>
    <t>2016-08-30_10:39 - Escrevendo recursos e classes de transacao...</t>
  </si>
  <si>
    <t>2016-08-30_10:40 - Ambiente selecionado: DEV</t>
  </si>
  <si>
    <t>2016-08-30_10:40 - Escrevendo tarefas...</t>
  </si>
  <si>
    <t>2016-08-30_10:40 - Escrevendo locais...</t>
  </si>
  <si>
    <t>2016-08-30_10:40 - Escrevendo períodos...</t>
  </si>
  <si>
    <t>2016-08-30_10:40 - Escrevendo fornecedores...</t>
  </si>
  <si>
    <t>2016-08-30_10:40 - Escrevendo departamentos...</t>
  </si>
  <si>
    <t>2016-08-30_10:40 - Escrevendo centros de custo...</t>
  </si>
  <si>
    <t>2016-08-30_10:40 - Escrevendo recursos e classes de transacao...</t>
  </si>
  <si>
    <t>2016-08-30_10:40 - Escrevendo classes de transacao...</t>
  </si>
  <si>
    <t>2016-08-30_10:42 - Escrevendo classes de transacao...</t>
  </si>
  <si>
    <t>2016-08-30_10:42 - Ambiente selecionado: DEV</t>
  </si>
  <si>
    <t>2016-08-30_10:42 - Escrevendo tarefas...</t>
  </si>
  <si>
    <t>2016-08-30_10:42 - Escrevendo locais...</t>
  </si>
  <si>
    <t>2016-08-30_10:42 - Escrevendo períodos...</t>
  </si>
  <si>
    <t>2016-08-30_10:42 - Escrevendo fornecedores...</t>
  </si>
  <si>
    <t>2016-08-30_10:42 - Escrevendo departamentos...</t>
  </si>
  <si>
    <t>2016-08-30_10:42 - Escrevendo centros de custo...</t>
  </si>
  <si>
    <t>2016-08-30_10:42 - Escrevendo recursos e classes de transacao...</t>
  </si>
  <si>
    <t>2016-09-01_16:29 - Ambiente selecionado: DEV</t>
  </si>
  <si>
    <t>2016-09-01_16:29 - Escrevendo tarefas...</t>
  </si>
  <si>
    <t>2016-09-01_16:29 - Escrevendo locais...</t>
  </si>
  <si>
    <t>2016-09-01_16:29 - Escrevendo períodos...</t>
  </si>
  <si>
    <t>2016-09-01_16:29 - Escrevendo fornecedores...</t>
  </si>
  <si>
    <t>2016-09-01_16:29 - Escrevendo departamentos...</t>
  </si>
  <si>
    <t>2016-09-01_16:29 - Escrevendo centros de custo...</t>
  </si>
  <si>
    <t>2016-09-01_16:29 - Escrevendo recursos e classes de transacao...</t>
  </si>
  <si>
    <t>2016-09-01_16:29 - Escrevendo classes de transacao...</t>
  </si>
  <si>
    <t>2016-09-01_16:30 - Ambiente selecionado: DEV</t>
  </si>
  <si>
    <t>2016-09-01_16:30 - Escrevendo tarefas...</t>
  </si>
  <si>
    <t>2016-09-01_16:30 - Escrevendo locais...</t>
  </si>
  <si>
    <t>2016-09-01_16:30 - Escrevendo períodos...</t>
  </si>
  <si>
    <t>2016-09-01_16:30 - Escrevendo fornecedores...</t>
  </si>
  <si>
    <t>2016-09-01_16:30 - Escrevendo departamentos...</t>
  </si>
  <si>
    <t>2016-09-01_16:30 - Escrevendo centros de custo...</t>
  </si>
  <si>
    <t>2016-09-01_16:30 - Escrevendo recursos e classes de transacao...</t>
  </si>
  <si>
    <t>2016-09-01_16:30 - Escrevendo classes de transacao...</t>
  </si>
  <si>
    <t>2016-09-01_17:10 - -------------Início da exportação transações de projeto-------------</t>
  </si>
  <si>
    <t>2016-09-01_17:10 - Arquivo xog sendo gravado em: C:\xog_rumo_all_financial\xog_transaction_lote_20160901_171055.xml</t>
  </si>
  <si>
    <t>2016-09-02_09:40 - Proxy identificado</t>
  </si>
  <si>
    <t>2016-09-02_09:40 - Ambiente selecionado: PROD</t>
  </si>
  <si>
    <t>2016-09-02_09:40 - Escrevendo tarefas...</t>
  </si>
  <si>
    <t>2016-09-02_09:40 - Escrevendo locais...</t>
  </si>
  <si>
    <t>2016-09-02_09:40 - Escrevendo períodos...</t>
  </si>
  <si>
    <t>2016-09-02_09:40 - Escrevendo fornecedores...</t>
  </si>
  <si>
    <t>2016-09-02_09:40 - Escrevendo departamentos...</t>
  </si>
  <si>
    <t>2016-09-02_09:40 - Escrevendo centros de custo...</t>
  </si>
  <si>
    <t>2016-09-02_09:40 - Escrevendo recursos e classes de transacao...</t>
  </si>
  <si>
    <t>2016-09-02_09:40 - Escrevendo classes de transacao...</t>
  </si>
  <si>
    <t>2016-09-02_09:41 - Proxy identificado</t>
  </si>
  <si>
    <t>2016-09-02_09:41 - Ambiente selecionado: PROD</t>
  </si>
  <si>
    <t>2016-09-02_09:41 - Escrevendo tarefas...</t>
  </si>
  <si>
    <t>2016-09-02_09:41 - Escrevendo locais...</t>
  </si>
  <si>
    <t>2016-09-02_09:41 - Escrevendo períodos...</t>
  </si>
  <si>
    <t>2016-09-02_09:41 - Escrevendo fornecedores...</t>
  </si>
  <si>
    <t>2016-09-02_09:41 - Escrevendo departamentos...</t>
  </si>
  <si>
    <t>2016-09-02_09:41 - Escrevendo centros de custo...</t>
  </si>
  <si>
    <t>2016-09-02_09:41 - Escrevendo recursos e classes de transacao...</t>
  </si>
  <si>
    <t>2016-09-02_09:41 - Escrevendo classes de transacao...</t>
  </si>
  <si>
    <t>2016-09-02_09:42 - Proxy identificado</t>
  </si>
  <si>
    <t>2016-09-02_09:42 - Ambiente selecionado: PROD</t>
  </si>
  <si>
    <t>2016-09-02_09:42 - Escrevendo tarefas...</t>
  </si>
  <si>
    <t>2016-09-02_09:42 - Escrevendo locais...</t>
  </si>
  <si>
    <t>2016-09-02_09:42 - Escrevendo períodos...</t>
  </si>
  <si>
    <t>2016-09-02_09:42 - Escrevendo fornecedores...</t>
  </si>
  <si>
    <t>2016-09-02_09:42 - Escrevendo departamentos...</t>
  </si>
  <si>
    <t>2016-09-02_09:42 - Escrevendo centros de custo...</t>
  </si>
  <si>
    <t>2016-09-02_09:42 - Escrevendo recursos e classes de transacao...</t>
  </si>
  <si>
    <t>2016-09-02_09:42 - Escrevendo classes de transacao...</t>
  </si>
  <si>
    <t xml:space="preserve">2016-09-02_10:28 - Ambiente selecionado: </t>
  </si>
  <si>
    <t>2016-09-02_10:29 - Ambiente selecionado: PROD</t>
  </si>
  <si>
    <t>2016-09-02_10:30 - Proxy identificado</t>
  </si>
  <si>
    <t>2016-09-02_10:30 - Ambiente selecionado: PROD</t>
  </si>
  <si>
    <t>2016-09-02_10:30 - Escrevendo tarefas...</t>
  </si>
  <si>
    <t>2016-09-02_10:30 - Escrevendo locais...</t>
  </si>
  <si>
    <t>2016-09-02_10:30 - Escrevendo períodos...</t>
  </si>
  <si>
    <t>2016-09-02_10:30 - Escrevendo fornecedores...</t>
  </si>
  <si>
    <t>2016-09-02_10:30 - Escrevendo departamentos...</t>
  </si>
  <si>
    <t>2016-09-02_10:30 - Escrevendo centros de custo...</t>
  </si>
  <si>
    <t>2016-09-02_10:30 - Escrevendo recursos e classes de transacao...</t>
  </si>
  <si>
    <t>2016-09-02_10:30 - Escrevendo classes de transacao...</t>
  </si>
  <si>
    <t>2016-09-02_11:19 - Proxy identificado</t>
  </si>
  <si>
    <t>2016-09-02_11:19 - Ambiente selecionado: PROD</t>
  </si>
  <si>
    <t>2016-09-02_11:19 - Escrevendo tarefas...</t>
  </si>
  <si>
    <t>2016-09-02_11:19 - Escrevendo locais...</t>
  </si>
  <si>
    <t>2016-09-02_11:19 - Escrevendo períodos...</t>
  </si>
  <si>
    <t>2016-09-02_11:19 - Escrevendo fornecedores...</t>
  </si>
  <si>
    <t>2016-09-02_11:19 - Escrevendo departamentos...</t>
  </si>
  <si>
    <t>2016-09-02_11:19 - Escrevendo centros de custo...</t>
  </si>
  <si>
    <t>2016-09-02_11:19 - Escrevendo recursos e classes de transacao...</t>
  </si>
  <si>
    <t>2016-09-02_11:19 - Escrevendo classes de transacao...</t>
  </si>
  <si>
    <t>2016-09-02_13:55 - Proxy identificado</t>
  </si>
  <si>
    <t>2016-09-02_13:55 - Ambiente selecionado: DEV</t>
  </si>
  <si>
    <t>2016-09-02_13:55 - Escrevendo tarefas...</t>
  </si>
  <si>
    <t>2016-09-02_13:55 - Escrevendo locais...</t>
  </si>
  <si>
    <t>2016-09-02_13:55 - Escrevendo períodos...</t>
  </si>
  <si>
    <t>2016-09-02_13:55 - Escrevendo fornecedores...</t>
  </si>
  <si>
    <t>2016-09-02_13:55 - Escrevendo departamentos...</t>
  </si>
  <si>
    <t>2016-09-02_13:55 - Escrevendo centros de custo...</t>
  </si>
  <si>
    <t>2016-09-02_13:55 - Escrevendo recursos e classes de transacao...</t>
  </si>
  <si>
    <t>2016-09-02_13:55 - Escrevendo classes de transacao...</t>
  </si>
  <si>
    <t>2016-09-02_13:59 - -------------Início da exportação transações de projeto-------------</t>
  </si>
  <si>
    <t>2016-09-02_13:59 - Arquivo xog sendo gravado em: C:\xog_rumo_all_financial\xog_transaction_lote_20160902_135943.xml</t>
  </si>
  <si>
    <t>2016-09-02_13:59 - Proxy identificado</t>
  </si>
  <si>
    <t>2016-09-02_13:59 - Ambiente selecionado: DEV</t>
  </si>
  <si>
    <t>2016-09-02_13:59 -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</si>
  <si>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2016-09-02_13:59 - Enviando requisição de login</t>
  </si>
  <si>
    <t>2016-09-02_13:59 - Login realizado. SessionID capturado: 9394753__6D3E30E4-4234-4C1E-A222-B05A1FF0799E</t>
  </si>
  <si>
    <t>2016-09-02_13:59 - Chamando mensagem de requisição</t>
  </si>
  <si>
    <t>2016-09-02_13:59 - Capturando resultado final</t>
  </si>
  <si>
    <t>2016-09-02_13:59 - Efetuando logout</t>
  </si>
  <si>
    <t>2016-09-02_13:59 - Logout realizado</t>
  </si>
  <si>
    <t>2016-09-02_13:59 - -------------Fim da exportação transações de projeto-------------</t>
  </si>
  <si>
    <t>2016-09-02_13:59 - Arquivo xog sendo gravado em: C:\xog_rumo_all_financial\xog_transaction_lote_20160902_135946.xml</t>
  </si>
  <si>
    <t>2016-09-02_13:59 - Login realizado. SessionID capturado: 9394754__04055958-D84D-4E81-92F4-C16AC1A14CBB</t>
  </si>
  <si>
    <t>2016-09-02_13:59 - Arquivo xog sendo gravado em: C:\xog_rumo_all_financial\xog_transaction_lote_20160902_135948.xml</t>
  </si>
  <si>
    <t>2016-09-02_13:59 - Login realizado. SessionID capturado: 9394756__4663FD3C-22FD-4F15-9B05-9FA6BB697D0A</t>
  </si>
  <si>
    <t>2016-09-02_13:59 - Arquivo xog sendo gravado em: C:\xog_rumo_all_financial\xog_transaction_lote_20160902_135950.xml</t>
  </si>
  <si>
    <t>2016-09-02_13:59 - Login realizado. SessionID capturado: 9394757__91DC0FA0-0A96-4FC7-894C-2E3D061E4B89</t>
  </si>
  <si>
    <t>2016-09-02_13:59 - Arquivo xog sendo gravado em: C:\xog_rumo_all_financial\xog_transaction_lote_20160902_135952.xml</t>
  </si>
  <si>
    <t>2016-09-02_13:59 - Login realizado. SessionID capturado: 9394758__2B4EEC24-B9E2-4113-A30B-7C7C2158E7B5</t>
  </si>
  <si>
    <t>2016-09-02_13:59 - Arquivo xog sendo gravado em: C:\xog_rumo_all_financial\xog_transaction_lote_20160902_135954.xml</t>
  </si>
  <si>
    <t>2016-09-02_13:59 - Login realizado. SessionID capturado: 9394759__B807BB6E-E224-41A1-8C56-28DDD78D9E38</t>
  </si>
  <si>
    <t>2016-09-02_13:59 - Arquivo xog sendo gravado em: C:\xog_rumo_all_financial\xog_transaction_lote_20160902_135956.xml</t>
  </si>
  <si>
    <t>2016-09-02_13:59 - Login realizado. SessionID capturado: 9394760__7D7F1302-1426-4669-B1F9-0AB995E2DB58</t>
  </si>
  <si>
    <t>2016-09-02_13:59 - Arquivo xog sendo gravado em: C:\xog_rumo_all_financial\xog_transaction_lote_20160902_135958.xml</t>
  </si>
  <si>
    <t>2016-09-02_13:59 - Login realizado. SessionID capturado: 9394761__CB7F1022-1E3A-4DA2-8667-39F1C26CA570</t>
  </si>
  <si>
    <t>2016-09-02_14:00 - -------------Início da exportação transações de projeto-------------</t>
  </si>
  <si>
    <t>2016-09-02_14:00 - Arquivo xog sendo gravado em: C:\xog_rumo_all_financial\xog_transaction_lote_20160902_140000.xml</t>
  </si>
  <si>
    <t>2016-09-02_14:00 - Proxy identificado</t>
  </si>
  <si>
    <t>2016-09-02_14:00 - Ambiente selecionado: DEV</t>
  </si>
  <si>
    <t>2016-09-02_14:00 -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</si>
  <si>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2016-09-02_14:00 - Enviando requisição de login</t>
  </si>
  <si>
    <t>2016-09-02_14:00 - Login realizado. SessionID capturado: 9394762__A7B0FD54-FF38-4570-AF1D-2EE13E7BB226</t>
  </si>
  <si>
    <t>2016-09-02_14:00 - Chamando mensagem de requisição</t>
  </si>
  <si>
    <t>2016-09-02_14:00 - Capturando resultado final</t>
  </si>
  <si>
    <t>2016-09-02_14:00 - Efetuando logout</t>
  </si>
  <si>
    <t>2016-09-02_14:00 - Logout realizado</t>
  </si>
  <si>
    <t>2016-09-02_14:00 - -------------Fim da exportação transações de projeto-------------</t>
  </si>
  <si>
    <t>2016-09-02_14:00 - Arquivo xog sendo gravado em: C:\xog_rumo_all_financial\xog_transaction_lote_20160902_140003.xml</t>
  </si>
  <si>
    <t>2016-09-02_14:00 - Login realizado. SessionID capturado: 9394763__995B1C04-FB91-4025-B36D-414CFCB1A162</t>
  </si>
  <si>
    <t>2016-09-02_14:14 - -------------Início da exportação transações de projeto-------------</t>
  </si>
  <si>
    <t>2016-09-02_14:14 - Arquivo xog sendo gravado em: C:\xog_rumo_all_financial\xog_transaction_lote_20160902_141416.xml</t>
  </si>
  <si>
    <t>2016-09-02_14:14 - Proxy identificado</t>
  </si>
  <si>
    <t>2016-09-02_14:14 - Ambiente selecionado: DEV</t>
  </si>
  <si>
    <t>2016-09-02_14:14 -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</si>
  <si>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2016-09-02_14:14 - Enviando requisição de login</t>
  </si>
  <si>
    <t>2016-09-02_14:14 - Login realizado. SessionID capturado: 9394768__E22EF9BA-5769-49B5-B759-2BB31CF989FA</t>
  </si>
  <si>
    <t>2016-09-02_14:14 - Chamando mensagem de requisição</t>
  </si>
  <si>
    <t>2016-09-02_14:14 - Capturando resultado final</t>
  </si>
  <si>
    <t>2016-09-02_14:14 - Efetuando logout</t>
  </si>
  <si>
    <t>2016-09-02_14:14 - Logout realizado</t>
  </si>
  <si>
    <t>2016-09-02_14:14 - -------------Fim da exportação transações de projeto-------------</t>
  </si>
  <si>
    <t>2016-09-02_14:14 - Arquivo xog sendo gravado em: C:\xog_rumo_all_financial\xog_transaction_lote_20160902_141421.xml</t>
  </si>
  <si>
    <t>2016-09-02_14:14 - Login realizado. SessionID capturado: 9394769__C7D4B4A6-96A2-4EB3-A2F6-89F519C86CED</t>
  </si>
  <si>
    <t>2016-09-02_14:14 - Arquivo xog sendo gravado em: C:\xog_rumo_all_financial\xog_transaction_lote_20160902_141425.xml</t>
  </si>
  <si>
    <t>2016-09-02_14:14 - Login realizado. SessionID capturado: 9394770__2652D609-3C77-48E0-A4FA-D3AC56B259E7</t>
  </si>
  <si>
    <t>2016-09-02_14:14 - Arquivo xog sendo gravado em: C:\xog_rumo_all_financial\xog_transaction_lote_20160902_141429.xml</t>
  </si>
  <si>
    <t>2016-09-02_14:14 - Login realizado. SessionID capturado: 9394771__C1A5289F-C407-4CA7-8EC0-7A84D86F8319</t>
  </si>
  <si>
    <t>2016-09-02_14:14 - Arquivo xog sendo gravado em: C:\xog_rumo_all_financial\xog_transaction_lote_20160902_141433.xml</t>
  </si>
  <si>
    <t>2016-09-02_14:14 - Login realizado. SessionID capturado: 9394772__4471250D-1A22-4F0C-B067-9F570F412610</t>
  </si>
  <si>
    <t>2016-09-02_14:14 - Arquivo xog sendo gravado em: C:\xog_rumo_all_financial\xog_transaction_lote_20160902_141437.xml</t>
  </si>
  <si>
    <t>2016-09-02_14:14 - Login realizado. SessionID capturado: 9394773__093B7CD3-7895-4952-9B70-BF76D2215CF0</t>
  </si>
  <si>
    <t>2016-09-02_14:14 - Arquivo xog sendo gravado em: C:\xog_rumo_all_financial\xog_transaction_lote_20160902_141441.xml</t>
  </si>
  <si>
    <t>2016-09-02_14:14 - Login realizado. SessionID capturado: 9394774__D9D34CFC-61AD-426D-BF2C-1008DADE84A0</t>
  </si>
  <si>
    <t>2016-09-02_14:14 - Arquivo xog sendo gravado em: C:\xog_rumo_all_financial\xog_transaction_lote_20160902_141445.xml</t>
  </si>
  <si>
    <t>2016-09-02_14:14 - Login realizado. SessionID capturado: 9394775__4CDB71C6-51EA-46F3-89CF-3EE10F423820</t>
  </si>
  <si>
    <t>2016-09-02_14:14 - Arquivo xog sendo gravado em: C:\xog_rumo_all_financial\xog_transaction_lote_20160902_141449.xml</t>
  </si>
  <si>
    <t>2016-09-02_14:14 - Login realizado. SessionID capturado: 9394777__778765DA-F123-4CD6-B2C2-DC31E5E57639</t>
  </si>
  <si>
    <t>2016-09-02_14:14 - Arquivo xog sendo gravado em: C:\xog_rumo_all_financial\xog_transaction_lote_20160902_141453.xml</t>
  </si>
  <si>
    <t>2016-09-02_14:14 - Login realizado. SessionID capturado: 9394778__9D257BDD-7367-4119-B1B5-CECE809D0E6C</t>
  </si>
  <si>
    <t>2016-09-02_14:16 - -------------Início da exportação transações de projeto-------------</t>
  </si>
  <si>
    <t>2016-09-02_14:16 - Arquivo xog sendo gravado em: C:\xog_rumo_all_financial\xog_transaction_lote_20160902_141641.xml</t>
  </si>
  <si>
    <t>2016-09-02_14:16 - Proxy identificado</t>
  </si>
  <si>
    <t>2016-09-02_14:16 - Ambiente selecionado: DEV</t>
  </si>
  <si>
    <t>2016-09-02_14:17 -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</si>
  <si>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2016-09-02_14:17 - Enviando requisição de login</t>
  </si>
  <si>
    <t>2016-09-02_14:17 - Login realizado. SessionID capturado: 9394779__4DE42A10-925B-42B1-AE0A-B9B12A50D532</t>
  </si>
  <si>
    <t>2016-09-02_14:17 - Chamando mensagem de requisição</t>
  </si>
  <si>
    <t>2016-09-02_14:17 - Capturando resultado final</t>
  </si>
  <si>
    <t>2016-09-02_14:17 - Efetuando logout</t>
  </si>
  <si>
    <t>2016-09-02_14:17 - Logout realizado</t>
  </si>
  <si>
    <t>2016-09-02_14:17 - -------------Fim da exportação transações de projeto-------------</t>
  </si>
  <si>
    <t>2016-09-02_14:17 - -------------Início da exportação transações de projeto-------------</t>
  </si>
  <si>
    <t>2016-09-02_14:17 - Arquivo xog sendo gravado em: C:\xog_rumo_all_financial\xog_transaction_lote_20160902_141734.xml</t>
  </si>
  <si>
    <t>2016-09-02_14:17 - Proxy identificado</t>
  </si>
  <si>
    <t>2016-09-02_14:17 - Ambiente selecionado: DEV</t>
  </si>
  <si>
    <t>2016-09-02_14:17 - Login realizado. SessionID capturado: 9394780__35887CD2-6362-4AF6-A176-56447B47C9ED</t>
  </si>
  <si>
    <t>2016-09-02_14:17 - Arquivo xog sendo gravado em: C:\xog_rumo_all_financial\xog_transaction_lote_20160902_141749.xml</t>
  </si>
  <si>
    <t>2016-09-02_14:17 - Login realizado. SessionID capturado: 9394781__C635E765-8E34-4331-A76D-899CFC78BC70</t>
  </si>
  <si>
    <t>2016-09-02_14:18 - Logout realizado</t>
  </si>
  <si>
    <t>2016-09-02_14:18 - -------------Fim da exportação transações de projeto-------------</t>
  </si>
  <si>
    <t>2016-09-02_14:18 - -------------Início da exportação transações de projeto-------------</t>
  </si>
  <si>
    <t>2016-09-02_14:18 - Arquivo xog sendo gravado em: C:\xog_rumo_all_financial\xog_transaction_lote_20160902_141802.xml</t>
  </si>
  <si>
    <t>2016-09-02_14:18 - Proxy identificado</t>
  </si>
  <si>
    <t>2016-09-02_14:18 - Ambiente selecionado: DEV</t>
  </si>
  <si>
    <t>2016-09-02_14:18 -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</si>
  <si>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2016-09-02_14:18 - Enviando requisição de login</t>
  </si>
  <si>
    <t>2016-09-02_14:18 - Login realizado. SessionID capturado: 9394782__7D355C21-D76E-4EDF-AE20-C8A34927E72A</t>
  </si>
  <si>
    <t>2016-09-02_14:18 - Chamando mensagem de requisição</t>
  </si>
  <si>
    <t>2016-09-02_14:18 - Capturando resultado final</t>
  </si>
  <si>
    <t>2016-09-02_14:18 - Efetuando logout</t>
  </si>
  <si>
    <t>2016-09-02_14:21 - -------------Início da exportação transações de projeto-------------</t>
  </si>
  <si>
    <t>2016-09-02_14:21 - Arquivo xog sendo gravado em: C:\xog_rumo_all_financial\xog_transaction_lote_20160902_142128.xml</t>
  </si>
  <si>
    <t>2016-09-02_14:21 - Proxy identificado</t>
  </si>
  <si>
    <t>2016-09-02_14:21 - Ambiente selecionado: DEV</t>
  </si>
  <si>
    <t>2016-09-02_14:21 -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</si>
  <si>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2016-09-02_14:21 - Enviando requisição de login</t>
  </si>
  <si>
    <t>2016-09-02_14:21 - Login realizado. SessionID capturado: 9394784__7F577097-6C95-41C0-A390-C0DE5688B9CF</t>
  </si>
  <si>
    <t>2016-09-02_14:21 - Chamando mensagem de requisição</t>
  </si>
  <si>
    <t>2016-09-02_14:21 - Capturando resultado final</t>
  </si>
  <si>
    <t>2016-09-02_14:21 - Efetuando logout</t>
  </si>
  <si>
    <t>2016-09-02_14:21 - Logout realizado</t>
  </si>
  <si>
    <t>2016-09-02_14:21 - -------------Fim da exportação transações de projeto-------------</t>
  </si>
  <si>
    <t>2016-09-02_14:21 - Arquivo xog sendo gravado em: C:\xog_rumo_all_financial\xog_transaction_lote_20160902_142135.xml</t>
  </si>
  <si>
    <t>2016-09-02_14:21 - Login realizado. SessionID capturado: 9394785__BB8EF14D-387C-4702-9854-117A73D3EA04</t>
  </si>
  <si>
    <t>2016-09-02_14:21 - Arquivo xog sendo gravado em: C:\xog_rumo_all_financial\xog_transaction_lote_20160902_142140.xml</t>
  </si>
  <si>
    <t>2016-09-02_14:21 - Login realizado. SessionID capturado: 9394786__22A457F2-E4B2-4962-AC96-1F422A7D31D3</t>
  </si>
  <si>
    <t>2016-09-02_14:21 - Arquivo xog sendo gravado em: C:\xog_rumo_all_financial\xog_transaction_lote_20160902_142145.xml</t>
  </si>
  <si>
    <t>2016-09-02_14:21 - Login realizado. SessionID capturado: 9394787__1F78E66C-F04D-4CD3-BE43-E1569A3B72B4</t>
  </si>
  <si>
    <t>2016-09-02_14:21 - Arquivo xog sendo gravado em: C:\xog_rumo_all_financial\xog_transaction_lote_20160902_142150.xml</t>
  </si>
  <si>
    <t>2016-09-02_14:21 - Login realizado. SessionID capturado: 9394788__0475ADBC-8C99-48E0-8E27-0646B81729D5</t>
  </si>
  <si>
    <t>2016-09-02_14:21 - Arquivo xog sendo gravado em: C:\xog_rumo_all_financial\xog_transaction_lote_20160902_142155.xml</t>
  </si>
  <si>
    <t>2016-09-02_14:21 - Login realizado. SessionID capturado: 9394789__826BA62D-4E1E-4B9A-B1A9-A64821CECE01</t>
  </si>
  <si>
    <t>2016-09-02_14:22 - -------------Início da exportação transações de projeto-------------</t>
  </si>
  <si>
    <t>2016-09-02_14:22 - Arquivo xog sendo gravado em: C:\xog_rumo_all_financial\xog_transaction_lote_20160902_142200.xml</t>
  </si>
  <si>
    <t>2016-09-02_14:22 - Proxy identificado</t>
  </si>
  <si>
    <t>2016-09-02_14:22 - Ambiente selecionado: DEV</t>
  </si>
  <si>
    <t>2016-09-02_14:22 -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</si>
  <si>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2016-09-02_14:22 - Enviando requisição de login</t>
  </si>
  <si>
    <t>2016-09-02_14:22 - Login realizado. SessionID capturado: 9394790__75F6820F-B272-4465-945D-D39DC853111A</t>
  </si>
  <si>
    <t>2016-09-02_14:22 - Chamando mensagem de requisição</t>
  </si>
  <si>
    <t>2016-09-02_14:22 - Capturando resultado final</t>
  </si>
  <si>
    <t>2016-09-02_14:22 - Efetuando logout</t>
  </si>
  <si>
    <t>2016-09-02_14:22 - Logout realizado</t>
  </si>
  <si>
    <t>2016-09-02_14:22 - -------------Fim da exportação transações de projeto-------------</t>
  </si>
  <si>
    <t>2016-09-02_14:22 - Arquivo xog sendo gravado em: C:\xog_rumo_all_financial\xog_transaction_lote_20160902_142205.xml</t>
  </si>
  <si>
    <t>2016-09-02_14:22 - Login realizado. SessionID capturado: 9394791__1A1DE024-05FB-42A9-9C7B-6236982B152F</t>
  </si>
  <si>
    <t>2016-09-02_14:22 - Arquivo xog sendo gravado em: C:\xog_rumo_all_financial\xog_transaction_lote_20160902_142210.xml</t>
  </si>
  <si>
    <t>2016-09-02_14:22 - Login realizado. SessionID capturado: 9394792__59E08BC7-CB8D-4896-BB62-B32F48721A08</t>
  </si>
  <si>
    <t>2016-09-02_14:22 - Arquivo xog sendo gravado em: C:\xog_rumo_all_financial\xog_transaction_lote_20160902_142215.xml</t>
  </si>
  <si>
    <t>2016-09-02_14:22 - Login realizado. SessionID capturado: 9394793__D7A6F5ED-1FFB-41EF-A402-38A31CD7909A</t>
  </si>
  <si>
    <t>2016-09-02_14:23 - -------------Início da exportação transações de projeto-------------</t>
  </si>
  <si>
    <t>2016-09-02_14:23 - Arquivo xog sendo gravado em: C:\xog_rumo_all_financial\xog_transaction_lote_20160902_142343.xml</t>
  </si>
  <si>
    <t>2016-09-02_14:23 - Proxy identificado</t>
  </si>
  <si>
    <t>2016-09-02_14:23 - Ambiente selecionado: DEV</t>
  </si>
  <si>
    <t>2016-09-02_14:23 -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</si>
  <si>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2016-09-02_14:23 - Enviando requisição de login</t>
  </si>
  <si>
    <t>2016-09-02_14:23 - Login realizado. SessionID capturado: 9394794__4DF6A25C-9C49-473C-8543-0FF6A4538BF1</t>
  </si>
  <si>
    <t>2016-09-02_14:23 - Chamando mensagem de requisição</t>
  </si>
  <si>
    <t>2016-09-02_14:23 - Capturando resultado final</t>
  </si>
  <si>
    <t>2016-09-02_14:23 - Efetuando logout</t>
  </si>
  <si>
    <t>2016-09-02_14:23 - Logout realizado</t>
  </si>
  <si>
    <t>2016-09-02_14:23 - -------------Fim da exportação transações de projeto-------------</t>
  </si>
  <si>
    <t>2016-09-02_14:23 - Arquivo xog sendo gravado em: C:\xog_rumo_all_financial\xog_transaction_lote_20160902_142354.xml</t>
  </si>
  <si>
    <t>2016-09-02_14:23 - Login realizado. SessionID capturado: 9394795__2925F65C-CB5B-4B3B-9330-CA23BC4F7CEE</t>
  </si>
  <si>
    <t>2016-09-02_14:24 - -------------Início da exportação transações de projeto-------------</t>
  </si>
  <si>
    <t>2016-09-02_14:24 - Arquivo xog sendo gravado em: C:\xog_rumo_all_financial\xog_transaction_lote_20160902_142404.xml</t>
  </si>
  <si>
    <t>2016-09-02_14:24 - Proxy identificado</t>
  </si>
  <si>
    <t>2016-09-02_14:24 - Ambiente selecionado: DEV</t>
  </si>
  <si>
    <t>2016-09-02_14:24 -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</si>
  <si>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2016-09-02_14:24 - Enviando requisição de login</t>
  </si>
  <si>
    <t>2016-09-02_14:24 - Login realizado. SessionID capturado: 9394796__F21F54CB-3AF0-4334-A75C-DB8DA9D0D32E</t>
  </si>
  <si>
    <t>2016-09-02_14:24 - Chamando mensagem de requisição</t>
  </si>
  <si>
    <t>2016-09-02_14:24 - Capturando resultado final</t>
  </si>
  <si>
    <t>2016-09-02_14:24 - Efetuando logout</t>
  </si>
  <si>
    <t>2016-09-02_14:24 - Logout realizado</t>
  </si>
  <si>
    <t>2016-09-02_14:24 - -------------Fim da exportação transações de projeto-------------</t>
  </si>
  <si>
    <t>2016-09-02_14:24 - Arquivo xog sendo gravado em: C:\xog_rumo_all_financial\xog_transaction_lote_20160902_142414.xml</t>
  </si>
  <si>
    <t>2016-09-02_14:24 - Login realizado. SessionID capturado: 9394797__8C47314F-4AF3-43B9-A026-DAFFAE5EA2D6</t>
  </si>
  <si>
    <t>2016-09-02_14:24 - Arquivo xog sendo gravado em: C:\xog_rumo_all_financial\xog_transaction_lote_20160902_142424.xml</t>
  </si>
  <si>
    <t>2016-09-02_14:24 - Login realizado. SessionID capturado: 9394798__229AF0BB-3248-4101-BC35-EF9AA381BD38</t>
  </si>
  <si>
    <t>2016-09-02_14:24 - Arquivo xog sendo gravado em: C:\xog_rumo_all_financial\xog_transaction_lote_20160902_142434.xml</t>
  </si>
  <si>
    <t>2016-09-02_14:24 - Login realizado. SessionID capturado: 9394799__392583D5-3C18-4443-9E87-028FC94528BD</t>
  </si>
  <si>
    <t>2016-09-02_14:24 - Arquivo xog sendo gravado em: C:\xog_rumo_all_financial\xog_transaction_lote_20160902_142444.xml</t>
  </si>
  <si>
    <t>2016-09-02_14:24 - Login realizado. SessionID capturado: 9394800__82492CAF-545F-4578-B05F-DE1C627A728A</t>
  </si>
  <si>
    <t>2016-09-02_14:24 - Arquivo xog sendo gravado em: C:\xog_rumo_all_financial\xog_transaction_lote_20160902_142454.xml</t>
  </si>
  <si>
    <t>2016-09-02_14:24 - Login realizado. SessionID capturado: 9394802__F98282B0-AFB7-410D-85F1-7F053405AB9D</t>
  </si>
  <si>
    <t>2016-09-02_14:25 - -------------Início da exportação transações de projeto-------------</t>
  </si>
  <si>
    <t>2016-09-02_14:25 - Arquivo xog sendo gravado em: C:\xog_rumo_all_financial\xog_transaction_lote_20160902_142504.xml</t>
  </si>
  <si>
    <t>2016-09-02_14:25 - Proxy identificado</t>
  </si>
  <si>
    <t>2016-09-02_14:25 - Ambiente selecionado: DEV</t>
  </si>
  <si>
    <t>2016-09-02_14:25 -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</si>
  <si>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2016-09-02_14:25 - Enviando requisição de login</t>
  </si>
  <si>
    <t>2016-09-02_14:25 - Login realizado. SessionID capturado: 9394803__C06C80EF-35AB-427B-9CB4-FE3099498F1A</t>
  </si>
  <si>
    <t>2016-09-02_14:25 - Chamando mensagem de requisição</t>
  </si>
  <si>
    <t>2016-09-02_14:25 - Capturando resultado final</t>
  </si>
  <si>
    <t>2016-09-02_14:25 - Efetuando logout</t>
  </si>
  <si>
    <t>2016-09-02_14:25 - Logout realizado</t>
  </si>
  <si>
    <t>2016-09-02_14:25 - -------------Fim da exportação transações de projeto-------------</t>
  </si>
  <si>
    <t>2016-09-02_14:25 - Arquivo xog sendo gravado em: C:\xog_rumo_all_financial\xog_transaction_lote_20160902_142514.xml</t>
  </si>
  <si>
    <t>2016-09-02_14:25 - Login realizado. SessionID capturado: 9394804__51795FF8-D09C-46E9-9316-F13C9ABC0AB2</t>
  </si>
  <si>
    <t>2016-09-02_14:27 - -------------Início da exportação transações de projeto-------------</t>
  </si>
  <si>
    <t>2016-09-02_14:27 - Arquivo xog sendo gravado em: C:\xog_rumo_all_financial\xog_transaction_lote_20160902_142758.xml</t>
  </si>
  <si>
    <t>2016-09-02_14:27 - Proxy identificado</t>
  </si>
  <si>
    <t>2016-09-02_14:27 - Ambiente selecionado: DEV</t>
  </si>
  <si>
    <t>2016-09-02_14:27 -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</si>
  <si>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2016-09-02_14:27 - Enviando requisição de login</t>
  </si>
  <si>
    <t>2016-09-02_14:28 - Login realizado. SessionID capturado: 9394805__CF7729F8-93CE-44F9-AEEB-9798A2846FDB</t>
  </si>
  <si>
    <t>2016-09-02_14:28 - Chamando mensagem de requisição</t>
  </si>
  <si>
    <t>2016-09-02_14:28 - Capturando resultado final</t>
  </si>
  <si>
    <t>2016-09-02_14:28 - Efetuando logout</t>
  </si>
  <si>
    <t>2016-09-02_14:28 - Logout realizado</t>
  </si>
  <si>
    <t>2016-09-02_14:28 - -------------Fim da exportação transações de projeto-------------</t>
  </si>
  <si>
    <t>2016-09-02_14:28 - -------------Início da exportação transações de projeto-------------</t>
  </si>
  <si>
    <t>2016-09-02_14:28 - Arquivo xog sendo gravado em: C:\xog_rumo_all_financial\xog_transaction_lote_20160902_142805.xml</t>
  </si>
  <si>
    <t>2016-09-02_14:28 - Proxy identificado</t>
  </si>
  <si>
    <t>2016-09-02_14:28 - Ambiente selecionado: DEV</t>
  </si>
  <si>
    <t>2016-09-02_14:28 -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</si>
  <si>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2016-09-02_14:28 - Enviando requisição de login</t>
  </si>
  <si>
    <t>2016-09-02_14:28 - Login realizado. SessionID capturado: 9394806__BB3EAECB-5E69-4FEA-95B0-1D21213D4D55</t>
  </si>
  <si>
    <t>2016-09-02_14:28 - Arquivo xog sendo gravado em: C:\xog_rumo_all_financial\xog_transaction_lote_20160902_142810.xml</t>
  </si>
  <si>
    <t>2016-09-02_14:28 - Login realizado. SessionID capturado: 9394807__813A2BD8-20A1-4753-8707-48DDA5D94003</t>
  </si>
  <si>
    <t>2016-09-02_14:28 - Arquivo xog sendo gravado em: C:\xog_rumo_all_financial\xog_transaction_lote_20160902_142820.xml</t>
  </si>
  <si>
    <t>2016-09-02_14:28 - Login realizado. SessionID capturado: 9394808__45EE3B61-362E-4CB6-9C79-F42E4574545B</t>
  </si>
  <si>
    <t>2016-09-02_14:28 - Arquivo xog sendo gravado em: C:\xog_rumo_all_financial\xog_transaction_lote_20160902_142825.xml</t>
  </si>
  <si>
    <t>2016-09-02_14:28 - Login realizado. SessionID capturado: 9394809__55780150-EE59-4393-9166-544BB61B14DB</t>
  </si>
  <si>
    <t>2016-09-02_14:28 - Arquivo xog sendo gravado em: C:\xog_rumo_all_financial\xog_transaction_lote_20160902_142830.xml</t>
  </si>
  <si>
    <t>2016-09-02_14:28 - Login realizado. SessionID capturado: 9394810__709494AD-BAE9-4509-9F5A-636E94FC6A37</t>
  </si>
  <si>
    <t>2016-09-02_14:28 - Arquivo xog sendo gravado em: C:\xog_rumo_all_financial\xog_transaction_lote_20160902_142835.xml</t>
  </si>
  <si>
    <t>2016-09-02_14:28 - Login realizado. SessionID capturado: 9394811__63D5E990-5ACD-4415-B7AD-44F263C3BB92</t>
  </si>
  <si>
    <t>2016-09-02_14:28 - Arquivo xog sendo gravado em: C:\xog_rumo_all_financial\xog_transaction_lote_20160902_142840.xml</t>
  </si>
  <si>
    <t>2016-09-02_14:28 - Login realizado. SessionID capturado: 9394812__90A78E52-CCE3-4317-A414-B8AD2E91BA3F</t>
  </si>
  <si>
    <t>2016-09-02_14:28 - Arquivo xog sendo gravado em: C:\xog_rumo_all_financial\xog_transaction_lote_20160902_142845.xml</t>
  </si>
  <si>
    <t>2016-09-02_14:28 - Login realizado. SessionID capturado: 9394813__A5474724-117E-4624-9AC4-66DB53005AD0</t>
  </si>
  <si>
    <t>2016-09-02_14:28 - Arquivo xog sendo gravado em: C:\xog_rumo_all_financial\xog_transaction_lote_20160902_142850.xml</t>
  </si>
  <si>
    <t>2016-09-02_14:28 - Login realizado. SessionID capturado: 9394814__4040385F-5D95-46D5-AEDA-D19834E41FCC</t>
  </si>
  <si>
    <t>2016-09-02_14:31 - -------------Início da exportação transações de projeto-------------</t>
  </si>
  <si>
    <t>2016-09-02_14:31 - Arquivo xog sendo gravado em: C:\xog_rumo_all_financial\xog_transaction_lote_20160902_143104.xml</t>
  </si>
  <si>
    <t>2016-09-02_14:31 - Proxy identificado</t>
  </si>
  <si>
    <t>2016-09-02_14:31 - Ambiente selecionado: DEV</t>
  </si>
  <si>
    <t>2016-09-02_14:31 -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</si>
  <si>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2016-09-02_14:31 - Enviando requisição de login</t>
  </si>
  <si>
    <t>2016-09-02_14:31 - Login realizado. SessionID capturado: 9394816__5245A898-64DE-4DA3-89C2-C418A08C6C92</t>
  </si>
  <si>
    <t>2016-09-02_14:31 - Chamando mensagem de requisição</t>
  </si>
  <si>
    <t>2016-09-02_14:31 - Capturando resultado final</t>
  </si>
  <si>
    <t>2016-09-02_14:31 - Efetuando logout</t>
  </si>
  <si>
    <t>2016-09-02_14:31 - Logout realizado</t>
  </si>
  <si>
    <t>2016-09-02_14:31 - -------------Fim da exportação transações de projeto-------------</t>
  </si>
  <si>
    <t>2016-09-02_14:31 - Arquivo xog sendo gravado em: C:\xog_rumo_all_financial\xog_transaction_lote_20160902_143111.xml</t>
  </si>
  <si>
    <t>2016-09-02_14:31 - Login realizado. SessionID capturado: 9394817__9F74BF50-3682-4437-AE9A-58D649498195</t>
  </si>
  <si>
    <t>2016-09-02_14:31 - Arquivo xog sendo gravado em: C:\xog_rumo_all_financial\xog_transaction_lote_20160902_143116.xml</t>
  </si>
  <si>
    <t>2016-09-02_14:31 - Login realizado. SessionID capturado: 9394818__FF30A048-28D0-4946-97EE-A9912D90A896</t>
  </si>
  <si>
    <t>2016-09-02_14:31 - Arquivo xog sendo gravado em: C:\xog_rumo_all_financial\xog_transaction_lote_20160902_143121.xml</t>
  </si>
  <si>
    <t>2016-09-02_14:31 - Login realizado. SessionID capturado: 9394819__553280DF-7F23-4930-B760-F4C66F0E05F7</t>
  </si>
  <si>
    <t>2016-09-02_14:31 - Arquivo xog sendo gravado em: C:\xog_rumo_all_financial\xog_transaction_lote_20160902_143126.xml</t>
  </si>
  <si>
    <t>2016-09-02_14:31 - Login realizado. SessionID capturado: 9394820__D57FF127-7CC3-4F90-AC41-80E23ECD354D</t>
  </si>
  <si>
    <t>2016-09-02_14:31 - Arquivo xog sendo gravado em: C:\xog_rumo_all_financial\xog_transaction_lote_20160902_143131.xml</t>
  </si>
  <si>
    <t>2016-09-02_14:31 - Login realizado. SessionID capturado: 9394821__4B57DF5E-F4C1-4CAF-9C36-F5A8C48CADE2</t>
  </si>
  <si>
    <t>2016-09-02_14:31 - Arquivo xog sendo gravado em: C:\xog_rumo_all_financial\xog_transaction_lote_20160902_143136.xml</t>
  </si>
  <si>
    <t>2016-09-02_14:31 - Login realizado. SessionID capturado: 9394822__7401FF63-33AA-4400-B0AE-71757A880B1F</t>
  </si>
  <si>
    <t>2016-09-02_14:31 - Arquivo xog sendo gravado em: C:\xog_rumo_all_financial\xog_transaction_lote_20160902_143141.xml</t>
  </si>
  <si>
    <t>2016-09-02_14:31 - Login realizado. SessionID capturado: 9394823__62237F88-B616-491D-94DB-C11770A5A5DF</t>
  </si>
  <si>
    <t>2016-09-02_14:31 - Arquivo xog sendo gravado em: C:\xog_rumo_all_financial\xog_transaction_lote_20160902_143146.xml</t>
  </si>
  <si>
    <t>2016-09-02_14:31 - Login realizado. SessionID capturado: 9394824__F7140D64-3ADA-45C6-A890-E739EFC9094F</t>
  </si>
  <si>
    <t>2016-09-02_14:31 - Arquivo xog sendo gravado em: C:\xog_rumo_all_financial\xog_transaction_lote_20160902_143151.xml</t>
  </si>
  <si>
    <t>2016-09-02_14:31 - Login realizado. SessionID capturado: 9394825__8A14A926-39B6-4BB2-8B4F-8A055704590D</t>
  </si>
  <si>
    <t>2016-09-02_14:38 - Proxy identificado</t>
  </si>
  <si>
    <t>2016-09-02_14:38 - Ambiente selecionado: DEV</t>
  </si>
  <si>
    <t>2016-09-02_14:38 - Escrevendo tarefas...</t>
  </si>
  <si>
    <t>2016-09-02_14:38 - Escrevendo locais...</t>
  </si>
  <si>
    <t>2016-09-02_14:38 - Escrevendo períodos...</t>
  </si>
  <si>
    <t>2016-09-02_14:38 - Escrevendo fornecedores...</t>
  </si>
  <si>
    <t>2016-09-02_14:38 - Escrevendo departamentos...</t>
  </si>
  <si>
    <t>2016-09-02_14:38 - Escrevendo centros de custo...</t>
  </si>
  <si>
    <t>2016-09-02_14:38 - Escrevendo recursos e classes de transacao...</t>
  </si>
  <si>
    <t>2016-09-02_14:38 - Escrevendo classes de transacao...</t>
  </si>
  <si>
    <t>2016-09-02_14:40 - Proxy identificado</t>
  </si>
  <si>
    <t>2016-09-02_14:40 - Ambiente selecionado: DEV</t>
  </si>
  <si>
    <t>2016-09-02_14:40 - Escrevendo tarefas...</t>
  </si>
  <si>
    <t>2016-09-02_14:40 - Escrevendo locais...</t>
  </si>
  <si>
    <t>2016-09-02_14:40 - Escrevendo períodos...</t>
  </si>
  <si>
    <t>2016-09-02_14:40 - Escrevendo fornecedores...</t>
  </si>
  <si>
    <t>2016-09-02_14:40 - Escrevendo departamentos...</t>
  </si>
  <si>
    <t>2016-09-02_14:40 - Escrevendo centros de custo...</t>
  </si>
  <si>
    <t>2016-09-02_14:40 - Escrevendo recursos e classes de transacao...</t>
  </si>
  <si>
    <t>2016-09-02_14:40 - Escrevendo classes de transacao...</t>
  </si>
  <si>
    <t>2016-09-02_14:42 - Escrevendo classes de transacao...</t>
  </si>
  <si>
    <t>2016-09-02_14:42 - Proxy identificado</t>
  </si>
  <si>
    <t>2016-09-02_14:42 - Ambiente selecionado: DEV</t>
  </si>
  <si>
    <t>2016-09-02_14:42 - Escrevendo tarefas...</t>
  </si>
  <si>
    <t>2016-09-02_14:42 - Escrevendo locais...</t>
  </si>
  <si>
    <t>2016-09-02_14:42 - Escrevendo períodos...</t>
  </si>
  <si>
    <t>2016-09-02_14:42 - Escrevendo fornecedores...</t>
  </si>
  <si>
    <t>2016-09-02_14:42 - Escrevendo departamentos...</t>
  </si>
  <si>
    <t>2016-09-02_14:42 - Escrevendo centros de custo...</t>
  </si>
  <si>
    <t>2016-09-02_14:42 - Escrevendo recursos e classes de transacao...</t>
  </si>
  <si>
    <t>2016-09-02_14:42 - -------------Início da exportação transações de projeto-------------</t>
  </si>
  <si>
    <t>2016-09-02_14:42 - Arquivo xog sendo gravado em: C:\xog_rumo_all_financial\xog_transaction_lote_20160902_144220.xml</t>
  </si>
  <si>
    <t>2016-09-02_14:42 -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</si>
  <si>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2016-09-02_14:42 - Enviando requisição de login</t>
  </si>
  <si>
    <t>2016-09-02_14:42 - Login realizado. SessionID capturado: 9394844__868D70E0-ED9A-4891-8874-0742C1229228</t>
  </si>
  <si>
    <t>2016-09-02_14:42 - Chamando mensagem de requisição</t>
  </si>
  <si>
    <t>2016-09-02_14:42 - Capturando resultado final</t>
  </si>
  <si>
    <t>2016-09-02_14:42 - Efetuando logout</t>
  </si>
  <si>
    <t>2016-09-02_14:42 - Logout realizado</t>
  </si>
  <si>
    <t>2016-09-02_14:42 - -------------Fim da exportação transações de projeto-------------</t>
  </si>
  <si>
    <t>2016-09-02_14:42 - Arquivo xog sendo gravado em: C:\xog_rumo_all_financial\xog_transaction_lote_20160902_144226.xml</t>
  </si>
  <si>
    <t>2016-09-02_14:42 - Login realizado. SessionID capturado: 9394845__74D3F724-7B43-44CB-B9DD-1E6FB5A5FDC1</t>
  </si>
  <si>
    <t>2016-09-02_14:42 - Arquivo xog sendo gravado em: C:\xog_rumo_all_financial\xog_transaction_lote_20160902_144231.xml</t>
  </si>
  <si>
    <t>2016-09-02_14:42 - Login realizado. SessionID capturado: 9394846__E951553D-938F-42EC-A01C-1CC42E479C75</t>
  </si>
  <si>
    <t>2016-09-02_14:42 - Arquivo xog sendo gravado em: C:\xog_rumo_all_financial\xog_transaction_lote_20160902_144236.xml</t>
  </si>
  <si>
    <t>2016-09-02_14:42 - Login realizado. SessionID capturado: 9394847__B348AF68-EA5C-4426-8A75-3BE7F77B5AAC</t>
  </si>
  <si>
    <t>2016-09-02_14:42 - Arquivo xog sendo gravado em: C:\xog_rumo_all_financial\xog_transaction_lote_20160902_144241.xml</t>
  </si>
  <si>
    <t>2016-09-02_14:42 - Login realizado. SessionID capturado: 9394848__BDF7D7A8-B1BF-48F4-85C5-D67A67448818</t>
  </si>
  <si>
    <t>2016-09-02_14:42 - Arquivo xog sendo gravado em: C:\xog_rumo_all_financial\xog_transaction_lote_20160902_144246.xml</t>
  </si>
  <si>
    <t>2016-09-02_14:42 - Login realizado. SessionID capturado: 9394849__FD0F66A4-5AB6-4251-89AB-C9BE119C105F</t>
  </si>
  <si>
    <t>2016-09-02_14:42 - Arquivo xog sendo gravado em: C:\xog_rumo_all_financial\xog_transaction_lote_20160902_144251.xml</t>
  </si>
  <si>
    <t>2016-09-02_14:42 - Login realizado. SessionID capturado: 9394850__4A012978-E578-4924-923A-313FEC978128</t>
  </si>
  <si>
    <t>2016-09-02_14:42 - Arquivo xog sendo gravado em: C:\xog_rumo_all_financial\xog_transaction_lote_20160902_144256.xml</t>
  </si>
  <si>
    <t>2016-09-02_14:42 - Login realizado. SessionID capturado: 9394851__DD295A37-6EFB-4ADE-9F6E-5E1976FADEA1</t>
  </si>
  <si>
    <t>2016-09-02_14:43 - -------------Início da exportação transações de projeto-------------</t>
  </si>
  <si>
    <t>2016-09-02_14:43 - Arquivo xog sendo gravado em: C:\xog_rumo_all_financial\xog_transaction_lote_20160902_144301.xml</t>
  </si>
  <si>
    <t>2016-09-02_14:43 - Proxy identificado</t>
  </si>
  <si>
    <t>2016-09-02_14:43 - Ambiente selecionado: DEV</t>
  </si>
  <si>
    <t>2016-09-02_14:43 -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</si>
  <si>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2016-09-02_14:43 - Enviando requisição de login</t>
  </si>
  <si>
    <t>2016-09-02_14:43 - Login realizado. SessionID capturado: 9394852__CC257D49-B9AA-4E5D-B2B0-B0D3DA9BA681</t>
  </si>
  <si>
    <t>2016-09-02_14:43 - Chamando mensagem de requisição</t>
  </si>
  <si>
    <t>2016-09-02_14:43 - Capturando resultado final</t>
  </si>
  <si>
    <t>2016-09-02_14:43 - Efetuando logout</t>
  </si>
  <si>
    <t>2016-09-02_14:43 - Logout realizado</t>
  </si>
  <si>
    <t>2016-09-02_14:43 - -------------Fim da exportação transações de projeto-------------</t>
  </si>
  <si>
    <t>2016-09-02_14:43 - Arquivo xog sendo gravado em: C:\xog_rumo_all_financial\xog_transaction_lote_20160902_144306.xml</t>
  </si>
  <si>
    <t>2016-09-02_14:43 - Login realizado. SessionID capturado: 9394853__8526450D-8BAA-4355-B47E-B77822320B9B</t>
  </si>
  <si>
    <t>2016-09-02_14:44 - -------------Início da exportação transações de projeto-------------</t>
  </si>
  <si>
    <t>2016-09-02_14:44 - Arquivo xog sendo gravado em: C:\xog_rumo_all_financial\xog_transaction_lote_20160902_144403.xml</t>
  </si>
  <si>
    <t>2016-09-02_14:44 - Proxy identificado</t>
  </si>
  <si>
    <t>2016-09-02_14:44 - Ambiente selecionado: DEV</t>
  </si>
  <si>
    <t>2016-09-02_14:44 -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</si>
  <si>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2016-09-02_14:44 - Enviando requisição de login</t>
  </si>
  <si>
    <t>2016-09-02_14:44 - Login realizado. SessionID capturado: 9394854__850326E1-6AF8-46F6-AE9E-3EF533AF87A6</t>
  </si>
  <si>
    <t>2016-09-02_14:44 - Chamando mensagem de requisição</t>
  </si>
  <si>
    <t>2016-09-02_14:44 - Capturando resultado final</t>
  </si>
  <si>
    <t>2016-09-02_14:44 - Efetuando logout</t>
  </si>
  <si>
    <t>2016-09-02_14:44 - Logout realizado</t>
  </si>
  <si>
    <t>2016-09-02_14:44 - -------------Fim da exportação transações de projeto-------------</t>
  </si>
  <si>
    <t>2016-09-02_14:44 - Arquivo xog sendo gravado em: C:\xog_rumo_all_financial\xog_transaction_lote_20160902_144409.xml</t>
  </si>
  <si>
    <t>2016-09-02_14:44 - Login realizado. SessionID capturado: 9394855__6FD1573D-7203-48F7-99BD-FC97C69ECA68</t>
  </si>
  <si>
    <t>2016-09-02_14:44 - Arquivo xog sendo gravado em: C:\xog_rumo_all_financial\xog_transaction_lote_20160902_144414.xml</t>
  </si>
  <si>
    <t>2016-09-02_14:44 - Login realizado. SessionID capturado: 9394856__21705E81-5224-4DC1-B66A-7A8C7DF16A16</t>
  </si>
  <si>
    <t>2016-09-02_14:44 - Arquivo xog sendo gravado em: C:\xog_rumo_all_financial\xog_transaction_lote_20160902_144419.xml</t>
  </si>
  <si>
    <t>2016-09-02_14:44 - Login realizado. SessionID capturado: 9394857__3B0FF77B-4F49-4070-9AB2-EAF51059E8F8</t>
  </si>
  <si>
    <t>2016-09-02_14:44 - Arquivo xog sendo gravado em: C:\xog_rumo_all_financial\xog_transaction_lote_20160902_144424.xml</t>
  </si>
  <si>
    <t>2016-09-02_14:44 - Login realizado. SessionID capturado: 9394858__6B5260B0-9E8C-4996-8315-C3E56374152B</t>
  </si>
  <si>
    <t>2016-09-02_14:44 - Arquivo xog sendo gravado em: C:\xog_rumo_all_financial\xog_transaction_lote_20160902_144429.xml</t>
  </si>
  <si>
    <t>2016-09-02_14:44 - Login realizado. SessionID capturado: 9394859__EDA0ADCD-6DF1-456D-912B-3A253F87EC2A</t>
  </si>
  <si>
    <t>2016-09-02_14:44 - Arquivo xog sendo gravado em: C:\xog_rumo_all_financial\xog_transaction_lote_20160902_144434.xml</t>
  </si>
  <si>
    <t>2016-09-02_14:44 - Login realizado. SessionID capturado: 9394860__50330F10-609C-47F6-A121-225F778971AD</t>
  </si>
  <si>
    <t>2016-09-02_14:44 - Arquivo xog sendo gravado em: C:\xog_rumo_all_financial\xog_transaction_lote_20160902_144439.xml</t>
  </si>
  <si>
    <t>2016-09-02_14:44 - Login realizado. SessionID capturado: 9394861__80EA7F07-56B1-481C-ACF2-2FB4BE763B4C</t>
  </si>
  <si>
    <t>2016-09-02_14:44 - Arquivo xog sendo gravado em: C:\xog_rumo_all_financial\xog_transaction_lote_20160902_144444.xml</t>
  </si>
  <si>
    <t>2016-09-02_14:44 - Login realizado. SessionID capturado: 9394862__9DD0B06B-ED77-49F9-AE75-B3C4A3F67699</t>
  </si>
  <si>
    <t>2016-09-02_14:44 - Arquivo xog sendo gravado em: C:\xog_rumo_all_financial\xog_transaction_lote_20160902_144449.xml</t>
  </si>
  <si>
    <t>2016-09-02_14:44 - Login realizado. SessionID capturado: 9394864__139D5EDF-6C9A-4A67-936B-E032F9A4864C</t>
  </si>
  <si>
    <t>2016-09-02_14:47 - -------------Início da exportação transações de projeto-------------</t>
  </si>
  <si>
    <t>2016-09-02_14:47 - Arquivo xog sendo gravado em: C:\xog_rumo_all_financial\xog_transaction_lote_20160902_144712.xml</t>
  </si>
  <si>
    <t>2016-09-02_14:47 - Proxy identificado</t>
  </si>
  <si>
    <t>2016-09-02_14:47 - Ambiente selecionado: DEV</t>
  </si>
  <si>
    <t>2016-09-02_14:47 -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</si>
  <si>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2016-09-02_14:47 - Enviando requisição de login</t>
  </si>
  <si>
    <t>2016-09-02_14:47 - Login realizado. SessionID capturado: 9394865__33980E39-8C60-4572-967C-EBF6A238DF93</t>
  </si>
  <si>
    <t>2016-09-02_14:47 - Chamando mensagem de requisição</t>
  </si>
  <si>
    <t>2016-09-02_14:47 - Capturando resultado final</t>
  </si>
  <si>
    <t>2016-09-02_14:47 - Efetuando logout</t>
  </si>
  <si>
    <t>2016-09-02_14:47 - Logout realizado</t>
  </si>
  <si>
    <t>2016-09-02_14:47 - -------------Fim da exportação transações de projeto-------------</t>
  </si>
  <si>
    <t>2016-09-02_14:47 - Arquivo xog sendo gravado em: C:\xog_rumo_all_financial\xog_transaction_lote_20160902_144719.xml</t>
  </si>
  <si>
    <t>2016-09-02_14:47 - Login realizado. SessionID capturado: 9394866__954229E8-292F-4AE3-8F3D-6238CD384B09</t>
  </si>
  <si>
    <t>2016-09-02_14:47 - Arquivo xog sendo gravado em: C:\xog_rumo_all_financial\xog_transaction_lote_20160902_144724.xml</t>
  </si>
  <si>
    <t>2016-09-02_14:47 - Login realizado. SessionID capturado: 9394867__3530B721-D24C-499F-96FF-CFB7BBE23453</t>
  </si>
  <si>
    <t>2016-09-02_14:47 - Arquivo xog sendo gravado em: C:\xog_rumo_all_financial\xog_transaction_lote_20160902_144729.xml</t>
  </si>
  <si>
    <t>2016-09-02_14:47 - Login realizado. SessionID capturado: 9394868__E0ECFA01-3BD8-4BD0-911C-14D92064E2EC</t>
  </si>
  <si>
    <t>2016-09-02_14:47 - Arquivo xog sendo gravado em: C:\xog_rumo_all_financial\xog_transaction_lote_20160902_144734.xml</t>
  </si>
  <si>
    <t>2016-09-02_14:47 - Login realizado. SessionID capturado: 9394869__9D3BA924-F638-4F25-AECB-5F815CD0BD6F</t>
  </si>
  <si>
    <t>2016-09-02_14:47 - Arquivo xog sendo gravado em: C:\xog_rumo_all_financial\xog_transaction_lote_20160902_144739.xml</t>
  </si>
  <si>
    <t>2016-09-02_14:47 - Login realizado. SessionID capturado: 9394870__0B609DAF-FCAC-4AC0-AE5F-CD3CF799FBD5</t>
  </si>
  <si>
    <t>2016-09-02_14:47 - Arquivo xog sendo gravado em: C:\xog_rumo_all_financial\xog_transaction_lote_20160902_144744.xml</t>
  </si>
  <si>
    <t>2016-09-02_14:47 - Login realizado. SessionID capturado: 9394871__A8889E3D-6587-41BE-8B0F-320210DA2CF6</t>
  </si>
  <si>
    <t>2016-09-02_14:47 - Arquivo xog sendo gravado em: C:\xog_rumo_all_financial\xog_transaction_lote_20160902_144749.xml</t>
  </si>
  <si>
    <t>2016-09-02_14:47 - Login realizado. SessionID capturado: 9394872__42FF72E3-F535-4E43-83F8-826F07524E7D</t>
  </si>
  <si>
    <t>2016-09-02_14:47 - Arquivo xog sendo gravado em: C:\xog_rumo_all_financial\xog_transaction_lote_20160902_144754.xml</t>
  </si>
  <si>
    <t>2016-09-02_14:47 - Login realizado. SessionID capturado: 9394873__ECC9766D-0396-4C31-9AA0-ECB4EC195BAF</t>
  </si>
  <si>
    <t>2016-09-02_14:47 - Arquivo xog sendo gravado em: C:\xog_rumo_all_financial\xog_transaction_lote_20160902_144759.xml</t>
  </si>
  <si>
    <t>2016-09-02_14:47 - Login realizado. SessionID capturado: 9394874__06E1DF6D-7148-4A52-AF12-B6CF1F3F8A7E</t>
  </si>
  <si>
    <t>2016-09-02_14:59 - -------------Início da exportação transações de projeto-------------</t>
  </si>
  <si>
    <t>2016-09-02_14:59 - Arquivo xog sendo gravado em: C:\xog_rumo_all_financial\xog_transaction_lote_20160902_145923.xml</t>
  </si>
  <si>
    <t>2016-09-02_14:59 - Proxy identificado</t>
  </si>
  <si>
    <t>2016-09-02_14:59 - Ambiente selecionado: DEV</t>
  </si>
  <si>
    <t>2016-09-02_14:59 -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</si>
  <si>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2016-09-02_14:59 - Enviando requisição de login</t>
  </si>
  <si>
    <t>2016-09-02_15:15 - -------------Início da exportação transações de projeto-------------</t>
  </si>
  <si>
    <t>2016-09-02_15:15 - Arquivo xog sendo gravado em: C:\xog_rumo_all_financial\xog_transaction_lote_20160902_151557.xml</t>
  </si>
  <si>
    <t>2016-09-02_15:15 - Proxy identificado</t>
  </si>
  <si>
    <t>2016-09-02_15:15 - Ambiente selecionado: DEV</t>
  </si>
  <si>
    <t>2016-09-02_15:15 -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</si>
  <si>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2016-09-02_15:15 - Enviando requisição de login</t>
  </si>
  <si>
    <t>2016-09-02_15:15 - Login realizado. SessionID capturado: 9394884__8221195B-6717-44B1-ADD2-423C2328B3E2</t>
  </si>
  <si>
    <t>2016-09-02_15:15 - Chamando mensagem de requisição</t>
  </si>
  <si>
    <t>2016-09-02_15:15 - Capturando resultado final</t>
  </si>
  <si>
    <t>2016-09-02_15:15 - Efetuando logout</t>
  </si>
  <si>
    <t>2016-09-02_15:15 - Logout realizado</t>
  </si>
  <si>
    <t>2016-09-02_15:15 - -------------Fim da exportação transações de projeto-------------</t>
  </si>
  <si>
    <t>2016-09-02_15:16 - -------------Início da exportação transações de projeto-------------</t>
  </si>
  <si>
    <t>2016-09-02_15:16 - Arquivo xog sendo gravado em: C:\xog_rumo_all_financial\xog_transaction_lote_20160902_151604.xml</t>
  </si>
  <si>
    <t>2016-09-02_15:16 - Proxy identificado</t>
  </si>
  <si>
    <t>2016-09-02_15:16 - Ambiente selecionado: DEV</t>
  </si>
  <si>
    <t>2016-09-02_15:16 -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</si>
  <si>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2016-09-02_15:16 - Enviando requisição de login</t>
  </si>
  <si>
    <t>2016-09-02_15:16 - Login realizado. SessionID capturado: 9394885__B044BCC0-A201-449B-AB88-9A12FA92550E</t>
  </si>
  <si>
    <t>2016-09-02_15:16 - Chamando mensagem de requisição</t>
  </si>
  <si>
    <t>2016-09-02_15:16 - Capturando resultado final</t>
  </si>
  <si>
    <t>2016-09-02_15:16 - Efetuando logout</t>
  </si>
  <si>
    <t>2016-09-02_15:16 - Logout realizado</t>
  </si>
  <si>
    <t>2016-09-02_15:16 - -------------Fim da exportação transações de projeto-------------</t>
  </si>
  <si>
    <t>2016-09-02_15:16 - Arquivo xog sendo gravado em: C:\xog_rumo_all_financial\xog_transaction_lote_20160902_151609.xml</t>
  </si>
  <si>
    <t>2016-09-02_15:16 - Login realizado. SessionID capturado: 9394886__39AC5C68-8FB0-4C01-8333-6C6BA9925D59</t>
  </si>
  <si>
    <t>2016-09-02_15:16 - Arquivo xog sendo gravado em: C:\xog_rumo_all_financial\xog_transaction_lote_20160902_151614.xml</t>
  </si>
  <si>
    <t>2016-09-02_15:16 - Login realizado. SessionID capturado: 9394887__00F61A58-566B-425B-B13E-DC8FEC017B65</t>
  </si>
  <si>
    <t>2016-09-02_15:16 - Arquivo xog sendo gravado em: C:\xog_rumo_all_financial\xog_transaction_lote_20160902_151619.xml</t>
  </si>
  <si>
    <t>2016-09-02_15:16 - Login realizado. SessionID capturado: 9394888__E964DFBC-0A27-4607-8F48-633CAA96FD00</t>
  </si>
  <si>
    <t>2016-09-02_15:16 - Arquivo xog sendo gravado em: C:\xog_rumo_all_financial\xog_transaction_lote_20160902_151624.xml</t>
  </si>
  <si>
    <t>2016-09-02_15:16 - Login realizado. SessionID capturado: 9394889__90E4B4C6-C043-41E0-ACD2-80ADF675431C</t>
  </si>
  <si>
    <t>2016-09-02_15:16 - Arquivo xog sendo gravado em: C:\xog_rumo_all_financial\xog_transaction_lote_20160902_151629.xml</t>
  </si>
  <si>
    <t>2016-09-02_15:16 - Login realizado. SessionID capturado: 9394890__C672216F-FFBA-4C5E-B773-058DE2975889</t>
  </si>
  <si>
    <t>2016-09-02_15:16 - Arquivo xog sendo gravado em: C:\xog_rumo_all_financial\xog_transaction_lote_20160902_151634.xml</t>
  </si>
  <si>
    <t>2016-09-02_15:16 - Login realizado. SessionID capturado: 9394891__2666F297-5B15-431F-8FAD-DE0D77DCC1D9</t>
  </si>
  <si>
    <t>2016-09-02_15:16 - Arquivo xog sendo gravado em: C:\xog_rumo_all_financial\xog_transaction_lote_20160902_151639.xml</t>
  </si>
  <si>
    <t>2016-09-02_15:16 - Login realizado. SessionID capturado: 9394892__9620B656-B6A5-48A2-9662-23FC04BEF1AC</t>
  </si>
  <si>
    <t>2016-09-02_15:16 - Arquivo xog sendo gravado em: C:\xog_rumo_all_financial\xog_transaction_lote_20160902_151644.xml</t>
  </si>
  <si>
    <t>2016-09-02_15:16 - Login realizado. SessionID capturado: 9394893__C4970500-4B1C-41F6-A429-75CE0BE6F78F</t>
  </si>
  <si>
    <t>2016-09-02_15:16 - Arquivo xog sendo gravado em: C:\xog_rumo_all_financial\xog_transaction_lote_20160902_151649.xml</t>
  </si>
  <si>
    <t>2016-09-02_15:16 - Login realizado. SessionID capturado: 9394894__4E7223AA-AA1F-4A1C-8330-26787E6F168B</t>
  </si>
  <si>
    <t>2016-09-02_15:16 - Arquivo xog sendo gravado em: C:\xog_rumo_all_financial\xog_transaction_lote_20160902_151654.xml</t>
  </si>
  <si>
    <t>2016-09-02_15:16 - Login realizado. SessionID capturado: 9394895__72214F8E-65AB-4F41-9B3A-5153C56195A1</t>
  </si>
  <si>
    <t>2016-09-02_15:16 - Arquivo xog sendo gravado em: C:\xog_rumo_all_financial\xog_transaction_lote_20160902_151659.xml</t>
  </si>
  <si>
    <t>2016-09-02_15:16 - Login realizado. SessionID capturado: 9394896__1FB8C3D9-AFFB-48C4-9A42-E33BCFFAA67F</t>
  </si>
  <si>
    <t>2016-09-02_15:17 - -------------Início da exportação transações de projeto-------------</t>
  </si>
  <si>
    <t>2016-09-02_15:17 - Arquivo xog sendo gravado em: C:\xog_rumo_all_financial\xog_transaction_lote_20160902_151704.xml</t>
  </si>
  <si>
    <t>2016-09-02_15:17 - Proxy identificado</t>
  </si>
  <si>
    <t>2016-09-02_15:17 - Ambiente selecionado: DEV</t>
  </si>
  <si>
    <t>2016-09-02_15:17 -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</si>
  <si>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2016-09-02_15:17 - Enviando requisição de login</t>
  </si>
  <si>
    <t>2016-09-02_15:17 - Login realizado. SessionID capturado: 9394897__2A7383B5-153F-4FEB-9571-226E7109718A</t>
  </si>
  <si>
    <t>2016-09-02_15:17 - Chamando mensagem de requisição</t>
  </si>
  <si>
    <t>2016-09-02_15:17 - Capturando resultado final</t>
  </si>
  <si>
    <t>2016-09-02_15:17 - Efetuando logout</t>
  </si>
  <si>
    <t>2016-09-02_15:17 - Logout realizado</t>
  </si>
  <si>
    <t>2016-09-02_15:17 - -------------Fim da exportação transações de projeto-------------</t>
  </si>
  <si>
    <t>2016-09-02_15:17 - Arquivo xog sendo gravado em: C:\xog_rumo_all_financial\xog_transaction_lote_20160902_151709.xml</t>
  </si>
  <si>
    <t>2016-09-02_15:17 - Login realizado. SessionID capturado: 9394898__341D8663-47F4-4CF2-9DF4-4B36372512BF</t>
  </si>
  <si>
    <t>2016-09-02_15:17 - Arquivo xog sendo gravado em: C:\xog_rumo_all_financial\xog_transaction_lote_20160902_151714.xml</t>
  </si>
  <si>
    <t>2016-09-02_15:17 - Login realizado. SessionID capturado: 9394899__D5E009BE-3012-459F-8E5E-2A4CDB37AB90</t>
  </si>
  <si>
    <t>2016-09-02_15:17 - Arquivo xog sendo gravado em: C:\xog_rumo_all_financial\xog_transaction_lote_20160902_151719.xml</t>
  </si>
  <si>
    <t>2016-09-02_15:17 - Login realizado. SessionID capturado: 9394900__04A36195-3B5C-49BA-BFD6-36C1542A4DEF</t>
  </si>
  <si>
    <t>2016-09-02_15:17 - Arquivo xog sendo gravado em: C:\xog_rumo_all_financial\xog_transaction_lote_20160902_151724.xml</t>
  </si>
  <si>
    <t>2016-09-02_15:17 - Login realizado. SessionID capturado: 9394901__734D36C7-9E23-41B3-8889-214849DE35DF</t>
  </si>
  <si>
    <t>2016-09-02_15:26 - -------------Início da exportação transações de projeto-------------</t>
  </si>
  <si>
    <t>2016-09-02_15:26 - Arquivo xog sendo gravado em: C:\xog_rumo_all_financial\xog_transaction_lote_20160902_152607.xml</t>
  </si>
  <si>
    <t>2016-09-02_15:26 - Arquivo xog sendo gravado em: C:\xog_rumo_all_financial\xog_transaction_lote_20160902_152628.xml</t>
  </si>
  <si>
    <t>2016-09-02_15:26 - Proxy identificado</t>
  </si>
  <si>
    <t>2016-09-02_15:26 - Ambiente selecionado: DEV</t>
  </si>
  <si>
    <t>2016-09-02_15:26 -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</si>
  <si>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2016-09-02_15:26 - Enviando requisição de login</t>
  </si>
  <si>
    <t>2016-09-02_15:27 - -------------Início da exportação transações de projeto-------------</t>
  </si>
  <si>
    <t>2016-09-02_15:27 - Arquivo xog sendo gravado em: C:\xog_rumo_all_financial\xog_transaction_lote_20160902_152711.xml</t>
  </si>
  <si>
    <t>2016-09-02_15:27 - Proxy identificado</t>
  </si>
  <si>
    <t>2016-09-02_15:27 - Ambiente selecionado: DEV</t>
  </si>
  <si>
    <t>2016-09-02_15:27 -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</si>
  <si>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2016-09-02_15:27 - Enviando requisição de login</t>
  </si>
  <si>
    <t>2016-09-02_15:27 - Login realizado. SessionID capturado: 9394904__7EE319F3-CC61-4441-B855-B5EEFA8FE0B1</t>
  </si>
  <si>
    <t>2016-09-02_15:27 - Chamando mensagem de requisição</t>
  </si>
  <si>
    <t>2016-09-02_15:27 - Capturando resultado final</t>
  </si>
  <si>
    <t>2016-09-02_15:27 - Efetuando logout</t>
  </si>
  <si>
    <t>2016-09-02_15:27 - Logout realizado</t>
  </si>
  <si>
    <t>2016-09-02_15:27 - -------------Fim da exportação transações de projeto-------------</t>
  </si>
  <si>
    <t>2016-09-02_15:27 - Arquivo xog sendo gravado em: C:\xog_rumo_all_financial\xog_transaction_lote_20160902_152717.xml</t>
  </si>
  <si>
    <t>2016-09-02_15:27 - Login realizado. SessionID capturado: 9394905__324E34FC-083A-48F8-BF7F-49C6D0223E88</t>
  </si>
  <si>
    <t>2016-09-02_15:27 - Arquivo xog sendo gravado em: C:\xog_rumo_all_financial\xog_transaction_lote_20160902_152722.xml</t>
  </si>
  <si>
    <t>2016-09-02_15:27 - Login realizado. SessionID capturado: 9394906__6D788EFD-60A3-403A-8DD6-5C4CDD66D7DC</t>
  </si>
  <si>
    <t>2016-09-02_15:27 - Arquivo xog sendo gravado em: C:\xog_rumo_all_financial\xog_transaction_lote_20160902_152727.xml</t>
  </si>
  <si>
    <t>2016-09-02_15:27 - Login realizado. SessionID capturado: 9394907__D0857A29-A998-4F13-AC6A-67677E48ACA3</t>
  </si>
  <si>
    <t>2016-09-02_15:27 - Arquivo xog sendo gravado em: C:\xog_rumo_all_financial\xog_transaction_lote_20160902_152732.xml</t>
  </si>
  <si>
    <t>2016-09-02_15:27 - Login realizado. SessionID capturado: 9394908__E1D6EC0C-A587-4559-A49A-2DDD978CA166</t>
  </si>
  <si>
    <t>2016-09-02_15:27 - Arquivo xog sendo gravado em: C:\xog_rumo_all_financial\xog_transaction_lote_20160902_152737.xml</t>
  </si>
  <si>
    <t>2016-09-02_15:27 - Login realizado. SessionID capturado: 9394909__B84E550B-3491-4A09-8A4C-6EC98CB17E9B</t>
  </si>
  <si>
    <t>2016-09-02_15:27 - Arquivo xog sendo gravado em: C:\xog_rumo_all_financial\xog_transaction_lote_20160902_152742.xml</t>
  </si>
  <si>
    <t>2016-09-02_15:27 - Login realizado. SessionID capturado: 9394910__5D55FBBD-54D3-41C9-B142-519BB379261A</t>
  </si>
  <si>
    <t>2016-09-02_15:27 - Arquivo xog sendo gravado em: C:\xog_rumo_all_financial\xog_transaction_lote_20160902_152747.xml</t>
  </si>
  <si>
    <t>2016-09-02_15:27 - Login realizado. SessionID capturado: 9394911__13CC6163-E58A-4328-9262-3A1FAD51EECD</t>
  </si>
  <si>
    <t>2016-09-02_15:27 - Arquivo xog sendo gravado em: C:\xog_rumo_all_financial\xog_transaction_lote_20160902_152752.xml</t>
  </si>
  <si>
    <t>2016-09-02_15:27 - Login realizado. SessionID capturado: 9394912__A1C23B69-1BC6-4417-B302-FABC5B18BE7A</t>
  </si>
  <si>
    <t>2016-09-02_15:27 - Arquivo xog sendo gravado em: C:\xog_rumo_all_financial\xog_transaction_lote_20160902_152757.xml</t>
  </si>
  <si>
    <t>2016-09-02_15:27 - Login realizado. SessionID capturado: 9394913__01973CD6-32F6-4882-BC67-450733BC5789</t>
  </si>
  <si>
    <t>2016-09-02_15:28 - -------------Início da exportação transações de projeto-------------</t>
  </si>
  <si>
    <t>2016-09-02_15:28 - Arquivo xog sendo gravado em: C:\xog_rumo_all_financial\xog_transaction_lote_20160902_152802.xml</t>
  </si>
  <si>
    <t>2016-09-02_15:28 - Proxy identificado</t>
  </si>
  <si>
    <t>2016-09-02_15:28 - Ambiente selecionado: DEV</t>
  </si>
  <si>
    <t>2016-09-02_15:28 -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</si>
  <si>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2016-09-02_15:28 - Enviando requisição de login</t>
  </si>
  <si>
    <t>2016-09-02_15:28 - Login realizado. SessionID capturado: 9394914__4BB8C492-A425-46B8-9F8D-9DB338A893AD</t>
  </si>
  <si>
    <t>2016-09-02_15:28 - Chamando mensagem de requisição</t>
  </si>
  <si>
    <t>2016-09-02_15:28 - Capturando resultado final</t>
  </si>
  <si>
    <t>2016-09-02_15:28 - Efetuando logout</t>
  </si>
  <si>
    <t>2016-09-02_15:28 - Logout realizado</t>
  </si>
  <si>
    <t>2016-09-02_15:28 - -------------Fim da exportação transações de projeto-------------</t>
  </si>
  <si>
    <t>2016-09-02_15:28 - Arquivo xog sendo gravado em: C:\xog_rumo_all_financial\xog_transaction_lote_20160902_152807.xml</t>
  </si>
  <si>
    <t>2016-09-02_15:28 - Login realizado. SessionID capturado: 9394915__A329F363-BF7B-44CE-8957-8C8B8143E1E8</t>
  </si>
  <si>
    <t>2016-09-02_15:28 - Arquivo xog sendo gravado em: C:\xog_rumo_all_financial\xog_transaction_lote_20160902_152812.xml</t>
  </si>
  <si>
    <t>2016-09-02_15:28 - Login realizado. SessionID capturado: 9394916__8507A237-3A76-4219-B598-F2B089A871EA</t>
  </si>
  <si>
    <t>2016-09-02_15:28 - Arquivo xog sendo gravado em: C:\xog_rumo_all_financial\xog_transaction_lote_20160902_152817.xml</t>
  </si>
  <si>
    <t>2016-09-02_15:28 - Login realizado. SessionID capturado: 9394917__F20ADE1B-1A1F-4CEA-A639-BD16761FA9C3</t>
  </si>
  <si>
    <t>2016-09-02_15:28 - Arquivo xog sendo gravado em: C:\xog_rumo_all_financial\xog_transaction_lote_20160902_152822.xml</t>
  </si>
  <si>
    <t>2016-09-02_15:28 - Login realizado. SessionID capturado: 9394918__F5238D9F-A7E4-496B-81DB-45094B3F92A2</t>
  </si>
  <si>
    <t>2016-09-02_15:28 - Arquivo xog sendo gravado em: C:\xog_rumo_all_financial\xog_transaction_lote_20160902_152827.xml</t>
  </si>
  <si>
    <t>2016-09-02_15:28 - Login realizado. SessionID capturado: 9394919__270C736A-F584-4F38-A160-29F53CD646C6</t>
  </si>
  <si>
    <t>2016-09-02_15:28 - Arquivo xog sendo gravado em: C:\xog_rumo_all_financial\xog_transaction_lote_20160902_152832.xml</t>
  </si>
  <si>
    <t>2016-09-02_15:28 - Login realizado. SessionID capturado: 9394920__E8DDD150-BB9F-4EF7-8AD8-C5F18FEAEBDA</t>
  </si>
  <si>
    <t>2016-09-02_15:28 - Arquivo xog sendo gravado em: C:\xog_rumo_all_financial\xog_transaction_lote_20160902_152837.xml</t>
  </si>
  <si>
    <t>2016-09-02_15:28 - Login realizado. SessionID capturado: 9394921__8D584B0F-E61E-4F31-AF26-A6EEDD2C7FF2</t>
  </si>
  <si>
    <t>2016-09-02_15:29 - Proxy identificado</t>
  </si>
  <si>
    <t>2016-09-02_15:29 - Ambiente selecionado: DEV</t>
  </si>
  <si>
    <t>2016-09-02_15:29 - Escrevendo tarefas...</t>
  </si>
  <si>
    <t>2016-09-02_15:29 - Escrevendo locais...</t>
  </si>
  <si>
    <t>2016-09-02_15:29 - Escrevendo períodos...</t>
  </si>
  <si>
    <t>2016-09-02_15:29 - Escrevendo fornecedores...</t>
  </si>
  <si>
    <t>2016-09-02_15:29 - Escrevendo departamentos...</t>
  </si>
  <si>
    <t>2016-09-02_15:29 - Escrevendo centros de custo...</t>
  </si>
  <si>
    <t>2016-09-02_15:29 - Escrevendo recursos e classes de transacao...</t>
  </si>
  <si>
    <t>2016-09-02_15:29 - Escrevendo classes de transacao...</t>
  </si>
  <si>
    <t>2016-09-02_15:29 - -------------Início da exportação transações de projeto-------------</t>
  </si>
  <si>
    <t>2016-09-02_15:29 - Arquivo xog sendo gravado em: C:\xog_rumo_all_financial\xog_transaction_lote_20160902_152931.xml</t>
  </si>
  <si>
    <t>2016-09-02_15:29 -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</si>
  <si>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2016-09-02_15:29 - Enviando requisição de login</t>
  </si>
  <si>
    <t>2016-09-02_15:29 - Login realizado. SessionID capturado: 9394930__BB973A32-E224-4B60-96F4-4529E8A3DC9F</t>
  </si>
  <si>
    <t>2016-09-02_15:29 - Chamando mensagem de requisição</t>
  </si>
  <si>
    <t>2016-09-02_15:29 - Capturando resultado final</t>
  </si>
  <si>
    <t>2016-09-02_15:29 - Efetuando logout</t>
  </si>
  <si>
    <t>2016-09-02_15:29 - Logout realizado</t>
  </si>
  <si>
    <t>2016-09-02_15:29 - -------------Fim da exportação transações de projeto-------------</t>
  </si>
  <si>
    <t>2016-09-02_15:29 - Arquivo xog sendo gravado em: C:\xog_rumo_all_financial\xog_transaction_lote_20160902_152936.xml</t>
  </si>
  <si>
    <t>2016-09-02_15:29 - Login realizado. SessionID capturado: 9394931__DB9423BF-0985-4B58-9C50-AC5EE6A232EB</t>
  </si>
  <si>
    <t>2016-09-02_15:29 - Arquivo xog sendo gravado em: C:\xog_rumo_all_financial\xog_transaction_lote_20160902_152941.xml</t>
  </si>
  <si>
    <t>2016-09-02_15:29 - Login realizado. SessionID capturado: 9394932__549D16F4-5006-41FB-BCF5-1B51CD270D7C</t>
  </si>
  <si>
    <t>2016-09-02_15:29 - Arquivo xog sendo gravado em: C:\xog_rumo_all_financial\xog_transaction_lote_20160902_152946.xml</t>
  </si>
  <si>
    <t>2016-09-02_15:29 - Login realizado. SessionID capturado: 9394933__D8B4FA56-0A37-459B-B62C-5C84A0E54D22</t>
  </si>
  <si>
    <t>2016-09-02_15:29 - Arquivo xog sendo gravado em: C:\xog_rumo_all_financial\xog_transaction_lote_20160902_152951.xml</t>
  </si>
  <si>
    <t>2016-09-02_15:29 - Login realizado. SessionID capturado: 9394935__CCD12256-32E9-4A5A-B587-0359230563A4</t>
  </si>
  <si>
    <t>2016-09-02_15:29 - Arquivo xog sendo gravado em: C:\xog_rumo_all_financial\xog_transaction_lote_20160902_152956.xml</t>
  </si>
  <si>
    <t>2016-09-02_15:29 - Login realizado. SessionID capturado: 9394936__6ABBDE09-7B2C-4639-8866-52F632D1E678</t>
  </si>
  <si>
    <t>2016-09-02_15:30 - -------------Início da exportação transações de projeto-------------</t>
  </si>
  <si>
    <t>2016-09-02_15:30 - Arquivo xog sendo gravado em: C:\xog_rumo_all_financial\xog_transaction_lote_20160902_153001.xml</t>
  </si>
  <si>
    <t>2016-09-02_15:30 - Proxy identificado</t>
  </si>
  <si>
    <t>2016-09-02_15:30 - Ambiente selecionado: DEV</t>
  </si>
  <si>
    <t>2016-09-02_15:30 -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</si>
  <si>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2016-09-02_15:30 - Enviando requisição de login</t>
  </si>
  <si>
    <t>2016-09-02_15:30 - Login realizado. SessionID capturado: 9394937__753F0403-A035-4B02-A355-F3B4EFBE1FD0</t>
  </si>
  <si>
    <t>2016-09-02_15:30 - Chamando mensagem de requisição</t>
  </si>
  <si>
    <t>2016-09-02_15:30 - Capturando resultado final</t>
  </si>
  <si>
    <t>2016-09-02_15:30 - Efetuando logout</t>
  </si>
  <si>
    <t>2016-09-02_15:30 - Logout realizado</t>
  </si>
  <si>
    <t>2016-09-02_15:30 - -------------Fim da exportação transações de projeto-------------</t>
  </si>
  <si>
    <t>2016-09-02_15:30 - Arquivo xog sendo gravado em: C:\xog_rumo_all_financial\xog_transaction_lote_20160902_153006.xml</t>
  </si>
  <si>
    <t>2016-09-02_15:30 - Login realizado. SessionID capturado: 9394938__9C15883B-C429-4133-8028-2E4B6D40290C</t>
  </si>
  <si>
    <t>2016-09-02_15:30 - Arquivo xog sendo gravado em: C:\xog_rumo_all_financial\xog_transaction_lote_20160902_153012.xml</t>
  </si>
  <si>
    <t>2016-09-02_15:30 - Login realizado. SessionID capturado: 9394939__AEF8403B-D180-4589-8A77-C662B76E450E</t>
  </si>
  <si>
    <t>2016-09-02_15:30 - Arquivo xog sendo gravado em: C:\xog_rumo_all_financial\xog_transaction_lote_20160902_153017.xml</t>
  </si>
  <si>
    <t>2016-09-02_15:30 - Login realizado. SessionID capturado: 9394940__39F716B9-4A9A-4360-BBA2-4F5D1F754F7A</t>
  </si>
  <si>
    <t>2016-09-02_15:30 - Arquivo xog sendo gravado em: C:\xog_rumo_all_financial\xog_transaction_lote_20160902_153022.xml</t>
  </si>
  <si>
    <t>2016-09-02_15:30 - Login realizado. SessionID capturado: 9394941__EF3CE318-518A-4C26-B686-CF4F4320FA24</t>
  </si>
  <si>
    <t>2016-09-02_15:30 - Arquivo xog sendo gravado em: C:\xog_rumo_all_financial\xog_transaction_lote_20160902_153027.xml</t>
  </si>
  <si>
    <t>2016-09-02_15:30 - Login realizado. SessionID capturado: 9394942__A00EDBA1-DEC4-450C-99D1-896AD80332EB</t>
  </si>
  <si>
    <t>2016-09-02_15:30 - Arquivo xog sendo gravado em: C:\xog_rumo_all_financial\xog_transaction_lote_20160902_153032.xml</t>
  </si>
  <si>
    <t>2016-09-02_15:30 - Login realizado. SessionID capturado: 9394943__D242CC2C-4ECB-446D-87D7-BFC0E575C653</t>
  </si>
  <si>
    <t>2016-09-02_15:30 - Arquivo xog sendo gravado em: C:\xog_rumo_all_financial\xog_transaction_lote_20160902_153037.xml</t>
  </si>
  <si>
    <t>2016-09-02_15:30 - Login realizado. SessionID capturado: 9394944__A5FB77E0-D5BC-4280-A80C-E7613D51D8D5</t>
  </si>
  <si>
    <t>2016-09-02_15:30 - Arquivo xog sendo gravado em: C:\xog_rumo_all_financial\xog_transaction_lote_20160902_153042.xml</t>
  </si>
  <si>
    <t>2016-09-02_15:30 - Login realizado. SessionID capturado: 9394945__FFD80807-CBFC-452B-9B93-512B72DA7A1D</t>
  </si>
  <si>
    <t>2016-09-02_15:30 - Arquivo xog sendo gravado em: C:\xog_rumo_all_financial\xog_transaction_lote_20160902_153047.xml</t>
  </si>
  <si>
    <t>2016-09-02_15:30 - Login realizado. SessionID capturado: 9394946__13FCEDA6-8E71-4454-ACD6-E8FBFE266FB0</t>
  </si>
  <si>
    <t>2016-09-02_15:30 - Arquivo xog sendo gravado em: C:\xog_rumo_all_financial\xog_transaction_lote_20160902_153052.xml</t>
  </si>
  <si>
    <t>2016-09-02_15:30 - Login realizado. SessionID capturado: 9394947__1F0E5EA5-D24C-413B-8337-357691073536</t>
  </si>
  <si>
    <t>2016-09-02_15:30 - Arquivo xog sendo gravado em: C:\xog_rumo_all_financial\xog_transaction_lote_20160902_153057.xml</t>
  </si>
  <si>
    <t>2016-09-02_15:30 - Login realizado. SessionID capturado: 9394948__33AB0812-174E-49B2-B685-4AB02569D5A9</t>
  </si>
  <si>
    <t>2016-09-02_15:37 - Proxy identificado</t>
  </si>
  <si>
    <t>2016-09-02_15:37 - Ambiente selecionado: DEV</t>
  </si>
  <si>
    <t>2016-09-02_15:37 - Escrevendo tarefas...</t>
  </si>
  <si>
    <t>2016-09-02_15:37 - Escrevendo locais...</t>
  </si>
  <si>
    <t>2016-09-02_15:37 - Escrevendo períodos...</t>
  </si>
  <si>
    <t>2016-09-02_15:37 - Escrevendo fornecedores...</t>
  </si>
  <si>
    <t>2016-09-02_15:37 - Escrevendo departamentos...</t>
  </si>
  <si>
    <t>2016-09-02_15:37 - Escrevendo centros de custo...</t>
  </si>
  <si>
    <t>2016-09-02_15:37 - Escrevendo recursos e classes de transacao...</t>
  </si>
  <si>
    <t>2016-09-02_15:37 - Escrevendo classes de transacao...</t>
  </si>
  <si>
    <t>2016-09-02_15:39 - Escrevendo classes de transacao...</t>
  </si>
  <si>
    <t>2016-09-02_15:39 - Proxy identificado</t>
  </si>
  <si>
    <t>2016-09-02_15:39 - Ambiente selecionado: DEV</t>
  </si>
  <si>
    <t>2016-09-02_15:42 - Proxy identificado</t>
  </si>
  <si>
    <t>2016-09-02_15:42 - Ambiente selecionado: DEV</t>
  </si>
  <si>
    <t>2016-09-02_15:42 - Escrevendo tarefas...</t>
  </si>
  <si>
    <t>2016-09-02_15:42 - Escrevendo locais...</t>
  </si>
  <si>
    <t>2016-09-02_15:42 - Escrevendo períodos...</t>
  </si>
  <si>
    <t>2016-09-02_15:42 - Escrevendo fornecedores...</t>
  </si>
  <si>
    <t>2016-09-02_15:42 - Escrevendo departamentos...</t>
  </si>
  <si>
    <t>2016-09-02_15:42 - Escrevendo centros de custo...</t>
  </si>
  <si>
    <t>2016-09-02_15:42 - Escrevendo recursos e classes de transacao...</t>
  </si>
  <si>
    <t>2016-09-02_15:42 - Escrevendo classes de transacao...</t>
  </si>
  <si>
    <t>2016-09-02_15:43 - Escrevendo classes de transacao...</t>
  </si>
  <si>
    <t>2016-09-02_15:43 - Proxy identificado</t>
  </si>
  <si>
    <t>2016-09-02_15:43 - Ambiente selecionado: DEV</t>
  </si>
  <si>
    <t>2016-09-02_15:43 - Escrevendo tarefas...</t>
  </si>
  <si>
    <t>2016-09-02_15:43 - Escrevendo locais...</t>
  </si>
  <si>
    <t>2016-09-02_15:43 - Escrevendo períodos...</t>
  </si>
  <si>
    <t>2016-09-02_15:43 - Escrevendo fornecedores...</t>
  </si>
  <si>
    <t>2016-09-02_15:43 - Escrevendo departamentos...</t>
  </si>
  <si>
    <t>2016-09-02_15:43 - Escrevendo centros de custo...</t>
  </si>
  <si>
    <t>2016-09-02_15:43 - Escrevendo recursos e classes de transacao...</t>
  </si>
  <si>
    <t>2016-09-02_15:43 - -------------Início da exportação transações de projeto-------------</t>
  </si>
  <si>
    <t>2016-09-02_15:43 - Arquivo xog sendo gravado em: C:\xog_rumo_all_financial\xog_transaction_lote_20160902_154357.xml</t>
  </si>
  <si>
    <t>2016-09-02_15:43 -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</si>
  <si>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2016-09-02_15:43 - Enviando requisição de login</t>
  </si>
  <si>
    <t>2016-09-02_15:43 - Login realizado. SessionID capturado: 9394966__AFFA4489-7159-436D-B111-4CF4A440A6D5</t>
  </si>
  <si>
    <t>2016-09-02_15:43 - Chamando mensagem de requisição</t>
  </si>
  <si>
    <t>2016-09-02_15:43 - Capturando resultado final</t>
  </si>
  <si>
    <t>2016-09-02_15:43 - Efetuando logout</t>
  </si>
  <si>
    <t>2016-09-02_15:43 - Logout realizado</t>
  </si>
  <si>
    <t>2016-09-02_15:43 - -------------Fim da exportação transações de projeto-------------</t>
  </si>
  <si>
    <t>2016-09-02_15:44 - -------------Início da exportação transações de projeto-------------</t>
  </si>
  <si>
    <t>2016-09-02_15:44 - Arquivo xog sendo gravado em: C:\xog_rumo_all_financial\xog_transaction_lote_20160902_154403.xml</t>
  </si>
  <si>
    <t>2016-09-02_15:44 - Proxy identificado</t>
  </si>
  <si>
    <t>2016-09-02_15:44 - Ambiente selecionado: DEV</t>
  </si>
  <si>
    <t>2016-09-02_15:44 -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</si>
  <si>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2016-09-02_15:44 - Enviando requisição de login</t>
  </si>
  <si>
    <t>2016-09-02_15:44 - Login realizado. SessionID capturado: 9394967__451DAA5B-14C9-4238-8556-E49B2E974E71</t>
  </si>
  <si>
    <t>2016-09-02_15:44 - Chamando mensagem de requisição</t>
  </si>
  <si>
    <t>2016-09-02_15:44 - Capturando resultado final</t>
  </si>
  <si>
    <t>2016-09-02_15:44 - Efetuando logout</t>
  </si>
  <si>
    <t>2016-09-02_15:44 - Logout realizado</t>
  </si>
  <si>
    <t>2016-09-02_15:44 - -------------Fim da exportação transações de projeto-------------</t>
  </si>
  <si>
    <t>2016-09-02_15:44 - Arquivo xog sendo gravado em: C:\xog_rumo_all_financial\xog_transaction_lote_20160902_154408.xml</t>
  </si>
  <si>
    <t>2016-09-02_15:44 - Login realizado. SessionID capturado: 9394968__B5555B78-5B45-48DD-A5E0-F456E4F95FDB</t>
  </si>
  <si>
    <t>2016-09-02_15:44 - Arquivo xog sendo gravado em: C:\xog_rumo_all_financial\xog_transaction_lote_20160902_154413.xml</t>
  </si>
  <si>
    <t>2016-09-02_15:44 - Login realizado. SessionID capturado: 9394969__36C7D9F2-ACE0-4616-8CF5-B260058C8443</t>
  </si>
  <si>
    <t>2016-09-02_15:44 - Arquivo xog sendo gravado em: C:\xog_rumo_all_financial\xog_transaction_lote_20160902_154418.xml</t>
  </si>
  <si>
    <t>2016-09-02_15:44 - Login realizado. SessionID capturado: 9394970__5077A717-1581-4E48-A183-4F22DFE46771</t>
  </si>
  <si>
    <t>2016-09-02_15:44 - Arquivo xog sendo gravado em: C:\xog_rumo_all_financial\xog_transaction_lote_20160902_154423.xml</t>
  </si>
  <si>
    <t>2016-09-02_15:44 - Login realizado. SessionID capturado: 9394971__B14424A3-8A56-4267-8C8A-AEF4E965CEBD</t>
  </si>
  <si>
    <t>2016-09-02_15:44 - Arquivo xog sendo gravado em: C:\xog_rumo_all_financial\xog_transaction_lote_20160902_154428.xml</t>
  </si>
  <si>
    <t>2016-09-02_15:44 - Login realizado. SessionID capturado: 9394972__6B85EF77-A29C-48BE-AB4D-0B9FAEDE9349</t>
  </si>
  <si>
    <t>2016-09-02_15:44 - Arquivo xog sendo gravado em: C:\xog_rumo_all_financial\xog_transaction_lote_20160902_154433.xml</t>
  </si>
  <si>
    <t>2016-09-02_15:44 - Login realizado. SessionID capturado: 9394973__3F8BD403-0F22-40F7-8678-36F9DA818B4E</t>
  </si>
  <si>
    <t>2016-09-02_15:44 - Arquivo xog sendo gravado em: C:\xog_rumo_all_financial\xog_transaction_lote_20160902_154438.xml</t>
  </si>
  <si>
    <t>2016-09-02_15:44 - Login realizado. SessionID capturado: 9394974__64376662-E0FC-47C1-92DD-E8D412075BAE</t>
  </si>
  <si>
    <t>2016-09-02_15:44 - Arquivo xog sendo gravado em: C:\xog_rumo_all_financial\xog_transaction_lote_20160902_154443.xml</t>
  </si>
  <si>
    <t>2016-09-02_15:44 - Login realizado. SessionID capturado: 9394975__D83FB287-E0AA-41A8-9EE4-6B1ABC9A39C8</t>
  </si>
  <si>
    <t>2016-09-02_15:44 - Arquivo xog sendo gravado em: C:\xog_rumo_all_financial\xog_transaction_lote_20160902_154448.xml</t>
  </si>
  <si>
    <t>2016-09-02_15:44 - Login realizado. SessionID capturado: 9394977__8439CB69-2C4E-4D0F-9333-CC18962ED0DE</t>
  </si>
  <si>
    <t>2016-09-02_15:44 - Arquivo xog sendo gravado em: C:\xog_rumo_all_financial\xog_transaction_lote_20160902_154453.xml</t>
  </si>
  <si>
    <t>2016-09-02_15:44 - Login realizado. SessionID capturado: 9394978__F3B445E0-01A2-4A02-AEB8-F847D20E35F9</t>
  </si>
  <si>
    <t>2016-09-02_15:44 - Arquivo xog sendo gravado em: C:\xog_rumo_all_financial\xog_transaction_lote_20160902_154458.xml</t>
  </si>
  <si>
    <t>2016-09-02_15:44 - Login realizado. SessionID capturado: 9394979__1BD5A9CB-F8BB-46B0-8348-5E9895913636</t>
  </si>
  <si>
    <t>2016-09-02_15:45 - -------------Início da exportação transações de projeto-------------</t>
  </si>
  <si>
    <t>2016-09-02_15:45 - Arquivo xog sendo gravado em: C:\xog_rumo_all_financial\xog_transaction_lote_20160902_154503.xml</t>
  </si>
  <si>
    <t>2016-09-02_15:45 - Proxy identificado</t>
  </si>
  <si>
    <t>2016-09-02_15:45 - Ambiente selecionado: DEV</t>
  </si>
  <si>
    <t>2016-09-02_15:45 -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</si>
  <si>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2016-09-02_15:45 - Enviando requisição de login</t>
  </si>
  <si>
    <t>2016-09-02_15:45 - Login realizado. SessionID capturado: 9394980__92FABF40-255D-4BBA-846C-3BF3FE71B9B4</t>
  </si>
  <si>
    <t>2016-09-02_15:45 - Chamando mensagem de requisição</t>
  </si>
  <si>
    <t>2016-09-02_15:45 - Capturando resultado final</t>
  </si>
  <si>
    <t>2016-09-02_15:45 - Efetuando logout</t>
  </si>
  <si>
    <t>2016-09-02_15:45 - Logout realizado</t>
  </si>
  <si>
    <t>2016-09-02_15:45 - -------------Fim da exportação transações de projeto-------------</t>
  </si>
  <si>
    <t>2016-09-02_15:45 - Arquivo xog sendo gravado em: C:\xog_rumo_all_financial\xog_transaction_lote_20160902_154508.xml</t>
  </si>
  <si>
    <t>2016-09-02_15:45 - Login realizado. SessionID capturado: 9394981__AC0FA5DF-61B4-4B75-81D7-554B28BE1E23</t>
  </si>
  <si>
    <t>2016-09-02_15:45 - Arquivo xog sendo gravado em: C:\xog_rumo_all_financial\xog_transaction_lote_20160902_154513.xml</t>
  </si>
  <si>
    <t>2016-09-02_15:45 - Login realizado. SessionID capturado: 9394982__5FA981DE-6F2A-4B02-9515-D88A3B6B5533</t>
  </si>
  <si>
    <t>2016-09-02_15:45 - Arquivo xog sendo gravado em: C:\xog_rumo_all_financial\xog_transaction_lote_20160902_154518.xml</t>
  </si>
  <si>
    <t>2016-09-02_15:45 - Login realizado. SessionID capturado: 9394983__8C282CA2-0C12-44B7-9435-DD6EE3317386</t>
  </si>
  <si>
    <t>2016-09-02_15:45 - Arquivo xog sendo gravado em: C:\xog_rumo_all_financial\xog_transaction_lote_20160902_154523.xml</t>
  </si>
  <si>
    <t>2016-09-02_15:45 - Login realizado. SessionID capturado: 9394984__AD8376ED-E23D-45AF-9B13-16DD89020654</t>
  </si>
  <si>
    <t>2016-09-02_15:54 - -------------Início da exportação transações de projeto-------------</t>
  </si>
  <si>
    <t>2016-09-02_15:54 - Arquivo xog sendo gravado em: C:\xog_rumo_all_financial\xog_transaction_lote_20160902_155427.xml</t>
  </si>
  <si>
    <t>2016-09-02_15:54 - Proxy identificado</t>
  </si>
  <si>
    <t>2016-09-02_15:54 - Ambiente selecionado: DEV</t>
  </si>
  <si>
    <t>2016-09-02_15:54 -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</si>
  <si>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2016-09-02_15:54 - Enviando requisição de login</t>
  </si>
  <si>
    <t>2016-09-02_15:54 - Login realizado. SessionID capturado: 9394986__9EA15043-03CB-44BD-A95C-DF421CE8B5EB</t>
  </si>
  <si>
    <t>2016-09-02_15:54 - Chamando mensagem de requisição</t>
  </si>
  <si>
    <t>2016-09-02_15:54 - Capturando resultado final</t>
  </si>
  <si>
    <t>2016-09-02_15:54 - Efetuando logout</t>
  </si>
  <si>
    <t>2016-09-02_15:54 - Logout realizado</t>
  </si>
  <si>
    <t>2016-09-02_15:54 - -------------Fim da exportação transações de projeto-------------</t>
  </si>
  <si>
    <t>2016-09-02_15:54 - Arquivo xog sendo gravado em: C:\xog_rumo_all_financial\xog_transaction_lote_20160902_155431.xml</t>
  </si>
  <si>
    <t>2016-09-02_16:10 - Proxy identificado</t>
  </si>
  <si>
    <t>2016-09-02_16:10 - Ambiente selecionado: DEV</t>
  </si>
  <si>
    <t>2016-09-02_16:10 - Escrevendo tarefas...</t>
  </si>
  <si>
    <t>2016-09-02_16:10 - Escrevendo locais...</t>
  </si>
  <si>
    <t>2016-09-02_16:10 - Escrevendo períodos...</t>
  </si>
  <si>
    <t>2016-09-02_16:10 - Escrevendo fornecedores...</t>
  </si>
  <si>
    <t>2016-09-02_16:10 - Escrevendo departamentos...</t>
  </si>
  <si>
    <t>2016-09-02_16:10 - Escrevendo centros de custo...</t>
  </si>
  <si>
    <t>2016-09-02_16:10 - Escrevendo recursos e classes de transacao...</t>
  </si>
  <si>
    <t>2016-09-02_16:10 - Escrevendo classes de transacao...</t>
  </si>
  <si>
    <t>2016-09-02_16:11 - Escrevendo tarefas...</t>
  </si>
  <si>
    <t>2016-09-02_16:11 - Escrevendo locais...</t>
  </si>
  <si>
    <t>2016-09-02_16:11 - Escrevendo períodos...</t>
  </si>
  <si>
    <t>2016-09-02_16:11 - Escrevendo fornecedores...</t>
  </si>
  <si>
    <t>2016-09-02_16:11 - Escrevendo departamentos...</t>
  </si>
  <si>
    <t>2016-09-02_16:11 - Escrevendo centros de custo...</t>
  </si>
  <si>
    <t>2016-09-02_16:11 - Escrevendo recursos e classes de transacao...</t>
  </si>
  <si>
    <t>2016-09-02_16:11 - Escrevendo classes de transacao...</t>
  </si>
  <si>
    <t>2016-09-02_16:11 - Proxy identificado</t>
  </si>
  <si>
    <t>2016-09-02_16:11 - Ambiente selecionado: DEV</t>
  </si>
  <si>
    <t>2016-09-02_16:12 - -------------Início da exportação transações de projeto-------------</t>
  </si>
  <si>
    <t>2016-09-02_16:12 - Arquivo xog sendo gravado em: C:\xog_rumo_all_financial\xog_transaction_lote_20160902_161228.xml</t>
  </si>
  <si>
    <t>2016-09-02_16:12 - Proxy identificado</t>
  </si>
  <si>
    <t>2016-09-02_16:12 - Ambiente selecionado: DEV</t>
  </si>
  <si>
    <t>2016-09-02_16:12 -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</si>
  <si>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2016-09-02_16:12 - Enviando requisição de login</t>
  </si>
  <si>
    <t>2016-09-02_16:12 - Login realizado. SessionID capturado: 9395012__2F0FF7BB-BD82-4C39-B592-D297FE94524A</t>
  </si>
  <si>
    <t>2016-09-02_16:12 - Chamando mensagem de requisição</t>
  </si>
  <si>
    <t>2016-09-02_16:12 - Capturando resultado final</t>
  </si>
  <si>
    <t>2016-09-02_16:12 - Efetuando logout</t>
  </si>
  <si>
    <t>2016-09-02_16:12 - Logout realizado</t>
  </si>
  <si>
    <t>2016-09-02_16:12 - -------------Fim da exportação transações de projeto-------------</t>
  </si>
  <si>
    <t>2016-09-02_16:12 - Arquivo xog sendo gravado em: C:\xog_rumo_all_financial\xog_transaction_lote_20160902_161231.xml</t>
  </si>
  <si>
    <t>2016-09-02_16:12 - Login realizado. SessionID capturado: 9395013__4A5FC619-9AC9-45F2-B92E-036775AE749A</t>
  </si>
  <si>
    <t>2016-09-02_16:12 - Arquivo xog sendo gravado em: C:\xog_rumo_all_financial\xog_transaction_lote_20160902_161233.xml</t>
  </si>
  <si>
    <t>2016-09-02_16:12 - Login realizado. SessionID capturado: 9395014__B6F7FEF6-EE14-41F9-9899-F304752AED8B</t>
  </si>
  <si>
    <t>2016-09-02_16:14 - Proxy identificado</t>
  </si>
  <si>
    <t>2016-09-02_16:14 - Ambiente selecionado: DEV</t>
  </si>
  <si>
    <t>2016-09-02_16:14 - Escrevendo tarefas...</t>
  </si>
  <si>
    <t>2016-09-02_16:14 - Escrevendo locais...</t>
  </si>
  <si>
    <t>2016-09-02_16:14 - Escrevendo períodos...</t>
  </si>
  <si>
    <t>2016-09-02_16:14 - Escrevendo fornecedores...</t>
  </si>
  <si>
    <t>2016-09-02_16:14 - Escrevendo departamentos...</t>
  </si>
  <si>
    <t>2016-09-02_16:14 - Escrevendo centros de custo...</t>
  </si>
  <si>
    <t>2016-09-02_16:14 - Escrevendo recursos e classes de transacao...</t>
  </si>
  <si>
    <t>2016-09-02_16:14 - Escrevendo classes de transacao...</t>
  </si>
  <si>
    <t>2016-09-02_16:17 - -------------Início da exportação transações de projeto-------------</t>
  </si>
  <si>
    <t>2016-09-02_16:17 - Arquivo xog sendo gravado em: C:\xog_rumo_all_financial\xog_transaction_lote_20160902_161701.xml</t>
  </si>
  <si>
    <t>2016-09-02_16:17 - Proxy identificado</t>
  </si>
  <si>
    <t>2016-09-02_16:17 - Ambiente selecionado: DEV</t>
  </si>
  <si>
    <t>2016-09-02_16:17 -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</si>
  <si>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2016-09-02_16:17 - Enviando requisição de login</t>
  </si>
  <si>
    <t>2016-09-02_16:17 - Login realizado. SessionID capturado: 9395024__3EDC3B33-B0AB-42D1-9350-CC63E1D14571</t>
  </si>
  <si>
    <t>2016-09-02_16:17 - Chamando mensagem de requisição</t>
  </si>
  <si>
    <t>2016-09-02_16:17 - Capturando resultado final</t>
  </si>
  <si>
    <t>2016-09-02_16:17 - Efetuando logout</t>
  </si>
  <si>
    <t>2016-09-02_16:17 - Logout realizado</t>
  </si>
  <si>
    <t>2016-09-02_16:17 - -------------Fim da exportação transações de projeto-------------</t>
  </si>
  <si>
    <t>2016-09-02_16:17 - Arquivo xog sendo gravado em: C:\xog_rumo_all_financial\xog_transaction_lote_20160902_161704.xml</t>
  </si>
  <si>
    <t>2016-09-02_16:17 - Login realizado. SessionID capturado: 9395025__004839B9-40BA-4DF3-AD76-574E8E343EE3</t>
  </si>
  <si>
    <t>2016-09-02_16:18 - Proxy identificado</t>
  </si>
  <si>
    <t>2016-09-02_16:18 - Ambiente selecionado: DEV</t>
  </si>
  <si>
    <t>2016-09-02_16:18 - Escrevendo tarefas...</t>
  </si>
  <si>
    <t>2016-09-02_16:18 - Escrevendo locais...</t>
  </si>
  <si>
    <t>2016-09-02_16:18 - Escrevendo períodos...</t>
  </si>
  <si>
    <t>2016-09-02_16:18 - Escrevendo fornecedores...</t>
  </si>
  <si>
    <t>2016-09-02_16:18 - Escrevendo departamentos...</t>
  </si>
  <si>
    <t>2016-09-02_16:18 - Escrevendo centros de custo...</t>
  </si>
  <si>
    <t>2016-09-02_16:18 - Escrevendo recursos e classes de transacao...</t>
  </si>
  <si>
    <t>2016-09-02_16:18 - Escrevendo classes de transacao...</t>
  </si>
  <si>
    <t>2016-09-02_16:19 - Escrevendo classes de transacao...</t>
  </si>
  <si>
    <t>2016-09-02_16:19 - Proxy identificado</t>
  </si>
  <si>
    <t>2016-09-02_16:19 - Ambiente selecionado: DEV</t>
  </si>
  <si>
    <t>2016-09-02_16:19 - Escrevendo tarefas...</t>
  </si>
  <si>
    <t>2016-09-02_16:19 - Escrevendo locais...</t>
  </si>
  <si>
    <t>2016-09-02_16:19 - Escrevendo períodos...</t>
  </si>
  <si>
    <t>2016-09-02_16:19 - Escrevendo fornecedores...</t>
  </si>
  <si>
    <t>2016-09-02_16:19 - Escrevendo departamentos...</t>
  </si>
  <si>
    <t>2016-09-02_16:19 - Escrevendo centros de custo...</t>
  </si>
  <si>
    <t>2016-09-02_16:19 - Escrevendo recursos e classes de transacao...</t>
  </si>
  <si>
    <t>2016-09-02_16:20 - Proxy identificado</t>
  </si>
  <si>
    <t>2016-09-02_16:20 - Ambiente selecionado: DEV</t>
  </si>
  <si>
    <t>2016-09-02_16:23 - -------------Início da exportação transações de projeto-------------</t>
  </si>
  <si>
    <t>2016-09-02_16:23 - Arquivo xog sendo gravado em: C:\xog_rumo_all_financial\xog_transaction_lote_20160902_162314.xml</t>
  </si>
  <si>
    <t>2016-09-02_16:23 - Proxy identificado</t>
  </si>
  <si>
    <t>2016-09-02_16:23 - Ambiente selecionado: DEV</t>
  </si>
  <si>
    <t>2016-09-02_16:23 -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</si>
  <si>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2016-09-02_16:23 - Enviando requisição de login</t>
  </si>
  <si>
    <t>2016-09-02_16:23 - Login realizado. SessionID capturado: 9395035__85BB59E2-5A3B-4304-8B45-2B1B8E6BCF26</t>
  </si>
  <si>
    <t>2016-09-02_16:23 - Chamando mensagem de requisição</t>
  </si>
  <si>
    <t>2016-09-02_16:23 - Capturando resultado final</t>
  </si>
  <si>
    <t>2016-09-02_16:23 - Efetuando logout</t>
  </si>
  <si>
    <t>2016-09-02_16:23 - Logout realizado</t>
  </si>
  <si>
    <t>2016-09-02_16:23 - -------------Fim da exportação transações de projeto-------------</t>
  </si>
  <si>
    <t>2016-09-02_16:23 - Arquivo xog sendo gravado em: C:\xog_rumo_all_financial\xog_transaction_lote_20160902_162321.xml</t>
  </si>
  <si>
    <t>2016-09-02_16:23 - Login realizado. SessionID capturado: 9395036__9DA4BB8B-0651-4D9A-B82B-FAFC35E45C20</t>
  </si>
  <si>
    <t>2016-09-02_16:23 - Arquivo xog sendo gravado em: C:\xog_rumo_all_financial\xog_transaction_lote_20160902_162326.xml</t>
  </si>
  <si>
    <t>2016-09-02_16:23 - Login realizado. SessionID capturado: 9395037__03987F12-1D10-43E0-86CE-890105D35B50</t>
  </si>
  <si>
    <t>2016-09-02_16:23 - Arquivo xog sendo gravado em: C:\xog_rumo_all_financial\xog_transaction_lote_20160902_162331.xml</t>
  </si>
  <si>
    <t>2016-09-02_16:23 - Login realizado. SessionID capturado: 9395038__8E882EF4-C417-4B8A-AF7A-3C3953546FB4</t>
  </si>
  <si>
    <t>2016-09-02_16:23 - Arquivo xog sendo gravado em: C:\xog_rumo_all_financial\xog_transaction_lote_20160902_162336.xml</t>
  </si>
  <si>
    <t>2016-09-02_16:23 - Login realizado. SessionID capturado: 9395039__FCF90697-F4D8-4F47-85E4-499A8435E83A</t>
  </si>
  <si>
    <t>2016-09-02_16:23 - Arquivo xog sendo gravado em: C:\xog_rumo_all_financial\xog_transaction_lote_20160902_162341.xml</t>
  </si>
  <si>
    <t>2016-09-02_16:23 - Login realizado. SessionID capturado: 9395040__E62DAC0E-D3DA-4325-9740-022373E44D03</t>
  </si>
  <si>
    <t>2016-09-02_16:23 - Arquivo xog sendo gravado em: C:\xog_rumo_all_financial\xog_transaction_lote_20160902_162346.xml</t>
  </si>
  <si>
    <t>2016-09-02_16:23 - Login realizado. SessionID capturado: 9395041__96D891D8-9E2C-4258-AD22-042F78101076</t>
  </si>
  <si>
    <t>2016-09-02_16:26 - -------------Início da exportação transações de projeto-------------</t>
  </si>
  <si>
    <t>2016-09-02_16:26 - Arquivo xog sendo gravado em: C:\xog_rumo_all_financial\xog_transaction_lote_20160902_162632.xml</t>
  </si>
  <si>
    <t>2016-09-02_16:26 - Proxy identificado</t>
  </si>
  <si>
    <t>2016-09-02_16:26 - Ambiente selecionado: DEV</t>
  </si>
  <si>
    <t>2016-09-02_16:26 -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</si>
  <si>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2016-09-02_16:26 - Enviando requisição de login</t>
  </si>
  <si>
    <t>2016-09-02_16:26 - Login realizado. SessionID capturado: 9406043__66C1657A-CFE3-4473-8292-E9435AD1F630</t>
  </si>
  <si>
    <t>2016-09-02_16:26 - Chamando mensagem de requisição</t>
  </si>
  <si>
    <t>2016-09-02_16:26 - Capturando resultado final</t>
  </si>
  <si>
    <t>2016-09-02_16:26 - Efetuando logout</t>
  </si>
  <si>
    <t>2016-09-02_16:26 - Logout realizado</t>
  </si>
  <si>
    <t>2016-09-02_16:26 - -------------Fim da exportação transações de projeto-------------</t>
  </si>
  <si>
    <t>2016-09-02_16:26 - Arquivo xog sendo gravado em: C:\xog_rumo_all_financial\xog_transaction_lote_20160902_162643.xml</t>
  </si>
  <si>
    <t>2016-09-02_16:26 - Login realizado. SessionID capturado: 9406044__92DA4016-689F-4C02-9C1B-7E9ED5EA2298</t>
  </si>
  <si>
    <t>2016-09-02_16:26 - Arquivo xog sendo gravado em: C:\xog_rumo_all_financial\xog_transaction_lote_20160902_162653.xml</t>
  </si>
  <si>
    <t>2016-09-02_16:26 - Login realizado. SessionID capturado: 9406045__A0495A62-AF6B-4241-8BAF-12A6136146F0</t>
  </si>
  <si>
    <t>2016-09-02_16:27 - -------------Início da exportação transações de projeto-------------</t>
  </si>
  <si>
    <t>2016-09-02_16:27 - Arquivo xog sendo gravado em: C:\xog_rumo_all_financial\xog_transaction_lote_20160902_162703.xml</t>
  </si>
  <si>
    <t>2016-09-02_16:27 - Proxy identificado</t>
  </si>
  <si>
    <t>2016-09-02_16:27 - Ambiente selecionado: DEV</t>
  </si>
  <si>
    <t>2016-09-02_16:27 -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</si>
  <si>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2016-09-02_16:27 - Enviando requisição de login</t>
  </si>
  <si>
    <t>2016-09-02_16:27 - Login realizado. SessionID capturado: 9406046__0D751E31-80BC-4F2E-9DCA-75DA940D5F32</t>
  </si>
  <si>
    <t>2016-09-02_16:27 - Chamando mensagem de requisição</t>
  </si>
  <si>
    <t>2016-09-02_16:27 - Capturando resultado final</t>
  </si>
  <si>
    <t>2016-09-02_16:27 - Efetuando logout</t>
  </si>
  <si>
    <t>2016-09-02_16:27 - Logout realizado</t>
  </si>
  <si>
    <t>2016-09-02_16:27 - -------------Fim da exportação transações de projeto-------------</t>
  </si>
  <si>
    <t>2016-09-02_16:27 - Arquivo xog sendo gravado em: C:\xog_rumo_all_financial\xog_transaction_lote_20160902_162713.xml</t>
  </si>
  <si>
    <t>2016-09-02_16:27 - Login realizado. SessionID capturado: 9406047__0C77FC8B-593A-46EC-B811-E7DE1FC1EAAA</t>
  </si>
  <si>
    <t>2016-09-02_16:27 - Arquivo xog sendo gravado em: C:\xog_rumo_all_financial\xog_transaction_lote_20160902_162723.xml</t>
  </si>
  <si>
    <t>2016-09-02_16:27 - Login realizado. SessionID capturado: 9406048__D0EEF733-9DD9-4986-9062-C5EB4E3F58B6</t>
  </si>
  <si>
    <t>2016-09-02_16:27 - Arquivo xog sendo gravado em: C:\xog_rumo_all_financial\xog_transaction_lote_20160902_162733.xml</t>
  </si>
  <si>
    <t>2016-09-02_16:27 - Login realizado. SessionID capturado: 9406049__F44017B9-DDDC-4F96-B115-228B4AB3229C</t>
  </si>
  <si>
    <t>2016-09-02_16:47 - -------------Início da exportação transações de projeto-------------</t>
  </si>
  <si>
    <t>2016-09-02_16:47 - Arquivo xog sendo gravado em: C:\xog_rumo_all_financial\xog_transaction_lote_20160902_164713.xml</t>
  </si>
  <si>
    <t>2016-09-02_16:48 - -------------Início da exportação transações de projeto-------------</t>
  </si>
  <si>
    <t>2016-09-02_16:48 - Arquivo xog sendo gravado em: C:\xog_rumo_all_financial\xog_transaction_lote_20160902_164841.xml</t>
  </si>
  <si>
    <t>2016-09-02_16:49 - -------------Início da exportação transações de projeto-------------</t>
  </si>
  <si>
    <t>2016-09-02_16:49 - Arquivo xog sendo gravado em: C:\xog_rumo_all_financial\xog_transaction_lote_20160902_164914.xml</t>
  </si>
  <si>
    <t>2016-09-02_16:49 - Arquivo xog sendo gravado em: C:\xog_rumo_all_financial\xog_transaction_lote_20160902_164957.xml</t>
  </si>
  <si>
    <t>2016-09-02_16:51 - -------------Início da exportação transações de projeto-------------</t>
  </si>
  <si>
    <t>2016-09-02_16:51 - Arquivo xog sendo gravado em: C:\xog_rumo_all_financial\xog_transaction_lote_20160902_165101.xml</t>
  </si>
  <si>
    <t>2016-09-02_16:52 - -------------Início da exportação transações de projeto-------------</t>
  </si>
  <si>
    <t>2016-09-02_16:52 - Arquivo xog sendo gravado em: C:\xog_rumo_all_financial\xog_transaction_lote_20160902_165235.xml</t>
  </si>
  <si>
    <t>2016-09-02_16:53 - -------------Início da exportação transações de projeto-------------</t>
  </si>
  <si>
    <t>2016-09-02_16:53 - Arquivo xog sendo gravado em: C:\xog_rumo_all_financial\xog_transaction_lote_20160902_165352.xml</t>
  </si>
  <si>
    <t>2016-09-02_16:54 - -------------Fim da exportação transações de projeto-------------</t>
  </si>
  <si>
    <t>2016-09-02_16:55 - -------------Início da exportação transações de projeto-------------</t>
  </si>
  <si>
    <t>2016-09-02_16:55 - Arquivo xog sendo gravado em: C:\xog_rumo_all_financial\xog_transaction_lote_20160902_165504.xml</t>
  </si>
  <si>
    <t>2016-09-02_16:55 - -------------Fim da exportação transações de projeto-------------</t>
  </si>
  <si>
    <t>2016-09-02_16:56 - -------------Início da exportação transações de projeto-------------</t>
  </si>
  <si>
    <t>2016-09-02_16:56 - Arquivo xog sendo gravado em: C:\xog_rumo_all_financial\xog_transaction_lote_20160902_165618.xml</t>
  </si>
  <si>
    <t>2016-09-02_16:56 - -------------Fim da exportação transações de projeto-------------</t>
  </si>
  <si>
    <t>2016-09-02_16:58 - -------------Início da exportação transações de projeto-------------</t>
  </si>
  <si>
    <t>2016-09-02_16:58 - Arquivo xog sendo gravado em: C:\xog_rumo_all_financial\xog_transaction_lote_20160902_165841.xml</t>
  </si>
  <si>
    <t>2016-09-02_17:00 - -------------Início da exportação transações de projeto-------------</t>
  </si>
  <si>
    <t>2016-09-02_17:00 - Arquivo xog sendo gravado em: C:\xog_rumo_all_financial\xog_transaction_lote_20160902_170004.xml</t>
  </si>
  <si>
    <t>2016-09-02_17:00 - Proxy identificado</t>
  </si>
  <si>
    <t>2016-09-02_17:00 - Ambiente selecionado: DEV</t>
  </si>
  <si>
    <t>2016-09-02_17:00 -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</si>
  <si>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2016-09-02_17:00 - Enviando requisição de login</t>
  </si>
  <si>
    <t>2016-09-02_17:00 - Login realizado. SessionID capturado: 9406057__285B9DF5-69E2-495F-BCF6-B1E202174D63</t>
  </si>
  <si>
    <t>2016-09-02_17:00 - Chamando mensagem de requisição</t>
  </si>
  <si>
    <t>2016-09-02_17:00 - Capturando resultado final</t>
  </si>
  <si>
    <t>2016-09-02_17:00 - Efetuando logout</t>
  </si>
  <si>
    <t>2016-09-02_17:00 - Logout realizado</t>
  </si>
  <si>
    <t>2016-09-02_17:00 - -------------Fim da exportação transações de projeto-------------</t>
  </si>
  <si>
    <t>2016-09-02_17:00 - Arquivo xog sendo gravado em: C:\xog_rumo_all_financial\xog_transaction_lote_20160902_170012.xml</t>
  </si>
  <si>
    <t>2016-09-02_17:22 - -------------Início da exportação transações de projeto-------------</t>
  </si>
  <si>
    <t>2016-09-02_17:22 - Arquivo xog sendo gravado em: C:\xog_rumo_all_financial\xog_transaction_lote_20160902_172227.xml</t>
  </si>
  <si>
    <t>2016-09-02_17:23 - -------------Início da exportação transações de projeto-------------</t>
  </si>
  <si>
    <t>2016-09-02_17:23 - Arquivo xog sendo gravado em: C:\xog_rumo_all_financial\xog_transaction_lote_20160902_172300.xml</t>
  </si>
  <si>
    <t>2016-09-02_17:23 - Proxy identificado</t>
  </si>
  <si>
    <t>2016-09-02_17:23 - Ambiente selecionado: DEV</t>
  </si>
  <si>
    <t>2016-09-02_17:23 -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</si>
  <si>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2016-09-02_17:23 - Enviando requisição de login</t>
  </si>
  <si>
    <t>2016-09-02_17:23 - Login realizado. SessionID capturado: 9406062__FD80ECE5-9FB1-4694-8CD6-2D3F1F082A9A</t>
  </si>
  <si>
    <t>2016-09-02_17:23 - Chamando mensagem de requisição</t>
  </si>
  <si>
    <t>2016-09-02_17:23 - Capturando resultado final</t>
  </si>
  <si>
    <t>2016-09-02_17:23 - Efetuando logout</t>
  </si>
  <si>
    <t>2016-09-02_17:23 - Logout realizado</t>
  </si>
  <si>
    <t>2016-09-02_17:23 - -------------Fim da exportação transações de projeto-------------</t>
  </si>
  <si>
    <t>2016-09-02_17:24 - -------------Início da exportação transações de projeto-------------</t>
  </si>
  <si>
    <t>2016-09-02_17:24 - Arquivo xog sendo gravado em: C:\xog_rumo_all_financial\xog_transaction_lote_20160902_172427.xml</t>
  </si>
  <si>
    <t>2016-09-02_17:25 - -------------Início da exportação transações de projeto-------------</t>
  </si>
  <si>
    <t>2016-09-02_17:25 - Arquivo xog sendo gravado em: C:\xog_rumo_all_financial\xog_transaction_lote_20160902_172514.xml</t>
  </si>
  <si>
    <t>2016-09-02_17:27 - -------------Início da exportação transações de projeto-------------</t>
  </si>
  <si>
    <t>2016-09-02_17:27 - Arquivo xog sendo gravado em: C:\xog_rumo_all_financial\xog_transaction_lote_20160902_172712.xml</t>
  </si>
  <si>
    <t>2016-09-02_17:28 - -------------Início da exportação transações de projeto-------------</t>
  </si>
  <si>
    <t>2016-09-02_17:28 - Arquivo xog sendo gravado em: C:\xog_rumo_all_financial\xog_transaction_lote_20160902_172848.xml</t>
  </si>
  <si>
    <t>2016-09-02_17:29 - -------------Início da exportação transações de projeto-------------</t>
  </si>
  <si>
    <t>2016-09-02_17:30 - Arquivo xog sendo gravado em: C:\xog_rumo_all_financial\xog_transaction_lote_20160902_172959.xml</t>
  </si>
  <si>
    <t>2016-09-02_17:36 - -------------Início da exportação transações de projeto-------------</t>
  </si>
  <si>
    <t>2016-09-02_17:36 - Arquivo xog sendo gravado em: C:\xog_rumo_all_financial\xog_transaction_lote_20160902_173628.xml</t>
  </si>
  <si>
    <t>2016-09-02_17:37 - -------------Início da exportação transações de projeto-------------</t>
  </si>
  <si>
    <t>2016-09-02_17:37 - Arquivo xog sendo gravado em: C:\xog_rumo_all_financial\xog_transaction_lote_20160902_173730.xml</t>
  </si>
  <si>
    <t>2016-09-02_17:38 - -------------Fim da exportação transações de projeto-------------</t>
  </si>
  <si>
    <t>2016-09-02_17:41 - -------------Início da exportação transações de projeto-------------</t>
  </si>
  <si>
    <t>2016-09-02_17:41 - Arquivo xog sendo gravado em: C:\xog_rumo_all_financial\xog_transaction_lote_20160902_174054.xml</t>
  </si>
  <si>
    <t>2016-09-02_17:41 - Arquivo xog sendo gravado em: C:\xog_rumo_all_financial\xog_transaction_lote_20160902_174131.xml</t>
  </si>
  <si>
    <t>2016-09-02_17:42 - -------------Início da exportação transações de projeto-------------</t>
  </si>
  <si>
    <t>2016-09-02_17:42 - Arquivo xog sendo gravado em: C:\xog_rumo_all_financial\xog_transaction_lote_20160902_174223.xml</t>
  </si>
  <si>
    <t>2016-09-02_17:42 - -------------Fim da exportação transações de projeto-------------</t>
  </si>
  <si>
    <t>2016-09-02_17:42 - Arquivo xog sendo gravado em: C:\xog_rumo_all_financial\xog_transaction_lote_20160902_174239.xml</t>
  </si>
  <si>
    <t>2016-09-02_17:42 - Arquivo xog sendo gravado em: C:\xog_rumo_all_financial\xog_transaction_lote_20160902_174259.xml</t>
  </si>
  <si>
    <t>2016-09-02_17:43 - -------------Início da exportação transações de projeto-------------</t>
  </si>
  <si>
    <t>2016-09-02_17:43 - Arquivo xog sendo gravado em: C:\xog_rumo_all_financial\xog_transaction_lote_20160902_174312.xml</t>
  </si>
  <si>
    <t>2016-09-02_17:43 - -------------Fim da exportação transações de projeto-------------</t>
  </si>
  <si>
    <t>2016-09-02_17:43 - Arquivo xog sendo gravado em: C:\xog_rumo_all_financial\xog_transaction_lote_20160902_174319.xml</t>
  </si>
  <si>
    <t>2016-09-02_17:43 - Arquivo xog sendo gravado em: C:\xog_rumo_all_financial\xog_transaction_lote_20160902_174327.xml</t>
  </si>
  <si>
    <t>2016-09-02_17:44 - -------------Início da exportação transações de projeto-------------</t>
  </si>
  <si>
    <t>2016-09-02_17:44 - Arquivo xog sendo gravado em: C:\xog_rumo_all_financial\xog_transaction_lote_20160902_174440.xml</t>
  </si>
  <si>
    <t>2016-09-02_17:44 - -------------Fim da exportação transações de projeto-------------</t>
  </si>
  <si>
    <t>2016-09-02_17:44 - Arquivo xog sendo gravado em: C:\xog_rumo_all_financial\xog_transaction_lote_20160902_174445.xml</t>
  </si>
  <si>
    <t>2016-09-02_17:44 - Arquivo xog sendo gravado em: C:\xog_rumo_all_financial\xog_transaction_lote_20160902_174450.xml</t>
  </si>
  <si>
    <t>2016-09-02_17:46 - -------------Início da exportação transações de projeto-------------</t>
  </si>
  <si>
    <t>2016-09-02_17:46 - Arquivo xog sendo gravado em: C:\xog_rumo_all_financial\xog_transaction_lote_20160902_174606.xml</t>
  </si>
  <si>
    <t>2016-09-02_17:46 - Proxy identificado</t>
  </si>
  <si>
    <t>2016-09-02_17:46 - Ambiente selecionado: DEV</t>
  </si>
  <si>
    <t>2016-09-02_17:46 -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</si>
  <si>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2016-09-02_17:46 - Enviando requisição de login</t>
  </si>
  <si>
    <t>2016-09-02_17:46 - Login realizado. SessionID capturado: 9406068__2C340D18-F67D-4578-ABEB-C91605C56609</t>
  </si>
  <si>
    <t>2016-09-02_17:46 - Chamando mensagem de requisição</t>
  </si>
  <si>
    <t>2016-09-02_17:46 - Capturando resultado final</t>
  </si>
  <si>
    <t>2016-09-02_17:46 - Efetuando logout</t>
  </si>
  <si>
    <t>2016-09-02_17:46 - Logout realizado</t>
  </si>
  <si>
    <t>2016-09-02_17:46 - -------------Fim da exportação transações de projeto-------------</t>
  </si>
  <si>
    <t>2016-09-02_17:46 - Arquivo xog sendo gravado em: C:\xog_rumo_all_financial\xog_transaction_lote_20160902_174612.xml</t>
  </si>
  <si>
    <t>2016-09-02_17:46 - Login realizado. SessionID capturado: 9406069__32E45D2D-7389-4D0E-80CF-1D959CAE421A</t>
  </si>
  <si>
    <t>2016-09-02_17:46 - Arquivo xog sendo gravado em: C:\xog_rumo_all_financial\xog_transaction_lote_20160902_174617.xml</t>
  </si>
  <si>
    <t>2016-09-02_17:46 - Login realizado. SessionID capturado: 9406070__B1BBA6EE-8119-4ABB-9349-FB4F4FF877F5</t>
  </si>
  <si>
    <t>2016-09-02_17:49 - -------------Início da exportação transações de projeto-------------</t>
  </si>
  <si>
    <t>2016-09-02_17:49 - Arquivo xog sendo gravado em: C:\xog_rumo_all_financial\xog_transaction_lote_20160902_174917.xml</t>
  </si>
  <si>
    <t>2016-09-02_17:49 - Proxy identificado</t>
  </si>
  <si>
    <t>2016-09-02_17:49 - Ambiente selecionado: DEV</t>
  </si>
  <si>
    <t>2016-09-02_17:49 -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</si>
  <si>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2016-09-02_17:49 - Enviando requisição de login</t>
  </si>
  <si>
    <t>2016-09-02_17:49 - Login realizado. SessionID capturado: 9406071__B90B83DB-963C-42A6-9988-C92C78DE62CE</t>
  </si>
  <si>
    <t>2016-09-02_17:49 - Chamando mensagem de requisição</t>
  </si>
  <si>
    <t>2016-09-02_17:49 - Capturando resultado final</t>
  </si>
  <si>
    <t>2016-09-02_17:49 - Efetuando logout</t>
  </si>
  <si>
    <t>2016-09-02_17:49 - Logout realizado</t>
  </si>
  <si>
    <t>2016-09-02_17:49 - -------------Fim da exportação transações de projeto-------------</t>
  </si>
  <si>
    <t>2016-09-02_17:49 - Arquivo xog sendo gravado em: C:\xog_rumo_all_financial\xog_transaction_lote_20160902_174923.xml</t>
  </si>
  <si>
    <t>2016-09-02_17:49 - Login realizado. SessionID capturado: 9406072__939C4512-8082-479B-AD1F-D8D6310D9A5B</t>
  </si>
  <si>
    <t>2016-09-02_17:49 - Arquivo xog sendo gravado em: C:\xog_rumo_all_financial\xog_transaction_lote_20160902_174928.xml</t>
  </si>
  <si>
    <t>2016-09-02_17:49 - Login realizado. SessionID capturado: 9406073__3844B052-8A42-4784-9A76-792A8C7F2501</t>
  </si>
  <si>
    <t>2016-09-02_17:52 - -------------Início da exportação transações de projeto-------------</t>
  </si>
  <si>
    <t>2016-09-02_17:52 - Arquivo xog sendo gravado em: C:\xog_rumo_all_financial\xog_transaction_lote_20160902_175247.xml</t>
  </si>
  <si>
    <t>2016-09-02_17:52 - Proxy identificado</t>
  </si>
  <si>
    <t>2016-09-02_17:52 - Ambiente selecionado: DEV</t>
  </si>
  <si>
    <t>2016-09-02_17:52 -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</si>
  <si>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2016-09-02_17:52 - Enviando requisição de login</t>
  </si>
  <si>
    <t>2016-09-02_17:52 - Login realizado. SessionID capturado: 9406075__CF55BE14-01B6-4191-B31D-17DFB75F3806</t>
  </si>
  <si>
    <t>2016-09-02_17:52 - Chamando mensagem de requisição</t>
  </si>
  <si>
    <t>2016-09-02_17:52 - Capturando resultado final</t>
  </si>
  <si>
    <t>2016-09-02_17:52 - Efetuando logout</t>
  </si>
  <si>
    <t>2016-09-02_17:52 - Logout realizado</t>
  </si>
  <si>
    <t>2016-09-02_17:52 - -------------Fim da exportação transações de projeto-------------</t>
  </si>
  <si>
    <t>2016-09-02_17:52 - Arquivo xog sendo gravado em: C:\xog_rumo_all_financial\xog_transaction_lote_20160902_175254.xml</t>
  </si>
  <si>
    <t>2016-09-02_17:52 - Login realizado. SessionID capturado: 9406076__4895C634-D4E8-4F5F-8B62-20C778D23733</t>
  </si>
  <si>
    <t>2016-09-02_17:53 - -------------Início da exportação transações de projeto-------------</t>
  </si>
  <si>
    <t>2016-09-02_17:53 - Arquivo xog sendo gravado em: C:\xog_rumo_all_financial\xog_transaction_lote_20160902_175300.xml</t>
  </si>
  <si>
    <t>2016-09-02_17:53 - Proxy identificado</t>
  </si>
  <si>
    <t>2016-09-02_17:53 - Ambiente selecionado: DEV</t>
  </si>
  <si>
    <t>2016-09-02_17:53 -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</si>
  <si>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2016-09-02_17:53 - Enviando requisição de login</t>
  </si>
  <si>
    <t>2016-09-02_17:53 - Login realizado. SessionID capturado: 9406077__A1C04F04-6007-4B33-9915-07387146D774</t>
  </si>
  <si>
    <t>2016-09-02_17:53 - Chamando mensagem de requisição</t>
  </si>
  <si>
    <t>2016-09-02_17:53 - Capturando resultado final</t>
  </si>
  <si>
    <t>2016-09-02_17:53 - Efetuando logout</t>
  </si>
  <si>
    <t>2016-09-02_17:53 - Logout realizado</t>
  </si>
  <si>
    <t>2016-09-02_17:53 - -------------Fim da exportação transações de projeto-------------</t>
  </si>
  <si>
    <t>2016-09-02_17:58 - -------------Início da exportação transações de projeto-------------</t>
  </si>
  <si>
    <t>2016-09-02_17:58 - Arquivo xog sendo gravado em: C:\xog_rumo_all_financial\xog_transaction_lote_20160902_175832.xml</t>
  </si>
  <si>
    <t>2016-09-02_17:58 - Proxy identificado</t>
  </si>
  <si>
    <t>2016-09-02_17:58 - Ambiente selecionado: DEV</t>
  </si>
  <si>
    <t>2016-09-02_17:58 -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</si>
  <si>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2016-09-02_17:58 - Enviando requisição de login</t>
  </si>
  <si>
    <t>2016-09-02_17:58 - Login realizado. SessionID capturado: 9406079__802E54C1-78FA-418B-A135-DE6AF552289A</t>
  </si>
  <si>
    <t>2016-09-02_17:58 - Chamando mensagem de requisição</t>
  </si>
  <si>
    <t>2016-09-02_17:58 - Capturando resultado final</t>
  </si>
  <si>
    <t>2016-09-02_17:58 - Efetuando logout</t>
  </si>
  <si>
    <t>2016-09-02_17:58 - Logout realizado</t>
  </si>
  <si>
    <t>2016-09-02_17:58 - -------------Fim da exportação transações de projeto-------------</t>
  </si>
  <si>
    <t>2016-09-02_17:58 - Arquivo xog sendo gravado em: C:\xog_rumo_all_financial\xog_transaction_lote_20160902_175838.xml</t>
  </si>
  <si>
    <t>2016-09-02_17:58 - Login realizado. SessionID capturado: 9406080__D5B3D3A0-E6BA-40C1-BA0F-D27683ED47BC</t>
  </si>
  <si>
    <t>2016-09-02_17:58 - Arquivo xog sendo gravado em: C:\xog_rumo_all_financial\xog_transaction_lote_20160902_175843.xml</t>
  </si>
  <si>
    <t>2016-09-02_17:58 - Login realizado. SessionID capturado: 9406081__79C534C3-E8CF-4D57-BAF5-A9C78D7609C1</t>
  </si>
  <si>
    <t>2016-09-02_18:06 - -------------Início da exportação transações de projeto-------------</t>
  </si>
  <si>
    <t>2016-09-02_18:06 - Arquivo xog sendo gravado em: C:\xog_rumo_all_financial\xog_transaction_20160902_180635.xml</t>
  </si>
  <si>
    <t>2016-09-02_18:08 - Proxy identificado</t>
  </si>
  <si>
    <t>2016-09-02_18:08 - Ambiente selecionado: DEV</t>
  </si>
  <si>
    <t>2016-09-02_18:08 - Escrevendo tarefas...</t>
  </si>
  <si>
    <t>2016-09-02_18:08 - Escrevendo locais...</t>
  </si>
  <si>
    <t>2016-09-02_18:08 - Escrevendo períodos...</t>
  </si>
  <si>
    <t>2016-09-02_18:08 - Escrevendo fornecedores...</t>
  </si>
  <si>
    <t>2016-09-02_18:08 - Escrevendo departamentos...</t>
  </si>
  <si>
    <t>2016-09-02_18:08 - Escrevendo centros de custo...</t>
  </si>
  <si>
    <t>2016-09-02_18:08 - Escrevendo recursos e classes de transacao...</t>
  </si>
  <si>
    <t>2016-09-02_18:08 - Escrevendo classes de transacao...</t>
  </si>
  <si>
    <t>2016-09-02_18:12 - -------------Início da exportação transações de projeto-------------</t>
  </si>
  <si>
    <t>2016-09-02_18:12 - Arquivo xog sendo gravado em: C:\xog_rumo_all_financial\xog_transaction_20160902_181236.xml</t>
  </si>
  <si>
    <t>2016-09-02_18:13 - -------------Início da exportação transações de projeto-------------</t>
  </si>
  <si>
    <t>2016-09-02_18:13 - Arquivo xog sendo gravado em: C:\xog_rumo_all_financial\xog_transaction_20160902_181320.xml</t>
  </si>
  <si>
    <t>2016-09-02_18:15 - -------------Início da exportação transações de projeto-------------</t>
  </si>
  <si>
    <t>2016-09-02_18:15 - Arquivo xog sendo gravado em: C:\xog_rumo_all_financial\xog_transaction_20160902_181547.xml</t>
  </si>
  <si>
    <t>2016-09-02_18:17 - -------------Início da exportação transações de projeto-------------</t>
  </si>
  <si>
    <t>2016-09-02_18:17 - Arquivo xog sendo gravado em: C:\xog_rumo_all_financial\xog_transaction_20160902_181700.xml</t>
  </si>
  <si>
    <t>2016-09-02_18:19 - Proxy identificado</t>
  </si>
  <si>
    <t>2016-09-02_18:19 - Ambiente selecionado: DEV</t>
  </si>
  <si>
    <t>2016-09-02_18:19 - Escrevendo tarefas...</t>
  </si>
  <si>
    <t>2016-09-02_18:19 - Escrevendo locais...</t>
  </si>
  <si>
    <t>2016-09-02_18:19 - Escrevendo períodos...</t>
  </si>
  <si>
    <t>2016-09-02_18:19 - Escrevendo fornecedores...</t>
  </si>
  <si>
    <t>2016-09-02_18:19 - Escrevendo departamentos...</t>
  </si>
  <si>
    <t>2016-09-02_18:19 - Escrevendo centros de custo...</t>
  </si>
  <si>
    <t>2016-09-02_18:19 - Escrevendo recursos e classes de transacao...</t>
  </si>
  <si>
    <t>2016-09-02_18:19 - Escrevendo classes de transacao...</t>
  </si>
  <si>
    <t>2016-09-02_18:20 - -------------Início da exportação transações de projeto-------------</t>
  </si>
  <si>
    <t>2016-09-02_18:20 - Arquivo xog sendo gravado em: C:\xog_rumo_all_financial\xog_transaction_20160902_182044.xml</t>
  </si>
  <si>
    <t>2016-09-02_18:22 - -------------Início da exportação transações de projeto-------------</t>
  </si>
  <si>
    <t>2016-09-02_18:22 - Arquivo xog sendo gravado em: C:\xog_rumo_all_financial\xog_transaction_20160902_182205.xml</t>
  </si>
  <si>
    <t>2016-09-02_18:22 - Arquivo xog sendo gravado em: C:\xog_rumo_all_financial\xog_transaction_20160902_182256.xml</t>
  </si>
  <si>
    <t>2016-09-02_18:22 - -------------Fim da exportação transações de projeto-------------</t>
  </si>
  <si>
    <t>2016-09-02_18:23 - -------------Início da exportação transações de projeto-------------</t>
  </si>
  <si>
    <t>2016-09-02_18:23 - Arquivo xog sendo gravado em: C:\xog_rumo_all_financial\xog_transaction_20160902_182348.xml</t>
  </si>
  <si>
    <t>2016-09-02_18:23 - Proxy identificado</t>
  </si>
  <si>
    <t>2016-09-02_18:23 - Ambiente selecionado: DEV</t>
  </si>
  <si>
    <t>2016-09-02_18:23 -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</si>
  <si>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2016-09-02_18:23 - Enviando requisição de login</t>
  </si>
  <si>
    <t>2016-09-02_18:23 - Login realizado. SessionID capturado: 9406104__60715302-516D-4F33-AD57-3796A23FEEF2</t>
  </si>
  <si>
    <t>2016-09-02_18:23 - Chamando mensagem de requisição</t>
  </si>
  <si>
    <t>2016-09-02_18:23 - Capturando resultado final</t>
  </si>
  <si>
    <t>2016-09-02_18:23 - Efetuando logout</t>
  </si>
  <si>
    <t>2016-09-02_18:23 - Logout realizado</t>
  </si>
  <si>
    <t>2016-09-02_18:23 - -------------Fim da exportação transações de projeto-------------</t>
  </si>
  <si>
    <t>2016-09-02_18:25 - -------------Início da exportação transações de projeto-------------</t>
  </si>
  <si>
    <t>2016-09-02_18:25 - Arquivo xog sendo gravado em: C:\xog_rumo_all_financial\xog_transaction_20160902_182538.xml</t>
  </si>
  <si>
    <t>2016-09-02_18:25 - Proxy identificado</t>
  </si>
  <si>
    <t>2016-09-02_18:25 - Ambiente selecionado: DEV</t>
  </si>
  <si>
    <t>2016-09-02_18:25 -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</si>
  <si>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2016-09-02_18:25 - Enviando requisição de login</t>
  </si>
  <si>
    <t>2016-09-02_18:25 - Login realizado. SessionID capturado: 9406106__6B41C311-EE90-4ACB-AE4B-F4F88FC4D854</t>
  </si>
  <si>
    <t>2016-09-02_18:25 - Chamando mensagem de requisição</t>
  </si>
  <si>
    <t>2016-09-02_18:25 - Capturando resultado final</t>
  </si>
  <si>
    <t>2016-09-02_18:25 - Efetuando logout</t>
  </si>
  <si>
    <t>2016-09-02_18:25 - Logout realizado</t>
  </si>
  <si>
    <t>2016-09-02_18:25 - -------------Fim da exportação transações de projeto-------------</t>
  </si>
  <si>
    <t>2016-09-02_18:31 - Proxy identificado</t>
  </si>
  <si>
    <t>2016-09-02_18:31 - Ambiente selecionado: DEV</t>
  </si>
  <si>
    <t>2016-09-02_18:31 - Escrevendo tarefas...</t>
  </si>
  <si>
    <t>2016-09-02_18:32 - Escrevendo locais...</t>
  </si>
  <si>
    <t>2016-09-02_18:32 - Escrevendo períodos...</t>
  </si>
  <si>
    <t>2016-09-02_18:32 - Escrevendo fornecedores...</t>
  </si>
  <si>
    <t>2016-09-02_18:32 - Escrevendo departamentos...</t>
  </si>
  <si>
    <t>2016-09-02_18:32 - Escrevendo centros de custo...</t>
  </si>
  <si>
    <t>2016-09-02_18:32 - Escrevendo recursos e classes de transacao...</t>
  </si>
  <si>
    <t>2016-09-02_18:32 - Escrevendo classes de transacao...</t>
  </si>
  <si>
    <t>2016-09-02_18:32 - Proxy identificado</t>
  </si>
  <si>
    <t>2016-09-02_18:32 - Ambiente selecionado: DEV</t>
  </si>
  <si>
    <t>2016-09-02_18:32 - Escrevendo tarefas...</t>
  </si>
  <si>
    <t>2016-09-06_16:29 - Proxy identificado</t>
  </si>
  <si>
    <t>2016-09-06_16:29 - Ambiente selecionado: DEV</t>
  </si>
  <si>
    <t>2016-09-06_16:29 - Escrevendo tarefas...</t>
  </si>
  <si>
    <t>2016-09-06_16:29 - Escrevendo locais...</t>
  </si>
  <si>
    <t>2016-09-06_16:29 - Escrevendo períodos...</t>
  </si>
  <si>
    <t>2016-09-06_16:29 - Escrevendo fornecedores...</t>
  </si>
  <si>
    <t>2016-09-06_16:29 - Escrevendo departamentos...</t>
  </si>
  <si>
    <t>2016-09-06_16:29 - Escrevendo centros de custo...</t>
  </si>
  <si>
    <t>2016-09-06_16:29 - Escrevendo recursos e classes de transacao...</t>
  </si>
  <si>
    <t>2016-09-06_16:29 - Escrevendo classes de transacao...</t>
  </si>
  <si>
    <t>2016-09-19_13:45 - Proxy identificado</t>
  </si>
  <si>
    <t>2016-09-19_13:45 - Ambiente selecionado: DEV</t>
  </si>
  <si>
    <t>2016-09-19_13:45 - Escrevendo tarefas...</t>
  </si>
  <si>
    <t>2016-09-19_13:45 - Escrevendo locais...</t>
  </si>
  <si>
    <t>2016-09-19_13:45 - Escrevendo períodos...</t>
  </si>
  <si>
    <t>2016-09-19_13:45 - Escrevendo fornecedores...</t>
  </si>
  <si>
    <t>2016-09-19_13:45 - Escrevendo departamentos...</t>
  </si>
  <si>
    <t>2016-09-19_13:45 - Escrevendo centros de custo...</t>
  </si>
  <si>
    <t>2016-09-19_13:45 - Escrevendo recursos e classes de transacao...</t>
  </si>
  <si>
    <t>2016-09-19_13:45 - Escrevendo classes de transacao...</t>
  </si>
  <si>
    <t>2016-09-19_13:46 - Escrevendo classes de transacao...</t>
  </si>
  <si>
    <t>2016-09-19_13:46 - Proxy identificado</t>
  </si>
  <si>
    <t>2016-09-19_13:46 - Ambiente selecionado: DEV</t>
  </si>
  <si>
    <t>2016-09-19_13:46 - Escrevendo tarefas...</t>
  </si>
  <si>
    <t>2016-09-19_13:46 - Escrevendo locais...</t>
  </si>
  <si>
    <t>2016-09-19_13:46 - Escrevendo períodos...</t>
  </si>
  <si>
    <t>2016-09-19_13:46 - Escrevendo fornecedores...</t>
  </si>
  <si>
    <t>2016-09-19_13:46 - Escrevendo departamentos...</t>
  </si>
  <si>
    <t>2016-09-19_13:46 - Escrevendo centros de custo...</t>
  </si>
  <si>
    <t>2016-09-19_13:46 - Escrevendo recursos e classes de transacao...</t>
  </si>
  <si>
    <t>2016-09-19_15:48 - -------------Início da exportação transações de projeto-------------</t>
  </si>
  <si>
    <t>2016-09-19_15:48 - Arquivo xog sendo gravado em: C:\xog_rumo_all_financial\xog_transaction_lote_20160919_154849.xml</t>
  </si>
  <si>
    <t>2016-09-19_15:50 - -------------Início da exportação transações de projeto-------------</t>
  </si>
  <si>
    <t>2016-09-19_15:50 - Arquivo xog sendo gravado em: C:\xog_rumo_all_financial\xog_transaction_lote_20160919_155024.xml</t>
  </si>
  <si>
    <t>CÓDIGO DO INVESTIMENTO</t>
  </si>
  <si>
    <t>CÓDIGO DE ENTRADA
*Obrigatório</t>
  </si>
  <si>
    <t>ID ESTAB
VALOR 2 USR</t>
  </si>
  <si>
    <t>ID FORN
VALOR 1 USR</t>
  </si>
  <si>
    <t>VALOR</t>
  </si>
  <si>
    <t>2016-09-29_17:54 - -------------Início da exportação transações de projeto-------------</t>
  </si>
  <si>
    <t>2016-09-29_17:54 - Arquivo xog sendo gravado em: C:\xog_tecban_costplan\xog_costplan20160929_175429.xml</t>
  </si>
  <si>
    <t>2016-09-29_17:55 - -------------Início da exportação transações de projeto-------------</t>
  </si>
  <si>
    <t>2016-09-29_17:55 - Arquivo xog sendo gravado em: C:\xog_tecban_costplan\xog_costplan_20160929_175532.xml</t>
  </si>
  <si>
    <t>2016-09-29_17:56 - Arquivo xog sendo gravado em: C:\xog_tecban_costplan\xog_costplan_20160929_175557.xml</t>
  </si>
  <si>
    <t>2016-09-29_17:57 - -------------Início da exportação transações de projeto-------------</t>
  </si>
  <si>
    <t>2016-09-29_17:57 - Arquivo xog sendo gravado em: C:\xog_tecban_costplan\xog_costplan_20160929_175718.xml</t>
  </si>
  <si>
    <t>2016-09-29_17:58 - -------------Início da exportação transações de projeto-------------</t>
  </si>
  <si>
    <t>2016-09-29_17:58 - Arquivo xog sendo gravado em: C:\xog_tecban_costplan\xog_costplan_20160929_175838.xml</t>
  </si>
  <si>
    <t>2016-09-29_17:59 - -------------Início da exportação transações de projeto-------------</t>
  </si>
  <si>
    <t>2016-09-29_17:59 - Arquivo xog sendo gravado em: C:\xog_tecban_costplan\xog_costplan_20160929_175904.xml</t>
  </si>
  <si>
    <t>2016-09-29_17:59 - Arquivo xog sendo gravado em: C:\xog_tecban\xog_costplan_20160929_175932.xml</t>
  </si>
  <si>
    <t>2016-09-29_18:04 - -------------Início da exportação transações de projeto-------------</t>
  </si>
  <si>
    <t>2016-09-29_18:04 - Arquivo xog sendo gravado em: C:\xog_tecban\xog_costplan_20160929_180459.xml</t>
  </si>
  <si>
    <t>2016-09-29_18:06 - -------------Início da exportação transações de projeto-------------</t>
  </si>
  <si>
    <t>2016-09-29_18:06 - Arquivo xog sendo gravado em: C:\xog_tecban\xog_costplan_20160929_180635.xml</t>
  </si>
  <si>
    <t>2016-09-29_18:08 - -------------Início da exportação transações de projeto-------------</t>
  </si>
  <si>
    <t>2016-09-29_18:08 - Arquivo xog sendo gravado em: C:\xog_tecban\xog_costplan_20160929_180830.xml</t>
  </si>
  <si>
    <t>2016-09-29_18:08 - Arquivo xog sendo gravado em: C:\xog_tecban\xog_costplan_20160929_180844.xml</t>
  </si>
  <si>
    <t>2016-09-29_18:10 - -------------Início da exportação transações de projeto-------------</t>
  </si>
  <si>
    <t>2016-09-29_18:10 - Arquivo xog sendo gravado em: C:\xog_tecban\xog_costplan_20160929_181049.xml</t>
  </si>
  <si>
    <t>2016-09-29_18:11 - -------------Início da exportação transações de projeto-------------</t>
  </si>
  <si>
    <t>2016-09-29_18:11 - Arquivo xog sendo gravado em: C:\xog_tecban\xog_costplan_20160929_181123.xml</t>
  </si>
  <si>
    <t>2016-09-29_18:13 - -------------Início da exportação transações de projeto-------------</t>
  </si>
  <si>
    <t>2016-09-29_18:13 - Arquivo xog sendo gravado em: C:\xog_tecban\xog_costplan_20160929_181305.xml</t>
  </si>
  <si>
    <t>2016-09-29_18:14 - -------------Início da exportação transações de projeto-------------</t>
  </si>
  <si>
    <t>2016-09-29_18:14 - Arquivo xog sendo gravado em: C:\xog_tecban\xog_costplan_20160929_181415.xml</t>
  </si>
  <si>
    <t>2016-09-29_18:22 - -------------Início da exportação transações de projeto-------------</t>
  </si>
  <si>
    <t>2016-09-29_18:22 - Arquivo xog sendo gravado em: C:\xog_tecban\xog_costplan_20160929_182250.xml</t>
  </si>
  <si>
    <t>DATA TÉRMINO
PLANO DE CUSTO</t>
  </si>
  <si>
    <t>2016-09-30_13:35 - Proxy identificado</t>
  </si>
  <si>
    <t>2016-09-30_13:35 - Ambiente selecionado: TEST</t>
  </si>
  <si>
    <t>2016-09-30_13:35 - Escrevendo tarefas...</t>
  </si>
  <si>
    <t>2016-09-30_13:35 - Escrevendo locais...</t>
  </si>
  <si>
    <t>2016-09-30_13:35 - Escrevendo períodos...</t>
  </si>
  <si>
    <t>2016-09-30_13:35 - Escrevendo fornecedores...</t>
  </si>
  <si>
    <t>2016-09-30_13:35 - Escrevendo departamentos...</t>
  </si>
  <si>
    <t>2016-09-30_13:35 - Escrevendo centros de custo...</t>
  </si>
  <si>
    <t>2016-09-30_13:35 - Escrevendo recursos e classes de transacao...</t>
  </si>
  <si>
    <t>2016-09-30_13:35 - Escrevendo classes de transacao...</t>
  </si>
  <si>
    <t>2016-09-30_14:08 - -------------Início da exportação transações de projeto-------------</t>
  </si>
  <si>
    <t>2016-09-30_14:08 - Arquivo xog sendo gravado em: C:\xog_tecban\xog_costplan_20160930_140847.xml</t>
  </si>
  <si>
    <t>2016-09-30_14:09 - -------------Início da exportação transações de projeto-------------</t>
  </si>
  <si>
    <t>2016-09-30_14:09 - Arquivo xog sendo gravado em: C:\xog_tecban\xog_costplan_20160930_140922.xml</t>
  </si>
  <si>
    <t>2016-09-30_14:10 - -------------Início da exportação transações de projeto-------------</t>
  </si>
  <si>
    <t>2016-09-30_14:10 - Arquivo xog sendo gravado em: C:\xog_tecban\xog_costplan_20160930_141003.xml</t>
  </si>
  <si>
    <t>2016-09-30_14:14 - -------------Início da exportação transações de projeto-------------</t>
  </si>
  <si>
    <t>2016-09-30_14:14 - Arquivo xog sendo gravado em: C:\xog_tecban\xog_costplan_20160930_141429.xml</t>
  </si>
  <si>
    <t>2016-09-30_14:15 - -------------Início da exportação transações de projeto-------------</t>
  </si>
  <si>
    <t>2016-09-30_14:15 - Arquivo xog sendo gravado em: C:\xog_tecban\xog_costplan_20160930_141503.xml</t>
  </si>
  <si>
    <t>2016-09-30_14:17 - -------------Início da exportação transações de projeto-------------</t>
  </si>
  <si>
    <t>2016-09-30_14:17 - Arquivo xog sendo gravado em: C:\xog_tecban\xog_costplan_20160930_141714.xml</t>
  </si>
  <si>
    <t>2016-09-30_14:17 - Arquivo xog sendo gravado em: C:\xog_tecban\xog_costplan_20160930_141736.xml</t>
  </si>
  <si>
    <t>2016-09-30_14:20 - -------------Início da exportação transações de projeto-------------</t>
  </si>
  <si>
    <t>2016-09-30_14:20 - Arquivo xog sendo gravado em: C:\xog_tecban\xog_costplan_20160930_142016.xml</t>
  </si>
  <si>
    <t>2016-09-30_14:21 - -------------Início da exportação transações de projeto-------------</t>
  </si>
  <si>
    <t>2016-09-30_14:21 - Arquivo xog sendo gravado em: C:\xog_tecban\xog_costplan_20160930_142108.xml</t>
  </si>
  <si>
    <t>2016-09-30_14:21 - Arquivo xog sendo gravado em: C:\xog_tecban\xog_costplan_20160930_142151.xml</t>
  </si>
  <si>
    <t>2016-09-30_14:23 - -------------Início da exportação transações de projeto-------------</t>
  </si>
  <si>
    <t>2016-09-30_14:23 - Arquivo xog sendo gravado em: C:\xog_tecban\xog_costplan_20160930_142308.xml</t>
  </si>
  <si>
    <t>2016-09-30_14:25 - -------------Início da exportação transações de projeto-------------</t>
  </si>
  <si>
    <t>2016-09-30_14:25 - Arquivo xog sendo gravado em: C:\xog_tecban\xog_costplan_20160930_142551.xml</t>
  </si>
  <si>
    <t>2016-09-30_14:27 - -------------Início da exportação transações de projeto-------------</t>
  </si>
  <si>
    <t>2016-09-30_14:27 - Arquivo xog sendo gravado em: C:\xog_tecban\xog_costplan_20160930_142702.xml</t>
  </si>
  <si>
    <t>2016-09-30_14:28 - -------------Início da exportação transações de projeto-------------</t>
  </si>
  <si>
    <t>2016-09-30_14:28 - Arquivo xog sendo gravado em: C:\xog_tecban\xog_costplan_20160930_142837.xml</t>
  </si>
  <si>
    <t>2016-09-30_14:29 - -------------Início da exportação transações de projeto-------------</t>
  </si>
  <si>
    <t>2016-09-30_14:29 - Arquivo xog sendo gravado em: C:\xog_tecban\xog_costplan_20160930_142919.xml</t>
  </si>
  <si>
    <t>2016-09-30_14:30 - -------------Início da exportação transações de projeto-------------</t>
  </si>
  <si>
    <t>2016-09-30_14:30 - Arquivo xog sendo gravado em: C:\xog_tecban\xog_costplan_20160930_143059.xml</t>
  </si>
  <si>
    <t>2016-09-30_16:12 - -------------Início da exportação transações de projeto-------------</t>
  </si>
  <si>
    <t>2016-09-30_16:12 - Arquivo xog sendo gravado em: C:\xog_tecban\xog_costplan_20160930_161230.xml</t>
  </si>
  <si>
    <t>2016-09-30_16:14 - -------------Início da exportação transações de projeto-------------</t>
  </si>
  <si>
    <t>2016-09-30_16:14 - Arquivo xog sendo gravado em: C:\xog_tecban\xog_costplan_20160930_161403.xml</t>
  </si>
  <si>
    <t>2016-09-30_16:23 - -------------Início da exportação transações de projeto-------------</t>
  </si>
  <si>
    <t>2016-09-30_16:23 - Arquivo xog sendo gravado em: C:\xog_tecban\xog_costplan_20160930_162324.xml</t>
  </si>
  <si>
    <t>2016-09-30_16:25 - -------------Início da exportação transações de projeto-------------</t>
  </si>
  <si>
    <t>2016-09-30_16:25 - Arquivo xog sendo gravado em: C:\xog_tecban\xog_costplan_20160930_162510.xml</t>
  </si>
  <si>
    <t>2016-09-30_16:25 - Proxy identificado</t>
  </si>
  <si>
    <t>2016-09-30_16:25 - Ambiente selecionado: TEST</t>
  </si>
  <si>
    <t>2016-09-30_16:25 -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</si>
  <si>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2016-09-30_16:25 - Enviando requisição de login</t>
  </si>
  <si>
    <t>2016-09-30_16:25 - Login realizado. SessionID capturado: 68403025__9BF4DB79-561D-42B2-A4CE-4BD3A1EFF235</t>
  </si>
  <si>
    <t>2016-09-30_16:25 - Chamando mensagem de requisição</t>
  </si>
  <si>
    <t>2016-09-30_16:25 - Capturando resultado final</t>
  </si>
  <si>
    <t>2016-09-30_16:25 - Efetuando logout</t>
  </si>
  <si>
    <t>2016-09-30_16:25 - Logout realizado</t>
  </si>
  <si>
    <t>2016-09-30_16:25 - -------------Fim da exportação transações de projeto-------------</t>
  </si>
  <si>
    <t>2016-09-30_16:34 - -------------Início da exportação transações de projeto-------------</t>
  </si>
  <si>
    <t>2016-09-30_16:34 - Arquivo xog sendo gravado em: C:\xog_tecban\xog_costplan_20160930_163434.xml</t>
  </si>
  <si>
    <t>2016-10-03_10:55 - -------------Início da exportação transações de projeto-------------</t>
  </si>
  <si>
    <t>2016-10-03_10:55 - Arquivo xog sendo gravado em: C:\xog_tecban\xog_costplan_20161003_105511.xml</t>
  </si>
  <si>
    <t>2016-10-03_10:56 - -------------Início da exportação transações de projeto-------------</t>
  </si>
  <si>
    <t>2016-10-03_10:56 - Arquivo xog sendo gravado em: C:\xog_tecban\xog_costplan_20161003_105639.xml</t>
  </si>
  <si>
    <t>2016-10-03_11:05 - -------------Início da exportação transações de projeto-------------</t>
  </si>
  <si>
    <t>2016-10-03_11:05 - Arquivo xog sendo gravado em: C:\xog_tecban\xog_costplan_20161003_110546.xml</t>
  </si>
  <si>
    <t>2016-10-03_11:08 - -------------Início da exportação transações de projeto-------------</t>
  </si>
  <si>
    <t>2016-10-03_11:08 - Arquivo xog sendo gravado em: C:\xog_tecban\xog_costplan_20161003_110805.xml</t>
  </si>
  <si>
    <t>2016-10-03_11:10 - -------------Início da exportação transações de projeto-------------</t>
  </si>
  <si>
    <t>2016-10-03_11:10 - Arquivo xog sendo gravado em: C:\xog_tecban\xog_costplan_20161003_111041.xml</t>
  </si>
  <si>
    <t>2016-10-03_11:13 - -------------Início da exportação transações de projeto-------------</t>
  </si>
  <si>
    <t>2016-10-03_11:13 - Arquivo xog sendo gravado em: C:\xog_tecban\xog_costplan_20161003_111306.xml</t>
  </si>
  <si>
    <t>2016-10-03_11:14 - -------------Início da exportação transações de projeto-------------</t>
  </si>
  <si>
    <t>2016-10-03_11:14 - Arquivo xog sendo gravado em: C:\xog_tecban\xog_costplan_20161003_111425.xml</t>
  </si>
  <si>
    <t>2016-10-03_11:15 - -------------Início da exportação transações de projeto-------------</t>
  </si>
  <si>
    <t>2016-10-03_11:15 - Arquivo xog sendo gravado em: C:\xog_tecban\xog_costplan_20161003_111541.xml</t>
  </si>
  <si>
    <t>2016-10-03_11:24 - -------------Início da exportação transações de projeto-------------</t>
  </si>
  <si>
    <t>2016-10-03_11:24 - Arquivo xog sendo gravado em: C:\xog_tecban\xog_costplan_20161003_112414.xml</t>
  </si>
  <si>
    <t>2016-10-03_11:26 - -------------Início da exportação transações de projeto-------------</t>
  </si>
  <si>
    <t>2016-10-03_11:26 - Arquivo xog sendo gravado em: C:\xog_tecban\xog_costplan_20161003_112616.xml</t>
  </si>
  <si>
    <t>2016-10-03_11:28 - -------------Início da exportação transações de projeto-------------</t>
  </si>
  <si>
    <t>2016-10-03_11:28 - Arquivo xog sendo gravado em: C:\xog_tecban\xog_costplan_20161003_112856.xml</t>
  </si>
  <si>
    <t>2016-10-03_11:33 - -------------Início da exportação transações de projeto-------------</t>
  </si>
  <si>
    <t>2016-10-03_11:33 - Arquivo xog sendo gravado em: C:\xog_tecban\xog_costplan_20161003_113300.xml</t>
  </si>
  <si>
    <t>2016-10-03_11:36 - -------------Início da exportação transações de projeto-------------</t>
  </si>
  <si>
    <t>2016-10-03_11:36 - Arquivo xog sendo gravado em: C:\xog_tecban\xog_costplan_20161003_113621.xml</t>
  </si>
  <si>
    <t>2016-10-03_11:37 - -------------Início da exportação transações de projeto-------------</t>
  </si>
  <si>
    <t>2016-10-03_11:37 - Arquivo xog sendo gravado em: C:\xog_tecban\xog_costplan_20161003_113746.xml</t>
  </si>
  <si>
    <t>2016-10-03_11:45 - -------------Início da exportação transações de projeto-------------</t>
  </si>
  <si>
    <t>2016-10-03_11:45 - Arquivo xog sendo gravado em: C:\xog_tecban\xog_costplan_20161003_114541.xml</t>
  </si>
  <si>
    <t>2016-10-03_13:28 - -------------Início da exportação transações de projeto-------------</t>
  </si>
  <si>
    <t>2016-10-03_13:28 - Arquivo xog sendo gravado em: C:\xog_tecban\xog_costplan_20161003_132819.xml</t>
  </si>
  <si>
    <t>2016-10-03_13:43 - -------------Início da exportação transações de projeto-------------</t>
  </si>
  <si>
    <t>2016-10-03_13:43 - Arquivo xog sendo gravado em: C:\xog_tecban\xog_costplan_20161003_134317.xml</t>
  </si>
  <si>
    <t>2016-10-03_13:44 - -------------Início da exportação transações de projeto-------------</t>
  </si>
  <si>
    <t>2016-10-03_13:44 - Arquivo xog sendo gravado em: C:\xog_tecban\xog_costplan_20161003_134411.xml</t>
  </si>
  <si>
    <t>2016-10-03_13:47 - -------------Início da exportação transações de projeto-------------</t>
  </si>
  <si>
    <t>2016-10-03_13:47 - Arquivo xog sendo gravado em: C:\xog_tecban\xog_costplan_20161003_134714.xml</t>
  </si>
  <si>
    <t>2016-10-03_13:50 - -------------Início da exportação transações de projeto-------------</t>
  </si>
  <si>
    <t>2016-10-03_13:50 - Arquivo xog sendo gravado em: C:\xog_tecban\xog_costplan_20161003_135012.xml</t>
  </si>
  <si>
    <t>2016-10-03_13:53 - -------------Início da exportação transações de projeto-------------</t>
  </si>
  <si>
    <t>2016-10-03_13:53 - Arquivo xog sendo gravado em: C:\xog_tecban\xog_costplan_20161003_135303.xml</t>
  </si>
  <si>
    <t>2016-10-03_13:55 - -------------Início da exportação transações de projeto-------------</t>
  </si>
  <si>
    <t>2016-10-03_13:55 - Arquivo xog sendo gravado em: C:\xog_tecban\xog_costplan_20161003_135556.xml</t>
  </si>
  <si>
    <t>2016-10-03_13:57 - -------------Início da exportação transações de projeto-------------</t>
  </si>
  <si>
    <t>2016-10-03_13:57 - Arquivo xog sendo gravado em: C:\xog_tecban\xog_costplan_20161003_135716.xml</t>
  </si>
  <si>
    <t>2016-10-03_14:03 - -------------Início da exportação transações de projeto-------------</t>
  </si>
  <si>
    <t>2016-10-03_14:03 - Arquivo xog sendo gravado em: C:\xog_tecban\xog_costplan_20161003_140342.xml</t>
  </si>
  <si>
    <t>2016-10-03_14:05 - -------------Início da exportação transações de projeto-------------</t>
  </si>
  <si>
    <t>2016-10-03_14:05 - Arquivo xog sendo gravado em: C:\xog_tecban\xog_costplan_20161003_140538.xml</t>
  </si>
  <si>
    <t>2016-10-03_14:07 - -------------Início da exportação transações de projeto-------------</t>
  </si>
  <si>
    <t>2016-10-03_14:07 - Arquivo xog sendo gravado em: C:\xog_tecban\xog_costplan_20161003_140750.xml</t>
  </si>
  <si>
    <t>2016-10-03_14:11 - -------------Início da exportação transações de projeto-------------</t>
  </si>
  <si>
    <t>2016-10-03_14:11 - Arquivo xog sendo gravado em: C:\xog_tecban\xog_costplan_20161003_141107.xml</t>
  </si>
  <si>
    <t>2016-10-03_14:12 - -------------Início da exportação transações de projeto-------------</t>
  </si>
  <si>
    <t>2016-10-03_14:12 - Arquivo xog sendo gravado em: C:\xog_tecban\xog_costplan_20161003_141238.xml</t>
  </si>
  <si>
    <t>2016-10-03_14:14 - -------------Início da exportação transações de projeto-------------</t>
  </si>
  <si>
    <t>2016-10-03_14:14 - Arquivo xog sendo gravado em: C:\xog_tecban\xog_costplan_20161003_141449.xml</t>
  </si>
  <si>
    <t>2016-10-03_14:15 - -------------Início da exportação transações de projeto-------------</t>
  </si>
  <si>
    <t>2016-10-03_14:15 - Arquivo xog sendo gravado em: C:\xog_tecban\xog_costplan_20161003_141521.xml</t>
  </si>
  <si>
    <t>2016-10-03_14:21 - -------------Início da exportação transações de projeto-------------</t>
  </si>
  <si>
    <t>2016-10-03_14:21 - Arquivo xog sendo gravado em: C:\xog_tecban\xog_costplan_20161003_142111.xml</t>
  </si>
  <si>
    <t>2016-10-03_14:21 - -------------Fim da exportação transações de projeto-------------</t>
  </si>
  <si>
    <t>2016-10-03_14:21 - Arquivo xog sendo gravado em: C:\xog_tecban\xog_costplan_20161003_142116.xml</t>
  </si>
  <si>
    <t>2016-10-03_14:21 - Arquivo xog sendo gravado em: C:\xog_tecban\xog_costplan_20161003_142139.xml</t>
  </si>
  <si>
    <t>2016-10-03_14:22 - -------------Início da exportação transações de projeto-------------</t>
  </si>
  <si>
    <t>2016-10-03_14:22 - Arquivo xog sendo gravado em: C:\xog_tecban\xog_costplan_20161003_142223.xml</t>
  </si>
  <si>
    <t>2016-10-03_14:23 - -------------Fim da exportação transações de projeto-------------</t>
  </si>
  <si>
    <t>VALIDATION 
PRJ_USRLOV1</t>
  </si>
  <si>
    <t>2016-10-03_14:58 - -------------Início da exportação transações de projeto-------------</t>
  </si>
  <si>
    <t>2016-10-03_14:58 - Arquivo xog sendo gravado em: C:\xog_tecban\xog_costplan_20161003_145826.xml</t>
  </si>
  <si>
    <t>2016-10-03_15:02 - -------------Início da exportação transações de projeto-------------</t>
  </si>
  <si>
    <t>2016-10-03_15:02 - Arquivo xog sendo gravado em: C:\xog_tecban\xog_costplan_20161003_150251.xml</t>
  </si>
  <si>
    <t>2016-10-03_15:11 - -------------Início da exportação transações de projeto-------------</t>
  </si>
  <si>
    <t>2016-10-03_15:11 - Arquivo xog sendo gravado em: C:\xog_tecban\xog_costplan_20161003_151136.xml</t>
  </si>
  <si>
    <t>2016-10-03_15:14 - -------------Início da exportação transações de projeto-------------</t>
  </si>
  <si>
    <t>2016-10-03_15:14 - Arquivo xog sendo gravado em: C:\xog_tecban\xog_costplan_20161003_151426.xml</t>
  </si>
  <si>
    <t>2016-10-03_15:14 - Arquivo xog sendo gravado em: C:\xog_tecban\xog_costplan_20161003_151432.xml</t>
  </si>
  <si>
    <t>2016-10-03_15:17 - -------------Início da exportação transações de projeto-------------</t>
  </si>
  <si>
    <t>2016-10-03_15:17 - Arquivo xog sendo gravado em: C:\xog_tecban\xog_costplan_20161003_151714.xml</t>
  </si>
  <si>
    <t>2016-10-03_15:17 - Arquivo xog sendo gravado em: C:\xog_tecban\xog_costplan_20161003_151742.xml</t>
  </si>
  <si>
    <t>2016-10-03_15:19 - -------------Início da exportação transações de projeto-------------</t>
  </si>
  <si>
    <t>2016-10-03_15:19 - Arquivo xog sendo gravado em: C:\xog_tecban\xog_costplan_20161003_151914.xml</t>
  </si>
  <si>
    <t>2016-10-03_15:21 - -------------Início da exportação transações de projeto-------------</t>
  </si>
  <si>
    <t>2016-10-03_15:21 - Arquivo xog sendo gravado em: C:\xog_tecban\xog_costplan_20161003_152114.xml</t>
  </si>
  <si>
    <t>2016-10-03_15:22 - -------------Início da exportação transações de projeto-------------</t>
  </si>
  <si>
    <t>2016-10-03_15:22 - Arquivo xog sendo gravado em: C:\xog_tecban\xog_costplan_20161003_152205.xml</t>
  </si>
  <si>
    <t>2016-10-03_15:22 - Arquivo xog sendo gravado em: C:\xog_tecban\xog_costplan_20161003_152242.xml</t>
  </si>
  <si>
    <t>2016-10-03_15:22 - -------------Fim da exportação transações de projeto-------------</t>
  </si>
  <si>
    <t>2016-10-03_15:22 - Arquivo xog sendo gravado em: C:\xog_tecban\xog_costplan_20161003_152247.xml</t>
  </si>
  <si>
    <t>2016-10-03_15:24 - -------------Início da exportação transações de projeto-------------</t>
  </si>
  <si>
    <t>2016-10-03_15:24 - Arquivo xog sendo gravado em: C:\xog_tecban\xog_costplan_20161003_152433.xml</t>
  </si>
  <si>
    <t>2016-10-03_15:24 - Proxy identificado</t>
  </si>
  <si>
    <t>2016-10-03_15:24 - Ambiente selecionado: TEST</t>
  </si>
  <si>
    <t>2016-10-03_15:24 -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</si>
  <si>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2016-10-03_15:24 - Enviando requisição de login</t>
  </si>
  <si>
    <t>2016-10-03_15:24 - Login realizado. SessionID capturado: 68403929__05B81584-927D-422C-AAEB-F65181425242</t>
  </si>
  <si>
    <t>2016-10-03_15:24 - Chamando mensagem de requisição</t>
  </si>
  <si>
    <t>2016-10-03_15:24 - Capturando resultado final</t>
  </si>
  <si>
    <t>2016-10-03_15:24 - Efetuando logout</t>
  </si>
  <si>
    <t>2016-10-03_15:24 - Logout realizado</t>
  </si>
  <si>
    <t>2016-10-03_15:24 - -------------Fim da exportação transações de projeto-------------</t>
  </si>
  <si>
    <t>2016-10-03_15:24 - Arquivo xog sendo gravado em: C:\xog_tecban\xog_costplan_20161003_152440.xml</t>
  </si>
  <si>
    <t>2016-10-03_15:24 - Login realizado. SessionID capturado: 68403930__904CE89B-1F58-4683-B4E1-DBD94D239F35</t>
  </si>
  <si>
    <t>2016-10-03_15:28 - -------------Início da exportação transações de projeto-------------</t>
  </si>
  <si>
    <t>2016-10-03_15:28 - Arquivo xog sendo gravado em: C:\xog_tecban\xog_costplan_20161003_152835.xml</t>
  </si>
  <si>
    <t>2016-10-03_15:28 - -------------Fim da exportação transações de projeto-------------</t>
  </si>
  <si>
    <t>2016-10-03_15:28 - Arquivo xog sendo gravado em: C:\xog_tecban\xog_costplan_20161003_152840.xml</t>
  </si>
  <si>
    <t>2016-10-03_15:30 - -------------Início da exportação transações de projeto-------------</t>
  </si>
  <si>
    <t>2016-10-03_15:30 - Arquivo xog sendo gravado em: C:\xog_tecban\xog_costplan_20161003_153015.xml</t>
  </si>
  <si>
    <t>2016-10-03_15:30 - Proxy identificado</t>
  </si>
  <si>
    <t>2016-10-03_15:30 - Ambiente selecionado: TEST</t>
  </si>
  <si>
    <t>2016-10-03_15:30 -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</si>
  <si>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2016-10-03_15:30 - Enviando requisição de login</t>
  </si>
  <si>
    <t>2016-10-03_15:30 - Login realizado. SessionID capturado: 68403932__DD218BB4-967B-4A37-81F2-6E35FEA5901B</t>
  </si>
  <si>
    <t>2016-10-03_15:30 - Chamando mensagem de requisição</t>
  </si>
  <si>
    <t>2016-10-03_15:30 - Capturando resultado final</t>
  </si>
  <si>
    <t>2016-10-03_15:30 - Efetuando logout</t>
  </si>
  <si>
    <t>2016-10-03_15:30 - Logout realizado</t>
  </si>
  <si>
    <t>2016-10-03_15:30 - -------------Fim da exportação transações de projeto-------------</t>
  </si>
  <si>
    <t>2016-10-03_15:30 - Arquivo xog sendo gravado em: C:\xog_tecban\xog_costplan_20161003_153022.xml</t>
  </si>
  <si>
    <t>2016-10-03_15:30 - Login realizado. SessionID capturado: 68403933__A63CD8DE-4B45-42BF-9752-7B50FA106664</t>
  </si>
  <si>
    <t>2016-10-03_15:32 - -------------Início da exportação transações de projeto-------------</t>
  </si>
  <si>
    <t>2016-10-03_15:32 - Arquivo xog sendo gravado em: C:\xog_tecban\xog_costplan_20161003_153254.xml</t>
  </si>
  <si>
    <t>2016-10-03_15:34 - -------------Fim da exportação transações de projeto-------------</t>
  </si>
  <si>
    <t>2016-10-03_15:35 - -------------Início da exportação transações de projeto-------------</t>
  </si>
  <si>
    <t>2016-10-03_15:35 - Arquivo xog sendo gravado em: C:\xog_tecban\xog_costplan_20161003_153502.xml</t>
  </si>
  <si>
    <t>2016-10-03_15:36 - -------------Início da exportação transações de projeto-------------</t>
  </si>
  <si>
    <t>2016-10-03_15:36 - Arquivo xog sendo gravado em: C:\xog_tecban\xog_costplan_20161003_153652.xml</t>
  </si>
  <si>
    <t>2016-10-03_15:36 - Proxy identificado</t>
  </si>
  <si>
    <t>2016-10-03_15:36 - Ambiente selecionado: TEST</t>
  </si>
  <si>
    <t>2016-10-03_15:36 -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</si>
  <si>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2016-10-03_15:36 - Enviando requisição de login</t>
  </si>
  <si>
    <t>2016-10-03_15:36 - Login realizado. SessionID capturado: 68403935__D406EC22-2A6F-4CC2-A48A-718278C8C261</t>
  </si>
  <si>
    <t>2016-10-03_15:36 - Chamando mensagem de requisição</t>
  </si>
  <si>
    <t>2016-10-03_15:36 - Capturando resultado final</t>
  </si>
  <si>
    <t>2016-10-03_15:36 - Efetuando logout</t>
  </si>
  <si>
    <t>2016-10-03_15:36 - Logout realizado</t>
  </si>
  <si>
    <t>2016-10-03_15:36 - -------------Fim da exportação transações de projeto-------------</t>
  </si>
  <si>
    <t>2016-10-03_15:37 - -------------Início da exportação transações de projeto-------------</t>
  </si>
  <si>
    <t>2016-10-03_15:37 - Arquivo xog sendo gravado em: C:\xog_tecban\xog_costplan_20161003_153703.xml</t>
  </si>
  <si>
    <t>2016-10-03_15:37 - Proxy identificado</t>
  </si>
  <si>
    <t>2016-10-03_15:37 - Ambiente selecionado: TEST</t>
  </si>
  <si>
    <t>2016-10-03_15:37 -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</si>
  <si>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2016-10-03_15:37 - Enviando requisição de login</t>
  </si>
  <si>
    <t>2016-10-03_15:37 - Login realizado. SessionID capturado: 68403936__3F9DEB91-91D1-4DEA-9B3A-7FD21B9EFD78</t>
  </si>
  <si>
    <t>2016-10-03_15:37 - Chamando mensagem de requisição</t>
  </si>
  <si>
    <t>2016-10-03_15:37 - Capturando resultado final</t>
  </si>
  <si>
    <t>2016-10-03_15:37 - Efetuando logout</t>
  </si>
  <si>
    <t>2016-10-03_15:37 - Logout realizado</t>
  </si>
  <si>
    <t>2016-10-03_15:37 - -------------Fim da exportação transações de projeto-------------</t>
  </si>
  <si>
    <t>2016-10-03_15:39 - -------------Início da exportação transações de projeto-------------</t>
  </si>
  <si>
    <t>2016-10-03_15:39 - Arquivo xog sendo gravado em: C:\xog_tecban\xog_costplan_20161003_153932.xml</t>
  </si>
  <si>
    <t>2016-10-03_15:39 - Proxy identificado</t>
  </si>
  <si>
    <t>2016-10-03_15:39 - Ambiente selecionado: TEST</t>
  </si>
  <si>
    <t>2016-10-03_15:39 -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</si>
  <si>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2016-10-03_15:39 - Enviando requisição de login</t>
  </si>
  <si>
    <t>2016-10-03_15:39 - Login realizado. SessionID capturado: 68403938__90583CBE-9AF9-408D-B67C-5FF058F9DEE1</t>
  </si>
  <si>
    <t>2016-10-03_15:39 - Chamando mensagem de requisição</t>
  </si>
  <si>
    <t>2016-10-03_15:39 - Capturando resultado final</t>
  </si>
  <si>
    <t>2016-10-03_15:39 - Efetuando logout</t>
  </si>
  <si>
    <t>2016-10-03_15:39 - Logout realizado</t>
  </si>
  <si>
    <t>2016-10-03_15:39 - -------------Fim da exportação transações de projeto-------------</t>
  </si>
  <si>
    <t>2016-10-03_15:39 - Arquivo xog sendo gravado em: C:\xog_tecban\xog_costplan_20161003_153938.xml</t>
  </si>
  <si>
    <t>2016-10-03_15:39 - Login realizado. SessionID capturado: 68403939__6FD43361-AE62-48B3-95F8-83FA1B443A5C</t>
  </si>
  <si>
    <t>2016-10-03_16:15 - Proxy identificado</t>
  </si>
  <si>
    <t>2016-10-03_16:15 - Ambiente selecionado: TEST</t>
  </si>
  <si>
    <t>2016-10-03_16:15 - Escrevendo tarefas...</t>
  </si>
  <si>
    <t>2016-10-03_16:19 - Proxy identificado</t>
  </si>
  <si>
    <t>2016-10-03_16:19 - Ambiente selecionado: TEST</t>
  </si>
  <si>
    <t>2016-10-03_16:19 - Escrevendo tarefas...</t>
  </si>
  <si>
    <t>2016-10-03_16:20 - Proxy identificado</t>
  </si>
  <si>
    <t>2016-10-03_16:20 - Ambiente selecionado: TEST</t>
  </si>
  <si>
    <t>2016-10-03_16:20 - Escrevendo tarefas...</t>
  </si>
  <si>
    <t>2016-10-03_16:22 - Proxy identificado</t>
  </si>
  <si>
    <t>2016-10-03_16:22 - Ambiente selecionado: TEST</t>
  </si>
  <si>
    <t>2016-10-03_16:23 - Escrevendo tarefas...</t>
  </si>
  <si>
    <t>2016-10-03_16:23 - Escrevendo locais...</t>
  </si>
  <si>
    <t>2016-10-03_16:23 - Escrevendo períodos...</t>
  </si>
  <si>
    <t>2016-10-03_16:23 - Escrevendo fornecedores...</t>
  </si>
  <si>
    <t>2016-10-03_16:23 - Escrevendo departamentos...</t>
  </si>
  <si>
    <t>2016-10-03_16:23 - Escrevendo centros de custo...</t>
  </si>
  <si>
    <t>2016-10-03_16:23 - Escrevendo recursos e classes de transacao...</t>
  </si>
  <si>
    <t>2016-10-03_16:23 - Escrevendo classes de transacao...</t>
  </si>
  <si>
    <t>2016-10-03_16:24 - Proxy identificado</t>
  </si>
  <si>
    <t>2016-10-03_16:24 - Ambiente selecionado: TEST</t>
  </si>
  <si>
    <t>2016-10-03_16:25 - Escrevendo tarefas...</t>
  </si>
  <si>
    <t>2016-10-03_16:25 - Escrevendo locais...</t>
  </si>
  <si>
    <t>2016-10-03_16:25 - Escrevendo períodos...</t>
  </si>
  <si>
    <t>2016-10-03_16:25 - Escrevendo fornecedores...</t>
  </si>
  <si>
    <t>2016-10-03_16:25 - Escrevendo departamentos...</t>
  </si>
  <si>
    <t>2016-10-03_16:25 - Escrevendo centros de custo...</t>
  </si>
  <si>
    <t>2016-10-03_16:25 - Escrevendo recursos e classes de transacao...</t>
  </si>
  <si>
    <t>2016-10-03_16:25 - Escrevendo classes de transacao...</t>
  </si>
  <si>
    <t>2016-10-03_16:28 - Proxy identificado</t>
  </si>
  <si>
    <t>2016-10-03_16:28 - Ambiente selecionado: TEST</t>
  </si>
  <si>
    <t>2016-10-03_16:29 - Proxy identificado</t>
  </si>
  <si>
    <t>2016-10-03_16:29 - Ambiente selecionado: TEST</t>
  </si>
  <si>
    <t>2016-10-03_16:29 - Escrevendo tarefas...</t>
  </si>
  <si>
    <t>2016-10-03_16:29 - Escrevendo locais...</t>
  </si>
  <si>
    <t>2016-10-03_16:29 - Escrevendo períodos...</t>
  </si>
  <si>
    <t>2016-10-03_16:29 - Escrevendo fornecedores...</t>
  </si>
  <si>
    <t>2016-10-03_16:29 - Escrevendo departamentos...</t>
  </si>
  <si>
    <t>2016-10-03_16:29 - Escrevendo centros de custo...</t>
  </si>
  <si>
    <t>2016-10-03_16:29 - Escrevendo recursos e classes de transacao...</t>
  </si>
  <si>
    <t>2016-10-03_16:29 - Escrevendo classes de transacao...</t>
  </si>
  <si>
    <t>2016-10-03_16:32 - Proxy identificado</t>
  </si>
  <si>
    <t>2016-10-03_16:32 - Ambiente selecionado: TEST</t>
  </si>
  <si>
    <t>2016-10-03_16:32 - Escrevendo tarefas...</t>
  </si>
  <si>
    <t>2016-10-03_16:32 - Escrevendo locais...</t>
  </si>
  <si>
    <t>2016-10-03_16:32 - Escrevendo períodos...</t>
  </si>
  <si>
    <t>2016-10-03_16:32 - Escrevendo fornecedores...</t>
  </si>
  <si>
    <t>2016-10-03_16:32 - Escrevendo departamentos...</t>
  </si>
  <si>
    <t>2016-10-03_16:32 - Escrevendo centros de custo...</t>
  </si>
  <si>
    <t>2016-10-03_16:32 - Escrevendo recursos e classes de transacao...</t>
  </si>
  <si>
    <t>2016-10-03_16:32 - Escrevendo classes de transacao...</t>
  </si>
  <si>
    <t>2016-10-03_16:33 - Proxy identificado</t>
  </si>
  <si>
    <t>2016-10-03_16:33 - Ambiente selecionado: TEST</t>
  </si>
  <si>
    <t>2016-10-03_16:33 - Escrevendo tarefas...</t>
  </si>
  <si>
    <t>2016-10-03_16:33 - Escrevendo locais...</t>
  </si>
  <si>
    <t>2016-10-03_16:33 - Escrevendo períodos...</t>
  </si>
  <si>
    <t>2016-10-03_16:33 - Escrevendo fornecedores...</t>
  </si>
  <si>
    <t>2016-10-03_16:33 - Escrevendo departamentos...</t>
  </si>
  <si>
    <t>2016-10-03_16:33 - Escrevendo centros de custo...</t>
  </si>
  <si>
    <t>2016-10-03_16:33 - Escrevendo recursos e classes de transacao...</t>
  </si>
  <si>
    <t>2016-10-03_16:33 - Escrevendo classes de transacao...</t>
  </si>
  <si>
    <t>2016-10-03_16:59 - Proxy identificado</t>
  </si>
  <si>
    <t>2016-10-03_16:59 - Ambiente selecionado: TEST</t>
  </si>
  <si>
    <t>2016-10-03_16:59 - Escrevendo tarefas...</t>
  </si>
  <si>
    <t>2016-10-03_16:59 - Escrevendo locais...</t>
  </si>
  <si>
    <t>2016-10-03_16:59 - Escrevendo períodos...</t>
  </si>
  <si>
    <t>2016-10-03_16:59 - Escrevendo fornecedores...</t>
  </si>
  <si>
    <t>2016-10-03_16:59 - Escrevendo departamentos...</t>
  </si>
  <si>
    <t>2016-10-03_16:59 - Escrevendo centros de custo...</t>
  </si>
  <si>
    <t>2016-10-03_16:59 - Escrevendo recursos e classes de transacao...</t>
  </si>
  <si>
    <t>2016-10-03_16:59 - Escrevendo classes de transacao...</t>
  </si>
  <si>
    <t>2016-10-03_17:50 - -------------Início da exportação transações de projeto-------------</t>
  </si>
  <si>
    <t>2016-10-03_17:50 - Arquivo xog sendo gravado em: C:\xog_tecban\xog_costplan_20161003_175001.xml</t>
  </si>
  <si>
    <t>2016-10-03_17:51 - Proxy identificado</t>
  </si>
  <si>
    <t>2016-10-03_17:51 - Ambiente selecionado: TEST</t>
  </si>
  <si>
    <t>2016-10-03_17:51 - Escrevendo tarefas...</t>
  </si>
  <si>
    <t>2016-10-03_17:51 - Escrevendo locais...</t>
  </si>
  <si>
    <t>2016-10-03_17:51 - Escrevendo períodos...</t>
  </si>
  <si>
    <t>2016-10-03_17:51 - Escrevendo fornecedores...</t>
  </si>
  <si>
    <t>2016-10-03_17:51 - Escrevendo departamentos...</t>
  </si>
  <si>
    <t>2016-10-03_17:51 - Escrevendo centros de custo...</t>
  </si>
  <si>
    <t>2016-10-03_17:51 - Escrevendo recursos e classes de transacao...</t>
  </si>
  <si>
    <t>2016-10-03_17:51 - Escrevendo classes de transacao...</t>
  </si>
  <si>
    <t>2016-10-03_17:52 - Proxy identificado</t>
  </si>
  <si>
    <t>2016-10-03_17:52 - Ambiente selecionado: TEST</t>
  </si>
  <si>
    <t>2016-10-03_17:52 - Escrevendo tarefas...</t>
  </si>
  <si>
    <t>2016-10-03_17:52 - Escrevendo locais...</t>
  </si>
  <si>
    <t>2016-10-03_17:52 - Escrevendo períodos...</t>
  </si>
  <si>
    <t>2016-10-03_17:52 - Escrevendo fornecedores...</t>
  </si>
  <si>
    <t>2016-10-03_17:52 - Escrevendo departamentos...</t>
  </si>
  <si>
    <t>2016-10-03_17:52 - Escrevendo centros de custo...</t>
  </si>
  <si>
    <t>2016-10-03_17:52 - Escrevendo recursos e classes de transacao...</t>
  </si>
  <si>
    <t>2016-10-03_17:52 - Escrevendo classes de transacao...</t>
  </si>
  <si>
    <t>2016-10-03_18:22 - -------------Início da exportação transações de projeto-------------</t>
  </si>
  <si>
    <t>2016-10-03_18:22 - Arquivo xog sendo gravado em: C:\xog_tecban\xog_costplan_20161003_182257.xml</t>
  </si>
  <si>
    <t>2016-10-03_18:22 - Proxy identificado</t>
  </si>
  <si>
    <t>2016-10-03_18:22 - Ambiente selecionado: TEST</t>
  </si>
  <si>
    <t>2016-10-03_18:22 -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</si>
  <si>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2016-10-03_18:22 - Enviando requisição de login</t>
  </si>
  <si>
    <t>2016-10-03_18:22 - Login realizado. SessionID capturado: 68411081__F78D48BC-1908-45B2-AE96-9118B9B0BF0B</t>
  </si>
  <si>
    <t>2016-10-03_18:22 - Chamando mensagem de requisição</t>
  </si>
  <si>
    <t>2016-10-03_18:22 - Capturando resultado final</t>
  </si>
  <si>
    <t>2016-10-03_18:22 - Efetuando logout</t>
  </si>
  <si>
    <t>2016-10-03_18:22 - Logout realizado</t>
  </si>
  <si>
    <t>2016-10-03_18:22 - -------------Fim da exportação transações de projeto-------------</t>
  </si>
  <si>
    <t>2016-10-03_18:23 - -------------Início da exportação transações de projeto-------------</t>
  </si>
  <si>
    <t>2016-10-03_18:23 - Arquivo xog sendo gravado em: C:\xog_tecban\xog_costplan_20161003_182304.xml</t>
  </si>
  <si>
    <t>2016-10-03_18:25 - -------------Início da exportação transações de projeto-------------</t>
  </si>
  <si>
    <t>2016-10-03_18:25 - Arquivo xog sendo gravado em: C:\xog_tecban\xog_costplan_20161003_182505.xml</t>
  </si>
  <si>
    <t>2016-10-03_18:25 - Proxy identificado</t>
  </si>
  <si>
    <t>2016-10-03_18:25 - Ambiente selecionado: TEST</t>
  </si>
  <si>
    <t>2016-10-03_18:25 -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</si>
  <si>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2016-10-03_18:25 - Enviando requisição de login</t>
  </si>
  <si>
    <t>2016-10-03_18:25 - Login realizado. SessionID capturado: 68411083__B025AE89-89D6-49D1-94F4-7CC746AA8215</t>
  </si>
  <si>
    <t>2016-10-03_18:25 - Chamando mensagem de requisição</t>
  </si>
  <si>
    <t>2016-10-03_18:25 - Capturando resultado final</t>
  </si>
  <si>
    <t>2016-10-03_18:25 - Efetuando logout</t>
  </si>
  <si>
    <t>2016-10-03_18:25 - Logout realizado</t>
  </si>
  <si>
    <t>2016-10-03_18:25 - -------------Fim da exportação transações de projeto-------------</t>
  </si>
  <si>
    <t>2016-10-03_18:25 - Arquivo xog sendo gravado em: C:\xog_tecban\xog_costplan_20161003_182512.xml</t>
  </si>
  <si>
    <t>2016-10-03_18:28 - -------------Início da exportação transações de projeto-------------</t>
  </si>
  <si>
    <t>2016-10-03_18:28 - Arquivo xog sendo gravado em: C:\xog_tecban\xog_costplan_20161003_182851.xml</t>
  </si>
  <si>
    <t>2016-10-03_18:28 - Proxy identificado</t>
  </si>
  <si>
    <t>2016-10-03_18:28 - Ambiente selecionado: TEST</t>
  </si>
  <si>
    <t>2016-10-03_18:28 -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</si>
  <si>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2016-10-03_18:28 - Enviando requisição de login</t>
  </si>
  <si>
    <t>2016-10-03_18:28 - Login realizado. SessionID capturado: 68411084__FFB092CB-0C20-4E00-A3EA-315FC39B7970</t>
  </si>
  <si>
    <t>2016-10-03_18:28 - Chamando mensagem de requisição</t>
  </si>
  <si>
    <t>2016-10-03_18:28 - Capturando resultado final</t>
  </si>
  <si>
    <t>2016-10-03_18:28 - Efetuando logout</t>
  </si>
  <si>
    <t>2016-10-03_18:28 - Logout realizado</t>
  </si>
  <si>
    <t>2016-10-03_18:28 - -------------Fim da exportação transações de projeto-------------</t>
  </si>
  <si>
    <t>2016-10-03_18:28 - Arquivo xog sendo gravado em: C:\xog_tecban\xog_costplan_20161003_182858.xml</t>
  </si>
  <si>
    <t>2016-10-03_18:28 - Login realizado. SessionID capturado: 68411085__C9DEF87E-3E41-4D67-B023-E4EB69C58945</t>
  </si>
  <si>
    <t>2016-10-03_18:30 - Proxy identificado</t>
  </si>
  <si>
    <t>2016-10-03_18:30 - Ambiente selecionado: TEST</t>
  </si>
  <si>
    <t>2016-10-03_18:30 - Escrevendo tarefas...</t>
  </si>
  <si>
    <t>2016-10-03_18:30 - Escrevendo locais...</t>
  </si>
  <si>
    <t>2016-10-03_18:30 - Escrevendo períodos...</t>
  </si>
  <si>
    <t>2016-10-03_18:30 - Escrevendo fornecedores...</t>
  </si>
  <si>
    <t>2016-10-03_18:30 - Escrevendo departamentos...</t>
  </si>
  <si>
    <t>2016-10-03_18:30 - Escrevendo centros de custo...</t>
  </si>
  <si>
    <t>2016-10-03_18:30 - Escrevendo recursos e classes de transacao...</t>
  </si>
  <si>
    <t>2016-10-03_18:30 - Escrevendo classes de transacao...</t>
  </si>
  <si>
    <t>2016-10-03_18:31 - Escrevendo classes de transacao...</t>
  </si>
  <si>
    <t>2016-10-03_18:31 - Proxy identificado</t>
  </si>
  <si>
    <t>2016-10-03_18:31 - Ambiente selecionado: TEST</t>
  </si>
  <si>
    <t>2016-10-03_18:31 - Escrevendo tarefas...</t>
  </si>
  <si>
    <t>2016-10-03_18:31 - Escrevendo locais...</t>
  </si>
  <si>
    <t>2016-10-03_18:31 - Escrevendo períodos...</t>
  </si>
  <si>
    <t>2016-10-03_18:31 - Escrevendo fornecedores...</t>
  </si>
  <si>
    <t>2016-10-03_18:31 - Escrevendo departamentos...</t>
  </si>
  <si>
    <t>2016-10-03_18:31 - Escrevendo centros de custo...</t>
  </si>
  <si>
    <t>2016-10-03_18:31 - Escrevendo recursos e classes de transacao...</t>
  </si>
  <si>
    <t>CLASSE DE TRANSACAO</t>
  </si>
  <si>
    <t>ID CLASSE DE TRANSACAO</t>
  </si>
  <si>
    <t>TIPO TRANSACAO</t>
  </si>
  <si>
    <t>TIPO DE CUSTO</t>
  </si>
  <si>
    <t>ID TIPO DE CUSTO</t>
  </si>
  <si>
    <t>CLASSE DE RECURSO</t>
  </si>
  <si>
    <t>ID CLASSE RECURSO</t>
  </si>
  <si>
    <t>hm_q_classes_transacao</t>
  </si>
  <si>
    <t>hm_q_tipos_custo</t>
  </si>
  <si>
    <t>hm_q_classes_recurso</t>
  </si>
  <si>
    <t>2016-11-17_18:48 - Ambiente selecionado: TEST</t>
  </si>
  <si>
    <t>2016-11-17_18:56 - Ambiente selecionado: QAS</t>
  </si>
  <si>
    <t>2016-11-17_19:00 - Ambiente selecionado: QAS</t>
  </si>
  <si>
    <t>2016-11-17_19:00 - Escrevendo tarefas...</t>
  </si>
  <si>
    <t>2016-11-17_19:00 - Escrevendo locais...</t>
  </si>
  <si>
    <t>2016-11-17_19:00 - Escrevendo períodos...</t>
  </si>
  <si>
    <t>2016-11-17_19:00 - Escrevendo fornecedores...</t>
  </si>
  <si>
    <t>2016-11-17_19:00 - Escrevendo departamentos...</t>
  </si>
  <si>
    <t>2016-11-17_19:00 - Escrevendo centros de custo...</t>
  </si>
  <si>
    <t>2016-11-17_19:00 - Escrevendo recursos e classes de transacao...</t>
  </si>
  <si>
    <t>2016-11-17_19:00 - Escrevendo classes de transacao...</t>
  </si>
  <si>
    <t>2016-11-17_19:03 - Ambiente selecionado: QAS</t>
  </si>
  <si>
    <t>2016-11-17_19:03 - Escrevendo tarefas...</t>
  </si>
  <si>
    <t>2016-11-17_19:03 - Escrevendo locais...</t>
  </si>
  <si>
    <t>2016-11-17_19:03 - Escrevendo períodos...</t>
  </si>
  <si>
    <t>2016-11-17_19:03 - Escrevendo fornecedores...</t>
  </si>
  <si>
    <t>2016-11-17_19:03 - Escrevendo departamentos...</t>
  </si>
  <si>
    <t>2016-11-17_19:03 - Escrevendo centros de custo...</t>
  </si>
  <si>
    <t>2016-11-17_19:03 - Escrevendo recursos e classes de transacao...</t>
  </si>
  <si>
    <t>2016-11-17_19:03 - Escrevendo classes de transacao...</t>
  </si>
  <si>
    <t>2016-11-17_19:04 - Ambiente selecionado: QAS</t>
  </si>
  <si>
    <t>2016-11-17_19:04 - Escrevendo tarefas...</t>
  </si>
  <si>
    <t>2016-11-17_19:04 - Escrevendo locais...</t>
  </si>
  <si>
    <t>2016-11-17_19:04 - Escrevendo períodos...</t>
  </si>
  <si>
    <t>2016-11-17_19:04 - Escrevendo fornecedores...</t>
  </si>
  <si>
    <t>2016-11-17_19:04 - Escrevendo departamentos...</t>
  </si>
  <si>
    <t>2016-11-17_19:04 - Escrevendo centros de custo...</t>
  </si>
  <si>
    <t>2016-11-17_19:04 - Escrevendo recursos e classes de transacao...</t>
  </si>
  <si>
    <t>2016-11-17_19:04 - Escrevendo classes de transacao...</t>
  </si>
  <si>
    <t>2016-11-17_19:06 - Ambiente selecionado: QAS</t>
  </si>
  <si>
    <t>2016-11-17_19:06 - Escrevendo tarefas...</t>
  </si>
  <si>
    <t>2016-11-17_19:06 - Escrevendo locais...</t>
  </si>
  <si>
    <t>2016-11-17_19:06 - Escrevendo períodos...</t>
  </si>
  <si>
    <t>2016-11-17_19:06 - Escrevendo fornecedores...</t>
  </si>
  <si>
    <t>2016-11-17_19:06 - Escrevendo departamentos...</t>
  </si>
  <si>
    <t>2016-11-17_19:06 - Escrevendo centros de custo...</t>
  </si>
  <si>
    <t>2016-11-17_19:06 - Escrevendo recursos e classes de transacao...</t>
  </si>
  <si>
    <t>2016-11-17_19:06 - Escrevendo classes de transacao...</t>
  </si>
  <si>
    <t>2016-11-17_19:09 - Ambiente selecionado: QAS</t>
  </si>
  <si>
    <t>2016-11-17_19:09 - Escrevendo tarefas...</t>
  </si>
  <si>
    <t>2016-11-17_19:09 - Escrevendo locais...</t>
  </si>
  <si>
    <t>2016-11-17_19:09 - Escrevendo períodos...</t>
  </si>
  <si>
    <t>2016-11-17_19:09 - Escrevendo fornecedores...</t>
  </si>
  <si>
    <t>2016-11-17_19:09 - Escrevendo departamentos...</t>
  </si>
  <si>
    <t>2016-11-17_19:09 - Escrevendo centros de custo...</t>
  </si>
  <si>
    <t>2016-11-17_19:09 - Escrevendo recursos e classes de transacao...</t>
  </si>
  <si>
    <t>2016-11-17_19:09 - Escrevendo classes de transacao...</t>
  </si>
  <si>
    <t>2016-11-17_19:12 - Ambiente selecionado: QAS</t>
  </si>
  <si>
    <t>2016-11-17_19:12 - Escrevendo tarefas...</t>
  </si>
  <si>
    <t>2016-11-17_19:12 - Escrevendo locais...</t>
  </si>
  <si>
    <t>2016-11-17_19:12 - Escrevendo períodos...</t>
  </si>
  <si>
    <t>2016-11-17_19:12 - Escrevendo fornecedores...</t>
  </si>
  <si>
    <t>2016-11-17_19:12 - Escrevendo departamentos...</t>
  </si>
  <si>
    <t>2016-11-17_19:12 - Escrevendo centros de custo...</t>
  </si>
  <si>
    <t>2016-11-17_19:12 - Escrevendo recursos e classes de transacao...</t>
  </si>
  <si>
    <t>2016-11-17_19:12 - Escrevendo classes de transacao...</t>
  </si>
  <si>
    <t>2016-11-17_19:13 - Ambiente selecionado: QAS</t>
  </si>
  <si>
    <t>2016-11-17_19:13 - Escrevendo tarefas...</t>
  </si>
  <si>
    <t>2016-11-17_19:13 - Escrevendo locais...</t>
  </si>
  <si>
    <t>2016-11-17_19:13 - Escrevendo períodos...</t>
  </si>
  <si>
    <t>2016-11-17_19:13 - Escrevendo fornecedores...</t>
  </si>
  <si>
    <t>2016-11-17_19:13 - Escrevendo departamentos...</t>
  </si>
  <si>
    <t>2016-11-17_19:13 - Escrevendo centros de custo...</t>
  </si>
  <si>
    <t>2016-11-17_19:13 - Escrevendo recursos e classes de transacao...</t>
  </si>
  <si>
    <t>2016-11-17_19:13 - Escrevendo classes de transacao...</t>
  </si>
  <si>
    <t>2016-11-17_19:25 - Ambiente selecionado: QAS</t>
  </si>
  <si>
    <t>2016-11-17_19:25 - Escrevendo tarefas...</t>
  </si>
  <si>
    <t>2016-11-17_19:25 - Escrevendo locais...</t>
  </si>
  <si>
    <t>2016-11-17_19:25 - Escrevendo períodos...</t>
  </si>
  <si>
    <t>2016-11-17_19:25 - Escrevendo fornecedores...</t>
  </si>
  <si>
    <t>2016-11-17_19:25 - Escrevendo departamentos...</t>
  </si>
  <si>
    <t>2016-11-17_19:25 - Escrevendo centros de custo...</t>
  </si>
  <si>
    <t>2016-11-17_19:25 - Escrevendo recursos e classes de transacao...</t>
  </si>
  <si>
    <t>2016-11-17_19:25 - Escrevendo classes de transacao...</t>
  </si>
  <si>
    <t>ID_TIPO</t>
  </si>
  <si>
    <t>2016-11-17_19:39 - -------------Início da exportação transações de projeto-------------</t>
  </si>
  <si>
    <t>2016-11-17_19:39 - Arquivo xog sendo gravado em: C:\xog_hypermarcas\xog_costplan_20161117_193905.xml</t>
  </si>
  <si>
    <t>2016-11-17_19:45 - -------------Início da exportação transações de projeto-------------</t>
  </si>
  <si>
    <t>2016-11-17_19:45 - Arquivo xog sendo gravado em: C:\xog_hypermarcas\xog_costplan_20161117_194545.xml</t>
  </si>
  <si>
    <t>2016-11-17_19:56 - -------------Início da exportação transações de projeto-------------</t>
  </si>
  <si>
    <t>2016-11-17_19:56 - Arquivo xog sendo gravado em: C:\xog_hypermarcas\xog_costplan_20161117_195626.xml</t>
  </si>
  <si>
    <t>2016-11-17_19:59 - -------------Início da exportação transações de projeto-------------</t>
  </si>
  <si>
    <t>2016-11-17_19:59 - Arquivo xog sendo gravado em: C:\xog_hypermarcas\xog_costplan_20161117_195911.xml</t>
  </si>
  <si>
    <t>2016-11-17_19:59 - Arquivo xog sendo gravado em: C:\xog_hypermarcas\xog_costplan_20161117_195931.xml</t>
  </si>
  <si>
    <t>2016-11-17_20:00 - -------------Início da exportação transações de projeto-------------</t>
  </si>
  <si>
    <t>2016-11-17_20:00 - Arquivo xog sendo gravado em: C:\xog_hypermarcas\xog_costplan_20161117_200029.xml</t>
  </si>
  <si>
    <t>2016-11-17_20:02 - -------------Início da exportação transações de projeto-------------</t>
  </si>
  <si>
    <t>2016-11-17_20:02 - Arquivo xog sendo gravado em: C:\xog_hypermarcas\xog_costplan_20161117_200220.xml</t>
  </si>
  <si>
    <t>2016-11-17_20:04 - -------------Início da exportação transações de projeto-------------</t>
  </si>
  <si>
    <t>2016-11-17_20:04 - Arquivo xog sendo gravado em: C:\xog_hypermarcas\xog_costplan_20161117_200406.xml</t>
  </si>
  <si>
    <t>2016-11-17_20:11 - -------------Início da exportação transações de projeto-------------</t>
  </si>
  <si>
    <t>2016-11-17_20:11 - Arquivo xog sendo gravado em: C:\xog_hypermarcas\xog_costplan_20161117_201133.xml</t>
  </si>
  <si>
    <t>2016-11-17_20:12 - -------------Início da exportação transações de projeto-------------</t>
  </si>
  <si>
    <t>2016-11-17_20:12 - Arquivo xog sendo gravado em: C:\xog_hypermarcas\xog_costplan_20161117_201211.xml</t>
  </si>
  <si>
    <t>2016-11-17_20:12 - -------------Fim da exportação transações de projeto-------------</t>
  </si>
  <si>
    <t>2016-11-17_20:21 - -------------Início da exportação transações de projeto-------------</t>
  </si>
  <si>
    <t>2016-11-17_20:21 - Arquivo xog sendo gravado em: C:\xog_hypermarcas\xog_costplan_20161117_202108.xml</t>
  </si>
  <si>
    <t>2016-11-17_20:21 - Ambiente selecionado: QAS</t>
  </si>
  <si>
    <t>2016-11-17_20:21 -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</si>
  <si>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2016-11-17_20:21 - Enviando requisição de login</t>
  </si>
  <si>
    <t>2016-11-17_20:21 - Login realizado. SessionID capturado: 15059644__C2BD8DA8-7F03-4663-916E-2E3B02793D63</t>
  </si>
  <si>
    <t>2016-11-17_20:21 - Chamando mensagem de requisição</t>
  </si>
  <si>
    <t>2016-11-17_20:21 - Capturando resultado final</t>
  </si>
  <si>
    <t>2016-11-17_20:21 - Efetuando logout</t>
  </si>
  <si>
    <t>2016-11-17_20:21 - Logout realizado</t>
  </si>
  <si>
    <t>2016-11-17_20:21 - -------------Fim da exportação transações de projeto-------------</t>
  </si>
  <si>
    <t>2016-11-17_20:21 - Arquivo xog sendo gravado em: C:\xog_hypermarcas\xog_costplan_20161117_202114.xml</t>
  </si>
  <si>
    <t>2016-11-17_20:21 - Login realizado. SessionID capturado: 15059647__1035D2A2-E06C-4097-8B65-82905D1D1F85</t>
  </si>
  <si>
    <t>2016-11-17_20:24 - -------------Início da exportação transações de projeto-------------</t>
  </si>
  <si>
    <t>2016-11-17_20:24 - Arquivo xog sendo gravado em: C:\xog_hypermarcas\xog_costplan_20161117_202440.xml</t>
  </si>
  <si>
    <t>2016-11-17_20:24 - Ambiente selecionado: QAS</t>
  </si>
  <si>
    <t>2016-11-17_20:24 -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</si>
  <si>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2016-11-17_20:24 - Enviando requisição de login</t>
  </si>
  <si>
    <t>2016-11-17_20:24 - Login realizado. SessionID capturado: 15059655__F590D257-2CC6-4B30-8D3C-39F64007427D</t>
  </si>
  <si>
    <t>2016-11-17_20:24 - Chamando mensagem de requisição</t>
  </si>
  <si>
    <t>2016-11-17_20:24 - Capturando resultado final</t>
  </si>
  <si>
    <t>2016-11-17_20:24 - Efetuando logout</t>
  </si>
  <si>
    <t>2016-11-17_20:24 - Logout realizado</t>
  </si>
  <si>
    <t>2016-11-17_20:24 - -------------Fim da exportação transações de projeto-------------</t>
  </si>
  <si>
    <t>2016-11-17_20:24 - Arquivo xog sendo gravado em: C:\xog_hypermarcas\xog_costplan_20161117_202445.xml</t>
  </si>
  <si>
    <t>2016-11-17_20:24 - Login realizado. SessionID capturado: 15059656__FC8864F6-A3E8-4A56-861E-9B9791FD827D</t>
  </si>
  <si>
    <t>2016-11-17_20:27 - -------------Início da exportação transações de projeto-------------</t>
  </si>
  <si>
    <t>2016-11-17_20:27 - Arquivo xog sendo gravado em: C:\xog_hypermarcas\xog_costplan_20161117_202750.xml</t>
  </si>
  <si>
    <t>2016-11-17_20:27 - Ambiente selecionado: QAS</t>
  </si>
  <si>
    <t>2016-11-17_20:27 -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</si>
  <si>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2016-11-17_20:27 - Enviando requisição de login</t>
  </si>
  <si>
    <t>2016-11-17_20:27 - Login realizado. SessionID capturado: 15059664__EA67744C-9DF0-48B7-BD97-31D2E7CAABE6</t>
  </si>
  <si>
    <t>2016-11-17_20:27 - Chamando mensagem de requisição</t>
  </si>
  <si>
    <t>2016-11-17_20:27 - Capturando resultado final</t>
  </si>
  <si>
    <t>2016-11-17_20:27 - Efetuando logout</t>
  </si>
  <si>
    <t>2016-11-17_20:27 - Logout realizado</t>
  </si>
  <si>
    <t>2016-11-17_20:27 - -------------Fim da exportação transações de projeto-------------</t>
  </si>
  <si>
    <t>2016-11-17_20:27 - Arquivo xog sendo gravado em: C:\xog_hypermarcas\xog_costplan_20161117_202756.xml</t>
  </si>
  <si>
    <t>2016-11-17_20:27 - Login realizado. SessionID capturado: 15059665__ED7B5ACD-A216-4631-85CE-9C9488A5225A</t>
  </si>
  <si>
    <t>2016-11-17_20:32 - -------------Início da exportação transações de projeto-------------</t>
  </si>
  <si>
    <t>2016-11-17_20:32 - Arquivo xog sendo gravado em: C:\xog_hypermarcas\xog_costplan_20161117_203207.xml</t>
  </si>
  <si>
    <t>2016-11-17_20:32 - Ambiente selecionado: QAS</t>
  </si>
  <si>
    <t>2016-11-17_20:32 -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</si>
  <si>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2016-11-17_20:32 - Enviando requisição de login</t>
  </si>
  <si>
    <t>2016-11-17_20:32 - Login realizado. SessionID capturado: 15059677__F9CDF2E9-B62B-450B-8715-4C2146428717</t>
  </si>
  <si>
    <t>2016-11-17_20:32 - Chamando mensagem de requisição</t>
  </si>
  <si>
    <t>2016-11-17_20:32 - Capturando resultado final</t>
  </si>
  <si>
    <t>2016-11-17_20:32 - Efetuando logout</t>
  </si>
  <si>
    <t>2016-11-17_20:32 - Logout realizado</t>
  </si>
  <si>
    <t>2016-11-17_20:32 - -------------Fim da exportação transações de projeto-------------</t>
  </si>
  <si>
    <t>2016-11-17_20:32 - Arquivo xog sendo gravado em: C:\xog_hypermarcas\xog_costplan_20161117_203213.xml</t>
  </si>
  <si>
    <t>2016-11-17_20:32 - Login realizado. SessionID capturado: 15059678__031315C1-9B4B-4F91-AFAE-7EB08F86D6D5</t>
  </si>
  <si>
    <t>2016-11-17_20:34 - -------------Início da exportação transações de projeto-------------</t>
  </si>
  <si>
    <t>2016-11-17_20:34 - Arquivo xog sendo gravado em: C:\xog_hypermarcas\xog_costplan_20161117_203405.xml</t>
  </si>
  <si>
    <t>2016-11-17_20:34 - Ambiente selecionado: QAS</t>
  </si>
  <si>
    <t>2016-11-17_20:34 -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</si>
  <si>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2016-11-17_20:34 - Enviando requisição de login</t>
  </si>
  <si>
    <t>2016-11-17_20:34 - Login realizado. SessionID capturado: 15059685__51451EC3-5257-4FF9-B40E-4365BCAB03FD</t>
  </si>
  <si>
    <t>2016-11-17_20:34 - Chamando mensagem de requisição</t>
  </si>
  <si>
    <t>2016-11-17_20:34 - Capturando resultado final</t>
  </si>
  <si>
    <t>2016-11-17_20:34 - Efetuando logout</t>
  </si>
  <si>
    <t>2016-11-17_20:34 - Logout realizado</t>
  </si>
  <si>
    <t>2016-11-17_20:34 - -------------Fim da exportação transações de projeto-------------</t>
  </si>
  <si>
    <t>2016-11-17_20:34 - Arquivo xog sendo gravado em: C:\xog_hypermarcas\xog_costplan_20161117_203411.xml</t>
  </si>
  <si>
    <t>2016-11-17_20:34 - Login realizado. SessionID capturado: 15059686__9E6BE99A-C0F7-44B5-97FC-7038EA85F4D4</t>
  </si>
  <si>
    <t>2016-11-17_20:44 - -------------Início da exportação transações de projeto-------------</t>
  </si>
  <si>
    <t>2016-11-17_20:44 - Arquivo xog sendo gravado em: C:\xog_hypermarcas\xog_costplan_20161117_204416.xml</t>
  </si>
  <si>
    <t>2016-11-17_20:44 - Ambiente selecionado: QAS</t>
  </si>
  <si>
    <t>2016-11-17_20:44 -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</si>
  <si>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2016-11-17_20:44 - Enviando requisição de login</t>
  </si>
  <si>
    <t>2016-11-17_20:44 - Login realizado. SessionID capturado: 15059709__048CE01E-9517-4ED5-BF57-AC5A48D6A311</t>
  </si>
  <si>
    <t>2016-11-17_20:44 - Chamando mensagem de requisição</t>
  </si>
  <si>
    <t>2016-11-17_20:44 - Capturando resultado final</t>
  </si>
  <si>
    <t>2016-11-17_20:44 - Efetuando logout</t>
  </si>
  <si>
    <t>2016-11-17_20:44 - Logout realizado</t>
  </si>
  <si>
    <t>2016-11-17_20:44 - -------------Fim da exportação transações de projeto-------------</t>
  </si>
  <si>
    <t>2016-11-17_20:44 - Arquivo xog sendo gravado em: C:\xog_hypermarcas\xog_costplan_20161117_204422.xml</t>
  </si>
  <si>
    <t>2016-11-17_20:44 - Login realizado. SessionID capturado: 15059712__44876FC4-67AB-485C-9DFA-748EF4536192</t>
  </si>
  <si>
    <t>2016-11-17_20:46 - -------------Início da exportação transações de projeto-------------</t>
  </si>
  <si>
    <t>2016-11-17_20:46 - Arquivo xog sendo gravado em: C:\xog_hypermarcas\xog_costplan_20161117_204649.xml</t>
  </si>
  <si>
    <t>2016-11-17_20:46 - Ambiente selecionado: QAS</t>
  </si>
  <si>
    <t>2016-11-17_20:46 -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</si>
  <si>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2016-11-17_20:46 - Enviando requisição de login</t>
  </si>
  <si>
    <t>2016-11-17_20:46 - Login realizado. SessionID capturado: 15059718__9C3EE985-B32C-4A15-9D65-918ED0D8C8C3</t>
  </si>
  <si>
    <t>2016-11-17_20:46 - Chamando mensagem de requisição</t>
  </si>
  <si>
    <t>2016-11-17_20:46 - Capturando resultado final</t>
  </si>
  <si>
    <t>2016-11-17_20:46 - Efetuando logout</t>
  </si>
  <si>
    <t>2016-11-17_20:46 - Logout realizado</t>
  </si>
  <si>
    <t>2016-11-17_20:46 - -------------Fim da exportação transações de projeto-------------</t>
  </si>
  <si>
    <t>2016-11-17_20:56 - -------------Início da exportação transações de projeto-------------</t>
  </si>
  <si>
    <t>2016-11-17_20:56 - Arquivo xog sendo gravado em: C:\xog_hypermarcas\xog_costplan_20161117_205625.xml</t>
  </si>
  <si>
    <t>2016-11-17_20:56 - Ambiente selecionado: QAS</t>
  </si>
  <si>
    <t>2016-11-17_20:56 -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</si>
  <si>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2016-11-17_20:56 - Enviando requisição de login</t>
  </si>
  <si>
    <t>2016-11-17_20:56 - Login realizado. SessionID capturado: 15059739__86F62F36-212C-4B18-A224-5EE8D42DD811</t>
  </si>
  <si>
    <t>2016-11-17_20:56 - Chamando mensagem de requisição</t>
  </si>
  <si>
    <t>2016-11-17_20:56 - Capturando resultado final</t>
  </si>
  <si>
    <t>2016-11-17_20:56 - Efetuando logout</t>
  </si>
  <si>
    <t>2016-11-17_20:56 - Logout realizado</t>
  </si>
  <si>
    <t>2016-11-17_20:56 - -------------Fim da exportação transações de projeto-------------</t>
  </si>
  <si>
    <t>2016-11-18_10:20 - Ambiente selecionado: QAS</t>
  </si>
  <si>
    <t>2016-11-18_10:20 - Escrevendo tarefas...</t>
  </si>
  <si>
    <t>2016-11-18_10:20 - Escrevendo locais...</t>
  </si>
  <si>
    <t>2016-11-18_10:20 - Escrevendo períodos...</t>
  </si>
  <si>
    <t>2016-11-18_10:20 - Escrevendo fornecedores...</t>
  </si>
  <si>
    <t>2016-11-18_10:20 - Escrevendo departamentos...</t>
  </si>
  <si>
    <t>2016-11-18_10:20 - Escrevendo centros de custo...</t>
  </si>
  <si>
    <t>2016-11-18_10:20 - Escrevendo recursos e classes de transacao...</t>
  </si>
  <si>
    <t>2016-11-18_10:20 - Escrevendo classes de transacao...</t>
  </si>
  <si>
    <t>2016-11-18_10:23 - Ambiente selecionado: QAS</t>
  </si>
  <si>
    <t>2016-11-18_10:23 - Escrevendo tarefas...</t>
  </si>
  <si>
    <t>2016-11-18_10:23 - Escrevendo locais...</t>
  </si>
  <si>
    <t>2016-11-18_10:23 - Escrevendo períodos...</t>
  </si>
  <si>
    <t>2016-11-18_10:23 - Escrevendo fornecedores...</t>
  </si>
  <si>
    <t>2016-11-18_10:23 - Escrevendo departamentos...</t>
  </si>
  <si>
    <t>2016-11-18_10:23 - Escrevendo centros de custo...</t>
  </si>
  <si>
    <t>2016-11-18_10:23 - Escrevendo recursos e classes de transacao...</t>
  </si>
  <si>
    <t>2016-11-18_10:23 - Escrevendo classes de transacao...</t>
  </si>
  <si>
    <t>2016-11-18_10:24 - Ambiente selecionado: QAS</t>
  </si>
  <si>
    <t>2016-11-18_10:24 - Escrevendo tarefas...</t>
  </si>
  <si>
    <t>2016-11-18_10:24 - Escrevendo locais...</t>
  </si>
  <si>
    <t>2016-11-18_10:24 - Escrevendo períodos...</t>
  </si>
  <si>
    <t>2016-11-18_10:24 - Escrevendo fornecedores...</t>
  </si>
  <si>
    <t>2016-11-18_10:24 - Escrevendo departamentos...</t>
  </si>
  <si>
    <t>2016-11-18_10:24 - Escrevendo centros de custo...</t>
  </si>
  <si>
    <t>2016-11-18_10:24 - Escrevendo recursos e classes de transacao...</t>
  </si>
  <si>
    <t>2016-11-18_10:24 - Escrevendo classes de transacao...</t>
  </si>
  <si>
    <t>2016-11-18_10:25 - Escrevendo classes de transacao...</t>
  </si>
  <si>
    <t>2016-11-18_10:25 - Ambiente selecionado: QAS</t>
  </si>
  <si>
    <t>2016-11-18_10:25 - Escrevendo tarefas...</t>
  </si>
  <si>
    <t>2016-11-18_10:25 - Escrevendo locais...</t>
  </si>
  <si>
    <t>2016-11-18_10:25 - Escrevendo períodos...</t>
  </si>
  <si>
    <t>2016-11-18_10:25 - Escrevendo fornecedores...</t>
  </si>
  <si>
    <t>2016-11-18_10:25 - Escrevendo departamentos...</t>
  </si>
  <si>
    <t>2016-11-18_10:25 - Escrevendo centros de custo...</t>
  </si>
  <si>
    <t>2016-11-18_10:25 - Escrevendo recursos e classes de transacao...</t>
  </si>
  <si>
    <t>2016-11-18_10:27 - Ambiente selecionado: QAS</t>
  </si>
  <si>
    <t>2016-11-18_10:27 - Escrevendo tarefas...</t>
  </si>
  <si>
    <t>2016-11-18_10:27 - Escrevendo locais...</t>
  </si>
  <si>
    <t>2016-11-18_10:27 - Escrevendo períodos...</t>
  </si>
  <si>
    <t>2016-11-18_10:27 - Escrevendo fornecedores...</t>
  </si>
  <si>
    <t>2016-11-18_10:27 - Escrevendo departamentos...</t>
  </si>
  <si>
    <t>2016-11-18_10:27 - Escrevendo centros de custo...</t>
  </si>
  <si>
    <t>2016-11-18_10:27 - Escrevendo recursos e classes de transacao...</t>
  </si>
  <si>
    <t>2016-11-18_10:27 - Escrevendo classes de transacao...</t>
  </si>
  <si>
    <t>INVESTIMENTO</t>
  </si>
  <si>
    <t>2016-11-18_11:58 - -------------Início da exportação transações de projeto-------------</t>
  </si>
  <si>
    <t>2016-11-18_11:58 - Arquivo xog sendo gravado em: C:\xog_hypermarcas\xog_transaction_20161118_115843.xml</t>
  </si>
  <si>
    <t>2016-11-18_11:59 - -------------Início da exportação transações de projeto-------------</t>
  </si>
  <si>
    <t>2016-11-18_11:59 - Arquivo xog sendo gravado em: C:\xog_hypermarcas\xog_transaction_20161118_115938.xml</t>
  </si>
  <si>
    <t>2016-11-18_12:01 - -------------Início da exportação transações de projeto-------------</t>
  </si>
  <si>
    <t>2016-11-18_12:01 - Arquivo xog sendo gravado em: C:\xog_hypermarcas\xog_transaction_20161118_120120.xml</t>
  </si>
  <si>
    <t>2016-11-18_12:02 - -------------Início da exportação transações de projeto-------------</t>
  </si>
  <si>
    <t>2016-11-18_12:02 - Arquivo xog sendo gravado em: C:\xog_hypermarcas\xog_transaction_20161118_120232.xml</t>
  </si>
  <si>
    <t>2016-11-18_12:03 - -------------Início da exportação transações de projeto-------------</t>
  </si>
  <si>
    <t>2016-11-18_12:03 - Arquivo xog sendo gravado em: C:\xog_hypermarcas\xog_transaction_20161118_120316.xml</t>
  </si>
  <si>
    <t>2016-11-18_14:48 - -------------Início da exportação transações de projeto-------------</t>
  </si>
  <si>
    <t>2016-11-18_14:48 - Arquivo xog sendo gravado em: C:\xog_hypermarcas\xog_transaction_20161118_144833.xml</t>
  </si>
  <si>
    <t>TASK NAME</t>
  </si>
  <si>
    <t>TASK ID</t>
  </si>
  <si>
    <t>2016-11-18_14:57 - Ambiente selecionado: QAS</t>
  </si>
  <si>
    <t>2016-11-18_14:57 - Escrevendo tarefas...</t>
  </si>
  <si>
    <t>2016-11-18_14:57 - Escrevendo locais...</t>
  </si>
  <si>
    <t>2016-11-18_14:57 - Escrevendo períodos...</t>
  </si>
  <si>
    <t>2016-11-18_14:57 - Escrevendo fornecedores...</t>
  </si>
  <si>
    <t>2016-11-18_14:57 - Escrevendo departamentos...</t>
  </si>
  <si>
    <t>2016-11-18_14:57 - Escrevendo centros de custo...</t>
  </si>
  <si>
    <t>2016-11-18_14:57 - Escrevendo recursos e classes de transacao...</t>
  </si>
  <si>
    <t>2016-11-18_14:57 - Escrevendo classes de transacao...</t>
  </si>
  <si>
    <t>2016-11-18_14:59 - Ambiente selecionado: QAS</t>
  </si>
  <si>
    <t>2016-11-18_14:59 - Escrevendo tarefas...</t>
  </si>
  <si>
    <t>2016-11-18_14:59 - Escrevendo locais...</t>
  </si>
  <si>
    <t>2016-11-18_14:59 - Escrevendo períodos...</t>
  </si>
  <si>
    <t>2016-11-18_14:59 - Escrevendo fornecedores...</t>
  </si>
  <si>
    <t>2016-11-18_14:59 - Escrevendo departamentos...</t>
  </si>
  <si>
    <t>2016-11-18_14:59 - Escrevendo centros de custo...</t>
  </si>
  <si>
    <t>2016-11-18_14:59 - Escrevendo recursos e classes de transacao...</t>
  </si>
  <si>
    <t>2016-11-18_14:59 - Escrevendo classes de transacao...</t>
  </si>
  <si>
    <t>2016-11-18_15:01 - Ambiente selecionado: QAS</t>
  </si>
  <si>
    <t>2016-11-18_15:01 - Escrevendo tarefas...</t>
  </si>
  <si>
    <t>2016-11-18_15:01 - Escrevendo locais...</t>
  </si>
  <si>
    <t>2016-11-18_15:01 - Escrevendo períodos...</t>
  </si>
  <si>
    <t>2016-11-18_15:01 - Escrevendo fornecedores...</t>
  </si>
  <si>
    <t>2016-11-18_15:01 - Escrevendo departamentos...</t>
  </si>
  <si>
    <t>2016-11-18_15:01 - Escrevendo centros de custo...</t>
  </si>
  <si>
    <t>2016-11-18_15:01 - Escrevendo recursos e classes de transacao...</t>
  </si>
  <si>
    <t>2016-11-18_15:01 - Escrevendo classes de transacao...</t>
  </si>
  <si>
    <t>2016-11-18_15:02 - Escrevendo classes de transacao...</t>
  </si>
  <si>
    <t>2016-11-18_15:02 - Ambiente selecionado: QAS</t>
  </si>
  <si>
    <t>2016-11-18_15:02 - Escrevendo tarefas...</t>
  </si>
  <si>
    <t>2016-11-18_15:02 - Escrevendo locais...</t>
  </si>
  <si>
    <t>2016-11-18_15:02 - Escrevendo períodos...</t>
  </si>
  <si>
    <t>2016-11-18_15:02 - Escrevendo fornecedores...</t>
  </si>
  <si>
    <t>2016-11-18_15:02 - Escrevendo departamentos...</t>
  </si>
  <si>
    <t>2016-11-18_15:02 - Escrevendo centros de custo...</t>
  </si>
  <si>
    <t>2016-11-18_15:02 - Escrevendo recursos e classes de transacao...</t>
  </si>
  <si>
    <t>2016-11-18_15:05 - Ambiente selecionado: QAS</t>
  </si>
  <si>
    <t>2016-11-18_15:05 - Escrevendo tarefas...</t>
  </si>
  <si>
    <t>2016-11-18_15:05 - Escrevendo locais...</t>
  </si>
  <si>
    <t>2016-11-18_15:05 - Escrevendo períodos...</t>
  </si>
  <si>
    <t>2016-11-18_15:05 - Escrevendo fornecedores...</t>
  </si>
  <si>
    <t>2016-11-18_15:05 - Escrevendo departamentos...</t>
  </si>
  <si>
    <t>2016-11-18_15:05 - Escrevendo centros de custo...</t>
  </si>
  <si>
    <t>2016-11-18_15:05 - Escrevendo recursos e classes de transacao...</t>
  </si>
  <si>
    <t>2016-11-18_15:05 - Escrevendo classes de transacao...</t>
  </si>
  <si>
    <t>2016-11-18_15:07 - Ambiente selecionado: QAS</t>
  </si>
  <si>
    <t>2016-11-18_15:07 - Escrevendo tarefas...</t>
  </si>
  <si>
    <t>2016-11-18_15:07 - Escrevendo locais...</t>
  </si>
  <si>
    <t>2016-11-18_15:07 - Escrevendo períodos...</t>
  </si>
  <si>
    <t>2016-11-18_15:07 - Escrevendo fornecedores...</t>
  </si>
  <si>
    <t>2016-11-18_15:07 - Escrevendo departamentos...</t>
  </si>
  <si>
    <t>2016-11-18_15:07 - Escrevendo centros de custo...</t>
  </si>
  <si>
    <t>2016-11-18_15:07 - Escrevendo recursos e classes de transacao...</t>
  </si>
  <si>
    <t>2016-11-18_15:07 - Escrevendo classes de transacao...</t>
  </si>
  <si>
    <t>2016-11-18_15:09 - Ambiente selecionado: QAS</t>
  </si>
  <si>
    <t>2016-11-18_15:09 - Escrevendo tarefas...</t>
  </si>
  <si>
    <t>2016-11-18_15:09 - Escrevendo locais...</t>
  </si>
  <si>
    <t>2016-11-18_15:09 - Escrevendo períodos...</t>
  </si>
  <si>
    <t>2016-11-18_15:09 - Escrevendo fornecedores...</t>
  </si>
  <si>
    <t>2016-11-18_15:09 - Escrevendo departamentos...</t>
  </si>
  <si>
    <t>2016-11-18_15:09 - Escrevendo centros de custo...</t>
  </si>
  <si>
    <t>2016-11-18_15:09 - Escrevendo recursos e classes de transacao...</t>
  </si>
  <si>
    <t>2016-11-18_15:09 - Escrevendo classes de transacao...</t>
  </si>
  <si>
    <t>2016-11-18_15:10 - Ambiente selecionado: QAS</t>
  </si>
  <si>
    <t>2016-11-18_15:10 - Escrevendo tarefas...</t>
  </si>
  <si>
    <t>2016-11-18_15:10 - Escrevendo locais...</t>
  </si>
  <si>
    <t>2016-11-18_15:10 - Escrevendo períodos...</t>
  </si>
  <si>
    <t>2016-11-18_15:10 - Escrevendo fornecedores...</t>
  </si>
  <si>
    <t>2016-11-18_15:10 - Escrevendo departamentos...</t>
  </si>
  <si>
    <t>2016-11-18_15:10 - Escrevendo centros de custo...</t>
  </si>
  <si>
    <t>2016-11-18_15:10 - Escrevendo recursos e classes de transacao...</t>
  </si>
  <si>
    <t>2016-11-18_15:10 - Escrevendo classes de transacao...</t>
  </si>
  <si>
    <t>2016-11-18_15:11 - Escrevendo classes de transacao...</t>
  </si>
  <si>
    <t>2016-11-18_15:11 - Ambiente selecionado: QAS</t>
  </si>
  <si>
    <t>2016-11-18_15:11 - Escrevendo tarefas...</t>
  </si>
  <si>
    <t>2016-11-18_15:11 - Escrevendo locais...</t>
  </si>
  <si>
    <t>2016-11-18_15:11 - Escrevendo períodos...</t>
  </si>
  <si>
    <t>2016-11-18_15:11 - Escrevendo fornecedores...</t>
  </si>
  <si>
    <t>2016-11-18_15:11 - Escrevendo departamentos...</t>
  </si>
  <si>
    <t>2016-11-18_15:11 - Escrevendo centros de custo...</t>
  </si>
  <si>
    <t>2016-11-18_15:11 - Escrevendo recursos e classes de transacao...</t>
  </si>
  <si>
    <t>2016-11-18_15:13 - Ambiente selecionado: QAS</t>
  </si>
  <si>
    <t>2016-11-18_15:13 - Escrevendo tarefas...</t>
  </si>
  <si>
    <t>2016-11-18_15:13 - Escrevendo locais...</t>
  </si>
  <si>
    <t>2016-11-18_15:13 - Escrevendo períodos...</t>
  </si>
  <si>
    <t>2016-11-18_15:13 - Escrevendo fornecedores...</t>
  </si>
  <si>
    <t>2016-11-18_15:13 - Escrevendo departamentos...</t>
  </si>
  <si>
    <t>2016-11-18_15:13 - Escrevendo centros de custo...</t>
  </si>
  <si>
    <t>2016-11-18_15:13 - Escrevendo recursos e classes de transacao...</t>
  </si>
  <si>
    <t>2016-11-18_15:13 - Escrevendo classes de transacao...</t>
  </si>
  <si>
    <t>2016-11-18_15:14 - Ambiente selecionado: QAS</t>
  </si>
  <si>
    <t>2016-11-18_15:14 - Escrevendo tarefas...</t>
  </si>
  <si>
    <t>2016-11-18_15:14 - Escrevendo locais...</t>
  </si>
  <si>
    <t>2016-11-18_15:14 - Escrevendo períodos...</t>
  </si>
  <si>
    <t>2016-11-18_15:14 - Escrevendo fornecedores...</t>
  </si>
  <si>
    <t>2016-11-18_15:14 - Escrevendo departamentos...</t>
  </si>
  <si>
    <t>2016-11-18_15:14 - Escrevendo centros de custo...</t>
  </si>
  <si>
    <t>2016-11-18_15:14 - Escrevendo recursos e classes de transacao...</t>
  </si>
  <si>
    <t>2016-11-18_15:14 - Escrevendo classes de transacao...</t>
  </si>
  <si>
    <t>2016-11-18_15:15 - Ambiente selecionado: QAS</t>
  </si>
  <si>
    <t>2016-11-18_15:15 - Escrevendo tarefas...</t>
  </si>
  <si>
    <t>2016-11-18_15:15 - Escrevendo locais...</t>
  </si>
  <si>
    <t>2016-11-18_15:15 - Escrevendo períodos...</t>
  </si>
  <si>
    <t>2016-11-18_15:15 - Escrevendo fornecedores...</t>
  </si>
  <si>
    <t>2016-11-18_15:15 - Escrevendo departamentos...</t>
  </si>
  <si>
    <t>2016-11-18_15:15 - Escrevendo centros de custo...</t>
  </si>
  <si>
    <t>2016-11-18_15:15 - Escrevendo recursos e classes de transacao...</t>
  </si>
  <si>
    <t>2016-11-18_15:15 - Escrevendo classes de transacao...</t>
  </si>
  <si>
    <t>2016-11-18_15:16 - Ambiente selecionado: QAS</t>
  </si>
  <si>
    <t>2016-11-18_15:16 - Escrevendo tarefas...</t>
  </si>
  <si>
    <t>2016-11-18_15:16 - Escrevendo locais...</t>
  </si>
  <si>
    <t>2016-11-18_15:16 - Escrevendo períodos...</t>
  </si>
  <si>
    <t>2016-11-18_15:16 - Escrevendo fornecedores...</t>
  </si>
  <si>
    <t>2016-11-18_15:16 - Escrevendo departamentos...</t>
  </si>
  <si>
    <t>2016-11-18_15:16 - Escrevendo centros de custo...</t>
  </si>
  <si>
    <t>2016-11-18_15:16 - Escrevendo recursos e classes de transacao...</t>
  </si>
  <si>
    <t>2016-11-18_15:16 - Escrevendo classes de transacao...</t>
  </si>
  <si>
    <t>2016-11-18_15:18 - Ambiente selecionado: QAS</t>
  </si>
  <si>
    <t>2016-11-18_15:18 - Escrevendo tarefas...</t>
  </si>
  <si>
    <t>2016-11-18_15:18 - Escrevendo locais...</t>
  </si>
  <si>
    <t>2016-11-18_15:18 - Escrevendo períodos...</t>
  </si>
  <si>
    <t>2016-11-18_15:18 - Escrevendo fornecedores...</t>
  </si>
  <si>
    <t>2016-11-18_15:18 - Escrevendo departamentos...</t>
  </si>
  <si>
    <t>2016-11-18_15:18 - Escrevendo centros de custo...</t>
  </si>
  <si>
    <t>2016-11-18_15:18 - Escrevendo recursos e classes de transacao...</t>
  </si>
  <si>
    <t>2016-11-18_15:18 - Escrevendo classes de transacao...</t>
  </si>
  <si>
    <t>2016-11-18_15:24 - Ambiente selecionado: QAS</t>
  </si>
  <si>
    <t>2016-11-18_15:24 - Escrevendo tarefas...</t>
  </si>
  <si>
    <t>2016-11-18_15:24 - Escrevendo locais...</t>
  </si>
  <si>
    <t>2016-11-18_15:24 - Escrevendo períodos...</t>
  </si>
  <si>
    <t>2016-11-18_15:24 - Escrevendo fornecedores...</t>
  </si>
  <si>
    <t>2016-11-18_15:24 - Escrevendo departamentos...</t>
  </si>
  <si>
    <t>2016-11-18_15:24 - Escrevendo centros de custo...</t>
  </si>
  <si>
    <t>2016-11-18_15:24 - Escrevendo recursos e classes de transacao...</t>
  </si>
  <si>
    <t>2016-11-18_15:24 - Escrevendo classes de transacao...</t>
  </si>
  <si>
    <t>2016-11-18_15:29 - -------------Início da exportação transações de projeto-------------</t>
  </si>
  <si>
    <t>2016-11-18_15:29 - Arquivo xog sendo gravado em: C:\xog_hypermarcas\xog_transaction_20161118_152920.xml</t>
  </si>
  <si>
    <t>2016-11-18_15:38 - -------------Início da exportação transações de projeto-------------</t>
  </si>
  <si>
    <t>2016-11-18_15:38 - Arquivo xog sendo gravado em: C:\xog_hypermarcas\xog_transaction_20161118_153824.xml</t>
  </si>
  <si>
    <t>2016-11-18_15:38 - Arquivo xog sendo gravado em: C:\xog_hypermarcas\xog_transaction_20161118_153839.xml</t>
  </si>
  <si>
    <t>2016-11-18_15:38 - Ambiente selecionado: QAS</t>
  </si>
  <si>
    <t>2016-11-18_15:38 -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</si>
  <si>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2016-11-18_15:38 - Enviando requisição de login</t>
  </si>
  <si>
    <t>2016-11-18_15:38 - Login realizado. SessionID capturado: 15078894__C4E71F09-C2AF-46CD-9BD0-32F367D46389</t>
  </si>
  <si>
    <t>2016-11-18_15:38 - Chamando mensagem de requisição</t>
  </si>
  <si>
    <t>2016-11-18_15:38 - Capturando resultado final</t>
  </si>
  <si>
    <t>2016-11-18_15:38 - Efetuando logout</t>
  </si>
  <si>
    <t>2016-11-18_15:38 - Logout realizado</t>
  </si>
  <si>
    <t>2016-11-18_15:38 - -------------Fim da exportação transações de projeto-------------</t>
  </si>
  <si>
    <t>2016-11-18_15:39 - Ambiente selecionado: QAS</t>
  </si>
  <si>
    <t>2016-11-18_15:39 - Escrevendo tarefas...</t>
  </si>
  <si>
    <t>2016-11-18_15:39 - Escrevendo locais...</t>
  </si>
  <si>
    <t>2016-11-18_15:39 - Escrevendo períodos...</t>
  </si>
  <si>
    <t>2016-11-18_15:39 - Escrevendo fornecedores...</t>
  </si>
  <si>
    <t>2016-11-18_15:39 - Escrevendo departamentos...</t>
  </si>
  <si>
    <t>2016-11-18_15:39 - Escrevendo centros de custo...</t>
  </si>
  <si>
    <t>2016-11-18_15:39 - Escrevendo recursos e classes de transacao...</t>
  </si>
  <si>
    <t>2016-11-18_15:39 - Escrevendo classes de transacao...</t>
  </si>
  <si>
    <t>2016-11-18_15:44 - Ambiente selecionado: QAS</t>
  </si>
  <si>
    <t>2016-11-18_15:44 - Escrevendo tarefas...</t>
  </si>
  <si>
    <t>2016-11-18_15:44 - Escrevendo locais...</t>
  </si>
  <si>
    <t>2016-11-18_15:44 - Escrevendo períodos...</t>
  </si>
  <si>
    <t>2016-11-18_15:44 - Escrevendo fornecedores...</t>
  </si>
  <si>
    <t>2016-11-18_15:44 - Escrevendo departamentos...</t>
  </si>
  <si>
    <t>2016-11-18_15:44 - Escrevendo centros de custo...</t>
  </si>
  <si>
    <t>2016-11-18_15:44 - Escrevendo recursos e classes de transacao...</t>
  </si>
  <si>
    <t>2016-11-18_15:44 - Escrevendo classes de transacao...</t>
  </si>
  <si>
    <t>2016-11-18_15:45 - Ambiente selecionado: QAS</t>
  </si>
  <si>
    <t>2016-11-18_15:45 - Escrevendo tarefas...</t>
  </si>
  <si>
    <t>2016-11-18_15:45 - Escrevendo locais...</t>
  </si>
  <si>
    <t>2016-11-18_15:45 - Escrevendo períodos...</t>
  </si>
  <si>
    <t>2016-11-18_15:45 - Escrevendo fornecedores...</t>
  </si>
  <si>
    <t>2016-11-18_15:45 - Escrevendo departamentos...</t>
  </si>
  <si>
    <t>2016-11-18_15:45 - Escrevendo centros de custo...</t>
  </si>
  <si>
    <t>2016-11-18_15:45 - Escrevendo recursos e classes de transacao...</t>
  </si>
  <si>
    <t>2016-11-18_15:45 - Escrevendo classes de transacao...</t>
  </si>
  <si>
    <t>2016-11-18_15:46 - Ambiente selecionado: QAS</t>
  </si>
  <si>
    <t>2016-11-18_15:46 - Escrevendo tarefas...</t>
  </si>
  <si>
    <t>2016-11-18_15:46 - Escrevendo locais...</t>
  </si>
  <si>
    <t>2016-11-18_15:46 - Escrevendo períodos...</t>
  </si>
  <si>
    <t>2016-11-18_15:46 - Escrevendo fornecedores...</t>
  </si>
  <si>
    <t>2016-11-18_15:46 - Escrevendo departamentos...</t>
  </si>
  <si>
    <t>2016-11-18_15:46 - Escrevendo centros de custo...</t>
  </si>
  <si>
    <t>2016-11-18_15:46 - Escrevendo recursos e classes de transacao...</t>
  </si>
  <si>
    <t>2016-11-18_15:46 - Escrevendo classes de transacao...</t>
  </si>
  <si>
    <t>2016-11-18_15:48 - Ambiente selecionado: QAS</t>
  </si>
  <si>
    <t>2016-11-18_15:48 - Escrevendo tarefas...</t>
  </si>
  <si>
    <t>2016-11-18_15:48 - Escrevendo locais...</t>
  </si>
  <si>
    <t>2016-11-18_15:48 - Escrevendo períodos...</t>
  </si>
  <si>
    <t>2016-11-18_15:48 - Escrevendo fornecedores...</t>
  </si>
  <si>
    <t>2016-11-18_15:48 - Escrevendo departamentos...</t>
  </si>
  <si>
    <t>2016-11-18_15:48 - Escrevendo centros de custo...</t>
  </si>
  <si>
    <t>2016-11-18_15:48 - Escrevendo recursos e classes de transacao...</t>
  </si>
  <si>
    <t>2016-11-18_15:48 - Escrevendo classes de transacao...</t>
  </si>
  <si>
    <t>2016-11-18_15:49 - Ambiente selecionado: QAS</t>
  </si>
  <si>
    <t>2016-11-18_15:49 - Escrevendo tarefas...</t>
  </si>
  <si>
    <t>2016-11-18_15:49 - Escrevendo locais...</t>
  </si>
  <si>
    <t>2016-11-18_15:49 - Escrevendo períodos...</t>
  </si>
  <si>
    <t>2016-11-18_15:49 - Escrevendo fornecedores...</t>
  </si>
  <si>
    <t>2016-11-18_15:49 - Escrevendo departamentos...</t>
  </si>
  <si>
    <t>2016-11-18_15:49 - Escrevendo centros de custo...</t>
  </si>
  <si>
    <t>2016-11-18_15:49 - Escrevendo recursos e classes de transacao...</t>
  </si>
  <si>
    <t>2016-11-18_15:49 - Escrevendo classes de transacao...</t>
  </si>
  <si>
    <t>2016-11-18_15:50 - Ambiente selecionado: QAS</t>
  </si>
  <si>
    <t>2016-11-18_15:50 - Escrevendo tarefas...</t>
  </si>
  <si>
    <t>2016-11-18_15:50 - Escrevendo locais...</t>
  </si>
  <si>
    <t>2016-11-18_15:50 - Escrevendo períodos...</t>
  </si>
  <si>
    <t>2016-11-18_15:50 - Escrevendo fornecedores...</t>
  </si>
  <si>
    <t>2016-11-18_15:50 - Escrevendo departamentos...</t>
  </si>
  <si>
    <t>2016-11-18_15:50 - Escrevendo centros de custo...</t>
  </si>
  <si>
    <t>2016-11-18_15:50 - Escrevendo recursos e classes de transacao...</t>
  </si>
  <si>
    <t>2016-11-18_15:50 - Escrevendo classes de transacao...</t>
  </si>
  <si>
    <t>2016-11-18_16:11 - Ambiente selecionado: QAS</t>
  </si>
  <si>
    <t>2016-11-18_16:11 - Escrevendo tarefas...</t>
  </si>
  <si>
    <t>2016-11-18_16:11 - Escrevendo locais...</t>
  </si>
  <si>
    <t>2016-11-18_16:11 - Escrevendo períodos...</t>
  </si>
  <si>
    <t>2016-11-18_16:11 - Escrevendo fornecedores...</t>
  </si>
  <si>
    <t>2016-11-18_16:11 - Escrevendo departamentos...</t>
  </si>
  <si>
    <t>2016-11-18_16:11 - Escrevendo centros de custo...</t>
  </si>
  <si>
    <t>2016-11-18_16:11 - Escrevendo recursos e classes de transacao...</t>
  </si>
  <si>
    <t>2016-11-18_16:11 - Escrevendo classes de transacao...</t>
  </si>
  <si>
    <t>2016-11-18_16:12 - Ambiente selecionado: QAS</t>
  </si>
  <si>
    <t>2016-11-18_16:12 - Escrevendo tarefas...</t>
  </si>
  <si>
    <t>2016-11-18_16:12 - Escrevendo locais...</t>
  </si>
  <si>
    <t>2016-11-18_16:12 - Escrevendo períodos...</t>
  </si>
  <si>
    <t>2016-11-18_16:12 - Escrevendo fornecedores...</t>
  </si>
  <si>
    <t>2016-11-18_16:12 - Escrevendo departamentos...</t>
  </si>
  <si>
    <t>2016-11-18_16:12 - Escrevendo centros de custo...</t>
  </si>
  <si>
    <t>2016-11-18_16:12 - Escrevendo recursos e classes de transacao...</t>
  </si>
  <si>
    <t>2016-11-18_16:12 - Escrevendo classes de transacao...</t>
  </si>
  <si>
    <t>2016-11-18_16:14 - Ambiente selecionado: QAS</t>
  </si>
  <si>
    <t>2016-11-18_16:14 - Escrevendo tarefas...</t>
  </si>
  <si>
    <t>2016-11-18_16:14 - Escrevendo locais...</t>
  </si>
  <si>
    <t>2016-11-18_16:14 - Escrevendo períodos...</t>
  </si>
  <si>
    <t>2016-11-18_16:14 - Escrevendo fornecedores...</t>
  </si>
  <si>
    <t>2016-11-18_16:14 - Escrevendo departamentos...</t>
  </si>
  <si>
    <t>2016-11-18_16:14 - Escrevendo centros de custo...</t>
  </si>
  <si>
    <t>2016-11-18_16:14 - Escrevendo recursos e classes de transacao...</t>
  </si>
  <si>
    <t>2016-11-18_16:14 - Escrevendo classes de transacao...</t>
  </si>
  <si>
    <t>hm_q_delete_transactions</t>
  </si>
  <si>
    <t>2016-11-18_16:40 - Ambiente selecionado: QAS</t>
  </si>
  <si>
    <t>2016-11-18_16:40 - Escrevendo tarefas...</t>
  </si>
  <si>
    <t>2016-11-18_16:40 - Escrevendo locais...</t>
  </si>
  <si>
    <t>2016-11-18_16:40 - Escrevendo períodos...</t>
  </si>
  <si>
    <t>2016-11-18_16:40 - Escrevendo fornecedores...</t>
  </si>
  <si>
    <t>2016-11-18_16:40 - Escrevendo departamentos...</t>
  </si>
  <si>
    <t>2016-11-18_16:40 - Escrevendo centros de custo...</t>
  </si>
  <si>
    <t>2016-11-18_16:40 - Escrevendo recursos e classes de transacao...</t>
  </si>
  <si>
    <t>2016-11-18_16:40 - Escrevendo classes de transacao...</t>
  </si>
  <si>
    <t>2016-11-18_16:40 - Escrevendo Projetos...</t>
  </si>
  <si>
    <t>2016-11-18_16:44 - -------------Início da exportação transações de projeto-------------</t>
  </si>
  <si>
    <t>2016-11-18_16:44 - Arquivo xog sendo gravado em: C:\xog_hypermarcas\xog_transaction_20161118_164426.xml</t>
  </si>
  <si>
    <t>2016-11-18_16:44 - Ambiente selecionado: QAS</t>
  </si>
  <si>
    <t>2016-11-18_16:44 -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</si>
  <si>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2016-11-18_16:44 - Enviando requisição de login</t>
  </si>
  <si>
    <t>2016-11-18_16:44 - Login realizado. SessionID capturado: 15087070__575C3BBE-8D9E-495E-9D4D-9CDC8C2807EC</t>
  </si>
  <si>
    <t>2016-11-18_16:44 - Chamando mensagem de requisição</t>
  </si>
  <si>
    <t>2016-11-18_16:44 - Capturando resultado final</t>
  </si>
  <si>
    <t>2016-11-18_16:44 - Efetuando logout</t>
  </si>
  <si>
    <t>2016-11-18_16:44 - Logout realizado</t>
  </si>
  <si>
    <t>2016-11-18_16:44 - -------------Fim da exportação transações de projeto-------------</t>
  </si>
  <si>
    <t>2016-11-18_17:09 - Ambiente selecionado: QAS</t>
  </si>
  <si>
    <t>2016-11-18_17:09 - Escrevendo tarefas...</t>
  </si>
  <si>
    <t>2016-11-18_17:09 - Escrevendo locais...</t>
  </si>
  <si>
    <t>2016-11-18_17:09 - Escrevendo períodos...</t>
  </si>
  <si>
    <t>2016-11-18_17:09 - Escrevendo fornecedores...</t>
  </si>
  <si>
    <t>2016-11-18_17:09 - Escrevendo departamentos...</t>
  </si>
  <si>
    <t>2016-11-18_17:09 - Escrevendo centros de custo...</t>
  </si>
  <si>
    <t>2016-11-18_17:09 - Escrevendo recursos e classes de transacao...</t>
  </si>
  <si>
    <t>2016-11-18_17:09 - Escrevendo classes de transacao...</t>
  </si>
  <si>
    <t>2016-11-18_17:09 - Escrevendo Projetos...</t>
  </si>
  <si>
    <t>2016-11-18_17:11 - Ambiente selecionado: QAS</t>
  </si>
  <si>
    <t>2016-11-18_17:11 - Escrevendo tarefas...</t>
  </si>
  <si>
    <t>2016-11-18_17:11 - Escrevendo locais...</t>
  </si>
  <si>
    <t>2016-11-18_17:11 - Escrevendo períodos...</t>
  </si>
  <si>
    <t>2016-11-18_17:11 - Escrevendo fornecedores...</t>
  </si>
  <si>
    <t>2016-11-18_17:11 - Escrevendo departamentos...</t>
  </si>
  <si>
    <t>2016-11-18_17:11 - Escrevendo centros de custo...</t>
  </si>
  <si>
    <t>2016-11-18_17:11 - Escrevendo recursos e classes de transacao...</t>
  </si>
  <si>
    <t>2016-11-18_17:11 - Escrevendo classes de transacao...</t>
  </si>
  <si>
    <t>2016-11-18_17:11 - Escrevendo Projetos...</t>
  </si>
  <si>
    <t>PROJECT_CODE</t>
  </si>
  <si>
    <t>CHARGE_CODE</t>
  </si>
  <si>
    <t>TRANS_CLASS</t>
  </si>
  <si>
    <t>TRANS_TYPE</t>
  </si>
  <si>
    <t>INPUT_TYPE</t>
  </si>
  <si>
    <t>LOV1</t>
  </si>
  <si>
    <t>LOV2</t>
  </si>
  <si>
    <t>DATE</t>
  </si>
  <si>
    <t>NOTES</t>
  </si>
  <si>
    <t>QTD</t>
  </si>
  <si>
    <t>VALUE</t>
  </si>
  <si>
    <t>2016-11-21_16:55 - -------------Início da exportação transações de projeto-------------</t>
  </si>
  <si>
    <t>2016-11-21_16:55 - Arquivo xog sendo gravado em: C:\xog_hypermarcas\xog_transaction_delete_20161121_165530.xml</t>
  </si>
  <si>
    <t>2016-11-21_16:57 - -------------Início da exportação transações de projeto-------------</t>
  </si>
  <si>
    <t>2016-11-21_16:57 - Arquivo xog sendo gravado em: C:\xog_hypermarcas\xog_transaction_delete_20161121_165736.xml</t>
  </si>
  <si>
    <t>2016-11-21_16:57 - -------------Fim da exportação transações de projeto-------------</t>
  </si>
  <si>
    <t>2016-11-21_17:04 - -------------Início da exportação transações de projeto-------------</t>
  </si>
  <si>
    <t>2016-11-21_17:04 - Arquivo xog sendo gravado em: C:\xog_hypermarcas\xog_transaction_delete_20161121_170445.xml</t>
  </si>
  <si>
    <t>2016-11-21_17:04 - -------------Fim da exportação transações de projeto-------------</t>
  </si>
  <si>
    <t>2016-11-21_17:06 - -------------Início da exportação transações de projeto-------------</t>
  </si>
  <si>
    <t>2016-11-21_17:06 - Arquivo xog sendo gravado em: C:\xog_hypermarcas\xog_transaction_delete_20161121_170658.xml</t>
  </si>
  <si>
    <t>2016-11-21_17:12 - -------------Início da exportação transações de projeto-------------</t>
  </si>
  <si>
    <t>2016-11-21_17:12 - Arquivo xog sendo gravado em: C:\xog_hypermarcas\xog_transaction_delete_20161121_171239.xml</t>
  </si>
  <si>
    <t>2016-11-21_17:13 - -------------Início da exportação transações de projeto-------------</t>
  </si>
  <si>
    <t>2016-11-21_17:13 - Arquivo xog sendo gravado em: C:\xog_hypermarcas\xog_transaction_delete_20161121_171308.xml</t>
  </si>
  <si>
    <t>2016-11-21_17:17 - Ambiente selecionado: QAS</t>
  </si>
  <si>
    <t>2016-11-21_17:17 - Escrevendo tarefas...</t>
  </si>
  <si>
    <t>2016-11-21_17:17 - Escrevendo locais...</t>
  </si>
  <si>
    <t>2016-11-21_17:17 - Escrevendo períodos...</t>
  </si>
  <si>
    <t>2016-11-21_17:17 - Escrevendo fornecedores...</t>
  </si>
  <si>
    <t>2016-11-21_17:17 - Escrevendo departamentos...</t>
  </si>
  <si>
    <t>2016-11-21_17:17 - Escrevendo centros de custo...</t>
  </si>
  <si>
    <t>2016-11-21_17:17 - Escrevendo recursos e classes de transacao...</t>
  </si>
  <si>
    <t>2016-11-21_17:17 - Escrevendo classes de transacao...</t>
  </si>
  <si>
    <t>2016-11-21_17:17 - Escrevendo Projetos...</t>
  </si>
  <si>
    <t>2016-11-21_17:17 - -------------Início da exportação transações de projeto-------------</t>
  </si>
  <si>
    <t>2016-11-21_17:17 - Arquivo xog sendo gravado em: C:\xog_hypermarcas\xog_transaction_delete_20161121_171757.xml</t>
  </si>
  <si>
    <t>2016-11-21_17:18 - -------------Início da exportação transações de projeto-------------</t>
  </si>
  <si>
    <t>2016-11-21_17:18 - Arquivo xog sendo gravado em: C:\xog_hypermarcas\xog_transaction_delete_20161121_171809.xml</t>
  </si>
  <si>
    <t>2016-11-21_17:18 - -------------Fim da exportação transações de projeto-------------</t>
  </si>
  <si>
    <t>2016-11-21_17:34 - -------------Início da exportação transações de projeto-------------</t>
  </si>
  <si>
    <t>2016-11-21_17:34 - Arquivo xog sendo gravado em: C:\xog_hypermarcas\xog_costplan_20161121_173412.xml</t>
  </si>
  <si>
    <t>2016-11-21_17:34 - Ambiente selecionado: QAS</t>
  </si>
  <si>
    <t>2016-11-21_17:34 -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</si>
  <si>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2016-11-21_17:34 - Enviando requisição de login</t>
  </si>
  <si>
    <t>2016-11-21_17:34 - Login realizado. SessionID capturado: 15158442__CBF0FE31-B77F-48D1-9DF9-5DB0D52A4D7F</t>
  </si>
  <si>
    <t>2016-11-21_17:34 - Chamando mensagem de requisição</t>
  </si>
  <si>
    <t>2016-11-21_17:34 - Capturando resultado final</t>
  </si>
  <si>
    <t>2016-11-21_17:34 - Efetuando logout</t>
  </si>
  <si>
    <t>2016-11-21_17:34 - Logout realizado</t>
  </si>
  <si>
    <t>2016-11-21_17:34 - -------------Fim da exportação transações de projeto-------------</t>
  </si>
  <si>
    <t>2016-11-21_17:35 - -------------Início da exportação transações de projeto-------------</t>
  </si>
  <si>
    <t>2016-11-21_17:35 - Arquivo xog sendo gravado em: C:\xog_hypermarcas\xog_transaction_delete_20161121_173532.xml</t>
  </si>
  <si>
    <t>2016-11-21_17:35 - Ambiente selecionado: QAS</t>
  </si>
  <si>
    <t>2016-11-21_17:35 -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</si>
  <si>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2016-11-21_17:35 - Enviando requisição de login</t>
  </si>
  <si>
    <t>2016-11-21_17:35 - Login realizado. SessionID capturado: 15158445__02BEEFE6-FA76-4443-BE5E-ED00FB9CB08C</t>
  </si>
  <si>
    <t>2016-11-21_17:35 - Chamando mensagem de requisição</t>
  </si>
  <si>
    <t>2016-11-21_17:35 - Capturando resultado final</t>
  </si>
  <si>
    <t>2016-11-21_17:35 - Efetuando logout</t>
  </si>
  <si>
    <t>2016-11-21_17:35 - Logout realizado</t>
  </si>
  <si>
    <t>2016-11-21_17:35 - -------------Fim da exportação transações de projeto-------------</t>
  </si>
  <si>
    <t>2016-11-21_17:35 - Arquivo xog sendo gravado em: C:\xog_hypermarcas\xog_transaction_20161121_173537.xml</t>
  </si>
  <si>
    <t>2016-11-21_17:35 - Login realizado. SessionID capturado: 15158446__990415A0-D123-43B6-ACA4-68BEDBC7D881</t>
  </si>
  <si>
    <t>2016-11-21_17:37 - Ambiente selecionado: QAS</t>
  </si>
  <si>
    <t>2016-11-21_17:37 - Escrevendo tarefas...</t>
  </si>
  <si>
    <t>2016-11-21_17:37 - Escrevendo locais...</t>
  </si>
  <si>
    <t>2016-11-21_17:37 - Escrevendo períodos...</t>
  </si>
  <si>
    <t>2016-11-21_17:37 - Escrevendo fornecedores...</t>
  </si>
  <si>
    <t>2016-11-21_17:37 - Escrevendo departamentos...</t>
  </si>
  <si>
    <t>2016-11-21_17:37 - Escrevendo centros de custo...</t>
  </si>
  <si>
    <t>2016-11-21_17:37 - Escrevendo recursos e classes de transacao...</t>
  </si>
  <si>
    <t>2016-11-21_17:37 - Escrevendo classes de transacao...</t>
  </si>
  <si>
    <t>2016-11-21_17:37 - Escrevendo Projetos...</t>
  </si>
  <si>
    <t>2016-11-21_17:39 - -------------Início da exportação transações de projeto-------------</t>
  </si>
  <si>
    <t>2016-11-21_17:39 - Arquivo xog sendo gravado em: C:\xog_hypermarcas\xog_transaction_delete_20161121_173959.xml</t>
  </si>
  <si>
    <t>2016-11-21_17:39 - Ambiente selecionado: QAS</t>
  </si>
  <si>
    <t>2016-11-21_17:39 -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</si>
  <si>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2016-11-21_17:39 - Enviando requisição de login</t>
  </si>
  <si>
    <t>2016-11-21_17:39 - Login realizado. SessionID capturado: 15158464__0999BAAA-1FEB-47BE-9F49-5F09CEEAA4C2</t>
  </si>
  <si>
    <t>2016-11-21_17:39 - Chamando mensagem de requisição</t>
  </si>
  <si>
    <t>2016-11-21_17:39 - Capturando resultado final</t>
  </si>
  <si>
    <t>2016-11-21_17:39 - Efetuando logout</t>
  </si>
  <si>
    <t>2016-11-21_17:39 - Logout realizado</t>
  </si>
  <si>
    <t>2016-11-21_17:39 - -------------Fim da exportação transações de projeto-------------</t>
  </si>
  <si>
    <t>2016-11-21_17:40 - -------------Início da exportação transações de projeto-------------</t>
  </si>
  <si>
    <t>2016-11-21_17:40 - Arquivo xog sendo gravado em: C:\xog_hypermarcas\xog_transaction_20161121_174004.xml</t>
  </si>
  <si>
    <t>2016-11-21_17:40 - Ambiente selecionado: QAS</t>
  </si>
  <si>
    <t>2016-11-21_17:40 -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</si>
  <si>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2016-11-21_17:40 - Enviando requisição de login</t>
  </si>
  <si>
    <t>2016-11-21_17:40 - Login realizado. SessionID capturado: 15158465__4C4C9288-FA5F-4B48-A533-06FCECFB81C1</t>
  </si>
  <si>
    <t>2016-11-21_17:40 - Chamando mensagem de requisição</t>
  </si>
  <si>
    <t>2016-11-21_17:40 - Capturando resultado final</t>
  </si>
  <si>
    <t>2016-11-21_17:40 - Efetuando logout</t>
  </si>
  <si>
    <t>2016-11-21_17:40 - Logout realizado</t>
  </si>
  <si>
    <t>2016-11-21_17:40 - -------------Fim da exportação transações de projeto-------------</t>
  </si>
  <si>
    <t>2016-11-21_17:41 - -------------Início da exportação transações de projeto-------------</t>
  </si>
  <si>
    <t>2016-11-21_17:41 - Arquivo xog sendo gravado em: C:\xog_hypermarcas\xog_transaction_20161121_174107.xml</t>
  </si>
  <si>
    <t>2016-11-21_17:41 - Ambiente selecionado: QAS</t>
  </si>
  <si>
    <t>2016-11-21_17:41 -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</si>
  <si>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2016-11-21_17:41 - Enviando requisição de login</t>
  </si>
  <si>
    <t>2016-11-21_17:41 - Login realizado. SessionID capturado: 15158468__EAD78DB7-6991-4133-AF94-74F3D2DB1D1C</t>
  </si>
  <si>
    <t>2016-11-21_17:41 - Chamando mensagem de requisição</t>
  </si>
  <si>
    <t>2016-11-21_17:41 - Capturando resultado final</t>
  </si>
  <si>
    <t>2016-11-21_17:41 - Efetuando logout</t>
  </si>
  <si>
    <t>2016-11-21_17:41 - Logout realizado</t>
  </si>
  <si>
    <t>2016-11-21_17:41 - -------------Fim da exportação transações de projeto-------------</t>
  </si>
  <si>
    <t>2016-11-21_17:43 - -------------Início da exportação transações de projeto-------------</t>
  </si>
  <si>
    <t>2016-11-21_17:43 - Arquivo xog sendo gravado em: C:\xog_hypermarcas\xog_transaction_delete_20161121_174348.xml</t>
  </si>
  <si>
    <t>2016-11-21_17:43 - Ambiente selecionado: QAS</t>
  </si>
  <si>
    <t>2016-11-21_17:43 -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</si>
  <si>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2016-11-21_17:43 - Enviando requisição de login</t>
  </si>
  <si>
    <t>2016-11-21_17:43 - Login realizado. SessionID capturado: 15158476__D7230676-3D74-40A0-A1C0-25134902A763</t>
  </si>
  <si>
    <t>2016-11-21_17:43 - Chamando mensagem de requisição</t>
  </si>
  <si>
    <t>2016-11-21_17:43 - Capturando resultado final</t>
  </si>
  <si>
    <t>2016-11-21_17:43 - Efetuando logout</t>
  </si>
  <si>
    <t>2016-11-21_17:43 - Logout realizado</t>
  </si>
  <si>
    <t>2016-11-21_17:43 - -------------Fim da exportação transações de projeto-------------</t>
  </si>
  <si>
    <t>2016-11-21_17:43 - Arquivo xog sendo gravado em: C:\xog_hypermarcas\xog_transaction_20161121_174353.xml</t>
  </si>
  <si>
    <t>2016-11-21_17:43 - Login realizado. SessionID capturado: 15158477__21ABECF4-92A8-42A4-9685-047EA692B254</t>
  </si>
  <si>
    <t>2016-11-21_17:46 - Ambiente selecionado: QAS</t>
  </si>
  <si>
    <t>2016-11-21_17:46 - Escrevendo tarefas...</t>
  </si>
  <si>
    <t>2016-11-21_17:46 - Escrevendo locais...</t>
  </si>
  <si>
    <t>2016-11-21_17:46 - Escrevendo períodos...</t>
  </si>
  <si>
    <t>2016-11-21_17:46 - Escrevendo fornecedores...</t>
  </si>
  <si>
    <t>2016-11-21_17:46 - Escrevendo departamentos...</t>
  </si>
  <si>
    <t>2016-11-21_17:46 - Escrevendo centros de custo...</t>
  </si>
  <si>
    <t>2016-11-21_17:46 - Escrevendo recursos e classes de transacao...</t>
  </si>
  <si>
    <t>2016-11-21_17:46 - Escrevendo classes de transacao...</t>
  </si>
  <si>
    <t>2016-11-21_17:46 - Escrevendo Projetos...</t>
  </si>
  <si>
    <t>2016-11-21_18:46 - Ambiente selecionado: QAS</t>
  </si>
  <si>
    <t>2016-11-21_18:46 - Escrevendo tarefas...</t>
  </si>
  <si>
    <t>2016-11-21_18:46 - Escrevendo locais...</t>
  </si>
  <si>
    <t>2016-11-21_18:46 - Escrevendo períodos...</t>
  </si>
  <si>
    <t>2016-11-21_18:46 - Escrevendo fornecedores...</t>
  </si>
  <si>
    <t>2016-11-21_18:46 - Escrevendo departamentos...</t>
  </si>
  <si>
    <t>2016-11-21_18:46 - Escrevendo centros de custo...</t>
  </si>
  <si>
    <t>2016-11-21_18:46 - Escrevendo recursos e classes de transacao...</t>
  </si>
  <si>
    <t>2016-11-21_18:46 - Escrevendo classes de transacao...</t>
  </si>
  <si>
    <t>2016-11-21_18:46 - Escrevendo Projetos...</t>
  </si>
  <si>
    <t>2016-11-21_18:49 - -------------Início da exportação transações de projeto-------------</t>
  </si>
  <si>
    <t>2016-11-21_18:49 - Arquivo xog sendo gravado em: C:\xog_hypermarcas\xog_transaction_delete_20161121_184906.xml</t>
  </si>
  <si>
    <t>2016-11-21_18:49 - Ambiente selecionado: QAS</t>
  </si>
  <si>
    <t>2016-11-21_18:49 -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</si>
  <si>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2016-11-21_18:49 - Enviando requisição de login</t>
  </si>
  <si>
    <t>2016-11-21_18:49 - Login realizado. SessionID capturado: 15158614__027C521A-344B-4E78-A4CE-7641F06529AD</t>
  </si>
  <si>
    <t>2016-11-21_18:49 - Chamando mensagem de requisição</t>
  </si>
  <si>
    <t>2016-11-21_18:49 - Capturando resultado final</t>
  </si>
  <si>
    <t>2016-11-21_18:49 - Efetuando logout</t>
  </si>
  <si>
    <t>2016-11-21_18:49 - Logout realizado</t>
  </si>
  <si>
    <t>2016-11-21_18:49 - -------------Fim da exportação transações de projeto-------------</t>
  </si>
  <si>
    <t>2016-11-21_18:50 - Ambiente selecionado: QAS</t>
  </si>
  <si>
    <t>2016-11-21_18:50 - Escrevendo tarefas...</t>
  </si>
  <si>
    <t>2016-11-21_18:50 - Escrevendo locais...</t>
  </si>
  <si>
    <t>2016-11-21_18:50 - Escrevendo períodos...</t>
  </si>
  <si>
    <t>2016-11-21_18:50 - Escrevendo fornecedores...</t>
  </si>
  <si>
    <t>2016-11-21_18:50 - Escrevendo departamentos...</t>
  </si>
  <si>
    <t>2016-11-21_18:50 - Escrevendo centros de custo...</t>
  </si>
  <si>
    <t>2016-11-21_18:50 - Escrevendo recursos e classes de transacao...</t>
  </si>
  <si>
    <t>2016-11-21_18:50 - Escrevendo classes de transacao...</t>
  </si>
  <si>
    <t>2016-11-21_18:50 - Escrevendo Projetos...</t>
  </si>
  <si>
    <t>2016-11-21_18:51 - -------------Início da exportação transações de projeto-------------</t>
  </si>
  <si>
    <t>2016-11-21_18:51 - Arquivo xog sendo gravado em: C:\xog_hypermarcas\xog_costplan_20161121_185116.xml</t>
  </si>
  <si>
    <t>2016-11-21_18:51 - Ambiente selecionado: QAS</t>
  </si>
  <si>
    <t>2016-11-21_18:51 -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</si>
  <si>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2016-11-21_18:51 - Enviando requisição de login</t>
  </si>
  <si>
    <t>2016-11-21_18:51 - Login realizado. SessionID capturado: 15158624__AD166A12-5501-4946-AB38-927DDB295EE5</t>
  </si>
  <si>
    <t>2016-11-21_18:51 - Chamando mensagem de requisição</t>
  </si>
  <si>
    <t>2016-11-21_18:51 - Capturando resultado final</t>
  </si>
  <si>
    <t>2016-11-21_18:51 - Efetuando logout</t>
  </si>
  <si>
    <t>2016-11-21_18:51 - Logout realizado</t>
  </si>
  <si>
    <t>2016-11-21_18:51 - -------------Fim da exportação transações de projeto-------------</t>
  </si>
  <si>
    <t>2016-11-21_18:52 - Ambiente selecionado: QAS</t>
  </si>
  <si>
    <t>2016-11-21_18:52 - Escrevendo tarefas...</t>
  </si>
  <si>
    <t>2016-11-21_18:52 - Escrevendo locais...</t>
  </si>
  <si>
    <t>2016-11-21_18:52 - Escrevendo períodos...</t>
  </si>
  <si>
    <t>2016-11-21_18:52 - Escrevendo fornecedores...</t>
  </si>
  <si>
    <t>2016-11-21_18:52 - Escrevendo departamentos...</t>
  </si>
  <si>
    <t>2016-11-21_18:52 - Escrevendo centros de custo...</t>
  </si>
  <si>
    <t>2016-11-21_18:52 - Escrevendo recursos e classes de transacao...</t>
  </si>
  <si>
    <t>2016-11-21_18:52 - Escrevendo classes de transacao...</t>
  </si>
  <si>
    <t>2016-11-21_18:52 - Escrevendo Projetos...</t>
  </si>
  <si>
    <t>2016-11-21_18:53 - Escrevendo Projetos...</t>
  </si>
  <si>
    <t>2016-11-21_18:53 - Ambiente selecionado: QAS</t>
  </si>
  <si>
    <t>2016-11-21_18:53 - Escrevendo tarefas...</t>
  </si>
  <si>
    <t>2016-11-21_18:53 - Escrevendo locais...</t>
  </si>
  <si>
    <t>2016-11-21_18:53 - Escrevendo períodos...</t>
  </si>
  <si>
    <t>2016-11-21_18:53 - Escrevendo fornecedores...</t>
  </si>
  <si>
    <t>2016-11-21_18:53 - Escrevendo departamentos...</t>
  </si>
  <si>
    <t>2016-11-21_18:53 - Escrevendo centros de custo...</t>
  </si>
  <si>
    <t>2016-11-21_18:53 - Escrevendo recursos e classes de transacao...</t>
  </si>
  <si>
    <t>2016-11-21_18:53 - Escrevendo classes de transacao...</t>
  </si>
  <si>
    <t>2016-11-21_18:53 - -------------Início da exportação transações de projeto-------------</t>
  </si>
  <si>
    <t>2016-11-21_18:53 - Arquivo xog sendo gravado em: C:\xog_hypermarcas\xog_costplan_20161121_185312.xml</t>
  </si>
  <si>
    <t>2016-11-21_18:53 -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</si>
  <si>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2016-11-21_18:53 - Enviando requisição de login</t>
  </si>
  <si>
    <t>2016-11-21_18:53 - Login realizado. SessionID capturado: 15158634__9C6B81A5-D4A4-4E23-9D46-034EB920FEFB</t>
  </si>
  <si>
    <t>2016-11-21_18:53 - Chamando mensagem de requisição</t>
  </si>
  <si>
    <t>2016-11-21_18:53 - Capturando resultado final</t>
  </si>
  <si>
    <t>2016-11-21_18:53 - Efetuando logout</t>
  </si>
  <si>
    <t>2016-11-21_18:53 - Logout realizado</t>
  </si>
  <si>
    <t>2016-11-21_18:53 - -------------Fim da exportação transações de projeto-------------</t>
  </si>
  <si>
    <t>2016-11-21_18:53 - Arquivo xog sendo gravado em: C:\xog_hypermarcas\xog_transaction_delete_20161121_185357.xml</t>
  </si>
  <si>
    <t>2016-11-21_18:53 - Login realizado. SessionID capturado: 15158637__6E78E858-7398-486B-AEFD-0655A358732D</t>
  </si>
  <si>
    <t>2016-11-21_18:54 - -------------Início da exportação transações de projeto-------------</t>
  </si>
  <si>
    <t>2016-11-21_18:54 - Arquivo xog sendo gravado em: C:\xog_hypermarcas\xog_transaction_20161121_185402.xml</t>
  </si>
  <si>
    <t>2016-11-21_18:54 - Ambiente selecionado: QAS</t>
  </si>
  <si>
    <t>2016-11-21_18:54 -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</si>
  <si>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2016-11-21_18:54 - Enviando requisição de login</t>
  </si>
  <si>
    <t>2016-11-21_18:54 - Login realizado. SessionID capturado: 15158638__92818A6A-F93D-43D9-8F6D-491A465B4A69</t>
  </si>
  <si>
    <t>2016-11-21_18:54 - Chamando mensagem de requisição</t>
  </si>
  <si>
    <t>2016-11-21_18:54 - Capturando resultado final</t>
  </si>
  <si>
    <t>2016-11-21_18:54 - Efetuando logout</t>
  </si>
  <si>
    <t>2016-11-21_18:54 - Logout realizado</t>
  </si>
  <si>
    <t>2016-11-21_18:54 - -------------Fim da exportação transações de projeto-------------</t>
  </si>
  <si>
    <t>2016-11-21_19:05 - -------------Início da exportação transações de projeto-------------</t>
  </si>
  <si>
    <t>2016-11-21_19:05 - Arquivo xog sendo gravado em: C:\xog_hypermarcas\xog_transaction_20161121_190524.xml</t>
  </si>
  <si>
    <t>2016-11-21_19:05 - -------------Fim da exportação transações de projeto-------------</t>
  </si>
  <si>
    <t>2016-11-21_19:05 - Arquivo xog sendo gravado em: C:\xog_hypermarcas\xog_transaction_20161121_190530.xml</t>
  </si>
  <si>
    <t>2016-11-21_19:05 - Arquivo xog sendo gravado em: C:\xog_hypermarcas\xog_transaction_20161121_190549.xml</t>
  </si>
  <si>
    <t>2016-11-21_19:06 - -------------Início da exportação transações de projeto-------------</t>
  </si>
  <si>
    <t>2016-11-21_19:06 - Arquivo xog sendo gravado em: C:\xog_hypermarcas\xog_transaction_delete_20161121_190614.xml</t>
  </si>
  <si>
    <t>2016-11-21_19:06 - Ambiente selecionado: QAS</t>
  </si>
  <si>
    <t>2016-11-21_19:06 -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</si>
  <si>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2016-11-21_19:06 - Enviando requisição de login</t>
  </si>
  <si>
    <t>2016-11-21_19:06 - Login realizado. SessionID capturado: 15158658__9D5899BD-1927-4D7A-8725-5F1909F4BE0B</t>
  </si>
  <si>
    <t>2016-11-21_19:06 - Chamando mensagem de requisição</t>
  </si>
  <si>
    <t>2016-11-21_19:06 - Capturando resultado final</t>
  </si>
  <si>
    <t>2016-11-21_19:06 - Efetuando logout</t>
  </si>
  <si>
    <t>2016-11-21_19:06 - Logout realizado</t>
  </si>
  <si>
    <t>2016-11-21_19:06 - -------------Fim da exportação transações de projeto-------------</t>
  </si>
  <si>
    <t>2016-11-21_19:06 - Arquivo xog sendo gravado em: C:\xog_hypermarcas\xog_transaction_20161121_190619.xml</t>
  </si>
  <si>
    <t>2016-11-21_19:06 - Arquivo xog sendo gravado em: C:\xog_hypermarcas\xog_transaction_delete_20161121_190657.xml</t>
  </si>
  <si>
    <t>2016-11-21_19:06 - Login realizado. SessionID capturado: 15158661__57B06F74-2028-4B61-B3C6-8BF4E69C8B6A</t>
  </si>
  <si>
    <t>2016-11-21_19:07 - -------------Início da exportação transações de projeto-------------</t>
  </si>
  <si>
    <t>2016-11-21_19:07 - Arquivo xog sendo gravado em: C:\xog_hypermarcas\xog_transaction_20161121_190702.xml</t>
  </si>
  <si>
    <t>2016-11-21_19:07 - -------------Fim da exportação transações de projeto-------------</t>
  </si>
  <si>
    <t>2016-11-21_19:19 - Ambiente selecionado: QAS</t>
  </si>
  <si>
    <t>2016-11-21_19:19 - Escrevendo tarefas...</t>
  </si>
  <si>
    <t>2016-11-21_19:19 - Escrevendo locais...</t>
  </si>
  <si>
    <t>2016-11-21_19:19 - Escrevendo períodos...</t>
  </si>
  <si>
    <t>2016-11-21_19:19 - Escrevendo fornecedores...</t>
  </si>
  <si>
    <t>2016-11-21_19:19 - Escrevendo departamentos...</t>
  </si>
  <si>
    <t>2016-11-21_19:19 - Escrevendo centros de custo...</t>
  </si>
  <si>
    <t>2016-11-21_19:19 - Escrevendo recursos e classes de transacao...</t>
  </si>
  <si>
    <t>2016-11-21_19:19 - Escrevendo classes de transacao...</t>
  </si>
  <si>
    <t>2016-11-21_19:19 - Escrevendo Projetos...</t>
  </si>
  <si>
    <t>2016-11-21_19:27 - Ambiente selecionado: QAS</t>
  </si>
  <si>
    <t>2016-11-21_19:27 - Escrevendo tarefas...</t>
  </si>
  <si>
    <t>2016-11-21_19:27 - Escrevendo locais...</t>
  </si>
  <si>
    <t>2016-11-21_19:27 - Escrevendo períodos...</t>
  </si>
  <si>
    <t>2016-11-21_19:27 - Escrevendo fornecedores...</t>
  </si>
  <si>
    <t>2016-11-21_19:27 - Escrevendo departamentos...</t>
  </si>
  <si>
    <t>2016-11-21_19:27 - Escrevendo centros de custo...</t>
  </si>
  <si>
    <t>2016-11-21_19:27 - Escrevendo recursos e classes de transacao...</t>
  </si>
  <si>
    <t>2016-11-21_19:27 - Escrevendo classes de transacao...</t>
  </si>
  <si>
    <t>2016-11-21_19:27 - Escrevendo Projetos...</t>
  </si>
  <si>
    <t>2016-11-21_19:27 - -------------Início da exportação transações de projeto-------------</t>
  </si>
  <si>
    <t>2016-11-21_19:27 - Arquivo xog sendo gravado em: C:\xog_hypermarcas\xog_costplan_20161121_192751.xml</t>
  </si>
  <si>
    <t>2016-11-21_19:27 -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</si>
  <si>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2016-11-21_19:27 - Enviando requisição de login</t>
  </si>
  <si>
    <t>2016-11-21_19:27 - Login realizado. SessionID capturado: 15158721__6E41CEA7-ED6F-4043-A9C6-C96B5FF0BDEE</t>
  </si>
  <si>
    <t>2016-11-21_19:27 - Chamando mensagem de requisição</t>
  </si>
  <si>
    <t>2016-11-21_19:27 - Capturando resultado final</t>
  </si>
  <si>
    <t>2016-11-21_19:27 - Efetuando logout</t>
  </si>
  <si>
    <t>2016-11-21_19:27 - Logout realizado</t>
  </si>
  <si>
    <t>2016-11-21_19:27 - -------------Fim da exportação transações de projeto-------------</t>
  </si>
  <si>
    <t>2016-11-21_19:36 - -------------Início da exportação transações de projeto-------------</t>
  </si>
  <si>
    <t>2016-11-21_19:36 - Arquivo xog sendo gravado em: C:\xog_hypermarcas\xog_transaction_delete_20161121_193639.xml</t>
  </si>
  <si>
    <t>2016-11-21_19:36 - Ambiente selecionado: QAS</t>
  </si>
  <si>
    <t>2016-11-21_19:36 -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</si>
  <si>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2016-11-21_19:36 - Enviando requisição de login</t>
  </si>
  <si>
    <t>2016-11-21_19:36 - Login realizado. SessionID capturado: 15158738__F40DE74C-153F-425E-B2C5-C8D42C2898F8</t>
  </si>
  <si>
    <t>2016-11-21_19:36 - Chamando mensagem de requisição</t>
  </si>
  <si>
    <t>2016-11-21_19:36 - Capturando resultado final</t>
  </si>
  <si>
    <t>2016-11-21_19:36 - Efetuando logout</t>
  </si>
  <si>
    <t>2016-11-21_19:36 - Logout realizado</t>
  </si>
  <si>
    <t>2016-11-21_19:36 - -------------Fim da exportação transações de projeto-------------</t>
  </si>
  <si>
    <t>2016-11-21_19:36 - Arquivo xog sendo gravado em: C:\xog_hypermarcas\xog_transaction_20161121_193645.xml</t>
  </si>
  <si>
    <t>2016-11-21_19:38 - Ambiente selecionado: QAS</t>
  </si>
  <si>
    <t>2016-11-21_19:38 - Escrevendo tarefas...</t>
  </si>
  <si>
    <t>2016-11-21_19:38 - Escrevendo locais...</t>
  </si>
  <si>
    <t>2016-11-21_19:38 - Escrevendo períodos...</t>
  </si>
  <si>
    <t>2016-11-21_19:38 - Escrevendo fornecedores...</t>
  </si>
  <si>
    <t>2016-11-21_19:38 - Escrevendo departamentos...</t>
  </si>
  <si>
    <t>2016-11-21_19:38 - Escrevendo centros de custo...</t>
  </si>
  <si>
    <t>2016-11-21_19:38 - Escrevendo recursos e classes de transacao...</t>
  </si>
  <si>
    <t>2016-11-21_19:38 - Escrevendo classes de transacao...</t>
  </si>
  <si>
    <t>2016-11-21_19:38 - Escrevendo Projetos...</t>
  </si>
  <si>
    <t>2016-11-21_19:38 - -------------Início da exportação transações de projeto-------------</t>
  </si>
  <si>
    <t>2016-11-21_19:38 - Arquivo xog sendo gravado em: C:\xog_hypermarcas\xog_transaction_delete_20161121_193829.xml</t>
  </si>
  <si>
    <t>2016-11-21_19:38 -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</si>
  <si>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2016-11-21_19:38 - Enviando requisição de login</t>
  </si>
  <si>
    <t>2016-11-21_19:38 - Login realizado. SessionID capturado: 15158748__13DE5949-F060-4CBC-ABC9-51AF8CDDAFEF</t>
  </si>
  <si>
    <t>2016-11-21_19:38 - Chamando mensagem de requisição</t>
  </si>
  <si>
    <t>2016-11-21_19:38 - Capturando resultado final</t>
  </si>
  <si>
    <t>2016-11-21_19:38 - Efetuando logout</t>
  </si>
  <si>
    <t>2016-11-21_19:38 - Logout realizado</t>
  </si>
  <si>
    <t>2016-11-21_19:38 - -------------Fim da exportação transações de projeto-------------</t>
  </si>
  <si>
    <t>2016-11-21_19:38 - Arquivo xog sendo gravado em: C:\xog_hypermarcas\xog_transaction_20161121_193835.xml</t>
  </si>
  <si>
    <t>2016-11-21_19:38 - Login realizado. SessionID capturado: 15158749__19F7E871-5D5E-4124-AA64-579020E5BDB3</t>
  </si>
  <si>
    <t>2016-11-21_19:41 - -------------Início da exportação transações de projeto-------------</t>
  </si>
  <si>
    <t>2016-11-21_19:41 - Arquivo xog sendo gravado em: C:\xog_hypermarcas\xog_transaction_delete_20161121_194139.xml</t>
  </si>
  <si>
    <t>2016-11-21_19:41 - Ambiente selecionado: QAS</t>
  </si>
  <si>
    <t>2016-11-21_19:41 -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</si>
  <si>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2016-11-21_19:41 - Enviando requisição de login</t>
  </si>
  <si>
    <t>2016-11-21_19:41 - Login realizado. SessionID capturado: 15158756__0A106D6A-398E-4C2B-B05E-98C9DC9EE3C3</t>
  </si>
  <si>
    <t>2016-11-21_19:41 - Chamando mensagem de requisição</t>
  </si>
  <si>
    <t>2016-11-21_19:41 - Capturando resultado final</t>
  </si>
  <si>
    <t>2016-11-21_19:41 - Efetuando logout</t>
  </si>
  <si>
    <t>2016-11-21_19:41 - Logout realizado</t>
  </si>
  <si>
    <t>2016-11-21_19:41 - -------------Fim da exportação transações de projeto-------------</t>
  </si>
  <si>
    <t>2016-11-21_19:41 - Arquivo xog sendo gravado em: C:\xog_hypermarcas\xog_transaction_20161121_194144.xml</t>
  </si>
  <si>
    <t>2016-11-21_19:41 - Login realizado. SessionID capturado: 15158757__A8E6D5B4-CC39-4C29-B958-1DC7E9CF6F51</t>
  </si>
  <si>
    <t>2016-11-21_19:43 - Ambiente selecionado: QAS</t>
  </si>
  <si>
    <t>2016-11-21_19:43 - Escrevendo tarefas...</t>
  </si>
  <si>
    <t>2016-11-21_19:43 - Escrevendo locais...</t>
  </si>
  <si>
    <t>2016-11-21_19:43 - Escrevendo períodos...</t>
  </si>
  <si>
    <t>2016-11-21_19:43 - Escrevendo fornecedores...</t>
  </si>
  <si>
    <t>2016-11-21_19:43 - Escrevendo departamentos...</t>
  </si>
  <si>
    <t>2016-11-21_19:43 - Escrevendo centros de custo...</t>
  </si>
  <si>
    <t>2016-11-21_19:43 - Escrevendo recursos e classes de transacao...</t>
  </si>
  <si>
    <t>2016-11-21_19:43 - Escrevendo classes de transacao...</t>
  </si>
  <si>
    <t>2016-11-21_19:43 - Escrevendo Projetos...</t>
  </si>
  <si>
    <t>2016-11-21_19:44 - Ambiente selecionado: QAS</t>
  </si>
  <si>
    <t>2016-11-21_19:44 - Escrevendo tarefas...</t>
  </si>
  <si>
    <t>2016-11-21_19:44 - Escrevendo locais...</t>
  </si>
  <si>
    <t>2016-11-21_19:44 - Escrevendo períodos...</t>
  </si>
  <si>
    <t>2016-11-21_19:44 - Escrevendo fornecedores...</t>
  </si>
  <si>
    <t>2016-11-21_19:44 - Escrevendo departamentos...</t>
  </si>
  <si>
    <t>2016-11-21_19:44 - Escrevendo centros de custo...</t>
  </si>
  <si>
    <t>2016-11-21_19:44 - Escrevendo recursos e classes de transacao...</t>
  </si>
  <si>
    <t>2016-11-21_19:44 - Escrevendo classes de transacao...</t>
  </si>
  <si>
    <t>2016-11-21_19:44 - Escrevendo Projetos...</t>
  </si>
  <si>
    <t>2016-11-21_19:45 - -------------Início da exportação transações de projeto-------------</t>
  </si>
  <si>
    <t>2016-11-21_19:45 - Arquivo xog sendo gravado em: C:\xog_hypermarcas\xog_transaction_delete_20161121_194507.xml</t>
  </si>
  <si>
    <t>2016-11-21_19:45 - Ambiente selecionado: QAS</t>
  </si>
  <si>
    <t>2016-11-21_19:45 -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</si>
  <si>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2016-11-21_19:45 - Enviando requisição de login</t>
  </si>
  <si>
    <t>2016-11-21_19:45 - Login realizado. SessionID capturado: 15158776__76072145-9A11-4796-8F99-7CBA073785DB</t>
  </si>
  <si>
    <t>2016-11-21_19:45 - Chamando mensagem de requisição</t>
  </si>
  <si>
    <t>2016-11-21_19:45 - Capturando resultado final</t>
  </si>
  <si>
    <t>2016-11-21_19:45 - Efetuando logout</t>
  </si>
  <si>
    <t>2016-11-21_19:45 - Logout realizado</t>
  </si>
  <si>
    <t>2016-11-21_19:45 - -------------Fim da exportação transações de projeto-------------</t>
  </si>
  <si>
    <t>2016-11-21_19:45 - Arquivo xog sendo gravado em: C:\xog_hypermarcas\xog_transaction_20161121_194513.xml</t>
  </si>
  <si>
    <t>2016-11-21_19:45 - Login realizado. SessionID capturado: 15158777__DECDE7A1-5432-41DA-8ACD-9EAC4DF6A8FD</t>
  </si>
  <si>
    <t>2016-11-21_19:46 - Ambiente selecionado: QAS</t>
  </si>
  <si>
    <t>2016-11-21_19:46 - Escrevendo tarefas...</t>
  </si>
  <si>
    <t>2016-11-21_19:46 - Escrevendo locais...</t>
  </si>
  <si>
    <t>2016-11-21_19:46 - Escrevendo períodos...</t>
  </si>
  <si>
    <t>2016-11-21_19:46 - Escrevendo fornecedores...</t>
  </si>
  <si>
    <t>2016-11-21_19:46 - Escrevendo departamentos...</t>
  </si>
  <si>
    <t>2016-11-21_19:46 - Escrevendo centros de custo...</t>
  </si>
  <si>
    <t>2016-11-21_19:46 - Escrevendo recursos e classes de transacao...</t>
  </si>
  <si>
    <t>2016-11-21_19:46 - Escrevendo classes de transacao...</t>
  </si>
  <si>
    <t>2016-11-21_19:46 - Escrevendo Projetos...</t>
  </si>
  <si>
    <t>2016-11-21_19:48 - -------------Início da exportação transações de projeto-------------</t>
  </si>
  <si>
    <t>2016-11-21_19:48 - Arquivo xog sendo gravado em: C:\xog_hypermarcas\xog_transaction_delete_20161121_194839.xml</t>
  </si>
  <si>
    <t>2016-11-21_19:48 - Ambiente selecionado: QAS</t>
  </si>
  <si>
    <t>2016-11-21_19:48 -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</si>
  <si>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2016-11-21_19:48 - Enviando requisição de login</t>
  </si>
  <si>
    <t>2016-11-21_19:48 - Login realizado. SessionID capturado: 15158789__E36DCDDA-FE84-4556-B9CE-924056CEC2C3</t>
  </si>
  <si>
    <t>2016-11-21_19:48 - Chamando mensagem de requisição</t>
  </si>
  <si>
    <t>2016-11-21_19:48 - Capturando resultado final</t>
  </si>
  <si>
    <t>2016-11-21_19:48 - Efetuando logout</t>
  </si>
  <si>
    <t>2016-11-21_19:48 - Logout realizado</t>
  </si>
  <si>
    <t>2016-11-21_19:48 - -------------Fim da exportação transações de projeto-------------</t>
  </si>
  <si>
    <t>2016-11-21_19:49 - Ambiente selecionado: QAS</t>
  </si>
  <si>
    <t>2016-11-21_19:49 - Escrevendo tarefas...</t>
  </si>
  <si>
    <t>2016-11-21_19:49 - Escrevendo locais...</t>
  </si>
  <si>
    <t>2016-11-21_19:49 - Escrevendo períodos...</t>
  </si>
  <si>
    <t>2016-11-21_19:49 - Escrevendo fornecedores...</t>
  </si>
  <si>
    <t>2016-11-21_19:49 - Escrevendo departamentos...</t>
  </si>
  <si>
    <t>2016-11-21_19:49 - Escrevendo centros de custo...</t>
  </si>
  <si>
    <t>2016-11-21_19:49 - Escrevendo recursos e classes de transacao...</t>
  </si>
  <si>
    <t>2016-11-21_19:49 - Escrevendo classes de transacao...</t>
  </si>
  <si>
    <t>2016-11-21_19:49 - Escrevendo Projetos...</t>
  </si>
  <si>
    <t>2016-11-21_19:50 - -------------Início da exportação transações de projeto-------------</t>
  </si>
  <si>
    <t>2016-11-21_19:50 - Arquivo xog sendo gravado em: C:\xog_hypermarcas\xog_transaction_delete_20161121_195053.xml</t>
  </si>
  <si>
    <t>2016-11-21_19:50 - Ambiente selecionado: QAS</t>
  </si>
  <si>
    <t>2016-11-21_19:50 -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</si>
  <si>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2016-11-21_19:50 - Enviando requisição de login</t>
  </si>
  <si>
    <t>2016-11-21_19:50 - Login realizado. SessionID capturado: 15158801__7F2D23E1-4492-428D-94DA-1578F9AC4D0F</t>
  </si>
  <si>
    <t>2016-11-21_19:50 - Chamando mensagem de requisição</t>
  </si>
  <si>
    <t>2016-11-21_19:50 - Capturando resultado final</t>
  </si>
  <si>
    <t>2016-11-21_19:50 - Efetuando logout</t>
  </si>
  <si>
    <t>2016-11-21_19:50 - Logout realizado</t>
  </si>
  <si>
    <t>2016-11-21_19:50 - -------------Fim da exportação transações de projeto-------------</t>
  </si>
  <si>
    <t>2016-11-21_19:50 - Arquivo xog sendo gravado em: C:\xog_hypermarcas\xog_transaction_20161121_195058.xml</t>
  </si>
  <si>
    <t>2016-11-21_19:50 - Login realizado. SessionID capturado: 15158802__3CAC4661-C55C-4CF9-A5EB-5DA701C8668C</t>
  </si>
  <si>
    <t>2016-11-21_20:09 - -------------Início da exportação transações de projeto-------------</t>
  </si>
  <si>
    <t>2016-11-21_20:09 - Arquivo xog sendo gravado em: C:\xog_hypermarcas\xog_transaction_delete_20161121_200920.xml</t>
  </si>
  <si>
    <t>2016-11-21_20:09 - Ambiente selecionado: QAS</t>
  </si>
  <si>
    <t>2016-11-21_20:09 -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</si>
  <si>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2016-11-21_20:09 - Enviando requisição de login</t>
  </si>
  <si>
    <t>2016-11-21_20:09 - Login realizado. SessionID capturado: 15158834__5346F2DD-C026-49D7-ADE0-29D99CBD0F7F</t>
  </si>
  <si>
    <t>2016-11-21_20:09 - Chamando mensagem de requisição</t>
  </si>
  <si>
    <t>2016-11-21_20:09 - Capturando resultado final</t>
  </si>
  <si>
    <t>2016-11-21_20:09 - Efetuando logout</t>
  </si>
  <si>
    <t>2016-11-21_20:09 - Logout realizado</t>
  </si>
  <si>
    <t>2016-11-21_20:09 - -------------Fim da exportação transações de projeto-------------</t>
  </si>
  <si>
    <t>2016-11-21_20:09 - Arquivo xog sendo gravado em: C:\xog_hypermarcas\xog_transaction_20161121_200925.xml</t>
  </si>
  <si>
    <t>2016-11-21_20:09 - Login realizado. SessionID capturado: 15158837__085436F0-F313-4636-83BD-1C5ABF979E91</t>
  </si>
  <si>
    <t>2016-11-21_20:10 - Ambiente selecionado: QAS</t>
  </si>
  <si>
    <t>2016-11-21_20:10 - Escrevendo tarefas...</t>
  </si>
  <si>
    <t>2016-11-21_20:10 - Escrevendo locais...</t>
  </si>
  <si>
    <t>2016-11-21_20:10 - Escrevendo períodos...</t>
  </si>
  <si>
    <t>2016-11-21_20:10 - Escrevendo fornecedores...</t>
  </si>
  <si>
    <t>2016-11-21_20:10 - Escrevendo departamentos...</t>
  </si>
  <si>
    <t>2016-11-21_20:10 - Escrevendo centros de custo...</t>
  </si>
  <si>
    <t>2016-11-21_20:10 - Escrevendo recursos e classes de transacao...</t>
  </si>
  <si>
    <t>2016-11-21_20:10 - Escrevendo classes de transacao...</t>
  </si>
  <si>
    <t>2016-11-21_20:10 - Escrevendo Projetos...</t>
  </si>
  <si>
    <t>2016-11-21_20:11 - -------------Início da exportação transações de projeto-------------</t>
  </si>
  <si>
    <t>2016-11-21_20:11 - Arquivo xog sendo gravado em: C:\xog_hypermarcas\xog_transaction_delete_20161121_201102.xml</t>
  </si>
  <si>
    <t>2016-11-21_20:11 - Ambiente selecionado: QAS</t>
  </si>
  <si>
    <t>2016-11-21_20:11 -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</si>
  <si>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2016-11-21_20:11 - Enviando requisição de login</t>
  </si>
  <si>
    <t>2016-11-21_20:11 - Login realizado. SessionID capturado: 15158845__9414F61C-E249-497D-BBC9-4BE206E1C978</t>
  </si>
  <si>
    <t>2016-11-21_20:11 - Chamando mensagem de requisição</t>
  </si>
  <si>
    <t>2016-11-21_20:11 - Capturando resultado final</t>
  </si>
  <si>
    <t>2016-11-21_20:11 - Efetuando logout</t>
  </si>
  <si>
    <t>2016-11-21_20:11 - Logout realizado</t>
  </si>
  <si>
    <t>2016-11-21_20:11 - -------------Fim da exportação transações de projeto-------------</t>
  </si>
  <si>
    <t>2016-11-21_20:11 - Arquivo xog sendo gravado em: C:\xog_hypermarcas\xog_transaction_20161121_201108.xml</t>
  </si>
  <si>
    <t>2016-11-21_20:11 - Login realizado. SessionID capturado: 15158846__08289C61-4844-4059-BF1B-D7FA767E242E</t>
  </si>
  <si>
    <t>2016-11-21_20:12 - Ambiente selecionado: QAS</t>
  </si>
  <si>
    <t>2016-11-21_20:12 - Escrevendo tarefas...</t>
  </si>
  <si>
    <t>2016-11-21_20:12 - Escrevendo locais...</t>
  </si>
  <si>
    <t>2016-11-21_20:12 - Escrevendo períodos...</t>
  </si>
  <si>
    <t>2016-11-21_20:12 - Escrevendo fornecedores...</t>
  </si>
  <si>
    <t>2016-11-21_20:12 - Escrevendo departamentos...</t>
  </si>
  <si>
    <t>2016-11-21_20:12 - Escrevendo centros de custo...</t>
  </si>
  <si>
    <t>2016-11-21_20:12 - Escrevendo recursos e classes de transacao...</t>
  </si>
  <si>
    <t>2016-11-21_20:12 - Escrevendo classes de transacao...</t>
  </si>
  <si>
    <t>2016-11-21_20:12 - Escrevendo Projetos...</t>
  </si>
  <si>
    <t>2016-11-21_20:16 - -------------Início da exportação transações de projeto-------------</t>
  </si>
  <si>
    <t>2016-11-21_20:16 - Arquivo xog sendo gravado em: C:\xog_hypermarcas\xog_transaction_delete_20161121_201615.xml</t>
  </si>
  <si>
    <t>2016-11-21_20:16 - Ambiente selecionado: QAS</t>
  </si>
  <si>
    <t>2016-11-21_20:16 -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</si>
  <si>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2016-11-21_20:16 - Enviando requisição de login</t>
  </si>
  <si>
    <t>2016-11-21_20:16 - Login realizado. SessionID capturado: 15158854__44225A5C-CC3B-462F-8A27-8E4BD121D81A</t>
  </si>
  <si>
    <t>2016-11-21_20:16 - Chamando mensagem de requisição</t>
  </si>
  <si>
    <t>2016-11-21_20:16 - Capturando resultado final</t>
  </si>
  <si>
    <t>2016-11-21_20:16 - Efetuando logout</t>
  </si>
  <si>
    <t>2016-11-21_20:16 - Logout realizado</t>
  </si>
  <si>
    <t>2016-11-21_20:16 - -------------Fim da exportação transações de projeto-------------</t>
  </si>
  <si>
    <t>2016-11-21_20:16 - Arquivo xog sendo gravado em: C:\xog_hypermarcas\xog_transaction_20161121_201621.xml</t>
  </si>
  <si>
    <t>2016-11-21_20:16 - Login realizado. SessionID capturado: 15158855__0B98959A-CCD4-4D4A-B266-591C59517B79</t>
  </si>
  <si>
    <t>2016-12-26_16:46 - Ambiente selecionado: QAS</t>
  </si>
  <si>
    <t>2016-12-26_16:46 - Escrevendo tarefas...</t>
  </si>
  <si>
    <t>2016-12-26_16:46 - Escrevendo locais...</t>
  </si>
  <si>
    <t>2016-12-26_16:46 - Escrevendo períodos...</t>
  </si>
  <si>
    <t>2016-12-26_16:46 - Escrevendo fornecedores...</t>
  </si>
  <si>
    <t>2016-12-26_16:46 - Escrevendo departamentos...</t>
  </si>
  <si>
    <t>2016-12-26_16:46 - Escrevendo centros de custo...</t>
  </si>
  <si>
    <t>2016-12-26_16:46 - Escrevendo recursos e classes de transacao...</t>
  </si>
  <si>
    <t>2016-12-26_16:46 - Escrevendo classes de transacao...</t>
  </si>
  <si>
    <t>2016-12-26_16:46 - Escrevendo Projetos...</t>
  </si>
  <si>
    <t>2016-12-26_16:48 - -------------Início da exportação transações de projeto-------------</t>
  </si>
  <si>
    <t>2016-12-26_16:48 - Arquivo xog sendo gravado em: C:\xog_hypermarcas\xog_costplan_20161226_164812.xml</t>
  </si>
  <si>
    <t>2016-12-26_16:48 - Ambiente selecionado: QAS</t>
  </si>
  <si>
    <t>2016-12-26_16:48 -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</si>
  <si>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2016-12-26_16:48 - Enviando requisição de login</t>
  </si>
  <si>
    <t>2016-12-26_16:48 - Login realizado. SessionID capturado: 16144862__CD7CBFE0-2E9B-4FAA-8139-15771144A6FA</t>
  </si>
  <si>
    <t>2016-12-26_16:48 - Chamando mensagem de requisição</t>
  </si>
  <si>
    <t>2016-12-26_16:48 - Capturando resultado final</t>
  </si>
  <si>
    <t>2016-12-26_16:48 - Efetuando logout</t>
  </si>
  <si>
    <t>2016-12-26_16:48 - Logout realizado</t>
  </si>
  <si>
    <t>2016-12-26_16:48 - -------------Fim da exportação transações de projeto-------------</t>
  </si>
  <si>
    <t>2016-12-26_16:51 - -------------Início da exportação transações de projeto-------------</t>
  </si>
  <si>
    <t>2016-12-26_16:51 - Arquivo xog sendo gravado em: C:\xog_hypermarcas\xog_transaction_delete_20161226_165152.xml</t>
  </si>
  <si>
    <t>2016-12-26_16:51 - Ambiente selecionado: QAS</t>
  </si>
  <si>
    <t>2016-12-26_16:51 -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</si>
  <si>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2016-12-26_16:51 - Enviando requisição de login</t>
  </si>
  <si>
    <t>2016-12-26_16:51 - Login realizado. SessionID capturado: 16144875__215698C4-36B0-47F0-96DB-F49CDCADFB6E</t>
  </si>
  <si>
    <t>2016-12-26_16:51 - Chamando mensagem de requisição</t>
  </si>
  <si>
    <t>2016-12-26_16:51 - Capturando resultado final</t>
  </si>
  <si>
    <t>2016-12-26_16:51 - Efetuando logout</t>
  </si>
  <si>
    <t>2016-12-26_16:51 - Logout realizado</t>
  </si>
  <si>
    <t>2016-12-26_16:51 - -------------Fim da exportação transações de projeto-------------</t>
  </si>
  <si>
    <t>2016-12-26_16:51 - Arquivo xog sendo gravado em: C:\xog_hypermarcas\xog_transaction_20161226_165158.xml</t>
  </si>
  <si>
    <t>2016-12-26_16:51 - Login realizado. SessionID capturado: 16144876__A685F524-B6CA-46BF-88FF-998C04C3CB4D</t>
  </si>
  <si>
    <t>2016-12-26_16:57 - -------------Início da exportação transações de projeto-------------</t>
  </si>
  <si>
    <t>2016-12-26_16:57 - Arquivo xog sendo gravado em: C:\xog_hypermarcas\xog_transaction_delete_20161226_165720.xml</t>
  </si>
  <si>
    <t>2016-12-26_16:57 - Ambiente selecionado: QAS</t>
  </si>
  <si>
    <t>2016-12-26_16:57 -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</si>
  <si>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2016-12-26_16:57 - Enviando requisição de login</t>
  </si>
  <si>
    <t>2016-12-26_16:57 - Login realizado. SessionID capturado: 16144893__80557C97-1476-425D-AA2C-DD5CE73922D3</t>
  </si>
  <si>
    <t>2016-12-26_16:57 - Chamando mensagem de requisição</t>
  </si>
  <si>
    <t>2016-12-26_16:57 - Capturando resultado final</t>
  </si>
  <si>
    <t>2016-12-26_16:57 - Efetuando logout</t>
  </si>
  <si>
    <t>2016-12-26_16:57 - Logout realizado</t>
  </si>
  <si>
    <t>2016-12-26_16:57 - -------------Fim da exportação transações de projeto-------------</t>
  </si>
  <si>
    <t>2016-12-26_16:57 - Arquivo xog sendo gravado em: C:\xog_hypermarcas\xog_transaction_20161226_165725.xml</t>
  </si>
  <si>
    <t>2016-12-26_16:57 - Login realizado. SessionID capturado: 16144894__B18FEFAB-D452-44EA-9C5F-6658A6D0DF4F</t>
  </si>
  <si>
    <t>2016-12-26_16:59 - -------------Início da exportação transações de projeto-------------</t>
  </si>
  <si>
    <t>2016-12-26_16:59 - Arquivo xog sendo gravado em: C:\xog_hypermarcas\xog_transaction_delete_20161226_165942.xml</t>
  </si>
  <si>
    <t>2016-12-26_16:59 - Ambiente selecionado: QAS</t>
  </si>
  <si>
    <t>2016-12-26_16:59 -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</si>
  <si>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2016-12-26_16:59 - Enviando requisição de login</t>
  </si>
  <si>
    <t>2016-12-26_16:59 - Login realizado. SessionID capturado: 16144903__7ADE3437-A3BC-431E-BC7B-9E463041B85E</t>
  </si>
  <si>
    <t>2016-12-26_16:59 - Chamando mensagem de requisição</t>
  </si>
  <si>
    <t>2016-12-26_16:59 - Capturando resultado final</t>
  </si>
  <si>
    <t>2016-12-26_16:59 - Efetuando logout</t>
  </si>
  <si>
    <t>2016-12-26_16:59 - Logout realizado</t>
  </si>
  <si>
    <t>2016-12-26_16:59 - -------------Fim da exportação transações de projeto-------------</t>
  </si>
  <si>
    <t>2016-12-26_16:59 - Arquivo xog sendo gravado em: C:\xog_hypermarcas\xog_transaction_20161226_165948.xml</t>
  </si>
  <si>
    <t>2016-12-26_16:59 - Login realizado. SessionID capturado: 16144904__CF356FDE-C9FD-4DDF-82DC-40B7F45D27A6</t>
  </si>
  <si>
    <t>2016-12-26_17:05 - -------------Início da exportação transações de projeto-------------</t>
  </si>
  <si>
    <t>2016-12-26_17:05 - Arquivo xog sendo gravado em: C:\xog_hypermarcas\xog_transaction_delete_20161226_170559.xml</t>
  </si>
  <si>
    <t>2016-12-26_17:05 - Ambiente selecionado: QAS</t>
  </si>
  <si>
    <t>2016-12-26_17:05 -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</si>
  <si>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2016-12-26_17:05 - Enviando requisição de login</t>
  </si>
  <si>
    <t>2016-12-26_17:05 - Login realizado. SessionID capturado: 16144914__F7CE881C-AFB0-4340-B2BB-06281F002788</t>
  </si>
  <si>
    <t>2016-12-26_17:05 - Chamando mensagem de requisição</t>
  </si>
  <si>
    <t>2016-12-26_17:06 - Capturando resultado final</t>
  </si>
  <si>
    <t>2016-12-26_17:06 - Efetuando logout</t>
  </si>
  <si>
    <t>2016-12-26_17:06 - Logout realizado</t>
  </si>
  <si>
    <t>2016-12-26_17:06 - -------------Fim da exportação transações de projeto-------------</t>
  </si>
  <si>
    <t>2016-12-26_17:06 - -------------Início da exportação transações de projeto-------------</t>
  </si>
  <si>
    <t>2016-12-26_17:06 - Arquivo xog sendo gravado em: C:\xog_hypermarcas\xog_transaction_20161226_170605.xml</t>
  </si>
  <si>
    <t>2016-12-26_17:06 - Ambiente selecionado: QAS</t>
  </si>
  <si>
    <t>2016-12-26_17:06 -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</si>
  <si>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2016-12-26_17:06 - Enviando requisição de login</t>
  </si>
  <si>
    <t>2016-12-26_17:06 - Login realizado. SessionID capturado: 16144915__E29F755C-905F-47AC-8294-BD3D302E9456</t>
  </si>
  <si>
    <t>2016-12-26_17:06 - Chamando mensagem de requisição</t>
  </si>
  <si>
    <t>2016-12-26_17:12 - -------------Início da exportação transações de projeto-------------</t>
  </si>
  <si>
    <t>2016-12-26_17:12 - Arquivo xog sendo gravado em: C:\xog_hypermarcas\xog_transaction_delete_20161226_171209.xml</t>
  </si>
  <si>
    <t>2016-12-26_17:12 - Ambiente selecionado: QAS</t>
  </si>
  <si>
    <t>2016-12-26_17:12 -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</si>
  <si>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2016-12-26_17:12 - Enviando requisição de login</t>
  </si>
  <si>
    <t>2016-12-26_17:12 - Login realizado. SessionID capturado: 16144916__5697EB00-C2C9-48AF-970B-636D2F5A2308</t>
  </si>
  <si>
    <t>2016-12-26_17:12 - Chamando mensagem de requisição</t>
  </si>
  <si>
    <t>2016-12-26_17:12 - Capturando resultado final</t>
  </si>
  <si>
    <t>2016-12-26_17:12 - Efetuando logout</t>
  </si>
  <si>
    <t>2016-12-26_17:12 - Logout realizado</t>
  </si>
  <si>
    <t>2016-12-26_17:12 - -------------Fim da exportação transações de projeto-------------</t>
  </si>
  <si>
    <t>2016-12-26_17:12 - Arquivo xog sendo gravado em: C:\xog_hypermarcas\xog_transaction_20161226_171215.xml</t>
  </si>
  <si>
    <t>2016-12-26_17:12 - Login realizado. SessionID capturado: 16144917__167EB021-87DE-4CEB-B951-171922073CD3</t>
  </si>
  <si>
    <t>2016-12-26_17:39 - -------------Início da exportação transações de projeto-------------</t>
  </si>
  <si>
    <t>2016-12-26_17:39 - Arquivo xog sendo gravado em: C:\xog_hypermarcas\xog_transaction_delete_20161226_173921.xml</t>
  </si>
  <si>
    <t>2016-12-26_17:39 - Ambiente selecionado: QAS</t>
  </si>
  <si>
    <t>2016-12-26_17:39 -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</si>
  <si>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2016-12-26_17:39 - Enviando requisição de login</t>
  </si>
  <si>
    <t>2016-12-26_17:39 - Login realizado. SessionID capturado: 16145008__1CC80A6C-3E75-492F-8A9D-DA9AC500B77A</t>
  </si>
  <si>
    <t>2016-12-26_17:39 - Chamando mensagem de requisição</t>
  </si>
  <si>
    <t>2016-12-26_17:39 - Capturando resultado final</t>
  </si>
  <si>
    <t>2016-12-26_17:39 - Efetuando logout</t>
  </si>
  <si>
    <t>2016-12-26_17:39 - Logout realizado</t>
  </si>
  <si>
    <t>2016-12-26_17:39 - -------------Fim da exportação transações de projeto-------------</t>
  </si>
  <si>
    <t>2016-12-26_17:39 - Arquivo xog sendo gravado em: C:\xog_hypermarcas\xog_transaction_20161226_173926.xml</t>
  </si>
  <si>
    <t>2016-12-26_17:39 - Login realizado. SessionID capturado: 16145009__5169DADB-6D6F-4024-A488-39AEE92DEA16</t>
  </si>
  <si>
    <t>2016-12-26_17:46 - -------------Início da exportação transações de projeto-------------</t>
  </si>
  <si>
    <t>2016-12-26_17:46 - Arquivo xog sendo gravado em: C:\xog_hypermarcas\xog_transaction_delete_20161226_174607.xml</t>
  </si>
  <si>
    <t>2016-12-26_17:46 - Ambiente selecionado: QAS</t>
  </si>
  <si>
    <t>2016-12-26_17:46 -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</si>
  <si>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2016-12-26_17:46 - Enviando requisição de login</t>
  </si>
  <si>
    <t>2016-12-26_17:46 - Login realizado. SessionID capturado: 16151029__C2E0DAC4-0CE5-4E92-BD9A-9D458EC02FCF</t>
  </si>
  <si>
    <t>2016-12-26_17:46 - Chamando mensagem de requisição</t>
  </si>
  <si>
    <t>2016-12-26_17:46 - Capturando resultado final</t>
  </si>
  <si>
    <t>2016-12-26_17:46 - Efetuando logout</t>
  </si>
  <si>
    <t>2016-12-26_17:46 - Logout realizado</t>
  </si>
  <si>
    <t>2016-12-26_17:46 - -------------Fim da exportação transações de projeto-------------</t>
  </si>
  <si>
    <t>2016-12-26_17:46 - Arquivo xog sendo gravado em: C:\xog_hypermarcas\xog_transaction_20161226_174612.xml</t>
  </si>
  <si>
    <t>2016-12-26_17:46 - Login realizado. SessionID capturado: 16151030__D58DD6A0-42C2-40D4-B7E6-1B2DD8AFC996</t>
  </si>
  <si>
    <t>2016-12-26_18:01 - -------------Início da exportação transações de projeto-------------</t>
  </si>
  <si>
    <t>2016-12-26_18:01 - Arquivo xog sendo gravado em: C:\xog_hypermarcas\xog_costplan_20161226_180127.xml</t>
  </si>
  <si>
    <t>2016-12-26_18:01 - Ambiente selecionado: PROD</t>
  </si>
  <si>
    <t>2016-12-26_18:01 -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</si>
  <si>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2016-12-26_18:01 - Enviando requisição de login</t>
  </si>
  <si>
    <t>2016-12-26_18:01 - Login realizado. SessionID capturado: 11106581__22CD5BD4-F0E7-4D04-ADCD-F362C7DB73E1</t>
  </si>
  <si>
    <t>2016-12-26_18:01 - Chamando mensagem de requisição</t>
  </si>
  <si>
    <t>2016-12-26_18:01 - Capturando resultado final</t>
  </si>
  <si>
    <t>2016-12-26_18:01 - Efetuando logout</t>
  </si>
  <si>
    <t>2016-12-26_18:01 - Logout realizado</t>
  </si>
  <si>
    <t>2016-12-26_18:01 - -------------Fim da exportação transações de projeto-------------</t>
  </si>
  <si>
    <t>2016-12-26_18:02 - -------------Início da exportação transações de projeto-------------</t>
  </si>
  <si>
    <t>2016-12-26_18:02 - Arquivo xog sendo gravado em: C:\xog_hypermarcas\xog_transaction_delete_20161226_180217.xml</t>
  </si>
  <si>
    <t>2016-12-26_18:02 - Ambiente selecionado: PROD</t>
  </si>
  <si>
    <t>2016-12-26_18:02 -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</si>
  <si>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2016-12-26_18:02 - Enviando requisição de login</t>
  </si>
  <si>
    <t>2016-12-26_18:02 - Login realizado. SessionID capturado: 11106585__A02A26D5-88A0-4A93-91A0-38E489097771</t>
  </si>
  <si>
    <t>2016-12-26_18:02 - Chamando mensagem de requisição</t>
  </si>
  <si>
    <t>2016-12-26_18:02 - Capturando resultado final</t>
  </si>
  <si>
    <t>2016-12-26_18:02 - Efetuando logout</t>
  </si>
  <si>
    <t>2016-12-26_18:02 - Logout realizado</t>
  </si>
  <si>
    <t>2016-12-26_18:02 - -------------Fim da exportação transações de projeto-------------</t>
  </si>
  <si>
    <t>2016-12-26_18:02 - Arquivo xog sendo gravado em: C:\xog_hypermarcas\xog_transaction_20161226_180223.xml</t>
  </si>
  <si>
    <t>2016-12-26_18:02 - Login realizado. SessionID capturado: 11106586__6D132B58-7AB6-45EB-8E12-654EA885BFA3</t>
  </si>
  <si>
    <t>2016-12-26_18:03 - Ambiente selecionado: PROD</t>
  </si>
  <si>
    <t>2016-12-26_18:03 - Escrevendo tarefas...</t>
  </si>
  <si>
    <t>2016-12-26_18:03 - Escrevendo locais...</t>
  </si>
  <si>
    <t>2016-12-26_18:03 - Escrevendo períodos...</t>
  </si>
  <si>
    <t>2016-12-26_18:03 - Escrevendo fornecedores...</t>
  </si>
  <si>
    <t>2016-12-26_18:03 - Escrevendo departamentos...</t>
  </si>
  <si>
    <t>2016-12-26_18:03 - Escrevendo centros de custo...</t>
  </si>
  <si>
    <t>2016-12-26_18:03 - Escrevendo recursos e classes de transacao...</t>
  </si>
  <si>
    <t>2016-12-26_18:03 - Escrevendo classes de transacao...</t>
  </si>
  <si>
    <t>2016-12-26_18:03 - Escrevendo Projetos...</t>
  </si>
  <si>
    <t>2016-12-26_18:07 - Ambiente selecionado: PROD</t>
  </si>
  <si>
    <t>2016-12-26_18:07 - Escrevendo tarefas...</t>
  </si>
  <si>
    <t>2016-12-26_18:07 - Escrevendo locais...</t>
  </si>
  <si>
    <t>2016-12-26_18:07 - Escrevendo períodos...</t>
  </si>
  <si>
    <t>2016-12-26_18:07 - Escrevendo fornecedores...</t>
  </si>
  <si>
    <t>2016-12-26_18:07 - Escrevendo departamentos...</t>
  </si>
  <si>
    <t>2016-12-26_18:07 - Escrevendo centros de custo...</t>
  </si>
  <si>
    <t>2016-12-26_18:07 - Escrevendo recursos e classes de transacao...</t>
  </si>
  <si>
    <t>2016-12-26_18:07 - Escrevendo classes de transacao...</t>
  </si>
  <si>
    <t>2016-12-26_18:07 - Escrevendo Projetos...</t>
  </si>
  <si>
    <t>2016-12-26_18:12 - Ambiente selecionado: QAS</t>
  </si>
  <si>
    <t>2016-12-26_18:12 - Escrevendo tarefas...</t>
  </si>
  <si>
    <t>2016-12-26_18:12 - Escrevendo locais...</t>
  </si>
  <si>
    <t>2016-12-26_18:12 - Escrevendo períodos...</t>
  </si>
  <si>
    <t>2016-12-26_18:12 - Escrevendo fornecedores...</t>
  </si>
  <si>
    <t>2016-12-26_18:12 - Escrevendo departamentos...</t>
  </si>
  <si>
    <t>2016-12-26_18:12 - Escrevendo centros de custo...</t>
  </si>
  <si>
    <t>2016-12-26_18:12 - Escrevendo recursos e classes de transacao...</t>
  </si>
  <si>
    <t>2016-12-26_18:12 - Escrevendo classes de transacao...</t>
  </si>
  <si>
    <t>2016-12-26_18:12 - Escrevendo Projetos...</t>
  </si>
  <si>
    <t>2016-12-27_10:37 - Ambiente selecionado: QAS</t>
  </si>
  <si>
    <t>2016-12-27_10:37 - Escrevendo tarefas...</t>
  </si>
  <si>
    <t>2016-12-27_10:37 - Escrevendo locais...</t>
  </si>
  <si>
    <t>2016-12-27_10:37 - Escrevendo períodos...</t>
  </si>
  <si>
    <t>2016-12-27_10:37 - Escrevendo fornecedores...</t>
  </si>
  <si>
    <t>2016-12-27_10:37 - Escrevendo departamentos...</t>
  </si>
  <si>
    <t>2016-12-27_10:37 - Escrevendo centros de custo...</t>
  </si>
  <si>
    <t>2016-12-27_10:37 - Escrevendo recursos e classes de transacao...</t>
  </si>
  <si>
    <t>2016-12-27_10:37 - Escrevendo classes de transacao...</t>
  </si>
  <si>
    <t>2016-12-27_10:37 - Escrevendo Projetos...</t>
  </si>
  <si>
    <t>2016-12-27_10:37 - -------------Início da exportação transações de projeto-------------</t>
  </si>
  <si>
    <t>2016-12-27_10:37 - Arquivo xog sendo gravado em: C:\xog_hypermarcas\xog_costplan_20161227_103751.xml</t>
  </si>
  <si>
    <t>2016-12-27_10:37 -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</si>
  <si>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2016-12-27_10:37 - Enviando requisição de login</t>
  </si>
  <si>
    <t>2016-12-27_10:37 - Login realizado. SessionID capturado: 16153836__4AFC0694-2347-4AF0-9D1C-95CA0B0DCB59</t>
  </si>
  <si>
    <t>2016-12-27_10:37 - Chamando mensagem de requisição</t>
  </si>
  <si>
    <t>2016-12-27_10:37 - Capturando resultado final</t>
  </si>
  <si>
    <t>2016-12-27_10:37 - Efetuando logout</t>
  </si>
  <si>
    <t>2016-12-27_10:37 - Logout realizado</t>
  </si>
  <si>
    <t>2016-12-27_10:37 - -------------Fim da exportação transações de projeto-------------</t>
  </si>
  <si>
    <t>2016-12-27_10:40 - -------------Início da exportação transações de projeto-------------</t>
  </si>
  <si>
    <t>2016-12-27_10:40 - Arquivo xog sendo gravado em: C:\xog_hypermarcas\xog_transaction_delete_20161227_104053.xml</t>
  </si>
  <si>
    <t>2016-12-27_10:40 - Ambiente selecionado: QAS</t>
  </si>
  <si>
    <t>2016-12-27_10:40 -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</si>
  <si>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2016-12-27_10:40 - Enviando requisição de login</t>
  </si>
  <si>
    <t>2016-12-27_10:40 - Login realizado. SessionID capturado: 16153840__AB2D8713-90F3-4318-9EDE-1F3D34F02FD3</t>
  </si>
  <si>
    <t>2016-12-27_10:40 - Chamando mensagem de requisição</t>
  </si>
  <si>
    <t>2016-12-27_10:40 - Capturando resultado final</t>
  </si>
  <si>
    <t>2016-12-27_10:40 - Efetuando logout</t>
  </si>
  <si>
    <t>2016-12-27_10:40 - Logout realizado</t>
  </si>
  <si>
    <t>2016-12-27_10:40 - -------------Fim da exportação transações de projeto-------------</t>
  </si>
  <si>
    <t>2016-12-27_10:40 - Arquivo xog sendo gravado em: C:\xog_hypermarcas\xog_transaction_20161227_104058.xml</t>
  </si>
  <si>
    <t>2016-12-27_10:40 - Login realizado. SessionID capturado: 16153841__6DA1B62C-A986-4677-9A25-801BA8E20A41</t>
  </si>
  <si>
    <t>2016-12-27_10:48 - -------------Início da exportação transações de projeto-------------</t>
  </si>
  <si>
    <t>2016-12-27_10:48 - Arquivo xog sendo gravado em: C:\xog_hypermarcas\xog_transaction_delete_20161227_104843.xml</t>
  </si>
  <si>
    <t>2016-12-27_10:48 - Ambiente selecionado: QAS</t>
  </si>
  <si>
    <t>2016-12-27_10:48 -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</si>
  <si>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2016-12-27_10:48 - Enviando requisição de login</t>
  </si>
  <si>
    <t>2016-12-27_10:48 - Login realizado. SessionID capturado: 16153850__3BAF095D-9DAB-44B4-9134-C4494C793AA5</t>
  </si>
  <si>
    <t>2016-12-27_10:48 - Chamando mensagem de requisição</t>
  </si>
  <si>
    <t>2016-12-27_10:48 - Capturando resultado final</t>
  </si>
  <si>
    <t>2016-12-27_10:48 - Efetuando logout</t>
  </si>
  <si>
    <t>2016-12-27_10:48 - Logout realizado</t>
  </si>
  <si>
    <t>2016-12-27_10:48 - -------------Fim da exportação transações de projeto-------------</t>
  </si>
  <si>
    <t>2016-12-27_10:48 - Arquivo xog sendo gravado em: C:\xog_hypermarcas\xog_transaction_20161227_104848.xml</t>
  </si>
  <si>
    <t>2016-12-27_10:48 - Login realizado. SessionID capturado: 16153851__A2D5AC4B-5597-4463-B661-0B586639B3BB</t>
  </si>
  <si>
    <t>2016-12-27_10:56 - -------------Início da exportação transações de projeto-------------</t>
  </si>
  <si>
    <t>2016-12-27_10:56 - Arquivo xog sendo gravado em: C:\xog_hypermarcas\xog_transaction_delete_20161227_105646.xml</t>
  </si>
  <si>
    <t>2016-12-27_10:56 - Ambiente selecionado: QAS</t>
  </si>
  <si>
    <t>2016-12-27_10:56 -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</si>
  <si>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2016-12-27_10:56 - Enviando requisição de login</t>
  </si>
  <si>
    <t>2016-12-27_10:56 - Login realizado. SessionID capturado: 16153861__169D04E5-0335-4BD8-BDD2-DEFD081936AE</t>
  </si>
  <si>
    <t>2016-12-27_10:56 - Chamando mensagem de requisição</t>
  </si>
  <si>
    <t>2016-12-27_10:56 - Capturando resultado final</t>
  </si>
  <si>
    <t>2016-12-27_10:56 - Efetuando logout</t>
  </si>
  <si>
    <t>2016-12-27_10:56 - Logout realizado</t>
  </si>
  <si>
    <t>2016-12-27_10:56 - -------------Fim da exportação transações de projeto-------------</t>
  </si>
  <si>
    <t>2016-12-27_10:56 - Arquivo xog sendo gravado em: C:\xog_hypermarcas\xog_transaction_20161227_105652.xml</t>
  </si>
  <si>
    <t>2016-12-27_10:56 - Login realizado. SessionID capturado: 16153862__32B678FB-9219-4F4E-AC1C-D75FCF313E2C</t>
  </si>
  <si>
    <t>2016-12-27_10:59 - -------------Início da exportação transações de projeto-------------</t>
  </si>
  <si>
    <t>2016-12-27_10:59 - Arquivo xog sendo gravado em: C:\xog_hypermarcas\xog_transaction_delete_20161227_105903.xml</t>
  </si>
  <si>
    <t>2016-12-27_10:59 - Ambiente selecionado: QAS</t>
  </si>
  <si>
    <t>2016-12-27_10:59 -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</si>
  <si>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2016-12-27_10:59 - Enviando requisição de login</t>
  </si>
  <si>
    <t>2016-12-27_10:59 - Login realizado. SessionID capturado: 16153865__A5D0A854-C8BC-4DEB-9F06-EFD7EBDEFBBC</t>
  </si>
  <si>
    <t>2016-12-27_10:59 - Chamando mensagem de requisição</t>
  </si>
  <si>
    <t>2016-12-27_10:59 - Capturando resultado final</t>
  </si>
  <si>
    <t>2016-12-27_10:59 - Efetuando logout</t>
  </si>
  <si>
    <t>2016-12-27_10:59 - Logout realizado</t>
  </si>
  <si>
    <t>2016-12-27_10:59 - -------------Fim da exportação transações de projeto-------------</t>
  </si>
  <si>
    <t>2016-12-27_10:59 - Arquivo xog sendo gravado em: C:\xog_hypermarcas\xog_transaction_20161227_105908.xml</t>
  </si>
  <si>
    <t>2016-12-27_10:59 - Login realizado. SessionID capturado: 16153866__C17C1283-FB3D-47CE-8BBE-E13372906F46</t>
  </si>
  <si>
    <t>2016-12-27_11:11 - -------------Início da exportação transações de projeto-------------</t>
  </si>
  <si>
    <t>2016-12-27_11:11 - Arquivo xog sendo gravado em: C:\xog_hypermarcas\xog_transaction_delete_20161227_111104.xml</t>
  </si>
  <si>
    <t>2016-12-27_11:11 - Ambiente selecionado: QAS</t>
  </si>
  <si>
    <t>2016-12-27_11:11 -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</si>
  <si>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2016-12-27_11:11 - Enviando requisição de login</t>
  </si>
  <si>
    <t>2016-12-27_11:11 - Login realizado. SessionID capturado: 16153871__9EB31273-A7FF-4048-AB9F-0B0EAC1E938E</t>
  </si>
  <si>
    <t>2016-12-27_11:11 - Chamando mensagem de requisição</t>
  </si>
  <si>
    <t>2016-12-27_11:11 - Capturando resultado final</t>
  </si>
  <si>
    <t>2016-12-27_11:11 - Efetuando logout</t>
  </si>
  <si>
    <t>2016-12-27_11:11 - Logout realizado</t>
  </si>
  <si>
    <t>2016-12-27_11:11 - -------------Fim da exportação transações de projeto-------------</t>
  </si>
  <si>
    <t>2016-12-27_11:11 - Arquivo xog sendo gravado em: C:\xog_hypermarcas\xog_transaction_20161227_111109.xml</t>
  </si>
  <si>
    <t>2016-12-27_11:11 - Login realizado. SessionID capturado: 16153872__E3EF667B-5C3E-46E6-ACC2-5594D5BF6605</t>
  </si>
  <si>
    <t>2016-12-27_14:48 - -------------Início da exportação transações de projeto-------------</t>
  </si>
  <si>
    <t>2016-12-27_14:48 - Arquivo xog sendo gravado em: C:\xog_hypermarcas\xog_costplan_20161227_144858.xml</t>
  </si>
  <si>
    <t>2016-12-27_14:48 - Ambiente selecionado: PROD</t>
  </si>
  <si>
    <t>2016-12-27_14:48 -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</si>
  <si>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2016-12-27_14:48 - Enviando requisição de login</t>
  </si>
  <si>
    <t>2016-12-27_14:48 - Login realizado. SessionID capturado: 11118533__BB84A74F-8F8B-4371-851C-98F2DB5FA590</t>
  </si>
  <si>
    <t>2016-12-27_14:48 - Chamando mensagem de requisição</t>
  </si>
  <si>
    <t>2016-12-27_14:48 - Capturando resultado final</t>
  </si>
  <si>
    <t>2016-12-27_14:48 - Efetuando logout</t>
  </si>
  <si>
    <t>2016-12-27_14:48 - Logout realizado</t>
  </si>
  <si>
    <t>2016-12-27_14:48 - -------------Fim da exportação transações de projeto-------------</t>
  </si>
  <si>
    <t>2016-12-27_15:02 - Ambiente selecionado: PROD</t>
  </si>
  <si>
    <t>2016-12-27_15:02 - Escrevendo tarefas...</t>
  </si>
  <si>
    <t>2016-12-27_15:02 - Escrevendo locais...</t>
  </si>
  <si>
    <t>2016-12-27_15:02 - Escrevendo períodos...</t>
  </si>
  <si>
    <t>2016-12-27_15:02 - Escrevendo fornecedores...</t>
  </si>
  <si>
    <t>2016-12-27_15:02 - Escrevendo departamentos...</t>
  </si>
  <si>
    <t>2016-12-27_15:02 - Escrevendo centros de custo...</t>
  </si>
  <si>
    <t>2016-12-27_15:02 - Escrevendo recursos e classes de transacao...</t>
  </si>
  <si>
    <t>2016-12-27_15:02 - Escrevendo classes de transacao...</t>
  </si>
  <si>
    <t>2016-12-27_15:02 - Escrevendo Projetos...</t>
  </si>
  <si>
    <t>2016-12-27_15:03 - -------------Início da exportação transações de projeto-------------</t>
  </si>
  <si>
    <t>2016-12-27_15:03 - Arquivo xog sendo gravado em: C:\xog_hypermarcas\xog_costplan_20161227_150303.xml</t>
  </si>
  <si>
    <t>2016-12-27_15:03 - Ambiente selecionado: PROD</t>
  </si>
  <si>
    <t>2016-12-27_15:03 -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</si>
  <si>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2016-12-27_15:03 - Enviando requisição de login</t>
  </si>
  <si>
    <t>2016-12-27_15:03 - Login realizado. SessionID capturado: 11118595__0BDB0EDD-B8BE-49F8-8973-FC2D8D171C49</t>
  </si>
  <si>
    <t>2016-12-27_15:03 - Chamando mensagem de requisição</t>
  </si>
  <si>
    <t>2016-12-27_15:03 - Capturando resultado final</t>
  </si>
  <si>
    <t>2016-12-27_15:03 - Efetuando logout</t>
  </si>
  <si>
    <t>2016-12-27_15:03 - Logout realizado</t>
  </si>
  <si>
    <t>2016-12-27_15:03 - -------------Fim da exportação transações de projeto-------------</t>
  </si>
  <si>
    <t>2016-12-27_15:04 - -------------Início da exportação transações de projeto-------------</t>
  </si>
  <si>
    <t>2016-12-27_15:04 - Arquivo xog sendo gravado em: C:\xog_hypermarcas\xog_costplan_20161227_150429.xml</t>
  </si>
  <si>
    <t>2016-12-27_15:04 - Ambiente selecionado: PROD</t>
  </si>
  <si>
    <t>2016-12-27_15:04 -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</si>
  <si>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2016-12-27_15:04 - Enviando requisição de login</t>
  </si>
  <si>
    <t>2016-12-27_15:04 - Login realizado. SessionID capturado: 11118603__6F113747-4B94-4C1C-9357-8F48B16157B2</t>
  </si>
  <si>
    <t>2016-12-27_15:04 - Chamando mensagem de requisição</t>
  </si>
  <si>
    <t>2016-12-27_15:04 - Capturando resultado final</t>
  </si>
  <si>
    <t>2016-12-27_15:04 - Efetuando logout</t>
  </si>
  <si>
    <t>2016-12-27_15:04 - Logout realizado</t>
  </si>
  <si>
    <t>2016-12-27_15:04 - -------------Fim da exportação transações de projeto-------------</t>
  </si>
  <si>
    <t>2016-12-27_15:05 - -------------Início da exportação transações de projeto-------------</t>
  </si>
  <si>
    <t>2016-12-27_15:05 - Arquivo xog sendo gravado em: C:\xog_hypermarcas\xog_costplan_20161227_150511.xml</t>
  </si>
  <si>
    <t>2016-12-27_15:05 - Ambiente selecionado: PROD</t>
  </si>
  <si>
    <t>2016-12-27_15:05 -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</si>
  <si>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2016-12-27_15:05 - Enviando requisição de login</t>
  </si>
  <si>
    <t>2016-12-27_15:05 - Login realizado. SessionID capturado: 11118610__FA90DA63-487B-4826-A4B4-A8C81FC6315A</t>
  </si>
  <si>
    <t>2016-12-27_15:05 - Chamando mensagem de requisição</t>
  </si>
  <si>
    <t>2016-12-27_15:05 - Capturando resultado final</t>
  </si>
  <si>
    <t>2016-12-27_15:05 - Efetuando logout</t>
  </si>
  <si>
    <t>2016-12-27_15:05 - Logout realizado</t>
  </si>
  <si>
    <t>2016-12-27_15:05 - -------------Fim da exportação transações de projeto-------------</t>
  </si>
  <si>
    <t>2016-12-27_15:08 - -------------Início da exportação transações de projeto-------------</t>
  </si>
  <si>
    <t>2016-12-27_15:08 - Arquivo xog sendo gravado em: C:\xog_hypermarcas\xog_costplan_20161227_150814.xml</t>
  </si>
  <si>
    <t>2016-12-27_15:08 - Ambiente selecionado: PROD</t>
  </si>
  <si>
    <t>2016-12-27_15:08 -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</si>
  <si>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2016-12-27_15:08 - Enviando requisição de login</t>
  </si>
  <si>
    <t>2016-12-27_15:08 - Login realizado. SessionID capturado: 11118626__42BE5198-A4A6-4DEA-89D9-9A3DF8418B86</t>
  </si>
  <si>
    <t>2016-12-27_15:08 - Chamando mensagem de requisição</t>
  </si>
  <si>
    <t>2016-12-27_15:08 - Capturando resultado final</t>
  </si>
  <si>
    <t>2016-12-27_15:08 - Efetuando logout</t>
  </si>
  <si>
    <t>2016-12-27_15:08 - Logout realizado</t>
  </si>
  <si>
    <t>2016-12-27_15:08 - -------------Fim da exportação transações de projeto-------------</t>
  </si>
  <si>
    <t>2016-12-27_15:40 - Ambiente selecionado: PROD</t>
  </si>
  <si>
    <t>2016-12-27_15:40 - Escrevendo tarefas...</t>
  </si>
  <si>
    <t>2016-12-27_15:40 - Escrevendo locais...</t>
  </si>
  <si>
    <t>2016-12-27_15:40 - Escrevendo períodos...</t>
  </si>
  <si>
    <t>2016-12-27_15:40 - Escrevendo fornecedores...</t>
  </si>
  <si>
    <t>2016-12-27_15:40 - Escrevendo departamentos...</t>
  </si>
  <si>
    <t>2016-12-27_15:40 - Escrevendo centros de custo...</t>
  </si>
  <si>
    <t>2016-12-27_15:40 - Escrevendo recursos e classes de transacao...</t>
  </si>
  <si>
    <t>2016-12-27_15:40 - Escrevendo classes de transacao...</t>
  </si>
  <si>
    <t>2016-12-27_15:40 - Escrevendo Projetos...</t>
  </si>
  <si>
    <t>2016-12-27_15:40 - -------------Início da exportação transações de projeto-------------</t>
  </si>
  <si>
    <t>2016-12-27_15:40 - Arquivo xog sendo gravado em: C:\xog_hypermarcas\xog_costplan_20161227_154046.xml</t>
  </si>
  <si>
    <t>2016-12-27_15:40 -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</si>
  <si>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2016-12-27_15:40 - Enviando requisição de login</t>
  </si>
  <si>
    <t>2016-12-27_15:40 - Login realizado. SessionID capturado: 11118802__4B3AC73F-2996-4C71-9029-1317FFA84E3A</t>
  </si>
  <si>
    <t>2016-12-27_15:40 - Chamando mensagem de requisição</t>
  </si>
  <si>
    <t>2016-12-27_15:40 - Capturando resultado final</t>
  </si>
  <si>
    <t>2016-12-27_15:40 - Efetuando logout</t>
  </si>
  <si>
    <t>2016-12-27_15:40 - Logout realizado</t>
  </si>
  <si>
    <t>2016-12-27_15:40 - -------------Fim da exportação transações de projeto-------------</t>
  </si>
  <si>
    <t>2016-12-27_15:42 - Ambiente selecionado: PROD</t>
  </si>
  <si>
    <t>2016-12-27_15:42 - Escrevendo tarefas...</t>
  </si>
  <si>
    <t>2016-12-27_15:42 - Escrevendo locais...</t>
  </si>
  <si>
    <t>2016-12-27_15:42 - Escrevendo períodos...</t>
  </si>
  <si>
    <t>2016-12-27_15:42 - Escrevendo fornecedores...</t>
  </si>
  <si>
    <t>2016-12-27_15:42 - Escrevendo departamentos...</t>
  </si>
  <si>
    <t>2016-12-27_15:42 - Escrevendo centros de custo...</t>
  </si>
  <si>
    <t>2016-12-27_15:42 - Escrevendo recursos e classes de transacao...</t>
  </si>
  <si>
    <t>2016-12-27_15:42 - Escrevendo classes de transacao...</t>
  </si>
  <si>
    <t>2016-12-27_15:42 - Escrevendo Projetos...</t>
  </si>
  <si>
    <t>2016-12-27_15:42 - -------------Início da exportação transações de projeto-------------</t>
  </si>
  <si>
    <t>2016-12-27_15:42 - Arquivo xog sendo gravado em: C:\xog_hypermarcas\xog_transaction_delete_20161227_154255.xml</t>
  </si>
  <si>
    <t>2016-12-27_15:42 -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</si>
  <si>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2016-12-27_15:42 - Enviando requisição de login</t>
  </si>
  <si>
    <t>2016-12-27_15:42 - Login realizado. SessionID capturado: 11118817__D825ECF1-C19F-4AC3-B2CC-14400BC3E4DC</t>
  </si>
  <si>
    <t>2016-12-27_15:42 - Chamando mensagem de requisição</t>
  </si>
  <si>
    <t>2016-12-27_15:42 - Capturando resultado final</t>
  </si>
  <si>
    <t>2016-12-27_15:42 - Efetuando logout</t>
  </si>
  <si>
    <t>2016-12-27_15:42 - Logout realizado</t>
  </si>
  <si>
    <t>2016-12-27_15:42 - -------------Fim da exportação transações de projeto-------------</t>
  </si>
  <si>
    <t>2016-12-27_15:43 - -------------Início da exportação transações de projeto-------------</t>
  </si>
  <si>
    <t>2016-12-27_15:43 - Arquivo xog sendo gravado em: C:\xog_hypermarcas\xog_transaction_20161227_154300.xml</t>
  </si>
  <si>
    <t>2016-12-27_15:43 - Ambiente selecionado: PROD</t>
  </si>
  <si>
    <t>2016-12-27_15:43 -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</si>
  <si>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2016-12-27_15:43 - Enviando requisição de login</t>
  </si>
  <si>
    <t>2016-12-27_15:43 - Login realizado. SessionID capturado: 11118818__BF02CF00-4778-4900-9589-3A73D38E120F</t>
  </si>
  <si>
    <t>2016-12-27_15:43 - Chamando mensagem de requisição</t>
  </si>
  <si>
    <t>2016-12-27_15:43 - Capturando resultado final</t>
  </si>
  <si>
    <t>2016-12-27_15:43 - Efetuando logout</t>
  </si>
  <si>
    <t>2016-12-27_15:43 - Logout realizado</t>
  </si>
  <si>
    <t>2016-12-27_15:43 - -------------Fim da exportação transações de projeto-------------</t>
  </si>
  <si>
    <t>2016-12-27_15:48 - -------------Início da exportação transações de projeto-------------</t>
  </si>
  <si>
    <t>2016-12-27_15:48 - Arquivo xog sendo gravado em: C:\xog_hypermarcas\xog_transaction_delete_20161227_154853.xml</t>
  </si>
  <si>
    <t>2016-12-27_15:48 - Ambiente selecionado: PROD</t>
  </si>
  <si>
    <t>2016-12-27_15:48 -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</si>
  <si>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2016-12-27_15:48 - Enviando requisição de login</t>
  </si>
  <si>
    <t>2016-12-27_15:48 - Login realizado. SessionID capturado: 11118852__88D7F98C-AF0C-41F1-B105-E29489965DD5</t>
  </si>
  <si>
    <t>2016-12-27_15:48 - Chamando mensagem de requisição</t>
  </si>
  <si>
    <t>2016-12-27_15:48 - Capturando resultado final</t>
  </si>
  <si>
    <t>2016-12-27_15:48 - Efetuando logout</t>
  </si>
  <si>
    <t>2016-12-27_15:48 - Logout realizado</t>
  </si>
  <si>
    <t>2016-12-27_15:48 - -------------Fim da exportação transações de projeto-------------</t>
  </si>
  <si>
    <t>2016-12-27_15:48 - Arquivo xog sendo gravado em: C:\xog_hypermarcas\xog_transaction_20161227_154858.xml</t>
  </si>
  <si>
    <t>2016-12-27_15:48 - Login realizado. SessionID capturado: 11118854__06CEB5E8-E8A7-487D-9D49-07F51984D54A</t>
  </si>
  <si>
    <t>2016-12-27_15:54 - -------------Início da exportação transações de projeto-------------</t>
  </si>
  <si>
    <t>2016-12-27_15:54 - Arquivo xog sendo gravado em: C:\xog_hypermarcas\xog_transaction_delete_20161227_155413.xml</t>
  </si>
  <si>
    <t>2016-12-27_15:54 - Ambiente selecionado: PROD</t>
  </si>
  <si>
    <t>2016-12-27_15:54 -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</si>
  <si>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2016-12-27_15:54 - Enviando requisição de login</t>
  </si>
  <si>
    <t>2016-12-27_15:54 - Login realizado. SessionID capturado: 11118886__29A249A5-9DB9-4AFC-B947-AFDF6DBF3FBE</t>
  </si>
  <si>
    <t>2016-12-27_15:54 - Chamando mensagem de requisição</t>
  </si>
  <si>
    <t>2016-12-27_15:54 - Capturando resultado final</t>
  </si>
  <si>
    <t>2016-12-27_15:54 - Efetuando logout</t>
  </si>
  <si>
    <t>2016-12-27_15:54 - Logout realizado</t>
  </si>
  <si>
    <t>2016-12-27_15:54 - -------------Fim da exportação transações de projeto-------------</t>
  </si>
  <si>
    <t>2016-12-27_15:54 - Arquivo xog sendo gravado em: C:\xog_hypermarcas\xog_transaction_20161227_155419.xml</t>
  </si>
  <si>
    <t>2016-12-27_15:54 - Login realizado. SessionID capturado: 11118888__017A1A26-EF85-4E02-A531-9B8177808D36</t>
  </si>
  <si>
    <t>2016-12-27_15:56 - -------------Início da exportação transações de projeto-------------</t>
  </si>
  <si>
    <t>2016-12-27_15:56 - Arquivo xog sendo gravado em: C:\xog_hypermarcas\xog_transaction_delete_20161227_155606.xml</t>
  </si>
  <si>
    <t>2016-12-27_15:56 - Ambiente selecionado: PROD</t>
  </si>
  <si>
    <t>2016-12-27_15:56 -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</si>
  <si>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2016-12-27_15:56 - Enviando requisição de login</t>
  </si>
  <si>
    <t>2016-12-27_15:56 - Login realizado. SessionID capturado: 11118901__D62E74AB-10E7-49E7-ADFA-D62425A38F17</t>
  </si>
  <si>
    <t>2016-12-27_15:56 - Chamando mensagem de requisição</t>
  </si>
  <si>
    <t>2016-12-27_15:56 - Capturando resultado final</t>
  </si>
  <si>
    <t>2016-12-27_15:56 - Efetuando logout</t>
  </si>
  <si>
    <t>2016-12-27_15:56 - Logout realizado</t>
  </si>
  <si>
    <t>2016-12-27_15:56 - -------------Fim da exportação transações de projeto-------------</t>
  </si>
  <si>
    <t>2016-12-27_15:56 - Arquivo xog sendo gravado em: C:\xog_hypermarcas\xog_transaction_20161227_155611.xml</t>
  </si>
  <si>
    <t>2016-12-27_15:56 - Login realizado. SessionID capturado: 11118902__DE588BED-440F-4E6D-89DE-2911A68988AD</t>
  </si>
  <si>
    <t>2016-12-27_15:57 - -------------Início da exportação transações de projeto-------------</t>
  </si>
  <si>
    <t>2016-12-27_15:57 - Arquivo xog sendo gravado em: C:\xog_hypermarcas\xog_transaction_delete_20161227_155734.xml</t>
  </si>
  <si>
    <t>2016-12-27_15:57 - Ambiente selecionado: PROD</t>
  </si>
  <si>
    <t>2016-12-27_15:57 -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</si>
  <si>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2016-12-27_15:57 - Enviando requisição de login</t>
  </si>
  <si>
    <t>2016-12-27_15:57 - Login realizado. SessionID capturado: 11118910__C8854F85-3B0A-4004-A713-1FF054178DAC</t>
  </si>
  <si>
    <t>2016-12-27_15:57 - Chamando mensagem de requisição</t>
  </si>
  <si>
    <t>2016-12-27_15:57 - Capturando resultado final</t>
  </si>
  <si>
    <t>2016-12-27_15:57 - Efetuando logout</t>
  </si>
  <si>
    <t>2016-12-27_15:57 - Logout realizado</t>
  </si>
  <si>
    <t>2016-12-27_15:57 - -------------Fim da exportação transações de projeto-------------</t>
  </si>
  <si>
    <t>2016-12-27_15:57 - Arquivo xog sendo gravado em: C:\xog_hypermarcas\xog_transaction_20161227_155740.xml</t>
  </si>
  <si>
    <t>2016-12-27_15:57 - Login realizado. SessionID capturado: 11118911__8511B778-DAC1-457D-9032-6C05C978B7E9</t>
  </si>
  <si>
    <t>2016-12-27_16:40 - -------------Início da exportação transações de projeto-------------</t>
  </si>
  <si>
    <t>2016-12-27_16:40 - Arquivo xog sendo gravado em: C:\xog_hypermarcas\xog_transaction_delete_20161227_164007.xml</t>
  </si>
  <si>
    <t>2016-12-27_16:40 - Ambiente selecionado: PROD</t>
  </si>
  <si>
    <t>2016-12-27_16:40 -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</si>
  <si>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2016-12-27_16:40 - Enviando requisição de login</t>
  </si>
  <si>
    <t>2016-12-27_16:40 - Login realizado. SessionID capturado: 11122156__98999410-1A31-4F5F-8105-2E82FE9BD951</t>
  </si>
  <si>
    <t>2016-12-27_16:40 - Chamando mensagem de requisição</t>
  </si>
  <si>
    <t>2016-12-27_16:40 - Capturando resultado final</t>
  </si>
  <si>
    <t>2016-12-27_16:40 - Efetuando logout</t>
  </si>
  <si>
    <t>2016-12-27_16:40 - Logout realizado</t>
  </si>
  <si>
    <t>2016-12-27_16:40 - -------------Fim da exportação transações de projeto-------------</t>
  </si>
  <si>
    <t>2016-12-27_16:40 - Arquivo xog sendo gravado em: C:\xog_hypermarcas\xog_transaction_20161227_164012.xml</t>
  </si>
  <si>
    <t>2016-12-27_16:40 - Login realizado. SessionID capturado: 11122157__2477E61E-1687-41C9-9A79-D4CA594C1DE2</t>
  </si>
  <si>
    <t>2016-12-27_16:41 - -------------Início da exportação transações de projeto-------------</t>
  </si>
  <si>
    <t>2016-12-27_16:41 - Arquivo xog sendo gravado em: C:\xog_hypermarcas\xog_transaction_delete_20161227_164157.xml</t>
  </si>
  <si>
    <t>2016-12-27_16:41 - Ambiente selecionado: PROD</t>
  </si>
  <si>
    <t>2016-12-27_16:41 -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</si>
  <si>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2016-12-27_16:41 - Enviando requisição de login</t>
  </si>
  <si>
    <t>2016-12-27_16:41 - Login realizado. SessionID capturado: 11122164__15728E94-9777-4E02-9A25-268E2B3D69F9</t>
  </si>
  <si>
    <t>2016-12-27_16:41 - Chamando mensagem de requisição</t>
  </si>
  <si>
    <t>2016-12-27_16:41 - Capturando resultado final</t>
  </si>
  <si>
    <t>2016-12-27_16:41 - Efetuando logout</t>
  </si>
  <si>
    <t>2016-12-27_16:41 - Logout realizado</t>
  </si>
  <si>
    <t>2016-12-27_16:41 - -------------Fim da exportação transações de projeto-------------</t>
  </si>
  <si>
    <t>2016-12-27_16:42 - -------------Início da exportação transações de projeto-------------</t>
  </si>
  <si>
    <t>2016-12-27_16:42 - Arquivo xog sendo gravado em: C:\xog_hypermarcas\xog_transaction_20161227_164202.xml</t>
  </si>
  <si>
    <t>2016-12-27_16:42 - Ambiente selecionado: PROD</t>
  </si>
  <si>
    <t>2016-12-27_16:42 -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</si>
  <si>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2016-12-27_16:42 - Enviando requisição de login</t>
  </si>
  <si>
    <t>2016-12-27_16:42 - Login realizado. SessionID capturado: 11122165__63B65802-50CE-4DF6-8740-70DD3FDE27AE</t>
  </si>
  <si>
    <t>2016-12-27_16:42 - Chamando mensagem de requisição</t>
  </si>
  <si>
    <t>2016-12-27_16:42 - Capturando resultado final</t>
  </si>
  <si>
    <t>2016-12-27_16:42 - Efetuando logout</t>
  </si>
  <si>
    <t>2016-12-27_16:42 - Logout realizado</t>
  </si>
  <si>
    <t>2016-12-27_16:42 - -------------Fim da exportação transações de projeto-------------</t>
  </si>
  <si>
    <t>2016-12-27_16:46 - -------------Início da exportação transações de projeto-------------</t>
  </si>
  <si>
    <t>2016-12-27_16:46 - Arquivo xog sendo gravado em: C:\xog_hypermarcas\xog_transaction_delete_20161227_164641.xml</t>
  </si>
  <si>
    <t>2016-12-27_16:46 - Ambiente selecionado: PROD</t>
  </si>
  <si>
    <t>2016-12-27_16:46 -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</si>
  <si>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2016-12-27_16:46 - Enviando requisição de login</t>
  </si>
  <si>
    <t>2016-12-27_16:46 - Login realizado. SessionID capturado: 11122182__CCAA9F12-B954-4EAD-9363-AA83DAB0E7BB</t>
  </si>
  <si>
    <t>2016-12-27_16:46 - Chamando mensagem de requisição</t>
  </si>
  <si>
    <t>2016-12-27_16:46 - Capturando resultado final</t>
  </si>
  <si>
    <t>2016-12-27_16:46 - Efetuando logout</t>
  </si>
  <si>
    <t>2016-12-27_16:46 - Logout realizado</t>
  </si>
  <si>
    <t>2016-12-27_16:46 - -------------Fim da exportação transações de projeto-------------</t>
  </si>
  <si>
    <t>2016-12-27_16:46 - Arquivo xog sendo gravado em: C:\xog_hypermarcas\xog_transaction_20161227_164646.xml</t>
  </si>
  <si>
    <t>2016-12-27_16:46 - Login realizado. SessionID capturado: 11122183__67853096-ECFD-4D07-8991-8696200AE09C</t>
  </si>
  <si>
    <t>2016-12-27_16:52 - -------------Início da exportação transações de projeto-------------</t>
  </si>
  <si>
    <t>2016-12-27_16:52 - Arquivo xog sendo gravado em: C:\xog_hypermarcas\xog_transaction_delete_20161227_165206.xml</t>
  </si>
  <si>
    <t>2016-12-27_16:52 - Ambiente selecionado: PROD</t>
  </si>
  <si>
    <t>2016-12-27_16:52 -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</si>
  <si>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2016-12-27_16:52 - Enviando requisição de login</t>
  </si>
  <si>
    <t>2016-12-27_16:52 - Login realizado. SessionID capturado: 11122201__AFD8899E-D67D-46DC-B0B1-941639180143</t>
  </si>
  <si>
    <t>2016-12-27_16:52 - Chamando mensagem de requisição</t>
  </si>
  <si>
    <t>2016-12-27_16:52 - Capturando resultado final</t>
  </si>
  <si>
    <t>2016-12-27_16:52 - Efetuando logout</t>
  </si>
  <si>
    <t>2016-12-27_16:52 - Logout realizado</t>
  </si>
  <si>
    <t>2016-12-27_16:52 - -------------Fim da exportação transações de projeto-------------</t>
  </si>
  <si>
    <t>2016-12-27_16:52 - Arquivo xog sendo gravado em: C:\xog_hypermarcas\xog_transaction_20161227_165211.xml</t>
  </si>
  <si>
    <t>2016-12-27_16:52 - Login realizado. SessionID capturado: 11122202__0BB22FCE-D822-4DE9-AE09-EB4F0BD2F82D</t>
  </si>
  <si>
    <t>2016-12-27_16:53 - Ambiente selecionado: PROD</t>
  </si>
  <si>
    <t>2016-12-27_16:53 - Escrevendo tarefas...</t>
  </si>
  <si>
    <t>2016-12-27_16:53 - Escrevendo locais...</t>
  </si>
  <si>
    <t>2016-12-27_16:53 - Escrevendo períodos...</t>
  </si>
  <si>
    <t>2016-12-27_16:53 - Escrevendo fornecedores...</t>
  </si>
  <si>
    <t>2016-12-27_16:53 - Escrevendo departamentos...</t>
  </si>
  <si>
    <t>2016-12-27_16:53 - Escrevendo centros de custo...</t>
  </si>
  <si>
    <t>2016-12-27_16:53 - Escrevendo recursos e classes de transacao...</t>
  </si>
  <si>
    <t>2016-12-27_16:53 - Escrevendo classes de transacao...</t>
  </si>
  <si>
    <t>2016-12-27_16:53 - Escrevendo Projetos...</t>
  </si>
  <si>
    <t>2016-12-27_17:31 - -------------Início da exportação transações de projeto-------------</t>
  </si>
  <si>
    <t>2016-12-27_17:31 - Arquivo xog sendo gravado em: C:\xog_hypermarcas\xog_transaction_delete_20161227_173129.xml</t>
  </si>
  <si>
    <t>2016-12-27_17:31 - Ambiente selecionado: PROD</t>
  </si>
  <si>
    <t>2016-12-27_17:31 -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</si>
  <si>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2016-12-27_17:31 - Enviando requisição de login</t>
  </si>
  <si>
    <t>2016-12-27_17:31 - Login realizado. SessionID capturado: 11122381__7CBA8B74-A063-4612-8EFE-3E1E77706126</t>
  </si>
  <si>
    <t>2016-12-27_17:31 - Chamando mensagem de requisição</t>
  </si>
  <si>
    <t>2016-12-27_17:31 - Capturando resultado final</t>
  </si>
  <si>
    <t>2016-12-27_17:31 - Efetuando logout</t>
  </si>
  <si>
    <t>2016-12-27_17:31 - Logout realizado</t>
  </si>
  <si>
    <t>2016-12-27_17:31 - -------------Fim da exportação transações de projeto-------------</t>
  </si>
  <si>
    <t>2016-12-27_17:31 - Arquivo xog sendo gravado em: C:\xog_hypermarcas\xog_transaction_20161227_173135.xml</t>
  </si>
  <si>
    <t>2016-12-27_17:31 - Login realizado. SessionID capturado: 11122382__7CB69F34-8629-461A-9909-05888A9FF804</t>
  </si>
  <si>
    <t>2016-12-27_17:33 - Ambiente selecionado: PROD</t>
  </si>
  <si>
    <t>2016-12-27_17:33 - Escrevendo tarefas...</t>
  </si>
  <si>
    <t>2016-12-27_17:33 - Escrevendo locais...</t>
  </si>
  <si>
    <t>2016-12-27_17:33 - Escrevendo períodos...</t>
  </si>
  <si>
    <t>2016-12-27_17:33 - Escrevendo fornecedores...</t>
  </si>
  <si>
    <t>2016-12-27_17:33 - Escrevendo departamentos...</t>
  </si>
  <si>
    <t>2016-12-27_17:33 - Escrevendo centros de custo...</t>
  </si>
  <si>
    <t>2016-12-27_17:33 - Escrevendo recursos e classes de transacao...</t>
  </si>
  <si>
    <t>2016-12-27_17:33 - Escrevendo classes de transacao...</t>
  </si>
  <si>
    <t>2016-12-27_17:33 - Escrevendo Projetos...</t>
  </si>
  <si>
    <t>2016-12-27_17:33 - -------------Início da exportação transações de projeto-------------</t>
  </si>
  <si>
    <t>2016-12-27_17:33 - Arquivo xog sendo gravado em: C:\xog_hypermarcas\xog_transaction_delete_20161227_173325.xml</t>
  </si>
  <si>
    <t>2016-12-27_17:33 -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</si>
  <si>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2016-12-27_17:33 - Enviando requisição de login</t>
  </si>
  <si>
    <t>2016-12-27_17:33 - Login realizado. SessionID capturado: 11122396__36799167-7096-4956-A5BA-782561E8D7A8</t>
  </si>
  <si>
    <t>2016-12-27_17:33 - Chamando mensagem de requisição</t>
  </si>
  <si>
    <t>2016-12-27_17:33 - Capturando resultado final</t>
  </si>
  <si>
    <t>2016-12-27_17:33 - Efetuando logout</t>
  </si>
  <si>
    <t>2016-12-27_17:33 - Logout realizado</t>
  </si>
  <si>
    <t>2016-12-27_17:33 - -------------Fim da exportação transações de projeto-------------</t>
  </si>
  <si>
    <t>2016-12-27_17:33 - Arquivo xog sendo gravado em: C:\xog_hypermarcas\xog_transaction_20161227_173330.xml</t>
  </si>
  <si>
    <t>2016-12-27_17:33 - Login realizado. SessionID capturado: 11122397__3203D075-06C0-4D93-B026-488F6722A659</t>
  </si>
  <si>
    <t>2016-12-27_17:34 - Ambiente selecionado: PROD</t>
  </si>
  <si>
    <t>2016-12-27_17:34 - Escrevendo tarefas...</t>
  </si>
  <si>
    <t>2016-12-27_17:34 - Escrevendo locais...</t>
  </si>
  <si>
    <t>2016-12-27_17:34 - Escrevendo períodos...</t>
  </si>
  <si>
    <t>2016-12-27_17:34 - Escrevendo fornecedores...</t>
  </si>
  <si>
    <t>2016-12-27_17:34 - Escrevendo departamentos...</t>
  </si>
  <si>
    <t>2016-12-27_17:34 - Escrevendo centros de custo...</t>
  </si>
  <si>
    <t>2016-12-27_17:34 - Escrevendo recursos e classes de transacao...</t>
  </si>
  <si>
    <t>2016-12-27_17:34 - Escrevendo classes de transacao...</t>
  </si>
  <si>
    <t>2016-12-27_17:34 - Escrevendo Projetos...</t>
  </si>
  <si>
    <t>2016-12-27_17:34 - -------------Início da exportação transações de projeto-------------</t>
  </si>
  <si>
    <t>2016-12-27_17:34 - Arquivo xog sendo gravado em: C:\xog_hypermarcas\xog_transaction_delete_20161227_173413.xml</t>
  </si>
  <si>
    <t>2016-12-27_17:34 -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</si>
  <si>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2016-12-27_17:34 - Enviando requisição de login</t>
  </si>
  <si>
    <t>2016-12-27_17:34 - Login realizado. SessionID capturado: 11122403__34DCA2B0-6D11-499F-9841-0568FD2391B7</t>
  </si>
  <si>
    <t>2016-12-27_17:34 - Chamando mensagem de requisição</t>
  </si>
  <si>
    <t>2016-12-27_17:34 - Capturando resultado final</t>
  </si>
  <si>
    <t>2016-12-27_17:34 - Efetuando logout</t>
  </si>
  <si>
    <t>2016-12-27_17:34 - Logout realizado</t>
  </si>
  <si>
    <t>2016-12-27_17:34 - -------------Fim da exportação transações de projeto-------------</t>
  </si>
  <si>
    <t>2016-12-27_17:34 - Arquivo xog sendo gravado em: C:\xog_hypermarcas\xog_transaction_20161227_173418.xml</t>
  </si>
  <si>
    <t>2016-12-27_17:34 - Login realizado. SessionID capturado: 11122405__8C19DF49-FC1D-4234-9F3B-F8A7644580C6</t>
  </si>
  <si>
    <t>2016-12-27_17:36 - Ambiente selecionado: PROD</t>
  </si>
  <si>
    <t>2016-12-27_17:36 - Escrevendo tarefas...</t>
  </si>
  <si>
    <t>2016-12-27_17:36 - Escrevendo locais...</t>
  </si>
  <si>
    <t>2016-12-27_17:36 - Escrevendo períodos...</t>
  </si>
  <si>
    <t>2016-12-27_17:36 - Escrevendo fornecedores...</t>
  </si>
  <si>
    <t>2016-12-27_17:36 - Escrevendo departamentos...</t>
  </si>
  <si>
    <t>2016-12-27_17:36 - Escrevendo centros de custo...</t>
  </si>
  <si>
    <t>2016-12-27_17:36 - Escrevendo recursos e classes de transacao...</t>
  </si>
  <si>
    <t>2016-12-27_17:36 - Escrevendo classes de transacao...</t>
  </si>
  <si>
    <t>2016-12-27_17:36 - Escrevendo Projetos...</t>
  </si>
  <si>
    <t>2016-12-27_17:36 - -------------Início da exportação transações de projeto-------------</t>
  </si>
  <si>
    <t>2016-12-27_17:36 - Arquivo xog sendo gravado em: C:\xog_hypermarcas\xog_transaction_delete_20161227_173658.xml</t>
  </si>
  <si>
    <t>2016-12-27_17:36 -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</si>
  <si>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2016-12-27_17:36 - Enviando requisição de login</t>
  </si>
  <si>
    <t>2016-12-27_17:36 - Login realizado. SessionID capturado: 11122421__B91CB1FA-BBAB-4B4F-9D2D-4C93A014ED1B</t>
  </si>
  <si>
    <t>2016-12-27_17:36 - Chamando mensagem de requisição</t>
  </si>
  <si>
    <t>2016-12-27_17:36 - Capturando resultado final</t>
  </si>
  <si>
    <t>2016-12-27_17:36 - Efetuando logout</t>
  </si>
  <si>
    <t>2016-12-27_17:36 - Logout realizado</t>
  </si>
  <si>
    <t>2016-12-27_17:36 - -------------Fim da exportação transações de projeto-------------</t>
  </si>
  <si>
    <t>2016-12-27_17:37 - -------------Início da exportação transações de projeto-------------</t>
  </si>
  <si>
    <t>2016-12-27_17:37 - Arquivo xog sendo gravado em: C:\xog_hypermarcas\xog_transaction_20161227_173703.xml</t>
  </si>
  <si>
    <t>2016-12-27_17:37 - Ambiente selecionado: PROD</t>
  </si>
  <si>
    <t>2016-12-27_17:37 -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</si>
  <si>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2016-12-27_17:37 - Enviando requisição de login</t>
  </si>
  <si>
    <t>2016-12-27_17:37 - Login realizado. SessionID capturado: 11122422__544FDBAB-1460-47C5-B7C2-F30EF03D4845</t>
  </si>
  <si>
    <t>2016-12-27_17:37 - Chamando mensagem de requisição</t>
  </si>
  <si>
    <t>2016-12-27_17:37 - Capturando resultado final</t>
  </si>
  <si>
    <t>2016-12-27_17:37 - Efetuando logout</t>
  </si>
  <si>
    <t>2016-12-27_17:37 - Logout realizado</t>
  </si>
  <si>
    <t>2016-12-27_17:37 - -------------Fim da exportação transações de projeto-------------</t>
  </si>
  <si>
    <t>2016-12-27_17:39 - Ambiente selecionado: PROD</t>
  </si>
  <si>
    <t>2016-12-27_17:39 - Escrevendo tarefas...</t>
  </si>
  <si>
    <t>2016-12-27_17:39 - Escrevendo locais...</t>
  </si>
  <si>
    <t>2016-12-27_17:39 - Escrevendo períodos...</t>
  </si>
  <si>
    <t>2016-12-27_17:39 - Escrevendo fornecedores...</t>
  </si>
  <si>
    <t>2016-12-27_17:39 - Escrevendo departamentos...</t>
  </si>
  <si>
    <t>2016-12-27_17:39 - Escrevendo centros de custo...</t>
  </si>
  <si>
    <t>2016-12-27_17:39 - Escrevendo recursos e classes de transacao...</t>
  </si>
  <si>
    <t>2016-12-27_17:39 - Escrevendo classes de transacao...</t>
  </si>
  <si>
    <t>2016-12-27_17:39 - Escrevendo Projetos...</t>
  </si>
  <si>
    <t>2016-12-27_17:39 - -------------Início da exportação transações de projeto-------------</t>
  </si>
  <si>
    <t>2016-12-27_17:39 - Arquivo xog sendo gravado em: C:\xog_hypermarcas\xog_transaction_delete_20161227_173921.xml</t>
  </si>
  <si>
    <t>2016-12-27_17:39 -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</si>
  <si>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2016-12-27_17:39 - Enviando requisição de login</t>
  </si>
  <si>
    <t>2016-12-27_17:39 - Login realizado. SessionID capturado: 11122457__ABE57FA3-70AE-43AA-B35C-9CB96B845630</t>
  </si>
  <si>
    <t>2016-12-27_17:39 - Chamando mensagem de requisição</t>
  </si>
  <si>
    <t>2016-12-27_17:39 - Capturando resultado final</t>
  </si>
  <si>
    <t>2016-12-27_17:39 - Efetuando logout</t>
  </si>
  <si>
    <t>2016-12-27_17:39 - Logout realizado</t>
  </si>
  <si>
    <t>2016-12-27_17:39 - -------------Fim da exportação transações de projeto-------------</t>
  </si>
  <si>
    <t>2016-12-27_17:39 - Arquivo xog sendo gravado em: C:\xog_hypermarcas\xog_transaction_20161227_173926.xml</t>
  </si>
  <si>
    <t>2016-12-27_17:39 - Login realizado. SessionID capturado: 11122461__A42463BD-EDF7-4992-B208-452384A7EC7E</t>
  </si>
  <si>
    <t>2016-12-27_17:58 - Ambiente selecionado: PROD</t>
  </si>
  <si>
    <t>2016-12-27_17:58 - Escrevendo tarefas...</t>
  </si>
  <si>
    <t>2016-12-27_17:58 - Escrevendo locais...</t>
  </si>
  <si>
    <t>2016-12-27_17:58 - Escrevendo períodos...</t>
  </si>
  <si>
    <t>2016-12-27_17:58 - Escrevendo fornecedores...</t>
  </si>
  <si>
    <t>2016-12-27_17:58 - Escrevendo departamentos...</t>
  </si>
  <si>
    <t>2016-12-27_17:58 - Escrevendo centros de custo...</t>
  </si>
  <si>
    <t>2016-12-27_17:58 - Escrevendo recursos e classes de transacao...</t>
  </si>
  <si>
    <t>2016-12-27_17:58 - Escrevendo classes de transacao...</t>
  </si>
  <si>
    <t>2016-12-27_17:58 - Escrevendo Projetos...</t>
  </si>
  <si>
    <t>2016-12-27_17:58 - -------------Início da exportação transações de projeto-------------</t>
  </si>
  <si>
    <t>2016-12-27_17:58 - Arquivo xog sendo gravado em: C:\xog_hypermarcas\xog_transaction_delete_20161227_175852.xml</t>
  </si>
  <si>
    <t>2016-12-27_17:58 -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</si>
  <si>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2016-12-27_17:58 - Enviando requisição de login</t>
  </si>
  <si>
    <t>2016-12-27_17:58 - Login realizado. SessionID capturado: 11122557__D9782158-5FEC-4024-88E8-A06D60FB7C1C</t>
  </si>
  <si>
    <t>2016-12-27_17:58 - Chamando mensagem de requisição</t>
  </si>
  <si>
    <t>2016-12-27_17:58 - Capturando resultado final</t>
  </si>
  <si>
    <t>2016-12-27_17:58 - Efetuando logout</t>
  </si>
  <si>
    <t>2016-12-27_17:58 - Logout realizado</t>
  </si>
  <si>
    <t>2016-12-27_17:58 - -------------Fim da exportação transações de projeto-------------</t>
  </si>
  <si>
    <t>2016-12-27_18:59 - -------------Início da exportação transações de projeto-------------</t>
  </si>
  <si>
    <t xml:space="preserve">2016-12-27_18:59 - Arquivo xog sendo gravado em: </t>
  </si>
  <si>
    <t>2016-12-27_19:01 - -------------Início da exportação transações de projeto-------------</t>
  </si>
  <si>
    <t xml:space="preserve">2016-12-27_19:01 - Arquivo xog sendo gravado em: </t>
  </si>
  <si>
    <t>2016-12-27_19:02 - -------------Início da exportação transações de projeto-------------</t>
  </si>
  <si>
    <t xml:space="preserve">2016-12-27_19:02 - Arquivo xog sendo gravado em: </t>
  </si>
  <si>
    <t>2016-12-27_19:03 - -------------Início da exportação transações de projeto-------------</t>
  </si>
  <si>
    <t xml:space="preserve">2016-12-27_19:03 - Arquivo xog sendo gravado em: </t>
  </si>
  <si>
    <t>2016-12-27_19:03 - Ambiente selecionado: PROD</t>
  </si>
  <si>
    <t>2016-12-27_19:03 -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</si>
  <si>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2016-12-27_19:03 - Enviando requisição de login</t>
  </si>
  <si>
    <t>2016-12-27_19:03 - Login realizado. SessionID capturado: 11122846__D0603D0B-96B5-40FE-8F73-F06E9105CDE8</t>
  </si>
  <si>
    <t>2016-12-27_19:03 - Chamando mensagem de requisição</t>
  </si>
  <si>
    <t>2016-12-27_19:03 - Capturando resultado final</t>
  </si>
  <si>
    <t>2016-12-27_19:03 - Efetuando logout</t>
  </si>
  <si>
    <t>2016-12-27_19:03 - Logout realizado</t>
  </si>
  <si>
    <t>2016-12-27_19:03 - -------------Fim da exportação transações de projeto-------------</t>
  </si>
  <si>
    <t>2016-12-27_19:06 - -------------Início da exportação transações de projeto-------------</t>
  </si>
  <si>
    <t xml:space="preserve">2016-12-27_19:06 - Arquivo xog sendo gravado em: </t>
  </si>
  <si>
    <t>2016-12-27_19:06 - Ambiente selecionado: PROD</t>
  </si>
  <si>
    <t>2016-12-27_19:06 -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</si>
  <si>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2016-12-27_19:06 - Enviando requisição de login</t>
  </si>
  <si>
    <t>2016-12-27_19:06 - Login realizado. SessionID capturado: 11122856__45CCD6AB-AA49-40CB-BCCE-94243414520E</t>
  </si>
  <si>
    <t>2016-12-27_19:06 - Chamando mensagem de requisição</t>
  </si>
  <si>
    <t>2016-12-27_19:06 - Capturando resultado final</t>
  </si>
  <si>
    <t>2016-12-27_19:06 - Efetuando logout</t>
  </si>
  <si>
    <t>2016-12-27_19:06 - Logout realizado</t>
  </si>
  <si>
    <t>2016-12-27_19:06 - -------------Fim da exportação transações de projeto-------------</t>
  </si>
  <si>
    <t>2016-12-27_19:10 - -------------Início da exportação transações de projeto-------------</t>
  </si>
  <si>
    <t xml:space="preserve">2016-12-27_19:10 - Arquivo xog sendo gravado em: </t>
  </si>
  <si>
    <t>2016-12-27_19:10 - Ambiente selecionado: PROD</t>
  </si>
  <si>
    <t>2016-12-27_19:10 -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</si>
  <si>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2016-12-27_19:10 - Enviando requisição de login</t>
  </si>
  <si>
    <t>2016-12-27_19:10 - Login realizado. SessionID capturado: 11122873__8B27D3FC-A867-4A33-B5EC-02261774A118</t>
  </si>
  <si>
    <t>2016-12-27_19:10 - Chamando mensagem de requisição</t>
  </si>
  <si>
    <t>2016-12-27_19:10 - Capturando resultado final</t>
  </si>
  <si>
    <t>2016-12-27_19:10 - Efetuando logout</t>
  </si>
  <si>
    <t>2016-12-27_19:10 - Logout realizado</t>
  </si>
  <si>
    <t>2016-12-27_19:10 - -------------Fim da exportação transações de projeto-------------</t>
  </si>
  <si>
    <t>2016-12-28_11:14 - -------------Início da exportação transações de projeto-------------</t>
  </si>
  <si>
    <t>2016-12-28_11:14 - Arquivo xog sendo gravado em: C:\xog_hypermarcas\xog_transaction_20161228_111449.xml</t>
  </si>
  <si>
    <t>2016-12-28_11:15 - -------------Fim da exportação transações de projeto-------------</t>
  </si>
  <si>
    <t>2016-12-28_11:15 - -------------Início da exportação transações de projeto-------------</t>
  </si>
  <si>
    <t>2016-12-28_11:15 - Arquivo xog sendo gravado em: C:\xog_hypermarcas\xog_transaction_20161228_111550.xml</t>
  </si>
  <si>
    <t>2016-12-28_11:17 - Ambiente selecionado: PROD</t>
  </si>
  <si>
    <t>2016-12-28_11:17 - Escrevendo tarefas...</t>
  </si>
  <si>
    <t>2016-12-28_11:17 - Escrevendo locais...</t>
  </si>
  <si>
    <t>2016-12-28_11:17 - Escrevendo períodos...</t>
  </si>
  <si>
    <t>2016-12-28_11:17 - Escrevendo fornecedores...</t>
  </si>
  <si>
    <t>2016-12-28_11:17 - Escrevendo departamentos...</t>
  </si>
  <si>
    <t>2016-12-28_11:17 - Escrevendo centros de custo...</t>
  </si>
  <si>
    <t>2016-12-28_11:17 - Escrevendo recursos e classes de transacao...</t>
  </si>
  <si>
    <t>2016-12-28_11:17 - Escrevendo classes de transacao...</t>
  </si>
  <si>
    <t>2016-12-28_11:17 - Escrevendo Projetos...</t>
  </si>
  <si>
    <t>2016-12-28_11:30 - -------------Início da exportação transações de projeto-------------</t>
  </si>
  <si>
    <t>2016-12-28_11:30 - Arquivo xog sendo gravado em: C:\xog_hypermarcas\xog_transaction_delete_20161228_113030.xml</t>
  </si>
  <si>
    <t>2016-12-28_11:30 - Ambiente selecionado: PROD</t>
  </si>
  <si>
    <t>2016-12-28_11:30 -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</si>
  <si>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2016-12-28_11:30 - Enviando requisição de login</t>
  </si>
  <si>
    <t>2016-12-28_11:30 - Login realizado. SessionID capturado: 11133058__35D02476-ADA2-4D8E-AB51-CD682EDF435C</t>
  </si>
  <si>
    <t>2016-12-28_11:30 - Chamando mensagem de requisição</t>
  </si>
  <si>
    <t>2016-12-28_11:30 - Capturando resultado final</t>
  </si>
  <si>
    <t>2016-12-28_11:30 - Efetuando logout</t>
  </si>
  <si>
    <t>2016-12-28_11:30 - Logout realizado</t>
  </si>
  <si>
    <t>2016-12-28_11:30 - -------------Fim da exportação transações de projeto-------------</t>
  </si>
  <si>
    <t xml:space="preserve">2016-12-28_11:30 - Arquivo xog sendo gravado em: </t>
  </si>
  <si>
    <t>2016-12-28_11:30 - Login realizado. SessionID capturado: 11133059__5691C7B9-0B1D-4937-A8C2-E3ED83D7A5BC</t>
  </si>
  <si>
    <t>2016-12-28_11:30 - Arquivo xog sendo gravado em: C:\xog_hypermarcas\xog_transaction_20161228_113044.xml</t>
  </si>
  <si>
    <t>2016-12-28_11:30 - Login realizado. SessionID capturado: 11133061__D91BE58A-027F-4790-BE33-F40E2C475AA0</t>
  </si>
  <si>
    <t>2016-12-28_11:32 - -------------Início da exportação transações de projeto-------------</t>
  </si>
  <si>
    <t>2016-12-28_11:32 - Arquivo xog sendo gravado em: C:\xog_hypermarcas\xog_transaction_delete_20161228_113252.xml</t>
  </si>
  <si>
    <t>2016-12-28_11:32 - Ambiente selecionado: PROD</t>
  </si>
  <si>
    <t>2016-12-28_11:32 -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</si>
  <si>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2016-12-28_11:32 - Enviando requisição de login</t>
  </si>
  <si>
    <t>2016-12-28_11:32 - Login realizado. SessionID capturado: 11133068__02FAA4FC-4019-445A-9AE6-C6469D5017C9</t>
  </si>
  <si>
    <t>2016-12-28_11:32 - Chamando mensagem de requisição</t>
  </si>
  <si>
    <t>2016-12-28_11:32 - Capturando resultado final</t>
  </si>
  <si>
    <t>2016-12-28_11:32 - Efetuando logout</t>
  </si>
  <si>
    <t>2016-12-28_11:32 - Logout realizado</t>
  </si>
  <si>
    <t>2016-12-28_11:32 - -------------Fim da exportação transações de projeto-------------</t>
  </si>
  <si>
    <t>2016-12-28_11:32 - Arquivo xog sendo gravado em: C:\xog_hypermarcas\xog_prj_info_20161228_113257.xml</t>
  </si>
  <si>
    <t>2016-12-28_11:32 - Login realizado. SessionID capturado: 11133069__B22E52ED-8819-4FB2-A8BB-4CD3F1CE6BCE</t>
  </si>
  <si>
    <t>2016-12-28_11:33 - -------------Início da exportação transações de projeto-------------</t>
  </si>
  <si>
    <t>2016-12-28_11:33 - Arquivo xog sendo gravado em: C:\xog_hypermarcas\xog_transaction_20161228_113304.xml</t>
  </si>
  <si>
    <t>2016-12-28_11:33 - Ambiente selecionado: PROD</t>
  </si>
  <si>
    <t>2016-12-28_11:33 -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</si>
  <si>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2016-12-28_11:33 - Enviando requisição de login</t>
  </si>
  <si>
    <t>2016-12-28_11:33 - Login realizado. SessionID capturado: 11133070__6924DF4A-5114-43A0-9580-5E3B79AD6B65</t>
  </si>
  <si>
    <t>2016-12-28_11:33 - Chamando mensagem de requisição</t>
  </si>
  <si>
    <t>2016-12-28_11:33 - Capturando resultado final</t>
  </si>
  <si>
    <t>2016-12-28_11:33 - Efetuando logout</t>
  </si>
  <si>
    <t>2016-12-28_11:33 - Logout realizado</t>
  </si>
  <si>
    <t>2016-12-28_11:33 - -------------Fim da exportação transações de projeto-------------</t>
  </si>
  <si>
    <t>2016-12-28_11:33 - Arquivo xog sendo gravado em: C:\xog_hypermarcas\xog_prj_inf_20161228_113309.xml</t>
  </si>
  <si>
    <t>2016-12-28_11:35 - -------------Início da exportação transações de projeto-------------</t>
  </si>
  <si>
    <t>2016-12-28_11:35 - Arquivo xog sendo gravado em: C:\xog_hypermarcas\xog_transaction_delete_20161228_113515.xml</t>
  </si>
  <si>
    <t>2016-12-28_11:35 - Ambiente selecionado: PROD</t>
  </si>
  <si>
    <t>2016-12-28_11:35 -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</si>
  <si>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2016-12-28_11:35 - Enviando requisição de login</t>
  </si>
  <si>
    <t>2016-12-28_11:35 - Login realizado. SessionID capturado: 11133081__03112D7C-8847-47E7-A0DE-C17F8553E1A0</t>
  </si>
  <si>
    <t>2016-12-28_11:35 - Chamando mensagem de requisição</t>
  </si>
  <si>
    <t>2016-12-28_11:35 - Capturando resultado final</t>
  </si>
  <si>
    <t>2016-12-28_11:35 - Efetuando logout</t>
  </si>
  <si>
    <t>2016-12-28_11:35 - Logout realizado</t>
  </si>
  <si>
    <t>2016-12-28_11:35 - -------------Fim da exportação transações de projeto-------------</t>
  </si>
  <si>
    <t>2016-12-28_11:35 - Arquivo xog sendo gravado em: C:\xog_hypermarcas\xog_prj_info_20161228_113521.xml</t>
  </si>
  <si>
    <t>2016-12-28_11:35 - Login realizado. SessionID capturado: 11133082__2D533832-4ACD-498C-81DA-333EB3DD91C8</t>
  </si>
  <si>
    <t>2016-12-28_11:35 - Arquivo xog sendo gravado em: C:\xog_hypermarcas\xog_transaction_20161228_113528.xml</t>
  </si>
  <si>
    <t>2016-12-28_11:35 - Login realizado. SessionID capturado: 11133083__EF8A44C4-7014-44DA-A06D-F132555159B1</t>
  </si>
  <si>
    <t>2016-12-28_11:35 - Arquivo xog sendo gravado em: C:\xog_hypermarcas\xog_prj_inf_20161228_113533.xml</t>
  </si>
  <si>
    <t>2016-12-28_11:35 - Login realizado. SessionID capturado: 11133084__32D5E411-0182-4968-9A2A-3A24ADE0B6B5</t>
  </si>
  <si>
    <t>2016-12-28_11:35 - Arquivo xog sendo gravado em: C:\xog_hypermarcas\xog_transaction_20161228_113539.xml</t>
  </si>
  <si>
    <t>2016-12-28_11:35 - Login realizado. SessionID capturado: 11133085__9D1D8300-EC51-4AEA-BC58-2D12556ECA35</t>
  </si>
  <si>
    <t>2016-12-28_11:35 - Arquivo xog sendo gravado em: C:\xog_hypermarcas\xog_transaction_delete_20161228_113544.xml</t>
  </si>
  <si>
    <t>2016-12-28_11:35 - Login realizado. SessionID capturado: 11133086__01FC11D4-5812-4B33-A117-A8F259667C50</t>
  </si>
  <si>
    <t>2016-12-28_11:35 - Arquivo xog sendo gravado em: C:\xog_hypermarcas\xog_prj_info_20161228_113549.xml</t>
  </si>
  <si>
    <t>2016-12-28_11:35 - Login realizado. SessionID capturado: 11133087__11E88B8F-DBE9-4FFE-B21D-A2CE5BB1588F</t>
  </si>
  <si>
    <t>2016-12-28_11:35 - Arquivo xog sendo gravado em: C:\xog_hypermarcas\xog_transaction_20161228_113556.xml</t>
  </si>
  <si>
    <t>2016-12-28_11:35 - Login realizado. SessionID capturado: 11133088__2A44F38F-FA20-41E8-941F-55046EF0DEC7</t>
  </si>
  <si>
    <t>2016-12-28_11:36 - -------------Início da exportação transações de projeto-------------</t>
  </si>
  <si>
    <t>2016-12-28_11:36 - Arquivo xog sendo gravado em: C:\xog_hypermarcas\xog_prj_inf_20161228_113601.xml</t>
  </si>
  <si>
    <t>2016-12-28_11:36 - Ambiente selecionado: PROD</t>
  </si>
  <si>
    <t>2016-12-28_11:36 -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</si>
  <si>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2016-12-28_11:36 - Enviando requisição de login</t>
  </si>
  <si>
    <t>2016-12-28_11:36 - Login realizado. SessionID capturado: 11133089__C7BFB82D-1E08-4D73-B8C2-E691B4FFF0F7</t>
  </si>
  <si>
    <t>2016-12-28_11:36 - Chamando mensagem de requisição</t>
  </si>
  <si>
    <t>2016-12-28_11:36 - Capturando resultado final</t>
  </si>
  <si>
    <t>2016-12-28_11:36 - Efetuando logout</t>
  </si>
  <si>
    <t>2016-12-28_11:36 - Logout realizado</t>
  </si>
  <si>
    <t>2016-12-28_11:36 - -------------Fim da exportação transações de projeto-------------</t>
  </si>
  <si>
    <t>2016-12-28_11:36 - Arquivo xog sendo gravado em: C:\xog_hypermarcas\xog_transaction_20161228_113608.xml</t>
  </si>
  <si>
    <t>2016-12-28_11:36 - Login realizado. SessionID capturado: 11133091__785EFEE8-A190-4FC1-A86A-E25687CEC90C</t>
  </si>
  <si>
    <t>2016-12-28_11:37 - -------------Início da exportação transações de projeto-------------</t>
  </si>
  <si>
    <t>2016-12-28_11:37 - Arquivo xog sendo gravado em: C:\xog_hypermarcas\xog_transaction_delete_20161228_113744.xml</t>
  </si>
  <si>
    <t>2016-12-28_11:37 - Ambiente selecionado: PROD</t>
  </si>
  <si>
    <t>2016-12-28_11:37 -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</si>
  <si>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2016-12-28_11:37 - Enviando requisição de login</t>
  </si>
  <si>
    <t>2016-12-28_11:37 - Login realizado. SessionID capturado: 11133098__D5A0C625-4E28-49BE-B4B5-284DB82030DA</t>
  </si>
  <si>
    <t>2016-12-28_11:37 - Chamando mensagem de requisição</t>
  </si>
  <si>
    <t>2016-12-28_11:37 - Capturando resultado final</t>
  </si>
  <si>
    <t>2016-12-28_11:37 - Efetuando logout</t>
  </si>
  <si>
    <t>2016-12-28_11:37 - Logout realizado</t>
  </si>
  <si>
    <t>2016-12-28_11:37 - -------------Fim da exportação transações de projeto-------------</t>
  </si>
  <si>
    <t>2016-12-28_11:38 - -------------Início da exportação transações de projeto-------------</t>
  </si>
  <si>
    <t>2016-12-28_11:38 - Arquivo xog sendo gravado em: C:\xog_hypermarcas\xog_prj_info_20161228_113808.xml</t>
  </si>
  <si>
    <t>2016-12-28_11:38 - Ambiente selecionado: PROD</t>
  </si>
  <si>
    <t>2016-12-28_11:38 -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</si>
  <si>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2016-12-28_11:38 - Enviando requisição de login</t>
  </si>
  <si>
    <t>2016-12-28_11:38 - Login realizado. SessionID capturado: 11133100__21CCFCA4-0C24-4F17-85FC-CC4B1C29F982</t>
  </si>
  <si>
    <t>2016-12-28_11:38 - Chamando mensagem de requisição</t>
  </si>
  <si>
    <t>2016-12-28_11:38 - Capturando resultado final</t>
  </si>
  <si>
    <t>2016-12-28_11:38 - Efetuando logout</t>
  </si>
  <si>
    <t>2016-12-28_11:38 - Logout realizado</t>
  </si>
  <si>
    <t>2016-12-28_11:38 - -------------Fim da exportação transações de projeto-------------</t>
  </si>
  <si>
    <t>2016-12-28_11:38 - Arquivo xog sendo gravado em: C:\xog_hypermarcas\xog_transaction_20161228_113817.xml</t>
  </si>
  <si>
    <t>2016-12-28_11:38 - Login realizado. SessionID capturado: 11133103__6601C1C4-9CBD-4FFC-A008-8ECC9EB62364</t>
  </si>
  <si>
    <t>2016-12-28_11:38 - Arquivo xog sendo gravado em: C:\xog_hypermarcas\xog_prj_inf_20161228_113823.xml</t>
  </si>
  <si>
    <t>2016-12-28_11:38 - Login realizado. SessionID capturado: 11133105__FBC0078D-BEF8-483B-A2A7-4EB1375AA643</t>
  </si>
  <si>
    <t>2016-12-28_11:39 - -------------Início da exportação transações de projeto-------------</t>
  </si>
  <si>
    <t>2016-12-28_11:39 - Arquivo xog sendo gravado em: C:\xog_hypermarcas\xog_transaction_20161228_113900.xml</t>
  </si>
  <si>
    <t>2016-12-28_11:39 - Ambiente selecionado: PROD</t>
  </si>
  <si>
    <t>2016-12-28_11:39 -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</si>
  <si>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2016-12-28_11:39 - Enviando requisição de login</t>
  </si>
  <si>
    <t>2016-12-28_11:39 - Login realizado. SessionID capturado: 11133106__AA5D41A6-FE28-4637-B48E-EFE495AB8CA7</t>
  </si>
  <si>
    <t>2016-12-28_11:39 - Chamando mensagem de requisição</t>
  </si>
  <si>
    <t>2016-12-28_11:39 - Capturando resultado final</t>
  </si>
  <si>
    <t>2016-12-28_11:39 - Efetuando logout</t>
  </si>
  <si>
    <t>2016-12-28_11:39 - Logout realizado</t>
  </si>
  <si>
    <t>2016-12-28_11:39 - -------------Fim da exportação transações de projeto-------------</t>
  </si>
  <si>
    <t>2016-12-28_11:44 - Ambiente selecionado: PROD</t>
  </si>
  <si>
    <t>2016-12-28_11:44 - Escrevendo tarefas...</t>
  </si>
  <si>
    <t>2016-12-28_11:44 - Escrevendo locais...</t>
  </si>
  <si>
    <t>2016-12-28_11:44 - Escrevendo períodos...</t>
  </si>
  <si>
    <t>2016-12-28_11:44 - Escrevendo fornecedores...</t>
  </si>
  <si>
    <t>2016-12-28_11:44 - Escrevendo departamentos...</t>
  </si>
  <si>
    <t>2016-12-28_11:44 - Escrevendo centros de custo...</t>
  </si>
  <si>
    <t>2016-12-28_11:44 - Escrevendo recursos e classes de transacao...</t>
  </si>
  <si>
    <t>2016-12-28_11:44 - Escrevendo classes de transacao...</t>
  </si>
  <si>
    <t>2016-12-28_11:44 - Escrevendo Projetos...</t>
  </si>
  <si>
    <t>2016-12-28_11:45 - -------------Início da exportação transações de projeto-------------</t>
  </si>
  <si>
    <t>2016-12-28_11:45 - Arquivo xog sendo gravado em: C:\xog_hypermarcas\xog_transaction_delete_20161228_114512.xml</t>
  </si>
  <si>
    <t>2016-12-28_11:45 - Ambiente selecionado: PROD</t>
  </si>
  <si>
    <t>2016-12-28_11:45 -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</si>
  <si>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2016-12-28_11:45 - Enviando requisição de login</t>
  </si>
  <si>
    <t>2016-12-28_11:45 - Login realizado. SessionID capturado: 11133134__DF9C2BF5-1F36-446D-91E5-B2028997777B</t>
  </si>
  <si>
    <t>2016-12-28_11:45 - Chamando mensagem de requisição</t>
  </si>
  <si>
    <t>2016-12-28_11:45 - Capturando resultado final</t>
  </si>
  <si>
    <t>2016-12-28_11:45 - Efetuando logout</t>
  </si>
  <si>
    <t>2016-12-28_11:45 - Logout realizado</t>
  </si>
  <si>
    <t>2016-12-28_11:45 - -------------Fim da exportação transações de projeto-------------</t>
  </si>
  <si>
    <t>2016-12-28_11:47 - -------------Início da exportação transações de projeto-------------</t>
  </si>
  <si>
    <t>2016-12-28_11:47 - Arquivo xog sendo gravado em: C:\xog_hypermarcas\xog_transaction_delete_20161228_114724.xml</t>
  </si>
  <si>
    <t>2016-12-28_11:47 - Ambiente selecionado: PROD</t>
  </si>
  <si>
    <t>2016-12-28_11:47 -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</si>
  <si>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2016-12-28_11:47 - Enviando requisição de login</t>
  </si>
  <si>
    <t>2016-12-28_11:47 - Login realizado. SessionID capturado: 11133141__F006B67C-8841-4198-8F66-1F4BBDDE9A46</t>
  </si>
  <si>
    <t>2016-12-28_11:47 - Chamando mensagem de requisição</t>
  </si>
  <si>
    <t>2016-12-28_11:47 - Capturando resultado final</t>
  </si>
  <si>
    <t>2016-12-28_11:47 - Efetuando logout</t>
  </si>
  <si>
    <t>2016-12-28_11:47 - Logout realizado</t>
  </si>
  <si>
    <t>2016-12-28_11:47 - -------------Fim da exportação transações de projeto-------------</t>
  </si>
  <si>
    <t>2016-12-28_11:47 - Arquivo xog sendo gravado em: C:\xog_hypermarcas\xog_prj_info_20161228_114729.xml</t>
  </si>
  <si>
    <t>2016-12-28_11:47 - Login realizado. SessionID capturado: 11133142__ECF87EDD-66AD-4E2B-89C1-3CBA585E0AA6</t>
  </si>
  <si>
    <t>2016-12-28_11:47 - Arquivo xog sendo gravado em: C:\xog_hypermarcas\xog_transaction_20161228_114736.xml</t>
  </si>
  <si>
    <t>2016-12-28_11:47 - Login realizado. SessionID capturado: 11133144__69CBDD1C-44A0-487A-B4C4-5FD9D5E47C41</t>
  </si>
  <si>
    <t>2016-12-28_11:49 - Ambiente selecionado: PROD</t>
  </si>
  <si>
    <t>2016-12-28_11:49 - Escrevendo tarefas...</t>
  </si>
  <si>
    <t>2016-12-28_11:49 - Escrevendo locais...</t>
  </si>
  <si>
    <t>2016-12-28_11:49 - Escrevendo períodos...</t>
  </si>
  <si>
    <t>2016-12-28_11:49 - Escrevendo fornecedores...</t>
  </si>
  <si>
    <t>2016-12-28_11:49 - Escrevendo departamentos...</t>
  </si>
  <si>
    <t>2016-12-28_11:49 - Escrevendo centros de custo...</t>
  </si>
  <si>
    <t>2016-12-28_11:49 - Escrevendo recursos e classes de transacao...</t>
  </si>
  <si>
    <t>2016-12-28_11:49 - Escrevendo classes de transacao...</t>
  </si>
  <si>
    <t>2016-12-28_11:49 - Escrevendo Projetos...</t>
  </si>
  <si>
    <t>2016-12-28_11:49 - -------------Início da exportação transações de projeto-------------</t>
  </si>
  <si>
    <t>2016-12-28_11:49 - Arquivo xog sendo gravado em: C:\xog_hypermarcas\xog_transaction_delete_20161228_114951.xml</t>
  </si>
  <si>
    <t>2016-12-28_11:49 -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</si>
  <si>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2016-12-28_11:49 - Enviando requisição de login</t>
  </si>
  <si>
    <t>2016-12-28_11:49 - Login realizado. SessionID capturado: 11133156__4D90B32A-D39F-4219-A2FC-F2AA06A0A348</t>
  </si>
  <si>
    <t>2016-12-28_11:49 - Chamando mensagem de requisição</t>
  </si>
  <si>
    <t>2016-12-28_11:49 - Capturando resultado final</t>
  </si>
  <si>
    <t>2016-12-28_11:49 - Efetuando logout</t>
  </si>
  <si>
    <t>2016-12-28_11:49 - Logout realizado</t>
  </si>
  <si>
    <t>2016-12-28_11:49 - -------------Fim da exportação transações de projeto-------------</t>
  </si>
  <si>
    <t>2016-12-28_11:52 - -------------Início da exportação transações de projeto-------------</t>
  </si>
  <si>
    <t>2016-12-28_11:52 - Arquivo xog sendo gravado em: C:\xog_hypermarcas\xog_transaction_delete_20161228_115230.xml</t>
  </si>
  <si>
    <t>2016-12-28_11:52 - Ambiente selecionado: PROD</t>
  </si>
  <si>
    <t>2016-12-28_11:52 -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</si>
  <si>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2016-12-28_11:52 - Enviando requisição de login</t>
  </si>
  <si>
    <t>2016-12-28_11:52 - Login realizado. SessionID capturado: 11133166__E0ECF05C-5D32-4BE2-83BF-8C4056BAD364</t>
  </si>
  <si>
    <t>2016-12-28_11:52 - Chamando mensagem de requisição</t>
  </si>
  <si>
    <t>2016-12-28_11:52 - Capturando resultado final</t>
  </si>
  <si>
    <t>2016-12-28_11:52 - Efetuando logout</t>
  </si>
  <si>
    <t>2016-12-28_11:52 - Logout realizado</t>
  </si>
  <si>
    <t>2016-12-28_11:52 - -------------Fim da exportação transações de projeto-------------</t>
  </si>
  <si>
    <t>2016-12-28_11:55 - -------------Início da exportação transações de projeto-------------</t>
  </si>
  <si>
    <t>2016-12-28_11:55 - Arquivo xog sendo gravado em: C:\xog_hypermarcas\xog_transaction_delete_20161228_115507.xml</t>
  </si>
  <si>
    <t>2016-12-28_11:55 - Ambiente selecionado: PROD</t>
  </si>
  <si>
    <t>2016-12-28_11:55 -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</si>
  <si>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2016-12-28_11:55 - Enviando requisição de login</t>
  </si>
  <si>
    <t>2016-12-28_11:55 - Login realizado. SessionID capturado: 11133173__AE06EBCA-05C6-4F90-AC95-BB0956F7063C</t>
  </si>
  <si>
    <t>2016-12-28_11:55 - Chamando mensagem de requisição</t>
  </si>
  <si>
    <t>2016-12-28_11:55 - Capturando resultado final</t>
  </si>
  <si>
    <t>2016-12-28_11:55 - Efetuando logout</t>
  </si>
  <si>
    <t>2016-12-28_11:55 - Logout realizado</t>
  </si>
  <si>
    <t>2016-12-28_11:55 - -------------Fim da exportação transações de projeto-------------</t>
  </si>
  <si>
    <t>2016-12-28_11:55 - Arquivo xog sendo gravado em: C:\xog_hypermarcas\xog_prj_info_20161228_115512.xml</t>
  </si>
  <si>
    <t>2016-12-28_11:55 - Login realizado. SessionID capturado: 11133176__8644C673-4FDC-4EAA-B30A-DD7215065D50</t>
  </si>
  <si>
    <t>2016-12-28_11:55 - Arquivo xog sendo gravado em: C:\xog_hypermarcas\xog_transaction_20161228_115519.xml</t>
  </si>
  <si>
    <t>2016-12-28_11:55 - Login realizado. SessionID capturado: 11133178__3C6BB7EB-0E33-48A8-845C-547D3DCD0AE9</t>
  </si>
  <si>
    <t>2016-12-28_11:55 - Escrevendo tarefas...</t>
  </si>
  <si>
    <t>2016-12-28_11:55 - Escrevendo locais...</t>
  </si>
  <si>
    <t>2016-12-28_11:55 - Escrevendo períodos...</t>
  </si>
  <si>
    <t>2016-12-28_11:55 - Escrevendo fornecedores...</t>
  </si>
  <si>
    <t>2016-12-28_11:55 - Escrevendo departamentos...</t>
  </si>
  <si>
    <t>2016-12-28_11:55 - Escrevendo centros de custo...</t>
  </si>
  <si>
    <t>2016-12-28_11:55 - Escrevendo recursos e classes de transacao...</t>
  </si>
  <si>
    <t>2016-12-28_11:55 - Escrevendo classes de transacao...</t>
  </si>
  <si>
    <t>2016-12-28_11:55 - Escrevendo Projetos...</t>
  </si>
  <si>
    <t>2016-12-28_11:56 - -------------Início da exportação transações de projeto-------------</t>
  </si>
  <si>
    <t>2016-12-28_11:56 - Arquivo xog sendo gravado em: C:\xog_hypermarcas\xog_transaction_delete_20161228_115603.xml</t>
  </si>
  <si>
    <t>2016-12-28_11:56 - Ambiente selecionado: PROD</t>
  </si>
  <si>
    <t>2016-12-28_11:56 -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</si>
  <si>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2016-12-28_11:56 - Enviando requisição de login</t>
  </si>
  <si>
    <t>2016-12-28_11:56 - Login realizado. SessionID capturado: 11133184__1905D63C-2197-4846-AFBD-E2669C09633B</t>
  </si>
  <si>
    <t>2016-12-28_11:56 - Chamando mensagem de requisição</t>
  </si>
  <si>
    <t>2016-12-28_11:56 - Capturando resultado final</t>
  </si>
  <si>
    <t>2016-12-28_11:56 - Efetuando logout</t>
  </si>
  <si>
    <t>2016-12-28_11:56 - Logout realizado</t>
  </si>
  <si>
    <t>2016-12-28_11:56 - -------------Fim da exportação transações de projeto-------------</t>
  </si>
  <si>
    <t>2016-12-28_11:56 - Arquivo xog sendo gravado em: C:\xog_hypermarcas\xog_prj_info_20161228_115609.xml</t>
  </si>
  <si>
    <t>2016-12-28_11:56 - Login realizado. SessionID capturado: 11133185__C414F3A8-73DA-4911-A34F-1B9AC31EF74B</t>
  </si>
  <si>
    <t>2016-12-28_11:56 - Arquivo xog sendo gravado em: C:\xog_hypermarcas\xog_transaction_20161228_115616.xml</t>
  </si>
  <si>
    <t>2016-12-28_11:56 - Login realizado. SessionID capturado: 11133189__8CD71E37-FE0F-4674-93FC-3A435B8A4485</t>
  </si>
  <si>
    <t>2016-12-28_14:15 - Ambiente selecionado: PROD</t>
  </si>
  <si>
    <t>2016-12-28_14:15 - Escrevendo tarefas...</t>
  </si>
  <si>
    <t>2016-12-28_14:15 - Escrevendo locais...</t>
  </si>
  <si>
    <t>2016-12-28_14:15 - Escrevendo períodos...</t>
  </si>
  <si>
    <t>2016-12-28_14:15 - Escrevendo fornecedores...</t>
  </si>
  <si>
    <t>2016-12-28_14:15 - Escrevendo departamentos...</t>
  </si>
  <si>
    <t>2016-12-28_14:15 - Escrevendo centros de custo...</t>
  </si>
  <si>
    <t>2016-12-28_14:15 - Escrevendo recursos e classes de transacao...</t>
  </si>
  <si>
    <t>2016-12-28_14:15 - Escrevendo classes de transacao...</t>
  </si>
  <si>
    <t>2016-12-28_14:15 - Escrevendo Projetos...</t>
  </si>
  <si>
    <t>2016-12-28_14:15 - -------------Início da exportação transações de projeto-------------</t>
  </si>
  <si>
    <t>2016-12-28_14:15 - Arquivo xog sendo gravado em: C:\xog_hypermarcas\xog_transaction_delete_20161228_141545.xml</t>
  </si>
  <si>
    <t>2016-12-28_14:15 -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</si>
  <si>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2016-12-28_14:15 - Enviando requisição de login</t>
  </si>
  <si>
    <t>2016-12-28_14:15 - Login realizado. SessionID capturado: 11133630__4FCCC901-7B6A-45FD-B260-F0E6FCF16AC9</t>
  </si>
  <si>
    <t>2016-12-28_14:15 - Chamando mensagem de requisição</t>
  </si>
  <si>
    <t>2016-12-28_14:15 - Capturando resultado final</t>
  </si>
  <si>
    <t>2016-12-28_14:15 - Efetuando logout</t>
  </si>
  <si>
    <t>2016-12-28_14:15 - Logout realizado</t>
  </si>
  <si>
    <t>2016-12-28_14:15 - -------------Fim da exportação transações de projeto-------------</t>
  </si>
  <si>
    <t>2016-12-28_14:17 - Ambiente selecionado: PROD</t>
  </si>
  <si>
    <t>2016-12-28_14:17 - Escrevendo tarefas...</t>
  </si>
  <si>
    <t>2016-12-28_14:17 - Escrevendo locais...</t>
  </si>
  <si>
    <t>2016-12-28_14:17 - Escrevendo períodos...</t>
  </si>
  <si>
    <t>2016-12-28_14:17 - Escrevendo fornecedores...</t>
  </si>
  <si>
    <t>2016-12-28_14:17 - Escrevendo departamentos...</t>
  </si>
  <si>
    <t>2016-12-28_14:17 - Escrevendo centros de custo...</t>
  </si>
  <si>
    <t>2016-12-28_14:17 - Escrevendo recursos e classes de transacao...</t>
  </si>
  <si>
    <t>2016-12-28_14:17 - Escrevendo classes de transacao...</t>
  </si>
  <si>
    <t>2016-12-28_14:17 - Escrevendo Projetos...</t>
  </si>
  <si>
    <t>2016-12-28_14:18 - -------------Início da exportação transações de projeto-------------</t>
  </si>
  <si>
    <t>2016-12-28_14:18 - Arquivo xog sendo gravado em: C:\xog_hypermarcas\xog_transaction_delete_20161228_141807.xml</t>
  </si>
  <si>
    <t>2016-12-28_14:18 - Ambiente selecionado: PROD</t>
  </si>
  <si>
    <t>2016-12-28_14:18 -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</si>
  <si>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2016-12-28_14:18 - Enviando requisição de login</t>
  </si>
  <si>
    <t>2016-12-28_14:18 - Login realizado. SessionID capturado: 11133646__7A1B966F-20BA-443B-ADE4-04D798F04D8E</t>
  </si>
  <si>
    <t>2016-12-28_14:18 - Chamando mensagem de requisição</t>
  </si>
  <si>
    <t>2016-12-28_14:18 - Capturando resultado final</t>
  </si>
  <si>
    <t>2016-12-28_14:18 - Efetuando logout</t>
  </si>
  <si>
    <t>2016-12-28_14:18 - Logout realizado</t>
  </si>
  <si>
    <t>2016-12-28_14:18 - -------------Fim da exportação transações de projeto-------------</t>
  </si>
  <si>
    <t>2016-12-28_14:18 - Arquivo xog sendo gravado em: C:\xog_hypermarcas\xog_prj_info_20161228_141812.xml</t>
  </si>
  <si>
    <t>2016-12-28_14:18 - Login realizado. SessionID capturado: 11133648__A6E2AE2C-B524-4BA6-8D27-7882238E8A2F</t>
  </si>
  <si>
    <t>2016-12-28_14:18 - Arquivo xog sendo gravado em: C:\xog_hypermarcas\xog_transaction_20161228_141820.xml</t>
  </si>
  <si>
    <t>2016-12-28_14:18 - Login realizado. SessionID capturado: 11133649__AEC16863-2321-4843-8B7A-A6597E1ADF7B</t>
  </si>
  <si>
    <t>2016-12-28_14:19 - Ambiente selecionado: PROD</t>
  </si>
  <si>
    <t>2016-12-28_14:19 - Escrevendo tarefas...</t>
  </si>
  <si>
    <t>2016-12-28_14:19 - Escrevendo locais...</t>
  </si>
  <si>
    <t>2016-12-28_14:19 - Escrevendo períodos...</t>
  </si>
  <si>
    <t>2016-12-28_14:19 - Escrevendo fornecedores...</t>
  </si>
  <si>
    <t>2016-12-28_14:19 - Escrevendo departamentos...</t>
  </si>
  <si>
    <t>2016-12-28_14:19 - Escrevendo centros de custo...</t>
  </si>
  <si>
    <t>2016-12-28_14:19 - Escrevendo recursos e classes de transacao...</t>
  </si>
  <si>
    <t>2016-12-28_14:19 - Escrevendo classes de transacao...</t>
  </si>
  <si>
    <t>2016-12-28_14:19 - Escrevendo Projetos...</t>
  </si>
  <si>
    <t>2016-12-28_14:19 - -------------Início da exportação transações de projeto-------------</t>
  </si>
  <si>
    <t>2016-12-28_14:19 - Arquivo xog sendo gravado em: C:\xog_hypermarcas\xog_transaction_delete_20161228_141939.xml</t>
  </si>
  <si>
    <t>2016-12-28_14:19 -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</si>
  <si>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2016-12-28_14:19 - Enviando requisição de login</t>
  </si>
  <si>
    <t>2016-12-28_14:19 - Login realizado. SessionID capturado: 11133658__E156397B-CF5E-4B48-A2B4-2A467A114092</t>
  </si>
  <si>
    <t>2016-12-28_14:19 - Chamando mensagem de requisição</t>
  </si>
  <si>
    <t>2016-12-28_14:19 - Capturando resultado final</t>
  </si>
  <si>
    <t>2016-12-28_14:19 - Efetuando logout</t>
  </si>
  <si>
    <t>2016-12-28_14:19 - Logout realizado</t>
  </si>
  <si>
    <t>2016-12-28_14:19 - -------------Fim da exportação transações de projeto-------------</t>
  </si>
  <si>
    <t>2016-12-28_14:20 - Ambiente selecionado: PROD</t>
  </si>
  <si>
    <t>2016-12-28_14:20 - Escrevendo tarefas...</t>
  </si>
  <si>
    <t>2016-12-28_14:20 - Escrevendo locais...</t>
  </si>
  <si>
    <t>2016-12-28_14:20 - Escrevendo períodos...</t>
  </si>
  <si>
    <t>2016-12-28_14:20 - Escrevendo fornecedores...</t>
  </si>
  <si>
    <t>2016-12-28_14:20 - Escrevendo departamentos...</t>
  </si>
  <si>
    <t>2016-12-28_14:20 - Escrevendo centros de custo...</t>
  </si>
  <si>
    <t>2016-12-28_14:20 - Escrevendo recursos e classes de transacao...</t>
  </si>
  <si>
    <t>2016-12-28_14:20 - Escrevendo classes de transacao...</t>
  </si>
  <si>
    <t>2016-12-28_14:20 - Escrevendo Projetos...</t>
  </si>
  <si>
    <t>2016-12-28_14:22 - -------------Início da exportação transações de projeto-------------</t>
  </si>
  <si>
    <t>2016-12-28_14:22 - Arquivo xog sendo gravado em: C:\xog_hypermarcas\xog_transaction_delete_20161228_142221.xml</t>
  </si>
  <si>
    <t>2016-12-28_14:22 - Ambiente selecionado: PROD</t>
  </si>
  <si>
    <t>2016-12-28_14:22 -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</si>
  <si>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2016-12-28_14:22 - Enviando requisição de login</t>
  </si>
  <si>
    <t>2016-12-28_14:22 - Login realizado. SessionID capturado: 11133673__04A831C1-AB93-47D1-A833-BED934825916</t>
  </si>
  <si>
    <t>2016-12-28_14:22 - Chamando mensagem de requisição</t>
  </si>
  <si>
    <t>2016-12-28_14:22 - Capturando resultado final</t>
  </si>
  <si>
    <t>2016-12-28_14:22 - Efetuando logout</t>
  </si>
  <si>
    <t>2016-12-28_14:22 - Logout realizado</t>
  </si>
  <si>
    <t>2016-12-28_14:22 - -------------Fim da exportação transações de projeto-------------</t>
  </si>
  <si>
    <t>2016-12-28_14:23 - Ambiente selecionado: PROD</t>
  </si>
  <si>
    <t>2016-12-28_14:23 - Escrevendo tarefas...</t>
  </si>
  <si>
    <t>2016-12-28_14:23 - Escrevendo locais...</t>
  </si>
  <si>
    <t>2016-12-28_14:23 - Escrevendo períodos...</t>
  </si>
  <si>
    <t>2016-12-28_14:23 - Escrevendo fornecedores...</t>
  </si>
  <si>
    <t>2016-12-28_14:23 - Escrevendo departamentos...</t>
  </si>
  <si>
    <t>2016-12-28_14:23 - Escrevendo centros de custo...</t>
  </si>
  <si>
    <t>2016-12-28_14:23 - Escrevendo recursos e classes de transacao...</t>
  </si>
  <si>
    <t>2016-12-28_14:23 - Escrevendo classes de transacao...</t>
  </si>
  <si>
    <t>2016-12-28_14:23 - Escrevendo Projetos...</t>
  </si>
  <si>
    <t>2016-12-28_14:24 - -------------Início da exportação transações de projeto-------------</t>
  </si>
  <si>
    <t>2016-12-28_14:24 - Arquivo xog sendo gravado em: C:\xog_hypermarcas\xog_transaction_delete_20161228_142420.xml</t>
  </si>
  <si>
    <t>2016-12-28_14:24 - Ambiente selecionado: PROD</t>
  </si>
  <si>
    <t>2016-12-28_14:24 -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</si>
  <si>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2016-12-28_14:24 - Enviando requisição de login</t>
  </si>
  <si>
    <t>2016-12-28_14:24 - Login realizado. SessionID capturado: 11133686__65DD5128-0B9B-4B5A-92A7-09307C4AEF40</t>
  </si>
  <si>
    <t>2016-12-28_14:24 - Chamando mensagem de requisição</t>
  </si>
  <si>
    <t>2016-12-28_14:24 - Capturando resultado final</t>
  </si>
  <si>
    <t>2016-12-28_14:24 - Efetuando logout</t>
  </si>
  <si>
    <t>2016-12-28_14:24 - Logout realizado</t>
  </si>
  <si>
    <t>2016-12-28_14:24 - -------------Fim da exportação transações de projeto-------------</t>
  </si>
  <si>
    <t>2016-12-28_14:24 - Arquivo xog sendo gravado em: C:\xog_hypermarcas\xog_prj_info_20161228_142425.xml</t>
  </si>
  <si>
    <t>2016-12-28_14:24 - Login realizado. SessionID capturado: 11133687__DDEF7108-16F7-4659-A096-D98DF40E3136</t>
  </si>
  <si>
    <t>2016-12-28_14:24 - Arquivo xog sendo gravado em: C:\xog_hypermarcas\xog_transaction_20161228_142433.xml</t>
  </si>
  <si>
    <t>2016-12-28_14:24 - Login realizado. SessionID capturado: 11133688__5FB10F89-3D0E-410E-BE83-23B9BA00FAAB</t>
  </si>
  <si>
    <t>2016-12-28_14:24 - Arquivo xog sendo gravado em: C:\xog_hypermarcas\xog_prj_inf_20161228_142459.xml</t>
  </si>
  <si>
    <t>2016-12-28_14:24 - Login realizado. SessionID capturado: 11133689__ECF8D845-EFA0-4CFC-B51A-F6AF1D71E69A</t>
  </si>
  <si>
    <t>2016-12-28_14:25 - Capturando resultado final</t>
  </si>
  <si>
    <t>2016-12-28_14:25 - Efetuando logout</t>
  </si>
  <si>
    <t>2016-12-28_14:25 - Logout realizado</t>
  </si>
  <si>
    <t>2016-12-28_14:25 - -------------Fim da exportação transações de projeto-------------</t>
  </si>
  <si>
    <t>2016-12-28_14:25 - -------------Início da exportação transações de projeto-------------</t>
  </si>
  <si>
    <t>2016-12-28_14:25 - Arquivo xog sendo gravado em: C:\xog_hypermarcas\xog_transaction_20161228_142507.xml</t>
  </si>
  <si>
    <t>2016-12-28_14:25 - Ambiente selecionado: PROD</t>
  </si>
  <si>
    <t>2016-12-28_14:25 -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</si>
  <si>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2016-12-28_14:25 - Enviando requisição de login</t>
  </si>
  <si>
    <t>2016-12-28_14:25 - Login realizado. SessionID capturado: 11133690__90CA9F6F-9365-4931-B399-11BE9B200656</t>
  </si>
  <si>
    <t>2016-12-28_14:25 - Chamando mensagem de requisição</t>
  </si>
  <si>
    <t>2016-12-28_14:26 - Ambiente selecionado: PROD</t>
  </si>
  <si>
    <t>2016-12-28_14:26 - Escrevendo tarefas...</t>
  </si>
  <si>
    <t>2016-12-28_14:26 - Escrevendo locais...</t>
  </si>
  <si>
    <t>2016-12-28_14:26 - Escrevendo períodos...</t>
  </si>
  <si>
    <t>2016-12-28_14:26 - Escrevendo fornecedores...</t>
  </si>
  <si>
    <t>2016-12-28_14:26 - Escrevendo departamentos...</t>
  </si>
  <si>
    <t>2016-12-28_14:26 - Escrevendo centros de custo...</t>
  </si>
  <si>
    <t>2016-12-28_14:26 - Escrevendo recursos e classes de transacao...</t>
  </si>
  <si>
    <t>2016-12-28_14:26 - Escrevendo classes de transacao...</t>
  </si>
  <si>
    <t>2016-12-28_14:26 - Escrevendo Projetos...</t>
  </si>
  <si>
    <t>2016-12-28_14:27 - -------------Início da exportação transações de projeto-------------</t>
  </si>
  <si>
    <t>2016-12-28_14:27 - Arquivo xog sendo gravado em: C:\xog_hypermarcas\xog_transaction_delete_20161228_142725.xml</t>
  </si>
  <si>
    <t>2016-12-28_14:27 - Ambiente selecionado: PROD</t>
  </si>
  <si>
    <t>2016-12-28_14:27 -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</si>
  <si>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2016-12-28_14:27 - Enviando requisição de login</t>
  </si>
  <si>
    <t>2016-12-28_14:27 - Login realizado. SessionID capturado: 11133708__4E78E767-6081-4455-9531-92F73770D668</t>
  </si>
  <si>
    <t>2016-12-28_14:27 - Chamando mensagem de requisição</t>
  </si>
  <si>
    <t>2016-12-28_14:27 - Capturando resultado final</t>
  </si>
  <si>
    <t>2016-12-28_14:27 - Efetuando logout</t>
  </si>
  <si>
    <t>2016-12-28_14:27 - Logout realizado</t>
  </si>
  <si>
    <t>2016-12-28_14:27 - -------------Fim da exportação transações de projeto-------------</t>
  </si>
  <si>
    <t>2016-12-28_14:29 - Ambiente selecionado: PROD</t>
  </si>
  <si>
    <t>2016-12-28_14:29 - Escrevendo tarefas...</t>
  </si>
  <si>
    <t>2016-12-28_14:29 - Escrevendo locais...</t>
  </si>
  <si>
    <t>2016-12-28_14:29 - Escrevendo períodos...</t>
  </si>
  <si>
    <t>2016-12-28_14:29 - Escrevendo fornecedores...</t>
  </si>
  <si>
    <t>2016-12-28_14:29 - Escrevendo departamentos...</t>
  </si>
  <si>
    <t>2016-12-28_14:29 - Escrevendo centros de custo...</t>
  </si>
  <si>
    <t>2016-12-28_14:29 - Escrevendo recursos e classes de transacao...</t>
  </si>
  <si>
    <t>2016-12-28_14:29 - Escrevendo classes de transacao...</t>
  </si>
  <si>
    <t>2016-12-28_14:29 - Escrevendo Projetos...</t>
  </si>
  <si>
    <t>2016-12-28_14:29 - -------------Início da exportação transações de projeto-------------</t>
  </si>
  <si>
    <t>2016-12-28_14:29 - Arquivo xog sendo gravado em: C:\xog_hypermarcas\xog_transaction_delete_20161228_142947.xml</t>
  </si>
  <si>
    <t>2016-12-28_14:29 -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</si>
  <si>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2016-12-28_14:29 - Enviando requisição de login</t>
  </si>
  <si>
    <t>2016-12-28_14:29 - Login realizado. SessionID capturado: 11133721__C6E6C1AA-0FA8-4804-AD2F-E7A117CD71DA</t>
  </si>
  <si>
    <t>2016-12-28_14:29 - Chamando mensagem de requisição</t>
  </si>
  <si>
    <t>2016-12-28_14:29 - Capturando resultado final</t>
  </si>
  <si>
    <t>2016-12-28_14:29 - Efetuando logout</t>
  </si>
  <si>
    <t>2016-12-28_14:29 - Logout realizado</t>
  </si>
  <si>
    <t>2016-12-28_14:29 - -------------Fim da exportação transações de projeto-------------</t>
  </si>
  <si>
    <t>2016-12-28_14:29 - Arquivo xog sendo gravado em: C:\xog_hypermarcas\xog_prj_info_20161228_142952.xml</t>
  </si>
  <si>
    <t>2016-12-28_14:29 - Login realizado. SessionID capturado: 11133722__4D282828-A977-49FA-9FD8-BD31914F27C3</t>
  </si>
  <si>
    <t>2016-12-28_14:29 - Arquivo xog sendo gravado em: C:\xog_hypermarcas\xog_transaction_20161228_142959.xml</t>
  </si>
  <si>
    <t>2016-12-28_14:29 - Login realizado. SessionID capturado: 11133723__5C03E114-2B25-444A-8E4F-17A8B8412238</t>
  </si>
  <si>
    <t>2016-12-28_14:30 - -------------Início da exportação transações de projeto-------------</t>
  </si>
  <si>
    <t>2016-12-28_14:30 - Arquivo xog sendo gravado em: C:\xog_hypermarcas\xog_prj_inf_20161228_143027.xml</t>
  </si>
  <si>
    <t>2016-12-28_14:30 - Ambiente selecionado: PROD</t>
  </si>
  <si>
    <t>2016-12-28_14:30 -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</si>
  <si>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2016-12-28_14:30 - Enviando requisição de login</t>
  </si>
  <si>
    <t>2016-12-28_14:30 - Login realizado. SessionID capturado: 11133727__66DF17C6-56C1-4B08-8C8C-BD774FF28348</t>
  </si>
  <si>
    <t>2016-12-28_14:30 - Chamando mensagem de requisição</t>
  </si>
  <si>
    <t>2016-12-28_14:30 - Capturando resultado final</t>
  </si>
  <si>
    <t>2016-12-28_14:30 - Efetuando logout</t>
  </si>
  <si>
    <t>2016-12-28_14:30 - Logout realizado</t>
  </si>
  <si>
    <t>2016-12-28_14:30 - -------------Fim da exportação transações de projeto-------------</t>
  </si>
  <si>
    <t>2016-12-28_14:30 - Arquivo xog sendo gravado em: C:\xog_hypermarcas\xog_transaction_20161228_143033.xml</t>
  </si>
  <si>
    <t>2016-12-28_14:30 - Login realizado. SessionID capturado: 11133728__A2113DEC-B1C6-412A-A881-976486B9F6F4</t>
  </si>
  <si>
    <t>2016-12-28_14:32 - Ambiente selecionado: PROD</t>
  </si>
  <si>
    <t>2016-12-28_14:32 - Escrevendo tarefas...</t>
  </si>
  <si>
    <t>2016-12-28_14:32 - Escrevendo locais...</t>
  </si>
  <si>
    <t>2016-12-28_14:32 - Escrevendo períodos...</t>
  </si>
  <si>
    <t>2016-12-28_14:32 - Escrevendo fornecedores...</t>
  </si>
  <si>
    <t>2016-12-28_14:32 - Escrevendo departamentos...</t>
  </si>
  <si>
    <t>2016-12-28_14:32 - Escrevendo centros de custo...</t>
  </si>
  <si>
    <t>2016-12-28_14:32 - Escrevendo recursos e classes de transacao...</t>
  </si>
  <si>
    <t>2016-12-28_14:32 - Escrevendo classes de transacao...</t>
  </si>
  <si>
    <t>2016-12-28_14:32 - Escrevendo Projetos...</t>
  </si>
  <si>
    <t>2016-12-28_14:33 - Ambiente selecionado: PROD</t>
  </si>
  <si>
    <t>2016-12-28_14:33 - Escrevendo tarefas...</t>
  </si>
  <si>
    <t>2016-12-28_14:33 - Escrevendo locais...</t>
  </si>
  <si>
    <t>2016-12-28_14:33 - Escrevendo períodos...</t>
  </si>
  <si>
    <t>2016-12-28_14:33 - Escrevendo fornecedores...</t>
  </si>
  <si>
    <t>2016-12-28_14:33 - Escrevendo departamentos...</t>
  </si>
  <si>
    <t>2016-12-28_14:33 - Escrevendo centros de custo...</t>
  </si>
  <si>
    <t>2016-12-28_14:33 - Escrevendo recursos e classes de transacao...</t>
  </si>
  <si>
    <t>2016-12-28_14:33 - Escrevendo classes de transacao...</t>
  </si>
  <si>
    <t>2016-12-28_14:33 - Escrevendo Projetos...</t>
  </si>
  <si>
    <t>2016-12-28_14:33 - -------------Início da exportação transações de projeto-------------</t>
  </si>
  <si>
    <t>2016-12-28_14:33 - Arquivo xog sendo gravado em: C:\xog_hypermarcas\xog_transaction_delete_20161228_143341.xml</t>
  </si>
  <si>
    <t>2016-12-28_14:33 -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</si>
  <si>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2016-12-28_14:33 - Enviando requisição de login</t>
  </si>
  <si>
    <t>2016-12-28_14:33 - Login realizado. SessionID capturado: 11133748__F28CF4FF-ADE9-4243-98D7-DD3484A119C4</t>
  </si>
  <si>
    <t>2016-12-28_14:33 - Chamando mensagem de requisição</t>
  </si>
  <si>
    <t>2016-12-28_14:33 - Capturando resultado final</t>
  </si>
  <si>
    <t>2016-12-28_14:33 - Efetuando logout</t>
  </si>
  <si>
    <t>2016-12-28_14:33 - Logout realizado</t>
  </si>
  <si>
    <t>2016-12-28_14:33 - -------------Fim da exportação transações de projeto-------------</t>
  </si>
  <si>
    <t>2016-12-28_14:36 - Ambiente selecionado: PROD</t>
  </si>
  <si>
    <t>2016-12-28_14:36 - Escrevendo tarefas...</t>
  </si>
  <si>
    <t>2016-12-28_14:36 - Escrevendo locais...</t>
  </si>
  <si>
    <t>2016-12-28_14:36 - Escrevendo períodos...</t>
  </si>
  <si>
    <t>2016-12-28_14:36 - Escrevendo fornecedores...</t>
  </si>
  <si>
    <t>2016-12-28_14:36 - Escrevendo departamentos...</t>
  </si>
  <si>
    <t>2016-12-28_14:36 - Escrevendo centros de custo...</t>
  </si>
  <si>
    <t>2016-12-28_14:36 - Escrevendo recursos e classes de transacao...</t>
  </si>
  <si>
    <t>2016-12-28_14:36 - Escrevendo classes de transacao...</t>
  </si>
  <si>
    <t>2016-12-28_14:36 - Escrevendo Projetos...</t>
  </si>
  <si>
    <t>2016-12-28_16:05 - Ambiente selecionado: PROD</t>
  </si>
  <si>
    <t>2016-12-28_16:05 - Escrevendo tarefas...</t>
  </si>
  <si>
    <t>2016-12-28_16:05 - Escrevendo locais...</t>
  </si>
  <si>
    <t>2016-12-28_16:05 - Escrevendo períodos...</t>
  </si>
  <si>
    <t>2016-12-28_16:05 - Escrevendo fornecedores...</t>
  </si>
  <si>
    <t>2016-12-28_16:05 - Escrevendo departamentos...</t>
  </si>
  <si>
    <t>2016-12-28_16:05 - Escrevendo centros de custo...</t>
  </si>
  <si>
    <t>2016-12-28_16:05 - Escrevendo recursos e classes de transacao...</t>
  </si>
  <si>
    <t>2016-12-28_16:05 - Escrevendo classes de transacao...</t>
  </si>
  <si>
    <t>2016-12-28_16:05 - Escrevendo Projetos...</t>
  </si>
  <si>
    <t>2016-12-28_16:09 - -------------Início da exportação transações de projeto-------------</t>
  </si>
  <si>
    <t>2016-12-28_16:09 - Arquivo xog sendo gravado em: C:\xog_hypermarcas\xog_transaction_delete_20161228_160900.xml</t>
  </si>
  <si>
    <t>2016-12-28_16:09 - Ambiente selecionado: PROD</t>
  </si>
  <si>
    <t>2016-12-28_16:09 -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</si>
  <si>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2016-12-28_16:09 - Enviando requisição de login</t>
  </si>
  <si>
    <t>2016-12-28_16:09 - Login realizado. SessionID capturado: 11137132__0F1489DA-9211-4F3E-AFB2-F49C9A45E723</t>
  </si>
  <si>
    <t>2016-12-28_16:09 - Chamando mensagem de requisição</t>
  </si>
  <si>
    <t>2016-12-28_16:09 - Capturando resultado final</t>
  </si>
  <si>
    <t>2016-12-28_16:09 - Efetuando logout</t>
  </si>
  <si>
    <t>2016-12-28_16:09 - Logout realizado</t>
  </si>
  <si>
    <t>2016-12-28_16:09 - -------------Fim da exportação transações de projeto-------------</t>
  </si>
  <si>
    <t>hm_q_info_tarefas_proj</t>
  </si>
  <si>
    <t>2016-12-29_10:11 - Ambiente selecionado: PROD</t>
  </si>
  <si>
    <t>2016-12-29_10:11 - Escrevendo tarefas...</t>
  </si>
  <si>
    <t>2016-12-29_10:11 - Escrevendo locais...</t>
  </si>
  <si>
    <t>2016-12-29_10:11 - Escrevendo períodos...</t>
  </si>
  <si>
    <t>2016-12-29_10:11 - Escrevendo fornecedores...</t>
  </si>
  <si>
    <t>2016-12-29_10:11 - Escrevendo departamentos...</t>
  </si>
  <si>
    <t>2016-12-29_10:11 - Escrevendo centros de custo...</t>
  </si>
  <si>
    <t>2016-12-29_10:11 - Escrevendo recursos e classes de transacao...</t>
  </si>
  <si>
    <t>2016-12-29_10:11 - Escrevendo classes de transacao...</t>
  </si>
  <si>
    <t>2016-12-29_10:11 - Escrevendo Projetos...</t>
  </si>
  <si>
    <t>2016-12-29_10:15 - Ambiente selecionado: PROD</t>
  </si>
  <si>
    <t>2016-12-29_10:15 - Escrevendo tarefas...</t>
  </si>
  <si>
    <t>2016-12-29_10:15 - Escrevendo locais...</t>
  </si>
  <si>
    <t>2016-12-29_10:15 - Escrevendo períodos...</t>
  </si>
  <si>
    <t>2016-12-29_10:15 - Escrevendo fornecedores...</t>
  </si>
  <si>
    <t>2016-12-29_10:15 - Escrevendo departamentos...</t>
  </si>
  <si>
    <t>2016-12-29_10:15 - Escrevendo centros de custo...</t>
  </si>
  <si>
    <t>2016-12-29_10:15 - Escrevendo recursos e classes de transacao...</t>
  </si>
  <si>
    <t>2016-12-29_10:15 - Escrevendo classes de transacao...</t>
  </si>
  <si>
    <t>2016-12-29_10:15 - Escrevendo Projetos...</t>
  </si>
  <si>
    <t>STATUS FIN</t>
  </si>
  <si>
    <t>2016-12-29_10:22 - Ambiente selecionado: PROD</t>
  </si>
  <si>
    <t>2016-12-29_10:22 - Escrevendo tarefas...</t>
  </si>
  <si>
    <t>2016-12-29_10:22 - Escrevendo locais...</t>
  </si>
  <si>
    <t>2016-12-29_10:22 - Escrevendo períodos...</t>
  </si>
  <si>
    <t>2016-12-29_10:22 - Escrevendo fornecedores...</t>
  </si>
  <si>
    <t>2016-12-29_10:22 - Escrevendo departamentos...</t>
  </si>
  <si>
    <t>2016-12-29_10:22 - Escrevendo centros de custo...</t>
  </si>
  <si>
    <t>2016-12-29_10:22 - Escrevendo recursos e classes de transacao...</t>
  </si>
  <si>
    <t>2016-12-29_10:22 - Escrevendo classes de transacao...</t>
  </si>
  <si>
    <t>2016-12-29_10:22 - Escrevendo Projetos...</t>
  </si>
  <si>
    <t>2016-12-29_10:22 - Ambiente selecionado: QAS</t>
  </si>
  <si>
    <t>2016-12-29_10:25 - Ambiente selecionado: PROD</t>
  </si>
  <si>
    <t>2016-12-29_10:25 - Escrevendo tarefas...</t>
  </si>
  <si>
    <t>2016-12-29_10:25 - Escrevendo locais...</t>
  </si>
  <si>
    <t>2016-12-29_10:25 - Escrevendo períodos...</t>
  </si>
  <si>
    <t>2016-12-29_10:25 - Escrevendo fornecedores...</t>
  </si>
  <si>
    <t>2016-12-29_10:25 - Escrevendo departamentos...</t>
  </si>
  <si>
    <t>2016-12-29_10:25 - Escrevendo centros de custo...</t>
  </si>
  <si>
    <t>2016-12-29_10:25 - Escrevendo recursos e classes de transacao...</t>
  </si>
  <si>
    <t>2016-12-29_10:25 - Escrevendo classes de transacao...</t>
  </si>
  <si>
    <t>2016-12-29_10:25 - Escrevendo Projetos...</t>
  </si>
  <si>
    <t>2016-12-29_10:26 - Ambiente selecionado: PROD</t>
  </si>
  <si>
    <t>2016-12-29_10:26 - Escrevendo tarefas...</t>
  </si>
  <si>
    <t>2016-12-29_10:26 - Escrevendo locais...</t>
  </si>
  <si>
    <t>2016-12-29_10:26 - Escrevendo períodos...</t>
  </si>
  <si>
    <t>2016-12-29_10:26 - Escrevendo fornecedores...</t>
  </si>
  <si>
    <t>2016-12-29_10:26 - Escrevendo departamentos...</t>
  </si>
  <si>
    <t>2016-12-29_10:26 - Escrevendo centros de custo...</t>
  </si>
  <si>
    <t>2016-12-29_10:26 - Escrevendo recursos e classes de transacao...</t>
  </si>
  <si>
    <t>2016-12-29_10:26 - Escrevendo classes de transacao...</t>
  </si>
  <si>
    <t>2016-12-29_10:26 - Escrevendo Projetos...</t>
  </si>
  <si>
    <t>2016-12-29_10:28 - Ambiente selecionado: PROD</t>
  </si>
  <si>
    <t>2016-12-29_10:28 - Escrevendo tarefas...</t>
  </si>
  <si>
    <t>2016-12-29_10:28 - Escrevendo locais...</t>
  </si>
  <si>
    <t>2016-12-29_10:28 - Escrevendo períodos...</t>
  </si>
  <si>
    <t>2016-12-29_10:28 - Escrevendo fornecedores...</t>
  </si>
  <si>
    <t>2016-12-29_10:28 - Escrevendo departamentos...</t>
  </si>
  <si>
    <t>2016-12-29_10:28 - Escrevendo centros de custo...</t>
  </si>
  <si>
    <t>2016-12-29_10:28 - Escrevendo recursos e classes de transacao...</t>
  </si>
  <si>
    <t>2016-12-29_10:28 - Escrevendo classes de transacao...</t>
  </si>
  <si>
    <t>2016-12-29_10:28 - Escrevendo Projetos...</t>
  </si>
  <si>
    <t>TIPO CLASSE DE TRANSAÇÃO</t>
  </si>
  <si>
    <t>2016-12-29_11:12 - Ambiente selecionado: PROD</t>
  </si>
  <si>
    <t>2016-12-29_11:12 - Escrevendo tarefas...</t>
  </si>
  <si>
    <t>2016-12-29_11:12 - Escrevendo locais...</t>
  </si>
  <si>
    <t>2016-12-29_11:12 - Escrevendo períodos...</t>
  </si>
  <si>
    <t>2016-12-29_11:12 - Escrevendo fornecedores...</t>
  </si>
  <si>
    <t>2016-12-29_11:12 - Escrevendo departamentos...</t>
  </si>
  <si>
    <t>2016-12-29_11:12 - Escrevendo centros de custo...</t>
  </si>
  <si>
    <t>2016-12-29_11:12 - Escrevendo recursos e classes de transacao...</t>
  </si>
  <si>
    <t>2016-12-29_11:12 - Escrevendo classes de transacao...</t>
  </si>
  <si>
    <t>2016-12-29_11:12 - Escrevendo Projetos...</t>
  </si>
  <si>
    <t>2016-12-29_11:13 - Escrevendo tarefas...</t>
  </si>
  <si>
    <t>2016-12-29_11:13 - Escrevendo locais...</t>
  </si>
  <si>
    <t>2016-12-29_11:13 - Escrevendo períodos...</t>
  </si>
  <si>
    <t>2016-12-29_11:13 - Escrevendo fornecedores...</t>
  </si>
  <si>
    <t>2016-12-29_11:13 - Escrevendo departamentos...</t>
  </si>
  <si>
    <t>2016-12-29_11:13 - Escrevendo centros de custo...</t>
  </si>
  <si>
    <t>2016-12-29_11:13 - Escrevendo recursos e classes de transacao...</t>
  </si>
  <si>
    <t>2016-12-29_11:13 - Escrevendo classes de transacao...</t>
  </si>
  <si>
    <t>2016-12-29_11:13 - Escrevendo Projetos...</t>
  </si>
  <si>
    <t>2016-12-29_11:13 - Ambiente selecionado: PROD</t>
  </si>
  <si>
    <t>2016-12-29_11:17 - Ambiente selecionado: PROD</t>
  </si>
  <si>
    <t>2016-12-29_11:18 - Ambiente selecionado: PROD</t>
  </si>
  <si>
    <t>2016-12-29_11:18 - Escrevendo tarefas...</t>
  </si>
  <si>
    <t>2016-12-29_11:18 - Escrevendo locais...</t>
  </si>
  <si>
    <t>2016-12-29_11:18 - Escrevendo períodos...</t>
  </si>
  <si>
    <t>2016-12-29_11:19 - Escrevendo fornecedores...</t>
  </si>
  <si>
    <t>2016-12-29_11:19 - Escrevendo departamentos...</t>
  </si>
  <si>
    <t>2016-12-29_11:20 - Ambiente selecionado: PROD</t>
  </si>
  <si>
    <t>2016-12-29_11:20 - Escrevendo tarefas...</t>
  </si>
  <si>
    <t>2016-12-29_11:20 - Escrevendo locais...</t>
  </si>
  <si>
    <t>2016-12-29_11:20 - Escrevendo períodos...</t>
  </si>
  <si>
    <t>2016-12-29_11:20 - Escrevendo fornecedores...</t>
  </si>
  <si>
    <t>2016-12-29_11:20 - Escrevendo departamentos...</t>
  </si>
  <si>
    <t>2016-12-29_11:20 - Escrevendo centros de custo...</t>
  </si>
  <si>
    <t>2016-12-29_11:20 - Escrevendo recursos e classes de transacao...</t>
  </si>
  <si>
    <t>2016-12-29_11:20 - Escrevendo classes de transacao...</t>
  </si>
  <si>
    <t>2016-12-29_11:20 - Escrevendo Projetos...</t>
  </si>
  <si>
    <t>2016-12-29_11:24 - Ambiente selecionado: PROD</t>
  </si>
  <si>
    <t>2016-12-29_11:24 - Escrevendo tarefas...</t>
  </si>
  <si>
    <t>2016-12-29_11:24 - Escrevendo locais...</t>
  </si>
  <si>
    <t>2016-12-29_11:24 - Escrevendo períodos...</t>
  </si>
  <si>
    <t>2016-12-29_11:24 - Escrevendo fornecedores...</t>
  </si>
  <si>
    <t>2016-12-29_11:24 - Escrevendo departamentos...</t>
  </si>
  <si>
    <t>2016-12-29_11:24 - Escrevendo centros de custo...</t>
  </si>
  <si>
    <t>2016-12-29_11:24 - Escrevendo recursos e classes de transacao...</t>
  </si>
  <si>
    <t>2016-12-29_11:24 - Escrevendo classes de transacao...</t>
  </si>
  <si>
    <t>2016-12-29_11:24 - Escrevendo Projetos...</t>
  </si>
  <si>
    <t>2016-12-29_11:30 - Ambiente selecionado: PROD</t>
  </si>
  <si>
    <t>2016-12-29_11:30 - Escrevendo tarefas...</t>
  </si>
  <si>
    <t>2016-12-29_11:30 - Escrevendo locais...</t>
  </si>
  <si>
    <t>2016-12-29_11:30 - Escrevendo períodos...</t>
  </si>
  <si>
    <t>2016-12-29_11:30 - Escrevendo fornecedores...</t>
  </si>
  <si>
    <t>2016-12-29_11:30 - Escrevendo departamentos...</t>
  </si>
  <si>
    <t>2016-12-29_11:30 - Escrevendo centros de custo...</t>
  </si>
  <si>
    <t>2016-12-29_11:30 - Escrevendo recursos e classes de transacao...</t>
  </si>
  <si>
    <t>2016-12-29_11:30 - Escrevendo classes de transacao...</t>
  </si>
  <si>
    <t>2016-12-29_11:30 - Escrevendo Projetos...</t>
  </si>
  <si>
    <t>2016-12-29_11:32 - Ambiente selecionado: PROD</t>
  </si>
  <si>
    <t>2016-12-29_11:32 - Escrevendo tarefas...</t>
  </si>
  <si>
    <t>2016-12-29_11:32 - Escrevendo locais...</t>
  </si>
  <si>
    <t>2016-12-29_11:32 - Escrevendo períodos...</t>
  </si>
  <si>
    <t>2016-12-29_11:32 - Escrevendo fornecedores...</t>
  </si>
  <si>
    <t>2016-12-29_11:32 - Escrevendo departamentos...</t>
  </si>
  <si>
    <t>2016-12-29_11:32 - Escrevendo centros de custo...</t>
  </si>
  <si>
    <t>2016-12-29_11:32 - Escrevendo recursos e classes de transacao...</t>
  </si>
  <si>
    <t>2016-12-29_11:32 - Escrevendo classes de transacao...</t>
  </si>
  <si>
    <t>2016-12-29_11:32 - Escrevendo Projetos...</t>
  </si>
  <si>
    <t>2016-12-29_11:36 - Ambiente selecionado: PROD</t>
  </si>
  <si>
    <t>2016-12-29_11:36 - Escrevendo tarefas...</t>
  </si>
  <si>
    <t>2016-12-29_11:36 - Escrevendo locais...</t>
  </si>
  <si>
    <t>2016-12-29_11:36 - Escrevendo períodos...</t>
  </si>
  <si>
    <t>2016-12-29_11:36 - Escrevendo fornecedores...</t>
  </si>
  <si>
    <t>2016-12-29_11:36 - Escrevendo departamentos...</t>
  </si>
  <si>
    <t>2016-12-29_11:36 - Escrevendo centros de custo...</t>
  </si>
  <si>
    <t>2016-12-29_11:36 - Escrevendo recursos e classes de transacao...</t>
  </si>
  <si>
    <t>2016-12-29_11:36 - Escrevendo classes de transacao...</t>
  </si>
  <si>
    <t>2016-12-29_11:36 - Escrevendo Projetos...</t>
  </si>
  <si>
    <t>2016-12-29_11:37 - Ambiente selecionado: PROD</t>
  </si>
  <si>
    <t>2016-12-29_11:37 - Escrevendo tarefas...</t>
  </si>
  <si>
    <t>2016-12-29_11:37 - Escrevendo locais...</t>
  </si>
  <si>
    <t>2016-12-29_11:37 - Escrevendo períodos...</t>
  </si>
  <si>
    <t>2016-12-29_11:37 - Escrevendo fornecedores...</t>
  </si>
  <si>
    <t>2016-12-29_11:37 - Escrevendo departamentos...</t>
  </si>
  <si>
    <t>2016-12-29_11:37 - Escrevendo centros de custo...</t>
  </si>
  <si>
    <t>2016-12-29_11:37 - Escrevendo recursos e classes de transacao...</t>
  </si>
  <si>
    <t>2016-12-29_11:37 - Escrevendo classes de transacao...</t>
  </si>
  <si>
    <t>2016-12-29_11:37 - Escrevendo Projetos...</t>
  </si>
  <si>
    <t>2016-12-29_11:39 - Ambiente selecionado: PROD</t>
  </si>
  <si>
    <t>2016-12-29_11:39 - Escrevendo tarefas...</t>
  </si>
  <si>
    <t>2016-12-29_11:39 - Escrevendo locais...</t>
  </si>
  <si>
    <t>2016-12-29_11:39 - Escrevendo períodos...</t>
  </si>
  <si>
    <t>2016-12-29_11:39 - Escrevendo fornecedores...</t>
  </si>
  <si>
    <t>2016-12-29_11:39 - Escrevendo departamentos...</t>
  </si>
  <si>
    <t>2016-12-29_11:39 - Escrevendo centros de custo...</t>
  </si>
  <si>
    <t>2016-12-29_11:39 - Escrevendo recursos e classes de transacao...</t>
  </si>
  <si>
    <t>2016-12-29_11:39 - Escrevendo classes de transacao...</t>
  </si>
  <si>
    <t>2016-12-29_11:39 - Escrevendo Projetos...</t>
  </si>
  <si>
    <t>2016-12-29_11:45 - Ambiente selecionado: PROD</t>
  </si>
  <si>
    <t>2016-12-29_11:45 - Escrevendo tarefas...</t>
  </si>
  <si>
    <t>2016-12-29_11:46 - Ambiente selecionado: PROD</t>
  </si>
  <si>
    <t>2016-12-29_11:46 - Escrevendo tarefas...</t>
  </si>
  <si>
    <t>2016-12-29_11:46 - Escrevendo locais...</t>
  </si>
  <si>
    <t>2016-12-29_11:46 - Escrevendo períodos...</t>
  </si>
  <si>
    <t>2016-12-29_11:46 - Escrevendo fornecedores...</t>
  </si>
  <si>
    <t>2016-12-29_11:46 - Escrevendo departamentos...</t>
  </si>
  <si>
    <t>2016-12-29_11:46 - Escrevendo centros de custo...</t>
  </si>
  <si>
    <t>2016-12-29_11:46 - Escrevendo recursos e classes de transacao...</t>
  </si>
  <si>
    <t>2016-12-29_11:46 - Escrevendo classes de transacao...</t>
  </si>
  <si>
    <t>2016-12-29_11:46 - Escrevendo Projetos...</t>
  </si>
  <si>
    <t>VALIDATION PRJ_TSK</t>
  </si>
  <si>
    <t>2016-12-29_13:39 - Ambiente selecionado: PROD</t>
  </si>
  <si>
    <t>2016-12-29_13:39 - Escrevendo tarefas...</t>
  </si>
  <si>
    <t>2016-12-29_13:39 - Escrevendo locais...</t>
  </si>
  <si>
    <t>2016-12-29_13:39 - Escrevendo períodos...</t>
  </si>
  <si>
    <t>2016-12-29_13:39 - Escrevendo fornecedores...</t>
  </si>
  <si>
    <t>2016-12-29_13:39 - Escrevendo departamentos...</t>
  </si>
  <si>
    <t>2016-12-29_13:39 - Escrevendo centros de custo...</t>
  </si>
  <si>
    <t>2016-12-29_13:39 - Escrevendo recursos e classes de transacao...</t>
  </si>
  <si>
    <t>2016-12-29_13:39 - Escrevendo classes de transacao...</t>
  </si>
  <si>
    <t>2016-12-29_13:39 - Escrevendo Projetos...</t>
  </si>
  <si>
    <t>VALIDATION</t>
  </si>
  <si>
    <t>2016-12-29_14:35 - Ambiente selecionado: QAS</t>
  </si>
  <si>
    <t>2016-12-29_14:35 - Escrevendo tarefas...</t>
  </si>
  <si>
    <t>2016-12-29_14:35 - Escrevendo locais...</t>
  </si>
  <si>
    <t>2016-12-29_14:35 - Escrevendo períodos...</t>
  </si>
  <si>
    <t>2016-12-29_14:35 - Escrevendo fornecedores...</t>
  </si>
  <si>
    <t>2016-12-29_14:35 - Escrevendo departamentos...</t>
  </si>
  <si>
    <t>2016-12-29_14:35 - Escrevendo centros de custo...</t>
  </si>
  <si>
    <t>2016-12-29_14:35 - Escrevendo recursos e classes de transacao...</t>
  </si>
  <si>
    <t>2016-12-29_14:35 - Escrevendo classes de transacao...</t>
  </si>
  <si>
    <t>2016-12-29_14:35 - Escrevendo Projetos...</t>
  </si>
  <si>
    <t>2016-12-29_15:19 - Ambiente selecionado: QAS</t>
  </si>
  <si>
    <t>2016-12-29_15:19 - Escrevendo tarefas...</t>
  </si>
  <si>
    <t>2016-12-29_15:19 - Escrevendo locais...</t>
  </si>
  <si>
    <t>2016-12-29_15:19 - Escrevendo períodos...</t>
  </si>
  <si>
    <t>2016-12-29_15:19 - Escrevendo fornecedores...</t>
  </si>
  <si>
    <t>2016-12-29_15:19 - Escrevendo departamentos...</t>
  </si>
  <si>
    <t>2016-12-29_15:19 - Escrevendo centros de custo...</t>
  </si>
  <si>
    <t>2016-12-29_15:19 - Escrevendo recursos e classes de transacao...</t>
  </si>
  <si>
    <t>2016-12-29_15:19 - Escrevendo classes de transacao...</t>
  </si>
  <si>
    <t>2016-12-29_15:19 - Escrevendo Projetos...</t>
  </si>
  <si>
    <t>2016-12-29_15:40 - -------------Início da exportação transações de projeto-------------</t>
  </si>
  <si>
    <t>2016-12-29_15:40 - Arquivo xog sendo gravado em: C:\xog_hypermarcas\xog_transaction_rec_int_20161229_154012.xml</t>
  </si>
  <si>
    <t>2016-12-29_15:44 - -------------Início da exportação transações de projeto-------------</t>
  </si>
  <si>
    <t>2016-12-29_15:44 - Arquivo xog sendo gravado em: C:\xog_hypermarcas\xog_transaction_rec_int_20161229_154432.xml</t>
  </si>
  <si>
    <t>2016-12-29_15:45 - -------------Início da exportação transações de projeto-------------</t>
  </si>
  <si>
    <t>2016-12-29_15:45 - Arquivo xog sendo gravado em: C:\xog_hypermarcas\xog_transaction_rec_int_20161229_154558.xml</t>
  </si>
  <si>
    <t>2016-12-29_15:48 - -------------Início da exportação transações de projeto-------------</t>
  </si>
  <si>
    <t>2016-12-29_15:48 - Arquivo xog sendo gravado em: C:\xog_hypermarcas\xog_transaction_rec_int_20161229_154807.xml</t>
  </si>
  <si>
    <t>2016-12-29_15:50 - -------------Início da exportação transações de projeto-------------</t>
  </si>
  <si>
    <t>2016-12-29_15:50 - Arquivo xog sendo gravado em: C:\xog_hypermarcas\xog_transaction_rec_int_20161229_155009.xml</t>
  </si>
  <si>
    <t>2016-12-29_15:52 - -------------Início da exportação transações de projeto-------------</t>
  </si>
  <si>
    <t>2016-12-29_15:52 - Arquivo xog sendo gravado em: C:\xog_hypermarcas\xog_transaction_rec_int_20161229_155211.xml</t>
  </si>
  <si>
    <t>2016-12-29_15:53 - -------------Início da exportação transações de projeto-------------</t>
  </si>
  <si>
    <t>2016-12-29_15:53 - Arquivo xog sendo gravado em: C:\xog_hypermarcas\xog_transaction_rec_int_20161229_155300.xml</t>
  </si>
  <si>
    <t>2016-12-29_16:31 - -------------Início da exportação transações de projeto-------------</t>
  </si>
  <si>
    <t>2016-12-29_16:31 - Arquivo xog sendo gravado em: C:\xog_hypermarcas\xog_transaction_rec_int_20161229_163145.xml</t>
  </si>
  <si>
    <t>2016-12-29_16:31 - Ambiente selecionado: QAS</t>
  </si>
  <si>
    <t>2016-12-29_16:31 -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</si>
  <si>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2016-12-29_16:31 - Enviando requisição de login</t>
  </si>
  <si>
    <t>2016-12-29_16:31 - Login realizado. SessionID capturado: 16220424__188EBFBC-7D53-43B8-B462-750BAA8A92D3</t>
  </si>
  <si>
    <t>2016-12-29_16:31 - Chamando mensagem de requisição</t>
  </si>
  <si>
    <t>2016-12-29_16:31 - Capturando resultado final</t>
  </si>
  <si>
    <t>2016-12-29_16:31 - Efetuando logout</t>
  </si>
  <si>
    <t>2016-12-29_16:31 - Logout realizado</t>
  </si>
  <si>
    <t>2016-12-29_16:31 - -------------Fim da exportação transações de projeto-------------</t>
  </si>
  <si>
    <t>2016-12-29_16:34 - Ambiente selecionado: PROD</t>
  </si>
  <si>
    <t>2016-12-29_16:34 - Escrevendo tarefas...</t>
  </si>
  <si>
    <t>2016-12-29_16:34 - Escrevendo locais...</t>
  </si>
  <si>
    <t>2016-12-29_16:34 - Escrevendo períodos...</t>
  </si>
  <si>
    <t>2016-12-29_16:34 - Escrevendo fornecedores...</t>
  </si>
  <si>
    <t>2016-12-29_16:34 - Escrevendo departamentos...</t>
  </si>
  <si>
    <t>2016-12-29_16:34 - Escrevendo centros de custo...</t>
  </si>
  <si>
    <t>2016-12-29_16:34 - Escrevendo recursos e classes de transacao...</t>
  </si>
  <si>
    <t>2016-12-29_16:34 - Escrevendo classes de transacao...</t>
  </si>
  <si>
    <t>2016-12-29_16:34 - Escrevendo Projetos...</t>
  </si>
  <si>
    <t>2016-12-29_16:39 - -------------Início da exportação transações de projeto-------------</t>
  </si>
  <si>
    <t>2016-12-29_16:39 - Arquivo xog sendo gravado em: C:\xog_hypermarcas\xog_transaction_rec_int_20161229_163935.xml</t>
  </si>
  <si>
    <t>2016-12-29_16:39 - Ambiente selecionado: PROD</t>
  </si>
  <si>
    <t>2016-12-29_16:39 -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</si>
  <si>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2016-12-29_16:39 - Enviando requisição de login</t>
  </si>
  <si>
    <t>2016-12-29_16:39 - Login realizado. SessionID capturado: 11149841__E7C94CB4-DBD2-417E-AF25-D0CEECF2E7DD</t>
  </si>
  <si>
    <t>2016-12-29_16:39 - Chamando mensagem de requisição</t>
  </si>
  <si>
    <t>2016-12-29_16:39 - Capturando resultado final</t>
  </si>
  <si>
    <t>2016-12-29_16:39 - Efetuando logout</t>
  </si>
  <si>
    <t>2016-12-29_16:39 - Logout realizado</t>
  </si>
  <si>
    <t>2016-12-29_16:39 - -------------Fim da exportação transações de projeto-------------</t>
  </si>
  <si>
    <t>2016-12-29_16:41 - -------------Início da exportação transações de projeto-------------</t>
  </si>
  <si>
    <t>2016-12-29_16:41 - Arquivo xog sendo gravado em: C:\xog_hypermarcas\xog_transaction_rec_int_20161229_164129.xml</t>
  </si>
  <si>
    <t>2016-12-29_16:41 - Ambiente selecionado: PROD</t>
  </si>
  <si>
    <t>2016-12-29_16:41 -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</si>
  <si>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2016-12-29_16:41 - Enviando requisição de login</t>
  </si>
  <si>
    <t>2016-12-29_16:41 - Login realizado. SessionID capturado: 11149848__CD741BA9-84B7-4E6A-982A-90CC465C0007</t>
  </si>
  <si>
    <t>2016-12-29_16:41 - Chamando mensagem de requisição</t>
  </si>
  <si>
    <t>2016-12-29_16:41 - Capturando resultado final</t>
  </si>
  <si>
    <t>2016-12-29_16:41 - Efetuando logout</t>
  </si>
  <si>
    <t>2016-12-29_16:41 - Logout realizado</t>
  </si>
  <si>
    <t>2016-12-29_16:41 - -------------Fim da exportação transações de projeto-------------</t>
  </si>
  <si>
    <t>2016-12-29_17:20 - Ambiente selecionado: PROD</t>
  </si>
  <si>
    <t>2016-12-29_17:20 - Escrevendo tarefas...</t>
  </si>
  <si>
    <t>2016-12-29_17:20 - Escrevendo locais...</t>
  </si>
  <si>
    <t>2016-12-29_17:20 - Escrevendo períodos...</t>
  </si>
  <si>
    <t>2016-12-29_17:20 - Escrevendo fornecedores...</t>
  </si>
  <si>
    <t>2016-12-29_17:20 - Escrevendo departamentos...</t>
  </si>
  <si>
    <t>2016-12-29_17:20 - Escrevendo centros de custo...</t>
  </si>
  <si>
    <t>2016-12-29_17:20 - Escrevendo recursos e classes de transacao...</t>
  </si>
  <si>
    <t>2016-12-29_17:20 - Escrevendo classes de transacao...</t>
  </si>
  <si>
    <t>2016-12-29_17:20 - Escrevendo Projetos...</t>
  </si>
  <si>
    <t>2016-12-29_17:26 - -------------Início da exportação transações de projeto-------------</t>
  </si>
  <si>
    <t>2016-12-29_17:26 - Arquivo xog sendo gravado em: C:\xog_hypermarcas\xog_transaction_rec_int_20161229_172637.xml</t>
  </si>
  <si>
    <t>2016-12-29_17:26 - Ambiente selecionado: PROD</t>
  </si>
  <si>
    <t>2016-12-29_17:26 -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</si>
  <si>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2016-12-29_17:26 - Enviando requisição de login</t>
  </si>
  <si>
    <t>2016-12-29_17:26 - Login realizado. SessionID capturado: 11150005__1888E71E-0AF6-4876-8315-B2B96C3B55F7</t>
  </si>
  <si>
    <t>2016-12-29_17:26 - Chamando mensagem de requisição</t>
  </si>
  <si>
    <t>2016-12-29_17:26 - Capturando resultado final</t>
  </si>
  <si>
    <t>2016-12-29_17:26 - Efetuando logout</t>
  </si>
  <si>
    <t>2016-12-29_17:26 - Logout realizado</t>
  </si>
  <si>
    <t>2016-12-29_17:26 - -------------Fim da exportação transações de projeto-------------</t>
  </si>
  <si>
    <t>2016-12-29_17:31 - -------------Início da exportação transações de projeto-------------</t>
  </si>
  <si>
    <t>2016-12-29_17:31 - Arquivo xog sendo gravado em: C:\xog_hypermarcas\xog_transaction_rec_int_20161229_173141.xml</t>
  </si>
  <si>
    <t>2016-12-29_17:31 - Ambiente selecionado: PROD</t>
  </si>
  <si>
    <t>2016-12-29_17:31 -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</si>
  <si>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2016-12-29_17:31 - Enviando requisição de login</t>
  </si>
  <si>
    <t>2016-12-29_17:31 - Login realizado. SessionID capturado: 11152031__DA00571B-D3C9-46F2-9D0F-69AD8258C082</t>
  </si>
  <si>
    <t>2016-12-29_17:31 - Chamando mensagem de requisição</t>
  </si>
  <si>
    <t>2016-12-29_17:31 - Capturando resultado final</t>
  </si>
  <si>
    <t>2016-12-29_17:31 - Efetuando logout</t>
  </si>
  <si>
    <t>2016-12-29_17:31 - Logout realizado</t>
  </si>
  <si>
    <t>2016-12-29_17:31 - -------------Fim da exportação transações de projeto-------------</t>
  </si>
  <si>
    <t>2017-01-02_09:38 - Ambiente selecionado: PROD</t>
  </si>
  <si>
    <t>2017-01-02_09:38 - Escrevendo tarefas...</t>
  </si>
  <si>
    <t>2017-01-02_09:39 - Escrevendo locais...</t>
  </si>
  <si>
    <t>2017-01-02_09:39 - Escrevendo períodos...</t>
  </si>
  <si>
    <t>2017-01-02_09:39 - Escrevendo fornecedores...</t>
  </si>
  <si>
    <t>2017-01-02_09:39 - Escrevendo departamentos...</t>
  </si>
  <si>
    <t>2017-01-02_09:39 - Escrevendo centros de custo...</t>
  </si>
  <si>
    <t>2017-01-02_09:39 - Escrevendo recursos e classes de transacao...</t>
  </si>
  <si>
    <t>2017-01-02_09:39 - Escrevendo classes de transacao...</t>
  </si>
  <si>
    <t>2017-01-02_09:39 - Escrevendo Projetos...</t>
  </si>
  <si>
    <t>2017-01-02_09:39 - Ambiente selecionado: PROD</t>
  </si>
  <si>
    <t>2017-01-02_09:39 - Escrevendo tarefas...</t>
  </si>
  <si>
    <t>2017-01-02_09:49 - Ambiente selecionado: PROD</t>
  </si>
  <si>
    <t>2017-01-02_09:49 - Escrevendo tarefas...</t>
  </si>
  <si>
    <t>2017-01-02_09:49 - Escrevendo locais...</t>
  </si>
  <si>
    <t>2017-01-02_09:49 - Escrevendo períodos...</t>
  </si>
  <si>
    <t>2017-01-02_09:49 - Escrevendo fornecedores...</t>
  </si>
  <si>
    <t>2017-01-02_09:49 - Escrevendo departamentos...</t>
  </si>
  <si>
    <t>2017-01-02_09:49 - Escrevendo centros de custo...</t>
  </si>
  <si>
    <t>2017-01-02_09:49 - Escrevendo recursos e classes de transacao...</t>
  </si>
  <si>
    <t>2017-01-02_09:49 - Escrevendo classes de transacao...</t>
  </si>
  <si>
    <t>2017-01-02_09:49 - Escrevendo Projetos...</t>
  </si>
  <si>
    <t>2017-01-02_11:35 - Ambiente selecionado: PROD</t>
  </si>
  <si>
    <t>2017-01-02_11:35 - Escrevendo tarefas...</t>
  </si>
  <si>
    <t>2017-01-02_11:35 - Escrevendo locais...</t>
  </si>
  <si>
    <t>2017-01-02_11:35 - Escrevendo períodos...</t>
  </si>
  <si>
    <t>2017-01-02_11:35 - Escrevendo fornecedores...</t>
  </si>
  <si>
    <t>2017-01-02_11:35 - Escrevendo departamentos...</t>
  </si>
  <si>
    <t>2017-01-02_11:35 - Escrevendo centros de custo...</t>
  </si>
  <si>
    <t>2017-01-02_11:35 - Escrevendo recursos e classes de transacao...</t>
  </si>
  <si>
    <t>2017-01-02_11:35 - Escrevendo classes de transacao...</t>
  </si>
  <si>
    <t>2017-01-02_11:35 - Escrevendo Projetos...</t>
  </si>
  <si>
    <t>2017-01-02_11:48 - Ambiente selecionado: PROD</t>
  </si>
  <si>
    <t>2017-01-02_11:48 - Escrevendo tarefas...</t>
  </si>
  <si>
    <t>2017-01-02_11:48 - Escrevendo locais...</t>
  </si>
  <si>
    <t>2017-01-02_11:48 - Escrevendo períodos...</t>
  </si>
  <si>
    <t>2017-01-02_11:48 - Escrevendo fornecedores...</t>
  </si>
  <si>
    <t>2017-01-02_11:48 - Escrevendo departamentos...</t>
  </si>
  <si>
    <t>2017-01-02_11:48 - Escrevendo centros de custo...</t>
  </si>
  <si>
    <t>2017-01-02_11:48 - Escrevendo recursos e classes de transacao...</t>
  </si>
  <si>
    <t>2017-01-02_11:48 - Escrevendo classes de transacao...</t>
  </si>
  <si>
    <t>2017-01-02_11:48 - Escrevendo Projetos...</t>
  </si>
  <si>
    <t>2017-01-02_13:16 - Ambiente selecionado: PROD</t>
  </si>
  <si>
    <t>2017-01-02_13:16 - Escrevendo tarefas...</t>
  </si>
  <si>
    <t>2017-01-02_13:16 - Escrevendo locais...</t>
  </si>
  <si>
    <t>2017-01-02_13:16 - Escrevendo períodos...</t>
  </si>
  <si>
    <t>2017-01-02_13:16 - Escrevendo fornecedores...</t>
  </si>
  <si>
    <t>2017-01-02_13:16 - Escrevendo departamentos...</t>
  </si>
  <si>
    <t>2017-01-02_13:16 - Escrevendo centros de custo...</t>
  </si>
  <si>
    <t>2017-01-02_13:16 - Escrevendo recursos e classes de transacao...</t>
  </si>
  <si>
    <t>2017-01-02_13:16 - Escrevendo classes de transacao...</t>
  </si>
  <si>
    <t>2017-01-02_13:16 - Escrevendo Projetos...</t>
  </si>
  <si>
    <t>2017-01-04_10:36 - -------------Início da exportação transações de projeto-------------</t>
  </si>
  <si>
    <t>2017-01-04_10:36 - Arquivo xog sendo gravado em: C:\xog_hypermarcas\xog_transaction_delete_20170104_103619.xml</t>
  </si>
  <si>
    <t>2017-01-04_10:37 - -------------Início da exportação transações de projeto-------------</t>
  </si>
  <si>
    <t>2017-01-04_10:37 - Arquivo xog sendo gravado em: C:\xog_hypermarcas\xog_transaction_delete_20170104_103745.xml</t>
  </si>
  <si>
    <t>2017-01-04_10:39 - -------------Início da exportação transações de projeto-------------</t>
  </si>
  <si>
    <t>2017-01-04_10:39 - Arquivo xog sendo gravado em: C:\xog_hypermarcas\xog_transaction_delete_20170104_103944.xml</t>
  </si>
  <si>
    <t>2017-01-04_10:39 - -------------Fim da exportação transações de projeto-------------</t>
  </si>
  <si>
    <t>2017-01-04_10:39 - Arquivo xog sendo gravado em: C:\xog_hypermarcas\xog_transaction_delete_20170104_103954.xml</t>
  </si>
  <si>
    <t>2017-01-04_10:40 - -------------Início da exportação transações de projeto-------------</t>
  </si>
  <si>
    <t>2017-01-04_10:40 - Arquivo xog sendo gravado em: C:\xog_hypermarcas\xog_transaction_delete_20170104_104046.xml</t>
  </si>
  <si>
    <t>2017-01-04_10:40 - -------------Fim da exportação transações de projeto-------------</t>
  </si>
  <si>
    <t>2017-01-04_10:42 - -------------Início da exportação transações de projeto-------------</t>
  </si>
  <si>
    <t>2017-01-04_10:42 - Arquivo xog sendo gravado em: C:\xog_hypermarcas\xog_transaction_delete_20170104_104214.xml</t>
  </si>
  <si>
    <t>2017-01-04_10:42 - -------------Fim da exportação transações de projeto-------------</t>
  </si>
  <si>
    <t>2017-01-04_10:43 - -------------Início da exportação transações de projeto-------------</t>
  </si>
  <si>
    <t>2017-01-04_10:43 - Arquivo xog sendo gravado em: C:\xog_hypermarcas\xog_transaction_delete_20170104_104326.xml</t>
  </si>
  <si>
    <t>2017-01-04_10:43 - -------------Fim da exportação transações de projeto-------------</t>
  </si>
  <si>
    <t>2017-01-04_11:05 - -------------Início da exportação transações de projeto-------------</t>
  </si>
  <si>
    <t>2017-01-04_11:05 - Arquivo xog sendo gravado em: C:\xog_hypermarcas\xog_transaction_delete_20170104_110552.xml</t>
  </si>
  <si>
    <t>2017-01-04_11:05 - -------------Fim da exportação transações de projeto-------------</t>
  </si>
  <si>
    <t>RES_CODE</t>
  </si>
  <si>
    <t>2017-01-04_11:34 - -------------Início da exportação transações de projeto-------------</t>
  </si>
  <si>
    <t>2017-01-04_11:34 - Arquivo xog sendo gravado em: C:\xog_hypermarcas\xog_transaction_delete_20170104_113425.xml</t>
  </si>
  <si>
    <t>2017-01-04_11:34 - -------------Fim da exportação transações de projeto-------------</t>
  </si>
  <si>
    <t>2017-01-04_11:40 - -------------Início da exportação transações de projeto-------------</t>
  </si>
  <si>
    <t>2017-01-04_11:40 - Arquivo xog sendo gravado em: C:\xog_hypermarcas\xog_transaction_delete_20170104_114027.xml</t>
  </si>
  <si>
    <t>2017-01-04_11:40 - -------------Fim da exportação transações de projeto-------------</t>
  </si>
  <si>
    <t>2017-01-04_11:47 - -------------Início da exportação transações de projeto-------------</t>
  </si>
  <si>
    <t>2017-01-04_11:47 - Arquivo xog sendo gravado em: C:\xog_hypermarcas\xog_transaction_delete_20170104_114726.xml</t>
  </si>
  <si>
    <t>2017-01-04_11:47 - -------------Fim da exportação transações de projeto-------------</t>
  </si>
  <si>
    <t>2017-01-04_12:01 - -------------Início da exportação transações de projeto-------------</t>
  </si>
  <si>
    <t>2017-01-04_12:01 - Arquivo xog sendo gravado em: C:\xog_hypermarcas\xog_transaction_delete_20170104_120153.xml</t>
  </si>
  <si>
    <t>2017-01-04_12:01 - -------------Fim da exportação transações de projeto-------------</t>
  </si>
  <si>
    <t>2017-01-04_14:47 - -------------Início da exportação transações de projeto-------------</t>
  </si>
  <si>
    <t>2017-01-04_14:47 - Arquivo xog sendo gravado em: C:\xog_hypermarcas\xog_transaction_delete_20170104_144746.xml</t>
  </si>
  <si>
    <t>2017-01-04_14:47 - -------------Fim da exportação transações de projeto-------------</t>
  </si>
  <si>
    <t>2017-01-04_17:22 - -------------Início da exportação transações de projeto-------------</t>
  </si>
  <si>
    <t>2017-01-04_17:22 - Arquivo xog sendo gravado em: C:\xog_hypermarcas\xog_costplan_20170104_172202.xml</t>
  </si>
  <si>
    <t>2017-01-04_17:23 - -------------Início da exportação transações de projeto-------------</t>
  </si>
  <si>
    <t>2017-01-04_17:23 - Arquivo xog sendo gravado em: C:\xog_hypermarcas\xog_costplan_20170104_172327.xml</t>
  </si>
  <si>
    <t>2017-01-04_17:24 - -------------Início da exportação transações de projeto-------------</t>
  </si>
  <si>
    <t>2017-01-04_17:24 - Arquivo xog sendo gravado em: C:\xog_hypermarcas\xog_costplan_20170104_172421.xml</t>
  </si>
  <si>
    <t>2017-01-04_17:25 - -------------Início da exportação transações de projeto-------------</t>
  </si>
  <si>
    <t>2017-01-04_17:25 - Arquivo xog sendo gravado em: C:\xog_hypermarcas\xog_costplan_20170104_172514.xml</t>
  </si>
  <si>
    <t>2017-01-04_17:25 - Arquivo xog sendo gravado em: C:\xog_hypermarcas\xog_costplan_20170104_172531.xml</t>
  </si>
  <si>
    <t>2017-01-04_17:25 - Arquivo xog sendo gravado em: C:\xog_hypermarcas\xog_costplan_20170104_172554.xml</t>
  </si>
  <si>
    <t>2017-01-04_17:26 - -------------Início da exportação transações de projeto-------------</t>
  </si>
  <si>
    <t>2017-01-04_17:26 - Arquivo xog sendo gravado em: C:\xog_hypermarcas\xog_costplan_20170104_172611.xml</t>
  </si>
  <si>
    <t>2017-01-04_17:27 - Ambiente selecionado: PROD</t>
  </si>
  <si>
    <t>2017-01-04_17:27 - Escrevendo tarefas...</t>
  </si>
  <si>
    <t>2017-01-04_17:27 - Escrevendo locais...</t>
  </si>
  <si>
    <t>2017-01-04_17:27 - Escrevendo períodos...</t>
  </si>
  <si>
    <t>2017-01-04_17:27 - Escrevendo fornecedores...</t>
  </si>
  <si>
    <t>2017-01-04_17:27 - Escrevendo departamentos...</t>
  </si>
  <si>
    <t>2017-01-04_17:27 - Escrevendo centros de custo...</t>
  </si>
  <si>
    <t>2017-01-04_17:27 - Escrevendo recursos e classes de transacao...</t>
  </si>
  <si>
    <t>2017-01-04_17:27 - Escrevendo classes de transacao...</t>
  </si>
  <si>
    <t>2017-01-04_17:27 - Escrevendo Projetos...</t>
  </si>
  <si>
    <t>2017-01-04_17:28 - Ambiente selecionado: QAS</t>
  </si>
  <si>
    <t>2017-01-04_17:28 - Escrevendo tarefas...</t>
  </si>
  <si>
    <t>2017-01-04_17:28 - Escrevendo locais...</t>
  </si>
  <si>
    <t>2017-01-04_17:28 - Escrevendo períodos...</t>
  </si>
  <si>
    <t>2017-01-04_17:28 - Escrevendo fornecedores...</t>
  </si>
  <si>
    <t>2017-01-04_17:28 - Escrevendo departamentos...</t>
  </si>
  <si>
    <t>2017-01-04_17:28 - Escrevendo centros de custo...</t>
  </si>
  <si>
    <t>2017-01-04_17:28 - Escrevendo recursos e classes de transacao...</t>
  </si>
  <si>
    <t>2017-01-04_17:28 - Escrevendo classes de transacao...</t>
  </si>
  <si>
    <t>2017-01-04_17:28 - Escrevendo Projetos...</t>
  </si>
  <si>
    <t>hm_q_info_project</t>
  </si>
  <si>
    <t>2017-01-04_18:05 - Ambiente selecionado: QAS</t>
  </si>
  <si>
    <t>2017-01-04_18:05 - Escrevendo tarefas...</t>
  </si>
  <si>
    <t>2017-01-04_18:05 - Escrevendo locais...</t>
  </si>
  <si>
    <t>2017-01-04_18:05 - Escrevendo períodos...</t>
  </si>
  <si>
    <t>2017-01-04_18:05 - Escrevendo fornecedores...</t>
  </si>
  <si>
    <t>2017-01-04_18:05 - Escrevendo departamentos...</t>
  </si>
  <si>
    <t>2017-01-04_18:05 - Escrevendo centros de custo...</t>
  </si>
  <si>
    <t>2017-01-04_18:05 - Escrevendo recursos e classes de transacao...</t>
  </si>
  <si>
    <t>2017-01-04_18:05 - Escrevendo classes de transacao...</t>
  </si>
  <si>
    <t>2017-01-04_18:05 - Escrevendo Projetos...</t>
  </si>
  <si>
    <t>2017-01-04_18:07 - Escrevendo classes de transacao...</t>
  </si>
  <si>
    <t>2017-01-04_18:07 - Escrevendo Projetos...</t>
  </si>
  <si>
    <t>2017-01-04_18:07 - Ambiente selecionado: QAS</t>
  </si>
  <si>
    <t>2017-01-04_18:14 - -------------Início da exportação transações de projeto-------------</t>
  </si>
  <si>
    <t>2017-01-04_18:14 - Arquivo xog sendo gravado em: C:\xog_hypermarcas\xog_costplan_20170104_181416.xml</t>
  </si>
  <si>
    <t>2017-01-04_18:15 - -------------Início da exportação transações de projeto-------------</t>
  </si>
  <si>
    <t>2017-01-04_18:15 - Arquivo xog sendo gravado em: C:\xog_hypermarcas\xog_costplan_20170104_181532.xml</t>
  </si>
  <si>
    <t>2017-01-04_18:15 - Ambiente selecionado: QAS</t>
  </si>
  <si>
    <t>2017-01-04_18:15 -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</si>
  <si>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2017-01-04_18:15 - Enviando requisição de login</t>
  </si>
  <si>
    <t>2017-01-04_18:15 - Login realizado. SessionID capturado: 16376261__20C66942-27D7-48F5-82F0-4AFCED2754CF</t>
  </si>
  <si>
    <t>2017-01-04_18:15 - Chamando mensagem de requisição</t>
  </si>
  <si>
    <t>2017-01-04_18:15 - Capturando resultado final</t>
  </si>
  <si>
    <t>2017-01-04_18:15 - Efetuando logout</t>
  </si>
  <si>
    <t>2017-01-04_18:15 - Logout realizado</t>
  </si>
  <si>
    <t>2017-01-04_18:15 - -------------Fim da exportação transações de projeto-------------</t>
  </si>
  <si>
    <t>2017-01-04_18:17 - -------------Início da exportação transações de projeto-------------</t>
  </si>
  <si>
    <t>2017-01-04_18:17 - Arquivo xog sendo gravado em: C:\xog_hypermarcas\xog_costplan_20170104_181732.xml</t>
  </si>
  <si>
    <t>2017-01-04_18:17 - Ambiente selecionado: QAS</t>
  </si>
  <si>
    <t>2017-01-04_18:17 -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</si>
  <si>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2017-01-04_18:17 - Enviando requisição de login</t>
  </si>
  <si>
    <t>2017-01-04_18:17 - Login realizado. SessionID capturado: 16376265__495B8237-7AB0-47C2-BF5D-2A359451B595</t>
  </si>
  <si>
    <t>2017-01-04_18:17 - Chamando mensagem de requisição</t>
  </si>
  <si>
    <t>2017-01-04_18:17 - Capturando resultado final</t>
  </si>
  <si>
    <t>2017-01-04_18:17 - Efetuando logout</t>
  </si>
  <si>
    <t>2017-01-04_18:17 - Logout realizado</t>
  </si>
  <si>
    <t>2017-01-04_18:17 - -------------Fim da exportação transações de projeto-------------</t>
  </si>
  <si>
    <t>2017-01-04_18:19 - -------------Início da exportação transações de projeto-------------</t>
  </si>
  <si>
    <t>2017-01-04_18:19 - Arquivo xog sendo gravado em: C:\xog_hypermarcas\xog_costplan_20170104_181913.xml</t>
  </si>
  <si>
    <t>2017-01-04_18:19 - Ambiente selecionado: QAS</t>
  </si>
  <si>
    <t>2017-01-04_18:19 -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</si>
  <si>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2017-01-04_18:19 - Enviando requisição de login</t>
  </si>
  <si>
    <t>2017-01-04_18:19 - Login realizado. SessionID capturado: 16376269__F3F59CA5-783C-4725-BBC0-BF9135869C88</t>
  </si>
  <si>
    <t>2017-01-04_18:19 - Chamando mensagem de requisição</t>
  </si>
  <si>
    <t>2017-01-04_18:19 - Capturando resultado final</t>
  </si>
  <si>
    <t>2017-01-04_18:19 - Efetuando logout</t>
  </si>
  <si>
    <t>2017-01-04_18:19 - Logout realizado</t>
  </si>
  <si>
    <t>2017-01-04_18:19 - -------------Fim da exportação transações de projeto-------------</t>
  </si>
  <si>
    <t>2017-01-04_18:19 - Arquivo xog sendo gravado em: C:\xog_hypermarcas\xog_costplan_20170104_181950.xml</t>
  </si>
  <si>
    <t>2017-01-04_18:20 - -------------Início da exportação transações de projeto-------------</t>
  </si>
  <si>
    <t>2017-01-04_18:20 - Arquivo xog sendo gravado em: C:\xog_hypermarcas\xog_costplan_20170104_182057.xml</t>
  </si>
  <si>
    <t>2017-01-04_18:22 - -------------Início da exportação transações de projeto-------------</t>
  </si>
  <si>
    <t>2017-01-04_18:22 - Arquivo xog sendo gravado em: C:\xog_hypermarcas\xog_costplan_20170104_182222.xml</t>
  </si>
  <si>
    <t>2017-01-04_18:22 - Ambiente selecionado: QAS</t>
  </si>
  <si>
    <t>2017-01-04_18:22 -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</si>
  <si>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2017-01-04_18:22 - Enviando requisição de login</t>
  </si>
  <si>
    <t>2017-01-04_18:22 - Login realizado. SessionID capturado: 16376273__9C891DEA-0C0A-4F87-838C-4A20B4C1FA43</t>
  </si>
  <si>
    <t>2017-01-04_18:22 - Chamando mensagem de requisição</t>
  </si>
  <si>
    <t>2017-01-04_18:22 - Capturando resultado final</t>
  </si>
  <si>
    <t>2017-01-04_18:22 - Efetuando logout</t>
  </si>
  <si>
    <t>2017-01-04_18:22 - Logout realizado</t>
  </si>
  <si>
    <t>2017-01-04_18:22 - -------------Fim da exportação transações de projeto-------------</t>
  </si>
  <si>
    <t>2017-01-04_18:25 - -------------Início da exportação transações de projeto-------------</t>
  </si>
  <si>
    <t>2017-01-04_18:25 - Arquivo xog sendo gravado em: C:\xog_hypermarcas\xog_costplan_20170104_182520.xml</t>
  </si>
  <si>
    <t>2017-01-05_10:17 - -------------Início da exportação transações de projeto-------------</t>
  </si>
  <si>
    <t>2017-01-05_10:17 - Arquivo xog sendo gravado em: C:\xog_hypermarcas\xog_costplan_20170105_101703.xml</t>
  </si>
  <si>
    <t>2017-01-05_10:18 - -------------Início da exportação transações de projeto-------------</t>
  </si>
  <si>
    <t>2017-01-05_10:18 - Arquivo xog sendo gravado em: C:\xog_hypermarcas\xog_costplan_20170105_101851.xml</t>
  </si>
  <si>
    <t>2017-01-05_10:21 - -------------Início da exportação transações de projeto-------------</t>
  </si>
  <si>
    <t>2017-01-05_10:21 - Arquivo xog sendo gravado em: C:\xog_hypermarcas\xog_costplan_20170105_102156.xml</t>
  </si>
  <si>
    <t>2017-01-05_10:23 - -------------Início da exportação transações de projeto-------------</t>
  </si>
  <si>
    <t>2017-01-05_10:23 - Arquivo xog sendo gravado em: C:\xog_hypermarcas\xog_costplan_20170105_102320.xml</t>
  </si>
  <si>
    <t>2017-01-05_10:43 - -------------Início da exportação transações de projeto-------------</t>
  </si>
  <si>
    <t>2017-01-05_10:43 - Arquivo xog sendo gravado em: C:\xog_hypermarcas\xog_costplan_20170105_104311.xml</t>
  </si>
  <si>
    <t>2017-01-05_10:46 - -------------Início da exportação transações de projeto-------------</t>
  </si>
  <si>
    <t>2017-01-05_10:46 - Arquivo xog sendo gravado em: C:\xog_hypermarcas\xog_costplan_20170105_104632.xml</t>
  </si>
  <si>
    <t>2017-01-05_10:53 - -------------Início da exportação transações de projeto-------------</t>
  </si>
  <si>
    <t>2017-01-05_10:53 - Arquivo xog sendo gravado em: C:\xog_hypermarcas\xog_costplan_20170105_105351.xml</t>
  </si>
  <si>
    <t>2017-01-05_10:57 - -------------Início da exportação transações de projeto-------------</t>
  </si>
  <si>
    <t>2017-01-05_10:57 - Arquivo xog sendo gravado em: C:\xog_hypermarcas\xog_costplan_projetado_20170105_105706.xml</t>
  </si>
  <si>
    <t>2017-01-05_11:00 - -------------Início da exportação transações de projeto-------------</t>
  </si>
  <si>
    <t>2017-01-05_11:00 - Arquivo xog sendo gravado em: C:\xog_hypermarcas\xog_costplan_projetado_20170105_110011.xml</t>
  </si>
  <si>
    <t>2017-01-05_11:00 - Ambiente selecionado: QAS</t>
  </si>
  <si>
    <t>2017-01-05_11:00 -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</si>
  <si>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2017-01-05_11:00 - Enviando requisição de login</t>
  </si>
  <si>
    <t>2017-01-05_11:00 - Login realizado. SessionID capturado: 16398056__43D60F12-0950-4A0A-8BC6-209E5339BC2A</t>
  </si>
  <si>
    <t>2017-01-05_11:00 - Chamando mensagem de requisição</t>
  </si>
  <si>
    <t>2017-01-05_11:00 - Capturando resultado final</t>
  </si>
  <si>
    <t>2017-01-05_11:00 - Efetuando logout</t>
  </si>
  <si>
    <t>2017-01-05_11:00 - Logout realizado</t>
  </si>
  <si>
    <t>2017-01-05_11:00 - -------------Fim da exportação transações de projeto-------------</t>
  </si>
  <si>
    <t>2017-01-05_11:04 - -------------Início da exportação transações de projeto-------------</t>
  </si>
  <si>
    <t>2017-01-05_11:04 - Arquivo xog sendo gravado em: C:\xog_hypermarcas\xog_costplan_projetado_20170105_110406.xml</t>
  </si>
  <si>
    <t>2017-01-05_11:05 - -------------Início da exportação transações de projeto-------------</t>
  </si>
  <si>
    <t>2017-01-05_11:05 - Arquivo xog sendo gravado em: C:\xog_hypermarcas\xog_costplan_projetado_20170105_110538.xml</t>
  </si>
  <si>
    <t>2017-01-05_11:06 - -------------Início da exportação transações de projeto-------------</t>
  </si>
  <si>
    <t>2017-01-05_11:06 - Arquivo xog sendo gravado em: C:\xog_hypermarcas\xog_costplan_projetado_20170105_110639.xml</t>
  </si>
  <si>
    <t>2017-01-05_11:07 - -------------Início da exportação transações de projeto-------------</t>
  </si>
  <si>
    <t>2017-01-05_11:07 - Arquivo xog sendo gravado em: C:\xog_hypermarcas\xog_costplan_projetado_20170105_110703.xml</t>
  </si>
  <si>
    <t>2017-01-05_11:08 - -------------Início da exportação transações de projeto-------------</t>
  </si>
  <si>
    <t>2017-01-05_11:08 - Arquivo xog sendo gravado em: C:\xog_hypermarcas\xog_costplan_projetado_20170105_110837.xml</t>
  </si>
  <si>
    <t>2017-01-05_11:08 - Ambiente selecionado: QAS</t>
  </si>
  <si>
    <t>2017-01-05_11:08 -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</si>
  <si>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2017-01-05_11:08 - Enviando requisição de login</t>
  </si>
  <si>
    <t>2017-01-05_11:08 - Login realizado. SessionID capturado: 16398057__0D126BE1-4BDE-4F7A-8734-E3C1218FEFE3</t>
  </si>
  <si>
    <t>2017-01-05_11:08 - Chamando mensagem de requisição</t>
  </si>
  <si>
    <t>2017-01-05_11:08 - Capturando resultado final</t>
  </si>
  <si>
    <t>2017-01-05_11:08 - Efetuando logout</t>
  </si>
  <si>
    <t>2017-01-05_11:08 - Logout realizado</t>
  </si>
  <si>
    <t>2017-01-05_11:08 - -------------Fim da exportação transações de projeto-------------</t>
  </si>
  <si>
    <t>2017-01-12_11:04 - Ambiente selecionado: QAS</t>
  </si>
  <si>
    <t>2017-01-12_11:04 - Escrevendo tarefas...</t>
  </si>
  <si>
    <t>2017-01-12_11:04 - Escrevendo locais...</t>
  </si>
  <si>
    <t>2017-01-12_11:04 - Escrevendo períodos...</t>
  </si>
  <si>
    <t>2017-01-12_11:04 - Escrevendo fornecedores...</t>
  </si>
  <si>
    <t>2017-01-12_11:04 - Escrevendo departamentos...</t>
  </si>
  <si>
    <t>2017-01-12_11:04 - Escrevendo centros de custo...</t>
  </si>
  <si>
    <t>2017-01-12_11:04 - Escrevendo recursos e classes de transacao...</t>
  </si>
  <si>
    <t>2017-01-12_11:04 - Escrevendo classes de transacao...</t>
  </si>
  <si>
    <t>2017-01-12_11:04 - Escrevendo Projetos...</t>
  </si>
  <si>
    <t>2017-01-12_11:06 - Escrevendo classes de transacao...</t>
  </si>
  <si>
    <t>2017-01-12_11:06 - Escrevendo Projetos...</t>
  </si>
  <si>
    <t>2017-01-12_11:06 - Ambiente selecionado: QAS</t>
  </si>
  <si>
    <t>2017-01-12_11:29 - Ambiente selecionado: QAS</t>
  </si>
  <si>
    <t>2017-01-12_11:29 - Escrevendo tarefas...</t>
  </si>
  <si>
    <t>2017-01-12_11:29 - Escrevendo locais...</t>
  </si>
  <si>
    <t>2017-01-12_11:29 - Escrevendo períodos...</t>
  </si>
  <si>
    <t>2017-01-12_11:29 - Escrevendo fornecedores...</t>
  </si>
  <si>
    <t>2017-01-12_11:29 - Escrevendo departamentos...</t>
  </si>
  <si>
    <t>2017-01-12_11:29 - Escrevendo centros de custo...</t>
  </si>
  <si>
    <t>2017-01-12_11:29 - Escrevendo recursos e classes de transacao...</t>
  </si>
  <si>
    <t>2017-01-12_11:29 - Escrevendo classes de transacao...</t>
  </si>
  <si>
    <t>2017-01-12_11:30 - Escrevendo classes de transacao...</t>
  </si>
  <si>
    <t>2017-01-12_11:30 - Escrevendo Projetos...</t>
  </si>
  <si>
    <t>2017-01-12_11:30 - Ambiente selecionado: QAS</t>
  </si>
  <si>
    <t>2017-01-12_11:30 - Escrevendo tarefas...</t>
  </si>
  <si>
    <t>2017-01-12_11:30 - Escrevendo locais...</t>
  </si>
  <si>
    <t>2017-01-12_11:30 - Escrevendo períodos...</t>
  </si>
  <si>
    <t>2017-01-12_11:30 - Escrevendo fornecedores...</t>
  </si>
  <si>
    <t>2017-01-12_11:30 - Escrevendo departamentos...</t>
  </si>
  <si>
    <t>2017-01-12_11:30 - Escrevendo centros de custo...</t>
  </si>
  <si>
    <t>2017-01-12_11:30 - Escrevendo recursos e classes de transacao...</t>
  </si>
  <si>
    <t>2017-01-12_11:33 - Escrevendo classes de transacao...</t>
  </si>
  <si>
    <t>2017-01-12_11:33 - Escrevendo Projetos...</t>
  </si>
  <si>
    <t>2017-01-12_11:33 - Ambiente selecionado: QAS</t>
  </si>
  <si>
    <t>PROD</t>
  </si>
  <si>
    <t>2017-01-12_13:43 - Ambiente selecionado: PROD</t>
  </si>
  <si>
    <t>2017-01-12_13:43 - Escrevendo tarefas...</t>
  </si>
  <si>
    <t>2017-01-12_13:43 - Escrevendo locais...</t>
  </si>
  <si>
    <t>2017-01-12_13:43 - Escrevendo períodos...</t>
  </si>
  <si>
    <t>2017-01-12_13:43 - Escrevendo fornecedores...</t>
  </si>
  <si>
    <t>2017-01-12_13:43 - Escrevendo departamentos...</t>
  </si>
  <si>
    <t>2017-01-12_13:43 - Escrevendo centros de custo...</t>
  </si>
  <si>
    <t>2017-01-12_13:43 - Escrevendo recursos e classes de transacao...</t>
  </si>
  <si>
    <t>2017-01-12_13:43 - Escrevendo classes de transacao...</t>
  </si>
  <si>
    <t>2017-01-12_13:43 - Escrevendo Projetos...</t>
  </si>
  <si>
    <t>2017-01-12_13:45 - Escrevendo classes de transacao...</t>
  </si>
  <si>
    <t>2017-01-12_13:45 - Escrevendo Projetos...</t>
  </si>
  <si>
    <t>2017-01-12_13:45 - Ambiente selecionado: PROD</t>
  </si>
  <si>
    <t>2017-01-12_13:47 - -------------Início da exportação transações de projeto-------------</t>
  </si>
  <si>
    <t>2017-01-12_13:47 - Arquivo xog sendo gravado em: C:\xog_hypermarcas\xog_costplan_projetado_20170112_134717.xml</t>
  </si>
  <si>
    <t>2017-01-12_13:47 - Ambiente selecionado: PROD</t>
  </si>
  <si>
    <t>2017-01-12_13:47 -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</si>
  <si>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2017-01-12_13:47 - Enviando requisição de login</t>
  </si>
  <si>
    <t>2017-01-12_13:47 - Login realizado. SessionID capturado: 11349646__D758BF29-1128-404A-AB46-3A02D0031B22</t>
  </si>
  <si>
    <t>2017-01-12_13:47 - Chamando mensagem de requisição</t>
  </si>
  <si>
    <t>2017-01-12_13:47 - Capturando resultado final</t>
  </si>
  <si>
    <t>2017-01-12_13:47 - Efetuando logout</t>
  </si>
  <si>
    <t>2017-01-12_13:47 - Logout realizado</t>
  </si>
  <si>
    <t>2017-01-12_13:47 - -------------Fim da exportação transações de projeto-------------</t>
  </si>
  <si>
    <t>2017-01-12_13:58 - -------------Início da exportação transações de projeto-------------</t>
  </si>
  <si>
    <t>2017-01-12_13:58 - Arquivo xog sendo gravado em: C:\xog_hypermarcas\xog_costplan_projetado_20170112_135816.xml</t>
  </si>
  <si>
    <t>2017-01-12_13:58 - Ambiente selecionado: PROD</t>
  </si>
  <si>
    <t>2017-01-12_13:58 -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</si>
  <si>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2017-01-12_13:58 - Enviando requisição de login</t>
  </si>
  <si>
    <t>2017-01-12_13:58 - Login realizado. SessionID capturado: 11349689__15E440E4-5C01-4C85-99BA-DC492EEFF7BE</t>
  </si>
  <si>
    <t>2017-01-12_13:58 - Chamando mensagem de requisição</t>
  </si>
  <si>
    <t>2017-01-12_13:58 - Capturando resultado final</t>
  </si>
  <si>
    <t>2017-01-12_13:58 - Efetuando logout</t>
  </si>
  <si>
    <t>2017-01-12_13:58 - Logout realizado</t>
  </si>
  <si>
    <t>2017-01-12_13:58 - -------------Fim da exportação transações de projeto-------------</t>
  </si>
  <si>
    <t>2017-01-12_14:23 - -------------Início da exportação transações de projeto-------------</t>
  </si>
  <si>
    <t>2017-01-12_14:23 - Arquivo xog sendo gravado em: C:\xog_hypermarcas\xog_costplan_projetado_20170112_142338.xml</t>
  </si>
  <si>
    <t>2017-01-12_14:30 - -------------Início da exportação transações de projeto-------------</t>
  </si>
  <si>
    <t>2017-01-12_14:30 - Arquivo xog sendo gravado em: C:\xog_hypermarcas\xog_costplan_projetado_20170112_143050.xml</t>
  </si>
  <si>
    <t>2017-01-12_14:33 - -------------Início da exportação transações de projeto-------------</t>
  </si>
  <si>
    <t>2017-01-12_14:33 - Arquivo xog sendo gravado em: C:\xog_hypermarcas\xog_costplan_projetado_20170112_143346.xml</t>
  </si>
  <si>
    <t>2017-01-12_14:36 - -------------Início da exportação transações de projeto-------------</t>
  </si>
  <si>
    <t>2017-01-12_14:36 - Arquivo xog sendo gravado em: C:\xog_hypermarcas\xog_costplan_projetado_20170112_143603.xml</t>
  </si>
  <si>
    <t>2017-01-12_14:36 - Arquivo xog sendo gravado em: C:\xog_hypermarcas\xog_costplan_projetado_20170112_143637.xml</t>
  </si>
  <si>
    <t>2017-01-12_14:36 - Ambiente selecionado: PROD</t>
  </si>
  <si>
    <t>2017-01-12_14:36 -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</si>
  <si>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2017-01-12_14:36 - Enviando requisição de login</t>
  </si>
  <si>
    <t>2017-01-12_14:36 - Login realizado. SessionID capturado: 11349823__B20984D7-4787-45BA-AD94-5EB705C88B67</t>
  </si>
  <si>
    <t>2017-01-12_14:36 - Chamando mensagem de requisição</t>
  </si>
  <si>
    <t>2017-01-12_14:36 - Capturando resultado final</t>
  </si>
  <si>
    <t>2017-01-12_14:36 - Efetuando logout</t>
  </si>
  <si>
    <t>2017-01-12_14:36 - Logout realizado</t>
  </si>
  <si>
    <t>2017-01-12_14:36 - -------------Fim da exportação transações de projeto-------------</t>
  </si>
  <si>
    <t>2017-01-16_18:28 - Ambiente selecionado: PROD</t>
  </si>
  <si>
    <t>2017-01-16_18:28 - Escrevendo tarefas...</t>
  </si>
  <si>
    <t>2017-01-16_18:28 - Escrevendo locais...</t>
  </si>
  <si>
    <t>2017-01-16_18:28 - Escrevendo períodos...</t>
  </si>
  <si>
    <t>2017-01-16_18:28 - Escrevendo fornecedores...</t>
  </si>
  <si>
    <t>2017-01-16_18:28 - Escrevendo departamentos...</t>
  </si>
  <si>
    <t>2017-01-16_18:28 - Escrevendo centros de custo...</t>
  </si>
  <si>
    <t>2017-01-16_18:28 - Escrevendo recursos e classes de transacao...</t>
  </si>
  <si>
    <t>2017-01-16_18:28 - Escrevendo classes de transacao...</t>
  </si>
  <si>
    <t>2017-01-16_18:28 - Escrevendo Projetos...</t>
  </si>
  <si>
    <t>COD_INV</t>
  </si>
  <si>
    <t>2017-01-16_18:35 - Ambiente selecionado: PROD</t>
  </si>
  <si>
    <t>2017-01-16_18:35 - Escrevendo tarefas...</t>
  </si>
  <si>
    <t>2017-01-16_18:37 - Escrevendo locais...</t>
  </si>
  <si>
    <t>2017-01-16_18:37 - Escrevendo períodos...</t>
  </si>
  <si>
    <t>2017-01-16_18:37 - Escrevendo fornecedores...</t>
  </si>
  <si>
    <t>2017-01-16_18:37 - Escrevendo departamentos...</t>
  </si>
  <si>
    <t>2017-01-16_18:37 - Escrevendo centros de custo...</t>
  </si>
  <si>
    <t>2017-01-16_18:37 - Escrevendo recursos e classes de transacao...</t>
  </si>
  <si>
    <t>2017-01-16_18:37 - Escrevendo classes de transacao...</t>
  </si>
  <si>
    <t>2017-01-16_18:37 - Escrevendo Projetos...</t>
  </si>
  <si>
    <t>2017-01-16_18:37 - Ambiente selecionado: PROD</t>
  </si>
  <si>
    <t>2017-01-16_18:37 - Escrevendo tarefas...</t>
  </si>
  <si>
    <t>2017-01-16_18:42 - -------------Início da exportação transações de projeto-------------</t>
  </si>
  <si>
    <t>2017-01-16_18:42 - Arquivo xog sendo gravado em: C:\xog_hypermarcas\xog_transaction_rec_int_20170116_184244.xml</t>
  </si>
  <si>
    <t>2017-01-16_18:42 - Ambiente selecionado: PROD</t>
  </si>
  <si>
    <t>2017-01-16_18:42 -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</si>
  <si>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2017-01-16_18:42 - Enviando requisição de login</t>
  </si>
  <si>
    <t>2017-01-16_18:42 - Login realizado. SessionID capturado: 11421712__BB3B0178-ECAF-49F1-BCD2-DECD3B94984B</t>
  </si>
  <si>
    <t>2017-01-16_18:42 - Chamando mensagem de requisição</t>
  </si>
  <si>
    <t>2017-01-16_18:42 - Capturando resultado final</t>
  </si>
  <si>
    <t>2017-01-16_18:42 - Efetuando logout</t>
  </si>
  <si>
    <t>2017-01-16_18:42 - Logout realizado</t>
  </si>
  <si>
    <t>2017-01-16_18:42 - -------------Fim da exportação transações de projeto-------------</t>
  </si>
  <si>
    <t>2017-01-17_17:22 - Ambiente selecionado: PROD</t>
  </si>
  <si>
    <t>2017-01-17_17:22 - Escrevendo tarefas...</t>
  </si>
  <si>
    <t>2017-01-17_17:22 - Escrevendo locais...</t>
  </si>
  <si>
    <t>2017-01-17_17:22 - Escrevendo períodos...</t>
  </si>
  <si>
    <t>2017-01-17_17:22 - Escrevendo fornecedores...</t>
  </si>
  <si>
    <t>2017-01-17_17:22 - Escrevendo departamentos...</t>
  </si>
  <si>
    <t>2017-01-17_17:22 - Escrevendo centros de custo...</t>
  </si>
  <si>
    <t>2017-01-17_17:22 - Escrevendo recursos e classes de transacao...</t>
  </si>
  <si>
    <t>2017-01-17_17:22 - Escrevendo classes de transacao...</t>
  </si>
  <si>
    <t>2017-01-17_17:22 - Escrevendo Projetos...</t>
  </si>
  <si>
    <t>2017-01-17_17:43 - -------------Início da exportação transações de projeto-------------</t>
  </si>
  <si>
    <t>2017-01-17_17:43 - Arquivo xog sendo gravado em: C:\xog_hypermarcas\xog_transaction_rec_int_20170117_174336.xml</t>
  </si>
  <si>
    <t>2017-01-17_17:43 - Ambiente selecionado: PROD</t>
  </si>
  <si>
    <t>2017-01-17_17:43 -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</si>
  <si>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2017-01-17_17:43 - Enviando requisição de login</t>
  </si>
  <si>
    <t>2017-01-17_17:43 - Login realizado. SessionID capturado: 11436400__2754B246-9660-4977-9911-B8CB961364A2</t>
  </si>
  <si>
    <t>2017-01-17_17:43 - Chamando mensagem de requisição</t>
  </si>
  <si>
    <t>2017-01-17_17:43 - Capturando resultado final</t>
  </si>
  <si>
    <t>2017-01-17_17:43 - Efetuando logout</t>
  </si>
  <si>
    <t>2017-01-17_17:43 - Logout realizado</t>
  </si>
  <si>
    <t>2017-01-17_17:43 - -------------Fim da exportação transações de projeto-------------</t>
  </si>
  <si>
    <t>2017-01-17_17:47 - -------------Início da exportação transações de projeto-------------</t>
  </si>
  <si>
    <t>2017-01-17_17:47 - Arquivo xog sendo gravado em: C:\xog_hypermarcas\xog_transaction_rec_int_20170117_174706.xml</t>
  </si>
  <si>
    <t>2017-01-17_17:47 - Ambiente selecionado: PROD</t>
  </si>
  <si>
    <t>2017-01-17_17:47 -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</si>
  <si>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2017-01-17_17:47 - Enviando requisição de login</t>
  </si>
  <si>
    <t>2017-01-17_17:47 - Login realizado. SessionID capturado: 11436410__E98F4DD2-1737-4816-A5C3-F022253BC48C</t>
  </si>
  <si>
    <t>2017-01-17_17:47 - Chamando mensagem de requisição</t>
  </si>
  <si>
    <t>2017-01-17_17:47 - Capturando resultado final</t>
  </si>
  <si>
    <t>2017-01-17_17:47 - Efetuando logout</t>
  </si>
  <si>
    <t>2017-01-17_17:47 - Logout realizado</t>
  </si>
  <si>
    <t>2017-01-17_17:47 - -------------Fim da exportação transações de projeto-------------</t>
  </si>
  <si>
    <t>2017-01-17_18:01 - -------------Início da exportação transações de projeto-------------</t>
  </si>
  <si>
    <t>2017-01-17_18:01 - Arquivo xog sendo gravado em: C:\xog_hypermarcas\xog_transaction_rec_int_20170117_180123.xml</t>
  </si>
  <si>
    <t>2017-01-17_18:01 - Ambiente selecionado: PROD</t>
  </si>
  <si>
    <t>2017-01-17_18:01 -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</si>
  <si>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2017-01-17_18:01 - Enviando requisição de login</t>
  </si>
  <si>
    <t>2017-01-17_18:01 - Login realizado. SessionID capturado: 11436456__7B9186A4-4580-4895-99C6-DD9E820DE649</t>
  </si>
  <si>
    <t>2017-01-17_18:01 - Chamando mensagem de requisição</t>
  </si>
  <si>
    <t>2017-01-17_18:01 - Capturando resultado final</t>
  </si>
  <si>
    <t>2017-01-17_18:01 - Efetuando logout</t>
  </si>
  <si>
    <t>2017-01-17_18:01 - Logout realizado</t>
  </si>
  <si>
    <t>2017-01-17_18:01 - -------------Fim da exportação transações de projeto-------------</t>
  </si>
  <si>
    <t>2017-01-26_11:42 - Ambiente selecionado: PROD</t>
  </si>
  <si>
    <t>2017-01-26_11:42 - Escrevendo tarefas...</t>
  </si>
  <si>
    <t>2017-01-26_11:44 - Escrevendo locais...</t>
  </si>
  <si>
    <t>2017-01-26_11:44 - Escrevendo períodos...</t>
  </si>
  <si>
    <t>2017-01-26_11:44 - Escrevendo fornecedores...</t>
  </si>
  <si>
    <t>2017-01-26_11:44 - Escrevendo departamentos...</t>
  </si>
  <si>
    <t>2017-01-26_11:44 - Escrevendo centros de custo...</t>
  </si>
  <si>
    <t>2017-01-26_11:44 - Escrevendo recursos e classes de transacao...</t>
  </si>
  <si>
    <t>2017-01-26_11:44 - Escrevendo classes de transacao...</t>
  </si>
  <si>
    <t>2017-01-26_11:44 - Escrevendo Projetos...</t>
  </si>
  <si>
    <t>2017-01-26_11:44 - Ambiente selecionado: PROD</t>
  </si>
  <si>
    <t>2017-01-26_11:44 - Escrevendo tarefas...</t>
  </si>
  <si>
    <t>2017-01-26_11:46 - -------------Início da exportação transações de projeto-------------</t>
  </si>
  <si>
    <t>2017-01-26_11:46 - Arquivo xog sendo gravado em: C:\xog_hypermarcas\xog_transaction_rec_int_20170126_114604.xml</t>
  </si>
  <si>
    <t>2017-01-26_13:55 - -------------Início da exportação transações de projeto-------------</t>
  </si>
  <si>
    <t>2017-01-26_13:55 - Arquivo xog sendo gravado em: C:\xog_hypermarcas\xog_transaction_rec_int_20170126_135556.xml</t>
  </si>
  <si>
    <t>2017-01-26_13:55 - Ambiente selecionado: PROD</t>
  </si>
  <si>
    <t>2017-01-26_13:55 -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</si>
  <si>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2017-01-26_13:55 - Enviando requisição de login</t>
  </si>
  <si>
    <t>2017-01-26_13:55 - Login realizado. SessionID capturado: 11563086__2AD2F7DF-6AA1-423B-BEFA-A0F4BFAF5AF2</t>
  </si>
  <si>
    <t>2017-01-26_13:55 - Chamando mensagem de requisição</t>
  </si>
  <si>
    <t>2017-01-26_13:55 - Capturando resultado final</t>
  </si>
  <si>
    <t>2017-01-26_13:55 - Efetuando logout</t>
  </si>
  <si>
    <t>2017-01-26_13:55 - Logout realizado</t>
  </si>
  <si>
    <t>2017-01-26_13:55 - -------------Fim da exportação transações de projeto-------------</t>
  </si>
  <si>
    <t>2017-01-26_14:00 - -------------Início da exportação transações de projeto-------------</t>
  </si>
  <si>
    <t>2017-01-26_14:00 - Arquivo xog sendo gravado em: C:\xog_hypermarcas\xog_transaction_rec_int_20170126_140033.xml</t>
  </si>
  <si>
    <t>2017-02-10_15:17 - Ambiente selecionado: PROD</t>
  </si>
  <si>
    <t>2017-02-10_15:17 - Escrevendo tarefas...</t>
  </si>
  <si>
    <t>2017-02-10_15:18 - Escrevendo locais...</t>
  </si>
  <si>
    <t>2017-02-10_15:18 - Escrevendo períodos...</t>
  </si>
  <si>
    <t>2017-02-10_15:18 - Escrevendo fornecedores...</t>
  </si>
  <si>
    <t>2017-02-10_15:18 - Escrevendo departamentos...</t>
  </si>
  <si>
    <t>2017-02-10_15:18 - Escrevendo centros de custo...</t>
  </si>
  <si>
    <t>2017-02-10_15:18 - Escrevendo recursos e classes de transacao...</t>
  </si>
  <si>
    <t>2017-02-10_15:18 - Escrevendo classes de transacao...</t>
  </si>
  <si>
    <t>2017-02-10_15:18 - Escrevendo Projetos...</t>
  </si>
  <si>
    <t>2017-02-10_15:18 - Ambiente selecionado: PROD</t>
  </si>
  <si>
    <t>2017-02-10_15:18 - Escrevendo tarefas...</t>
  </si>
  <si>
    <t xml:space="preserve">&lt;soapenv:Envelope xmlns:soapenv="http://schemas.xmlsoap.org/soap/envelope/" xmlns:xsi="http://www.w3.org/2001/XMLSchema-instance"&gt;
  &lt;soapenv:Header/&gt;
  &lt;soapenv:Body&gt;
    &lt;QueryResult xmlns="http://www.niku.com/xog/Query"&gt;
      &lt;Code&gt;hm_q_delete_transactions&lt;/Code&gt;
      &lt;Records&gt;
        &lt;Record&gt;
          &lt;del_project_code&gt;OP00001&lt;/del_project_code&gt;
          &lt;del_task_id&gt;5131239&lt;/del_task_id&gt;
          &lt;del_res_code&gt;desp_op_ext&lt;/del_res_code&gt;
          &lt;del_charge_code&gt;CAPITAL&lt;/del_charge_code&gt;
          &lt;del_cost_type&gt;CAPITAL&lt;/del_cost_type&gt;
          &lt;del_trans_class&gt;Hardware&lt;/del_trans_class&gt;
          &lt;del_trans_type&gt;X&lt;/del_trans_type&gt;
          &lt;del_input_type&gt;teste&lt;/del_input_type&gt;
          &lt;del_lov1 xsi:nil="true"/&gt;
          &lt;del_lov2 xsi:nil="true"/&gt;
          &lt;del_date&gt;2016-12-01&lt;/del_date&gt;
          &lt;del_notes xsi:nil="true"/&gt;
          &lt;del_qtd&gt;1&lt;/del_qtd&gt;
          &lt;del_valor&gt;-877449.49&lt;/del_valor&gt;
        &lt;/Record&gt;
        &lt;Record&gt;
          &lt;del_project_code&gt;OP00001&lt;/del_project_code&gt;
          &lt;del_task_id&gt;5131239&lt;/del_task_id&gt;
          &lt;del_res_code&gt;desp_op_ext&lt;/del_res_code&gt;
          &lt;del_charge_code&gt;CAPITAL&lt;/del_charge_code&gt;
          &lt;del_cost_type&gt;CAPITAL&lt;/del_cost_type&gt;
          &lt;del_trans_class&gt;Software&lt;/del_trans_class&gt;
          &lt;del_trans_type&gt;X&lt;/del_trans_type&gt;
          &lt;del_input_type&gt;teste&lt;/del_input_type&gt;
          &lt;del_lov1 xsi:nil="true"/&gt;
          &lt;del_lov2 xsi:nil="true"/&gt;
          &lt;del_date&gt;2016-12-01&lt;/del_date&gt;
          &lt;del_notes xsi:nil="true"/&gt;
          &lt;del_qtd&gt;1&lt;/del_qtd&gt;
          &lt;del_valor&gt;-955593.15&lt;/del_valor&gt;
        &lt;/Record&gt;
        &lt;Record&gt;
          &lt;del_project_code&gt;OP00001&lt;/del_project_code&gt;
          &lt;del_task_id&gt;5131239&lt;/del_task_id&gt;
          &lt;del_res_code&gt;desp_op_ext&lt;/del_res_code&gt;
          &lt;del_charge_code&gt;OPERATING&lt;/del_charge_code&gt;
          &lt;del_cost_type&gt;OPERATING&lt;/del_cost_type&gt;
          &lt;del_trans_class&gt;com_dad&lt;/del_trans_class&gt;
          &lt;del_trans_type&gt;X&lt;/del_trans_type&gt;
          &lt;del_input_type&gt;teste&lt;/del_input_type&gt;
          &lt;del_lov1 xsi:nil="true"/&gt;
          &lt;del_lov2 xsi:nil="true"/&gt;
          &lt;del_date&gt;2016-12-01&lt;/del_date&gt;
          &lt;del_notes xsi:nil="true"/&gt;
          &lt;del_qtd&gt;1&lt;/del_qtd&gt;
          &lt;del_valor&gt;-2492841.71&lt;/del_valor&gt;
        &lt;/Record&gt;
        &lt;Record&gt;
          &lt;del_project_code&gt;OP00001&lt;/del_project_code&gt;
          &lt;del_task_id&gt;5131239&lt;/del_task_id&gt;
          &lt;del_res_code&gt;desp_op_ext&lt;/del_res_code&gt;
          &lt;del_charge_code&gt;OPERATING&lt;/del_charge_code&gt;
          &lt;del_cost_type&gt;OPERATING&lt;/del_cost_type&gt;
          &lt;del_trans_class&gt;ConsuIt&lt;/del_trans_class&gt;
          &lt;del_trans_type&gt;X&lt;/del_trans_type&gt;
          &lt;del_input_type&gt;teste&lt;/del_input_type&gt;
          &lt;del_lov1 xsi:nil="true"/&gt;
          &lt;del_lov2 xsi:nil="true"/&gt;
          &lt;del_date&gt;2016-12-01&lt;/del_date&gt;
          &lt;del_notes xsi:nil="true"/&gt;
          &lt;del_qtd&gt;1&lt;/del_qtd&gt;
          &lt;del_valor&gt;-5650836.33&lt;/del_valor&gt;
        &lt;/Record&gt;
        &lt;Record&gt;
          &lt;del_project_code&gt;OP00001&lt;/del_project_code&gt;
          &lt;del_task_id&gt;5131239&lt;/del_task_id&gt;
          &lt;del_res_code&gt;desp_op_ext&lt;/del_res_code&gt;
          &lt;del_charge_code&gt;OPERATING&lt;/del_charge_code&gt;
          &lt;del_cost_type&gt;OPERATING&lt;/del_cost_type&gt;
          &lt;del_trans_class&gt;impressa&lt;/del_trans_class&gt;
          &lt;del_trans_type&gt;X&lt;/del_trans_type&gt;
          &lt;del_input_type&gt;teste&lt;/del_input_type&gt;
          &lt;del_lov1 xsi:nil="true"/&gt;
          &lt;del_lov2 xsi:nil="true"/&gt;
          &lt;del_date&gt;2016-12-01&lt;/del_date&gt;
          &lt;del_notes xsi:nil="true"/&gt;
          &lt;del_qtd&gt;1&lt;/del_qtd&gt;
          &lt;del_valor&gt;-1811811.4&lt;/del_valor&gt;
        &lt;/Record&gt;
        &lt;Record&gt;
          &lt;del_project_code&gt;OP00001&lt;/del_project_code&gt;
          &lt;del_task_id&gt;5131239&lt;/del_task_id&gt;
          &lt;del_res_code&gt;desp_op_ext&lt;/del_res_code&gt;
          &lt;del_charge_code&gt;OPERATING&lt;/del_charge_code&gt;
          &lt;del_cost_type&gt;OPERATING&lt;/del_cost_type&gt;
          &lt;del_trans_class&gt;Man_hard&lt;/del_trans_class&gt;
          &lt;del_trans_type&gt;X&lt;/del_trans_type&gt;
          &lt;del_input_type&gt;teste&lt;/del_input_type&gt;
          &lt;del_lov1 xsi:nil="true"/&gt;
          &lt;del_lov2 xsi:nil="true"/&gt;
          &lt;del_date&gt;2016-12-01&lt;/del_date&gt;
          &lt;del_notes xsi:nil="true"/&gt;
          &lt;del_qtd&gt;1&lt;/del_qtd&gt;
          &lt;del_valor&gt;-494423.7&lt;/del_valor&gt;
        &lt;/Record&gt;
        &lt;Record&gt;
          &lt;del_project_code&gt;OP00001&lt;/del_project_code&gt;
          &lt;del_task_id&gt;5131239&lt;/del_task_id&gt;
          &lt;del_res_code&gt;desp_op_ext&lt;/del_res_code&gt;
          &lt;del_charge_code&gt;OPERATING&lt;/del_charge_code&gt;
          &lt;del_cost_type&gt;OPERATING&lt;/del_cost_type&gt;
          &lt;del_trans_class&gt;man_soft&lt;/del_trans_class&gt;
          &lt;del_trans_type&gt;X&lt;/del_trans_type&gt;
          &lt;del_input_type&gt;teste&lt;/del_input_type&gt;
          &lt;del_lov1 xsi:nil="true"/&gt;
          &lt;del_lov2 xsi:nil="true"/&gt;
          &lt;del_date&gt;2016-12-01&lt;/del_date&gt;
          &lt;del_notes xsi:nil="true"/&gt;
          &lt;del_qtd&gt;1&lt;/del_qtd&gt;
          &lt;del_valor&gt;-11646467.42&lt;/del_valor&gt;
        &lt;/Record&gt;
        &lt;Record&gt;
          &lt;del_project_code&gt;OP00001&lt;/del_project_code&gt;
          &lt;del_task_id&gt;5131239&lt;/del_task_id&gt;
          &lt;del_res_code&gt;desp_op_ext&lt;/del_res_code&gt;
          &lt;del_charge_code&gt;OPERATING&lt;/del_charge_code&gt;
          &lt;del_cost_type&gt;OPERATING&lt;/del_cost_type&gt;
          &lt;del_trans_class&gt;Outros&lt;/del_trans_class&gt;
          &lt;del_trans_type&gt;X&lt;/del_trans_type&gt;
          &lt;del_input_type&gt;teste&lt;/del_input_type&gt;
          &lt;del_lov1 xsi:nil="true"/&gt;
          &lt;del_lov2 xsi:nil="true"/&gt;
          &lt;del_date&gt;2016-12-01&lt;/del_date&gt;
          &lt;del_notes xsi:nil="true"/&gt;
          &lt;del_qtd&gt;1&lt;/del_qtd&gt;
          &lt;del_valor&gt;-2561654.05&lt;/del_valor&gt;
        &lt;/Record&gt;
        &lt;Record&gt;
          &lt;del_project_code&gt;OP00001&lt;/del_project_code&gt;
          &lt;del_task_id&gt;5131239&lt;/del_task_id&gt;
          &lt;del_res_code&gt;desp_op_ext&lt;/del_res_code&gt;
          &lt;del_charge_code&gt;OPERATING&lt;/del_charge_code&gt;
          &lt;del_cost_type&gt;OPERATING&lt;/del_cost_type&gt;
          &lt;del_trans_class&gt;tef_celu&lt;/del_trans_class&gt;
          &lt;del_trans_type&gt;X&lt;/del_trans_type&gt;
          &lt;del_input_type&gt;teste&lt;/del_input_type&gt;
          &lt;del_lov1 xsi:nil="true"/&gt;
          &lt;del_lov2 xsi:nil="true"/&gt;
          &lt;del_date&gt;2016-12-01&lt;/del_date&gt;
          &lt;del_notes xsi:nil="true"/&gt;
          &lt;del_qtd&gt;1&lt;/del_qtd&gt;
          &lt;del_valor&gt;-2051573.48&lt;/del_valor&gt;
        &lt;/Record&gt;
        &lt;Record&gt;
          &lt;del_project_code&gt;OP00001&lt;/del_project_code&gt;
          &lt;del_task_id&gt;5131239&lt;/del_task_id&gt;
          &lt;del_res_code&gt;desp_op_ext&lt;/del_res_code&gt;
          &lt;del_charge_code&gt;OPERATING&lt;/del_charge_code&gt;
          &lt;del_cost_type&gt;OPERATING&lt;/del_cost_type&gt;
          &lt;del_trans_class&gt;tel_fixa&lt;/del_trans_class&gt;
          &lt;del_trans_type&gt;X&lt;/del_trans_type&gt;
          &lt;del_input_type&gt;teste&lt;/del_input_type&gt;
          &lt;del_lov1 xsi:nil="true"/&gt;
          &lt;del_lov2 xsi:nil="true"/&gt;
          &lt;del_date&gt;2016-12-01&lt;/del_date&gt;
          &lt;del_notes xsi:nil="true"/&gt;
          &lt;del_qtd&gt;1&lt;/del_qtd&gt;
          &lt;del_valor&gt;-1590374.36&lt;/del_valor&gt;
        &lt;/Record&gt;
        &lt;Record&gt;
          &lt;del_project_code&gt;OP00001&lt;/del_project_code&gt;
          &lt;del_task_id&gt;5131239&lt;/del_task_id&gt;
          &lt;del_res_code&gt;desp_op_ext&lt;/del_res_code&gt;
          &lt;del_charge_code&gt;OPERATING&lt;/del_charge_code&gt;
          &lt;del_cost_type&gt;OPERATING&lt;/del_cost_type&gt;
          &lt;del_trans_class&gt;ViagEsta&lt;/del_trans_class&gt;
          &lt;del_trans_type&gt;X&lt;/del_trans_type&gt;
          &lt;del_input_type&gt;teste&lt;/del_input_type&gt;
          &lt;del_lov1 xsi:nil="true"/&gt;
          &lt;del_lov2 xsi:nil="true"/&gt;
          &lt;del_date&gt;2016-12-01&lt;/del_date&gt;
          &lt;del_notes xsi:nil="true"/&gt;
          &lt;del_qtd&gt;1&lt;/del_qtd&gt;
          &lt;del_valor&gt;-535488.86&lt;/del_valor&gt;
        &lt;/Record&gt;
        &lt;Record&gt;
          &lt;del_project_code&gt;OP00001&lt;/del_project_code&gt;
          &lt;del_task_id&gt;5131239&lt;/del_task_id&gt;
          &lt;del_res_code&gt;desp_op_int&lt;/del_res_code&gt;
          &lt;del_charge_code&gt;OPERATING&lt;/del_charge_code&gt;
          &lt;del_cost_type&gt;OPERATING&lt;/del_cost_type&gt;
          &lt;del_trans_class&gt;REC_INT1&lt;/del_trans_class&gt;
          &lt;del_trans_type&gt;L&lt;/del_trans_type&gt;
          &lt;del_input_type&gt;teste&lt;/del_input_type&gt;
          &lt;del_lov1 xsi:nil="true"/&gt;
          &lt;del_lov2 xsi:nil="true"/&gt;
          &lt;del_date&gt;2016-12-01&lt;/del_date&gt;
          &lt;del_notes xsi:nil="true"/&gt;
          &lt;del_qtd&gt;1&lt;/del_qtd&gt;
          &lt;del_valor&gt;-25439536.48&lt;/del_valor&gt;
        &lt;/Record&gt;
      &lt;/Records&gt;
      &lt;Slice&gt;
        &lt;Number&gt;0&lt;/Number&gt;
        &lt;Size&gt;12&lt;/Size&gt;
        &lt;Total&gt;12&lt;/Total&gt;
      &lt;/Slice&gt;
    &lt;/QueryResult&gt;
  &lt;/soapenv:Body&gt;
&lt;/soapenv:Envelope&gt;
</t>
  </si>
  <si>
    <t>CÓDIGO DO PROJETO</t>
  </si>
  <si>
    <t>NONE_INVESTIMENTO</t>
  </si>
  <si>
    <t>TAREFA</t>
  </si>
  <si>
    <t>RECURSO</t>
  </si>
  <si>
    <t>2017-02-10_15:28 - Ambiente selecionado: PROD</t>
  </si>
  <si>
    <t>2017-02-10_15:28 - Escrevendo tarefas...</t>
  </si>
  <si>
    <t>2017-02-10_15:30 - Escrevendo locais...</t>
  </si>
  <si>
    <t>2017-02-10_15:30 - Escrevendo períodos...</t>
  </si>
  <si>
    <t>2017-02-10_15:30 - Escrevendo fornecedores...</t>
  </si>
  <si>
    <t>2017-02-10_15:30 - Escrevendo departamentos...</t>
  </si>
  <si>
    <t>2017-02-10_15:30 - Escrevendo centros de custo...</t>
  </si>
  <si>
    <t>2017-02-10_15:30 - Escrevendo recursos e classes de transacao...</t>
  </si>
  <si>
    <t>2017-02-10_15:30 - Escrevendo classes de transacao...</t>
  </si>
  <si>
    <t>2017-02-10_15:30 - Escrevendo Projetos...</t>
  </si>
  <si>
    <t>2017-02-10_15:30 - Ambiente selecionado: PROD</t>
  </si>
  <si>
    <t>2017-02-10_15:30 - Escrevendo tarefas...</t>
  </si>
  <si>
    <t>2017-02-10_15:41 - -------------Início da exportação transações de projeto-------------</t>
  </si>
  <si>
    <t>2017-02-10_15:41 - Arquivo xog sendo gravado em: C:\xog_hypermarcas\xog_transaction_rec_int_20170210_154108.xml</t>
  </si>
  <si>
    <t>2017-02-10_15:41 - Arquivo xog sendo gravado em: C:\xog_hypermarcas\xog_transaction_rec_int_20170210_154148.xml</t>
  </si>
  <si>
    <t>2017-02-10_16:06 - -------------Início da exportação transações de projeto-------------</t>
  </si>
  <si>
    <t>2017-02-10_16:06 - Arquivo xog sendo gravado em: C:\xog_hypermarcas\xog_transaction_rec_int_20170210_160628.xml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</si>
</sst>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;;;**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color theme="6"/>
      <name val="Calibri"/>
      <family val="2"/>
      <scheme val="minor"/>
    </font>
    <font>
      <b/>
      <i/>
      <sz val="11"/>
      <color theme="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name val="Arial"/>
      <family val="2"/>
    </font>
    <font>
      <sz val="10"/>
      <color theme="0"/>
      <name val="Arial"/>
      <family val="2"/>
    </font>
    <font>
      <b/>
      <sz val="10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11"/>
      <color theme="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77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400"/>
      </left>
      <right style="thin">
        <color rgb="FF92D400"/>
      </right>
      <top style="thin">
        <color rgb="FF92D400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thin">
        <color rgb="FF92D400"/>
      </left>
      <right style="thin">
        <color rgb="FF92D400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3" fillId="0" borderId="0"/>
    <xf numFmtId="0" fontId="6" fillId="0" borderId="0" applyNumberFormat="0" applyFill="0" applyBorder="0" applyAlignment="0" applyProtection="0"/>
  </cellStyleXfs>
  <cellXfs count="106">
    <xf numFmtId="0" fontId="0" fillId="0" borderId="0" xfId="0"/>
    <xf numFmtId="0" fontId="3" fillId="0" borderId="0" xfId="2"/>
    <xf numFmtId="0" fontId="0" fillId="2" borderId="0" xfId="0" applyFill="1"/>
    <xf numFmtId="0" fontId="0" fillId="3" borderId="1" xfId="0" applyFill="1" applyBorder="1"/>
    <xf numFmtId="0" fontId="0" fillId="3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7" xfId="0" applyFill="1" applyBorder="1" applyAlignment="1" applyProtection="1">
      <alignment horizontal="left"/>
      <protection locked="0"/>
    </xf>
    <xf numFmtId="0" fontId="0" fillId="2" borderId="7" xfId="0" applyFill="1" applyBorder="1" applyProtection="1">
      <protection locked="0"/>
    </xf>
    <xf numFmtId="164" fontId="6" fillId="2" borderId="7" xfId="3" applyNumberFormat="1" applyFill="1" applyBorder="1" applyProtection="1">
      <protection locked="0"/>
    </xf>
    <xf numFmtId="164" fontId="6" fillId="2" borderId="7" xfId="3" applyNumberFormat="1" applyFill="1" applyBorder="1" applyAlignment="1" applyProtection="1">
      <alignment horizontal="left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8" fillId="2" borderId="0" xfId="0" applyFont="1" applyFill="1" applyBorder="1"/>
    <xf numFmtId="0" fontId="8" fillId="2" borderId="0" xfId="0" applyFont="1" applyFill="1"/>
    <xf numFmtId="0" fontId="8" fillId="2" borderId="2" xfId="0" applyFont="1" applyFill="1" applyBorder="1"/>
    <xf numFmtId="0" fontId="8" fillId="2" borderId="3" xfId="0" applyFont="1" applyFill="1" applyBorder="1"/>
    <xf numFmtId="0" fontId="0" fillId="3" borderId="0" xfId="0" applyFill="1" applyBorder="1"/>
    <xf numFmtId="0" fontId="2" fillId="3" borderId="0" xfId="0" applyFont="1" applyFill="1" applyBorder="1" applyAlignment="1">
      <alignment horizontal="center"/>
    </xf>
    <xf numFmtId="0" fontId="0" fillId="2" borderId="12" xfId="0" applyFill="1" applyBorder="1"/>
    <xf numFmtId="0" fontId="0" fillId="2" borderId="12" xfId="0" applyFill="1" applyBorder="1" applyProtection="1"/>
    <xf numFmtId="0" fontId="0" fillId="2" borderId="12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Protection="1">
      <protection hidden="1"/>
    </xf>
    <xf numFmtId="0" fontId="0" fillId="4" borderId="0" xfId="0" applyFill="1" applyAlignment="1" applyProtection="1">
      <alignment wrapText="1"/>
      <protection hidden="1"/>
    </xf>
    <xf numFmtId="0" fontId="3" fillId="5" borderId="0" xfId="2" applyFill="1" applyProtection="1">
      <protection hidden="1"/>
    </xf>
    <xf numFmtId="0" fontId="3" fillId="5" borderId="0" xfId="2" applyFill="1" applyAlignment="1" applyProtection="1">
      <alignment wrapText="1"/>
      <protection hidden="1"/>
    </xf>
    <xf numFmtId="0" fontId="2" fillId="6" borderId="13" xfId="0" applyFont="1" applyFill="1" applyBorder="1" applyAlignment="1" applyProtection="1">
      <alignment horizontal="center" vertical="center" wrapText="1"/>
      <protection hidden="1"/>
    </xf>
    <xf numFmtId="0" fontId="2" fillId="7" borderId="13" xfId="0" applyFont="1" applyFill="1" applyBorder="1" applyAlignment="1" applyProtection="1">
      <alignment horizontal="center" vertical="center" wrapText="1"/>
      <protection hidden="1"/>
    </xf>
    <xf numFmtId="0" fontId="9" fillId="6" borderId="13" xfId="0" applyFont="1" applyFill="1" applyBorder="1" applyAlignment="1" applyProtection="1">
      <alignment horizontal="center" vertical="center" wrapText="1"/>
      <protection hidden="1"/>
    </xf>
    <xf numFmtId="0" fontId="9" fillId="7" borderId="13" xfId="0" applyFont="1" applyFill="1" applyBorder="1" applyAlignment="1" applyProtection="1">
      <alignment horizontal="center" vertical="center" wrapText="1"/>
      <protection hidden="1"/>
    </xf>
    <xf numFmtId="0" fontId="0" fillId="0" borderId="14" xfId="0" applyBorder="1" applyProtection="1">
      <protection locked="0"/>
    </xf>
    <xf numFmtId="0" fontId="0" fillId="0" borderId="14" xfId="0" applyBorder="1" applyProtection="1">
      <protection hidden="1"/>
    </xf>
    <xf numFmtId="0" fontId="0" fillId="0" borderId="14" xfId="0" quotePrefix="1" applyBorder="1" applyAlignment="1" applyProtection="1">
      <alignment horizontal="center" vertical="center"/>
      <protection hidden="1"/>
    </xf>
    <xf numFmtId="0" fontId="0" fillId="0" borderId="14" xfId="0" quotePrefix="1" applyBorder="1" applyProtection="1">
      <protection hidden="1"/>
    </xf>
    <xf numFmtId="14" fontId="0" fillId="0" borderId="14" xfId="0" applyNumberFormat="1" applyBorder="1" applyProtection="1">
      <protection locked="0"/>
    </xf>
    <xf numFmtId="44" fontId="0" fillId="0" borderId="14" xfId="0" applyNumberFormat="1" applyBorder="1" applyProtection="1">
      <protection hidden="1"/>
    </xf>
    <xf numFmtId="0" fontId="3" fillId="0" borderId="0" xfId="2" applyAlignment="1">
      <alignment wrapText="1"/>
    </xf>
    <xf numFmtId="0" fontId="0" fillId="4" borderId="0" xfId="0" applyFill="1" applyAlignment="1" applyProtection="1">
      <alignment vertical="center"/>
      <protection hidden="1"/>
    </xf>
    <xf numFmtId="0" fontId="3" fillId="0" borderId="0" xfId="2" applyProtection="1">
      <protection hidden="1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4" fillId="2" borderId="2" xfId="0" applyFont="1" applyFill="1" applyBorder="1" applyProtection="1">
      <protection hidden="1"/>
    </xf>
    <xf numFmtId="0" fontId="0" fillId="2" borderId="2" xfId="0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3" borderId="4" xfId="0" applyFill="1" applyBorder="1" applyProtection="1">
      <protection hidden="1"/>
    </xf>
    <xf numFmtId="0" fontId="4" fillId="2" borderId="0" xfId="0" applyFont="1" applyFill="1" applyBorder="1" applyProtection="1">
      <protection hidden="1"/>
    </xf>
    <xf numFmtId="0" fontId="0" fillId="2" borderId="0" xfId="0" applyFill="1" applyBorder="1" applyProtection="1">
      <protection hidden="1"/>
    </xf>
    <xf numFmtId="0" fontId="0" fillId="2" borderId="5" xfId="0" applyFill="1" applyBorder="1" applyProtection="1">
      <protection hidden="1"/>
    </xf>
    <xf numFmtId="0" fontId="5" fillId="2" borderId="0" xfId="0" applyFont="1" applyFill="1" applyBorder="1" applyProtection="1">
      <protection hidden="1"/>
    </xf>
    <xf numFmtId="0" fontId="0" fillId="2" borderId="6" xfId="0" applyFill="1" applyBorder="1" applyProtection="1">
      <protection hidden="1"/>
    </xf>
    <xf numFmtId="164" fontId="7" fillId="2" borderId="0" xfId="0" applyNumberFormat="1" applyFont="1" applyFill="1" applyBorder="1" applyProtection="1">
      <protection hidden="1"/>
    </xf>
    <xf numFmtId="0" fontId="0" fillId="2" borderId="8" xfId="0" applyFill="1" applyBorder="1" applyProtection="1">
      <protection hidden="1"/>
    </xf>
    <xf numFmtId="0" fontId="0" fillId="3" borderId="9" xfId="0" applyFill="1" applyBorder="1" applyProtection="1">
      <protection hidden="1"/>
    </xf>
    <xf numFmtId="0" fontId="0" fillId="2" borderId="10" xfId="0" applyFill="1" applyBorder="1" applyProtection="1">
      <protection hidden="1"/>
    </xf>
    <xf numFmtId="0" fontId="0" fillId="2" borderId="11" xfId="0" applyFill="1" applyBorder="1" applyProtection="1">
      <protection hidden="1"/>
    </xf>
    <xf numFmtId="0" fontId="6" fillId="0" borderId="0" xfId="3" quotePrefix="1" applyProtection="1">
      <protection locked="0"/>
    </xf>
    <xf numFmtId="0" fontId="3" fillId="5" borderId="0" xfId="2" applyFill="1" applyAlignment="1" applyProtection="1">
      <alignment horizontal="center"/>
      <protection hidden="1"/>
    </xf>
    <xf numFmtId="0" fontId="3" fillId="5" borderId="0" xfId="2" applyFill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left" vertical="center"/>
      <protection hidden="1"/>
    </xf>
    <xf numFmtId="44" fontId="0" fillId="0" borderId="14" xfId="1" applyFont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center" vertical="center"/>
      <protection hidden="1"/>
    </xf>
    <xf numFmtId="0" fontId="3" fillId="0" borderId="0" xfId="2" applyAlignment="1" applyProtection="1">
      <alignment horizontal="center" vertical="center"/>
      <protection hidden="1"/>
    </xf>
    <xf numFmtId="0" fontId="12" fillId="7" borderId="13" xfId="0" applyFont="1" applyFill="1" applyBorder="1" applyAlignment="1" applyProtection="1">
      <alignment horizontal="center" vertical="center" wrapText="1"/>
      <protection hidden="1"/>
    </xf>
    <xf numFmtId="0" fontId="0" fillId="4" borderId="0" xfId="0" applyFill="1" applyAlignment="1" applyProtection="1">
      <alignment horizontal="center" vertical="center" wrapText="1"/>
      <protection hidden="1"/>
    </xf>
    <xf numFmtId="0" fontId="3" fillId="5" borderId="0" xfId="2" applyFill="1" applyAlignment="1" applyProtection="1">
      <alignment horizontal="center" vertical="center" wrapText="1"/>
      <protection hidden="1"/>
    </xf>
    <xf numFmtId="0" fontId="11" fillId="0" borderId="0" xfId="2" applyFont="1" applyProtection="1">
      <protection hidden="1"/>
    </xf>
    <xf numFmtId="14" fontId="0" fillId="0" borderId="14" xfId="0" applyNumberFormat="1" applyBorder="1" applyAlignment="1" applyProtection="1">
      <alignment horizontal="center" vertical="center"/>
      <protection hidden="1"/>
    </xf>
    <xf numFmtId="14" fontId="3" fillId="0" borderId="0" xfId="2" applyNumberFormat="1" applyProtection="1">
      <protection hidden="1"/>
    </xf>
    <xf numFmtId="0" fontId="3" fillId="0" borderId="0" xfId="2" applyAlignment="1" applyProtection="1">
      <alignment horizontal="left" vertical="center"/>
      <protection hidden="1"/>
    </xf>
    <xf numFmtId="14" fontId="0" fillId="0" borderId="14" xfId="0" applyNumberFormat="1" applyBorder="1" applyAlignment="1" applyProtection="1">
      <alignment horizontal="center"/>
      <protection locked="0"/>
    </xf>
    <xf numFmtId="0" fontId="3" fillId="0" borderId="0" xfId="2" applyAlignment="1" applyProtection="1">
      <alignment horizontal="center"/>
      <protection hidden="1"/>
    </xf>
    <xf numFmtId="0" fontId="10" fillId="8" borderId="0" xfId="2" applyFont="1" applyFill="1" applyAlignment="1">
      <alignment horizontal="center" vertical="center"/>
    </xf>
    <xf numFmtId="0" fontId="2" fillId="6" borderId="15" xfId="0" applyFont="1" applyFill="1" applyBorder="1" applyAlignment="1" applyProtection="1">
      <alignment horizontal="center" vertical="center" wrapText="1"/>
      <protection hidden="1"/>
    </xf>
    <xf numFmtId="14" fontId="0" fillId="4" borderId="0" xfId="0" applyNumberFormat="1" applyFill="1" applyAlignment="1" applyProtection="1">
      <alignment horizontal="center" vertical="center"/>
      <protection hidden="1"/>
    </xf>
    <xf numFmtId="14" fontId="3" fillId="5" borderId="0" xfId="2" applyNumberFormat="1" applyFill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left" vertical="center"/>
      <protection locked="0"/>
    </xf>
    <xf numFmtId="0" fontId="0" fillId="0" borderId="14" xfId="0" quotePrefix="1" applyBorder="1" applyAlignment="1" applyProtection="1">
      <alignment horizontal="left" vertical="center"/>
      <protection locked="0"/>
    </xf>
    <xf numFmtId="0" fontId="15" fillId="4" borderId="0" xfId="0" applyFont="1" applyFill="1" applyProtection="1">
      <protection hidden="1"/>
    </xf>
    <xf numFmtId="0" fontId="16" fillId="5" borderId="0" xfId="2" applyFont="1" applyFill="1" applyProtection="1">
      <protection hidden="1"/>
    </xf>
    <xf numFmtId="0" fontId="16" fillId="0" borderId="0" xfId="2" applyFont="1" applyProtection="1">
      <protection hidden="1"/>
    </xf>
    <xf numFmtId="14" fontId="0" fillId="4" borderId="0" xfId="0" applyNumberFormat="1" applyFont="1" applyFill="1" applyAlignment="1" applyProtection="1">
      <alignment horizontal="center" vertical="center"/>
      <protection hidden="1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14" fontId="3" fillId="0" borderId="0" xfId="2" applyNumberFormat="1" applyFont="1" applyAlignment="1">
      <alignment horizontal="center" vertical="center"/>
    </xf>
    <xf numFmtId="0" fontId="0" fillId="4" borderId="0" xfId="0" applyFill="1" applyAlignment="1" applyProtection="1">
      <alignment horizontal="center"/>
      <protection hidden="1"/>
    </xf>
    <xf numFmtId="0" fontId="0" fillId="0" borderId="14" xfId="0" quotePrefix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2" fillId="7" borderId="13" xfId="0" applyFont="1" applyFill="1" applyBorder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center" vertical="center"/>
      <protection locked="0"/>
    </xf>
    <xf numFmtId="0" fontId="15" fillId="4" borderId="0" xfId="0" applyFont="1" applyFill="1" applyAlignment="1" applyProtection="1">
      <alignment horizontal="left"/>
      <protection hidden="1"/>
    </xf>
    <xf numFmtId="0" fontId="0" fillId="4" borderId="0" xfId="0" applyFill="1" applyAlignment="1" applyProtection="1">
      <alignment horizontal="left" vertical="center"/>
      <protection hidden="1"/>
    </xf>
    <xf numFmtId="0" fontId="0" fillId="0" borderId="14" xfId="0" applyBorder="1" applyAlignment="1" applyProtection="1">
      <alignment horizontal="left"/>
      <protection locked="0"/>
    </xf>
    <xf numFmtId="0" fontId="16" fillId="0" borderId="0" xfId="2" applyFont="1" applyAlignment="1" applyProtection="1">
      <alignment horizontal="left"/>
      <protection hidden="1"/>
    </xf>
    <xf numFmtId="0" fontId="17" fillId="0" borderId="0" xfId="0" applyFont="1" applyAlignment="1">
      <alignment horizontal="center" vertical="center"/>
    </xf>
    <xf numFmtId="0" fontId="15" fillId="4" borderId="0" xfId="0" applyFont="1" applyFill="1" applyAlignment="1" applyProtection="1">
      <alignment horizontal="center" vertical="center"/>
      <protection hidden="1"/>
    </xf>
    <xf numFmtId="0" fontId="3" fillId="0" borderId="0" xfId="2" applyAlignment="1">
      <alignment horizontal="center"/>
    </xf>
    <xf numFmtId="0" fontId="18" fillId="4" borderId="0" xfId="0" applyFont="1" applyFill="1" applyAlignment="1" applyProtection="1">
      <alignment horizontal="left"/>
      <protection hidden="1"/>
    </xf>
    <xf numFmtId="3" fontId="3" fillId="0" borderId="0" xfId="2" applyNumberFormat="1" applyFont="1" applyAlignment="1">
      <alignment horizontal="center" vertical="center"/>
    </xf>
    <xf numFmtId="1" fontId="10" fillId="8" borderId="0" xfId="2" applyNumberFormat="1" applyFont="1" applyFill="1" applyAlignment="1">
      <alignment horizontal="center" vertical="center"/>
    </xf>
    <xf numFmtId="1" fontId="0" fillId="0" borderId="0" xfId="0" applyNumberFormat="1"/>
    <xf numFmtId="0" fontId="19" fillId="4" borderId="0" xfId="0" applyFont="1" applyFill="1" applyProtection="1">
      <protection hidden="1"/>
    </xf>
    <xf numFmtId="0" fontId="2" fillId="6" borderId="13" xfId="0" applyFont="1" applyFill="1" applyBorder="1" applyAlignment="1" applyProtection="1">
      <alignment horizontal="center" vertical="center"/>
      <protection hidden="1"/>
    </xf>
    <xf numFmtId="0" fontId="0" fillId="0" borderId="14" xfId="0" quotePrefix="1" applyBorder="1" applyProtection="1">
      <protection locked="0"/>
    </xf>
  </cellXfs>
  <cellStyles count="4">
    <cellStyle name="Currency" xfId="1" builtinId="4"/>
    <cellStyle name="Hyperlink" xfId="3" builtinId="8"/>
    <cellStyle name="Normal" xfId="0" builtinId="0"/>
    <cellStyle name="Normal 2" xfId="2"/>
  </cellStyles>
  <dxfs count="5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07/relationships/hdphoto" Target="../media/hdphoto1.wdp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CONFIGURA&#199;&#213;E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CONFIGURA&#199;&#213;E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16384</xdr:col>
      <xdr:colOff>0</xdr:colOff>
      <xdr:row>30</xdr:row>
      <xdr:rowOff>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/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163050" cy="4857750"/>
        </a:xfrm>
        <a:prstGeom prst="rect">
          <a:avLst/>
        </a:prstGeom>
        <a:effectLst>
          <a:outerShdw dist="50800" sx="1000" sy="1000" algn="ctr" rotWithShape="0">
            <a:srgbClr val="000000"/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20</xdr:row>
          <xdr:rowOff>66675</xdr:rowOff>
        </xdr:from>
        <xdr:to>
          <xdr:col>3</xdr:col>
          <xdr:colOff>180975</xdr:colOff>
          <xdr:row>23</xdr:row>
          <xdr:rowOff>85725</xdr:rowOff>
        </xdr:to>
        <xdr:sp macro="" textlink="">
          <xdr:nvSpPr>
            <xdr:cNvPr id="5121" name="btn_carga_costplan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23</xdr:row>
          <xdr:rowOff>133350</xdr:rowOff>
        </xdr:from>
        <xdr:to>
          <xdr:col>3</xdr:col>
          <xdr:colOff>180975</xdr:colOff>
          <xdr:row>26</xdr:row>
          <xdr:rowOff>152400</xdr:rowOff>
        </xdr:to>
        <xdr:sp macro="" textlink="">
          <xdr:nvSpPr>
            <xdr:cNvPr id="5122" name="btn_carga_transactio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229067</xdr:colOff>
      <xdr:row>0</xdr:row>
      <xdr:rowOff>0</xdr:rowOff>
    </xdr:from>
    <xdr:to>
      <xdr:col>16384</xdr:col>
      <xdr:colOff>0</xdr:colOff>
      <xdr:row>2</xdr:row>
      <xdr:rowOff>142875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667" y="0"/>
          <a:ext cx="2228383" cy="4667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9521</xdr:colOff>
      <xdr:row>0</xdr:row>
      <xdr:rowOff>176832</xdr:rowOff>
    </xdr:from>
    <xdr:to>
      <xdr:col>5</xdr:col>
      <xdr:colOff>152399</xdr:colOff>
      <xdr:row>3</xdr:row>
      <xdr:rowOff>11180</xdr:rowOff>
    </xdr:to>
    <xdr:grpSp>
      <xdr:nvGrpSpPr>
        <xdr:cNvPr id="2" name="Group 32"/>
        <xdr:cNvGrpSpPr/>
      </xdr:nvGrpSpPr>
      <xdr:grpSpPr>
        <a:xfrm rot="10800000" flipV="1">
          <a:off x="619121" y="176832"/>
          <a:ext cx="5934078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3" name="Freeform 2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Rectangle 3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Servidor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Proxy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19046</xdr:colOff>
      <xdr:row>10</xdr:row>
      <xdr:rowOff>24432</xdr:rowOff>
    </xdr:from>
    <xdr:to>
      <xdr:col>5</xdr:col>
      <xdr:colOff>142875</xdr:colOff>
      <xdr:row>12</xdr:row>
      <xdr:rowOff>144530</xdr:rowOff>
    </xdr:to>
    <xdr:grpSp>
      <xdr:nvGrpSpPr>
        <xdr:cNvPr id="5" name="Group 32"/>
        <xdr:cNvGrpSpPr/>
      </xdr:nvGrpSpPr>
      <xdr:grpSpPr>
        <a:xfrm rot="10800000" flipV="1">
          <a:off x="628646" y="2024682"/>
          <a:ext cx="5915029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6" name="Freeform 5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7" name="Rectangle 6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Ambiente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CA PPM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3</xdr:col>
      <xdr:colOff>504825</xdr:colOff>
      <xdr:row>10</xdr:row>
      <xdr:rowOff>123825</xdr:rowOff>
    </xdr:from>
    <xdr:to>
      <xdr:col>4</xdr:col>
      <xdr:colOff>514350</xdr:colOff>
      <xdr:row>12</xdr:row>
      <xdr:rowOff>49281</xdr:rowOff>
    </xdr:to>
    <xdr:sp macro="[0]!TestConection" textlink="">
      <xdr:nvSpPr>
        <xdr:cNvPr id="8" name="Rounded Rectangle 7"/>
        <xdr:cNvSpPr>
          <a:spLocks noChangeAspect="1"/>
        </xdr:cNvSpPr>
      </xdr:nvSpPr>
      <xdr:spPr>
        <a:xfrm>
          <a:off x="3409950" y="2124075"/>
          <a:ext cx="1962150" cy="30645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1200" b="1">
              <a:solidFill>
                <a:srgbClr val="002776"/>
              </a:solidFill>
              <a:latin typeface="+mn-lt"/>
              <a:ea typeface="+mn-ea"/>
              <a:cs typeface="+mn-cs"/>
            </a:rPr>
            <a:t>Testar</a:t>
          </a:r>
          <a:r>
            <a:rPr lang="pt-BR" sz="1200" b="1" baseline="0">
              <a:solidFill>
                <a:srgbClr val="002776"/>
              </a:solidFill>
              <a:latin typeface="+mn-lt"/>
              <a:ea typeface="+mn-ea"/>
              <a:cs typeface="+mn-cs"/>
            </a:rPr>
            <a:t> Conexão</a:t>
          </a:r>
          <a:endParaRPr lang="pt-BR" sz="1200" b="1">
            <a:solidFill>
              <a:srgbClr val="00277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609596</xdr:colOff>
      <xdr:row>24</xdr:row>
      <xdr:rowOff>157782</xdr:rowOff>
    </xdr:from>
    <xdr:to>
      <xdr:col>7</xdr:col>
      <xdr:colOff>0</xdr:colOff>
      <xdr:row>27</xdr:row>
      <xdr:rowOff>87380</xdr:rowOff>
    </xdr:to>
    <xdr:grpSp>
      <xdr:nvGrpSpPr>
        <xdr:cNvPr id="9" name="Group 32"/>
        <xdr:cNvGrpSpPr/>
      </xdr:nvGrpSpPr>
      <xdr:grpSpPr>
        <a:xfrm rot="10800000" flipV="1">
          <a:off x="609596" y="4825032"/>
          <a:ext cx="7505704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0" name="Freeform 9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1" name="Rectangle 10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Configurações de Queries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11206</xdr:colOff>
      <xdr:row>7</xdr:row>
      <xdr:rowOff>67234</xdr:rowOff>
    </xdr:to>
    <xdr:sp macro="" textlink="">
      <xdr:nvSpPr>
        <xdr:cNvPr id="2" name="Rounded Rectangle 1"/>
        <xdr:cNvSpPr/>
      </xdr:nvSpPr>
      <xdr:spPr>
        <a:xfrm>
          <a:off x="0" y="0"/>
          <a:ext cx="13659971" cy="1602440"/>
        </a:xfrm>
        <a:prstGeom prst="roundRect">
          <a:avLst/>
        </a:prstGeom>
        <a:ln w="12700">
          <a:solidFill>
            <a:srgbClr val="92D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  <a:p>
          <a:pPr algn="l"/>
          <a:r>
            <a:rPr lang="pt-BR" sz="1100"/>
            <a:t>	1 - Clicar no botão "Atualizar Planilha" para sincronizar todas as informações dos investimentos do ambiente;</a:t>
          </a:r>
        </a:p>
        <a:p>
          <a:pPr algn="l"/>
          <a:r>
            <a:rPr lang="pt-BR" sz="1100"/>
            <a:t>	2 - Preencher os dados que serão submetidos ao CA PPM obedecendo às regras descritas como comentário nos títulos das colunas;</a:t>
          </a:r>
        </a:p>
        <a:p>
          <a:pPr algn="l"/>
          <a:r>
            <a:rPr lang="pt-BR" sz="1100"/>
            <a:t>	3 - Clicar</a:t>
          </a:r>
          <a:r>
            <a:rPr lang="pt-BR" sz="1100" baseline="0"/>
            <a:t> no botão 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"Enviar Dados"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que as </a:t>
          </a:r>
          <a:r>
            <a:rPr lang="pt-BR" sz="1100"/>
            <a:t>as informações referente</a:t>
          </a:r>
          <a:r>
            <a:rPr lang="pt-BR" sz="1100" baseline="0"/>
            <a:t> à </a:t>
          </a:r>
          <a:r>
            <a:rPr lang="pt-BR" sz="1100"/>
            <a:t>carga de custos planejados dos investimentos sejam enviados ao CA PPM;	</a:t>
          </a:r>
        </a:p>
        <a:p>
          <a:pPr algn="l"/>
          <a:r>
            <a:rPr lang="pt-BR" sz="1100"/>
            <a:t>	4 - Para limpar a planilha, clicar em "Limpar Planilha".</a:t>
          </a:r>
        </a:p>
      </xdr:txBody>
    </xdr:sp>
    <xdr:clientData/>
  </xdr:twoCellAnchor>
  <xdr:twoCellAnchor>
    <xdr:from>
      <xdr:col>0</xdr:col>
      <xdr:colOff>123825</xdr:colOff>
      <xdr:row>0</xdr:row>
      <xdr:rowOff>123825</xdr:rowOff>
    </xdr:from>
    <xdr:to>
      <xdr:col>0</xdr:col>
      <xdr:colOff>581025</xdr:colOff>
      <xdr:row>3</xdr:row>
      <xdr:rowOff>9525</xdr:rowOff>
    </xdr:to>
    <xdr:grpSp>
      <xdr:nvGrpSpPr>
        <xdr:cNvPr id="3" name="Group 35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123825" y="123825"/>
          <a:ext cx="457200" cy="558053"/>
          <a:chOff x="49697" y="16565"/>
          <a:chExt cx="458403" cy="460277"/>
        </a:xfrm>
      </xdr:grpSpPr>
      <xdr:sp macro="" textlink="">
        <xdr:nvSpPr>
          <xdr:cNvPr id="4" name="Oval 3"/>
          <xdr:cNvSpPr>
            <a:spLocks noChangeAspect="1"/>
          </xdr:cNvSpPr>
        </xdr:nvSpPr>
        <xdr:spPr>
          <a:xfrm>
            <a:off x="49697" y="16565"/>
            <a:ext cx="458403" cy="460277"/>
          </a:xfrm>
          <a:prstGeom prst="ellipse">
            <a:avLst/>
          </a:prstGeom>
          <a:solidFill>
            <a:srgbClr val="002776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1400">
              <a:solidFill>
                <a:schemeClr val="tx2"/>
              </a:solidFill>
            </a:endParaRPr>
          </a:p>
        </xdr:txBody>
      </xdr:sp>
      <xdr:pic>
        <xdr:nvPicPr>
          <xdr:cNvPr id="5" name="Picture 37" descr="C:\Users\jsauvageau\Desktop\Untitled-2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grayscl/>
            <a:biLevel thresh="5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2733" y="95569"/>
            <a:ext cx="301186" cy="2583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0</xdr:col>
      <xdr:colOff>582706</xdr:colOff>
      <xdr:row>0</xdr:row>
      <xdr:rowOff>99732</xdr:rowOff>
    </xdr:from>
    <xdr:to>
      <xdr:col>18</xdr:col>
      <xdr:colOff>862853</xdr:colOff>
      <xdr:row>2</xdr:row>
      <xdr:rowOff>80682</xdr:rowOff>
    </xdr:to>
    <xdr:sp macro="" textlink="">
      <xdr:nvSpPr>
        <xdr:cNvPr id="6" name="Rectangle 5"/>
        <xdr:cNvSpPr/>
      </xdr:nvSpPr>
      <xdr:spPr>
        <a:xfrm>
          <a:off x="582706" y="99732"/>
          <a:ext cx="8718176" cy="36195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lang="pt-BR" sz="1200" b="1">
              <a:solidFill>
                <a:srgbClr val="002776"/>
              </a:solidFill>
              <a:latin typeface="Arial" pitchFamily="34" charset="0"/>
              <a:cs typeface="Arial" pitchFamily="34" charset="0"/>
            </a:rPr>
            <a:t>Carga de Custos Projetados dos Investimentos - Informações:</a:t>
          </a:r>
          <a:endParaRPr lang="pt-BR" sz="1800" b="1">
            <a:solidFill>
              <a:srgbClr val="002776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1571625</xdr:colOff>
          <xdr:row>3</xdr:row>
          <xdr:rowOff>76200</xdr:rowOff>
        </xdr:from>
        <xdr:to>
          <xdr:col>18</xdr:col>
          <xdr:colOff>1438275</xdr:colOff>
          <xdr:row>4</xdr:row>
          <xdr:rowOff>190500</xdr:rowOff>
        </xdr:to>
        <xdr:sp macro="" textlink="">
          <xdr:nvSpPr>
            <xdr:cNvPr id="2050" name="btn_EnviarDados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1571625</xdr:colOff>
          <xdr:row>1</xdr:row>
          <xdr:rowOff>95250</xdr:rowOff>
        </xdr:from>
        <xdr:to>
          <xdr:col>18</xdr:col>
          <xdr:colOff>1428750</xdr:colOff>
          <xdr:row>2</xdr:row>
          <xdr:rowOff>209550</xdr:rowOff>
        </xdr:to>
        <xdr:sp macro="" textlink="">
          <xdr:nvSpPr>
            <xdr:cNvPr id="2049" name="btn_AtualizarPlanilha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1571625</xdr:colOff>
          <xdr:row>1</xdr:row>
          <xdr:rowOff>95250</xdr:rowOff>
        </xdr:from>
        <xdr:to>
          <xdr:col>19</xdr:col>
          <xdr:colOff>1438275</xdr:colOff>
          <xdr:row>3</xdr:row>
          <xdr:rowOff>0</xdr:rowOff>
        </xdr:to>
        <xdr:sp macro="" textlink="">
          <xdr:nvSpPr>
            <xdr:cNvPr id="2052" name="btn_CleanSheet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1571625</xdr:colOff>
          <xdr:row>3</xdr:row>
          <xdr:rowOff>66675</xdr:rowOff>
        </xdr:from>
        <xdr:to>
          <xdr:col>19</xdr:col>
          <xdr:colOff>1428750</xdr:colOff>
          <xdr:row>4</xdr:row>
          <xdr:rowOff>190500</xdr:rowOff>
        </xdr:to>
        <xdr:sp macro="" textlink="">
          <xdr:nvSpPr>
            <xdr:cNvPr id="2057" name="btn_menu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0</xdr:colOff>
      <xdr:row>8</xdr:row>
      <xdr:rowOff>22411</xdr:rowOff>
    </xdr:to>
    <xdr:sp macro="" textlink="">
      <xdr:nvSpPr>
        <xdr:cNvPr id="13" name="Rounded Rectangle 12"/>
        <xdr:cNvSpPr/>
      </xdr:nvSpPr>
      <xdr:spPr>
        <a:xfrm>
          <a:off x="0" y="0"/>
          <a:ext cx="13839265" cy="1636058"/>
        </a:xfrm>
        <a:prstGeom prst="roundRect">
          <a:avLst/>
        </a:prstGeom>
        <a:ln w="12700">
          <a:solidFill>
            <a:srgbClr val="92D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  <a:p>
          <a:pPr algn="l"/>
          <a:endParaRPr lang="pt-BR" sz="1100"/>
        </a:p>
        <a:p>
          <a:pPr algn="l"/>
          <a:r>
            <a:rPr lang="pt-BR" sz="1100"/>
            <a:t>	1 - Clicar no botão "Atualizar Planilha" para sincronizar todas as informações de investimentos do ambiente;</a:t>
          </a:r>
        </a:p>
        <a:p>
          <a:pPr algn="l"/>
          <a:r>
            <a:rPr lang="pt-BR" sz="1100"/>
            <a:t>	2 - Clicar no botão "Atualizar Tarefas" para sincronizar</a:t>
          </a:r>
          <a:r>
            <a:rPr lang="pt-BR" sz="1100" baseline="0"/>
            <a:t> as tarefas dos investimentos informados na coluna  A;</a:t>
          </a:r>
          <a:endParaRPr lang="pt-BR" sz="1100"/>
        </a:p>
        <a:p>
          <a:pPr algn="l"/>
          <a:r>
            <a:rPr lang="pt-BR" sz="1100"/>
            <a:t>	3 - Preencher os dados que serão submetidos ao CA PPM obedecendo às regras descritas como comentário nos títulos das colunas;</a:t>
          </a:r>
        </a:p>
        <a:p>
          <a:pPr algn="l"/>
          <a:r>
            <a:rPr lang="pt-BR" sz="1100"/>
            <a:t>	4 - Clicar no botão 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"Enviar Dados" para e</a:t>
          </a:r>
          <a:r>
            <a:rPr lang="pt-BR" sz="1100"/>
            <a:t>nviar as informações de</a:t>
          </a:r>
          <a:r>
            <a:rPr lang="pt-BR" sz="1100" baseline="0"/>
            <a:t> </a:t>
          </a:r>
          <a:r>
            <a:rPr lang="pt-BR" sz="1100"/>
            <a:t>custos realizados dos investimentos para</a:t>
          </a:r>
          <a:r>
            <a:rPr lang="pt-BR" sz="1100" baseline="0"/>
            <a:t> o C</a:t>
          </a:r>
          <a:r>
            <a:rPr lang="pt-BR" sz="1100"/>
            <a:t>A PPM;</a:t>
          </a:r>
        </a:p>
        <a:p>
          <a:pPr algn="l"/>
          <a:r>
            <a:rPr lang="pt-BR" sz="1100"/>
            <a:t>	5 - Para limpar a planilha, clicar em "Limpar Planilha".</a:t>
          </a:r>
        </a:p>
      </xdr:txBody>
    </xdr:sp>
    <xdr:clientData/>
  </xdr:twoCellAnchor>
  <xdr:twoCellAnchor>
    <xdr:from>
      <xdr:col>0</xdr:col>
      <xdr:colOff>123825</xdr:colOff>
      <xdr:row>0</xdr:row>
      <xdr:rowOff>123825</xdr:rowOff>
    </xdr:from>
    <xdr:to>
      <xdr:col>0</xdr:col>
      <xdr:colOff>581025</xdr:colOff>
      <xdr:row>3</xdr:row>
      <xdr:rowOff>9525</xdr:rowOff>
    </xdr:to>
    <xdr:grpSp>
      <xdr:nvGrpSpPr>
        <xdr:cNvPr id="2" name="Group 35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123825" y="123825"/>
          <a:ext cx="457200" cy="457200"/>
          <a:chOff x="49697" y="16565"/>
          <a:chExt cx="458403" cy="460277"/>
        </a:xfrm>
      </xdr:grpSpPr>
      <xdr:sp macro="" textlink="">
        <xdr:nvSpPr>
          <xdr:cNvPr id="3" name="Oval 2"/>
          <xdr:cNvSpPr>
            <a:spLocks noChangeAspect="1"/>
          </xdr:cNvSpPr>
        </xdr:nvSpPr>
        <xdr:spPr>
          <a:xfrm>
            <a:off x="49697" y="16565"/>
            <a:ext cx="458403" cy="460277"/>
          </a:xfrm>
          <a:prstGeom prst="ellipse">
            <a:avLst/>
          </a:prstGeom>
          <a:solidFill>
            <a:srgbClr val="002776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1400">
              <a:solidFill>
                <a:schemeClr val="tx2"/>
              </a:solidFill>
            </a:endParaRPr>
          </a:p>
        </xdr:txBody>
      </xdr:sp>
      <xdr:pic>
        <xdr:nvPicPr>
          <xdr:cNvPr id="4" name="Picture 37" descr="C:\Users\jsauvageau\Desktop\Untitled-2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grayscl/>
            <a:biLevel thresh="5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2733" y="95569"/>
            <a:ext cx="301186" cy="2583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0</xdr:col>
      <xdr:colOff>0</xdr:colOff>
      <xdr:row>0</xdr:row>
      <xdr:rowOff>122465</xdr:rowOff>
    </xdr:from>
    <xdr:to>
      <xdr:col>9</xdr:col>
      <xdr:colOff>1255059</xdr:colOff>
      <xdr:row>2</xdr:row>
      <xdr:rowOff>103415</xdr:rowOff>
    </xdr:to>
    <xdr:sp macro="" textlink="">
      <xdr:nvSpPr>
        <xdr:cNvPr id="12" name="Rectangle 11"/>
        <xdr:cNvSpPr/>
      </xdr:nvSpPr>
      <xdr:spPr>
        <a:xfrm>
          <a:off x="0" y="122465"/>
          <a:ext cx="895350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lang="pt-BR" sz="1200" b="1">
              <a:solidFill>
                <a:srgbClr val="002776"/>
              </a:solidFill>
              <a:latin typeface="Arial" pitchFamily="34" charset="0"/>
              <a:cs typeface="Arial" pitchFamily="34" charset="0"/>
            </a:rPr>
            <a:t>	Carga de Custos Realizados de Recursos Internos  -  I</a:t>
          </a:r>
          <a:r>
            <a:rPr lang="pt-BR" sz="1200" b="1">
              <a:solidFill>
                <a:srgbClr val="002776"/>
              </a:solidFill>
              <a:latin typeface="Arial" pitchFamily="34" charset="0"/>
              <a:ea typeface="+mn-ea"/>
              <a:cs typeface="Arial" pitchFamily="34" charset="0"/>
            </a:rPr>
            <a:t>nformações: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1428750</xdr:colOff>
          <xdr:row>1</xdr:row>
          <xdr:rowOff>95250</xdr:rowOff>
        </xdr:from>
        <xdr:to>
          <xdr:col>22</xdr:col>
          <xdr:colOff>1266825</xdr:colOff>
          <xdr:row>3</xdr:row>
          <xdr:rowOff>47625</xdr:rowOff>
        </xdr:to>
        <xdr:sp macro="" textlink="">
          <xdr:nvSpPr>
            <xdr:cNvPr id="8201" name="btn_atualizar_planilha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1428750</xdr:colOff>
          <xdr:row>3</xdr:row>
          <xdr:rowOff>123825</xdr:rowOff>
        </xdr:from>
        <xdr:to>
          <xdr:col>22</xdr:col>
          <xdr:colOff>1285875</xdr:colOff>
          <xdr:row>5</xdr:row>
          <xdr:rowOff>47625</xdr:rowOff>
        </xdr:to>
        <xdr:sp macro="" textlink="">
          <xdr:nvSpPr>
            <xdr:cNvPr id="8202" name="btn_atualizar_tarefas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1419225</xdr:colOff>
          <xdr:row>1</xdr:row>
          <xdr:rowOff>95250</xdr:rowOff>
        </xdr:from>
        <xdr:to>
          <xdr:col>23</xdr:col>
          <xdr:colOff>1133475</xdr:colOff>
          <xdr:row>3</xdr:row>
          <xdr:rowOff>57150</xdr:rowOff>
        </xdr:to>
        <xdr:sp macro="" textlink="">
          <xdr:nvSpPr>
            <xdr:cNvPr id="8203" name="btn_limpar_dados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1428750</xdr:colOff>
          <xdr:row>3</xdr:row>
          <xdr:rowOff>123825</xdr:rowOff>
        </xdr:from>
        <xdr:to>
          <xdr:col>23</xdr:col>
          <xdr:colOff>1133475</xdr:colOff>
          <xdr:row>5</xdr:row>
          <xdr:rowOff>57150</xdr:rowOff>
        </xdr:to>
        <xdr:sp macro="" textlink="">
          <xdr:nvSpPr>
            <xdr:cNvPr id="8204" name="btn_menu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1428750</xdr:colOff>
          <xdr:row>5</xdr:row>
          <xdr:rowOff>114300</xdr:rowOff>
        </xdr:from>
        <xdr:to>
          <xdr:col>22</xdr:col>
          <xdr:colOff>1276350</xdr:colOff>
          <xdr:row>6</xdr:row>
          <xdr:rowOff>257175</xdr:rowOff>
        </xdr:to>
        <xdr:sp macro="" textlink="">
          <xdr:nvSpPr>
            <xdr:cNvPr id="8210" name="btn_enviar_dados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LOITTE/Projetos/RUMO%20ALL/ALL%20-%20Planilha%20de%20Carga%20de%20Dados%20Financeiros%20-%20Projetos%20-%20vf%20%20(DTT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2-CUSTOS REALIZADOS"/>
      <sheetName val="ENTRADA DE DADOS"/>
      <sheetName val="2- DADOS DE CARGA REAL"/>
      <sheetName val="APOIO"/>
      <sheetName val="DEBUG"/>
      <sheetName val="ALL - Planilha de Carga de Dado"/>
    </sheetNames>
    <sheetDataSet>
      <sheetData sheetId="0" refreshError="1"/>
      <sheetData sheetId="1" refreshError="1"/>
      <sheetData sheetId="2">
        <row r="8">
          <cell r="C8">
            <v>619</v>
          </cell>
        </row>
      </sheetData>
      <sheetData sheetId="3" refreshError="1"/>
      <sheetData sheetId="4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P1:XFC31"/>
  <sheetViews>
    <sheetView showGridLines="0" zoomScale="90" zoomScaleNormal="90" workbookViewId="0"/>
  </sheetViews>
  <sheetFormatPr defaultColWidth="0" defaultRowHeight="12.75" customHeight="1" zeroHeight="1" x14ac:dyDescent="0.2"/>
  <cols>
    <col min="1" max="15" width="9.140625" style="1" customWidth="1"/>
    <col min="16" max="16" width="9.140625" style="1" hidden="1" customWidth="1"/>
    <col min="17" max="16383" width="9.140625" style="1" hidden="1"/>
    <col min="16384" max="16384" width="0.28515625" style="1" customWidth="1"/>
  </cols>
  <sheetData>
    <row r="1" x14ac:dyDescent="0.2"/>
    <row r="2" x14ac:dyDescent="0.2"/>
    <row r="3" x14ac:dyDescent="0.2"/>
    <row r="4" x14ac:dyDescent="0.2"/>
    <row r="5" x14ac:dyDescent="0.2"/>
    <row r="6" x14ac:dyDescent="0.2"/>
    <row r="7" x14ac:dyDescent="0.2"/>
    <row r="8" x14ac:dyDescent="0.2"/>
    <row r="9" x14ac:dyDescent="0.2"/>
    <row r="10" x14ac:dyDescent="0.2"/>
    <row r="11" x14ac:dyDescent="0.2"/>
    <row r="12" x14ac:dyDescent="0.2"/>
    <row r="13" x14ac:dyDescent="0.2"/>
    <row r="14" x14ac:dyDescent="0.2"/>
    <row r="15" x14ac:dyDescent="0.2"/>
    <row r="16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hidden="1" x14ac:dyDescent="0.2"/>
  </sheetData>
  <sheetProtection password="CCF0" sheet="1" objects="1" scenarios="1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btn_carga_costplan">
          <controlPr defaultSize="0" autoLine="0" r:id="rId5">
            <anchor>
              <from>
                <xdr:col>0</xdr:col>
                <xdr:colOff>95250</xdr:colOff>
                <xdr:row>20</xdr:row>
                <xdr:rowOff>66675</xdr:rowOff>
              </from>
              <to>
                <xdr:col>3</xdr:col>
                <xdr:colOff>180975</xdr:colOff>
                <xdr:row>23</xdr:row>
                <xdr:rowOff>85725</xdr:rowOff>
              </to>
            </anchor>
          </controlPr>
        </control>
      </mc:Choice>
      <mc:Fallback>
        <control shapeId="5121" r:id="rId4" name="btn_carga_costplan"/>
      </mc:Fallback>
    </mc:AlternateContent>
    <mc:AlternateContent xmlns:mc="http://schemas.openxmlformats.org/markup-compatibility/2006">
      <mc:Choice Requires="x14">
        <control shapeId="5122" r:id="rId6" name="btn_carga_transaction">
          <controlPr defaultSize="0" autoLine="0" r:id="rId7">
            <anchor>
              <from>
                <xdr:col>0</xdr:col>
                <xdr:colOff>95250</xdr:colOff>
                <xdr:row>23</xdr:row>
                <xdr:rowOff>133350</xdr:rowOff>
              </from>
              <to>
                <xdr:col>3</xdr:col>
                <xdr:colOff>180975</xdr:colOff>
                <xdr:row>26</xdr:row>
                <xdr:rowOff>152400</xdr:rowOff>
              </to>
            </anchor>
          </controlPr>
        </control>
      </mc:Choice>
      <mc:Fallback>
        <control shapeId="5122" r:id="rId6" name="btn_carga_transa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2060"/>
  </sheetPr>
  <dimension ref="A1:J44"/>
  <sheetViews>
    <sheetView tabSelected="1" workbookViewId="0"/>
  </sheetViews>
  <sheetFormatPr defaultColWidth="0" defaultRowHeight="15" customHeight="1" x14ac:dyDescent="0.25"/>
  <cols>
    <col min="1" max="1" width="9.140625" customWidth="1"/>
    <col min="2" max="2" width="6.7109375" customWidth="1"/>
    <col min="3" max="3" width="27.7109375" bestFit="1" customWidth="1"/>
    <col min="4" max="4" width="39.5703125" customWidth="1"/>
    <col min="5" max="6" width="12.85546875" bestFit="1" customWidth="1"/>
    <col min="7" max="7" width="12.85546875" customWidth="1"/>
    <col min="8" max="8" width="17.42578125" hidden="1" customWidth="1"/>
    <col min="9" max="9" width="7.28515625" hidden="1" customWidth="1"/>
    <col min="10" max="10" width="0" hidden="1" customWidth="1"/>
    <col min="11" max="16384" width="9.140625" hidden="1"/>
  </cols>
  <sheetData>
    <row r="1" spans="1:10" x14ac:dyDescent="0.25">
      <c r="A1" s="40"/>
      <c r="B1" s="40"/>
      <c r="C1" s="40"/>
      <c r="D1" s="40"/>
      <c r="E1" s="40"/>
      <c r="F1" s="40"/>
      <c r="G1" s="40"/>
      <c r="H1" s="2"/>
      <c r="I1" s="2"/>
      <c r="J1" s="2"/>
    </row>
    <row r="2" spans="1:10" ht="18.75" x14ac:dyDescent="0.3">
      <c r="A2" s="40"/>
      <c r="B2" s="41"/>
      <c r="C2" s="42"/>
      <c r="D2" s="43"/>
      <c r="E2" s="44"/>
      <c r="F2" s="40"/>
      <c r="G2" s="40"/>
      <c r="H2" s="2"/>
      <c r="I2" s="2"/>
      <c r="J2" s="2"/>
    </row>
    <row r="3" spans="1:10" ht="18.75" x14ac:dyDescent="0.3">
      <c r="A3" s="40"/>
      <c r="B3" s="45"/>
      <c r="C3" s="46"/>
      <c r="D3" s="47"/>
      <c r="E3" s="48"/>
      <c r="F3" s="40"/>
      <c r="G3" s="40"/>
      <c r="H3" s="2"/>
      <c r="I3" s="2"/>
      <c r="J3" s="2"/>
    </row>
    <row r="4" spans="1:10" x14ac:dyDescent="0.25">
      <c r="A4" s="40"/>
      <c r="B4" s="45"/>
      <c r="C4" s="49"/>
      <c r="D4" s="47"/>
      <c r="E4" s="48"/>
      <c r="F4" s="40"/>
      <c r="G4" s="40"/>
      <c r="H4" s="2"/>
      <c r="I4" s="2"/>
      <c r="J4" s="2"/>
    </row>
    <row r="5" spans="1:10" x14ac:dyDescent="0.25">
      <c r="A5" s="40"/>
      <c r="B5" s="45"/>
      <c r="C5" s="50" t="s">
        <v>0</v>
      </c>
      <c r="D5" s="7" t="s">
        <v>9</v>
      </c>
      <c r="E5" s="48"/>
      <c r="F5" s="40"/>
      <c r="G5" s="40"/>
      <c r="H5" s="2"/>
      <c r="I5" s="2"/>
      <c r="J5" s="2"/>
    </row>
    <row r="6" spans="1:10" x14ac:dyDescent="0.25">
      <c r="A6" s="40"/>
      <c r="B6" s="45"/>
      <c r="C6" s="50" t="s">
        <v>1</v>
      </c>
      <c r="D6" s="8"/>
      <c r="E6" s="48"/>
      <c r="F6" s="40"/>
      <c r="G6" s="40"/>
      <c r="H6" s="2"/>
      <c r="I6" s="2"/>
      <c r="J6" s="2"/>
    </row>
    <row r="7" spans="1:10" x14ac:dyDescent="0.25">
      <c r="A7" s="40"/>
      <c r="B7" s="45"/>
      <c r="C7" s="50" t="s">
        <v>2</v>
      </c>
      <c r="D7" s="7"/>
      <c r="E7" s="48"/>
      <c r="F7" s="40"/>
      <c r="G7" s="40"/>
      <c r="H7" s="2"/>
      <c r="I7" s="2"/>
      <c r="J7" s="2"/>
    </row>
    <row r="8" spans="1:10" x14ac:dyDescent="0.25">
      <c r="A8" s="40"/>
      <c r="B8" s="45"/>
      <c r="C8" s="50" t="s">
        <v>3</v>
      </c>
      <c r="D8" s="8"/>
      <c r="E8" s="48"/>
      <c r="F8" s="40"/>
      <c r="G8" s="40"/>
      <c r="H8" s="2"/>
      <c r="I8" s="2"/>
      <c r="J8" s="2"/>
    </row>
    <row r="9" spans="1:10" x14ac:dyDescent="0.25">
      <c r="A9" s="40"/>
      <c r="B9" s="45"/>
      <c r="C9" s="50" t="s">
        <v>4</v>
      </c>
      <c r="D9" s="9"/>
      <c r="E9" s="48"/>
      <c r="F9" s="40"/>
      <c r="G9" s="40"/>
      <c r="H9" s="2"/>
      <c r="I9" s="2"/>
      <c r="J9" s="2"/>
    </row>
    <row r="10" spans="1:10" x14ac:dyDescent="0.25">
      <c r="A10" s="40"/>
      <c r="B10" s="45"/>
      <c r="C10" s="47"/>
      <c r="D10" s="51"/>
      <c r="E10" s="48"/>
      <c r="F10" s="40"/>
      <c r="G10" s="40"/>
      <c r="H10" s="2"/>
      <c r="I10" s="2"/>
      <c r="J10" s="2"/>
    </row>
    <row r="11" spans="1:10" x14ac:dyDescent="0.25">
      <c r="A11" s="40"/>
      <c r="B11" s="45"/>
      <c r="C11" s="47"/>
      <c r="D11" s="47"/>
      <c r="E11" s="48"/>
      <c r="F11" s="40"/>
      <c r="G11" s="40"/>
      <c r="H11" s="2"/>
      <c r="I11" s="2"/>
      <c r="J11" s="2"/>
    </row>
    <row r="12" spans="1:10" x14ac:dyDescent="0.25">
      <c r="A12" s="40"/>
      <c r="B12" s="45"/>
      <c r="C12" s="49"/>
      <c r="D12" s="47"/>
      <c r="E12" s="48"/>
      <c r="F12" s="40"/>
      <c r="G12" s="40"/>
      <c r="H12" s="2"/>
      <c r="I12" s="2"/>
      <c r="J12" s="2"/>
    </row>
    <row r="13" spans="1:10" x14ac:dyDescent="0.25">
      <c r="A13" s="40"/>
      <c r="B13" s="45"/>
      <c r="C13" s="49"/>
      <c r="D13" s="47"/>
      <c r="E13" s="48"/>
      <c r="F13" s="40"/>
      <c r="G13" s="40"/>
      <c r="H13" s="2"/>
      <c r="I13" s="2"/>
      <c r="J13" s="2"/>
    </row>
    <row r="14" spans="1:10" x14ac:dyDescent="0.25">
      <c r="A14" s="40"/>
      <c r="B14" s="45"/>
      <c r="C14" s="49"/>
      <c r="D14" s="47"/>
      <c r="E14" s="48"/>
      <c r="F14" s="40"/>
      <c r="G14" s="40"/>
      <c r="H14" s="2"/>
      <c r="I14" s="2"/>
      <c r="J14" s="2"/>
    </row>
    <row r="15" spans="1:10" x14ac:dyDescent="0.25">
      <c r="A15" s="40"/>
      <c r="B15" s="45"/>
      <c r="C15" s="50" t="s">
        <v>5</v>
      </c>
      <c r="D15" s="7" t="s">
        <v>4751</v>
      </c>
      <c r="E15" s="48"/>
      <c r="F15" s="40"/>
      <c r="G15" s="40"/>
      <c r="H15" s="2"/>
      <c r="I15" s="2"/>
      <c r="J15" s="2"/>
    </row>
    <row r="16" spans="1:10" x14ac:dyDescent="0.25">
      <c r="A16" s="40"/>
      <c r="B16" s="45"/>
      <c r="C16" s="50" t="s">
        <v>6</v>
      </c>
      <c r="D16" s="56"/>
      <c r="E16" s="48"/>
      <c r="F16" s="40"/>
      <c r="G16" s="40"/>
      <c r="H16" s="2"/>
      <c r="I16" s="2"/>
      <c r="J16" s="2"/>
    </row>
    <row r="17" spans="1:10" x14ac:dyDescent="0.25">
      <c r="A17" s="40"/>
      <c r="B17" s="45"/>
      <c r="C17" s="50" t="s">
        <v>4</v>
      </c>
      <c r="D17" s="10"/>
      <c r="E17" s="48"/>
      <c r="F17" s="40"/>
      <c r="G17" s="40"/>
      <c r="H17" s="2"/>
      <c r="I17" s="2"/>
      <c r="J17" s="2"/>
    </row>
    <row r="18" spans="1:10" x14ac:dyDescent="0.25">
      <c r="A18" s="40"/>
      <c r="B18" s="45"/>
      <c r="C18" s="47"/>
      <c r="D18" s="47"/>
      <c r="E18" s="48"/>
      <c r="F18" s="40"/>
      <c r="G18" s="40"/>
      <c r="H18" s="2"/>
      <c r="I18" s="2"/>
      <c r="J18" s="2"/>
    </row>
    <row r="19" spans="1:10" x14ac:dyDescent="0.25">
      <c r="A19" s="40"/>
      <c r="B19" s="45"/>
      <c r="C19" s="49" t="s">
        <v>7</v>
      </c>
      <c r="D19" s="47"/>
      <c r="E19" s="48"/>
      <c r="F19" s="40"/>
      <c r="G19" s="40"/>
      <c r="H19" s="2"/>
      <c r="I19" s="2"/>
      <c r="J19" s="2"/>
    </row>
    <row r="20" spans="1:10" x14ac:dyDescent="0.25">
      <c r="A20" s="40"/>
      <c r="B20" s="45"/>
      <c r="C20" s="52" t="s">
        <v>8</v>
      </c>
      <c r="D20" s="11" t="s">
        <v>9</v>
      </c>
      <c r="E20" s="48"/>
      <c r="F20" s="40"/>
      <c r="G20" s="40"/>
      <c r="H20" s="2"/>
      <c r="I20" s="2"/>
      <c r="J20" s="2"/>
    </row>
    <row r="21" spans="1:10" x14ac:dyDescent="0.25">
      <c r="A21" s="40"/>
      <c r="B21" s="45"/>
      <c r="C21" s="47"/>
      <c r="D21" s="47"/>
      <c r="E21" s="48"/>
      <c r="F21" s="40"/>
      <c r="G21" s="40"/>
      <c r="H21" s="2"/>
      <c r="I21" s="2"/>
      <c r="J21" s="2"/>
    </row>
    <row r="22" spans="1:10" x14ac:dyDescent="0.25">
      <c r="A22" s="40"/>
      <c r="B22" s="53"/>
      <c r="C22" s="54"/>
      <c r="D22" s="54"/>
      <c r="E22" s="55"/>
      <c r="F22" s="40"/>
      <c r="G22" s="40"/>
      <c r="H22" s="2"/>
      <c r="I22" s="2"/>
      <c r="J22" s="2"/>
    </row>
    <row r="23" spans="1:10" x14ac:dyDescent="0.25">
      <c r="A23" s="40"/>
      <c r="B23" s="40"/>
      <c r="C23" s="47"/>
      <c r="D23" s="47"/>
      <c r="E23" s="47"/>
      <c r="F23" s="40"/>
      <c r="G23" s="40"/>
      <c r="H23" s="2"/>
      <c r="I23" s="2"/>
      <c r="J23" s="2"/>
    </row>
    <row r="24" spans="1:10" x14ac:dyDescent="0.25">
      <c r="A24" s="40"/>
      <c r="B24" s="47"/>
      <c r="C24" s="40"/>
      <c r="D24" s="40"/>
      <c r="E24" s="40"/>
      <c r="F24" s="40"/>
      <c r="G24" s="40"/>
      <c r="H24" s="2"/>
      <c r="I24" s="2"/>
      <c r="J24" s="2"/>
    </row>
    <row r="25" spans="1:10" x14ac:dyDescent="0.25">
      <c r="A25" s="2"/>
      <c r="B25" s="12"/>
      <c r="C25" s="13"/>
      <c r="D25" s="13"/>
      <c r="E25" s="13"/>
      <c r="F25" s="13"/>
      <c r="G25" s="2"/>
      <c r="H25" s="2"/>
      <c r="I25" s="22"/>
      <c r="J25" s="2"/>
    </row>
    <row r="26" spans="1:10" x14ac:dyDescent="0.25">
      <c r="A26" s="2"/>
      <c r="B26" s="3"/>
      <c r="C26" s="14"/>
      <c r="D26" s="14"/>
      <c r="E26" s="15"/>
      <c r="F26" s="13"/>
      <c r="G26" s="2"/>
      <c r="H26" s="2"/>
      <c r="I26" s="2"/>
      <c r="J26" s="2"/>
    </row>
    <row r="27" spans="1:10" s="2" customFormat="1" x14ac:dyDescent="0.25">
      <c r="B27" s="4"/>
      <c r="C27" s="5"/>
      <c r="D27" s="5"/>
      <c r="E27" s="6"/>
    </row>
    <row r="28" spans="1:10" x14ac:dyDescent="0.25">
      <c r="A28" s="2"/>
      <c r="B28" s="4"/>
      <c r="C28" s="16"/>
      <c r="D28" s="16"/>
      <c r="E28" s="16"/>
      <c r="F28" s="16"/>
      <c r="G28" s="16"/>
      <c r="H28" s="2"/>
      <c r="I28" s="2"/>
      <c r="J28" s="2"/>
    </row>
    <row r="29" spans="1:10" x14ac:dyDescent="0.25">
      <c r="A29" s="2"/>
      <c r="B29" s="4"/>
      <c r="C29" s="17" t="s">
        <v>10</v>
      </c>
      <c r="D29" s="17" t="s">
        <v>11</v>
      </c>
      <c r="E29" s="17" t="s">
        <v>12</v>
      </c>
      <c r="F29" s="17" t="s">
        <v>13</v>
      </c>
      <c r="G29" s="17" t="s">
        <v>14</v>
      </c>
      <c r="H29" s="2"/>
      <c r="I29" s="2"/>
      <c r="J29" s="2"/>
    </row>
    <row r="30" spans="1:10" x14ac:dyDescent="0.25">
      <c r="A30" s="2"/>
      <c r="B30" s="4"/>
      <c r="C30" s="18" t="s">
        <v>4191</v>
      </c>
      <c r="D30" s="19"/>
      <c r="E30" s="20">
        <v>2</v>
      </c>
      <c r="F30" s="20">
        <v>1</v>
      </c>
      <c r="G30" s="20">
        <v>5</v>
      </c>
      <c r="H30" s="2"/>
      <c r="I30" s="2"/>
      <c r="J30" s="2"/>
    </row>
    <row r="31" spans="1:10" x14ac:dyDescent="0.25">
      <c r="A31" s="2"/>
      <c r="B31" s="4"/>
      <c r="C31" s="18" t="s">
        <v>2059</v>
      </c>
      <c r="D31" s="19"/>
      <c r="E31" s="20">
        <v>2</v>
      </c>
      <c r="F31" s="20">
        <v>8</v>
      </c>
      <c r="G31" s="20">
        <v>10</v>
      </c>
      <c r="H31" s="2"/>
      <c r="I31" s="2"/>
      <c r="J31" s="2"/>
    </row>
    <row r="32" spans="1:10" x14ac:dyDescent="0.25">
      <c r="A32" s="2"/>
      <c r="B32" s="4"/>
      <c r="C32" s="18" t="s">
        <v>2060</v>
      </c>
      <c r="D32" s="19"/>
      <c r="E32" s="20">
        <v>2</v>
      </c>
      <c r="F32" s="20">
        <v>12</v>
      </c>
      <c r="G32" s="20">
        <v>13</v>
      </c>
      <c r="H32" s="2"/>
      <c r="I32" s="2"/>
      <c r="J32" s="2"/>
    </row>
    <row r="33" spans="1:10" x14ac:dyDescent="0.25">
      <c r="A33" s="2"/>
      <c r="B33" s="4"/>
      <c r="C33" s="18" t="s">
        <v>2061</v>
      </c>
      <c r="D33" s="18"/>
      <c r="E33" s="20">
        <v>2</v>
      </c>
      <c r="F33" s="20">
        <v>15</v>
      </c>
      <c r="G33" s="20">
        <v>17</v>
      </c>
      <c r="H33" s="2"/>
      <c r="I33" s="2"/>
      <c r="J33" s="2"/>
    </row>
    <row r="34" spans="1:10" x14ac:dyDescent="0.25">
      <c r="A34" s="2"/>
      <c r="B34" s="4"/>
      <c r="C34" s="18" t="s">
        <v>2556</v>
      </c>
      <c r="D34" s="18"/>
      <c r="E34" s="21">
        <v>2</v>
      </c>
      <c r="F34" s="21">
        <v>19</v>
      </c>
      <c r="G34" s="21">
        <v>31</v>
      </c>
      <c r="H34" s="2"/>
      <c r="I34" s="2"/>
      <c r="J34" s="2"/>
    </row>
    <row r="35" spans="1:10" x14ac:dyDescent="0.25">
      <c r="A35" s="2"/>
      <c r="B35" s="4"/>
      <c r="C35" s="18" t="s">
        <v>4605</v>
      </c>
      <c r="D35" s="18"/>
      <c r="E35" s="20">
        <v>2</v>
      </c>
      <c r="F35" s="21">
        <v>1</v>
      </c>
      <c r="G35" s="21">
        <v>2</v>
      </c>
      <c r="H35" s="2"/>
      <c r="I35" s="2"/>
      <c r="J35" s="2"/>
    </row>
    <row r="36" spans="1:10" x14ac:dyDescent="0.25">
      <c r="A36" s="2"/>
      <c r="B36" s="4"/>
      <c r="C36" s="18"/>
      <c r="D36" s="18"/>
      <c r="E36" s="21"/>
      <c r="F36" s="21"/>
      <c r="G36" s="21"/>
      <c r="H36" s="2"/>
      <c r="I36" s="2"/>
      <c r="J36" s="2"/>
    </row>
    <row r="37" spans="1:10" x14ac:dyDescent="0.25">
      <c r="A37" s="2"/>
      <c r="B37" s="4"/>
      <c r="C37" s="18"/>
      <c r="D37" s="18"/>
      <c r="E37" s="21"/>
      <c r="F37" s="21"/>
      <c r="G37" s="21"/>
      <c r="H37" s="2"/>
      <c r="I37" s="2"/>
      <c r="J37" s="2"/>
    </row>
    <row r="38" spans="1:10" x14ac:dyDescent="0.25">
      <c r="A38" s="2"/>
      <c r="B38" s="4"/>
      <c r="C38" s="18"/>
      <c r="D38" s="18"/>
      <c r="E38" s="21"/>
      <c r="F38" s="21"/>
      <c r="G38" s="21"/>
      <c r="H38" s="2"/>
      <c r="I38" s="2"/>
      <c r="J38" s="2"/>
    </row>
    <row r="39" spans="1:10" x14ac:dyDescent="0.25">
      <c r="A39" s="2"/>
      <c r="B39" s="4"/>
      <c r="C39" s="18"/>
      <c r="D39" s="18"/>
      <c r="E39" s="21"/>
      <c r="F39" s="21"/>
      <c r="G39" s="21"/>
      <c r="H39" s="2"/>
      <c r="I39" s="2"/>
      <c r="J39" s="2"/>
    </row>
    <row r="40" spans="1:10" x14ac:dyDescent="0.25">
      <c r="A40" s="2"/>
      <c r="B40" s="4"/>
      <c r="C40" s="18"/>
      <c r="D40" s="18"/>
      <c r="E40" s="21"/>
      <c r="F40" s="21"/>
      <c r="G40" s="21"/>
      <c r="H40" s="2"/>
      <c r="I40" s="2"/>
      <c r="J40" s="2"/>
    </row>
    <row r="41" spans="1:1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</row>
    <row r="42" spans="1:10" x14ac:dyDescent="0.25">
      <c r="A42" s="2"/>
      <c r="B42" s="2"/>
      <c r="C42" s="2"/>
      <c r="D42" s="2"/>
      <c r="E42" s="2"/>
      <c r="F42" s="2"/>
      <c r="G42" s="2"/>
      <c r="H42" s="2"/>
    </row>
    <row r="43" spans="1:10" x14ac:dyDescent="0.25">
      <c r="A43" s="2"/>
      <c r="B43" s="2"/>
      <c r="C43" s="2"/>
      <c r="D43" s="2"/>
      <c r="E43" s="2"/>
      <c r="F43" s="2"/>
      <c r="G43" s="2"/>
      <c r="H43" s="2"/>
    </row>
    <row r="44" spans="1:10" x14ac:dyDescent="0.25">
      <c r="A44" s="2"/>
      <c r="B44" s="2"/>
      <c r="C44" s="2"/>
      <c r="D44" s="2"/>
      <c r="E44" s="2"/>
      <c r="F44" s="2"/>
      <c r="G44" s="2"/>
      <c r="H44" s="2"/>
    </row>
  </sheetData>
  <sheetProtection selectLockedCells="1"/>
  <protectedRanges>
    <protectedRange sqref="C2:E21" name="Range1"/>
  </protectedRanges>
  <dataValidations count="2">
    <dataValidation type="list" allowBlank="1" showInputMessage="1" showErrorMessage="1" sqref="D5 D20">
      <formula1>"Sim,Não"</formula1>
    </dataValidation>
    <dataValidation type="list" allowBlank="1" showInputMessage="1" showErrorMessage="1" sqref="D15">
      <formula1>"QAS,PROD"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201"/>
  <sheetViews>
    <sheetView showGridLines="0" zoomScale="85" zoomScaleNormal="85" workbookViewId="0"/>
  </sheetViews>
  <sheetFormatPr defaultColWidth="0" defaultRowHeight="0" customHeight="1" zeroHeight="1" x14ac:dyDescent="0.2"/>
  <cols>
    <col min="1" max="1" width="25.7109375" style="39" customWidth="1"/>
    <col min="2" max="2" width="51" style="63" hidden="1" customWidth="1"/>
    <col min="3" max="3" width="40.7109375" style="63" customWidth="1"/>
    <col min="4" max="5" width="20.7109375" style="63" hidden="1" customWidth="1"/>
    <col min="6" max="6" width="21.7109375" style="63" customWidth="1"/>
    <col min="7" max="7" width="20.7109375" style="72" hidden="1" customWidth="1"/>
    <col min="8" max="8" width="39.7109375" style="63" customWidth="1"/>
    <col min="9" max="10" width="20.7109375" style="72" hidden="1" customWidth="1"/>
    <col min="11" max="12" width="20.7109375" style="39" hidden="1" customWidth="1"/>
    <col min="13" max="13" width="66.7109375" style="39" hidden="1" customWidth="1"/>
    <col min="14" max="16" width="20.7109375" style="39" hidden="1" customWidth="1"/>
    <col min="17" max="17" width="25.5703125" style="72" customWidth="1"/>
    <col min="18" max="18" width="30.140625" style="63" hidden="1" customWidth="1"/>
    <col min="19" max="20" width="25.7109375" style="63" customWidth="1"/>
    <col min="21" max="21" width="45.42578125" style="63" hidden="1" customWidth="1"/>
    <col min="22" max="22" width="2.28515625" style="39" customWidth="1"/>
    <col min="23" max="23" width="2.28515625" style="39" hidden="1" customWidth="1"/>
    <col min="24" max="16384" width="1.7109375" style="39" hidden="1"/>
  </cols>
  <sheetData>
    <row r="1" spans="1:21" ht="17.25" customHeight="1" x14ac:dyDescent="0.25">
      <c r="A1" s="103" t="s">
        <v>15</v>
      </c>
      <c r="B1" s="61"/>
      <c r="C1" s="82"/>
      <c r="D1" s="61"/>
      <c r="E1" s="61"/>
      <c r="F1" s="61"/>
      <c r="G1" s="87"/>
      <c r="H1" s="61"/>
      <c r="I1" s="87"/>
      <c r="J1" s="87"/>
      <c r="K1" s="23"/>
      <c r="L1" s="23"/>
      <c r="M1" s="23"/>
      <c r="N1" s="24"/>
      <c r="O1" s="24"/>
      <c r="P1" s="23"/>
      <c r="Q1" s="57"/>
      <c r="R1" s="65"/>
      <c r="S1" s="58"/>
      <c r="T1" s="58"/>
      <c r="U1" s="58"/>
    </row>
    <row r="2" spans="1:21" ht="17.25" customHeight="1" x14ac:dyDescent="0.25">
      <c r="A2" s="23"/>
      <c r="B2" s="61"/>
      <c r="C2" s="75"/>
      <c r="D2" s="61"/>
      <c r="E2" s="61"/>
      <c r="F2" s="61"/>
      <c r="G2" s="87"/>
      <c r="H2" s="61"/>
      <c r="I2" s="87"/>
      <c r="J2" s="87"/>
      <c r="K2" s="23"/>
      <c r="L2" s="23"/>
      <c r="M2" s="23"/>
      <c r="N2" s="24" t="b">
        <v>0</v>
      </c>
      <c r="O2" s="24"/>
      <c r="P2" s="23"/>
      <c r="Q2" s="57"/>
      <c r="R2" s="65"/>
      <c r="S2" s="58"/>
      <c r="T2" s="58"/>
      <c r="U2" s="58"/>
    </row>
    <row r="3" spans="1:21" ht="17.25" customHeight="1" x14ac:dyDescent="0.25">
      <c r="A3" s="23"/>
      <c r="B3" s="61"/>
      <c r="C3" s="75"/>
      <c r="D3" s="61"/>
      <c r="E3" s="61"/>
      <c r="F3" s="61"/>
      <c r="G3" s="87"/>
      <c r="H3" s="61"/>
      <c r="I3" s="87"/>
      <c r="J3" s="87"/>
      <c r="K3" s="23"/>
      <c r="L3" s="23"/>
      <c r="M3" s="23"/>
      <c r="N3" s="24"/>
      <c r="O3" s="24"/>
      <c r="P3" s="23"/>
      <c r="Q3" s="57"/>
      <c r="R3" s="65"/>
      <c r="S3" s="58"/>
      <c r="T3" s="58"/>
      <c r="U3" s="58"/>
    </row>
    <row r="4" spans="1:21" ht="17.25" customHeight="1" x14ac:dyDescent="0.25">
      <c r="A4" s="23"/>
      <c r="B4" s="61"/>
      <c r="C4" s="75"/>
      <c r="D4" s="61"/>
      <c r="E4" s="61"/>
      <c r="F4" s="61"/>
      <c r="G4" s="87"/>
      <c r="H4" s="61"/>
      <c r="I4" s="87"/>
      <c r="J4" s="87"/>
      <c r="K4" s="23"/>
      <c r="L4" s="23"/>
      <c r="M4" s="23"/>
      <c r="N4" s="24"/>
      <c r="O4" s="24"/>
      <c r="P4" s="23"/>
      <c r="Q4" s="57"/>
      <c r="R4" s="65"/>
      <c r="S4" s="58"/>
      <c r="T4" s="58"/>
      <c r="U4" s="58"/>
    </row>
    <row r="5" spans="1:21" ht="17.25" customHeight="1" x14ac:dyDescent="0.25">
      <c r="A5" s="31"/>
      <c r="B5" s="61" t="str">
        <f>IF(A5="","",IFERROR(VLOOKUP($A5,APOIO!$A:$B,2,FALSE),"error"))</f>
        <v/>
      </c>
      <c r="C5" s="77"/>
      <c r="D5" s="61" t="e">
        <f>VLOOKUP($C5,APOIO!$O:$Q,2,FALSE)</f>
        <v>#N/A</v>
      </c>
      <c r="E5" s="61" t="e">
        <f>VLOOKUP($C5,APOIO!$O:$Q,3,FALSE)</f>
        <v>#N/A</v>
      </c>
      <c r="F5" s="78"/>
      <c r="G5" s="87" t="e">
        <f>VLOOKUP($F5,APOIO!$L:$M,2,FALSE)</f>
        <v>#N/A</v>
      </c>
      <c r="H5" s="77"/>
      <c r="I5" s="87" t="e">
        <f>VLOOKUP($H5,APOIO!$H:$J,2,FALSE)</f>
        <v>#N/A</v>
      </c>
      <c r="J5" s="87" t="e">
        <f>VLOOKUP($H5,APOIO!$H:$J,3,FALSE)</f>
        <v>#N/A</v>
      </c>
      <c r="K5" s="23"/>
      <c r="L5" s="23"/>
      <c r="M5" s="23"/>
      <c r="N5" s="24" t="e">
        <f>VLOOKUP($M5,APOIO!$R:$S,2,FALSE)</f>
        <v>#N/A</v>
      </c>
      <c r="O5" s="24"/>
      <c r="P5" s="23"/>
      <c r="Q5" s="71"/>
      <c r="R5" s="65" t="e">
        <f>INDEX(APOIO!$V:$V,MATCH(EOMONTH($Q5,0),APOIO!$X:$X,0))</f>
        <v>#N/A</v>
      </c>
      <c r="S5" s="60"/>
      <c r="T5" s="59"/>
      <c r="U5" s="58" t="str">
        <f>IFERROR(CONCATENATE(A5,"_",D5,,"_",G5,"_",I5,"_",Q5,"_",S5),"")</f>
        <v/>
      </c>
    </row>
    <row r="6" spans="1:21" ht="22.5" customHeight="1" x14ac:dyDescent="0.25">
      <c r="A6" s="23"/>
      <c r="B6" s="61"/>
      <c r="C6" s="75"/>
      <c r="D6" s="61"/>
      <c r="E6" s="61"/>
      <c r="F6" s="61"/>
      <c r="G6" s="87"/>
      <c r="H6" s="61"/>
      <c r="I6" s="87"/>
      <c r="J6" s="87"/>
      <c r="K6" s="23"/>
      <c r="L6" s="23"/>
      <c r="M6" s="23"/>
      <c r="N6" s="24"/>
      <c r="O6" s="24"/>
      <c r="P6" s="23"/>
      <c r="Q6" s="57"/>
      <c r="R6" s="65"/>
      <c r="S6" s="58"/>
      <c r="T6" s="58"/>
      <c r="U6" s="58"/>
    </row>
    <row r="7" spans="1:21" ht="9.9499999999999993" customHeight="1" x14ac:dyDescent="0.2">
      <c r="A7" s="25"/>
      <c r="B7" s="58"/>
      <c r="C7" s="76"/>
      <c r="D7" s="58"/>
      <c r="E7" s="58"/>
      <c r="F7" s="58"/>
      <c r="G7" s="57"/>
      <c r="H7" s="58"/>
      <c r="I7" s="57"/>
      <c r="J7" s="57"/>
      <c r="K7" s="25"/>
      <c r="L7" s="25"/>
      <c r="M7" s="25"/>
      <c r="N7" s="26"/>
      <c r="O7" s="26"/>
      <c r="P7" s="25"/>
      <c r="Q7" s="57"/>
      <c r="R7" s="66"/>
      <c r="S7" s="58"/>
      <c r="T7" s="58"/>
      <c r="U7" s="58"/>
    </row>
    <row r="8" spans="1:21" ht="12" customHeight="1" x14ac:dyDescent="0.2">
      <c r="A8" s="25"/>
      <c r="B8" s="58"/>
      <c r="C8" s="76"/>
      <c r="D8" s="58"/>
      <c r="E8" s="58"/>
      <c r="F8" s="58"/>
      <c r="G8" s="57"/>
      <c r="H8" s="58"/>
      <c r="I8" s="57"/>
      <c r="J8" s="57"/>
      <c r="K8" s="25"/>
      <c r="L8" s="25"/>
      <c r="M8" s="25"/>
      <c r="N8" s="26"/>
      <c r="O8" s="26"/>
      <c r="P8" s="25"/>
      <c r="Q8" s="57"/>
      <c r="R8" s="66"/>
      <c r="S8" s="58"/>
      <c r="T8" s="58"/>
      <c r="U8" s="58"/>
    </row>
    <row r="9" spans="1:21" s="67" customFormat="1" ht="45" customHeight="1" x14ac:dyDescent="0.2">
      <c r="A9" s="27" t="s">
        <v>1638</v>
      </c>
      <c r="B9" s="90" t="s">
        <v>16</v>
      </c>
      <c r="C9" s="27" t="s">
        <v>2057</v>
      </c>
      <c r="D9" s="28" t="s">
        <v>18</v>
      </c>
      <c r="E9" s="28" t="s">
        <v>19</v>
      </c>
      <c r="F9" s="27" t="s">
        <v>2055</v>
      </c>
      <c r="G9" s="28" t="s">
        <v>20</v>
      </c>
      <c r="H9" s="74" t="s">
        <v>4254</v>
      </c>
      <c r="I9" s="28" t="s">
        <v>21</v>
      </c>
      <c r="J9" s="28" t="s">
        <v>22</v>
      </c>
      <c r="K9" s="29" t="s">
        <v>1639</v>
      </c>
      <c r="L9" s="64" t="s">
        <v>24</v>
      </c>
      <c r="M9" s="29" t="s">
        <v>27</v>
      </c>
      <c r="N9" s="30" t="s">
        <v>1641</v>
      </c>
      <c r="O9" s="29" t="s">
        <v>25</v>
      </c>
      <c r="P9" s="30" t="s">
        <v>1640</v>
      </c>
      <c r="Q9" s="27" t="s">
        <v>29</v>
      </c>
      <c r="R9" s="30" t="s">
        <v>1672</v>
      </c>
      <c r="S9" s="27" t="s">
        <v>1642</v>
      </c>
      <c r="T9" s="28" t="s">
        <v>33</v>
      </c>
      <c r="U9" s="28" t="s">
        <v>1801</v>
      </c>
    </row>
    <row r="10" spans="1:21" ht="15" x14ac:dyDescent="0.25">
      <c r="A10" s="31"/>
      <c r="B10" s="62" t="str">
        <f>IF(A10="","",IFERROR(VLOOKUP($A10,APOIO!$A:$B,2,FALSE),"error"))</f>
        <v/>
      </c>
      <c r="C10" s="77"/>
      <c r="D10" s="62" t="e">
        <f>VLOOKUP($C10,APOIO!$O:$Q,2,FALSE)</f>
        <v>#N/A</v>
      </c>
      <c r="E10" s="62" t="e">
        <f>VLOOKUP($C10,APOIO!$O:$Q,3,FALSE)</f>
        <v>#N/A</v>
      </c>
      <c r="F10" s="78"/>
      <c r="G10" s="88" t="e">
        <f>VLOOKUP($F10,APOIO!$L:$M,2,FALSE)</f>
        <v>#N/A</v>
      </c>
      <c r="H10" s="77"/>
      <c r="I10" s="88" t="e">
        <f>VLOOKUP($H10,APOIO!$H:$J,2,FALSE)</f>
        <v>#N/A</v>
      </c>
      <c r="J10" s="88" t="e">
        <f>VLOOKUP($H10,APOIO!$H:$J,3,FALSE)</f>
        <v>#N/A</v>
      </c>
      <c r="K10" s="32"/>
      <c r="L10" s="32"/>
      <c r="M10" s="31"/>
      <c r="N10" s="32" t="e">
        <f>VLOOKUP($M10,APOIO!$R:$S,2,FALSE)</f>
        <v>#N/A</v>
      </c>
      <c r="O10" s="32"/>
      <c r="P10" s="32"/>
      <c r="Q10" s="71"/>
      <c r="R10" s="68" t="e">
        <f>INDEX(APOIO!$V:$V,MATCH(EOMONTH($Q10,0),APOIO!$X:$X,0))</f>
        <v>#N/A</v>
      </c>
      <c r="S10" s="60"/>
      <c r="T10" s="59"/>
      <c r="U10" s="59" t="str">
        <f t="shared" ref="U10:U73" si="0">IFERROR(CONCATENATE(A10,"_",D10,,"_",G10,"_",I10,"_",Q10,"_",S10),"")</f>
        <v/>
      </c>
    </row>
    <row r="11" spans="1:21" ht="15" x14ac:dyDescent="0.25">
      <c r="A11" s="31"/>
      <c r="B11" s="62" t="str">
        <f>IF(A11="","",IFERROR(VLOOKUP($A11,APOIO!$A:$B,2,FALSE),"error"))</f>
        <v/>
      </c>
      <c r="C11" s="77"/>
      <c r="D11" s="62" t="e">
        <f>VLOOKUP($C11,APOIO!$O:$Q,2,FALSE)</f>
        <v>#N/A</v>
      </c>
      <c r="E11" s="62" t="e">
        <f>VLOOKUP($C11,APOIO!$O:$Q,3,FALSE)</f>
        <v>#N/A</v>
      </c>
      <c r="F11" s="78"/>
      <c r="G11" s="88" t="e">
        <f>VLOOKUP($F11,APOIO!$L:$M,2,FALSE)</f>
        <v>#N/A</v>
      </c>
      <c r="H11" s="77"/>
      <c r="I11" s="88" t="e">
        <f>VLOOKUP($H11,APOIO!$H:$J,2,FALSE)</f>
        <v>#N/A</v>
      </c>
      <c r="J11" s="88" t="e">
        <f>VLOOKUP($H11,APOIO!$H:$J,3,FALSE)</f>
        <v>#N/A</v>
      </c>
      <c r="K11" s="32"/>
      <c r="L11" s="32"/>
      <c r="M11" s="31"/>
      <c r="N11" s="32" t="e">
        <f>VLOOKUP($M11,APOIO!$R:$S,2,FALSE)</f>
        <v>#N/A</v>
      </c>
      <c r="O11" s="32"/>
      <c r="P11" s="32"/>
      <c r="Q11" s="71"/>
      <c r="R11" s="68" t="e">
        <f>INDEX(APOIO!$V:$V,MATCH(EOMONTH($Q11,0),APOIO!$X:$X,0))</f>
        <v>#N/A</v>
      </c>
      <c r="S11" s="60"/>
      <c r="T11" s="59"/>
      <c r="U11" s="59" t="str">
        <f t="shared" si="0"/>
        <v/>
      </c>
    </row>
    <row r="12" spans="1:21" ht="15" x14ac:dyDescent="0.25">
      <c r="A12" s="31"/>
      <c r="B12" s="62" t="str">
        <f>IF(A12="","",IFERROR(VLOOKUP($A12,APOIO!$A:$B,2,FALSE),"error"))</f>
        <v/>
      </c>
      <c r="C12" s="77"/>
      <c r="D12" s="62" t="e">
        <f>VLOOKUP($C12,APOIO!$O:$Q,2,FALSE)</f>
        <v>#N/A</v>
      </c>
      <c r="E12" s="62" t="e">
        <f>VLOOKUP($C12,APOIO!$O:$Q,3,FALSE)</f>
        <v>#N/A</v>
      </c>
      <c r="F12" s="78"/>
      <c r="G12" s="88" t="e">
        <f>VLOOKUP($F12,APOIO!$L:$M,2,FALSE)</f>
        <v>#N/A</v>
      </c>
      <c r="H12" s="77"/>
      <c r="I12" s="88" t="e">
        <f>VLOOKUP($H12,APOIO!$H:$J,2,FALSE)</f>
        <v>#N/A</v>
      </c>
      <c r="J12" s="88" t="e">
        <f>VLOOKUP($H12,APOIO!$H:$J,3,FALSE)</f>
        <v>#N/A</v>
      </c>
      <c r="K12" s="32"/>
      <c r="L12" s="32"/>
      <c r="M12" s="31"/>
      <c r="N12" s="32" t="e">
        <f>VLOOKUP($M12,APOIO!$R:$S,2,FALSE)</f>
        <v>#N/A</v>
      </c>
      <c r="O12" s="32"/>
      <c r="P12" s="32"/>
      <c r="Q12" s="71"/>
      <c r="R12" s="68" t="e">
        <f>INDEX(APOIO!$V:$V,MATCH(EOMONTH($Q12,0),APOIO!$X:$X,0))</f>
        <v>#N/A</v>
      </c>
      <c r="S12" s="60"/>
      <c r="T12" s="59"/>
      <c r="U12" s="59" t="str">
        <f t="shared" si="0"/>
        <v/>
      </c>
    </row>
    <row r="13" spans="1:21" ht="15" x14ac:dyDescent="0.25">
      <c r="A13" s="31"/>
      <c r="B13" s="62" t="str">
        <f>IF(A13="","",IFERROR(VLOOKUP($A13,APOIO!$A:$B,2,FALSE),"error"))</f>
        <v/>
      </c>
      <c r="C13" s="77"/>
      <c r="D13" s="62" t="e">
        <f>VLOOKUP($C13,APOIO!$O:$Q,2,FALSE)</f>
        <v>#N/A</v>
      </c>
      <c r="E13" s="62" t="e">
        <f>VLOOKUP($C13,APOIO!$O:$Q,3,FALSE)</f>
        <v>#N/A</v>
      </c>
      <c r="F13" s="78"/>
      <c r="G13" s="88" t="e">
        <f>VLOOKUP($F13,APOIO!$L:$M,2,FALSE)</f>
        <v>#N/A</v>
      </c>
      <c r="H13" s="77"/>
      <c r="I13" s="88" t="e">
        <f>VLOOKUP($H13,APOIO!$H:$J,2,FALSE)</f>
        <v>#N/A</v>
      </c>
      <c r="J13" s="88" t="e">
        <f>VLOOKUP($H13,APOIO!$H:$J,3,FALSE)</f>
        <v>#N/A</v>
      </c>
      <c r="K13" s="32"/>
      <c r="L13" s="32"/>
      <c r="M13" s="31"/>
      <c r="N13" s="32" t="e">
        <f>VLOOKUP($M13,APOIO!$R:$S,2,FALSE)</f>
        <v>#N/A</v>
      </c>
      <c r="O13" s="32"/>
      <c r="P13" s="32"/>
      <c r="Q13" s="71"/>
      <c r="R13" s="68" t="e">
        <f>INDEX(APOIO!$V:$V,MATCH(EOMONTH($Q13,0),APOIO!$X:$X,0))</f>
        <v>#N/A</v>
      </c>
      <c r="S13" s="60"/>
      <c r="T13" s="59"/>
      <c r="U13" s="59" t="str">
        <f t="shared" si="0"/>
        <v/>
      </c>
    </row>
    <row r="14" spans="1:21" ht="15" x14ac:dyDescent="0.25">
      <c r="A14" s="31"/>
      <c r="B14" s="62" t="str">
        <f>IF(A14="","",IFERROR(VLOOKUP($A14,APOIO!$A:$B,2,FALSE),"error"))</f>
        <v/>
      </c>
      <c r="C14" s="77"/>
      <c r="D14" s="62" t="e">
        <f>VLOOKUP($C14,APOIO!$O:$Q,2,FALSE)</f>
        <v>#N/A</v>
      </c>
      <c r="E14" s="62" t="e">
        <f>VLOOKUP($C14,APOIO!$O:$Q,3,FALSE)</f>
        <v>#N/A</v>
      </c>
      <c r="F14" s="78"/>
      <c r="G14" s="88" t="e">
        <f>VLOOKUP($F14,APOIO!$L:$M,2,FALSE)</f>
        <v>#N/A</v>
      </c>
      <c r="H14" s="77"/>
      <c r="I14" s="88" t="e">
        <f>VLOOKUP($H14,APOIO!$H:$J,2,FALSE)</f>
        <v>#N/A</v>
      </c>
      <c r="J14" s="88" t="e">
        <f>VLOOKUP($H14,APOIO!$H:$J,3,FALSE)</f>
        <v>#N/A</v>
      </c>
      <c r="K14" s="32"/>
      <c r="L14" s="32"/>
      <c r="M14" s="31"/>
      <c r="N14" s="32" t="e">
        <f>VLOOKUP($M14,APOIO!$R:$S,2,FALSE)</f>
        <v>#N/A</v>
      </c>
      <c r="O14" s="32"/>
      <c r="P14" s="32"/>
      <c r="Q14" s="71"/>
      <c r="R14" s="68" t="e">
        <f>INDEX(APOIO!$V:$V,MATCH(EOMONTH($Q14,0),APOIO!$X:$X,0))</f>
        <v>#N/A</v>
      </c>
      <c r="S14" s="60"/>
      <c r="T14" s="59"/>
      <c r="U14" s="59" t="str">
        <f t="shared" si="0"/>
        <v/>
      </c>
    </row>
    <row r="15" spans="1:21" ht="15" x14ac:dyDescent="0.25">
      <c r="A15" s="31"/>
      <c r="B15" s="62" t="str">
        <f>IF(A15="","",IFERROR(VLOOKUP($A15,APOIO!$A:$B,2,FALSE),"error"))</f>
        <v/>
      </c>
      <c r="C15" s="77"/>
      <c r="D15" s="62" t="e">
        <f>VLOOKUP($C15,APOIO!$O:$Q,2,FALSE)</f>
        <v>#N/A</v>
      </c>
      <c r="E15" s="62" t="e">
        <f>VLOOKUP($C15,APOIO!$O:$Q,3,FALSE)</f>
        <v>#N/A</v>
      </c>
      <c r="F15" s="78"/>
      <c r="G15" s="88" t="e">
        <f>VLOOKUP($F15,APOIO!$L:$M,2,FALSE)</f>
        <v>#N/A</v>
      </c>
      <c r="H15" s="77"/>
      <c r="I15" s="88" t="e">
        <f>VLOOKUP($H15,APOIO!$H:$J,2,FALSE)</f>
        <v>#N/A</v>
      </c>
      <c r="J15" s="88" t="e">
        <f>VLOOKUP($H15,APOIO!$H:$J,3,FALSE)</f>
        <v>#N/A</v>
      </c>
      <c r="K15" s="32"/>
      <c r="L15" s="32"/>
      <c r="M15" s="31"/>
      <c r="N15" s="32" t="e">
        <f>VLOOKUP($M15,APOIO!$R:$S,2,FALSE)</f>
        <v>#N/A</v>
      </c>
      <c r="O15" s="32"/>
      <c r="P15" s="32"/>
      <c r="Q15" s="71"/>
      <c r="R15" s="68" t="e">
        <f>INDEX(APOIO!$V:$V,MATCH(EOMONTH($Q15,0),APOIO!$X:$X,0))</f>
        <v>#N/A</v>
      </c>
      <c r="S15" s="60"/>
      <c r="T15" s="59"/>
      <c r="U15" s="59" t="str">
        <f t="shared" si="0"/>
        <v/>
      </c>
    </row>
    <row r="16" spans="1:21" ht="15" x14ac:dyDescent="0.25">
      <c r="A16" s="31"/>
      <c r="B16" s="62" t="str">
        <f>IF(A16="","",IFERROR(VLOOKUP($A16,APOIO!$A:$B,2,FALSE),"error"))</f>
        <v/>
      </c>
      <c r="C16" s="77"/>
      <c r="D16" s="62" t="e">
        <f>VLOOKUP($C16,APOIO!$O:$Q,2,FALSE)</f>
        <v>#N/A</v>
      </c>
      <c r="E16" s="62" t="e">
        <f>VLOOKUP($C16,APOIO!$O:$Q,3,FALSE)</f>
        <v>#N/A</v>
      </c>
      <c r="F16" s="78"/>
      <c r="G16" s="88" t="e">
        <f>VLOOKUP($F16,APOIO!$L:$M,2,FALSE)</f>
        <v>#N/A</v>
      </c>
      <c r="H16" s="77"/>
      <c r="I16" s="88" t="e">
        <f>VLOOKUP($H16,APOIO!$H:$J,2,FALSE)</f>
        <v>#N/A</v>
      </c>
      <c r="J16" s="88" t="e">
        <f>VLOOKUP($H16,APOIO!$H:$J,3,FALSE)</f>
        <v>#N/A</v>
      </c>
      <c r="K16" s="32"/>
      <c r="L16" s="32"/>
      <c r="M16" s="31"/>
      <c r="N16" s="32" t="e">
        <f>VLOOKUP($M16,APOIO!$R:$S,2,FALSE)</f>
        <v>#N/A</v>
      </c>
      <c r="O16" s="32"/>
      <c r="P16" s="32"/>
      <c r="Q16" s="71"/>
      <c r="R16" s="68" t="e">
        <f>INDEX(APOIO!$V:$V,MATCH(EOMONTH($Q16,0),APOIO!$X:$X,0))</f>
        <v>#N/A</v>
      </c>
      <c r="S16" s="60"/>
      <c r="T16" s="59"/>
      <c r="U16" s="59" t="str">
        <f t="shared" si="0"/>
        <v/>
      </c>
    </row>
    <row r="17" spans="1:21" ht="15" x14ac:dyDescent="0.25">
      <c r="A17" s="31"/>
      <c r="B17" s="62" t="str">
        <f>IF(A17="","",IFERROR(VLOOKUP($A17,APOIO!$A:$B,2,FALSE),"error"))</f>
        <v/>
      </c>
      <c r="C17" s="77"/>
      <c r="D17" s="62" t="e">
        <f>VLOOKUP($C17,APOIO!$O:$Q,2,FALSE)</f>
        <v>#N/A</v>
      </c>
      <c r="E17" s="62" t="e">
        <f>VLOOKUP($C17,APOIO!$O:$Q,3,FALSE)</f>
        <v>#N/A</v>
      </c>
      <c r="F17" s="78"/>
      <c r="G17" s="88" t="e">
        <f>VLOOKUP($F17,APOIO!$L:$M,2,FALSE)</f>
        <v>#N/A</v>
      </c>
      <c r="H17" s="77"/>
      <c r="I17" s="88" t="e">
        <f>VLOOKUP($H17,APOIO!$H:$J,2,FALSE)</f>
        <v>#N/A</v>
      </c>
      <c r="J17" s="88" t="e">
        <f>VLOOKUP($H17,APOIO!$H:$J,3,FALSE)</f>
        <v>#N/A</v>
      </c>
      <c r="K17" s="32"/>
      <c r="L17" s="32"/>
      <c r="M17" s="31"/>
      <c r="N17" s="32" t="e">
        <f>VLOOKUP($M17,APOIO!$R:$S,2,FALSE)</f>
        <v>#N/A</v>
      </c>
      <c r="O17" s="32"/>
      <c r="P17" s="32"/>
      <c r="Q17" s="71"/>
      <c r="R17" s="68" t="e">
        <f>INDEX(APOIO!$V:$V,MATCH(EOMONTH($Q17,0),APOIO!$X:$X,0))</f>
        <v>#N/A</v>
      </c>
      <c r="S17" s="60"/>
      <c r="T17" s="59"/>
      <c r="U17" s="59" t="str">
        <f t="shared" si="0"/>
        <v/>
      </c>
    </row>
    <row r="18" spans="1:21" ht="15" x14ac:dyDescent="0.25">
      <c r="A18" s="31"/>
      <c r="B18" s="62" t="str">
        <f>IF(A18="","",IFERROR(VLOOKUP($A18,APOIO!$A:$B,2,FALSE),"error"))</f>
        <v/>
      </c>
      <c r="C18" s="77"/>
      <c r="D18" s="62" t="e">
        <f>VLOOKUP($C18,APOIO!$O:$Q,2,FALSE)</f>
        <v>#N/A</v>
      </c>
      <c r="E18" s="62" t="e">
        <f>VLOOKUP($C18,APOIO!$O:$Q,3,FALSE)</f>
        <v>#N/A</v>
      </c>
      <c r="F18" s="78"/>
      <c r="G18" s="88" t="e">
        <f>VLOOKUP($F18,APOIO!$L:$M,2,FALSE)</f>
        <v>#N/A</v>
      </c>
      <c r="H18" s="77"/>
      <c r="I18" s="88" t="e">
        <f>VLOOKUP($H18,APOIO!$H:$J,2,FALSE)</f>
        <v>#N/A</v>
      </c>
      <c r="J18" s="88" t="e">
        <f>VLOOKUP($H18,APOIO!$H:$J,3,FALSE)</f>
        <v>#N/A</v>
      </c>
      <c r="K18" s="32"/>
      <c r="L18" s="32"/>
      <c r="M18" s="31"/>
      <c r="N18" s="32" t="e">
        <f>VLOOKUP($M18,APOIO!$R:$S,2,FALSE)</f>
        <v>#N/A</v>
      </c>
      <c r="O18" s="32"/>
      <c r="P18" s="32"/>
      <c r="Q18" s="71"/>
      <c r="R18" s="68" t="e">
        <f>INDEX(APOIO!$V:$V,MATCH(EOMONTH($Q18,0),APOIO!$X:$X,0))</f>
        <v>#N/A</v>
      </c>
      <c r="S18" s="60"/>
      <c r="T18" s="59"/>
      <c r="U18" s="59" t="str">
        <f t="shared" si="0"/>
        <v/>
      </c>
    </row>
    <row r="19" spans="1:21" ht="15" x14ac:dyDescent="0.25">
      <c r="A19" s="31"/>
      <c r="B19" s="62" t="str">
        <f>IF(A19="","",IFERROR(VLOOKUP($A19,APOIO!$A:$B,2,FALSE),"error"))</f>
        <v/>
      </c>
      <c r="C19" s="77"/>
      <c r="D19" s="62" t="e">
        <f>VLOOKUP($C19,APOIO!$O:$Q,2,FALSE)</f>
        <v>#N/A</v>
      </c>
      <c r="E19" s="62" t="e">
        <f>VLOOKUP($C19,APOIO!$O:$Q,3,FALSE)</f>
        <v>#N/A</v>
      </c>
      <c r="F19" s="78"/>
      <c r="G19" s="88" t="e">
        <f>VLOOKUP($F19,APOIO!$L:$M,2,FALSE)</f>
        <v>#N/A</v>
      </c>
      <c r="H19" s="77"/>
      <c r="I19" s="88" t="e">
        <f>VLOOKUP($H19,APOIO!$H:$J,2,FALSE)</f>
        <v>#N/A</v>
      </c>
      <c r="J19" s="88" t="e">
        <f>VLOOKUP($H19,APOIO!$H:$J,3,FALSE)</f>
        <v>#N/A</v>
      </c>
      <c r="K19" s="32"/>
      <c r="L19" s="32"/>
      <c r="M19" s="31"/>
      <c r="N19" s="32" t="e">
        <f>VLOOKUP($M19,APOIO!$R:$S,2,FALSE)</f>
        <v>#N/A</v>
      </c>
      <c r="O19" s="32"/>
      <c r="P19" s="32"/>
      <c r="Q19" s="71"/>
      <c r="R19" s="68" t="e">
        <f>INDEX(APOIO!$V:$V,MATCH(EOMONTH($Q19,0),APOIO!$X:$X,0))</f>
        <v>#N/A</v>
      </c>
      <c r="S19" s="60"/>
      <c r="T19" s="59"/>
      <c r="U19" s="59" t="str">
        <f t="shared" si="0"/>
        <v/>
      </c>
    </row>
    <row r="20" spans="1:21" ht="15" x14ac:dyDescent="0.25">
      <c r="A20" s="31"/>
      <c r="B20" s="62" t="str">
        <f>IF(A20="","",IFERROR(VLOOKUP($A20,APOIO!$A:$B,2,FALSE),"error"))</f>
        <v/>
      </c>
      <c r="C20" s="77"/>
      <c r="D20" s="62" t="e">
        <f>VLOOKUP($C20,APOIO!$O:$Q,2,FALSE)</f>
        <v>#N/A</v>
      </c>
      <c r="E20" s="62" t="e">
        <f>VLOOKUP($C20,APOIO!$O:$Q,3,FALSE)</f>
        <v>#N/A</v>
      </c>
      <c r="F20" s="78"/>
      <c r="G20" s="88" t="e">
        <f>VLOOKUP($F20,APOIO!$L:$M,2,FALSE)</f>
        <v>#N/A</v>
      </c>
      <c r="H20" s="77"/>
      <c r="I20" s="88" t="e">
        <f>VLOOKUP($H20,APOIO!$H:$J,2,FALSE)</f>
        <v>#N/A</v>
      </c>
      <c r="J20" s="88" t="e">
        <f>VLOOKUP($H20,APOIO!$H:$J,3,FALSE)</f>
        <v>#N/A</v>
      </c>
      <c r="K20" s="32"/>
      <c r="L20" s="32"/>
      <c r="M20" s="31"/>
      <c r="N20" s="32" t="e">
        <f>VLOOKUP($M20,APOIO!$R:$S,2,FALSE)</f>
        <v>#N/A</v>
      </c>
      <c r="O20" s="32"/>
      <c r="P20" s="32"/>
      <c r="Q20" s="71"/>
      <c r="R20" s="68" t="e">
        <f>INDEX(APOIO!$V:$V,MATCH(EOMONTH($Q20,0),APOIO!$X:$X,0))</f>
        <v>#N/A</v>
      </c>
      <c r="S20" s="60"/>
      <c r="T20" s="59"/>
      <c r="U20" s="59" t="str">
        <f t="shared" si="0"/>
        <v/>
      </c>
    </row>
    <row r="21" spans="1:21" ht="15" x14ac:dyDescent="0.25">
      <c r="A21" s="31"/>
      <c r="B21" s="62" t="str">
        <f>IF(A21="","",IFERROR(VLOOKUP($A21,APOIO!$A:$B,2,FALSE),"error"))</f>
        <v/>
      </c>
      <c r="C21" s="77"/>
      <c r="D21" s="62" t="e">
        <f>VLOOKUP($C21,APOIO!$O:$Q,2,FALSE)</f>
        <v>#N/A</v>
      </c>
      <c r="E21" s="62" t="e">
        <f>VLOOKUP($C21,APOIO!$O:$Q,3,FALSE)</f>
        <v>#N/A</v>
      </c>
      <c r="F21" s="78"/>
      <c r="G21" s="88" t="e">
        <f>VLOOKUP($F21,APOIO!$L:$M,2,FALSE)</f>
        <v>#N/A</v>
      </c>
      <c r="H21" s="77"/>
      <c r="I21" s="88" t="e">
        <f>VLOOKUP($H21,APOIO!$H:$J,2,FALSE)</f>
        <v>#N/A</v>
      </c>
      <c r="J21" s="88" t="e">
        <f>VLOOKUP($H21,APOIO!$H:$J,3,FALSE)</f>
        <v>#N/A</v>
      </c>
      <c r="K21" s="32"/>
      <c r="L21" s="32"/>
      <c r="M21" s="31"/>
      <c r="N21" s="32" t="e">
        <f>VLOOKUP($M21,APOIO!$R:$S,2,FALSE)</f>
        <v>#N/A</v>
      </c>
      <c r="O21" s="32"/>
      <c r="P21" s="32"/>
      <c r="Q21" s="71"/>
      <c r="R21" s="68" t="e">
        <f>INDEX(APOIO!$V:$V,MATCH(EOMONTH($Q21,0),APOIO!$X:$X,0))</f>
        <v>#N/A</v>
      </c>
      <c r="S21" s="60"/>
      <c r="T21" s="59"/>
      <c r="U21" s="59" t="str">
        <f t="shared" si="0"/>
        <v/>
      </c>
    </row>
    <row r="22" spans="1:21" ht="15" x14ac:dyDescent="0.25">
      <c r="A22" s="31"/>
      <c r="B22" s="62" t="str">
        <f>IF(A22="","",IFERROR(VLOOKUP($A22,APOIO!$A:$B,2,FALSE),"error"))</f>
        <v/>
      </c>
      <c r="C22" s="77"/>
      <c r="D22" s="62" t="e">
        <f>VLOOKUP($C22,APOIO!$O:$Q,2,FALSE)</f>
        <v>#N/A</v>
      </c>
      <c r="E22" s="62" t="e">
        <f>VLOOKUP($C22,APOIO!$O:$Q,3,FALSE)</f>
        <v>#N/A</v>
      </c>
      <c r="F22" s="78"/>
      <c r="G22" s="88" t="e">
        <f>VLOOKUP($F22,APOIO!$L:$M,2,FALSE)</f>
        <v>#N/A</v>
      </c>
      <c r="H22" s="77"/>
      <c r="I22" s="88" t="e">
        <f>VLOOKUP($H22,APOIO!$H:$J,2,FALSE)</f>
        <v>#N/A</v>
      </c>
      <c r="J22" s="88" t="e">
        <f>VLOOKUP($H22,APOIO!$H:$J,3,FALSE)</f>
        <v>#N/A</v>
      </c>
      <c r="K22" s="32"/>
      <c r="L22" s="32"/>
      <c r="M22" s="31"/>
      <c r="N22" s="32" t="e">
        <f>VLOOKUP($M22,APOIO!$R:$S,2,FALSE)</f>
        <v>#N/A</v>
      </c>
      <c r="O22" s="32"/>
      <c r="P22" s="32"/>
      <c r="Q22" s="71"/>
      <c r="R22" s="68" t="e">
        <f>INDEX(APOIO!$V:$V,MATCH(EOMONTH($Q22,0),APOIO!$X:$X,0))</f>
        <v>#N/A</v>
      </c>
      <c r="S22" s="60"/>
      <c r="T22" s="59"/>
      <c r="U22" s="59" t="str">
        <f t="shared" si="0"/>
        <v/>
      </c>
    </row>
    <row r="23" spans="1:21" ht="15" x14ac:dyDescent="0.25">
      <c r="A23" s="31"/>
      <c r="B23" s="62" t="str">
        <f>IF(A23="","",IFERROR(VLOOKUP($A23,APOIO!$A:$B,2,FALSE),"error"))</f>
        <v/>
      </c>
      <c r="C23" s="77"/>
      <c r="D23" s="62" t="e">
        <f>VLOOKUP($C23,APOIO!$O:$Q,2,FALSE)</f>
        <v>#N/A</v>
      </c>
      <c r="E23" s="62" t="e">
        <f>VLOOKUP($C23,APOIO!$O:$Q,3,FALSE)</f>
        <v>#N/A</v>
      </c>
      <c r="F23" s="78"/>
      <c r="G23" s="88" t="e">
        <f>VLOOKUP($F23,APOIO!$L:$M,2,FALSE)</f>
        <v>#N/A</v>
      </c>
      <c r="H23" s="77"/>
      <c r="I23" s="88" t="e">
        <f>VLOOKUP($H23,APOIO!$H:$J,2,FALSE)</f>
        <v>#N/A</v>
      </c>
      <c r="J23" s="88" t="e">
        <f>VLOOKUP($H23,APOIO!$H:$J,3,FALSE)</f>
        <v>#N/A</v>
      </c>
      <c r="K23" s="32"/>
      <c r="L23" s="32"/>
      <c r="M23" s="31"/>
      <c r="N23" s="32" t="e">
        <f>VLOOKUP($M23,APOIO!$R:$S,2,FALSE)</f>
        <v>#N/A</v>
      </c>
      <c r="O23" s="32"/>
      <c r="P23" s="32"/>
      <c r="Q23" s="71"/>
      <c r="R23" s="68" t="e">
        <f>INDEX(APOIO!$V:$V,MATCH(EOMONTH($Q23,0),APOIO!$X:$X,0))</f>
        <v>#N/A</v>
      </c>
      <c r="S23" s="60"/>
      <c r="T23" s="59"/>
      <c r="U23" s="59" t="str">
        <f t="shared" si="0"/>
        <v/>
      </c>
    </row>
    <row r="24" spans="1:21" ht="15" x14ac:dyDescent="0.25">
      <c r="A24" s="31"/>
      <c r="B24" s="62" t="str">
        <f>IF(A24="","",IFERROR(VLOOKUP($A24,APOIO!$A:$B,2,FALSE),"error"))</f>
        <v/>
      </c>
      <c r="C24" s="77"/>
      <c r="D24" s="62" t="e">
        <f>VLOOKUP($C24,APOIO!$O:$Q,2,FALSE)</f>
        <v>#N/A</v>
      </c>
      <c r="E24" s="62" t="e">
        <f>VLOOKUP($C24,APOIO!$O:$Q,3,FALSE)</f>
        <v>#N/A</v>
      </c>
      <c r="F24" s="78"/>
      <c r="G24" s="88" t="e">
        <f>VLOOKUP($F24,APOIO!$L:$M,2,FALSE)</f>
        <v>#N/A</v>
      </c>
      <c r="H24" s="77"/>
      <c r="I24" s="88" t="e">
        <f>VLOOKUP($H24,APOIO!$H:$J,2,FALSE)</f>
        <v>#N/A</v>
      </c>
      <c r="J24" s="88" t="e">
        <f>VLOOKUP($H24,APOIO!$H:$J,3,FALSE)</f>
        <v>#N/A</v>
      </c>
      <c r="K24" s="32"/>
      <c r="L24" s="32"/>
      <c r="M24" s="31"/>
      <c r="N24" s="32" t="e">
        <f>VLOOKUP($M24,APOIO!$R:$S,2,FALSE)</f>
        <v>#N/A</v>
      </c>
      <c r="O24" s="32"/>
      <c r="P24" s="32"/>
      <c r="Q24" s="71"/>
      <c r="R24" s="68" t="e">
        <f>INDEX(APOIO!$V:$V,MATCH(EOMONTH($Q24,0),APOIO!$X:$X,0))</f>
        <v>#N/A</v>
      </c>
      <c r="S24" s="60"/>
      <c r="T24" s="59"/>
      <c r="U24" s="59" t="str">
        <f t="shared" si="0"/>
        <v/>
      </c>
    </row>
    <row r="25" spans="1:21" ht="15" x14ac:dyDescent="0.25">
      <c r="A25" s="31"/>
      <c r="B25" s="62" t="str">
        <f>IF(A25="","",IFERROR(VLOOKUP($A25,APOIO!$A:$B,2,FALSE),"error"))</f>
        <v/>
      </c>
      <c r="C25" s="77"/>
      <c r="D25" s="62" t="e">
        <f>VLOOKUP($C25,APOIO!$O:$Q,2,FALSE)</f>
        <v>#N/A</v>
      </c>
      <c r="E25" s="62" t="e">
        <f>VLOOKUP($C25,APOIO!$O:$Q,3,FALSE)</f>
        <v>#N/A</v>
      </c>
      <c r="F25" s="78"/>
      <c r="G25" s="88" t="e">
        <f>VLOOKUP($F25,APOIO!$L:$M,2,FALSE)</f>
        <v>#N/A</v>
      </c>
      <c r="H25" s="77"/>
      <c r="I25" s="88" t="e">
        <f>VLOOKUP($H25,APOIO!$H:$J,2,FALSE)</f>
        <v>#N/A</v>
      </c>
      <c r="J25" s="88" t="e">
        <f>VLOOKUP($H25,APOIO!$H:$J,3,FALSE)</f>
        <v>#N/A</v>
      </c>
      <c r="K25" s="32"/>
      <c r="L25" s="32"/>
      <c r="M25" s="31"/>
      <c r="N25" s="32" t="e">
        <f>VLOOKUP($M25,APOIO!$R:$S,2,FALSE)</f>
        <v>#N/A</v>
      </c>
      <c r="O25" s="32"/>
      <c r="P25" s="32"/>
      <c r="Q25" s="71"/>
      <c r="R25" s="68" t="e">
        <f>INDEX(APOIO!$V:$V,MATCH(EOMONTH($Q25,0),APOIO!$X:$X,0))</f>
        <v>#N/A</v>
      </c>
      <c r="S25" s="60"/>
      <c r="T25" s="59"/>
      <c r="U25" s="59" t="str">
        <f t="shared" si="0"/>
        <v/>
      </c>
    </row>
    <row r="26" spans="1:21" ht="15" x14ac:dyDescent="0.25">
      <c r="A26" s="31"/>
      <c r="B26" s="62" t="str">
        <f>IF(A26="","",IFERROR(VLOOKUP($A26,APOIO!$A:$B,2,FALSE),"error"))</f>
        <v/>
      </c>
      <c r="C26" s="77"/>
      <c r="D26" s="62" t="e">
        <f>VLOOKUP($C26,APOIO!$O:$Q,2,FALSE)</f>
        <v>#N/A</v>
      </c>
      <c r="E26" s="62" t="e">
        <f>VLOOKUP($C26,APOIO!$O:$Q,3,FALSE)</f>
        <v>#N/A</v>
      </c>
      <c r="F26" s="78"/>
      <c r="G26" s="88" t="e">
        <f>VLOOKUP($F26,APOIO!$L:$M,2,FALSE)</f>
        <v>#N/A</v>
      </c>
      <c r="H26" s="77"/>
      <c r="I26" s="88" t="e">
        <f>VLOOKUP($H26,APOIO!$H:$J,2,FALSE)</f>
        <v>#N/A</v>
      </c>
      <c r="J26" s="88" t="e">
        <f>VLOOKUP($H26,APOIO!$H:$J,3,FALSE)</f>
        <v>#N/A</v>
      </c>
      <c r="K26" s="32"/>
      <c r="L26" s="32"/>
      <c r="M26" s="31"/>
      <c r="N26" s="32" t="e">
        <f>VLOOKUP($M26,APOIO!$R:$S,2,FALSE)</f>
        <v>#N/A</v>
      </c>
      <c r="O26" s="32"/>
      <c r="P26" s="32"/>
      <c r="Q26" s="71"/>
      <c r="R26" s="68" t="e">
        <f>INDEX(APOIO!$V:$V,MATCH(EOMONTH($Q26,0),APOIO!$X:$X,0))</f>
        <v>#N/A</v>
      </c>
      <c r="S26" s="60"/>
      <c r="T26" s="59"/>
      <c r="U26" s="59" t="str">
        <f t="shared" si="0"/>
        <v/>
      </c>
    </row>
    <row r="27" spans="1:21" ht="15" x14ac:dyDescent="0.25">
      <c r="A27" s="31"/>
      <c r="B27" s="62" t="str">
        <f>IF(A27="","",IFERROR(VLOOKUP($A27,APOIO!$A:$B,2,FALSE),"error"))</f>
        <v/>
      </c>
      <c r="C27" s="77"/>
      <c r="D27" s="62" t="e">
        <f>VLOOKUP($C27,APOIO!$O:$Q,2,FALSE)</f>
        <v>#N/A</v>
      </c>
      <c r="E27" s="62" t="e">
        <f>VLOOKUP($C27,APOIO!$O:$Q,3,FALSE)</f>
        <v>#N/A</v>
      </c>
      <c r="F27" s="78"/>
      <c r="G27" s="88" t="e">
        <f>VLOOKUP($F27,APOIO!$L:$M,2,FALSE)</f>
        <v>#N/A</v>
      </c>
      <c r="H27" s="77"/>
      <c r="I27" s="88" t="e">
        <f>VLOOKUP($H27,APOIO!$H:$J,2,FALSE)</f>
        <v>#N/A</v>
      </c>
      <c r="J27" s="88" t="e">
        <f>VLOOKUP($H27,APOIO!$H:$J,3,FALSE)</f>
        <v>#N/A</v>
      </c>
      <c r="K27" s="32"/>
      <c r="L27" s="32"/>
      <c r="M27" s="31"/>
      <c r="N27" s="32" t="e">
        <f>VLOOKUP($M27,APOIO!$R:$S,2,FALSE)</f>
        <v>#N/A</v>
      </c>
      <c r="O27" s="32"/>
      <c r="P27" s="32"/>
      <c r="Q27" s="71"/>
      <c r="R27" s="68" t="e">
        <f>INDEX(APOIO!$V:$V,MATCH(EOMONTH($Q27,0),APOIO!$X:$X,0))</f>
        <v>#N/A</v>
      </c>
      <c r="S27" s="60"/>
      <c r="T27" s="59"/>
      <c r="U27" s="59" t="str">
        <f t="shared" si="0"/>
        <v/>
      </c>
    </row>
    <row r="28" spans="1:21" ht="15" x14ac:dyDescent="0.25">
      <c r="A28" s="31"/>
      <c r="B28" s="62" t="str">
        <f>IF(A28="","",IFERROR(VLOOKUP($A28,APOIO!$A:$B,2,FALSE),"error"))</f>
        <v/>
      </c>
      <c r="C28" s="77"/>
      <c r="D28" s="62" t="e">
        <f>VLOOKUP($C28,APOIO!$O:$Q,2,FALSE)</f>
        <v>#N/A</v>
      </c>
      <c r="E28" s="62" t="e">
        <f>VLOOKUP($C28,APOIO!$O:$Q,3,FALSE)</f>
        <v>#N/A</v>
      </c>
      <c r="F28" s="78"/>
      <c r="G28" s="88" t="e">
        <f>VLOOKUP($F28,APOIO!$L:$M,2,FALSE)</f>
        <v>#N/A</v>
      </c>
      <c r="H28" s="77"/>
      <c r="I28" s="88" t="e">
        <f>VLOOKUP($H28,APOIO!$H:$J,2,FALSE)</f>
        <v>#N/A</v>
      </c>
      <c r="J28" s="88" t="e">
        <f>VLOOKUP($H28,APOIO!$H:$J,3,FALSE)</f>
        <v>#N/A</v>
      </c>
      <c r="K28" s="32"/>
      <c r="L28" s="32"/>
      <c r="M28" s="31"/>
      <c r="N28" s="32" t="e">
        <f>VLOOKUP($M28,APOIO!$R:$S,2,FALSE)</f>
        <v>#N/A</v>
      </c>
      <c r="O28" s="32"/>
      <c r="P28" s="32"/>
      <c r="Q28" s="71"/>
      <c r="R28" s="68" t="e">
        <f>INDEX(APOIO!$V:$V,MATCH(EOMONTH($Q28,0),APOIO!$X:$X,0))</f>
        <v>#N/A</v>
      </c>
      <c r="S28" s="60"/>
      <c r="T28" s="59"/>
      <c r="U28" s="59" t="str">
        <f t="shared" si="0"/>
        <v/>
      </c>
    </row>
    <row r="29" spans="1:21" ht="15" x14ac:dyDescent="0.25">
      <c r="A29" s="31"/>
      <c r="B29" s="62" t="str">
        <f>IF(A29="","",IFERROR(VLOOKUP($A29,APOIO!$A:$B,2,FALSE),"error"))</f>
        <v/>
      </c>
      <c r="C29" s="77"/>
      <c r="D29" s="62" t="e">
        <f>VLOOKUP($C29,APOIO!$O:$Q,2,FALSE)</f>
        <v>#N/A</v>
      </c>
      <c r="E29" s="62" t="e">
        <f>VLOOKUP($C29,APOIO!$O:$Q,3,FALSE)</f>
        <v>#N/A</v>
      </c>
      <c r="F29" s="78"/>
      <c r="G29" s="88" t="e">
        <f>VLOOKUP($F29,APOIO!$L:$M,2,FALSE)</f>
        <v>#N/A</v>
      </c>
      <c r="H29" s="77"/>
      <c r="I29" s="88" t="e">
        <f>VLOOKUP($H29,APOIO!$H:$J,2,FALSE)</f>
        <v>#N/A</v>
      </c>
      <c r="J29" s="88" t="e">
        <f>VLOOKUP($H29,APOIO!$H:$J,3,FALSE)</f>
        <v>#N/A</v>
      </c>
      <c r="K29" s="32"/>
      <c r="L29" s="32"/>
      <c r="M29" s="31"/>
      <c r="N29" s="32" t="e">
        <f>VLOOKUP($M29,APOIO!$R:$S,2,FALSE)</f>
        <v>#N/A</v>
      </c>
      <c r="O29" s="32"/>
      <c r="P29" s="32"/>
      <c r="Q29" s="71"/>
      <c r="R29" s="68" t="e">
        <f>INDEX(APOIO!$V:$V,MATCH(EOMONTH($Q29,0),APOIO!$X:$X,0))</f>
        <v>#N/A</v>
      </c>
      <c r="S29" s="60"/>
      <c r="T29" s="59"/>
      <c r="U29" s="59" t="str">
        <f t="shared" si="0"/>
        <v/>
      </c>
    </row>
    <row r="30" spans="1:21" ht="15" x14ac:dyDescent="0.25">
      <c r="A30" s="31"/>
      <c r="B30" s="62" t="str">
        <f>IF(A30="","",IFERROR(VLOOKUP($A30,APOIO!$A:$B,2,FALSE),"error"))</f>
        <v/>
      </c>
      <c r="C30" s="77"/>
      <c r="D30" s="62" t="e">
        <f>VLOOKUP($C30,APOIO!$O:$Q,2,FALSE)</f>
        <v>#N/A</v>
      </c>
      <c r="E30" s="62" t="e">
        <f>VLOOKUP($C30,APOIO!$O:$Q,3,FALSE)</f>
        <v>#N/A</v>
      </c>
      <c r="F30" s="78"/>
      <c r="G30" s="88" t="e">
        <f>VLOOKUP($F30,APOIO!$L:$M,2,FALSE)</f>
        <v>#N/A</v>
      </c>
      <c r="H30" s="77"/>
      <c r="I30" s="88" t="e">
        <f>VLOOKUP($H30,APOIO!$H:$J,2,FALSE)</f>
        <v>#N/A</v>
      </c>
      <c r="J30" s="88" t="e">
        <f>VLOOKUP($H30,APOIO!$H:$J,3,FALSE)</f>
        <v>#N/A</v>
      </c>
      <c r="K30" s="32"/>
      <c r="L30" s="32"/>
      <c r="M30" s="31"/>
      <c r="N30" s="32" t="e">
        <f>VLOOKUP($M30,APOIO!$R:$S,2,FALSE)</f>
        <v>#N/A</v>
      </c>
      <c r="O30" s="32"/>
      <c r="P30" s="32"/>
      <c r="Q30" s="71"/>
      <c r="R30" s="68" t="e">
        <f>INDEX(APOIO!$V:$V,MATCH(EOMONTH($Q30,0),APOIO!$X:$X,0))</f>
        <v>#N/A</v>
      </c>
      <c r="S30" s="60"/>
      <c r="T30" s="59"/>
      <c r="U30" s="59" t="str">
        <f t="shared" si="0"/>
        <v/>
      </c>
    </row>
    <row r="31" spans="1:21" ht="15" x14ac:dyDescent="0.25">
      <c r="A31" s="31"/>
      <c r="B31" s="62" t="str">
        <f>IF(A31="","",IFERROR(VLOOKUP($A31,APOIO!$A:$B,2,FALSE),"error"))</f>
        <v/>
      </c>
      <c r="C31" s="77"/>
      <c r="D31" s="62" t="e">
        <f>VLOOKUP($C31,APOIO!$O:$Q,2,FALSE)</f>
        <v>#N/A</v>
      </c>
      <c r="E31" s="62" t="e">
        <f>VLOOKUP($C31,APOIO!$O:$Q,3,FALSE)</f>
        <v>#N/A</v>
      </c>
      <c r="F31" s="78"/>
      <c r="G31" s="88" t="e">
        <f>VLOOKUP($F31,APOIO!$L:$M,2,FALSE)</f>
        <v>#N/A</v>
      </c>
      <c r="H31" s="77"/>
      <c r="I31" s="88" t="e">
        <f>VLOOKUP($H31,APOIO!$H:$J,2,FALSE)</f>
        <v>#N/A</v>
      </c>
      <c r="J31" s="88" t="e">
        <f>VLOOKUP($H31,APOIO!$H:$J,3,FALSE)</f>
        <v>#N/A</v>
      </c>
      <c r="K31" s="32"/>
      <c r="L31" s="32"/>
      <c r="M31" s="31"/>
      <c r="N31" s="32" t="e">
        <f>VLOOKUP($M31,APOIO!$R:$S,2,FALSE)</f>
        <v>#N/A</v>
      </c>
      <c r="O31" s="32"/>
      <c r="P31" s="32"/>
      <c r="Q31" s="71"/>
      <c r="R31" s="68" t="e">
        <f>INDEX(APOIO!$V:$V,MATCH(EOMONTH($Q31,0),APOIO!$X:$X,0))</f>
        <v>#N/A</v>
      </c>
      <c r="S31" s="60"/>
      <c r="T31" s="59"/>
      <c r="U31" s="59" t="str">
        <f t="shared" si="0"/>
        <v/>
      </c>
    </row>
    <row r="32" spans="1:21" ht="15" x14ac:dyDescent="0.25">
      <c r="A32" s="31"/>
      <c r="B32" s="62" t="str">
        <f>IF(A32="","",IFERROR(VLOOKUP($A32,APOIO!$A:$B,2,FALSE),"error"))</f>
        <v/>
      </c>
      <c r="C32" s="77"/>
      <c r="D32" s="62" t="e">
        <f>VLOOKUP($C32,APOIO!$O:$Q,2,FALSE)</f>
        <v>#N/A</v>
      </c>
      <c r="E32" s="62" t="e">
        <f>VLOOKUP($C32,APOIO!$O:$Q,3,FALSE)</f>
        <v>#N/A</v>
      </c>
      <c r="F32" s="78"/>
      <c r="G32" s="88" t="e">
        <f>VLOOKUP($F32,APOIO!$L:$M,2,FALSE)</f>
        <v>#N/A</v>
      </c>
      <c r="H32" s="77"/>
      <c r="I32" s="88" t="e">
        <f>VLOOKUP($H32,APOIO!$H:$J,2,FALSE)</f>
        <v>#N/A</v>
      </c>
      <c r="J32" s="88" t="e">
        <f>VLOOKUP($H32,APOIO!$H:$J,3,FALSE)</f>
        <v>#N/A</v>
      </c>
      <c r="K32" s="32"/>
      <c r="L32" s="32"/>
      <c r="M32" s="31"/>
      <c r="N32" s="32" t="e">
        <f>VLOOKUP($M32,APOIO!$R:$S,2,FALSE)</f>
        <v>#N/A</v>
      </c>
      <c r="O32" s="32"/>
      <c r="P32" s="32"/>
      <c r="Q32" s="71"/>
      <c r="R32" s="68" t="e">
        <f>INDEX(APOIO!$V:$V,MATCH(EOMONTH($Q32,0),APOIO!$X:$X,0))</f>
        <v>#N/A</v>
      </c>
      <c r="S32" s="60"/>
      <c r="T32" s="59"/>
      <c r="U32" s="59" t="str">
        <f t="shared" si="0"/>
        <v/>
      </c>
    </row>
    <row r="33" spans="1:21" ht="15" x14ac:dyDescent="0.25">
      <c r="A33" s="31"/>
      <c r="B33" s="62" t="str">
        <f>IF(A33="","",IFERROR(VLOOKUP($A33,APOIO!$A:$B,2,FALSE),"error"))</f>
        <v/>
      </c>
      <c r="C33" s="77"/>
      <c r="D33" s="62" t="e">
        <f>VLOOKUP($C33,APOIO!$O:$Q,2,FALSE)</f>
        <v>#N/A</v>
      </c>
      <c r="E33" s="62" t="e">
        <f>VLOOKUP($C33,APOIO!$O:$Q,3,FALSE)</f>
        <v>#N/A</v>
      </c>
      <c r="F33" s="78"/>
      <c r="G33" s="88" t="e">
        <f>VLOOKUP($F33,APOIO!$L:$M,2,FALSE)</f>
        <v>#N/A</v>
      </c>
      <c r="H33" s="77"/>
      <c r="I33" s="88" t="e">
        <f>VLOOKUP($H33,APOIO!$H:$J,2,FALSE)</f>
        <v>#N/A</v>
      </c>
      <c r="J33" s="88" t="e">
        <f>VLOOKUP($H33,APOIO!$H:$J,3,FALSE)</f>
        <v>#N/A</v>
      </c>
      <c r="K33" s="32"/>
      <c r="L33" s="32"/>
      <c r="M33" s="31"/>
      <c r="N33" s="32" t="e">
        <f>VLOOKUP($M33,APOIO!$R:$S,2,FALSE)</f>
        <v>#N/A</v>
      </c>
      <c r="O33" s="32"/>
      <c r="P33" s="32"/>
      <c r="Q33" s="71"/>
      <c r="R33" s="68" t="e">
        <f>INDEX(APOIO!$V:$V,MATCH(EOMONTH($Q33,0),APOIO!$X:$X,0))</f>
        <v>#N/A</v>
      </c>
      <c r="S33" s="60"/>
      <c r="T33" s="59"/>
      <c r="U33" s="59" t="str">
        <f t="shared" si="0"/>
        <v/>
      </c>
    </row>
    <row r="34" spans="1:21" ht="15" x14ac:dyDescent="0.25">
      <c r="A34" s="31"/>
      <c r="B34" s="62" t="str">
        <f>IF(A34="","",IFERROR(VLOOKUP($A34,APOIO!$A:$B,2,FALSE),"error"))</f>
        <v/>
      </c>
      <c r="C34" s="77"/>
      <c r="D34" s="62" t="e">
        <f>VLOOKUP($C34,APOIO!$O:$Q,2,FALSE)</f>
        <v>#N/A</v>
      </c>
      <c r="E34" s="62" t="e">
        <f>VLOOKUP($C34,APOIO!$O:$Q,3,FALSE)</f>
        <v>#N/A</v>
      </c>
      <c r="F34" s="78"/>
      <c r="G34" s="88" t="e">
        <f>VLOOKUP($F34,APOIO!$L:$M,2,FALSE)</f>
        <v>#N/A</v>
      </c>
      <c r="H34" s="77"/>
      <c r="I34" s="88" t="e">
        <f>VLOOKUP($H34,APOIO!$H:$J,2,FALSE)</f>
        <v>#N/A</v>
      </c>
      <c r="J34" s="88" t="e">
        <f>VLOOKUP($H34,APOIO!$H:$J,3,FALSE)</f>
        <v>#N/A</v>
      </c>
      <c r="K34" s="32"/>
      <c r="L34" s="32"/>
      <c r="M34" s="31"/>
      <c r="N34" s="32" t="e">
        <f>VLOOKUP($M34,APOIO!$R:$S,2,FALSE)</f>
        <v>#N/A</v>
      </c>
      <c r="O34" s="32"/>
      <c r="P34" s="32"/>
      <c r="Q34" s="71"/>
      <c r="R34" s="68" t="e">
        <f>INDEX(APOIO!$V:$V,MATCH(EOMONTH($Q34,0),APOIO!$X:$X,0))</f>
        <v>#N/A</v>
      </c>
      <c r="S34" s="60"/>
      <c r="T34" s="59"/>
      <c r="U34" s="59" t="str">
        <f t="shared" si="0"/>
        <v/>
      </c>
    </row>
    <row r="35" spans="1:21" ht="15" x14ac:dyDescent="0.25">
      <c r="A35" s="31"/>
      <c r="B35" s="62" t="str">
        <f>IF(A35="","",IFERROR(VLOOKUP($A35,APOIO!$A:$B,2,FALSE),"error"))</f>
        <v/>
      </c>
      <c r="C35" s="77"/>
      <c r="D35" s="62" t="e">
        <f>VLOOKUP($C35,APOIO!$O:$Q,2,FALSE)</f>
        <v>#N/A</v>
      </c>
      <c r="E35" s="62" t="e">
        <f>VLOOKUP($C35,APOIO!$O:$Q,3,FALSE)</f>
        <v>#N/A</v>
      </c>
      <c r="F35" s="78"/>
      <c r="G35" s="88" t="e">
        <f>VLOOKUP($F35,APOIO!$L:$M,2,FALSE)</f>
        <v>#N/A</v>
      </c>
      <c r="H35" s="77"/>
      <c r="I35" s="88" t="e">
        <f>VLOOKUP($H35,APOIO!$H:$J,2,FALSE)</f>
        <v>#N/A</v>
      </c>
      <c r="J35" s="88" t="e">
        <f>VLOOKUP($H35,APOIO!$H:$J,3,FALSE)</f>
        <v>#N/A</v>
      </c>
      <c r="K35" s="32"/>
      <c r="L35" s="32"/>
      <c r="M35" s="31"/>
      <c r="N35" s="32" t="e">
        <f>VLOOKUP($M35,APOIO!$R:$S,2,FALSE)</f>
        <v>#N/A</v>
      </c>
      <c r="O35" s="32"/>
      <c r="P35" s="32"/>
      <c r="Q35" s="71"/>
      <c r="R35" s="68" t="e">
        <f>INDEX(APOIO!$V:$V,MATCH(EOMONTH($Q35,0),APOIO!$X:$X,0))</f>
        <v>#N/A</v>
      </c>
      <c r="S35" s="60"/>
      <c r="T35" s="59"/>
      <c r="U35" s="59" t="str">
        <f t="shared" si="0"/>
        <v/>
      </c>
    </row>
    <row r="36" spans="1:21" ht="15" x14ac:dyDescent="0.25">
      <c r="A36" s="31"/>
      <c r="B36" s="62" t="str">
        <f>IF(A36="","",IFERROR(VLOOKUP($A36,APOIO!$A:$B,2,FALSE),"error"))</f>
        <v/>
      </c>
      <c r="C36" s="77"/>
      <c r="D36" s="62" t="e">
        <f>VLOOKUP($C36,APOIO!$O:$Q,2,FALSE)</f>
        <v>#N/A</v>
      </c>
      <c r="E36" s="62" t="e">
        <f>VLOOKUP($C36,APOIO!$O:$Q,3,FALSE)</f>
        <v>#N/A</v>
      </c>
      <c r="F36" s="78"/>
      <c r="G36" s="88" t="e">
        <f>VLOOKUP($F36,APOIO!$L:$M,2,FALSE)</f>
        <v>#N/A</v>
      </c>
      <c r="H36" s="77"/>
      <c r="I36" s="88" t="e">
        <f>VLOOKUP($H36,APOIO!$H:$J,2,FALSE)</f>
        <v>#N/A</v>
      </c>
      <c r="J36" s="88" t="e">
        <f>VLOOKUP($H36,APOIO!$H:$J,3,FALSE)</f>
        <v>#N/A</v>
      </c>
      <c r="K36" s="32"/>
      <c r="L36" s="32"/>
      <c r="M36" s="31"/>
      <c r="N36" s="32" t="e">
        <f>VLOOKUP($M36,APOIO!$R:$S,2,FALSE)</f>
        <v>#N/A</v>
      </c>
      <c r="O36" s="32"/>
      <c r="P36" s="32"/>
      <c r="Q36" s="71"/>
      <c r="R36" s="68" t="e">
        <f>INDEX(APOIO!$V:$V,MATCH(EOMONTH($Q36,0),APOIO!$X:$X,0))</f>
        <v>#N/A</v>
      </c>
      <c r="S36" s="60"/>
      <c r="T36" s="59"/>
      <c r="U36" s="59" t="str">
        <f t="shared" si="0"/>
        <v/>
      </c>
    </row>
    <row r="37" spans="1:21" ht="15" x14ac:dyDescent="0.25">
      <c r="A37" s="31"/>
      <c r="B37" s="62" t="str">
        <f>IF(A37="","",IFERROR(VLOOKUP($A37,APOIO!$A:$B,2,FALSE),"error"))</f>
        <v/>
      </c>
      <c r="C37" s="77"/>
      <c r="D37" s="62" t="e">
        <f>VLOOKUP($C37,APOIO!$O:$Q,2,FALSE)</f>
        <v>#N/A</v>
      </c>
      <c r="E37" s="62" t="e">
        <f>VLOOKUP($C37,APOIO!$O:$Q,3,FALSE)</f>
        <v>#N/A</v>
      </c>
      <c r="F37" s="78"/>
      <c r="G37" s="88" t="e">
        <f>VLOOKUP($F37,APOIO!$L:$M,2,FALSE)</f>
        <v>#N/A</v>
      </c>
      <c r="H37" s="77"/>
      <c r="I37" s="88" t="e">
        <f>VLOOKUP($H37,APOIO!$H:$J,2,FALSE)</f>
        <v>#N/A</v>
      </c>
      <c r="J37" s="88" t="e">
        <f>VLOOKUP($H37,APOIO!$H:$J,3,FALSE)</f>
        <v>#N/A</v>
      </c>
      <c r="K37" s="32"/>
      <c r="L37" s="32"/>
      <c r="M37" s="31"/>
      <c r="N37" s="32" t="e">
        <f>VLOOKUP($M37,APOIO!$R:$S,2,FALSE)</f>
        <v>#N/A</v>
      </c>
      <c r="O37" s="32"/>
      <c r="P37" s="32"/>
      <c r="Q37" s="71"/>
      <c r="R37" s="68" t="e">
        <f>INDEX(APOIO!$V:$V,MATCH(EOMONTH($Q37,0),APOIO!$X:$X,0))</f>
        <v>#N/A</v>
      </c>
      <c r="S37" s="60"/>
      <c r="T37" s="59"/>
      <c r="U37" s="59" t="str">
        <f t="shared" si="0"/>
        <v/>
      </c>
    </row>
    <row r="38" spans="1:21" ht="15" x14ac:dyDescent="0.25">
      <c r="A38" s="31"/>
      <c r="B38" s="62" t="str">
        <f>IF(A38="","",IFERROR(VLOOKUP($A38,APOIO!$A:$B,2,FALSE),"error"))</f>
        <v/>
      </c>
      <c r="C38" s="77"/>
      <c r="D38" s="62" t="e">
        <f>VLOOKUP($C38,APOIO!$O:$Q,2,FALSE)</f>
        <v>#N/A</v>
      </c>
      <c r="E38" s="62" t="e">
        <f>VLOOKUP($C38,APOIO!$O:$Q,3,FALSE)</f>
        <v>#N/A</v>
      </c>
      <c r="F38" s="78"/>
      <c r="G38" s="88" t="e">
        <f>VLOOKUP($F38,APOIO!$L:$M,2,FALSE)</f>
        <v>#N/A</v>
      </c>
      <c r="H38" s="77"/>
      <c r="I38" s="88" t="e">
        <f>VLOOKUP($H38,APOIO!$H:$J,2,FALSE)</f>
        <v>#N/A</v>
      </c>
      <c r="J38" s="88" t="e">
        <f>VLOOKUP($H38,APOIO!$H:$J,3,FALSE)</f>
        <v>#N/A</v>
      </c>
      <c r="K38" s="32"/>
      <c r="L38" s="32"/>
      <c r="M38" s="31"/>
      <c r="N38" s="32" t="e">
        <f>VLOOKUP($M38,APOIO!$R:$S,2,FALSE)</f>
        <v>#N/A</v>
      </c>
      <c r="O38" s="32"/>
      <c r="P38" s="32"/>
      <c r="Q38" s="71"/>
      <c r="R38" s="68" t="e">
        <f>INDEX(APOIO!$V:$V,MATCH(EOMONTH($Q38,0),APOIO!$X:$X,0))</f>
        <v>#N/A</v>
      </c>
      <c r="S38" s="60"/>
      <c r="T38" s="59"/>
      <c r="U38" s="59" t="str">
        <f t="shared" si="0"/>
        <v/>
      </c>
    </row>
    <row r="39" spans="1:21" ht="15" x14ac:dyDescent="0.25">
      <c r="A39" s="31"/>
      <c r="B39" s="62" t="str">
        <f>IF(A39="","",IFERROR(VLOOKUP($A39,APOIO!$A:$B,2,FALSE),"error"))</f>
        <v/>
      </c>
      <c r="C39" s="77"/>
      <c r="D39" s="62" t="e">
        <f>VLOOKUP($C39,APOIO!$O:$Q,2,FALSE)</f>
        <v>#N/A</v>
      </c>
      <c r="E39" s="62" t="e">
        <f>VLOOKUP($C39,APOIO!$O:$Q,3,FALSE)</f>
        <v>#N/A</v>
      </c>
      <c r="F39" s="78"/>
      <c r="G39" s="88" t="e">
        <f>VLOOKUP($F39,APOIO!$L:$M,2,FALSE)</f>
        <v>#N/A</v>
      </c>
      <c r="H39" s="77"/>
      <c r="I39" s="88" t="e">
        <f>VLOOKUP($H39,APOIO!$H:$J,2,FALSE)</f>
        <v>#N/A</v>
      </c>
      <c r="J39" s="88" t="e">
        <f>VLOOKUP($H39,APOIO!$H:$J,3,FALSE)</f>
        <v>#N/A</v>
      </c>
      <c r="K39" s="32"/>
      <c r="L39" s="32"/>
      <c r="M39" s="31"/>
      <c r="N39" s="32" t="e">
        <f>VLOOKUP($M39,APOIO!$R:$S,2,FALSE)</f>
        <v>#N/A</v>
      </c>
      <c r="O39" s="32"/>
      <c r="P39" s="32"/>
      <c r="Q39" s="71"/>
      <c r="R39" s="68" t="e">
        <f>INDEX(APOIO!$V:$V,MATCH(EOMONTH($Q39,0),APOIO!$X:$X,0))</f>
        <v>#N/A</v>
      </c>
      <c r="S39" s="60"/>
      <c r="T39" s="59"/>
      <c r="U39" s="59" t="str">
        <f t="shared" si="0"/>
        <v/>
      </c>
    </row>
    <row r="40" spans="1:21" ht="15" x14ac:dyDescent="0.25">
      <c r="A40" s="31"/>
      <c r="B40" s="62" t="str">
        <f>IF(A40="","",IFERROR(VLOOKUP($A40,APOIO!$A:$B,2,FALSE),"error"))</f>
        <v/>
      </c>
      <c r="C40" s="77"/>
      <c r="D40" s="62" t="e">
        <f>VLOOKUP($C40,APOIO!$O:$Q,2,FALSE)</f>
        <v>#N/A</v>
      </c>
      <c r="E40" s="62" t="e">
        <f>VLOOKUP($C40,APOIO!$O:$Q,3,FALSE)</f>
        <v>#N/A</v>
      </c>
      <c r="F40" s="78"/>
      <c r="G40" s="88" t="e">
        <f>VLOOKUP($F40,APOIO!$L:$M,2,FALSE)</f>
        <v>#N/A</v>
      </c>
      <c r="H40" s="77"/>
      <c r="I40" s="88" t="e">
        <f>VLOOKUP($H40,APOIO!$H:$J,2,FALSE)</f>
        <v>#N/A</v>
      </c>
      <c r="J40" s="88" t="e">
        <f>VLOOKUP($H40,APOIO!$H:$J,3,FALSE)</f>
        <v>#N/A</v>
      </c>
      <c r="K40" s="32"/>
      <c r="L40" s="32"/>
      <c r="M40" s="31"/>
      <c r="N40" s="32" t="e">
        <f>VLOOKUP($M40,APOIO!$R:$S,2,FALSE)</f>
        <v>#N/A</v>
      </c>
      <c r="O40" s="32"/>
      <c r="P40" s="32"/>
      <c r="Q40" s="71"/>
      <c r="R40" s="68" t="e">
        <f>INDEX(APOIO!$V:$V,MATCH(EOMONTH($Q40,0),APOIO!$X:$X,0))</f>
        <v>#N/A</v>
      </c>
      <c r="S40" s="60"/>
      <c r="T40" s="59"/>
      <c r="U40" s="59" t="str">
        <f t="shared" si="0"/>
        <v/>
      </c>
    </row>
    <row r="41" spans="1:21" ht="15" x14ac:dyDescent="0.25">
      <c r="A41" s="31"/>
      <c r="B41" s="62" t="str">
        <f>IF(A41="","",IFERROR(VLOOKUP($A41,APOIO!$A:$B,2,FALSE),"error"))</f>
        <v/>
      </c>
      <c r="C41" s="77"/>
      <c r="D41" s="62" t="e">
        <f>VLOOKUP($C41,APOIO!$O:$Q,2,FALSE)</f>
        <v>#N/A</v>
      </c>
      <c r="E41" s="62" t="e">
        <f>VLOOKUP($C41,APOIO!$O:$Q,3,FALSE)</f>
        <v>#N/A</v>
      </c>
      <c r="F41" s="78"/>
      <c r="G41" s="88" t="e">
        <f>VLOOKUP($F41,APOIO!$L:$M,2,FALSE)</f>
        <v>#N/A</v>
      </c>
      <c r="H41" s="77"/>
      <c r="I41" s="88" t="e">
        <f>VLOOKUP($H41,APOIO!$H:$J,2,FALSE)</f>
        <v>#N/A</v>
      </c>
      <c r="J41" s="88" t="e">
        <f>VLOOKUP($H41,APOIO!$H:$J,3,FALSE)</f>
        <v>#N/A</v>
      </c>
      <c r="K41" s="32"/>
      <c r="L41" s="32"/>
      <c r="M41" s="31"/>
      <c r="N41" s="32" t="e">
        <f>VLOOKUP($M41,APOIO!$R:$S,2,FALSE)</f>
        <v>#N/A</v>
      </c>
      <c r="O41" s="32"/>
      <c r="P41" s="32"/>
      <c r="Q41" s="71"/>
      <c r="R41" s="68" t="e">
        <f>INDEX(APOIO!$V:$V,MATCH(EOMONTH($Q41,0),APOIO!$X:$X,0))</f>
        <v>#N/A</v>
      </c>
      <c r="S41" s="60"/>
      <c r="T41" s="59"/>
      <c r="U41" s="59" t="str">
        <f t="shared" si="0"/>
        <v/>
      </c>
    </row>
    <row r="42" spans="1:21" ht="15" x14ac:dyDescent="0.25">
      <c r="A42" s="31"/>
      <c r="B42" s="62" t="str">
        <f>IF(A42="","",IFERROR(VLOOKUP($A42,APOIO!$A:$B,2,FALSE),"error"))</f>
        <v/>
      </c>
      <c r="C42" s="77"/>
      <c r="D42" s="62" t="e">
        <f>VLOOKUP($C42,APOIO!$O:$Q,2,FALSE)</f>
        <v>#N/A</v>
      </c>
      <c r="E42" s="62" t="e">
        <f>VLOOKUP($C42,APOIO!$O:$Q,3,FALSE)</f>
        <v>#N/A</v>
      </c>
      <c r="F42" s="78"/>
      <c r="G42" s="88" t="e">
        <f>VLOOKUP($F42,APOIO!$L:$M,2,FALSE)</f>
        <v>#N/A</v>
      </c>
      <c r="H42" s="77"/>
      <c r="I42" s="88" t="e">
        <f>VLOOKUP($H42,APOIO!$H:$J,2,FALSE)</f>
        <v>#N/A</v>
      </c>
      <c r="J42" s="88" t="e">
        <f>VLOOKUP($H42,APOIO!$H:$J,3,FALSE)</f>
        <v>#N/A</v>
      </c>
      <c r="K42" s="32"/>
      <c r="L42" s="32"/>
      <c r="M42" s="31"/>
      <c r="N42" s="32" t="e">
        <f>VLOOKUP($M42,APOIO!$R:$S,2,FALSE)</f>
        <v>#N/A</v>
      </c>
      <c r="O42" s="32"/>
      <c r="P42" s="32"/>
      <c r="Q42" s="71"/>
      <c r="R42" s="68" t="e">
        <f>INDEX(APOIO!$V:$V,MATCH(EOMONTH($Q42,0),APOIO!$X:$X,0))</f>
        <v>#N/A</v>
      </c>
      <c r="S42" s="60"/>
      <c r="T42" s="59"/>
      <c r="U42" s="59" t="str">
        <f t="shared" si="0"/>
        <v/>
      </c>
    </row>
    <row r="43" spans="1:21" ht="15" x14ac:dyDescent="0.25">
      <c r="A43" s="31"/>
      <c r="B43" s="62" t="str">
        <f>IF(A43="","",IFERROR(VLOOKUP($A43,APOIO!$A:$B,2,FALSE),"error"))</f>
        <v/>
      </c>
      <c r="C43" s="77"/>
      <c r="D43" s="62" t="e">
        <f>VLOOKUP($C43,APOIO!$O:$Q,2,FALSE)</f>
        <v>#N/A</v>
      </c>
      <c r="E43" s="62" t="e">
        <f>VLOOKUP($C43,APOIO!$O:$Q,3,FALSE)</f>
        <v>#N/A</v>
      </c>
      <c r="F43" s="78"/>
      <c r="G43" s="88" t="e">
        <f>VLOOKUP($F43,APOIO!$L:$M,2,FALSE)</f>
        <v>#N/A</v>
      </c>
      <c r="H43" s="77"/>
      <c r="I43" s="88" t="e">
        <f>VLOOKUP($H43,APOIO!$H:$J,2,FALSE)</f>
        <v>#N/A</v>
      </c>
      <c r="J43" s="88" t="e">
        <f>VLOOKUP($H43,APOIO!$H:$J,3,FALSE)</f>
        <v>#N/A</v>
      </c>
      <c r="K43" s="32"/>
      <c r="L43" s="32"/>
      <c r="M43" s="31"/>
      <c r="N43" s="32" t="e">
        <f>VLOOKUP($M43,APOIO!$R:$S,2,FALSE)</f>
        <v>#N/A</v>
      </c>
      <c r="O43" s="32"/>
      <c r="P43" s="32"/>
      <c r="Q43" s="71"/>
      <c r="R43" s="68" t="e">
        <f>INDEX(APOIO!$V:$V,MATCH(EOMONTH($Q43,0),APOIO!$X:$X,0))</f>
        <v>#N/A</v>
      </c>
      <c r="S43" s="60"/>
      <c r="T43" s="59"/>
      <c r="U43" s="59" t="str">
        <f t="shared" si="0"/>
        <v/>
      </c>
    </row>
    <row r="44" spans="1:21" ht="15" x14ac:dyDescent="0.25">
      <c r="A44" s="31"/>
      <c r="B44" s="62" t="str">
        <f>IF(A44="","",IFERROR(VLOOKUP($A44,APOIO!$A:$B,2,FALSE),"error"))</f>
        <v/>
      </c>
      <c r="C44" s="77"/>
      <c r="D44" s="62" t="e">
        <f>VLOOKUP($C44,APOIO!$O:$Q,2,FALSE)</f>
        <v>#N/A</v>
      </c>
      <c r="E44" s="62" t="e">
        <f>VLOOKUP($C44,APOIO!$O:$Q,3,FALSE)</f>
        <v>#N/A</v>
      </c>
      <c r="F44" s="78"/>
      <c r="G44" s="88" t="e">
        <f>VLOOKUP($F44,APOIO!$L:$M,2,FALSE)</f>
        <v>#N/A</v>
      </c>
      <c r="H44" s="77"/>
      <c r="I44" s="88" t="e">
        <f>VLOOKUP($H44,APOIO!$H:$J,2,FALSE)</f>
        <v>#N/A</v>
      </c>
      <c r="J44" s="88" t="e">
        <f>VLOOKUP($H44,APOIO!$H:$J,3,FALSE)</f>
        <v>#N/A</v>
      </c>
      <c r="K44" s="32"/>
      <c r="L44" s="32"/>
      <c r="M44" s="31"/>
      <c r="N44" s="32" t="e">
        <f>VLOOKUP($M44,APOIO!$R:$S,2,FALSE)</f>
        <v>#N/A</v>
      </c>
      <c r="O44" s="32"/>
      <c r="P44" s="32"/>
      <c r="Q44" s="71"/>
      <c r="R44" s="68" t="e">
        <f>INDEX(APOIO!$V:$V,MATCH(EOMONTH($Q44,0),APOIO!$X:$X,0))</f>
        <v>#N/A</v>
      </c>
      <c r="S44" s="60"/>
      <c r="T44" s="59"/>
      <c r="U44" s="59" t="str">
        <f t="shared" si="0"/>
        <v/>
      </c>
    </row>
    <row r="45" spans="1:21" ht="15" x14ac:dyDescent="0.25">
      <c r="A45" s="31"/>
      <c r="B45" s="62" t="str">
        <f>IF(A45="","",IFERROR(VLOOKUP($A45,APOIO!$A:$B,2,FALSE),"error"))</f>
        <v/>
      </c>
      <c r="C45" s="77"/>
      <c r="D45" s="62" t="e">
        <f>VLOOKUP($C45,APOIO!$O:$Q,2,FALSE)</f>
        <v>#N/A</v>
      </c>
      <c r="E45" s="62" t="e">
        <f>VLOOKUP($C45,APOIO!$O:$Q,3,FALSE)</f>
        <v>#N/A</v>
      </c>
      <c r="F45" s="78"/>
      <c r="G45" s="88" t="e">
        <f>VLOOKUP($F45,APOIO!$L:$M,2,FALSE)</f>
        <v>#N/A</v>
      </c>
      <c r="H45" s="77"/>
      <c r="I45" s="88" t="e">
        <f>VLOOKUP($H45,APOIO!$H:$J,2,FALSE)</f>
        <v>#N/A</v>
      </c>
      <c r="J45" s="88" t="e">
        <f>VLOOKUP($H45,APOIO!$H:$J,3,FALSE)</f>
        <v>#N/A</v>
      </c>
      <c r="K45" s="32"/>
      <c r="L45" s="32"/>
      <c r="M45" s="31"/>
      <c r="N45" s="32" t="e">
        <f>VLOOKUP($M45,APOIO!$R:$S,2,FALSE)</f>
        <v>#N/A</v>
      </c>
      <c r="O45" s="32"/>
      <c r="P45" s="32"/>
      <c r="Q45" s="71"/>
      <c r="R45" s="68" t="e">
        <f>INDEX(APOIO!$V:$V,MATCH(EOMONTH($Q45,0),APOIO!$X:$X,0))</f>
        <v>#N/A</v>
      </c>
      <c r="S45" s="60"/>
      <c r="T45" s="59"/>
      <c r="U45" s="59" t="str">
        <f t="shared" si="0"/>
        <v/>
      </c>
    </row>
    <row r="46" spans="1:21" ht="15" x14ac:dyDescent="0.25">
      <c r="A46" s="31"/>
      <c r="B46" s="62" t="str">
        <f>IF(A46="","",IFERROR(VLOOKUP($A46,APOIO!$A:$B,2,FALSE),"error"))</f>
        <v/>
      </c>
      <c r="C46" s="77"/>
      <c r="D46" s="62" t="e">
        <f>VLOOKUP($C46,APOIO!$O:$Q,2,FALSE)</f>
        <v>#N/A</v>
      </c>
      <c r="E46" s="62" t="e">
        <f>VLOOKUP($C46,APOIO!$O:$Q,3,FALSE)</f>
        <v>#N/A</v>
      </c>
      <c r="F46" s="78"/>
      <c r="G46" s="88" t="e">
        <f>VLOOKUP($F46,APOIO!$L:$M,2,FALSE)</f>
        <v>#N/A</v>
      </c>
      <c r="H46" s="77"/>
      <c r="I46" s="88" t="e">
        <f>VLOOKUP($H46,APOIO!$H:$J,2,FALSE)</f>
        <v>#N/A</v>
      </c>
      <c r="J46" s="88" t="e">
        <f>VLOOKUP($H46,APOIO!$H:$J,3,FALSE)</f>
        <v>#N/A</v>
      </c>
      <c r="K46" s="32"/>
      <c r="L46" s="32"/>
      <c r="M46" s="31"/>
      <c r="N46" s="32" t="e">
        <f>VLOOKUP($M46,APOIO!$R:$S,2,FALSE)</f>
        <v>#N/A</v>
      </c>
      <c r="O46" s="32"/>
      <c r="P46" s="32"/>
      <c r="Q46" s="71"/>
      <c r="R46" s="68" t="e">
        <f>INDEX(APOIO!$V:$V,MATCH(EOMONTH($Q46,0),APOIO!$X:$X,0))</f>
        <v>#N/A</v>
      </c>
      <c r="S46" s="60"/>
      <c r="T46" s="59"/>
      <c r="U46" s="59" t="str">
        <f t="shared" si="0"/>
        <v/>
      </c>
    </row>
    <row r="47" spans="1:21" ht="15" x14ac:dyDescent="0.25">
      <c r="A47" s="31"/>
      <c r="B47" s="62" t="str">
        <f>IF(A47="","",IFERROR(VLOOKUP($A47,APOIO!$A:$B,2,FALSE),"error"))</f>
        <v/>
      </c>
      <c r="C47" s="77"/>
      <c r="D47" s="62" t="e">
        <f>VLOOKUP($C47,APOIO!$O:$Q,2,FALSE)</f>
        <v>#N/A</v>
      </c>
      <c r="E47" s="62" t="e">
        <f>VLOOKUP($C47,APOIO!$O:$Q,3,FALSE)</f>
        <v>#N/A</v>
      </c>
      <c r="F47" s="78"/>
      <c r="G47" s="88" t="e">
        <f>VLOOKUP($F47,APOIO!$L:$M,2,FALSE)</f>
        <v>#N/A</v>
      </c>
      <c r="H47" s="77"/>
      <c r="I47" s="88" t="e">
        <f>VLOOKUP($H47,APOIO!$H:$J,2,FALSE)</f>
        <v>#N/A</v>
      </c>
      <c r="J47" s="88" t="e">
        <f>VLOOKUP($H47,APOIO!$H:$J,3,FALSE)</f>
        <v>#N/A</v>
      </c>
      <c r="K47" s="32"/>
      <c r="L47" s="32"/>
      <c r="M47" s="31"/>
      <c r="N47" s="32" t="e">
        <f>VLOOKUP($M47,APOIO!$R:$S,2,FALSE)</f>
        <v>#N/A</v>
      </c>
      <c r="O47" s="32"/>
      <c r="P47" s="32"/>
      <c r="Q47" s="71"/>
      <c r="R47" s="68" t="e">
        <f>INDEX(APOIO!$V:$V,MATCH(EOMONTH($Q47,0),APOIO!$X:$X,0))</f>
        <v>#N/A</v>
      </c>
      <c r="S47" s="60"/>
      <c r="T47" s="59"/>
      <c r="U47" s="59" t="str">
        <f t="shared" si="0"/>
        <v/>
      </c>
    </row>
    <row r="48" spans="1:21" ht="15" x14ac:dyDescent="0.25">
      <c r="A48" s="31"/>
      <c r="B48" s="62" t="str">
        <f>IF(A48="","",IFERROR(VLOOKUP($A48,APOIO!$A:$B,2,FALSE),"error"))</f>
        <v/>
      </c>
      <c r="C48" s="77"/>
      <c r="D48" s="62" t="e">
        <f>VLOOKUP($C48,APOIO!$O:$Q,2,FALSE)</f>
        <v>#N/A</v>
      </c>
      <c r="E48" s="62" t="e">
        <f>VLOOKUP($C48,APOIO!$O:$Q,3,FALSE)</f>
        <v>#N/A</v>
      </c>
      <c r="F48" s="78"/>
      <c r="G48" s="88" t="e">
        <f>VLOOKUP($F48,APOIO!$L:$M,2,FALSE)</f>
        <v>#N/A</v>
      </c>
      <c r="H48" s="77"/>
      <c r="I48" s="88" t="e">
        <f>VLOOKUP($H48,APOIO!$H:$J,2,FALSE)</f>
        <v>#N/A</v>
      </c>
      <c r="J48" s="88" t="e">
        <f>VLOOKUP($H48,APOIO!$H:$J,3,FALSE)</f>
        <v>#N/A</v>
      </c>
      <c r="K48" s="32"/>
      <c r="L48" s="32"/>
      <c r="M48" s="31"/>
      <c r="N48" s="32" t="e">
        <f>VLOOKUP($M48,APOIO!$R:$S,2,FALSE)</f>
        <v>#N/A</v>
      </c>
      <c r="O48" s="32"/>
      <c r="P48" s="32"/>
      <c r="Q48" s="71"/>
      <c r="R48" s="68" t="e">
        <f>INDEX(APOIO!$V:$V,MATCH(EOMONTH($Q48,0),APOIO!$X:$X,0))</f>
        <v>#N/A</v>
      </c>
      <c r="S48" s="60"/>
      <c r="T48" s="59"/>
      <c r="U48" s="59" t="str">
        <f t="shared" si="0"/>
        <v/>
      </c>
    </row>
    <row r="49" spans="1:21" ht="15" x14ac:dyDescent="0.25">
      <c r="A49" s="31"/>
      <c r="B49" s="62" t="str">
        <f>IF(A49="","",IFERROR(VLOOKUP($A49,APOIO!$A:$B,2,FALSE),"error"))</f>
        <v/>
      </c>
      <c r="C49" s="77"/>
      <c r="D49" s="62" t="e">
        <f>VLOOKUP($C49,APOIO!$O:$Q,2,FALSE)</f>
        <v>#N/A</v>
      </c>
      <c r="E49" s="62" t="e">
        <f>VLOOKUP($C49,APOIO!$O:$Q,3,FALSE)</f>
        <v>#N/A</v>
      </c>
      <c r="F49" s="78"/>
      <c r="G49" s="88" t="e">
        <f>VLOOKUP($F49,APOIO!$L:$M,2,FALSE)</f>
        <v>#N/A</v>
      </c>
      <c r="H49" s="77"/>
      <c r="I49" s="88" t="e">
        <f>VLOOKUP($H49,APOIO!$H:$J,2,FALSE)</f>
        <v>#N/A</v>
      </c>
      <c r="J49" s="88" t="e">
        <f>VLOOKUP($H49,APOIO!$H:$J,3,FALSE)</f>
        <v>#N/A</v>
      </c>
      <c r="K49" s="32"/>
      <c r="L49" s="32"/>
      <c r="M49" s="31"/>
      <c r="N49" s="32" t="e">
        <f>VLOOKUP($M49,APOIO!$R:$S,2,FALSE)</f>
        <v>#N/A</v>
      </c>
      <c r="O49" s="32"/>
      <c r="P49" s="32"/>
      <c r="Q49" s="71"/>
      <c r="R49" s="68" t="e">
        <f>INDEX(APOIO!$V:$V,MATCH(EOMONTH($Q49,0),APOIO!$X:$X,0))</f>
        <v>#N/A</v>
      </c>
      <c r="S49" s="60"/>
      <c r="T49" s="59"/>
      <c r="U49" s="59" t="str">
        <f t="shared" si="0"/>
        <v/>
      </c>
    </row>
    <row r="50" spans="1:21" ht="15" x14ac:dyDescent="0.25">
      <c r="A50" s="31"/>
      <c r="B50" s="62" t="str">
        <f>IF(A50="","",IFERROR(VLOOKUP($A50,APOIO!$A:$B,2,FALSE),"error"))</f>
        <v/>
      </c>
      <c r="C50" s="77"/>
      <c r="D50" s="62" t="e">
        <f>VLOOKUP($C50,APOIO!$O:$Q,2,FALSE)</f>
        <v>#N/A</v>
      </c>
      <c r="E50" s="62" t="e">
        <f>VLOOKUP($C50,APOIO!$O:$Q,3,FALSE)</f>
        <v>#N/A</v>
      </c>
      <c r="F50" s="78"/>
      <c r="G50" s="88" t="e">
        <f>VLOOKUP($F50,APOIO!$L:$M,2,FALSE)</f>
        <v>#N/A</v>
      </c>
      <c r="H50" s="77"/>
      <c r="I50" s="88" t="e">
        <f>VLOOKUP($H50,APOIO!$H:$J,2,FALSE)</f>
        <v>#N/A</v>
      </c>
      <c r="J50" s="88" t="e">
        <f>VLOOKUP($H50,APOIO!$H:$J,3,FALSE)</f>
        <v>#N/A</v>
      </c>
      <c r="K50" s="32"/>
      <c r="L50" s="32"/>
      <c r="M50" s="31"/>
      <c r="N50" s="32" t="e">
        <f>VLOOKUP($M50,APOIO!$R:$S,2,FALSE)</f>
        <v>#N/A</v>
      </c>
      <c r="O50" s="32"/>
      <c r="P50" s="32"/>
      <c r="Q50" s="71"/>
      <c r="R50" s="68" t="e">
        <f>INDEX(APOIO!$V:$V,MATCH(EOMONTH($Q50,0),APOIO!$X:$X,0))</f>
        <v>#N/A</v>
      </c>
      <c r="S50" s="60"/>
      <c r="T50" s="59"/>
      <c r="U50" s="59" t="str">
        <f t="shared" si="0"/>
        <v/>
      </c>
    </row>
    <row r="51" spans="1:21" ht="15" x14ac:dyDescent="0.25">
      <c r="A51" s="31"/>
      <c r="B51" s="62" t="str">
        <f>IF(A51="","",IFERROR(VLOOKUP($A51,APOIO!$A:$B,2,FALSE),"error"))</f>
        <v/>
      </c>
      <c r="C51" s="77"/>
      <c r="D51" s="62" t="e">
        <f>VLOOKUP($C51,APOIO!$O:$Q,2,FALSE)</f>
        <v>#N/A</v>
      </c>
      <c r="E51" s="62" t="e">
        <f>VLOOKUP($C51,APOIO!$O:$Q,3,FALSE)</f>
        <v>#N/A</v>
      </c>
      <c r="F51" s="78"/>
      <c r="G51" s="88" t="e">
        <f>VLOOKUP($F51,APOIO!$L:$M,2,FALSE)</f>
        <v>#N/A</v>
      </c>
      <c r="H51" s="77"/>
      <c r="I51" s="88" t="e">
        <f>VLOOKUP($H51,APOIO!$H:$J,2,FALSE)</f>
        <v>#N/A</v>
      </c>
      <c r="J51" s="88" t="e">
        <f>VLOOKUP($H51,APOIO!$H:$J,3,FALSE)</f>
        <v>#N/A</v>
      </c>
      <c r="K51" s="32"/>
      <c r="L51" s="32"/>
      <c r="M51" s="31"/>
      <c r="N51" s="32" t="e">
        <f>VLOOKUP($M51,APOIO!$R:$S,2,FALSE)</f>
        <v>#N/A</v>
      </c>
      <c r="O51" s="32"/>
      <c r="P51" s="32"/>
      <c r="Q51" s="71"/>
      <c r="R51" s="68" t="e">
        <f>INDEX(APOIO!$V:$V,MATCH(EOMONTH($Q51,0),APOIO!$X:$X,0))</f>
        <v>#N/A</v>
      </c>
      <c r="S51" s="60"/>
      <c r="T51" s="59"/>
      <c r="U51" s="59" t="str">
        <f t="shared" si="0"/>
        <v/>
      </c>
    </row>
    <row r="52" spans="1:21" ht="15" x14ac:dyDescent="0.25">
      <c r="A52" s="31"/>
      <c r="B52" s="62" t="str">
        <f>IF(A52="","",IFERROR(VLOOKUP($A52,APOIO!$A:$B,2,FALSE),"error"))</f>
        <v/>
      </c>
      <c r="C52" s="77"/>
      <c r="D52" s="62" t="e">
        <f>VLOOKUP($C52,APOIO!$O:$Q,2,FALSE)</f>
        <v>#N/A</v>
      </c>
      <c r="E52" s="62" t="e">
        <f>VLOOKUP($C52,APOIO!$O:$Q,3,FALSE)</f>
        <v>#N/A</v>
      </c>
      <c r="F52" s="78"/>
      <c r="G52" s="88" t="e">
        <f>VLOOKUP($F52,APOIO!$L:$M,2,FALSE)</f>
        <v>#N/A</v>
      </c>
      <c r="H52" s="77"/>
      <c r="I52" s="88" t="e">
        <f>VLOOKUP($H52,APOIO!$H:$J,2,FALSE)</f>
        <v>#N/A</v>
      </c>
      <c r="J52" s="88" t="e">
        <f>VLOOKUP($H52,APOIO!$H:$J,3,FALSE)</f>
        <v>#N/A</v>
      </c>
      <c r="K52" s="32"/>
      <c r="L52" s="32"/>
      <c r="M52" s="31"/>
      <c r="N52" s="32" t="e">
        <f>VLOOKUP($M52,APOIO!$R:$S,2,FALSE)</f>
        <v>#N/A</v>
      </c>
      <c r="O52" s="32"/>
      <c r="P52" s="32"/>
      <c r="Q52" s="71"/>
      <c r="R52" s="68" t="e">
        <f>INDEX(APOIO!$V:$V,MATCH(EOMONTH($Q52,0),APOIO!$X:$X,0))</f>
        <v>#N/A</v>
      </c>
      <c r="S52" s="60"/>
      <c r="T52" s="59"/>
      <c r="U52" s="59" t="str">
        <f t="shared" si="0"/>
        <v/>
      </c>
    </row>
    <row r="53" spans="1:21" ht="15" x14ac:dyDescent="0.25">
      <c r="A53" s="31"/>
      <c r="B53" s="62" t="str">
        <f>IF(A53="","",IFERROR(VLOOKUP($A53,APOIO!$A:$B,2,FALSE),"error"))</f>
        <v/>
      </c>
      <c r="C53" s="77"/>
      <c r="D53" s="62" t="e">
        <f>VLOOKUP($C53,APOIO!$O:$Q,2,FALSE)</f>
        <v>#N/A</v>
      </c>
      <c r="E53" s="62" t="e">
        <f>VLOOKUP($C53,APOIO!$O:$Q,3,FALSE)</f>
        <v>#N/A</v>
      </c>
      <c r="F53" s="78"/>
      <c r="G53" s="88" t="e">
        <f>VLOOKUP($F53,APOIO!$L:$M,2,FALSE)</f>
        <v>#N/A</v>
      </c>
      <c r="H53" s="77"/>
      <c r="I53" s="88" t="e">
        <f>VLOOKUP($H53,APOIO!$H:$J,2,FALSE)</f>
        <v>#N/A</v>
      </c>
      <c r="J53" s="88" t="e">
        <f>VLOOKUP($H53,APOIO!$H:$J,3,FALSE)</f>
        <v>#N/A</v>
      </c>
      <c r="K53" s="32"/>
      <c r="L53" s="32"/>
      <c r="M53" s="31"/>
      <c r="N53" s="32" t="e">
        <f>VLOOKUP($M53,APOIO!$R:$S,2,FALSE)</f>
        <v>#N/A</v>
      </c>
      <c r="O53" s="32"/>
      <c r="P53" s="32"/>
      <c r="Q53" s="71"/>
      <c r="R53" s="68" t="e">
        <f>INDEX(APOIO!$V:$V,MATCH(EOMONTH($Q53,0),APOIO!$X:$X,0))</f>
        <v>#N/A</v>
      </c>
      <c r="S53" s="60"/>
      <c r="T53" s="59"/>
      <c r="U53" s="59" t="str">
        <f t="shared" si="0"/>
        <v/>
      </c>
    </row>
    <row r="54" spans="1:21" ht="15" x14ac:dyDescent="0.25">
      <c r="A54" s="31"/>
      <c r="B54" s="62" t="str">
        <f>IF(A54="","",IFERROR(VLOOKUP($A54,APOIO!$A:$B,2,FALSE),"error"))</f>
        <v/>
      </c>
      <c r="C54" s="77"/>
      <c r="D54" s="62" t="e">
        <f>VLOOKUP($C54,APOIO!$O:$Q,2,FALSE)</f>
        <v>#N/A</v>
      </c>
      <c r="E54" s="62" t="e">
        <f>VLOOKUP($C54,APOIO!$O:$Q,3,FALSE)</f>
        <v>#N/A</v>
      </c>
      <c r="F54" s="78"/>
      <c r="G54" s="88" t="e">
        <f>VLOOKUP($F54,APOIO!$L:$M,2,FALSE)</f>
        <v>#N/A</v>
      </c>
      <c r="H54" s="77"/>
      <c r="I54" s="88" t="e">
        <f>VLOOKUP($H54,APOIO!$H:$J,2,FALSE)</f>
        <v>#N/A</v>
      </c>
      <c r="J54" s="88" t="e">
        <f>VLOOKUP($H54,APOIO!$H:$J,3,FALSE)</f>
        <v>#N/A</v>
      </c>
      <c r="K54" s="32"/>
      <c r="L54" s="32"/>
      <c r="M54" s="31"/>
      <c r="N54" s="32" t="e">
        <f>VLOOKUP($M54,APOIO!$R:$S,2,FALSE)</f>
        <v>#N/A</v>
      </c>
      <c r="O54" s="32"/>
      <c r="P54" s="32"/>
      <c r="Q54" s="71"/>
      <c r="R54" s="68" t="e">
        <f>INDEX(APOIO!$V:$V,MATCH(EOMONTH($Q54,0),APOIO!$X:$X,0))</f>
        <v>#N/A</v>
      </c>
      <c r="S54" s="60"/>
      <c r="T54" s="59"/>
      <c r="U54" s="59" t="str">
        <f t="shared" si="0"/>
        <v/>
      </c>
    </row>
    <row r="55" spans="1:21" ht="15" x14ac:dyDescent="0.25">
      <c r="A55" s="31"/>
      <c r="B55" s="62" t="str">
        <f>IF(A55="","",IFERROR(VLOOKUP($A55,APOIO!$A:$B,2,FALSE),"error"))</f>
        <v/>
      </c>
      <c r="C55" s="77"/>
      <c r="D55" s="62" t="e">
        <f>VLOOKUP($C55,APOIO!$O:$Q,2,FALSE)</f>
        <v>#N/A</v>
      </c>
      <c r="E55" s="62" t="e">
        <f>VLOOKUP($C55,APOIO!$O:$Q,3,FALSE)</f>
        <v>#N/A</v>
      </c>
      <c r="F55" s="78"/>
      <c r="G55" s="88" t="e">
        <f>VLOOKUP($F55,APOIO!$L:$M,2,FALSE)</f>
        <v>#N/A</v>
      </c>
      <c r="H55" s="77"/>
      <c r="I55" s="88" t="e">
        <f>VLOOKUP($H55,APOIO!$H:$J,2,FALSE)</f>
        <v>#N/A</v>
      </c>
      <c r="J55" s="88" t="e">
        <f>VLOOKUP($H55,APOIO!$H:$J,3,FALSE)</f>
        <v>#N/A</v>
      </c>
      <c r="K55" s="32"/>
      <c r="L55" s="32"/>
      <c r="M55" s="31"/>
      <c r="N55" s="32" t="e">
        <f>VLOOKUP($M55,APOIO!$R:$S,2,FALSE)</f>
        <v>#N/A</v>
      </c>
      <c r="O55" s="32"/>
      <c r="P55" s="32"/>
      <c r="Q55" s="71"/>
      <c r="R55" s="68" t="e">
        <f>INDEX(APOIO!$V:$V,MATCH(EOMONTH($Q55,0),APOIO!$X:$X,0))</f>
        <v>#N/A</v>
      </c>
      <c r="S55" s="60"/>
      <c r="T55" s="59"/>
      <c r="U55" s="59" t="str">
        <f t="shared" si="0"/>
        <v/>
      </c>
    </row>
    <row r="56" spans="1:21" ht="15" x14ac:dyDescent="0.25">
      <c r="A56" s="31"/>
      <c r="B56" s="62" t="str">
        <f>IF(A56="","",IFERROR(VLOOKUP($A56,APOIO!$A:$B,2,FALSE),"error"))</f>
        <v/>
      </c>
      <c r="C56" s="77"/>
      <c r="D56" s="62" t="e">
        <f>VLOOKUP($C56,APOIO!$O:$Q,2,FALSE)</f>
        <v>#N/A</v>
      </c>
      <c r="E56" s="62" t="e">
        <f>VLOOKUP($C56,APOIO!$O:$Q,3,FALSE)</f>
        <v>#N/A</v>
      </c>
      <c r="F56" s="78"/>
      <c r="G56" s="88" t="e">
        <f>VLOOKUP($F56,APOIO!$L:$M,2,FALSE)</f>
        <v>#N/A</v>
      </c>
      <c r="H56" s="77"/>
      <c r="I56" s="88" t="e">
        <f>VLOOKUP($H56,APOIO!$H:$J,2,FALSE)</f>
        <v>#N/A</v>
      </c>
      <c r="J56" s="88" t="e">
        <f>VLOOKUP($H56,APOIO!$H:$J,3,FALSE)</f>
        <v>#N/A</v>
      </c>
      <c r="K56" s="32"/>
      <c r="L56" s="32"/>
      <c r="M56" s="31"/>
      <c r="N56" s="32" t="e">
        <f>VLOOKUP($M56,APOIO!$R:$S,2,FALSE)</f>
        <v>#N/A</v>
      </c>
      <c r="O56" s="32"/>
      <c r="P56" s="32"/>
      <c r="Q56" s="71"/>
      <c r="R56" s="68" t="e">
        <f>INDEX(APOIO!$V:$V,MATCH(EOMONTH($Q56,0),APOIO!$X:$X,0))</f>
        <v>#N/A</v>
      </c>
      <c r="S56" s="60"/>
      <c r="T56" s="59"/>
      <c r="U56" s="59" t="str">
        <f t="shared" si="0"/>
        <v/>
      </c>
    </row>
    <row r="57" spans="1:21" ht="15" x14ac:dyDescent="0.25">
      <c r="A57" s="31"/>
      <c r="B57" s="62" t="str">
        <f>IF(A57="","",IFERROR(VLOOKUP($A57,APOIO!$A:$B,2,FALSE),"error"))</f>
        <v/>
      </c>
      <c r="C57" s="77"/>
      <c r="D57" s="62" t="e">
        <f>VLOOKUP($C57,APOIO!$O:$Q,2,FALSE)</f>
        <v>#N/A</v>
      </c>
      <c r="E57" s="62" t="e">
        <f>VLOOKUP($C57,APOIO!$O:$Q,3,FALSE)</f>
        <v>#N/A</v>
      </c>
      <c r="F57" s="78"/>
      <c r="G57" s="88" t="e">
        <f>VLOOKUP($F57,APOIO!$L:$M,2,FALSE)</f>
        <v>#N/A</v>
      </c>
      <c r="H57" s="77"/>
      <c r="I57" s="88" t="e">
        <f>VLOOKUP($H57,APOIO!$H:$J,2,FALSE)</f>
        <v>#N/A</v>
      </c>
      <c r="J57" s="88" t="e">
        <f>VLOOKUP($H57,APOIO!$H:$J,3,FALSE)</f>
        <v>#N/A</v>
      </c>
      <c r="K57" s="32"/>
      <c r="L57" s="32"/>
      <c r="M57" s="31"/>
      <c r="N57" s="32" t="e">
        <f>VLOOKUP($M57,APOIO!$R:$S,2,FALSE)</f>
        <v>#N/A</v>
      </c>
      <c r="O57" s="32"/>
      <c r="P57" s="32"/>
      <c r="Q57" s="71"/>
      <c r="R57" s="68" t="e">
        <f>INDEX(APOIO!$V:$V,MATCH(EOMONTH($Q57,0),APOIO!$X:$X,0))</f>
        <v>#N/A</v>
      </c>
      <c r="S57" s="60"/>
      <c r="T57" s="59"/>
      <c r="U57" s="59" t="str">
        <f t="shared" si="0"/>
        <v/>
      </c>
    </row>
    <row r="58" spans="1:21" ht="15" x14ac:dyDescent="0.25">
      <c r="A58" s="31"/>
      <c r="B58" s="62" t="str">
        <f>IF(A58="","",IFERROR(VLOOKUP($A58,APOIO!$A:$B,2,FALSE),"error"))</f>
        <v/>
      </c>
      <c r="C58" s="77"/>
      <c r="D58" s="62" t="e">
        <f>VLOOKUP($C58,APOIO!$O:$Q,2,FALSE)</f>
        <v>#N/A</v>
      </c>
      <c r="E58" s="62" t="e">
        <f>VLOOKUP($C58,APOIO!$O:$Q,3,FALSE)</f>
        <v>#N/A</v>
      </c>
      <c r="F58" s="78"/>
      <c r="G58" s="88" t="e">
        <f>VLOOKUP($F58,APOIO!$L:$M,2,FALSE)</f>
        <v>#N/A</v>
      </c>
      <c r="H58" s="77"/>
      <c r="I58" s="88" t="e">
        <f>VLOOKUP($H58,APOIO!$H:$J,2,FALSE)</f>
        <v>#N/A</v>
      </c>
      <c r="J58" s="88" t="e">
        <f>VLOOKUP($H58,APOIO!$H:$J,3,FALSE)</f>
        <v>#N/A</v>
      </c>
      <c r="K58" s="32"/>
      <c r="L58" s="32"/>
      <c r="M58" s="31"/>
      <c r="N58" s="32" t="e">
        <f>VLOOKUP($M58,APOIO!$R:$S,2,FALSE)</f>
        <v>#N/A</v>
      </c>
      <c r="O58" s="32"/>
      <c r="P58" s="32"/>
      <c r="Q58" s="71"/>
      <c r="R58" s="68" t="e">
        <f>INDEX(APOIO!$V:$V,MATCH(EOMONTH($Q58,0),APOIO!$X:$X,0))</f>
        <v>#N/A</v>
      </c>
      <c r="S58" s="60"/>
      <c r="T58" s="59"/>
      <c r="U58" s="59" t="str">
        <f t="shared" si="0"/>
        <v/>
      </c>
    </row>
    <row r="59" spans="1:21" ht="15" x14ac:dyDescent="0.25">
      <c r="A59" s="31"/>
      <c r="B59" s="62" t="str">
        <f>IF(A59="","",IFERROR(VLOOKUP($A59,APOIO!$A:$B,2,FALSE),"error"))</f>
        <v/>
      </c>
      <c r="C59" s="77"/>
      <c r="D59" s="62" t="e">
        <f>VLOOKUP($C59,APOIO!$O:$Q,2,FALSE)</f>
        <v>#N/A</v>
      </c>
      <c r="E59" s="62" t="e">
        <f>VLOOKUP($C59,APOIO!$O:$Q,3,FALSE)</f>
        <v>#N/A</v>
      </c>
      <c r="F59" s="78"/>
      <c r="G59" s="88" t="e">
        <f>VLOOKUP($F59,APOIO!$L:$M,2,FALSE)</f>
        <v>#N/A</v>
      </c>
      <c r="H59" s="77"/>
      <c r="I59" s="88" t="e">
        <f>VLOOKUP($H59,APOIO!$H:$J,2,FALSE)</f>
        <v>#N/A</v>
      </c>
      <c r="J59" s="88" t="e">
        <f>VLOOKUP($H59,APOIO!$H:$J,3,FALSE)</f>
        <v>#N/A</v>
      </c>
      <c r="K59" s="32"/>
      <c r="L59" s="32"/>
      <c r="M59" s="31"/>
      <c r="N59" s="32" t="e">
        <f>VLOOKUP($M59,APOIO!$R:$S,2,FALSE)</f>
        <v>#N/A</v>
      </c>
      <c r="O59" s="32"/>
      <c r="P59" s="32"/>
      <c r="Q59" s="71"/>
      <c r="R59" s="68" t="e">
        <f>INDEX(APOIO!$V:$V,MATCH(EOMONTH($Q59,0),APOIO!$X:$X,0))</f>
        <v>#N/A</v>
      </c>
      <c r="S59" s="60"/>
      <c r="T59" s="59"/>
      <c r="U59" s="59" t="str">
        <f t="shared" si="0"/>
        <v/>
      </c>
    </row>
    <row r="60" spans="1:21" ht="15" x14ac:dyDescent="0.25">
      <c r="A60" s="31"/>
      <c r="B60" s="62" t="str">
        <f>IF(A60="","",IFERROR(VLOOKUP($A60,APOIO!$A:$B,2,FALSE),"error"))</f>
        <v/>
      </c>
      <c r="C60" s="77"/>
      <c r="D60" s="62" t="e">
        <f>VLOOKUP($C60,APOIO!$O:$Q,2,FALSE)</f>
        <v>#N/A</v>
      </c>
      <c r="E60" s="62" t="e">
        <f>VLOOKUP($C60,APOIO!$O:$Q,3,FALSE)</f>
        <v>#N/A</v>
      </c>
      <c r="F60" s="78"/>
      <c r="G60" s="88" t="e">
        <f>VLOOKUP($F60,APOIO!$L:$M,2,FALSE)</f>
        <v>#N/A</v>
      </c>
      <c r="H60" s="77"/>
      <c r="I60" s="88" t="e">
        <f>VLOOKUP($H60,APOIO!$H:$J,2,FALSE)</f>
        <v>#N/A</v>
      </c>
      <c r="J60" s="88" t="e">
        <f>VLOOKUP($H60,APOIO!$H:$J,3,FALSE)</f>
        <v>#N/A</v>
      </c>
      <c r="K60" s="32"/>
      <c r="L60" s="32"/>
      <c r="M60" s="31"/>
      <c r="N60" s="32" t="e">
        <f>VLOOKUP($M60,APOIO!$R:$S,2,FALSE)</f>
        <v>#N/A</v>
      </c>
      <c r="O60" s="32"/>
      <c r="P60" s="32"/>
      <c r="Q60" s="71"/>
      <c r="R60" s="68" t="e">
        <f>INDEX(APOIO!$V:$V,MATCH(EOMONTH($Q60,0),APOIO!$X:$X,0))</f>
        <v>#N/A</v>
      </c>
      <c r="S60" s="60"/>
      <c r="T60" s="59"/>
      <c r="U60" s="59" t="str">
        <f t="shared" si="0"/>
        <v/>
      </c>
    </row>
    <row r="61" spans="1:21" ht="15" x14ac:dyDescent="0.25">
      <c r="A61" s="31"/>
      <c r="B61" s="62" t="str">
        <f>IF(A61="","",IFERROR(VLOOKUP($A61,APOIO!$A:$B,2,FALSE),"error"))</f>
        <v/>
      </c>
      <c r="C61" s="77"/>
      <c r="D61" s="62" t="e">
        <f>VLOOKUP($C61,APOIO!$O:$Q,2,FALSE)</f>
        <v>#N/A</v>
      </c>
      <c r="E61" s="62" t="e">
        <f>VLOOKUP($C61,APOIO!$O:$Q,3,FALSE)</f>
        <v>#N/A</v>
      </c>
      <c r="F61" s="78"/>
      <c r="G61" s="88" t="e">
        <f>VLOOKUP($F61,APOIO!$L:$M,2,FALSE)</f>
        <v>#N/A</v>
      </c>
      <c r="H61" s="77"/>
      <c r="I61" s="88" t="e">
        <f>VLOOKUP($H61,APOIO!$H:$J,2,FALSE)</f>
        <v>#N/A</v>
      </c>
      <c r="J61" s="88" t="e">
        <f>VLOOKUP($H61,APOIO!$H:$J,3,FALSE)</f>
        <v>#N/A</v>
      </c>
      <c r="K61" s="32"/>
      <c r="L61" s="32"/>
      <c r="M61" s="31"/>
      <c r="N61" s="32" t="e">
        <f>VLOOKUP($M61,APOIO!$R:$S,2,FALSE)</f>
        <v>#N/A</v>
      </c>
      <c r="O61" s="32"/>
      <c r="P61" s="32"/>
      <c r="Q61" s="71"/>
      <c r="R61" s="68" t="e">
        <f>INDEX(APOIO!$V:$V,MATCH(EOMONTH($Q61,0),APOIO!$X:$X,0))</f>
        <v>#N/A</v>
      </c>
      <c r="S61" s="60"/>
      <c r="T61" s="59"/>
      <c r="U61" s="59" t="str">
        <f t="shared" si="0"/>
        <v/>
      </c>
    </row>
    <row r="62" spans="1:21" ht="15" x14ac:dyDescent="0.25">
      <c r="A62" s="31"/>
      <c r="B62" s="62" t="str">
        <f>IF(A62="","",IFERROR(VLOOKUP($A62,APOIO!$A:$B,2,FALSE),"error"))</f>
        <v/>
      </c>
      <c r="C62" s="77"/>
      <c r="D62" s="62" t="e">
        <f>VLOOKUP($C62,APOIO!$O:$Q,2,FALSE)</f>
        <v>#N/A</v>
      </c>
      <c r="E62" s="62" t="e">
        <f>VLOOKUP($C62,APOIO!$O:$Q,3,FALSE)</f>
        <v>#N/A</v>
      </c>
      <c r="F62" s="78"/>
      <c r="G62" s="88" t="e">
        <f>VLOOKUP($F62,APOIO!$L:$M,2,FALSE)</f>
        <v>#N/A</v>
      </c>
      <c r="H62" s="77"/>
      <c r="I62" s="88" t="e">
        <f>VLOOKUP($H62,APOIO!$H:$J,2,FALSE)</f>
        <v>#N/A</v>
      </c>
      <c r="J62" s="88" t="e">
        <f>VLOOKUP($H62,APOIO!$H:$J,3,FALSE)</f>
        <v>#N/A</v>
      </c>
      <c r="K62" s="32"/>
      <c r="L62" s="32"/>
      <c r="M62" s="31"/>
      <c r="N62" s="32" t="e">
        <f>VLOOKUP($M62,APOIO!$R:$S,2,FALSE)</f>
        <v>#N/A</v>
      </c>
      <c r="O62" s="32"/>
      <c r="P62" s="32"/>
      <c r="Q62" s="71"/>
      <c r="R62" s="68" t="e">
        <f>INDEX(APOIO!$V:$V,MATCH(EOMONTH($Q62,0),APOIO!$X:$X,0))</f>
        <v>#N/A</v>
      </c>
      <c r="S62" s="60"/>
      <c r="T62" s="59"/>
      <c r="U62" s="59" t="str">
        <f t="shared" si="0"/>
        <v/>
      </c>
    </row>
    <row r="63" spans="1:21" ht="15" x14ac:dyDescent="0.25">
      <c r="A63" s="31"/>
      <c r="B63" s="62" t="str">
        <f>IF(A63="","",IFERROR(VLOOKUP($A63,APOIO!$A:$B,2,FALSE),"error"))</f>
        <v/>
      </c>
      <c r="C63" s="77"/>
      <c r="D63" s="62" t="e">
        <f>VLOOKUP($C63,APOIO!$O:$Q,2,FALSE)</f>
        <v>#N/A</v>
      </c>
      <c r="E63" s="62" t="e">
        <f>VLOOKUP($C63,APOIO!$O:$Q,3,FALSE)</f>
        <v>#N/A</v>
      </c>
      <c r="F63" s="78"/>
      <c r="G63" s="88" t="e">
        <f>VLOOKUP($F63,APOIO!$L:$M,2,FALSE)</f>
        <v>#N/A</v>
      </c>
      <c r="H63" s="77"/>
      <c r="I63" s="88" t="e">
        <f>VLOOKUP($H63,APOIO!$H:$J,2,FALSE)</f>
        <v>#N/A</v>
      </c>
      <c r="J63" s="88" t="e">
        <f>VLOOKUP($H63,APOIO!$H:$J,3,FALSE)</f>
        <v>#N/A</v>
      </c>
      <c r="K63" s="32"/>
      <c r="L63" s="32"/>
      <c r="M63" s="31"/>
      <c r="N63" s="32" t="e">
        <f>VLOOKUP($M63,APOIO!$R:$S,2,FALSE)</f>
        <v>#N/A</v>
      </c>
      <c r="O63" s="32"/>
      <c r="P63" s="32"/>
      <c r="Q63" s="71"/>
      <c r="R63" s="68" t="e">
        <f>INDEX(APOIO!$V:$V,MATCH(EOMONTH($Q63,0),APOIO!$X:$X,0))</f>
        <v>#N/A</v>
      </c>
      <c r="S63" s="60"/>
      <c r="T63" s="59"/>
      <c r="U63" s="59" t="str">
        <f t="shared" si="0"/>
        <v/>
      </c>
    </row>
    <row r="64" spans="1:21" ht="15" x14ac:dyDescent="0.25">
      <c r="A64" s="31"/>
      <c r="B64" s="62" t="str">
        <f>IF(A64="","",IFERROR(VLOOKUP($A64,APOIO!$A:$B,2,FALSE),"error"))</f>
        <v/>
      </c>
      <c r="C64" s="77"/>
      <c r="D64" s="62" t="e">
        <f>VLOOKUP($C64,APOIO!$O:$Q,2,FALSE)</f>
        <v>#N/A</v>
      </c>
      <c r="E64" s="62" t="e">
        <f>VLOOKUP($C64,APOIO!$O:$Q,3,FALSE)</f>
        <v>#N/A</v>
      </c>
      <c r="F64" s="78"/>
      <c r="G64" s="88" t="e">
        <f>VLOOKUP($F64,APOIO!$L:$M,2,FALSE)</f>
        <v>#N/A</v>
      </c>
      <c r="H64" s="77"/>
      <c r="I64" s="88" t="e">
        <f>VLOOKUP($H64,APOIO!$H:$J,2,FALSE)</f>
        <v>#N/A</v>
      </c>
      <c r="J64" s="88" t="e">
        <f>VLOOKUP($H64,APOIO!$H:$J,3,FALSE)</f>
        <v>#N/A</v>
      </c>
      <c r="K64" s="32"/>
      <c r="L64" s="32"/>
      <c r="M64" s="31"/>
      <c r="N64" s="32" t="e">
        <f>VLOOKUP($M64,APOIO!$R:$S,2,FALSE)</f>
        <v>#N/A</v>
      </c>
      <c r="O64" s="32"/>
      <c r="P64" s="32"/>
      <c r="Q64" s="71"/>
      <c r="R64" s="68" t="e">
        <f>INDEX(APOIO!$V:$V,MATCH(EOMONTH($Q64,0),APOIO!$X:$X,0))</f>
        <v>#N/A</v>
      </c>
      <c r="S64" s="60"/>
      <c r="T64" s="59"/>
      <c r="U64" s="59" t="str">
        <f t="shared" si="0"/>
        <v/>
      </c>
    </row>
    <row r="65" spans="1:21" ht="15" x14ac:dyDescent="0.25">
      <c r="A65" s="31"/>
      <c r="B65" s="62" t="str">
        <f>IF(A65="","",IFERROR(VLOOKUP($A65,APOIO!$A:$B,2,FALSE),"error"))</f>
        <v/>
      </c>
      <c r="C65" s="77"/>
      <c r="D65" s="62" t="e">
        <f>VLOOKUP($C65,APOIO!$O:$Q,2,FALSE)</f>
        <v>#N/A</v>
      </c>
      <c r="E65" s="62" t="e">
        <f>VLOOKUP($C65,APOIO!$O:$Q,3,FALSE)</f>
        <v>#N/A</v>
      </c>
      <c r="F65" s="78"/>
      <c r="G65" s="88" t="e">
        <f>VLOOKUP($F65,APOIO!$L:$M,2,FALSE)</f>
        <v>#N/A</v>
      </c>
      <c r="H65" s="77"/>
      <c r="I65" s="88" t="e">
        <f>VLOOKUP($H65,APOIO!$H:$J,2,FALSE)</f>
        <v>#N/A</v>
      </c>
      <c r="J65" s="88" t="e">
        <f>VLOOKUP($H65,APOIO!$H:$J,3,FALSE)</f>
        <v>#N/A</v>
      </c>
      <c r="K65" s="32"/>
      <c r="L65" s="32"/>
      <c r="M65" s="31"/>
      <c r="N65" s="32" t="e">
        <f>VLOOKUP($M65,APOIO!$R:$S,2,FALSE)</f>
        <v>#N/A</v>
      </c>
      <c r="O65" s="32"/>
      <c r="P65" s="32"/>
      <c r="Q65" s="71"/>
      <c r="R65" s="68" t="e">
        <f>INDEX(APOIO!$V:$V,MATCH(EOMONTH($Q65,0),APOIO!$X:$X,0))</f>
        <v>#N/A</v>
      </c>
      <c r="S65" s="60"/>
      <c r="T65" s="59"/>
      <c r="U65" s="59" t="str">
        <f t="shared" si="0"/>
        <v/>
      </c>
    </row>
    <row r="66" spans="1:21" ht="15" x14ac:dyDescent="0.25">
      <c r="A66" s="31"/>
      <c r="B66" s="62" t="str">
        <f>IF(A66="","",IFERROR(VLOOKUP($A66,APOIO!$A:$B,2,FALSE),"error"))</f>
        <v/>
      </c>
      <c r="C66" s="77"/>
      <c r="D66" s="62" t="e">
        <f>VLOOKUP($C66,APOIO!$O:$Q,2,FALSE)</f>
        <v>#N/A</v>
      </c>
      <c r="E66" s="62" t="e">
        <f>VLOOKUP($C66,APOIO!$O:$Q,3,FALSE)</f>
        <v>#N/A</v>
      </c>
      <c r="F66" s="78"/>
      <c r="G66" s="88" t="e">
        <f>VLOOKUP($F66,APOIO!$L:$M,2,FALSE)</f>
        <v>#N/A</v>
      </c>
      <c r="H66" s="77"/>
      <c r="I66" s="88" t="e">
        <f>VLOOKUP($H66,APOIO!$H:$J,2,FALSE)</f>
        <v>#N/A</v>
      </c>
      <c r="J66" s="88" t="e">
        <f>VLOOKUP($H66,APOIO!$H:$J,3,FALSE)</f>
        <v>#N/A</v>
      </c>
      <c r="K66" s="32"/>
      <c r="L66" s="32"/>
      <c r="M66" s="31"/>
      <c r="N66" s="32" t="e">
        <f>VLOOKUP($M66,APOIO!$R:$S,2,FALSE)</f>
        <v>#N/A</v>
      </c>
      <c r="O66" s="32"/>
      <c r="P66" s="32"/>
      <c r="Q66" s="71"/>
      <c r="R66" s="68" t="e">
        <f>INDEX(APOIO!$V:$V,MATCH(EOMONTH($Q66,0),APOIO!$X:$X,0))</f>
        <v>#N/A</v>
      </c>
      <c r="S66" s="60"/>
      <c r="T66" s="59"/>
      <c r="U66" s="59" t="str">
        <f t="shared" si="0"/>
        <v/>
      </c>
    </row>
    <row r="67" spans="1:21" ht="15" x14ac:dyDescent="0.25">
      <c r="A67" s="31"/>
      <c r="B67" s="62" t="str">
        <f>IF(A67="","",IFERROR(VLOOKUP($A67,APOIO!$A:$B,2,FALSE),"error"))</f>
        <v/>
      </c>
      <c r="C67" s="77"/>
      <c r="D67" s="62" t="e">
        <f>VLOOKUP($C67,APOIO!$O:$Q,2,FALSE)</f>
        <v>#N/A</v>
      </c>
      <c r="E67" s="62" t="e">
        <f>VLOOKUP($C67,APOIO!$O:$Q,3,FALSE)</f>
        <v>#N/A</v>
      </c>
      <c r="F67" s="78"/>
      <c r="G67" s="88" t="e">
        <f>VLOOKUP($F67,APOIO!$L:$M,2,FALSE)</f>
        <v>#N/A</v>
      </c>
      <c r="H67" s="77"/>
      <c r="I67" s="88" t="e">
        <f>VLOOKUP($H67,APOIO!$H:$J,2,FALSE)</f>
        <v>#N/A</v>
      </c>
      <c r="J67" s="88" t="e">
        <f>VLOOKUP($H67,APOIO!$H:$J,3,FALSE)</f>
        <v>#N/A</v>
      </c>
      <c r="K67" s="32"/>
      <c r="L67" s="32"/>
      <c r="M67" s="31"/>
      <c r="N67" s="32" t="e">
        <f>VLOOKUP($M67,APOIO!$R:$S,2,FALSE)</f>
        <v>#N/A</v>
      </c>
      <c r="O67" s="32"/>
      <c r="P67" s="32"/>
      <c r="Q67" s="71"/>
      <c r="R67" s="68" t="e">
        <f>INDEX(APOIO!$V:$V,MATCH(EOMONTH($Q67,0),APOIO!$X:$X,0))</f>
        <v>#N/A</v>
      </c>
      <c r="S67" s="60"/>
      <c r="T67" s="59"/>
      <c r="U67" s="59" t="str">
        <f t="shared" si="0"/>
        <v/>
      </c>
    </row>
    <row r="68" spans="1:21" ht="15" x14ac:dyDescent="0.25">
      <c r="A68" s="31"/>
      <c r="B68" s="62" t="str">
        <f>IF(A68="","",IFERROR(VLOOKUP($A68,APOIO!$A:$B,2,FALSE),"error"))</f>
        <v/>
      </c>
      <c r="C68" s="77"/>
      <c r="D68" s="62" t="e">
        <f>VLOOKUP($C68,APOIO!$O:$Q,2,FALSE)</f>
        <v>#N/A</v>
      </c>
      <c r="E68" s="62" t="e">
        <f>VLOOKUP($C68,APOIO!$O:$Q,3,FALSE)</f>
        <v>#N/A</v>
      </c>
      <c r="F68" s="78"/>
      <c r="G68" s="88" t="e">
        <f>VLOOKUP($F68,APOIO!$L:$M,2,FALSE)</f>
        <v>#N/A</v>
      </c>
      <c r="H68" s="77"/>
      <c r="I68" s="88" t="e">
        <f>VLOOKUP($H68,APOIO!$H:$J,2,FALSE)</f>
        <v>#N/A</v>
      </c>
      <c r="J68" s="88" t="e">
        <f>VLOOKUP($H68,APOIO!$H:$J,3,FALSE)</f>
        <v>#N/A</v>
      </c>
      <c r="K68" s="32"/>
      <c r="L68" s="32"/>
      <c r="M68" s="31"/>
      <c r="N68" s="32" t="e">
        <f>VLOOKUP($M68,APOIO!$R:$S,2,FALSE)</f>
        <v>#N/A</v>
      </c>
      <c r="O68" s="32"/>
      <c r="P68" s="32"/>
      <c r="Q68" s="71"/>
      <c r="R68" s="68" t="e">
        <f>INDEX(APOIO!$V:$V,MATCH(EOMONTH($Q68,0),APOIO!$X:$X,0))</f>
        <v>#N/A</v>
      </c>
      <c r="S68" s="60"/>
      <c r="T68" s="59"/>
      <c r="U68" s="59" t="str">
        <f t="shared" si="0"/>
        <v/>
      </c>
    </row>
    <row r="69" spans="1:21" ht="15" x14ac:dyDescent="0.25">
      <c r="A69" s="31"/>
      <c r="B69" s="62" t="str">
        <f>IF(A69="","",IFERROR(VLOOKUP($A69,APOIO!$A:$B,2,FALSE),"error"))</f>
        <v/>
      </c>
      <c r="C69" s="77"/>
      <c r="D69" s="62" t="e">
        <f>VLOOKUP($C69,APOIO!$O:$Q,2,FALSE)</f>
        <v>#N/A</v>
      </c>
      <c r="E69" s="62" t="e">
        <f>VLOOKUP($C69,APOIO!$O:$Q,3,FALSE)</f>
        <v>#N/A</v>
      </c>
      <c r="F69" s="78"/>
      <c r="G69" s="88" t="e">
        <f>VLOOKUP($F69,APOIO!$L:$M,2,FALSE)</f>
        <v>#N/A</v>
      </c>
      <c r="H69" s="77"/>
      <c r="I69" s="88" t="e">
        <f>VLOOKUP($H69,APOIO!$H:$J,2,FALSE)</f>
        <v>#N/A</v>
      </c>
      <c r="J69" s="88" t="e">
        <f>VLOOKUP($H69,APOIO!$H:$J,3,FALSE)</f>
        <v>#N/A</v>
      </c>
      <c r="K69" s="32"/>
      <c r="L69" s="32"/>
      <c r="M69" s="31"/>
      <c r="N69" s="32" t="e">
        <f>VLOOKUP($M69,APOIO!$R:$S,2,FALSE)</f>
        <v>#N/A</v>
      </c>
      <c r="O69" s="32"/>
      <c r="P69" s="32"/>
      <c r="Q69" s="71"/>
      <c r="R69" s="68" t="e">
        <f>INDEX(APOIO!$V:$V,MATCH(EOMONTH($Q69,0),APOIO!$X:$X,0))</f>
        <v>#N/A</v>
      </c>
      <c r="S69" s="60"/>
      <c r="T69" s="59"/>
      <c r="U69" s="59" t="str">
        <f t="shared" si="0"/>
        <v/>
      </c>
    </row>
    <row r="70" spans="1:21" ht="15" x14ac:dyDescent="0.25">
      <c r="A70" s="31"/>
      <c r="B70" s="62" t="str">
        <f>IF(A70="","",IFERROR(VLOOKUP($A70,APOIO!$A:$B,2,FALSE),"error"))</f>
        <v/>
      </c>
      <c r="C70" s="77"/>
      <c r="D70" s="62" t="e">
        <f>VLOOKUP($C70,APOIO!$O:$Q,2,FALSE)</f>
        <v>#N/A</v>
      </c>
      <c r="E70" s="62" t="e">
        <f>VLOOKUP($C70,APOIO!$O:$Q,3,FALSE)</f>
        <v>#N/A</v>
      </c>
      <c r="F70" s="78"/>
      <c r="G70" s="88" t="e">
        <f>VLOOKUP($F70,APOIO!$L:$M,2,FALSE)</f>
        <v>#N/A</v>
      </c>
      <c r="H70" s="77"/>
      <c r="I70" s="88" t="e">
        <f>VLOOKUP($H70,APOIO!$H:$J,2,FALSE)</f>
        <v>#N/A</v>
      </c>
      <c r="J70" s="88" t="e">
        <f>VLOOKUP($H70,APOIO!$H:$J,3,FALSE)</f>
        <v>#N/A</v>
      </c>
      <c r="K70" s="32"/>
      <c r="L70" s="32"/>
      <c r="M70" s="31"/>
      <c r="N70" s="32" t="e">
        <f>VLOOKUP($M70,APOIO!$R:$S,2,FALSE)</f>
        <v>#N/A</v>
      </c>
      <c r="O70" s="32"/>
      <c r="P70" s="32"/>
      <c r="Q70" s="71"/>
      <c r="R70" s="68" t="e">
        <f>INDEX(APOIO!$V:$V,MATCH(EOMONTH($Q70,0),APOIO!$X:$X,0))</f>
        <v>#N/A</v>
      </c>
      <c r="S70" s="60"/>
      <c r="T70" s="59"/>
      <c r="U70" s="59" t="str">
        <f t="shared" si="0"/>
        <v/>
      </c>
    </row>
    <row r="71" spans="1:21" ht="15" x14ac:dyDescent="0.25">
      <c r="A71" s="31"/>
      <c r="B71" s="62" t="str">
        <f>IF(A71="","",IFERROR(VLOOKUP($A71,APOIO!$A:$B,2,FALSE),"error"))</f>
        <v/>
      </c>
      <c r="C71" s="77"/>
      <c r="D71" s="62" t="e">
        <f>VLOOKUP($C71,APOIO!$O:$Q,2,FALSE)</f>
        <v>#N/A</v>
      </c>
      <c r="E71" s="62" t="e">
        <f>VLOOKUP($C71,APOIO!$O:$Q,3,FALSE)</f>
        <v>#N/A</v>
      </c>
      <c r="F71" s="78"/>
      <c r="G71" s="88" t="e">
        <f>VLOOKUP($F71,APOIO!$L:$M,2,FALSE)</f>
        <v>#N/A</v>
      </c>
      <c r="H71" s="77"/>
      <c r="I71" s="88" t="e">
        <f>VLOOKUP($H71,APOIO!$H:$J,2,FALSE)</f>
        <v>#N/A</v>
      </c>
      <c r="J71" s="88" t="e">
        <f>VLOOKUP($H71,APOIO!$H:$J,3,FALSE)</f>
        <v>#N/A</v>
      </c>
      <c r="K71" s="32"/>
      <c r="L71" s="32"/>
      <c r="M71" s="31"/>
      <c r="N71" s="32" t="e">
        <f>VLOOKUP($M71,APOIO!$R:$S,2,FALSE)</f>
        <v>#N/A</v>
      </c>
      <c r="O71" s="32"/>
      <c r="P71" s="32"/>
      <c r="Q71" s="71"/>
      <c r="R71" s="68" t="e">
        <f>INDEX(APOIO!$V:$V,MATCH(EOMONTH($Q71,0),APOIO!$X:$X,0))</f>
        <v>#N/A</v>
      </c>
      <c r="S71" s="60"/>
      <c r="T71" s="59"/>
      <c r="U71" s="59" t="str">
        <f t="shared" si="0"/>
        <v/>
      </c>
    </row>
    <row r="72" spans="1:21" ht="15" x14ac:dyDescent="0.25">
      <c r="A72" s="31"/>
      <c r="B72" s="62" t="str">
        <f>IF(A72="","",IFERROR(VLOOKUP($A72,APOIO!$A:$B,2,FALSE),"error"))</f>
        <v/>
      </c>
      <c r="C72" s="77"/>
      <c r="D72" s="62" t="e">
        <f>VLOOKUP($C72,APOIO!$O:$Q,2,FALSE)</f>
        <v>#N/A</v>
      </c>
      <c r="E72" s="62" t="e">
        <f>VLOOKUP($C72,APOIO!$O:$Q,3,FALSE)</f>
        <v>#N/A</v>
      </c>
      <c r="F72" s="78"/>
      <c r="G72" s="88" t="e">
        <f>VLOOKUP($F72,APOIO!$L:$M,2,FALSE)</f>
        <v>#N/A</v>
      </c>
      <c r="H72" s="77"/>
      <c r="I72" s="88" t="e">
        <f>VLOOKUP($H72,APOIO!$H:$J,2,FALSE)</f>
        <v>#N/A</v>
      </c>
      <c r="J72" s="88" t="e">
        <f>VLOOKUP($H72,APOIO!$H:$J,3,FALSE)</f>
        <v>#N/A</v>
      </c>
      <c r="K72" s="32"/>
      <c r="L72" s="32"/>
      <c r="M72" s="31"/>
      <c r="N72" s="32" t="e">
        <f>VLOOKUP($M72,APOIO!$R:$S,2,FALSE)</f>
        <v>#N/A</v>
      </c>
      <c r="O72" s="32"/>
      <c r="P72" s="32"/>
      <c r="Q72" s="71"/>
      <c r="R72" s="68" t="e">
        <f>INDEX(APOIO!$V:$V,MATCH(EOMONTH($Q72,0),APOIO!$X:$X,0))</f>
        <v>#N/A</v>
      </c>
      <c r="S72" s="60"/>
      <c r="T72" s="59"/>
      <c r="U72" s="59" t="str">
        <f t="shared" si="0"/>
        <v/>
      </c>
    </row>
    <row r="73" spans="1:21" ht="15" x14ac:dyDescent="0.25">
      <c r="A73" s="31"/>
      <c r="B73" s="62" t="str">
        <f>IF(A73="","",IFERROR(VLOOKUP($A73,APOIO!$A:$B,2,FALSE),"error"))</f>
        <v/>
      </c>
      <c r="C73" s="77"/>
      <c r="D73" s="62" t="e">
        <f>VLOOKUP($C73,APOIO!$O:$Q,2,FALSE)</f>
        <v>#N/A</v>
      </c>
      <c r="E73" s="62" t="e">
        <f>VLOOKUP($C73,APOIO!$O:$Q,3,FALSE)</f>
        <v>#N/A</v>
      </c>
      <c r="F73" s="78"/>
      <c r="G73" s="88" t="e">
        <f>VLOOKUP($F73,APOIO!$L:$M,2,FALSE)</f>
        <v>#N/A</v>
      </c>
      <c r="H73" s="77"/>
      <c r="I73" s="88" t="e">
        <f>VLOOKUP($H73,APOIO!$H:$J,2,FALSE)</f>
        <v>#N/A</v>
      </c>
      <c r="J73" s="88" t="e">
        <f>VLOOKUP($H73,APOIO!$H:$J,3,FALSE)</f>
        <v>#N/A</v>
      </c>
      <c r="K73" s="32"/>
      <c r="L73" s="32"/>
      <c r="M73" s="31"/>
      <c r="N73" s="32" t="e">
        <f>VLOOKUP($M73,APOIO!$R:$S,2,FALSE)</f>
        <v>#N/A</v>
      </c>
      <c r="O73" s="32"/>
      <c r="P73" s="32"/>
      <c r="Q73" s="71"/>
      <c r="R73" s="68" t="e">
        <f>INDEX(APOIO!$V:$V,MATCH(EOMONTH($Q73,0),APOIO!$X:$X,0))</f>
        <v>#N/A</v>
      </c>
      <c r="S73" s="60"/>
      <c r="T73" s="59"/>
      <c r="U73" s="59" t="str">
        <f t="shared" si="0"/>
        <v/>
      </c>
    </row>
    <row r="74" spans="1:21" ht="15" x14ac:dyDescent="0.25">
      <c r="A74" s="31"/>
      <c r="B74" s="62" t="str">
        <f>IF(A74="","",IFERROR(VLOOKUP($A74,APOIO!$A:$B,2,FALSE),"error"))</f>
        <v/>
      </c>
      <c r="C74" s="77"/>
      <c r="D74" s="62" t="e">
        <f>VLOOKUP($C74,APOIO!$O:$Q,2,FALSE)</f>
        <v>#N/A</v>
      </c>
      <c r="E74" s="62" t="e">
        <f>VLOOKUP($C74,APOIO!$O:$Q,3,FALSE)</f>
        <v>#N/A</v>
      </c>
      <c r="F74" s="78"/>
      <c r="G74" s="88" t="e">
        <f>VLOOKUP($F74,APOIO!$L:$M,2,FALSE)</f>
        <v>#N/A</v>
      </c>
      <c r="H74" s="77"/>
      <c r="I74" s="88" t="e">
        <f>VLOOKUP($H74,APOIO!$H:$J,2,FALSE)</f>
        <v>#N/A</v>
      </c>
      <c r="J74" s="88" t="e">
        <f>VLOOKUP($H74,APOIO!$H:$J,3,FALSE)</f>
        <v>#N/A</v>
      </c>
      <c r="K74" s="32"/>
      <c r="L74" s="32"/>
      <c r="M74" s="31"/>
      <c r="N74" s="32" t="e">
        <f>VLOOKUP($M74,APOIO!$R:$S,2,FALSE)</f>
        <v>#N/A</v>
      </c>
      <c r="O74" s="32"/>
      <c r="P74" s="32"/>
      <c r="Q74" s="71"/>
      <c r="R74" s="68" t="e">
        <f>INDEX(APOIO!$V:$V,MATCH(EOMONTH($Q74,0),APOIO!$X:$X,0))</f>
        <v>#N/A</v>
      </c>
      <c r="S74" s="60"/>
      <c r="T74" s="59"/>
      <c r="U74" s="59" t="str">
        <f t="shared" ref="U74:U137" si="1">IFERROR(CONCATENATE(A74,"_",D74,,"_",G74,"_",I74,"_",Q74,"_",S74),"")</f>
        <v/>
      </c>
    </row>
    <row r="75" spans="1:21" ht="15" x14ac:dyDescent="0.25">
      <c r="A75" s="31"/>
      <c r="B75" s="62" t="str">
        <f>IF(A75="","",IFERROR(VLOOKUP($A75,APOIO!$A:$B,2,FALSE),"error"))</f>
        <v/>
      </c>
      <c r="C75" s="77"/>
      <c r="D75" s="62" t="e">
        <f>VLOOKUP($C75,APOIO!$O:$Q,2,FALSE)</f>
        <v>#N/A</v>
      </c>
      <c r="E75" s="62" t="e">
        <f>VLOOKUP($C75,APOIO!$O:$Q,3,FALSE)</f>
        <v>#N/A</v>
      </c>
      <c r="F75" s="78"/>
      <c r="G75" s="88" t="e">
        <f>VLOOKUP($F75,APOIO!$L:$M,2,FALSE)</f>
        <v>#N/A</v>
      </c>
      <c r="H75" s="77"/>
      <c r="I75" s="88" t="e">
        <f>VLOOKUP($H75,APOIO!$H:$J,2,FALSE)</f>
        <v>#N/A</v>
      </c>
      <c r="J75" s="88" t="e">
        <f>VLOOKUP($H75,APOIO!$H:$J,3,FALSE)</f>
        <v>#N/A</v>
      </c>
      <c r="K75" s="32"/>
      <c r="L75" s="32"/>
      <c r="M75" s="31"/>
      <c r="N75" s="32" t="e">
        <f>VLOOKUP($M75,APOIO!$R:$S,2,FALSE)</f>
        <v>#N/A</v>
      </c>
      <c r="O75" s="32"/>
      <c r="P75" s="32"/>
      <c r="Q75" s="71"/>
      <c r="R75" s="68" t="e">
        <f>INDEX(APOIO!$V:$V,MATCH(EOMONTH($Q75,0),APOIO!$X:$X,0))</f>
        <v>#N/A</v>
      </c>
      <c r="S75" s="60"/>
      <c r="T75" s="59"/>
      <c r="U75" s="59" t="str">
        <f t="shared" si="1"/>
        <v/>
      </c>
    </row>
    <row r="76" spans="1:21" ht="15" x14ac:dyDescent="0.25">
      <c r="A76" s="31"/>
      <c r="B76" s="62" t="str">
        <f>IF(A76="","",IFERROR(VLOOKUP($A76,APOIO!$A:$B,2,FALSE),"error"))</f>
        <v/>
      </c>
      <c r="C76" s="77"/>
      <c r="D76" s="62" t="e">
        <f>VLOOKUP($C76,APOIO!$O:$Q,2,FALSE)</f>
        <v>#N/A</v>
      </c>
      <c r="E76" s="62" t="e">
        <f>VLOOKUP($C76,APOIO!$O:$Q,3,FALSE)</f>
        <v>#N/A</v>
      </c>
      <c r="F76" s="78"/>
      <c r="G76" s="88" t="e">
        <f>VLOOKUP($F76,APOIO!$L:$M,2,FALSE)</f>
        <v>#N/A</v>
      </c>
      <c r="H76" s="77"/>
      <c r="I76" s="88" t="e">
        <f>VLOOKUP($H76,APOIO!$H:$J,2,FALSE)</f>
        <v>#N/A</v>
      </c>
      <c r="J76" s="88" t="e">
        <f>VLOOKUP($H76,APOIO!$H:$J,3,FALSE)</f>
        <v>#N/A</v>
      </c>
      <c r="K76" s="32"/>
      <c r="L76" s="32"/>
      <c r="M76" s="31"/>
      <c r="N76" s="32" t="e">
        <f>VLOOKUP($M76,APOIO!$R:$S,2,FALSE)</f>
        <v>#N/A</v>
      </c>
      <c r="O76" s="32"/>
      <c r="P76" s="32"/>
      <c r="Q76" s="71"/>
      <c r="R76" s="68" t="e">
        <f>INDEX(APOIO!$V:$V,MATCH(EOMONTH($Q76,0),APOIO!$X:$X,0))</f>
        <v>#N/A</v>
      </c>
      <c r="S76" s="60"/>
      <c r="T76" s="59"/>
      <c r="U76" s="59" t="str">
        <f t="shared" si="1"/>
        <v/>
      </c>
    </row>
    <row r="77" spans="1:21" ht="15" x14ac:dyDescent="0.25">
      <c r="A77" s="31"/>
      <c r="B77" s="62" t="str">
        <f>IF(A77="","",IFERROR(VLOOKUP($A77,APOIO!$A:$B,2,FALSE),"error"))</f>
        <v/>
      </c>
      <c r="C77" s="77"/>
      <c r="D77" s="62" t="e">
        <f>VLOOKUP($C77,APOIO!$O:$Q,2,FALSE)</f>
        <v>#N/A</v>
      </c>
      <c r="E77" s="62" t="e">
        <f>VLOOKUP($C77,APOIO!$O:$Q,3,FALSE)</f>
        <v>#N/A</v>
      </c>
      <c r="F77" s="78"/>
      <c r="G77" s="88" t="e">
        <f>VLOOKUP($F77,APOIO!$L:$M,2,FALSE)</f>
        <v>#N/A</v>
      </c>
      <c r="H77" s="77"/>
      <c r="I77" s="88" t="e">
        <f>VLOOKUP($H77,APOIO!$H:$J,2,FALSE)</f>
        <v>#N/A</v>
      </c>
      <c r="J77" s="88" t="e">
        <f>VLOOKUP($H77,APOIO!$H:$J,3,FALSE)</f>
        <v>#N/A</v>
      </c>
      <c r="K77" s="32"/>
      <c r="L77" s="32"/>
      <c r="M77" s="31"/>
      <c r="N77" s="32" t="e">
        <f>VLOOKUP($M77,APOIO!$R:$S,2,FALSE)</f>
        <v>#N/A</v>
      </c>
      <c r="O77" s="32"/>
      <c r="P77" s="32"/>
      <c r="Q77" s="71"/>
      <c r="R77" s="68" t="e">
        <f>INDEX(APOIO!$V:$V,MATCH(EOMONTH($Q77,0),APOIO!$X:$X,0))</f>
        <v>#N/A</v>
      </c>
      <c r="S77" s="60"/>
      <c r="T77" s="59"/>
      <c r="U77" s="59" t="str">
        <f t="shared" si="1"/>
        <v/>
      </c>
    </row>
    <row r="78" spans="1:21" ht="15" x14ac:dyDescent="0.25">
      <c r="A78" s="31"/>
      <c r="B78" s="62" t="str">
        <f>IF(A78="","",IFERROR(VLOOKUP($A78,APOIO!$A:$B,2,FALSE),"error"))</f>
        <v/>
      </c>
      <c r="C78" s="77"/>
      <c r="D78" s="62" t="e">
        <f>VLOOKUP($C78,APOIO!$O:$Q,2,FALSE)</f>
        <v>#N/A</v>
      </c>
      <c r="E78" s="62" t="e">
        <f>VLOOKUP($C78,APOIO!$O:$Q,3,FALSE)</f>
        <v>#N/A</v>
      </c>
      <c r="F78" s="78"/>
      <c r="G78" s="88" t="e">
        <f>VLOOKUP($F78,APOIO!$L:$M,2,FALSE)</f>
        <v>#N/A</v>
      </c>
      <c r="H78" s="77"/>
      <c r="I78" s="88" t="e">
        <f>VLOOKUP($H78,APOIO!$H:$J,2,FALSE)</f>
        <v>#N/A</v>
      </c>
      <c r="J78" s="88" t="e">
        <f>VLOOKUP($H78,APOIO!$H:$J,3,FALSE)</f>
        <v>#N/A</v>
      </c>
      <c r="K78" s="32"/>
      <c r="L78" s="32"/>
      <c r="M78" s="31"/>
      <c r="N78" s="32" t="e">
        <f>VLOOKUP($M78,APOIO!$R:$S,2,FALSE)</f>
        <v>#N/A</v>
      </c>
      <c r="O78" s="32"/>
      <c r="P78" s="32"/>
      <c r="Q78" s="71"/>
      <c r="R78" s="68" t="e">
        <f>INDEX(APOIO!$V:$V,MATCH(EOMONTH($Q78,0),APOIO!$X:$X,0))</f>
        <v>#N/A</v>
      </c>
      <c r="S78" s="60"/>
      <c r="T78" s="59"/>
      <c r="U78" s="59" t="str">
        <f t="shared" si="1"/>
        <v/>
      </c>
    </row>
    <row r="79" spans="1:21" ht="15" x14ac:dyDescent="0.25">
      <c r="A79" s="31"/>
      <c r="B79" s="62" t="str">
        <f>IF(A79="","",IFERROR(VLOOKUP($A79,APOIO!$A:$B,2,FALSE),"error"))</f>
        <v/>
      </c>
      <c r="C79" s="77"/>
      <c r="D79" s="62" t="e">
        <f>VLOOKUP($C79,APOIO!$O:$Q,2,FALSE)</f>
        <v>#N/A</v>
      </c>
      <c r="E79" s="62" t="e">
        <f>VLOOKUP($C79,APOIO!$O:$Q,3,FALSE)</f>
        <v>#N/A</v>
      </c>
      <c r="F79" s="78"/>
      <c r="G79" s="88" t="e">
        <f>VLOOKUP($F79,APOIO!$L:$M,2,FALSE)</f>
        <v>#N/A</v>
      </c>
      <c r="H79" s="77"/>
      <c r="I79" s="88" t="e">
        <f>VLOOKUP($H79,APOIO!$H:$J,2,FALSE)</f>
        <v>#N/A</v>
      </c>
      <c r="J79" s="88" t="e">
        <f>VLOOKUP($H79,APOIO!$H:$J,3,FALSE)</f>
        <v>#N/A</v>
      </c>
      <c r="K79" s="32"/>
      <c r="L79" s="32"/>
      <c r="M79" s="31"/>
      <c r="N79" s="32" t="e">
        <f>VLOOKUP($M79,APOIO!$R:$S,2,FALSE)</f>
        <v>#N/A</v>
      </c>
      <c r="O79" s="32"/>
      <c r="P79" s="32"/>
      <c r="Q79" s="71"/>
      <c r="R79" s="68" t="e">
        <f>INDEX(APOIO!$V:$V,MATCH(EOMONTH($Q79,0),APOIO!$X:$X,0))</f>
        <v>#N/A</v>
      </c>
      <c r="S79" s="60"/>
      <c r="T79" s="59"/>
      <c r="U79" s="59" t="str">
        <f t="shared" si="1"/>
        <v/>
      </c>
    </row>
    <row r="80" spans="1:21" ht="15" x14ac:dyDescent="0.25">
      <c r="A80" s="31"/>
      <c r="B80" s="62" t="str">
        <f>IF(A80="","",IFERROR(VLOOKUP($A80,APOIO!$A:$B,2,FALSE),"error"))</f>
        <v/>
      </c>
      <c r="C80" s="77"/>
      <c r="D80" s="62" t="e">
        <f>VLOOKUP($C80,APOIO!$O:$Q,2,FALSE)</f>
        <v>#N/A</v>
      </c>
      <c r="E80" s="62" t="e">
        <f>VLOOKUP($C80,APOIO!$O:$Q,3,FALSE)</f>
        <v>#N/A</v>
      </c>
      <c r="F80" s="78"/>
      <c r="G80" s="88" t="e">
        <f>VLOOKUP($F80,APOIO!$L:$M,2,FALSE)</f>
        <v>#N/A</v>
      </c>
      <c r="H80" s="77"/>
      <c r="I80" s="88" t="e">
        <f>VLOOKUP($H80,APOIO!$H:$J,2,FALSE)</f>
        <v>#N/A</v>
      </c>
      <c r="J80" s="88" t="e">
        <f>VLOOKUP($H80,APOIO!$H:$J,3,FALSE)</f>
        <v>#N/A</v>
      </c>
      <c r="K80" s="32"/>
      <c r="L80" s="32"/>
      <c r="M80" s="31"/>
      <c r="N80" s="32" t="e">
        <f>VLOOKUP($M80,APOIO!$R:$S,2,FALSE)</f>
        <v>#N/A</v>
      </c>
      <c r="O80" s="32"/>
      <c r="P80" s="32"/>
      <c r="Q80" s="71"/>
      <c r="R80" s="68" t="e">
        <f>INDEX(APOIO!$V:$V,MATCH(EOMONTH($Q80,0),APOIO!$X:$X,0))</f>
        <v>#N/A</v>
      </c>
      <c r="S80" s="60"/>
      <c r="T80" s="59"/>
      <c r="U80" s="59" t="str">
        <f t="shared" si="1"/>
        <v/>
      </c>
    </row>
    <row r="81" spans="1:21" ht="15" x14ac:dyDescent="0.25">
      <c r="A81" s="31"/>
      <c r="B81" s="62" t="str">
        <f>IF(A81="","",IFERROR(VLOOKUP($A81,APOIO!$A:$B,2,FALSE),"error"))</f>
        <v/>
      </c>
      <c r="C81" s="77"/>
      <c r="D81" s="62" t="e">
        <f>VLOOKUP($C81,APOIO!$O:$Q,2,FALSE)</f>
        <v>#N/A</v>
      </c>
      <c r="E81" s="62" t="e">
        <f>VLOOKUP($C81,APOIO!$O:$Q,3,FALSE)</f>
        <v>#N/A</v>
      </c>
      <c r="F81" s="78"/>
      <c r="G81" s="88" t="e">
        <f>VLOOKUP($F81,APOIO!$L:$M,2,FALSE)</f>
        <v>#N/A</v>
      </c>
      <c r="H81" s="77"/>
      <c r="I81" s="88" t="e">
        <f>VLOOKUP($H81,APOIO!$H:$J,2,FALSE)</f>
        <v>#N/A</v>
      </c>
      <c r="J81" s="88" t="e">
        <f>VLOOKUP($H81,APOIO!$H:$J,3,FALSE)</f>
        <v>#N/A</v>
      </c>
      <c r="K81" s="32"/>
      <c r="L81" s="32"/>
      <c r="M81" s="31"/>
      <c r="N81" s="32" t="e">
        <f>VLOOKUP($M81,APOIO!$R:$S,2,FALSE)</f>
        <v>#N/A</v>
      </c>
      <c r="O81" s="32"/>
      <c r="P81" s="32"/>
      <c r="Q81" s="71"/>
      <c r="R81" s="68" t="e">
        <f>INDEX(APOIO!$V:$V,MATCH(EOMONTH($Q81,0),APOIO!$X:$X,0))</f>
        <v>#N/A</v>
      </c>
      <c r="S81" s="60"/>
      <c r="T81" s="59"/>
      <c r="U81" s="59" t="str">
        <f t="shared" si="1"/>
        <v/>
      </c>
    </row>
    <row r="82" spans="1:21" ht="15" x14ac:dyDescent="0.25">
      <c r="A82" s="31"/>
      <c r="B82" s="62" t="str">
        <f>IF(A82="","",IFERROR(VLOOKUP($A82,APOIO!$A:$B,2,FALSE),"error"))</f>
        <v/>
      </c>
      <c r="C82" s="77"/>
      <c r="D82" s="62" t="e">
        <f>VLOOKUP($C82,APOIO!$O:$Q,2,FALSE)</f>
        <v>#N/A</v>
      </c>
      <c r="E82" s="62" t="e">
        <f>VLOOKUP($C82,APOIO!$O:$Q,3,FALSE)</f>
        <v>#N/A</v>
      </c>
      <c r="F82" s="78"/>
      <c r="G82" s="88" t="e">
        <f>VLOOKUP($F82,APOIO!$L:$M,2,FALSE)</f>
        <v>#N/A</v>
      </c>
      <c r="H82" s="77"/>
      <c r="I82" s="88" t="e">
        <f>VLOOKUP($H82,APOIO!$H:$J,2,FALSE)</f>
        <v>#N/A</v>
      </c>
      <c r="J82" s="88" t="e">
        <f>VLOOKUP($H82,APOIO!$H:$J,3,FALSE)</f>
        <v>#N/A</v>
      </c>
      <c r="K82" s="32"/>
      <c r="L82" s="32"/>
      <c r="M82" s="31"/>
      <c r="N82" s="32" t="e">
        <f>VLOOKUP($M82,APOIO!$R:$S,2,FALSE)</f>
        <v>#N/A</v>
      </c>
      <c r="O82" s="32"/>
      <c r="P82" s="32"/>
      <c r="Q82" s="71"/>
      <c r="R82" s="68" t="e">
        <f>INDEX(APOIO!$V:$V,MATCH(EOMONTH($Q82,0),APOIO!$X:$X,0))</f>
        <v>#N/A</v>
      </c>
      <c r="S82" s="60"/>
      <c r="T82" s="59"/>
      <c r="U82" s="59" t="str">
        <f t="shared" si="1"/>
        <v/>
      </c>
    </row>
    <row r="83" spans="1:21" ht="15" x14ac:dyDescent="0.25">
      <c r="A83" s="31"/>
      <c r="B83" s="62" t="str">
        <f>IF(A83="","",IFERROR(VLOOKUP($A83,APOIO!$A:$B,2,FALSE),"error"))</f>
        <v/>
      </c>
      <c r="C83" s="77"/>
      <c r="D83" s="62" t="e">
        <f>VLOOKUP($C83,APOIO!$O:$Q,2,FALSE)</f>
        <v>#N/A</v>
      </c>
      <c r="E83" s="62" t="e">
        <f>VLOOKUP($C83,APOIO!$O:$Q,3,FALSE)</f>
        <v>#N/A</v>
      </c>
      <c r="F83" s="78"/>
      <c r="G83" s="88" t="e">
        <f>VLOOKUP($F83,APOIO!$L:$M,2,FALSE)</f>
        <v>#N/A</v>
      </c>
      <c r="H83" s="77"/>
      <c r="I83" s="88" t="e">
        <f>VLOOKUP($H83,APOIO!$H:$J,2,FALSE)</f>
        <v>#N/A</v>
      </c>
      <c r="J83" s="88" t="e">
        <f>VLOOKUP($H83,APOIO!$H:$J,3,FALSE)</f>
        <v>#N/A</v>
      </c>
      <c r="K83" s="32"/>
      <c r="L83" s="32"/>
      <c r="M83" s="31"/>
      <c r="N83" s="32" t="e">
        <f>VLOOKUP($M83,APOIO!$R:$S,2,FALSE)</f>
        <v>#N/A</v>
      </c>
      <c r="O83" s="32"/>
      <c r="P83" s="32"/>
      <c r="Q83" s="71"/>
      <c r="R83" s="68" t="e">
        <f>INDEX(APOIO!$V:$V,MATCH(EOMONTH($Q83,0),APOIO!$X:$X,0))</f>
        <v>#N/A</v>
      </c>
      <c r="S83" s="60"/>
      <c r="T83" s="59"/>
      <c r="U83" s="59" t="str">
        <f t="shared" si="1"/>
        <v/>
      </c>
    </row>
    <row r="84" spans="1:21" ht="15" x14ac:dyDescent="0.25">
      <c r="A84" s="31"/>
      <c r="B84" s="62" t="str">
        <f>IF(A84="","",IFERROR(VLOOKUP($A84,APOIO!$A:$B,2,FALSE),"error"))</f>
        <v/>
      </c>
      <c r="C84" s="77"/>
      <c r="D84" s="62" t="e">
        <f>VLOOKUP($C84,APOIO!$O:$Q,2,FALSE)</f>
        <v>#N/A</v>
      </c>
      <c r="E84" s="62" t="e">
        <f>VLOOKUP($C84,APOIO!$O:$Q,3,FALSE)</f>
        <v>#N/A</v>
      </c>
      <c r="F84" s="78"/>
      <c r="G84" s="88" t="e">
        <f>VLOOKUP($F84,APOIO!$L:$M,2,FALSE)</f>
        <v>#N/A</v>
      </c>
      <c r="H84" s="77"/>
      <c r="I84" s="88" t="e">
        <f>VLOOKUP($H84,APOIO!$H:$J,2,FALSE)</f>
        <v>#N/A</v>
      </c>
      <c r="J84" s="88" t="e">
        <f>VLOOKUP($H84,APOIO!$H:$J,3,FALSE)</f>
        <v>#N/A</v>
      </c>
      <c r="K84" s="32"/>
      <c r="L84" s="32"/>
      <c r="M84" s="31"/>
      <c r="N84" s="32" t="e">
        <f>VLOOKUP($M84,APOIO!$R:$S,2,FALSE)</f>
        <v>#N/A</v>
      </c>
      <c r="O84" s="32"/>
      <c r="P84" s="32"/>
      <c r="Q84" s="71"/>
      <c r="R84" s="68" t="e">
        <f>INDEX(APOIO!$V:$V,MATCH(EOMONTH($Q84,0),APOIO!$X:$X,0))</f>
        <v>#N/A</v>
      </c>
      <c r="S84" s="60"/>
      <c r="T84" s="59"/>
      <c r="U84" s="59" t="str">
        <f t="shared" si="1"/>
        <v/>
      </c>
    </row>
    <row r="85" spans="1:21" ht="15" x14ac:dyDescent="0.25">
      <c r="A85" s="31"/>
      <c r="B85" s="62" t="str">
        <f>IF(A85="","",IFERROR(VLOOKUP($A85,APOIO!$A:$B,2,FALSE),"error"))</f>
        <v/>
      </c>
      <c r="C85" s="77"/>
      <c r="D85" s="62" t="e">
        <f>VLOOKUP($C85,APOIO!$O:$Q,2,FALSE)</f>
        <v>#N/A</v>
      </c>
      <c r="E85" s="62" t="e">
        <f>VLOOKUP($C85,APOIO!$O:$Q,3,FALSE)</f>
        <v>#N/A</v>
      </c>
      <c r="F85" s="78"/>
      <c r="G85" s="88" t="e">
        <f>VLOOKUP($F85,APOIO!$L:$M,2,FALSE)</f>
        <v>#N/A</v>
      </c>
      <c r="H85" s="77"/>
      <c r="I85" s="88" t="e">
        <f>VLOOKUP($H85,APOIO!$H:$J,2,FALSE)</f>
        <v>#N/A</v>
      </c>
      <c r="J85" s="88" t="e">
        <f>VLOOKUP($H85,APOIO!$H:$J,3,FALSE)</f>
        <v>#N/A</v>
      </c>
      <c r="K85" s="32"/>
      <c r="L85" s="32"/>
      <c r="M85" s="31"/>
      <c r="N85" s="32" t="e">
        <f>VLOOKUP($M85,APOIO!$R:$S,2,FALSE)</f>
        <v>#N/A</v>
      </c>
      <c r="O85" s="32"/>
      <c r="P85" s="32"/>
      <c r="Q85" s="71"/>
      <c r="R85" s="68" t="e">
        <f>INDEX(APOIO!$V:$V,MATCH(EOMONTH($Q85,0),APOIO!$X:$X,0))</f>
        <v>#N/A</v>
      </c>
      <c r="S85" s="60"/>
      <c r="T85" s="59"/>
      <c r="U85" s="59" t="str">
        <f t="shared" si="1"/>
        <v/>
      </c>
    </row>
    <row r="86" spans="1:21" ht="15" x14ac:dyDescent="0.25">
      <c r="A86" s="31"/>
      <c r="B86" s="62" t="str">
        <f>IF(A86="","",IFERROR(VLOOKUP($A86,APOIO!$A:$B,2,FALSE),"error"))</f>
        <v/>
      </c>
      <c r="C86" s="77"/>
      <c r="D86" s="62" t="e">
        <f>VLOOKUP($C86,APOIO!$O:$Q,2,FALSE)</f>
        <v>#N/A</v>
      </c>
      <c r="E86" s="62" t="e">
        <f>VLOOKUP($C86,APOIO!$O:$Q,3,FALSE)</f>
        <v>#N/A</v>
      </c>
      <c r="F86" s="78"/>
      <c r="G86" s="88" t="e">
        <f>VLOOKUP($F86,APOIO!$L:$M,2,FALSE)</f>
        <v>#N/A</v>
      </c>
      <c r="H86" s="77"/>
      <c r="I86" s="88" t="e">
        <f>VLOOKUP($H86,APOIO!$H:$J,2,FALSE)</f>
        <v>#N/A</v>
      </c>
      <c r="J86" s="88" t="e">
        <f>VLOOKUP($H86,APOIO!$H:$J,3,FALSE)</f>
        <v>#N/A</v>
      </c>
      <c r="K86" s="32"/>
      <c r="L86" s="32"/>
      <c r="M86" s="31"/>
      <c r="N86" s="32" t="e">
        <f>VLOOKUP($M86,APOIO!$R:$S,2,FALSE)</f>
        <v>#N/A</v>
      </c>
      <c r="O86" s="32"/>
      <c r="P86" s="32"/>
      <c r="Q86" s="71"/>
      <c r="R86" s="68" t="e">
        <f>INDEX(APOIO!$V:$V,MATCH(EOMONTH($Q86,0),APOIO!$X:$X,0))</f>
        <v>#N/A</v>
      </c>
      <c r="S86" s="60"/>
      <c r="T86" s="59"/>
      <c r="U86" s="59" t="str">
        <f t="shared" si="1"/>
        <v/>
      </c>
    </row>
    <row r="87" spans="1:21" ht="15" x14ac:dyDescent="0.25">
      <c r="A87" s="31"/>
      <c r="B87" s="62" t="str">
        <f>IF(A87="","",IFERROR(VLOOKUP($A87,APOIO!$A:$B,2,FALSE),"error"))</f>
        <v/>
      </c>
      <c r="C87" s="77"/>
      <c r="D87" s="62" t="e">
        <f>VLOOKUP($C87,APOIO!$O:$Q,2,FALSE)</f>
        <v>#N/A</v>
      </c>
      <c r="E87" s="62" t="e">
        <f>VLOOKUP($C87,APOIO!$O:$Q,3,FALSE)</f>
        <v>#N/A</v>
      </c>
      <c r="F87" s="78"/>
      <c r="G87" s="88" t="e">
        <f>VLOOKUP($F87,APOIO!$L:$M,2,FALSE)</f>
        <v>#N/A</v>
      </c>
      <c r="H87" s="77"/>
      <c r="I87" s="88" t="e">
        <f>VLOOKUP($H87,APOIO!$H:$J,2,FALSE)</f>
        <v>#N/A</v>
      </c>
      <c r="J87" s="88" t="e">
        <f>VLOOKUP($H87,APOIO!$H:$J,3,FALSE)</f>
        <v>#N/A</v>
      </c>
      <c r="K87" s="32"/>
      <c r="L87" s="32"/>
      <c r="M87" s="31"/>
      <c r="N87" s="32" t="e">
        <f>VLOOKUP($M87,APOIO!$R:$S,2,FALSE)</f>
        <v>#N/A</v>
      </c>
      <c r="O87" s="32"/>
      <c r="P87" s="32"/>
      <c r="Q87" s="71"/>
      <c r="R87" s="68" t="e">
        <f>INDEX(APOIO!$V:$V,MATCH(EOMONTH($Q87,0),APOIO!$X:$X,0))</f>
        <v>#N/A</v>
      </c>
      <c r="S87" s="60"/>
      <c r="T87" s="59"/>
      <c r="U87" s="59" t="str">
        <f t="shared" si="1"/>
        <v/>
      </c>
    </row>
    <row r="88" spans="1:21" ht="15" x14ac:dyDescent="0.25">
      <c r="A88" s="31"/>
      <c r="B88" s="62" t="str">
        <f>IF(A88="","",IFERROR(VLOOKUP($A88,APOIO!$A:$B,2,FALSE),"error"))</f>
        <v/>
      </c>
      <c r="C88" s="77"/>
      <c r="D88" s="62" t="e">
        <f>VLOOKUP($C88,APOIO!$O:$Q,2,FALSE)</f>
        <v>#N/A</v>
      </c>
      <c r="E88" s="62" t="e">
        <f>VLOOKUP($C88,APOIO!$O:$Q,3,FALSE)</f>
        <v>#N/A</v>
      </c>
      <c r="F88" s="78"/>
      <c r="G88" s="88" t="e">
        <f>VLOOKUP($F88,APOIO!$L:$M,2,FALSE)</f>
        <v>#N/A</v>
      </c>
      <c r="H88" s="77"/>
      <c r="I88" s="88" t="e">
        <f>VLOOKUP($H88,APOIO!$H:$J,2,FALSE)</f>
        <v>#N/A</v>
      </c>
      <c r="J88" s="88" t="e">
        <f>VLOOKUP($H88,APOIO!$H:$J,3,FALSE)</f>
        <v>#N/A</v>
      </c>
      <c r="K88" s="32"/>
      <c r="L88" s="32"/>
      <c r="M88" s="31"/>
      <c r="N88" s="32" t="e">
        <f>VLOOKUP($M88,APOIO!$R:$S,2,FALSE)</f>
        <v>#N/A</v>
      </c>
      <c r="O88" s="32"/>
      <c r="P88" s="32"/>
      <c r="Q88" s="71"/>
      <c r="R88" s="68" t="e">
        <f>INDEX(APOIO!$V:$V,MATCH(EOMONTH($Q88,0),APOIO!$X:$X,0))</f>
        <v>#N/A</v>
      </c>
      <c r="S88" s="60"/>
      <c r="T88" s="59"/>
      <c r="U88" s="59" t="str">
        <f t="shared" si="1"/>
        <v/>
      </c>
    </row>
    <row r="89" spans="1:21" ht="15" x14ac:dyDescent="0.25">
      <c r="A89" s="31"/>
      <c r="B89" s="62" t="str">
        <f>IF(A89="","",IFERROR(VLOOKUP($A89,APOIO!$A:$B,2,FALSE),"error"))</f>
        <v/>
      </c>
      <c r="C89" s="77"/>
      <c r="D89" s="62" t="e">
        <f>VLOOKUP($C89,APOIO!$O:$Q,2,FALSE)</f>
        <v>#N/A</v>
      </c>
      <c r="E89" s="62" t="e">
        <f>VLOOKUP($C89,APOIO!$O:$Q,3,FALSE)</f>
        <v>#N/A</v>
      </c>
      <c r="F89" s="78"/>
      <c r="G89" s="88" t="e">
        <f>VLOOKUP($F89,APOIO!$L:$M,2,FALSE)</f>
        <v>#N/A</v>
      </c>
      <c r="H89" s="77"/>
      <c r="I89" s="88" t="e">
        <f>VLOOKUP($H89,APOIO!$H:$J,2,FALSE)</f>
        <v>#N/A</v>
      </c>
      <c r="J89" s="88" t="e">
        <f>VLOOKUP($H89,APOIO!$H:$J,3,FALSE)</f>
        <v>#N/A</v>
      </c>
      <c r="K89" s="32"/>
      <c r="L89" s="32"/>
      <c r="M89" s="31"/>
      <c r="N89" s="32" t="e">
        <f>VLOOKUP($M89,APOIO!$R:$S,2,FALSE)</f>
        <v>#N/A</v>
      </c>
      <c r="O89" s="32"/>
      <c r="P89" s="32"/>
      <c r="Q89" s="71"/>
      <c r="R89" s="68" t="e">
        <f>INDEX(APOIO!$V:$V,MATCH(EOMONTH($Q89,0),APOIO!$X:$X,0))</f>
        <v>#N/A</v>
      </c>
      <c r="S89" s="60"/>
      <c r="T89" s="59"/>
      <c r="U89" s="59" t="str">
        <f t="shared" si="1"/>
        <v/>
      </c>
    </row>
    <row r="90" spans="1:21" ht="15" x14ac:dyDescent="0.25">
      <c r="A90" s="31"/>
      <c r="B90" s="62" t="str">
        <f>IF(A90="","",IFERROR(VLOOKUP($A90,APOIO!$A:$B,2,FALSE),"error"))</f>
        <v/>
      </c>
      <c r="C90" s="77"/>
      <c r="D90" s="62" t="e">
        <f>VLOOKUP($C90,APOIO!$O:$Q,2,FALSE)</f>
        <v>#N/A</v>
      </c>
      <c r="E90" s="62" t="e">
        <f>VLOOKUP($C90,APOIO!$O:$Q,3,FALSE)</f>
        <v>#N/A</v>
      </c>
      <c r="F90" s="78"/>
      <c r="G90" s="88" t="e">
        <f>VLOOKUP($F90,APOIO!$L:$M,2,FALSE)</f>
        <v>#N/A</v>
      </c>
      <c r="H90" s="77"/>
      <c r="I90" s="88" t="e">
        <f>VLOOKUP($H90,APOIO!$H:$J,2,FALSE)</f>
        <v>#N/A</v>
      </c>
      <c r="J90" s="88" t="e">
        <f>VLOOKUP($H90,APOIO!$H:$J,3,FALSE)</f>
        <v>#N/A</v>
      </c>
      <c r="K90" s="32"/>
      <c r="L90" s="32"/>
      <c r="M90" s="31"/>
      <c r="N90" s="32" t="e">
        <f>VLOOKUP($M90,APOIO!$R:$S,2,FALSE)</f>
        <v>#N/A</v>
      </c>
      <c r="O90" s="32"/>
      <c r="P90" s="32"/>
      <c r="Q90" s="71"/>
      <c r="R90" s="68" t="e">
        <f>INDEX(APOIO!$V:$V,MATCH(EOMONTH($Q90,0),APOIO!$X:$X,0))</f>
        <v>#N/A</v>
      </c>
      <c r="S90" s="60"/>
      <c r="T90" s="59"/>
      <c r="U90" s="59" t="str">
        <f t="shared" si="1"/>
        <v/>
      </c>
    </row>
    <row r="91" spans="1:21" ht="15" x14ac:dyDescent="0.25">
      <c r="A91" s="31"/>
      <c r="B91" s="62" t="str">
        <f>IF(A91="","",IFERROR(VLOOKUP($A91,APOIO!$A:$B,2,FALSE),"error"))</f>
        <v/>
      </c>
      <c r="C91" s="77"/>
      <c r="D91" s="62" t="e">
        <f>VLOOKUP($C91,APOIO!$O:$Q,2,FALSE)</f>
        <v>#N/A</v>
      </c>
      <c r="E91" s="62" t="e">
        <f>VLOOKUP($C91,APOIO!$O:$Q,3,FALSE)</f>
        <v>#N/A</v>
      </c>
      <c r="F91" s="78"/>
      <c r="G91" s="88" t="e">
        <f>VLOOKUP($F91,APOIO!$L:$M,2,FALSE)</f>
        <v>#N/A</v>
      </c>
      <c r="H91" s="77"/>
      <c r="I91" s="88" t="e">
        <f>VLOOKUP($H91,APOIO!$H:$J,2,FALSE)</f>
        <v>#N/A</v>
      </c>
      <c r="J91" s="88" t="e">
        <f>VLOOKUP($H91,APOIO!$H:$J,3,FALSE)</f>
        <v>#N/A</v>
      </c>
      <c r="K91" s="32"/>
      <c r="L91" s="32"/>
      <c r="M91" s="31"/>
      <c r="N91" s="32" t="e">
        <f>VLOOKUP($M91,APOIO!$R:$S,2,FALSE)</f>
        <v>#N/A</v>
      </c>
      <c r="O91" s="32"/>
      <c r="P91" s="32"/>
      <c r="Q91" s="71"/>
      <c r="R91" s="68" t="e">
        <f>INDEX(APOIO!$V:$V,MATCH(EOMONTH($Q91,0),APOIO!$X:$X,0))</f>
        <v>#N/A</v>
      </c>
      <c r="S91" s="60"/>
      <c r="T91" s="59"/>
      <c r="U91" s="59" t="str">
        <f t="shared" si="1"/>
        <v/>
      </c>
    </row>
    <row r="92" spans="1:21" ht="15" x14ac:dyDescent="0.25">
      <c r="A92" s="31"/>
      <c r="B92" s="62" t="str">
        <f>IF(A92="","",IFERROR(VLOOKUP($A92,APOIO!$A:$B,2,FALSE),"error"))</f>
        <v/>
      </c>
      <c r="C92" s="77"/>
      <c r="D92" s="62" t="e">
        <f>VLOOKUP($C92,APOIO!$O:$Q,2,FALSE)</f>
        <v>#N/A</v>
      </c>
      <c r="E92" s="62" t="e">
        <f>VLOOKUP($C92,APOIO!$O:$Q,3,FALSE)</f>
        <v>#N/A</v>
      </c>
      <c r="F92" s="78"/>
      <c r="G92" s="88" t="e">
        <f>VLOOKUP($F92,APOIO!$L:$M,2,FALSE)</f>
        <v>#N/A</v>
      </c>
      <c r="H92" s="77"/>
      <c r="I92" s="88" t="e">
        <f>VLOOKUP($H92,APOIO!$H:$J,2,FALSE)</f>
        <v>#N/A</v>
      </c>
      <c r="J92" s="88" t="e">
        <f>VLOOKUP($H92,APOIO!$H:$J,3,FALSE)</f>
        <v>#N/A</v>
      </c>
      <c r="K92" s="32"/>
      <c r="L92" s="32"/>
      <c r="M92" s="31"/>
      <c r="N92" s="32" t="e">
        <f>VLOOKUP($M92,APOIO!$R:$S,2,FALSE)</f>
        <v>#N/A</v>
      </c>
      <c r="O92" s="32"/>
      <c r="P92" s="32"/>
      <c r="Q92" s="71"/>
      <c r="R92" s="68" t="e">
        <f>INDEX(APOIO!$V:$V,MATCH(EOMONTH($Q92,0),APOIO!$X:$X,0))</f>
        <v>#N/A</v>
      </c>
      <c r="S92" s="60"/>
      <c r="T92" s="59"/>
      <c r="U92" s="59" t="str">
        <f t="shared" si="1"/>
        <v/>
      </c>
    </row>
    <row r="93" spans="1:21" ht="15" x14ac:dyDescent="0.25">
      <c r="A93" s="31"/>
      <c r="B93" s="62" t="str">
        <f>IF(A93="","",IFERROR(VLOOKUP($A93,APOIO!$A:$B,2,FALSE),"error"))</f>
        <v/>
      </c>
      <c r="C93" s="77"/>
      <c r="D93" s="62" t="e">
        <f>VLOOKUP($C93,APOIO!$O:$Q,2,FALSE)</f>
        <v>#N/A</v>
      </c>
      <c r="E93" s="62" t="e">
        <f>VLOOKUP($C93,APOIO!$O:$Q,3,FALSE)</f>
        <v>#N/A</v>
      </c>
      <c r="F93" s="78"/>
      <c r="G93" s="88" t="e">
        <f>VLOOKUP($F93,APOIO!$L:$M,2,FALSE)</f>
        <v>#N/A</v>
      </c>
      <c r="H93" s="77"/>
      <c r="I93" s="88" t="e">
        <f>VLOOKUP($H93,APOIO!$H:$J,2,FALSE)</f>
        <v>#N/A</v>
      </c>
      <c r="J93" s="88" t="e">
        <f>VLOOKUP($H93,APOIO!$H:$J,3,FALSE)</f>
        <v>#N/A</v>
      </c>
      <c r="K93" s="32"/>
      <c r="L93" s="32"/>
      <c r="M93" s="31"/>
      <c r="N93" s="32" t="e">
        <f>VLOOKUP($M93,APOIO!$R:$S,2,FALSE)</f>
        <v>#N/A</v>
      </c>
      <c r="O93" s="32"/>
      <c r="P93" s="32"/>
      <c r="Q93" s="71"/>
      <c r="R93" s="68" t="e">
        <f>INDEX(APOIO!$V:$V,MATCH(EOMONTH($Q93,0),APOIO!$X:$X,0))</f>
        <v>#N/A</v>
      </c>
      <c r="S93" s="60"/>
      <c r="T93" s="59"/>
      <c r="U93" s="59" t="str">
        <f t="shared" si="1"/>
        <v/>
      </c>
    </row>
    <row r="94" spans="1:21" ht="15" x14ac:dyDescent="0.25">
      <c r="A94" s="31"/>
      <c r="B94" s="62" t="str">
        <f>IF(A94="","",IFERROR(VLOOKUP($A94,APOIO!$A:$B,2,FALSE),"error"))</f>
        <v/>
      </c>
      <c r="C94" s="77"/>
      <c r="D94" s="62" t="e">
        <f>VLOOKUP($C94,APOIO!$O:$Q,2,FALSE)</f>
        <v>#N/A</v>
      </c>
      <c r="E94" s="62" t="e">
        <f>VLOOKUP($C94,APOIO!$O:$Q,3,FALSE)</f>
        <v>#N/A</v>
      </c>
      <c r="F94" s="78"/>
      <c r="G94" s="88" t="e">
        <f>VLOOKUP($F94,APOIO!$L:$M,2,FALSE)</f>
        <v>#N/A</v>
      </c>
      <c r="H94" s="77"/>
      <c r="I94" s="88" t="e">
        <f>VLOOKUP($H94,APOIO!$H:$J,2,FALSE)</f>
        <v>#N/A</v>
      </c>
      <c r="J94" s="88" t="e">
        <f>VLOOKUP($H94,APOIO!$H:$J,3,FALSE)</f>
        <v>#N/A</v>
      </c>
      <c r="K94" s="32"/>
      <c r="L94" s="32"/>
      <c r="M94" s="31"/>
      <c r="N94" s="32" t="e">
        <f>VLOOKUP($M94,APOIO!$R:$S,2,FALSE)</f>
        <v>#N/A</v>
      </c>
      <c r="O94" s="32"/>
      <c r="P94" s="32"/>
      <c r="Q94" s="71"/>
      <c r="R94" s="68" t="e">
        <f>INDEX(APOIO!$V:$V,MATCH(EOMONTH($Q94,0),APOIO!$X:$X,0))</f>
        <v>#N/A</v>
      </c>
      <c r="S94" s="60"/>
      <c r="T94" s="59"/>
      <c r="U94" s="59" t="str">
        <f t="shared" si="1"/>
        <v/>
      </c>
    </row>
    <row r="95" spans="1:21" ht="15" x14ac:dyDescent="0.25">
      <c r="A95" s="31"/>
      <c r="B95" s="62" t="str">
        <f>IF(A95="","",IFERROR(VLOOKUP($A95,APOIO!$A:$B,2,FALSE),"error"))</f>
        <v/>
      </c>
      <c r="C95" s="77"/>
      <c r="D95" s="62" t="e">
        <f>VLOOKUP($C95,APOIO!$O:$Q,2,FALSE)</f>
        <v>#N/A</v>
      </c>
      <c r="E95" s="62" t="e">
        <f>VLOOKUP($C95,APOIO!$O:$Q,3,FALSE)</f>
        <v>#N/A</v>
      </c>
      <c r="F95" s="78"/>
      <c r="G95" s="88" t="e">
        <f>VLOOKUP($F95,APOIO!$L:$M,2,FALSE)</f>
        <v>#N/A</v>
      </c>
      <c r="H95" s="77"/>
      <c r="I95" s="88" t="e">
        <f>VLOOKUP($H95,APOIO!$H:$J,2,FALSE)</f>
        <v>#N/A</v>
      </c>
      <c r="J95" s="88" t="e">
        <f>VLOOKUP($H95,APOIO!$H:$J,3,FALSE)</f>
        <v>#N/A</v>
      </c>
      <c r="K95" s="32"/>
      <c r="L95" s="32"/>
      <c r="M95" s="31"/>
      <c r="N95" s="32" t="e">
        <f>VLOOKUP($M95,APOIO!$R:$S,2,FALSE)</f>
        <v>#N/A</v>
      </c>
      <c r="O95" s="32"/>
      <c r="P95" s="32"/>
      <c r="Q95" s="71"/>
      <c r="R95" s="68" t="e">
        <f>INDEX(APOIO!$V:$V,MATCH(EOMONTH($Q95,0),APOIO!$X:$X,0))</f>
        <v>#N/A</v>
      </c>
      <c r="S95" s="60"/>
      <c r="T95" s="59"/>
      <c r="U95" s="59" t="str">
        <f t="shared" si="1"/>
        <v/>
      </c>
    </row>
    <row r="96" spans="1:21" ht="15" x14ac:dyDescent="0.25">
      <c r="A96" s="31"/>
      <c r="B96" s="62" t="str">
        <f>IF(A96="","",IFERROR(VLOOKUP($A96,APOIO!$A:$B,2,FALSE),"error"))</f>
        <v/>
      </c>
      <c r="C96" s="77"/>
      <c r="D96" s="62" t="e">
        <f>VLOOKUP($C96,APOIO!$O:$Q,2,FALSE)</f>
        <v>#N/A</v>
      </c>
      <c r="E96" s="62" t="e">
        <f>VLOOKUP($C96,APOIO!$O:$Q,3,FALSE)</f>
        <v>#N/A</v>
      </c>
      <c r="F96" s="78"/>
      <c r="G96" s="88" t="e">
        <f>VLOOKUP($F96,APOIO!$L:$M,2,FALSE)</f>
        <v>#N/A</v>
      </c>
      <c r="H96" s="77"/>
      <c r="I96" s="88" t="e">
        <f>VLOOKUP($H96,APOIO!$H:$J,2,FALSE)</f>
        <v>#N/A</v>
      </c>
      <c r="J96" s="88" t="e">
        <f>VLOOKUP($H96,APOIO!$H:$J,3,FALSE)</f>
        <v>#N/A</v>
      </c>
      <c r="K96" s="32"/>
      <c r="L96" s="32"/>
      <c r="M96" s="31"/>
      <c r="N96" s="32" t="e">
        <f>VLOOKUP($M96,APOIO!$R:$S,2,FALSE)</f>
        <v>#N/A</v>
      </c>
      <c r="O96" s="32"/>
      <c r="P96" s="32"/>
      <c r="Q96" s="71"/>
      <c r="R96" s="68" t="e">
        <f>INDEX(APOIO!$V:$V,MATCH(EOMONTH($Q96,0),APOIO!$X:$X,0))</f>
        <v>#N/A</v>
      </c>
      <c r="S96" s="60"/>
      <c r="T96" s="59"/>
      <c r="U96" s="59" t="str">
        <f t="shared" si="1"/>
        <v/>
      </c>
    </row>
    <row r="97" spans="1:21" ht="15" x14ac:dyDescent="0.25">
      <c r="A97" s="31"/>
      <c r="B97" s="62" t="str">
        <f>IF(A97="","",IFERROR(VLOOKUP($A97,APOIO!$A:$B,2,FALSE),"error"))</f>
        <v/>
      </c>
      <c r="C97" s="77"/>
      <c r="D97" s="62" t="e">
        <f>VLOOKUP($C97,APOIO!$O:$Q,2,FALSE)</f>
        <v>#N/A</v>
      </c>
      <c r="E97" s="62" t="e">
        <f>VLOOKUP($C97,APOIO!$O:$Q,3,FALSE)</f>
        <v>#N/A</v>
      </c>
      <c r="F97" s="78"/>
      <c r="G97" s="88" t="e">
        <f>VLOOKUP($F97,APOIO!$L:$M,2,FALSE)</f>
        <v>#N/A</v>
      </c>
      <c r="H97" s="77"/>
      <c r="I97" s="88" t="e">
        <f>VLOOKUP($H97,APOIO!$H:$J,2,FALSE)</f>
        <v>#N/A</v>
      </c>
      <c r="J97" s="88" t="e">
        <f>VLOOKUP($H97,APOIO!$H:$J,3,FALSE)</f>
        <v>#N/A</v>
      </c>
      <c r="K97" s="32"/>
      <c r="L97" s="32"/>
      <c r="M97" s="31"/>
      <c r="N97" s="32" t="e">
        <f>VLOOKUP($M97,APOIO!$R:$S,2,FALSE)</f>
        <v>#N/A</v>
      </c>
      <c r="O97" s="32"/>
      <c r="P97" s="32"/>
      <c r="Q97" s="71"/>
      <c r="R97" s="68" t="e">
        <f>INDEX(APOIO!$V:$V,MATCH(EOMONTH($Q97,0),APOIO!$X:$X,0))</f>
        <v>#N/A</v>
      </c>
      <c r="S97" s="60"/>
      <c r="T97" s="59"/>
      <c r="U97" s="59" t="str">
        <f t="shared" si="1"/>
        <v/>
      </c>
    </row>
    <row r="98" spans="1:21" ht="15" x14ac:dyDescent="0.25">
      <c r="A98" s="31"/>
      <c r="B98" s="62" t="str">
        <f>IF(A98="","",IFERROR(VLOOKUP($A98,APOIO!$A:$B,2,FALSE),"error"))</f>
        <v/>
      </c>
      <c r="C98" s="77"/>
      <c r="D98" s="62" t="e">
        <f>VLOOKUP($C98,APOIO!$O:$Q,2,FALSE)</f>
        <v>#N/A</v>
      </c>
      <c r="E98" s="62" t="e">
        <f>VLOOKUP($C98,APOIO!$O:$Q,3,FALSE)</f>
        <v>#N/A</v>
      </c>
      <c r="F98" s="78"/>
      <c r="G98" s="88" t="e">
        <f>VLOOKUP($F98,APOIO!$L:$M,2,FALSE)</f>
        <v>#N/A</v>
      </c>
      <c r="H98" s="77"/>
      <c r="I98" s="88" t="e">
        <f>VLOOKUP($H98,APOIO!$H:$J,2,FALSE)</f>
        <v>#N/A</v>
      </c>
      <c r="J98" s="88" t="e">
        <f>VLOOKUP($H98,APOIO!$H:$J,3,FALSE)</f>
        <v>#N/A</v>
      </c>
      <c r="K98" s="32"/>
      <c r="L98" s="32"/>
      <c r="M98" s="31"/>
      <c r="N98" s="32" t="e">
        <f>VLOOKUP($M98,APOIO!$R:$S,2,FALSE)</f>
        <v>#N/A</v>
      </c>
      <c r="O98" s="32"/>
      <c r="P98" s="32"/>
      <c r="Q98" s="71"/>
      <c r="R98" s="68" t="e">
        <f>INDEX(APOIO!$V:$V,MATCH(EOMONTH($Q98,0),APOIO!$X:$X,0))</f>
        <v>#N/A</v>
      </c>
      <c r="S98" s="60"/>
      <c r="T98" s="59"/>
      <c r="U98" s="59" t="str">
        <f t="shared" si="1"/>
        <v/>
      </c>
    </row>
    <row r="99" spans="1:21" ht="15" x14ac:dyDescent="0.25">
      <c r="A99" s="31"/>
      <c r="B99" s="62" t="str">
        <f>IF(A99="","",IFERROR(VLOOKUP($A99,APOIO!$A:$B,2,FALSE),"error"))</f>
        <v/>
      </c>
      <c r="C99" s="77"/>
      <c r="D99" s="62" t="e">
        <f>VLOOKUP($C99,APOIO!$O:$Q,2,FALSE)</f>
        <v>#N/A</v>
      </c>
      <c r="E99" s="62" t="e">
        <f>VLOOKUP($C99,APOIO!$O:$Q,3,FALSE)</f>
        <v>#N/A</v>
      </c>
      <c r="F99" s="78"/>
      <c r="G99" s="88" t="e">
        <f>VLOOKUP($F99,APOIO!$L:$M,2,FALSE)</f>
        <v>#N/A</v>
      </c>
      <c r="H99" s="77"/>
      <c r="I99" s="88" t="e">
        <f>VLOOKUP($H99,APOIO!$H:$J,2,FALSE)</f>
        <v>#N/A</v>
      </c>
      <c r="J99" s="88" t="e">
        <f>VLOOKUP($H99,APOIO!$H:$J,3,FALSE)</f>
        <v>#N/A</v>
      </c>
      <c r="K99" s="32"/>
      <c r="L99" s="32"/>
      <c r="M99" s="31"/>
      <c r="N99" s="32" t="e">
        <f>VLOOKUP($M99,APOIO!$R:$S,2,FALSE)</f>
        <v>#N/A</v>
      </c>
      <c r="O99" s="32"/>
      <c r="P99" s="32"/>
      <c r="Q99" s="71"/>
      <c r="R99" s="68" t="e">
        <f>INDEX(APOIO!$V:$V,MATCH(EOMONTH($Q99,0),APOIO!$X:$X,0))</f>
        <v>#N/A</v>
      </c>
      <c r="S99" s="60"/>
      <c r="T99" s="59"/>
      <c r="U99" s="59" t="str">
        <f t="shared" si="1"/>
        <v/>
      </c>
    </row>
    <row r="100" spans="1:21" ht="15" x14ac:dyDescent="0.25">
      <c r="A100" s="31"/>
      <c r="B100" s="62" t="str">
        <f>IF(A100="","",IFERROR(VLOOKUP($A100,APOIO!$A:$B,2,FALSE),"error"))</f>
        <v/>
      </c>
      <c r="C100" s="77"/>
      <c r="D100" s="62" t="e">
        <f>VLOOKUP($C100,APOIO!$O:$Q,2,FALSE)</f>
        <v>#N/A</v>
      </c>
      <c r="E100" s="62" t="e">
        <f>VLOOKUP($C100,APOIO!$O:$Q,3,FALSE)</f>
        <v>#N/A</v>
      </c>
      <c r="F100" s="78"/>
      <c r="G100" s="88" t="e">
        <f>VLOOKUP($F100,APOIO!$L:$M,2,FALSE)</f>
        <v>#N/A</v>
      </c>
      <c r="H100" s="77"/>
      <c r="I100" s="88" t="e">
        <f>VLOOKUP($H100,APOIO!$H:$J,2,FALSE)</f>
        <v>#N/A</v>
      </c>
      <c r="J100" s="88" t="e">
        <f>VLOOKUP($H100,APOIO!$H:$J,3,FALSE)</f>
        <v>#N/A</v>
      </c>
      <c r="K100" s="32"/>
      <c r="L100" s="32"/>
      <c r="M100" s="31"/>
      <c r="N100" s="32" t="e">
        <f>VLOOKUP($M100,APOIO!$R:$S,2,FALSE)</f>
        <v>#N/A</v>
      </c>
      <c r="O100" s="32"/>
      <c r="P100" s="32"/>
      <c r="Q100" s="71"/>
      <c r="R100" s="68" t="e">
        <f>INDEX(APOIO!$V:$V,MATCH(EOMONTH($Q100,0),APOIO!$X:$X,0))</f>
        <v>#N/A</v>
      </c>
      <c r="S100" s="60"/>
      <c r="T100" s="59"/>
      <c r="U100" s="59" t="str">
        <f t="shared" si="1"/>
        <v/>
      </c>
    </row>
    <row r="101" spans="1:21" ht="15" x14ac:dyDescent="0.25">
      <c r="A101" s="31"/>
      <c r="B101" s="62" t="str">
        <f>IF(A101="","",IFERROR(VLOOKUP($A101,APOIO!$A:$B,2,FALSE),"error"))</f>
        <v/>
      </c>
      <c r="C101" s="77"/>
      <c r="D101" s="62" t="e">
        <f>VLOOKUP($C101,APOIO!$O:$Q,2,FALSE)</f>
        <v>#N/A</v>
      </c>
      <c r="E101" s="62" t="e">
        <f>VLOOKUP($C101,APOIO!$O:$Q,3,FALSE)</f>
        <v>#N/A</v>
      </c>
      <c r="F101" s="78"/>
      <c r="G101" s="88" t="e">
        <f>VLOOKUP($F101,APOIO!$L:$M,2,FALSE)</f>
        <v>#N/A</v>
      </c>
      <c r="H101" s="77"/>
      <c r="I101" s="88" t="e">
        <f>VLOOKUP($H101,APOIO!$H:$J,2,FALSE)</f>
        <v>#N/A</v>
      </c>
      <c r="J101" s="88" t="e">
        <f>VLOOKUP($H101,APOIO!$H:$J,3,FALSE)</f>
        <v>#N/A</v>
      </c>
      <c r="K101" s="32"/>
      <c r="L101" s="32"/>
      <c r="M101" s="31"/>
      <c r="N101" s="32" t="e">
        <f>VLOOKUP($M101,APOIO!$R:$S,2,FALSE)</f>
        <v>#N/A</v>
      </c>
      <c r="O101" s="32"/>
      <c r="P101" s="32"/>
      <c r="Q101" s="71"/>
      <c r="R101" s="68" t="e">
        <f>INDEX(APOIO!$V:$V,MATCH(EOMONTH($Q101,0),APOIO!$X:$X,0))</f>
        <v>#N/A</v>
      </c>
      <c r="S101" s="60"/>
      <c r="T101" s="59"/>
      <c r="U101" s="59" t="str">
        <f t="shared" si="1"/>
        <v/>
      </c>
    </row>
    <row r="102" spans="1:21" ht="15" x14ac:dyDescent="0.25">
      <c r="A102" s="31"/>
      <c r="B102" s="62" t="str">
        <f>IF(A102="","",IFERROR(VLOOKUP($A102,APOIO!$A:$B,2,FALSE),"error"))</f>
        <v/>
      </c>
      <c r="C102" s="77"/>
      <c r="D102" s="62" t="e">
        <f>VLOOKUP($C102,APOIO!$O:$Q,2,FALSE)</f>
        <v>#N/A</v>
      </c>
      <c r="E102" s="62" t="e">
        <f>VLOOKUP($C102,APOIO!$O:$Q,3,FALSE)</f>
        <v>#N/A</v>
      </c>
      <c r="F102" s="78"/>
      <c r="G102" s="88" t="e">
        <f>VLOOKUP($F102,APOIO!$L:$M,2,FALSE)</f>
        <v>#N/A</v>
      </c>
      <c r="H102" s="77"/>
      <c r="I102" s="88" t="e">
        <f>VLOOKUP($H102,APOIO!$H:$J,2,FALSE)</f>
        <v>#N/A</v>
      </c>
      <c r="J102" s="88" t="e">
        <f>VLOOKUP($H102,APOIO!$H:$J,3,FALSE)</f>
        <v>#N/A</v>
      </c>
      <c r="K102" s="32"/>
      <c r="L102" s="32"/>
      <c r="M102" s="31"/>
      <c r="N102" s="32" t="e">
        <f>VLOOKUP($M102,APOIO!$R:$S,2,FALSE)</f>
        <v>#N/A</v>
      </c>
      <c r="O102" s="32"/>
      <c r="P102" s="32"/>
      <c r="Q102" s="71"/>
      <c r="R102" s="68" t="e">
        <f>INDEX(APOIO!$V:$V,MATCH(EOMONTH($Q102,0),APOIO!$X:$X,0))</f>
        <v>#N/A</v>
      </c>
      <c r="S102" s="60"/>
      <c r="T102" s="59"/>
      <c r="U102" s="59" t="str">
        <f t="shared" si="1"/>
        <v/>
      </c>
    </row>
    <row r="103" spans="1:21" ht="15" x14ac:dyDescent="0.25">
      <c r="A103" s="31"/>
      <c r="B103" s="62" t="str">
        <f>IF(A103="","",IFERROR(VLOOKUP($A103,APOIO!$A:$B,2,FALSE),"error"))</f>
        <v/>
      </c>
      <c r="C103" s="77"/>
      <c r="D103" s="62" t="e">
        <f>VLOOKUP($C103,APOIO!$O:$Q,2,FALSE)</f>
        <v>#N/A</v>
      </c>
      <c r="E103" s="62" t="e">
        <f>VLOOKUP($C103,APOIO!$O:$Q,3,FALSE)</f>
        <v>#N/A</v>
      </c>
      <c r="F103" s="78"/>
      <c r="G103" s="88" t="e">
        <f>VLOOKUP($F103,APOIO!$L:$M,2,FALSE)</f>
        <v>#N/A</v>
      </c>
      <c r="H103" s="77"/>
      <c r="I103" s="88" t="e">
        <f>VLOOKUP($H103,APOIO!$H:$J,2,FALSE)</f>
        <v>#N/A</v>
      </c>
      <c r="J103" s="88" t="e">
        <f>VLOOKUP($H103,APOIO!$H:$J,3,FALSE)</f>
        <v>#N/A</v>
      </c>
      <c r="K103" s="32"/>
      <c r="L103" s="32"/>
      <c r="M103" s="31"/>
      <c r="N103" s="32" t="e">
        <f>VLOOKUP($M103,APOIO!$R:$S,2,FALSE)</f>
        <v>#N/A</v>
      </c>
      <c r="O103" s="32"/>
      <c r="P103" s="32"/>
      <c r="Q103" s="71"/>
      <c r="R103" s="68" t="e">
        <f>INDEX(APOIO!$V:$V,MATCH(EOMONTH($Q103,0),APOIO!$X:$X,0))</f>
        <v>#N/A</v>
      </c>
      <c r="S103" s="60"/>
      <c r="T103" s="59"/>
      <c r="U103" s="59" t="str">
        <f t="shared" si="1"/>
        <v/>
      </c>
    </row>
    <row r="104" spans="1:21" ht="15" x14ac:dyDescent="0.25">
      <c r="A104" s="31"/>
      <c r="B104" s="62" t="str">
        <f>IF(A104="","",IFERROR(VLOOKUP($A104,APOIO!$A:$B,2,FALSE),"error"))</f>
        <v/>
      </c>
      <c r="C104" s="77"/>
      <c r="D104" s="62" t="e">
        <f>VLOOKUP($C104,APOIO!$O:$Q,2,FALSE)</f>
        <v>#N/A</v>
      </c>
      <c r="E104" s="62" t="e">
        <f>VLOOKUP($C104,APOIO!$O:$Q,3,FALSE)</f>
        <v>#N/A</v>
      </c>
      <c r="F104" s="78"/>
      <c r="G104" s="88" t="e">
        <f>VLOOKUP($F104,APOIO!$L:$M,2,FALSE)</f>
        <v>#N/A</v>
      </c>
      <c r="H104" s="77"/>
      <c r="I104" s="88" t="e">
        <f>VLOOKUP($H104,APOIO!$H:$J,2,FALSE)</f>
        <v>#N/A</v>
      </c>
      <c r="J104" s="88" t="e">
        <f>VLOOKUP($H104,APOIO!$H:$J,3,FALSE)</f>
        <v>#N/A</v>
      </c>
      <c r="K104" s="32"/>
      <c r="L104" s="32"/>
      <c r="M104" s="31"/>
      <c r="N104" s="32" t="e">
        <f>VLOOKUP($M104,APOIO!$R:$S,2,FALSE)</f>
        <v>#N/A</v>
      </c>
      <c r="O104" s="32"/>
      <c r="P104" s="32"/>
      <c r="Q104" s="71"/>
      <c r="R104" s="68" t="e">
        <f>INDEX(APOIO!$V:$V,MATCH(EOMONTH($Q104,0),APOIO!$X:$X,0))</f>
        <v>#N/A</v>
      </c>
      <c r="S104" s="60"/>
      <c r="T104" s="59"/>
      <c r="U104" s="59" t="str">
        <f t="shared" si="1"/>
        <v/>
      </c>
    </row>
    <row r="105" spans="1:21" ht="15" x14ac:dyDescent="0.25">
      <c r="A105" s="31"/>
      <c r="B105" s="62" t="str">
        <f>IF(A105="","",IFERROR(VLOOKUP($A105,APOIO!$A:$B,2,FALSE),"error"))</f>
        <v/>
      </c>
      <c r="C105" s="77"/>
      <c r="D105" s="62" t="e">
        <f>VLOOKUP($C105,APOIO!$O:$Q,2,FALSE)</f>
        <v>#N/A</v>
      </c>
      <c r="E105" s="62" t="e">
        <f>VLOOKUP($C105,APOIO!$O:$Q,3,FALSE)</f>
        <v>#N/A</v>
      </c>
      <c r="F105" s="78"/>
      <c r="G105" s="88" t="e">
        <f>VLOOKUP($F105,APOIO!$L:$M,2,FALSE)</f>
        <v>#N/A</v>
      </c>
      <c r="H105" s="77"/>
      <c r="I105" s="88" t="e">
        <f>VLOOKUP($H105,APOIO!$H:$J,2,FALSE)</f>
        <v>#N/A</v>
      </c>
      <c r="J105" s="88" t="e">
        <f>VLOOKUP($H105,APOIO!$H:$J,3,FALSE)</f>
        <v>#N/A</v>
      </c>
      <c r="K105" s="32"/>
      <c r="L105" s="32"/>
      <c r="M105" s="31"/>
      <c r="N105" s="32" t="e">
        <f>VLOOKUP($M105,APOIO!$R:$S,2,FALSE)</f>
        <v>#N/A</v>
      </c>
      <c r="O105" s="32"/>
      <c r="P105" s="32"/>
      <c r="Q105" s="71"/>
      <c r="R105" s="68" t="e">
        <f>INDEX(APOIO!$V:$V,MATCH(EOMONTH($Q105,0),APOIO!$X:$X,0))</f>
        <v>#N/A</v>
      </c>
      <c r="S105" s="60"/>
      <c r="T105" s="59"/>
      <c r="U105" s="59" t="str">
        <f t="shared" si="1"/>
        <v/>
      </c>
    </row>
    <row r="106" spans="1:21" ht="15" x14ac:dyDescent="0.25">
      <c r="A106" s="31"/>
      <c r="B106" s="62" t="str">
        <f>IF(A106="","",IFERROR(VLOOKUP($A106,APOIO!$A:$B,2,FALSE),"error"))</f>
        <v/>
      </c>
      <c r="C106" s="77"/>
      <c r="D106" s="62" t="e">
        <f>VLOOKUP($C106,APOIO!$O:$Q,2,FALSE)</f>
        <v>#N/A</v>
      </c>
      <c r="E106" s="62" t="e">
        <f>VLOOKUP($C106,APOIO!$O:$Q,3,FALSE)</f>
        <v>#N/A</v>
      </c>
      <c r="F106" s="78"/>
      <c r="G106" s="88" t="e">
        <f>VLOOKUP($F106,APOIO!$L:$M,2,FALSE)</f>
        <v>#N/A</v>
      </c>
      <c r="H106" s="77"/>
      <c r="I106" s="88" t="e">
        <f>VLOOKUP($H106,APOIO!$H:$J,2,FALSE)</f>
        <v>#N/A</v>
      </c>
      <c r="J106" s="88" t="e">
        <f>VLOOKUP($H106,APOIO!$H:$J,3,FALSE)</f>
        <v>#N/A</v>
      </c>
      <c r="K106" s="32"/>
      <c r="L106" s="32"/>
      <c r="M106" s="31"/>
      <c r="N106" s="32" t="e">
        <f>VLOOKUP($M106,APOIO!$R:$S,2,FALSE)</f>
        <v>#N/A</v>
      </c>
      <c r="O106" s="32"/>
      <c r="P106" s="32"/>
      <c r="Q106" s="71"/>
      <c r="R106" s="68" t="e">
        <f>INDEX(APOIO!$V:$V,MATCH(EOMONTH($Q106,0),APOIO!$X:$X,0))</f>
        <v>#N/A</v>
      </c>
      <c r="S106" s="60"/>
      <c r="T106" s="59"/>
      <c r="U106" s="59" t="str">
        <f t="shared" si="1"/>
        <v/>
      </c>
    </row>
    <row r="107" spans="1:21" ht="15" x14ac:dyDescent="0.25">
      <c r="A107" s="31"/>
      <c r="B107" s="62" t="str">
        <f>IF(A107="","",IFERROR(VLOOKUP($A107,APOIO!$A:$B,2,FALSE),"error"))</f>
        <v/>
      </c>
      <c r="C107" s="77"/>
      <c r="D107" s="62" t="e">
        <f>VLOOKUP($C107,APOIO!$O:$Q,2,FALSE)</f>
        <v>#N/A</v>
      </c>
      <c r="E107" s="62" t="e">
        <f>VLOOKUP($C107,APOIO!$O:$Q,3,FALSE)</f>
        <v>#N/A</v>
      </c>
      <c r="F107" s="78"/>
      <c r="G107" s="88" t="e">
        <f>VLOOKUP($F107,APOIO!$L:$M,2,FALSE)</f>
        <v>#N/A</v>
      </c>
      <c r="H107" s="77"/>
      <c r="I107" s="88" t="e">
        <f>VLOOKUP($H107,APOIO!$H:$J,2,FALSE)</f>
        <v>#N/A</v>
      </c>
      <c r="J107" s="88" t="e">
        <f>VLOOKUP($H107,APOIO!$H:$J,3,FALSE)</f>
        <v>#N/A</v>
      </c>
      <c r="K107" s="32"/>
      <c r="L107" s="32"/>
      <c r="M107" s="31"/>
      <c r="N107" s="32" t="e">
        <f>VLOOKUP($M107,APOIO!$R:$S,2,FALSE)</f>
        <v>#N/A</v>
      </c>
      <c r="O107" s="32"/>
      <c r="P107" s="32"/>
      <c r="Q107" s="71"/>
      <c r="R107" s="68" t="e">
        <f>INDEX(APOIO!$V:$V,MATCH(EOMONTH($Q107,0),APOIO!$X:$X,0))</f>
        <v>#N/A</v>
      </c>
      <c r="S107" s="60"/>
      <c r="T107" s="59"/>
      <c r="U107" s="59" t="str">
        <f t="shared" si="1"/>
        <v/>
      </c>
    </row>
    <row r="108" spans="1:21" ht="15" x14ac:dyDescent="0.25">
      <c r="A108" s="31"/>
      <c r="B108" s="62" t="str">
        <f>IF(A108="","",IFERROR(VLOOKUP($A108,APOIO!$A:$B,2,FALSE),"error"))</f>
        <v/>
      </c>
      <c r="C108" s="77"/>
      <c r="D108" s="62" t="e">
        <f>VLOOKUP($C108,APOIO!$O:$Q,2,FALSE)</f>
        <v>#N/A</v>
      </c>
      <c r="E108" s="62" t="e">
        <f>VLOOKUP($C108,APOIO!$O:$Q,3,FALSE)</f>
        <v>#N/A</v>
      </c>
      <c r="F108" s="78"/>
      <c r="G108" s="88" t="e">
        <f>VLOOKUP($F108,APOIO!$L:$M,2,FALSE)</f>
        <v>#N/A</v>
      </c>
      <c r="H108" s="77"/>
      <c r="I108" s="88" t="e">
        <f>VLOOKUP($H108,APOIO!$H:$J,2,FALSE)</f>
        <v>#N/A</v>
      </c>
      <c r="J108" s="88" t="e">
        <f>VLOOKUP($H108,APOIO!$H:$J,3,FALSE)</f>
        <v>#N/A</v>
      </c>
      <c r="K108" s="32"/>
      <c r="L108" s="32"/>
      <c r="M108" s="31"/>
      <c r="N108" s="32" t="e">
        <f>VLOOKUP($M108,APOIO!$R:$S,2,FALSE)</f>
        <v>#N/A</v>
      </c>
      <c r="O108" s="32"/>
      <c r="P108" s="32"/>
      <c r="Q108" s="71"/>
      <c r="R108" s="68" t="e">
        <f>INDEX(APOIO!$V:$V,MATCH(EOMONTH($Q108,0),APOIO!$X:$X,0))</f>
        <v>#N/A</v>
      </c>
      <c r="S108" s="60"/>
      <c r="T108" s="59"/>
      <c r="U108" s="59" t="str">
        <f t="shared" si="1"/>
        <v/>
      </c>
    </row>
    <row r="109" spans="1:21" ht="15" x14ac:dyDescent="0.25">
      <c r="A109" s="31"/>
      <c r="B109" s="62" t="str">
        <f>IF(A109="","",IFERROR(VLOOKUP($A109,APOIO!$A:$B,2,FALSE),"error"))</f>
        <v/>
      </c>
      <c r="C109" s="77"/>
      <c r="D109" s="62" t="e">
        <f>VLOOKUP($C109,APOIO!$O:$Q,2,FALSE)</f>
        <v>#N/A</v>
      </c>
      <c r="E109" s="62" t="e">
        <f>VLOOKUP($C109,APOIO!$O:$Q,3,FALSE)</f>
        <v>#N/A</v>
      </c>
      <c r="F109" s="78"/>
      <c r="G109" s="88" t="e">
        <f>VLOOKUP($F109,APOIO!$L:$M,2,FALSE)</f>
        <v>#N/A</v>
      </c>
      <c r="H109" s="77"/>
      <c r="I109" s="88" t="e">
        <f>VLOOKUP($H109,APOIO!$H:$J,2,FALSE)</f>
        <v>#N/A</v>
      </c>
      <c r="J109" s="88" t="e">
        <f>VLOOKUP($H109,APOIO!$H:$J,3,FALSE)</f>
        <v>#N/A</v>
      </c>
      <c r="K109" s="32"/>
      <c r="L109" s="32"/>
      <c r="M109" s="31"/>
      <c r="N109" s="32" t="e">
        <f>VLOOKUP($M109,APOIO!$R:$S,2,FALSE)</f>
        <v>#N/A</v>
      </c>
      <c r="O109" s="32"/>
      <c r="P109" s="32"/>
      <c r="Q109" s="71"/>
      <c r="R109" s="68" t="e">
        <f>INDEX(APOIO!$V:$V,MATCH(EOMONTH($Q109,0),APOIO!$X:$X,0))</f>
        <v>#N/A</v>
      </c>
      <c r="S109" s="60"/>
      <c r="T109" s="59"/>
      <c r="U109" s="59" t="str">
        <f t="shared" si="1"/>
        <v/>
      </c>
    </row>
    <row r="110" spans="1:21" ht="15" x14ac:dyDescent="0.25">
      <c r="A110" s="31"/>
      <c r="B110" s="62" t="str">
        <f>IF(A110="","",IFERROR(VLOOKUP($A110,APOIO!$A:$B,2,FALSE),"error"))</f>
        <v/>
      </c>
      <c r="C110" s="77"/>
      <c r="D110" s="62" t="e">
        <f>VLOOKUP($C110,APOIO!$O:$Q,2,FALSE)</f>
        <v>#N/A</v>
      </c>
      <c r="E110" s="62" t="e">
        <f>VLOOKUP($C110,APOIO!$O:$Q,3,FALSE)</f>
        <v>#N/A</v>
      </c>
      <c r="F110" s="78"/>
      <c r="G110" s="88" t="e">
        <f>VLOOKUP($F110,APOIO!$L:$M,2,FALSE)</f>
        <v>#N/A</v>
      </c>
      <c r="H110" s="77"/>
      <c r="I110" s="88" t="e">
        <f>VLOOKUP($H110,APOIO!$H:$J,2,FALSE)</f>
        <v>#N/A</v>
      </c>
      <c r="J110" s="88" t="e">
        <f>VLOOKUP($H110,APOIO!$H:$J,3,FALSE)</f>
        <v>#N/A</v>
      </c>
      <c r="K110" s="32"/>
      <c r="L110" s="32"/>
      <c r="M110" s="31"/>
      <c r="N110" s="32" t="e">
        <f>VLOOKUP($M110,APOIO!$R:$S,2,FALSE)</f>
        <v>#N/A</v>
      </c>
      <c r="O110" s="32"/>
      <c r="P110" s="32"/>
      <c r="Q110" s="71"/>
      <c r="R110" s="68" t="e">
        <f>INDEX(APOIO!$V:$V,MATCH(EOMONTH($Q110,0),APOIO!$X:$X,0))</f>
        <v>#N/A</v>
      </c>
      <c r="S110" s="60"/>
      <c r="T110" s="59"/>
      <c r="U110" s="59" t="str">
        <f t="shared" si="1"/>
        <v/>
      </c>
    </row>
    <row r="111" spans="1:21" ht="15" x14ac:dyDescent="0.25">
      <c r="A111" s="31"/>
      <c r="B111" s="62" t="str">
        <f>IF(A111="","",IFERROR(VLOOKUP($A111,APOIO!$A:$B,2,FALSE),"error"))</f>
        <v/>
      </c>
      <c r="C111" s="77"/>
      <c r="D111" s="62" t="e">
        <f>VLOOKUP($C111,APOIO!$O:$Q,2,FALSE)</f>
        <v>#N/A</v>
      </c>
      <c r="E111" s="62" t="e">
        <f>VLOOKUP($C111,APOIO!$O:$Q,3,FALSE)</f>
        <v>#N/A</v>
      </c>
      <c r="F111" s="78"/>
      <c r="G111" s="88" t="e">
        <f>VLOOKUP($F111,APOIO!$L:$M,2,FALSE)</f>
        <v>#N/A</v>
      </c>
      <c r="H111" s="77"/>
      <c r="I111" s="88" t="e">
        <f>VLOOKUP($H111,APOIO!$H:$J,2,FALSE)</f>
        <v>#N/A</v>
      </c>
      <c r="J111" s="88" t="e">
        <f>VLOOKUP($H111,APOIO!$H:$J,3,FALSE)</f>
        <v>#N/A</v>
      </c>
      <c r="K111" s="32"/>
      <c r="L111" s="32"/>
      <c r="M111" s="31"/>
      <c r="N111" s="32" t="e">
        <f>VLOOKUP($M111,APOIO!$R:$S,2,FALSE)</f>
        <v>#N/A</v>
      </c>
      <c r="O111" s="32"/>
      <c r="P111" s="32"/>
      <c r="Q111" s="71"/>
      <c r="R111" s="68" t="e">
        <f>INDEX(APOIO!$V:$V,MATCH(EOMONTH($Q111,0),APOIO!$X:$X,0))</f>
        <v>#N/A</v>
      </c>
      <c r="S111" s="60"/>
      <c r="T111" s="59"/>
      <c r="U111" s="59" t="str">
        <f t="shared" si="1"/>
        <v/>
      </c>
    </row>
    <row r="112" spans="1:21" ht="15" x14ac:dyDescent="0.25">
      <c r="A112" s="31"/>
      <c r="B112" s="62" t="str">
        <f>IF(A112="","",IFERROR(VLOOKUP($A112,APOIO!$A:$B,2,FALSE),"error"))</f>
        <v/>
      </c>
      <c r="C112" s="77"/>
      <c r="D112" s="62" t="e">
        <f>VLOOKUP($C112,APOIO!$O:$Q,2,FALSE)</f>
        <v>#N/A</v>
      </c>
      <c r="E112" s="62" t="e">
        <f>VLOOKUP($C112,APOIO!$O:$Q,3,FALSE)</f>
        <v>#N/A</v>
      </c>
      <c r="F112" s="78"/>
      <c r="G112" s="88" t="e">
        <f>VLOOKUP($F112,APOIO!$L:$M,2,FALSE)</f>
        <v>#N/A</v>
      </c>
      <c r="H112" s="77"/>
      <c r="I112" s="88" t="e">
        <f>VLOOKUP($H112,APOIO!$H:$J,2,FALSE)</f>
        <v>#N/A</v>
      </c>
      <c r="J112" s="88" t="e">
        <f>VLOOKUP($H112,APOIO!$H:$J,3,FALSE)</f>
        <v>#N/A</v>
      </c>
      <c r="K112" s="32"/>
      <c r="L112" s="32"/>
      <c r="M112" s="31"/>
      <c r="N112" s="32" t="e">
        <f>VLOOKUP($M112,APOIO!$R:$S,2,FALSE)</f>
        <v>#N/A</v>
      </c>
      <c r="O112" s="32"/>
      <c r="P112" s="32"/>
      <c r="Q112" s="71"/>
      <c r="R112" s="68" t="e">
        <f>INDEX(APOIO!$V:$V,MATCH(EOMONTH($Q112,0),APOIO!$X:$X,0))</f>
        <v>#N/A</v>
      </c>
      <c r="S112" s="60"/>
      <c r="T112" s="59"/>
      <c r="U112" s="59" t="str">
        <f t="shared" si="1"/>
        <v/>
      </c>
    </row>
    <row r="113" spans="1:21" ht="15" x14ac:dyDescent="0.25">
      <c r="A113" s="31"/>
      <c r="B113" s="62" t="str">
        <f>IF(A113="","",IFERROR(VLOOKUP($A113,APOIO!$A:$B,2,FALSE),"error"))</f>
        <v/>
      </c>
      <c r="C113" s="77"/>
      <c r="D113" s="62" t="e">
        <f>VLOOKUP($C113,APOIO!$O:$Q,2,FALSE)</f>
        <v>#N/A</v>
      </c>
      <c r="E113" s="62" t="e">
        <f>VLOOKUP($C113,APOIO!$O:$Q,3,FALSE)</f>
        <v>#N/A</v>
      </c>
      <c r="F113" s="78"/>
      <c r="G113" s="88" t="e">
        <f>VLOOKUP($F113,APOIO!$L:$M,2,FALSE)</f>
        <v>#N/A</v>
      </c>
      <c r="H113" s="77"/>
      <c r="I113" s="88" t="e">
        <f>VLOOKUP($H113,APOIO!$H:$J,2,FALSE)</f>
        <v>#N/A</v>
      </c>
      <c r="J113" s="88" t="e">
        <f>VLOOKUP($H113,APOIO!$H:$J,3,FALSE)</f>
        <v>#N/A</v>
      </c>
      <c r="K113" s="32"/>
      <c r="L113" s="32"/>
      <c r="M113" s="31"/>
      <c r="N113" s="32" t="e">
        <f>VLOOKUP($M113,APOIO!$R:$S,2,FALSE)</f>
        <v>#N/A</v>
      </c>
      <c r="O113" s="32"/>
      <c r="P113" s="32"/>
      <c r="Q113" s="71"/>
      <c r="R113" s="68" t="e">
        <f>INDEX(APOIO!$V:$V,MATCH(EOMONTH($Q113,0),APOIO!$X:$X,0))</f>
        <v>#N/A</v>
      </c>
      <c r="S113" s="60"/>
      <c r="T113" s="59"/>
      <c r="U113" s="59" t="str">
        <f t="shared" si="1"/>
        <v/>
      </c>
    </row>
    <row r="114" spans="1:21" ht="15" x14ac:dyDescent="0.25">
      <c r="A114" s="31"/>
      <c r="B114" s="62" t="str">
        <f>IF(A114="","",IFERROR(VLOOKUP($A114,APOIO!$A:$B,2,FALSE),"error"))</f>
        <v/>
      </c>
      <c r="C114" s="77"/>
      <c r="D114" s="62" t="e">
        <f>VLOOKUP($C114,APOIO!$O:$Q,2,FALSE)</f>
        <v>#N/A</v>
      </c>
      <c r="E114" s="62" t="e">
        <f>VLOOKUP($C114,APOIO!$O:$Q,3,FALSE)</f>
        <v>#N/A</v>
      </c>
      <c r="F114" s="78"/>
      <c r="G114" s="88" t="e">
        <f>VLOOKUP($F114,APOIO!$L:$M,2,FALSE)</f>
        <v>#N/A</v>
      </c>
      <c r="H114" s="77"/>
      <c r="I114" s="88" t="e">
        <f>VLOOKUP($H114,APOIO!$H:$J,2,FALSE)</f>
        <v>#N/A</v>
      </c>
      <c r="J114" s="88" t="e">
        <f>VLOOKUP($H114,APOIO!$H:$J,3,FALSE)</f>
        <v>#N/A</v>
      </c>
      <c r="K114" s="32"/>
      <c r="L114" s="32"/>
      <c r="M114" s="31"/>
      <c r="N114" s="32" t="e">
        <f>VLOOKUP($M114,APOIO!$R:$S,2,FALSE)</f>
        <v>#N/A</v>
      </c>
      <c r="O114" s="32"/>
      <c r="P114" s="32"/>
      <c r="Q114" s="71"/>
      <c r="R114" s="68" t="e">
        <f>INDEX(APOIO!$V:$V,MATCH(EOMONTH($Q114,0),APOIO!$X:$X,0))</f>
        <v>#N/A</v>
      </c>
      <c r="S114" s="60"/>
      <c r="T114" s="59"/>
      <c r="U114" s="59" t="str">
        <f t="shared" si="1"/>
        <v/>
      </c>
    </row>
    <row r="115" spans="1:21" ht="15" x14ac:dyDescent="0.25">
      <c r="A115" s="31"/>
      <c r="B115" s="62" t="str">
        <f>IF(A115="","",IFERROR(VLOOKUP($A115,APOIO!$A:$B,2,FALSE),"error"))</f>
        <v/>
      </c>
      <c r="C115" s="77"/>
      <c r="D115" s="62" t="e">
        <f>VLOOKUP($C115,APOIO!$O:$Q,2,FALSE)</f>
        <v>#N/A</v>
      </c>
      <c r="E115" s="62" t="e">
        <f>VLOOKUP($C115,APOIO!$O:$Q,3,FALSE)</f>
        <v>#N/A</v>
      </c>
      <c r="F115" s="78"/>
      <c r="G115" s="88" t="e">
        <f>VLOOKUP($F115,APOIO!$L:$M,2,FALSE)</f>
        <v>#N/A</v>
      </c>
      <c r="H115" s="77"/>
      <c r="I115" s="88" t="e">
        <f>VLOOKUP($H115,APOIO!$H:$J,2,FALSE)</f>
        <v>#N/A</v>
      </c>
      <c r="J115" s="88" t="e">
        <f>VLOOKUP($H115,APOIO!$H:$J,3,FALSE)</f>
        <v>#N/A</v>
      </c>
      <c r="K115" s="32"/>
      <c r="L115" s="32"/>
      <c r="M115" s="31"/>
      <c r="N115" s="32" t="e">
        <f>VLOOKUP($M115,APOIO!$R:$S,2,FALSE)</f>
        <v>#N/A</v>
      </c>
      <c r="O115" s="32"/>
      <c r="P115" s="32"/>
      <c r="Q115" s="71"/>
      <c r="R115" s="68" t="e">
        <f>INDEX(APOIO!$V:$V,MATCH(EOMONTH($Q115,0),APOIO!$X:$X,0))</f>
        <v>#N/A</v>
      </c>
      <c r="S115" s="60"/>
      <c r="T115" s="59"/>
      <c r="U115" s="59" t="str">
        <f t="shared" si="1"/>
        <v/>
      </c>
    </row>
    <row r="116" spans="1:21" ht="15" x14ac:dyDescent="0.25">
      <c r="A116" s="31"/>
      <c r="B116" s="62" t="str">
        <f>IF(A116="","",IFERROR(VLOOKUP($A116,APOIO!$A:$B,2,FALSE),"error"))</f>
        <v/>
      </c>
      <c r="C116" s="77"/>
      <c r="D116" s="62" t="e">
        <f>VLOOKUP($C116,APOIO!$O:$Q,2,FALSE)</f>
        <v>#N/A</v>
      </c>
      <c r="E116" s="62" t="e">
        <f>VLOOKUP($C116,APOIO!$O:$Q,3,FALSE)</f>
        <v>#N/A</v>
      </c>
      <c r="F116" s="78"/>
      <c r="G116" s="88" t="e">
        <f>VLOOKUP($F116,APOIO!$L:$M,2,FALSE)</f>
        <v>#N/A</v>
      </c>
      <c r="H116" s="77"/>
      <c r="I116" s="88" t="e">
        <f>VLOOKUP($H116,APOIO!$H:$J,2,FALSE)</f>
        <v>#N/A</v>
      </c>
      <c r="J116" s="88" t="e">
        <f>VLOOKUP($H116,APOIO!$H:$J,3,FALSE)</f>
        <v>#N/A</v>
      </c>
      <c r="K116" s="32"/>
      <c r="L116" s="32"/>
      <c r="M116" s="31"/>
      <c r="N116" s="32" t="e">
        <f>VLOOKUP($M116,APOIO!$R:$S,2,FALSE)</f>
        <v>#N/A</v>
      </c>
      <c r="O116" s="32"/>
      <c r="P116" s="32"/>
      <c r="Q116" s="71"/>
      <c r="R116" s="68" t="e">
        <f>INDEX(APOIO!$V:$V,MATCH(EOMONTH($Q116,0),APOIO!$X:$X,0))</f>
        <v>#N/A</v>
      </c>
      <c r="S116" s="60"/>
      <c r="T116" s="59"/>
      <c r="U116" s="59" t="str">
        <f t="shared" si="1"/>
        <v/>
      </c>
    </row>
    <row r="117" spans="1:21" ht="15" x14ac:dyDescent="0.25">
      <c r="A117" s="31"/>
      <c r="B117" s="62" t="str">
        <f>IF(A117="","",IFERROR(VLOOKUP($A117,APOIO!$A:$B,2,FALSE),"error"))</f>
        <v/>
      </c>
      <c r="C117" s="77"/>
      <c r="D117" s="62" t="e">
        <f>VLOOKUP($C117,APOIO!$O:$Q,2,FALSE)</f>
        <v>#N/A</v>
      </c>
      <c r="E117" s="62" t="e">
        <f>VLOOKUP($C117,APOIO!$O:$Q,3,FALSE)</f>
        <v>#N/A</v>
      </c>
      <c r="F117" s="78"/>
      <c r="G117" s="88" t="e">
        <f>VLOOKUP($F117,APOIO!$L:$M,2,FALSE)</f>
        <v>#N/A</v>
      </c>
      <c r="H117" s="77"/>
      <c r="I117" s="88" t="e">
        <f>VLOOKUP($H117,APOIO!$H:$J,2,FALSE)</f>
        <v>#N/A</v>
      </c>
      <c r="J117" s="88" t="e">
        <f>VLOOKUP($H117,APOIO!$H:$J,3,FALSE)</f>
        <v>#N/A</v>
      </c>
      <c r="K117" s="32"/>
      <c r="L117" s="32"/>
      <c r="M117" s="31"/>
      <c r="N117" s="32" t="e">
        <f>VLOOKUP($M117,APOIO!$R:$S,2,FALSE)</f>
        <v>#N/A</v>
      </c>
      <c r="O117" s="32"/>
      <c r="P117" s="32"/>
      <c r="Q117" s="71"/>
      <c r="R117" s="68" t="e">
        <f>INDEX(APOIO!$V:$V,MATCH(EOMONTH($Q117,0),APOIO!$X:$X,0))</f>
        <v>#N/A</v>
      </c>
      <c r="S117" s="60"/>
      <c r="T117" s="59"/>
      <c r="U117" s="59" t="str">
        <f t="shared" si="1"/>
        <v/>
      </c>
    </row>
    <row r="118" spans="1:21" ht="15" x14ac:dyDescent="0.25">
      <c r="A118" s="31"/>
      <c r="B118" s="62" t="str">
        <f>IF(A118="","",IFERROR(VLOOKUP($A118,APOIO!$A:$B,2,FALSE),"error"))</f>
        <v/>
      </c>
      <c r="C118" s="77"/>
      <c r="D118" s="62" t="e">
        <f>VLOOKUP($C118,APOIO!$O:$Q,2,FALSE)</f>
        <v>#N/A</v>
      </c>
      <c r="E118" s="62" t="e">
        <f>VLOOKUP($C118,APOIO!$O:$Q,3,FALSE)</f>
        <v>#N/A</v>
      </c>
      <c r="F118" s="78"/>
      <c r="G118" s="88" t="e">
        <f>VLOOKUP($F118,APOIO!$L:$M,2,FALSE)</f>
        <v>#N/A</v>
      </c>
      <c r="H118" s="77"/>
      <c r="I118" s="88" t="e">
        <f>VLOOKUP($H118,APOIO!$H:$J,2,FALSE)</f>
        <v>#N/A</v>
      </c>
      <c r="J118" s="88" t="e">
        <f>VLOOKUP($H118,APOIO!$H:$J,3,FALSE)</f>
        <v>#N/A</v>
      </c>
      <c r="K118" s="32"/>
      <c r="L118" s="32"/>
      <c r="M118" s="31"/>
      <c r="N118" s="32" t="e">
        <f>VLOOKUP($M118,APOIO!$R:$S,2,FALSE)</f>
        <v>#N/A</v>
      </c>
      <c r="O118" s="32"/>
      <c r="P118" s="32"/>
      <c r="Q118" s="71"/>
      <c r="R118" s="68" t="e">
        <f>INDEX(APOIO!$V:$V,MATCH(EOMONTH($Q118,0),APOIO!$X:$X,0))</f>
        <v>#N/A</v>
      </c>
      <c r="S118" s="60"/>
      <c r="T118" s="59"/>
      <c r="U118" s="59" t="str">
        <f t="shared" si="1"/>
        <v/>
      </c>
    </row>
    <row r="119" spans="1:21" ht="15" x14ac:dyDescent="0.25">
      <c r="A119" s="31"/>
      <c r="B119" s="62" t="str">
        <f>IF(A119="","",IFERROR(VLOOKUP($A119,APOIO!$A:$B,2,FALSE),"error"))</f>
        <v/>
      </c>
      <c r="C119" s="77"/>
      <c r="D119" s="62" t="e">
        <f>VLOOKUP($C119,APOIO!$O:$Q,2,FALSE)</f>
        <v>#N/A</v>
      </c>
      <c r="E119" s="62" t="e">
        <f>VLOOKUP($C119,APOIO!$O:$Q,3,FALSE)</f>
        <v>#N/A</v>
      </c>
      <c r="F119" s="78"/>
      <c r="G119" s="88" t="e">
        <f>VLOOKUP($F119,APOIO!$L:$M,2,FALSE)</f>
        <v>#N/A</v>
      </c>
      <c r="H119" s="77"/>
      <c r="I119" s="88" t="e">
        <f>VLOOKUP($H119,APOIO!$H:$J,2,FALSE)</f>
        <v>#N/A</v>
      </c>
      <c r="J119" s="88" t="e">
        <f>VLOOKUP($H119,APOIO!$H:$J,3,FALSE)</f>
        <v>#N/A</v>
      </c>
      <c r="K119" s="32"/>
      <c r="L119" s="32"/>
      <c r="M119" s="31"/>
      <c r="N119" s="32" t="e">
        <f>VLOOKUP($M119,APOIO!$R:$S,2,FALSE)</f>
        <v>#N/A</v>
      </c>
      <c r="O119" s="32"/>
      <c r="P119" s="32"/>
      <c r="Q119" s="71"/>
      <c r="R119" s="68" t="e">
        <f>INDEX(APOIO!$V:$V,MATCH(EOMONTH($Q119,0),APOIO!$X:$X,0))</f>
        <v>#N/A</v>
      </c>
      <c r="S119" s="60"/>
      <c r="T119" s="59"/>
      <c r="U119" s="59" t="str">
        <f t="shared" si="1"/>
        <v/>
      </c>
    </row>
    <row r="120" spans="1:21" ht="15" x14ac:dyDescent="0.25">
      <c r="A120" s="31"/>
      <c r="B120" s="62" t="str">
        <f>IF(A120="","",IFERROR(VLOOKUP($A120,APOIO!$A:$B,2,FALSE),"error"))</f>
        <v/>
      </c>
      <c r="C120" s="77"/>
      <c r="D120" s="62" t="e">
        <f>VLOOKUP($C120,APOIO!$O:$Q,2,FALSE)</f>
        <v>#N/A</v>
      </c>
      <c r="E120" s="62" t="e">
        <f>VLOOKUP($C120,APOIO!$O:$Q,3,FALSE)</f>
        <v>#N/A</v>
      </c>
      <c r="F120" s="78"/>
      <c r="G120" s="88" t="e">
        <f>VLOOKUP($F120,APOIO!$L:$M,2,FALSE)</f>
        <v>#N/A</v>
      </c>
      <c r="H120" s="77"/>
      <c r="I120" s="88" t="e">
        <f>VLOOKUP($H120,APOIO!$H:$J,2,FALSE)</f>
        <v>#N/A</v>
      </c>
      <c r="J120" s="88" t="e">
        <f>VLOOKUP($H120,APOIO!$H:$J,3,FALSE)</f>
        <v>#N/A</v>
      </c>
      <c r="K120" s="32"/>
      <c r="L120" s="32"/>
      <c r="M120" s="31"/>
      <c r="N120" s="32" t="e">
        <f>VLOOKUP($M120,APOIO!$R:$S,2,FALSE)</f>
        <v>#N/A</v>
      </c>
      <c r="O120" s="32"/>
      <c r="P120" s="32"/>
      <c r="Q120" s="71"/>
      <c r="R120" s="68" t="e">
        <f>INDEX(APOIO!$V:$V,MATCH(EOMONTH($Q120,0),APOIO!$X:$X,0))</f>
        <v>#N/A</v>
      </c>
      <c r="S120" s="60"/>
      <c r="T120" s="59"/>
      <c r="U120" s="59" t="str">
        <f t="shared" si="1"/>
        <v/>
      </c>
    </row>
    <row r="121" spans="1:21" ht="15" x14ac:dyDescent="0.25">
      <c r="A121" s="31"/>
      <c r="B121" s="62" t="str">
        <f>IF(A121="","",IFERROR(VLOOKUP($A121,APOIO!$A:$B,2,FALSE),"error"))</f>
        <v/>
      </c>
      <c r="C121" s="77"/>
      <c r="D121" s="62" t="e">
        <f>VLOOKUP($C121,APOIO!$O:$Q,2,FALSE)</f>
        <v>#N/A</v>
      </c>
      <c r="E121" s="62" t="e">
        <f>VLOOKUP($C121,APOIO!$O:$Q,3,FALSE)</f>
        <v>#N/A</v>
      </c>
      <c r="F121" s="78"/>
      <c r="G121" s="88" t="e">
        <f>VLOOKUP($F121,APOIO!$L:$M,2,FALSE)</f>
        <v>#N/A</v>
      </c>
      <c r="H121" s="77"/>
      <c r="I121" s="88" t="e">
        <f>VLOOKUP($H121,APOIO!$H:$J,2,FALSE)</f>
        <v>#N/A</v>
      </c>
      <c r="J121" s="88" t="e">
        <f>VLOOKUP($H121,APOIO!$H:$J,3,FALSE)</f>
        <v>#N/A</v>
      </c>
      <c r="K121" s="32"/>
      <c r="L121" s="32"/>
      <c r="M121" s="31"/>
      <c r="N121" s="32" t="e">
        <f>VLOOKUP($M121,APOIO!$R:$S,2,FALSE)</f>
        <v>#N/A</v>
      </c>
      <c r="O121" s="32"/>
      <c r="P121" s="32"/>
      <c r="Q121" s="71"/>
      <c r="R121" s="68" t="e">
        <f>INDEX(APOIO!$V:$V,MATCH(EOMONTH($Q121,0),APOIO!$X:$X,0))</f>
        <v>#N/A</v>
      </c>
      <c r="S121" s="60"/>
      <c r="T121" s="59"/>
      <c r="U121" s="59" t="str">
        <f t="shared" si="1"/>
        <v/>
      </c>
    </row>
    <row r="122" spans="1:21" ht="15" x14ac:dyDescent="0.25">
      <c r="A122" s="31"/>
      <c r="B122" s="62" t="str">
        <f>IF(A122="","",IFERROR(VLOOKUP($A122,APOIO!$A:$B,2,FALSE),"error"))</f>
        <v/>
      </c>
      <c r="C122" s="77"/>
      <c r="D122" s="62" t="e">
        <f>VLOOKUP($C122,APOIO!$O:$Q,2,FALSE)</f>
        <v>#N/A</v>
      </c>
      <c r="E122" s="62" t="e">
        <f>VLOOKUP($C122,APOIO!$O:$Q,3,FALSE)</f>
        <v>#N/A</v>
      </c>
      <c r="F122" s="78"/>
      <c r="G122" s="88" t="e">
        <f>VLOOKUP($F122,APOIO!$L:$M,2,FALSE)</f>
        <v>#N/A</v>
      </c>
      <c r="H122" s="77"/>
      <c r="I122" s="88" t="e">
        <f>VLOOKUP($H122,APOIO!$H:$J,2,FALSE)</f>
        <v>#N/A</v>
      </c>
      <c r="J122" s="88" t="e">
        <f>VLOOKUP($H122,APOIO!$H:$J,3,FALSE)</f>
        <v>#N/A</v>
      </c>
      <c r="K122" s="32"/>
      <c r="L122" s="32"/>
      <c r="M122" s="31"/>
      <c r="N122" s="32" t="e">
        <f>VLOOKUP($M122,APOIO!$R:$S,2,FALSE)</f>
        <v>#N/A</v>
      </c>
      <c r="O122" s="32"/>
      <c r="P122" s="32"/>
      <c r="Q122" s="71"/>
      <c r="R122" s="68" t="e">
        <f>INDEX(APOIO!$V:$V,MATCH(EOMONTH($Q122,0),APOIO!$X:$X,0))</f>
        <v>#N/A</v>
      </c>
      <c r="S122" s="60"/>
      <c r="T122" s="59"/>
      <c r="U122" s="59" t="str">
        <f t="shared" si="1"/>
        <v/>
      </c>
    </row>
    <row r="123" spans="1:21" ht="15" x14ac:dyDescent="0.25">
      <c r="A123" s="31"/>
      <c r="B123" s="62" t="str">
        <f>IF(A123="","",IFERROR(VLOOKUP($A123,APOIO!$A:$B,2,FALSE),"error"))</f>
        <v/>
      </c>
      <c r="C123" s="77"/>
      <c r="D123" s="62" t="e">
        <f>VLOOKUP($C123,APOIO!$O:$Q,2,FALSE)</f>
        <v>#N/A</v>
      </c>
      <c r="E123" s="62" t="e">
        <f>VLOOKUP($C123,APOIO!$O:$Q,3,FALSE)</f>
        <v>#N/A</v>
      </c>
      <c r="F123" s="78"/>
      <c r="G123" s="88" t="e">
        <f>VLOOKUP($F123,APOIO!$L:$M,2,FALSE)</f>
        <v>#N/A</v>
      </c>
      <c r="H123" s="77"/>
      <c r="I123" s="88" t="e">
        <f>VLOOKUP($H123,APOIO!$H:$J,2,FALSE)</f>
        <v>#N/A</v>
      </c>
      <c r="J123" s="88" t="e">
        <f>VLOOKUP($H123,APOIO!$H:$J,3,FALSE)</f>
        <v>#N/A</v>
      </c>
      <c r="K123" s="32"/>
      <c r="L123" s="32"/>
      <c r="M123" s="31"/>
      <c r="N123" s="32" t="e">
        <f>VLOOKUP($M123,APOIO!$R:$S,2,FALSE)</f>
        <v>#N/A</v>
      </c>
      <c r="O123" s="32"/>
      <c r="P123" s="32"/>
      <c r="Q123" s="71"/>
      <c r="R123" s="68" t="e">
        <f>INDEX(APOIO!$V:$V,MATCH(EOMONTH($Q123,0),APOIO!$X:$X,0))</f>
        <v>#N/A</v>
      </c>
      <c r="S123" s="60"/>
      <c r="T123" s="59"/>
      <c r="U123" s="59" t="str">
        <f t="shared" si="1"/>
        <v/>
      </c>
    </row>
    <row r="124" spans="1:21" ht="15" x14ac:dyDescent="0.25">
      <c r="A124" s="31"/>
      <c r="B124" s="62" t="str">
        <f>IF(A124="","",IFERROR(VLOOKUP($A124,APOIO!$A:$B,2,FALSE),"error"))</f>
        <v/>
      </c>
      <c r="C124" s="77"/>
      <c r="D124" s="62" t="e">
        <f>VLOOKUP($C124,APOIO!$O:$Q,2,FALSE)</f>
        <v>#N/A</v>
      </c>
      <c r="E124" s="62" t="e">
        <f>VLOOKUP($C124,APOIO!$O:$Q,3,FALSE)</f>
        <v>#N/A</v>
      </c>
      <c r="F124" s="78"/>
      <c r="G124" s="88" t="e">
        <f>VLOOKUP($F124,APOIO!$L:$M,2,FALSE)</f>
        <v>#N/A</v>
      </c>
      <c r="H124" s="77"/>
      <c r="I124" s="88" t="e">
        <f>VLOOKUP($H124,APOIO!$H:$J,2,FALSE)</f>
        <v>#N/A</v>
      </c>
      <c r="J124" s="88" t="e">
        <f>VLOOKUP($H124,APOIO!$H:$J,3,FALSE)</f>
        <v>#N/A</v>
      </c>
      <c r="K124" s="32"/>
      <c r="L124" s="32"/>
      <c r="M124" s="31"/>
      <c r="N124" s="32" t="e">
        <f>VLOOKUP($M124,APOIO!$R:$S,2,FALSE)</f>
        <v>#N/A</v>
      </c>
      <c r="O124" s="32"/>
      <c r="P124" s="32"/>
      <c r="Q124" s="71"/>
      <c r="R124" s="68" t="e">
        <f>INDEX(APOIO!$V:$V,MATCH(EOMONTH($Q124,0),APOIO!$X:$X,0))</f>
        <v>#N/A</v>
      </c>
      <c r="S124" s="60"/>
      <c r="T124" s="59"/>
      <c r="U124" s="59" t="str">
        <f t="shared" si="1"/>
        <v/>
      </c>
    </row>
    <row r="125" spans="1:21" ht="15" x14ac:dyDescent="0.25">
      <c r="A125" s="31"/>
      <c r="B125" s="62" t="str">
        <f>IF(A125="","",IFERROR(VLOOKUP($A125,APOIO!$A:$B,2,FALSE),"error"))</f>
        <v/>
      </c>
      <c r="C125" s="77"/>
      <c r="D125" s="62" t="e">
        <f>VLOOKUP($C125,APOIO!$O:$Q,2,FALSE)</f>
        <v>#N/A</v>
      </c>
      <c r="E125" s="62" t="e">
        <f>VLOOKUP($C125,APOIO!$O:$Q,3,FALSE)</f>
        <v>#N/A</v>
      </c>
      <c r="F125" s="78"/>
      <c r="G125" s="88" t="e">
        <f>VLOOKUP($F125,APOIO!$L:$M,2,FALSE)</f>
        <v>#N/A</v>
      </c>
      <c r="H125" s="77"/>
      <c r="I125" s="88" t="e">
        <f>VLOOKUP($H125,APOIO!$H:$J,2,FALSE)</f>
        <v>#N/A</v>
      </c>
      <c r="J125" s="88" t="e">
        <f>VLOOKUP($H125,APOIO!$H:$J,3,FALSE)</f>
        <v>#N/A</v>
      </c>
      <c r="K125" s="32"/>
      <c r="L125" s="32"/>
      <c r="M125" s="31"/>
      <c r="N125" s="32" t="e">
        <f>VLOOKUP($M125,APOIO!$R:$S,2,FALSE)</f>
        <v>#N/A</v>
      </c>
      <c r="O125" s="32"/>
      <c r="P125" s="32"/>
      <c r="Q125" s="71"/>
      <c r="R125" s="68" t="e">
        <f>INDEX(APOIO!$V:$V,MATCH(EOMONTH($Q125,0),APOIO!$X:$X,0))</f>
        <v>#N/A</v>
      </c>
      <c r="S125" s="60"/>
      <c r="T125" s="59"/>
      <c r="U125" s="59" t="str">
        <f t="shared" si="1"/>
        <v/>
      </c>
    </row>
    <row r="126" spans="1:21" ht="15" x14ac:dyDescent="0.25">
      <c r="A126" s="31"/>
      <c r="B126" s="62" t="str">
        <f>IF(A126="","",IFERROR(VLOOKUP($A126,APOIO!$A:$B,2,FALSE),"error"))</f>
        <v/>
      </c>
      <c r="C126" s="77"/>
      <c r="D126" s="62" t="e">
        <f>VLOOKUP($C126,APOIO!$O:$Q,2,FALSE)</f>
        <v>#N/A</v>
      </c>
      <c r="E126" s="62" t="e">
        <f>VLOOKUP($C126,APOIO!$O:$Q,3,FALSE)</f>
        <v>#N/A</v>
      </c>
      <c r="F126" s="78"/>
      <c r="G126" s="88" t="e">
        <f>VLOOKUP($F126,APOIO!$L:$M,2,FALSE)</f>
        <v>#N/A</v>
      </c>
      <c r="H126" s="77"/>
      <c r="I126" s="88" t="e">
        <f>VLOOKUP($H126,APOIO!$H:$J,2,FALSE)</f>
        <v>#N/A</v>
      </c>
      <c r="J126" s="88" t="e">
        <f>VLOOKUP($H126,APOIO!$H:$J,3,FALSE)</f>
        <v>#N/A</v>
      </c>
      <c r="K126" s="32"/>
      <c r="L126" s="32"/>
      <c r="M126" s="31"/>
      <c r="N126" s="32" t="e">
        <f>VLOOKUP($M126,APOIO!$R:$S,2,FALSE)</f>
        <v>#N/A</v>
      </c>
      <c r="O126" s="32"/>
      <c r="P126" s="32"/>
      <c r="Q126" s="71"/>
      <c r="R126" s="68" t="e">
        <f>INDEX(APOIO!$V:$V,MATCH(EOMONTH($Q126,0),APOIO!$X:$X,0))</f>
        <v>#N/A</v>
      </c>
      <c r="S126" s="60"/>
      <c r="T126" s="59"/>
      <c r="U126" s="59" t="str">
        <f t="shared" si="1"/>
        <v/>
      </c>
    </row>
    <row r="127" spans="1:21" ht="15" x14ac:dyDescent="0.25">
      <c r="A127" s="31"/>
      <c r="B127" s="62" t="str">
        <f>IF(A127="","",IFERROR(VLOOKUP($A127,APOIO!$A:$B,2,FALSE),"error"))</f>
        <v/>
      </c>
      <c r="C127" s="77"/>
      <c r="D127" s="62" t="e">
        <f>VLOOKUP($C127,APOIO!$O:$Q,2,FALSE)</f>
        <v>#N/A</v>
      </c>
      <c r="E127" s="62" t="e">
        <f>VLOOKUP($C127,APOIO!$O:$Q,3,FALSE)</f>
        <v>#N/A</v>
      </c>
      <c r="F127" s="78"/>
      <c r="G127" s="88" t="e">
        <f>VLOOKUP($F127,APOIO!$L:$M,2,FALSE)</f>
        <v>#N/A</v>
      </c>
      <c r="H127" s="77"/>
      <c r="I127" s="88" t="e">
        <f>VLOOKUP($H127,APOIO!$H:$J,2,FALSE)</f>
        <v>#N/A</v>
      </c>
      <c r="J127" s="88" t="e">
        <f>VLOOKUP($H127,APOIO!$H:$J,3,FALSE)</f>
        <v>#N/A</v>
      </c>
      <c r="K127" s="32"/>
      <c r="L127" s="32"/>
      <c r="M127" s="31"/>
      <c r="N127" s="32" t="e">
        <f>VLOOKUP($M127,APOIO!$R:$S,2,FALSE)</f>
        <v>#N/A</v>
      </c>
      <c r="O127" s="32"/>
      <c r="P127" s="32"/>
      <c r="Q127" s="71"/>
      <c r="R127" s="68" t="e">
        <f>INDEX(APOIO!$V:$V,MATCH(EOMONTH($Q127,0),APOIO!$X:$X,0))</f>
        <v>#N/A</v>
      </c>
      <c r="S127" s="60"/>
      <c r="T127" s="59"/>
      <c r="U127" s="59" t="str">
        <f t="shared" si="1"/>
        <v/>
      </c>
    </row>
    <row r="128" spans="1:21" ht="15" x14ac:dyDescent="0.25">
      <c r="A128" s="31"/>
      <c r="B128" s="62" t="str">
        <f>IF(A128="","",IFERROR(VLOOKUP($A128,APOIO!$A:$B,2,FALSE),"error"))</f>
        <v/>
      </c>
      <c r="C128" s="77"/>
      <c r="D128" s="62" t="e">
        <f>VLOOKUP($C128,APOIO!$O:$Q,2,FALSE)</f>
        <v>#N/A</v>
      </c>
      <c r="E128" s="62" t="e">
        <f>VLOOKUP($C128,APOIO!$O:$Q,3,FALSE)</f>
        <v>#N/A</v>
      </c>
      <c r="F128" s="78"/>
      <c r="G128" s="88" t="e">
        <f>VLOOKUP($F128,APOIO!$L:$M,2,FALSE)</f>
        <v>#N/A</v>
      </c>
      <c r="H128" s="77"/>
      <c r="I128" s="88" t="e">
        <f>VLOOKUP($H128,APOIO!$H:$J,2,FALSE)</f>
        <v>#N/A</v>
      </c>
      <c r="J128" s="88" t="e">
        <f>VLOOKUP($H128,APOIO!$H:$J,3,FALSE)</f>
        <v>#N/A</v>
      </c>
      <c r="K128" s="32"/>
      <c r="L128" s="32"/>
      <c r="M128" s="31"/>
      <c r="N128" s="32" t="e">
        <f>VLOOKUP($M128,APOIO!$R:$S,2,FALSE)</f>
        <v>#N/A</v>
      </c>
      <c r="O128" s="32"/>
      <c r="P128" s="32"/>
      <c r="Q128" s="71"/>
      <c r="R128" s="68" t="e">
        <f>INDEX(APOIO!$V:$V,MATCH(EOMONTH($Q128,0),APOIO!$X:$X,0))</f>
        <v>#N/A</v>
      </c>
      <c r="S128" s="60"/>
      <c r="T128" s="59"/>
      <c r="U128" s="59" t="str">
        <f t="shared" si="1"/>
        <v/>
      </c>
    </row>
    <row r="129" spans="1:21" ht="15" x14ac:dyDescent="0.25">
      <c r="A129" s="31"/>
      <c r="B129" s="62" t="str">
        <f>IF(A129="","",IFERROR(VLOOKUP($A129,APOIO!$A:$B,2,FALSE),"error"))</f>
        <v/>
      </c>
      <c r="C129" s="77"/>
      <c r="D129" s="62" t="e">
        <f>VLOOKUP($C129,APOIO!$O:$Q,2,FALSE)</f>
        <v>#N/A</v>
      </c>
      <c r="E129" s="62" t="e">
        <f>VLOOKUP($C129,APOIO!$O:$Q,3,FALSE)</f>
        <v>#N/A</v>
      </c>
      <c r="F129" s="78"/>
      <c r="G129" s="88" t="e">
        <f>VLOOKUP($F129,APOIO!$L:$M,2,FALSE)</f>
        <v>#N/A</v>
      </c>
      <c r="H129" s="77"/>
      <c r="I129" s="88" t="e">
        <f>VLOOKUP($H129,APOIO!$H:$J,2,FALSE)</f>
        <v>#N/A</v>
      </c>
      <c r="J129" s="88" t="e">
        <f>VLOOKUP($H129,APOIO!$H:$J,3,FALSE)</f>
        <v>#N/A</v>
      </c>
      <c r="K129" s="32"/>
      <c r="L129" s="32"/>
      <c r="M129" s="31"/>
      <c r="N129" s="32" t="e">
        <f>VLOOKUP($M129,APOIO!$R:$S,2,FALSE)</f>
        <v>#N/A</v>
      </c>
      <c r="O129" s="32"/>
      <c r="P129" s="32"/>
      <c r="Q129" s="71"/>
      <c r="R129" s="68" t="e">
        <f>INDEX(APOIO!$V:$V,MATCH(EOMONTH($Q129,0),APOIO!$X:$X,0))</f>
        <v>#N/A</v>
      </c>
      <c r="S129" s="60"/>
      <c r="T129" s="59"/>
      <c r="U129" s="59" t="str">
        <f t="shared" si="1"/>
        <v/>
      </c>
    </row>
    <row r="130" spans="1:21" ht="15" x14ac:dyDescent="0.25">
      <c r="A130" s="31"/>
      <c r="B130" s="62" t="str">
        <f>IF(A130="","",IFERROR(VLOOKUP($A130,APOIO!$A:$B,2,FALSE),"error"))</f>
        <v/>
      </c>
      <c r="C130" s="77"/>
      <c r="D130" s="62" t="e">
        <f>VLOOKUP($C130,APOIO!$O:$Q,2,FALSE)</f>
        <v>#N/A</v>
      </c>
      <c r="E130" s="62" t="e">
        <f>VLOOKUP($C130,APOIO!$O:$Q,3,FALSE)</f>
        <v>#N/A</v>
      </c>
      <c r="F130" s="78"/>
      <c r="G130" s="88" t="e">
        <f>VLOOKUP($F130,APOIO!$L:$M,2,FALSE)</f>
        <v>#N/A</v>
      </c>
      <c r="H130" s="77"/>
      <c r="I130" s="88" t="e">
        <f>VLOOKUP($H130,APOIO!$H:$J,2,FALSE)</f>
        <v>#N/A</v>
      </c>
      <c r="J130" s="88" t="e">
        <f>VLOOKUP($H130,APOIO!$H:$J,3,FALSE)</f>
        <v>#N/A</v>
      </c>
      <c r="K130" s="32"/>
      <c r="L130" s="32"/>
      <c r="M130" s="31"/>
      <c r="N130" s="32" t="e">
        <f>VLOOKUP($M130,APOIO!$R:$S,2,FALSE)</f>
        <v>#N/A</v>
      </c>
      <c r="O130" s="32"/>
      <c r="P130" s="32"/>
      <c r="Q130" s="71"/>
      <c r="R130" s="68" t="e">
        <f>INDEX(APOIO!$V:$V,MATCH(EOMONTH($Q130,0),APOIO!$X:$X,0))</f>
        <v>#N/A</v>
      </c>
      <c r="S130" s="60"/>
      <c r="T130" s="59"/>
      <c r="U130" s="59" t="str">
        <f t="shared" si="1"/>
        <v/>
      </c>
    </row>
    <row r="131" spans="1:21" ht="15" x14ac:dyDescent="0.25">
      <c r="A131" s="31"/>
      <c r="B131" s="62" t="str">
        <f>IF(A131="","",IFERROR(VLOOKUP($A131,APOIO!$A:$B,2,FALSE),"error"))</f>
        <v/>
      </c>
      <c r="C131" s="77"/>
      <c r="D131" s="62" t="e">
        <f>VLOOKUP($C131,APOIO!$O:$Q,2,FALSE)</f>
        <v>#N/A</v>
      </c>
      <c r="E131" s="62" t="e">
        <f>VLOOKUP($C131,APOIO!$O:$Q,3,FALSE)</f>
        <v>#N/A</v>
      </c>
      <c r="F131" s="78"/>
      <c r="G131" s="88" t="e">
        <f>VLOOKUP($F131,APOIO!$L:$M,2,FALSE)</f>
        <v>#N/A</v>
      </c>
      <c r="H131" s="77"/>
      <c r="I131" s="88" t="e">
        <f>VLOOKUP($H131,APOIO!$H:$J,2,FALSE)</f>
        <v>#N/A</v>
      </c>
      <c r="J131" s="88" t="e">
        <f>VLOOKUP($H131,APOIO!$H:$J,3,FALSE)</f>
        <v>#N/A</v>
      </c>
      <c r="K131" s="32"/>
      <c r="L131" s="32"/>
      <c r="M131" s="31"/>
      <c r="N131" s="32" t="e">
        <f>VLOOKUP($M131,APOIO!$R:$S,2,FALSE)</f>
        <v>#N/A</v>
      </c>
      <c r="O131" s="32"/>
      <c r="P131" s="32"/>
      <c r="Q131" s="71"/>
      <c r="R131" s="68" t="e">
        <f>INDEX(APOIO!$V:$V,MATCH(EOMONTH($Q131,0),APOIO!$X:$X,0))</f>
        <v>#N/A</v>
      </c>
      <c r="S131" s="60"/>
      <c r="T131" s="59"/>
      <c r="U131" s="59" t="str">
        <f t="shared" si="1"/>
        <v/>
      </c>
    </row>
    <row r="132" spans="1:21" ht="15" x14ac:dyDescent="0.25">
      <c r="A132" s="31"/>
      <c r="B132" s="62" t="str">
        <f>IF(A132="","",IFERROR(VLOOKUP($A132,APOIO!$A:$B,2,FALSE),"error"))</f>
        <v/>
      </c>
      <c r="C132" s="77"/>
      <c r="D132" s="62" t="e">
        <f>VLOOKUP($C132,APOIO!$O:$Q,2,FALSE)</f>
        <v>#N/A</v>
      </c>
      <c r="E132" s="62" t="e">
        <f>VLOOKUP($C132,APOIO!$O:$Q,3,FALSE)</f>
        <v>#N/A</v>
      </c>
      <c r="F132" s="78"/>
      <c r="G132" s="88" t="e">
        <f>VLOOKUP($F132,APOIO!$L:$M,2,FALSE)</f>
        <v>#N/A</v>
      </c>
      <c r="H132" s="77"/>
      <c r="I132" s="88" t="e">
        <f>VLOOKUP($H132,APOIO!$H:$J,2,FALSE)</f>
        <v>#N/A</v>
      </c>
      <c r="J132" s="88" t="e">
        <f>VLOOKUP($H132,APOIO!$H:$J,3,FALSE)</f>
        <v>#N/A</v>
      </c>
      <c r="K132" s="32"/>
      <c r="L132" s="32"/>
      <c r="M132" s="31"/>
      <c r="N132" s="32" t="e">
        <f>VLOOKUP($M132,APOIO!$R:$S,2,FALSE)</f>
        <v>#N/A</v>
      </c>
      <c r="O132" s="32"/>
      <c r="P132" s="32"/>
      <c r="Q132" s="71"/>
      <c r="R132" s="68" t="e">
        <f>INDEX(APOIO!$V:$V,MATCH(EOMONTH($Q132,0),APOIO!$X:$X,0))</f>
        <v>#N/A</v>
      </c>
      <c r="S132" s="60"/>
      <c r="T132" s="59"/>
      <c r="U132" s="59" t="str">
        <f t="shared" si="1"/>
        <v/>
      </c>
    </row>
    <row r="133" spans="1:21" ht="15" x14ac:dyDescent="0.25">
      <c r="A133" s="31"/>
      <c r="B133" s="62" t="str">
        <f>IF(A133="","",IFERROR(VLOOKUP($A133,APOIO!$A:$B,2,FALSE),"error"))</f>
        <v/>
      </c>
      <c r="C133" s="77"/>
      <c r="D133" s="62" t="e">
        <f>VLOOKUP($C133,APOIO!$O:$Q,2,FALSE)</f>
        <v>#N/A</v>
      </c>
      <c r="E133" s="62" t="e">
        <f>VLOOKUP($C133,APOIO!$O:$Q,3,FALSE)</f>
        <v>#N/A</v>
      </c>
      <c r="F133" s="78"/>
      <c r="G133" s="88" t="e">
        <f>VLOOKUP($F133,APOIO!$L:$M,2,FALSE)</f>
        <v>#N/A</v>
      </c>
      <c r="H133" s="77"/>
      <c r="I133" s="88" t="e">
        <f>VLOOKUP($H133,APOIO!$H:$J,2,FALSE)</f>
        <v>#N/A</v>
      </c>
      <c r="J133" s="88" t="e">
        <f>VLOOKUP($H133,APOIO!$H:$J,3,FALSE)</f>
        <v>#N/A</v>
      </c>
      <c r="K133" s="32"/>
      <c r="L133" s="32"/>
      <c r="M133" s="31"/>
      <c r="N133" s="32" t="e">
        <f>VLOOKUP($M133,APOIO!$R:$S,2,FALSE)</f>
        <v>#N/A</v>
      </c>
      <c r="O133" s="32"/>
      <c r="P133" s="32"/>
      <c r="Q133" s="71"/>
      <c r="R133" s="68" t="e">
        <f>INDEX(APOIO!$V:$V,MATCH(EOMONTH($Q133,0),APOIO!$X:$X,0))</f>
        <v>#N/A</v>
      </c>
      <c r="S133" s="60"/>
      <c r="T133" s="59"/>
      <c r="U133" s="59" t="str">
        <f t="shared" si="1"/>
        <v/>
      </c>
    </row>
    <row r="134" spans="1:21" ht="15" x14ac:dyDescent="0.25">
      <c r="A134" s="31"/>
      <c r="B134" s="62" t="str">
        <f>IF(A134="","",IFERROR(VLOOKUP($A134,APOIO!$A:$B,2,FALSE),"error"))</f>
        <v/>
      </c>
      <c r="C134" s="77"/>
      <c r="D134" s="62" t="e">
        <f>VLOOKUP($C134,APOIO!$O:$Q,2,FALSE)</f>
        <v>#N/A</v>
      </c>
      <c r="E134" s="62" t="e">
        <f>VLOOKUP($C134,APOIO!$O:$Q,3,FALSE)</f>
        <v>#N/A</v>
      </c>
      <c r="F134" s="78"/>
      <c r="G134" s="88" t="e">
        <f>VLOOKUP($F134,APOIO!$L:$M,2,FALSE)</f>
        <v>#N/A</v>
      </c>
      <c r="H134" s="77"/>
      <c r="I134" s="88" t="e">
        <f>VLOOKUP($H134,APOIO!$H:$J,2,FALSE)</f>
        <v>#N/A</v>
      </c>
      <c r="J134" s="88" t="e">
        <f>VLOOKUP($H134,APOIO!$H:$J,3,FALSE)</f>
        <v>#N/A</v>
      </c>
      <c r="K134" s="32"/>
      <c r="L134" s="32"/>
      <c r="M134" s="31"/>
      <c r="N134" s="32" t="e">
        <f>VLOOKUP($M134,APOIO!$R:$S,2,FALSE)</f>
        <v>#N/A</v>
      </c>
      <c r="O134" s="32"/>
      <c r="P134" s="32"/>
      <c r="Q134" s="71"/>
      <c r="R134" s="68" t="e">
        <f>INDEX(APOIO!$V:$V,MATCH(EOMONTH($Q134,0),APOIO!$X:$X,0))</f>
        <v>#N/A</v>
      </c>
      <c r="S134" s="60"/>
      <c r="T134" s="59"/>
      <c r="U134" s="59" t="str">
        <f t="shared" si="1"/>
        <v/>
      </c>
    </row>
    <row r="135" spans="1:21" ht="15" x14ac:dyDescent="0.25">
      <c r="A135" s="31"/>
      <c r="B135" s="62" t="str">
        <f>IF(A135="","",IFERROR(VLOOKUP($A135,APOIO!$A:$B,2,FALSE),"error"))</f>
        <v/>
      </c>
      <c r="C135" s="77"/>
      <c r="D135" s="62" t="e">
        <f>VLOOKUP($C135,APOIO!$O:$Q,2,FALSE)</f>
        <v>#N/A</v>
      </c>
      <c r="E135" s="62" t="e">
        <f>VLOOKUP($C135,APOIO!$O:$Q,3,FALSE)</f>
        <v>#N/A</v>
      </c>
      <c r="F135" s="78"/>
      <c r="G135" s="88" t="e">
        <f>VLOOKUP($F135,APOIO!$L:$M,2,FALSE)</f>
        <v>#N/A</v>
      </c>
      <c r="H135" s="77"/>
      <c r="I135" s="88" t="e">
        <f>VLOOKUP($H135,APOIO!$H:$J,2,FALSE)</f>
        <v>#N/A</v>
      </c>
      <c r="J135" s="88" t="e">
        <f>VLOOKUP($H135,APOIO!$H:$J,3,FALSE)</f>
        <v>#N/A</v>
      </c>
      <c r="K135" s="32"/>
      <c r="L135" s="32"/>
      <c r="M135" s="31"/>
      <c r="N135" s="32" t="e">
        <f>VLOOKUP($M135,APOIO!$R:$S,2,FALSE)</f>
        <v>#N/A</v>
      </c>
      <c r="O135" s="32"/>
      <c r="P135" s="32"/>
      <c r="Q135" s="71"/>
      <c r="R135" s="68" t="e">
        <f>INDEX(APOIO!$V:$V,MATCH(EOMONTH($Q135,0),APOIO!$X:$X,0))</f>
        <v>#N/A</v>
      </c>
      <c r="S135" s="60"/>
      <c r="T135" s="59"/>
      <c r="U135" s="59" t="str">
        <f t="shared" si="1"/>
        <v/>
      </c>
    </row>
    <row r="136" spans="1:21" ht="15" x14ac:dyDescent="0.25">
      <c r="A136" s="31"/>
      <c r="B136" s="62" t="str">
        <f>IF(A136="","",IFERROR(VLOOKUP($A136,APOIO!$A:$B,2,FALSE),"error"))</f>
        <v/>
      </c>
      <c r="C136" s="77"/>
      <c r="D136" s="62" t="e">
        <f>VLOOKUP($C136,APOIO!$O:$Q,2,FALSE)</f>
        <v>#N/A</v>
      </c>
      <c r="E136" s="62" t="e">
        <f>VLOOKUP($C136,APOIO!$O:$Q,3,FALSE)</f>
        <v>#N/A</v>
      </c>
      <c r="F136" s="78"/>
      <c r="G136" s="88" t="e">
        <f>VLOOKUP($F136,APOIO!$L:$M,2,FALSE)</f>
        <v>#N/A</v>
      </c>
      <c r="H136" s="77"/>
      <c r="I136" s="88" t="e">
        <f>VLOOKUP($H136,APOIO!$H:$J,2,FALSE)</f>
        <v>#N/A</v>
      </c>
      <c r="J136" s="88" t="e">
        <f>VLOOKUP($H136,APOIO!$H:$J,3,FALSE)</f>
        <v>#N/A</v>
      </c>
      <c r="K136" s="32"/>
      <c r="L136" s="32"/>
      <c r="M136" s="31"/>
      <c r="N136" s="32" t="e">
        <f>VLOOKUP($M136,APOIO!$R:$S,2,FALSE)</f>
        <v>#N/A</v>
      </c>
      <c r="O136" s="32"/>
      <c r="P136" s="32"/>
      <c r="Q136" s="71"/>
      <c r="R136" s="68" t="e">
        <f>INDEX(APOIO!$V:$V,MATCH(EOMONTH($Q136,0),APOIO!$X:$X,0))</f>
        <v>#N/A</v>
      </c>
      <c r="S136" s="60"/>
      <c r="T136" s="59"/>
      <c r="U136" s="59" t="str">
        <f t="shared" si="1"/>
        <v/>
      </c>
    </row>
    <row r="137" spans="1:21" ht="15" x14ac:dyDescent="0.25">
      <c r="A137" s="31"/>
      <c r="B137" s="62" t="str">
        <f>IF(A137="","",IFERROR(VLOOKUP($A137,APOIO!$A:$B,2,FALSE),"error"))</f>
        <v/>
      </c>
      <c r="C137" s="77"/>
      <c r="D137" s="62" t="e">
        <f>VLOOKUP($C137,APOIO!$O:$Q,2,FALSE)</f>
        <v>#N/A</v>
      </c>
      <c r="E137" s="62" t="e">
        <f>VLOOKUP($C137,APOIO!$O:$Q,3,FALSE)</f>
        <v>#N/A</v>
      </c>
      <c r="F137" s="78"/>
      <c r="G137" s="88" t="e">
        <f>VLOOKUP($F137,APOIO!$L:$M,2,FALSE)</f>
        <v>#N/A</v>
      </c>
      <c r="H137" s="77"/>
      <c r="I137" s="88" t="e">
        <f>VLOOKUP($H137,APOIO!$H:$J,2,FALSE)</f>
        <v>#N/A</v>
      </c>
      <c r="J137" s="88" t="e">
        <f>VLOOKUP($H137,APOIO!$H:$J,3,FALSE)</f>
        <v>#N/A</v>
      </c>
      <c r="K137" s="32"/>
      <c r="L137" s="32"/>
      <c r="M137" s="31"/>
      <c r="N137" s="32" t="e">
        <f>VLOOKUP($M137,APOIO!$R:$S,2,FALSE)</f>
        <v>#N/A</v>
      </c>
      <c r="O137" s="32"/>
      <c r="P137" s="32"/>
      <c r="Q137" s="71"/>
      <c r="R137" s="68" t="e">
        <f>INDEX(APOIO!$V:$V,MATCH(EOMONTH($Q137,0),APOIO!$X:$X,0))</f>
        <v>#N/A</v>
      </c>
      <c r="S137" s="60"/>
      <c r="T137" s="59"/>
      <c r="U137" s="59" t="str">
        <f t="shared" si="1"/>
        <v/>
      </c>
    </row>
    <row r="138" spans="1:21" ht="15" x14ac:dyDescent="0.25">
      <c r="A138" s="31"/>
      <c r="B138" s="62" t="str">
        <f>IF(A138="","",IFERROR(VLOOKUP($A138,APOIO!$A:$B,2,FALSE),"error"))</f>
        <v/>
      </c>
      <c r="C138" s="77"/>
      <c r="D138" s="62" t="e">
        <f>VLOOKUP($C138,APOIO!$O:$Q,2,FALSE)</f>
        <v>#N/A</v>
      </c>
      <c r="E138" s="62" t="e">
        <f>VLOOKUP($C138,APOIO!$O:$Q,3,FALSE)</f>
        <v>#N/A</v>
      </c>
      <c r="F138" s="78"/>
      <c r="G138" s="88" t="e">
        <f>VLOOKUP($F138,APOIO!$L:$M,2,FALSE)</f>
        <v>#N/A</v>
      </c>
      <c r="H138" s="77"/>
      <c r="I138" s="88" t="e">
        <f>VLOOKUP($H138,APOIO!$H:$J,2,FALSE)</f>
        <v>#N/A</v>
      </c>
      <c r="J138" s="88" t="e">
        <f>VLOOKUP($H138,APOIO!$H:$J,3,FALSE)</f>
        <v>#N/A</v>
      </c>
      <c r="K138" s="32"/>
      <c r="L138" s="32"/>
      <c r="M138" s="31"/>
      <c r="N138" s="32" t="e">
        <f>VLOOKUP($M138,APOIO!$R:$S,2,FALSE)</f>
        <v>#N/A</v>
      </c>
      <c r="O138" s="32"/>
      <c r="P138" s="32"/>
      <c r="Q138" s="71"/>
      <c r="R138" s="68" t="e">
        <f>INDEX(APOIO!$V:$V,MATCH(EOMONTH($Q138,0),APOIO!$X:$X,0))</f>
        <v>#N/A</v>
      </c>
      <c r="S138" s="60"/>
      <c r="T138" s="59"/>
      <c r="U138" s="59" t="str">
        <f t="shared" ref="U138:U200" si="2">IFERROR(CONCATENATE(A138,"_",D138,,"_",G138,"_",I138,"_",Q138,"_",S138),"")</f>
        <v/>
      </c>
    </row>
    <row r="139" spans="1:21" ht="15" x14ac:dyDescent="0.25">
      <c r="A139" s="31"/>
      <c r="B139" s="62" t="str">
        <f>IF(A139="","",IFERROR(VLOOKUP($A139,APOIO!$A:$B,2,FALSE),"error"))</f>
        <v/>
      </c>
      <c r="C139" s="77"/>
      <c r="D139" s="62" t="e">
        <f>VLOOKUP($C139,APOIO!$O:$Q,2,FALSE)</f>
        <v>#N/A</v>
      </c>
      <c r="E139" s="62" t="e">
        <f>VLOOKUP($C139,APOIO!$O:$Q,3,FALSE)</f>
        <v>#N/A</v>
      </c>
      <c r="F139" s="78"/>
      <c r="G139" s="88" t="e">
        <f>VLOOKUP($F139,APOIO!$L:$M,2,FALSE)</f>
        <v>#N/A</v>
      </c>
      <c r="H139" s="77"/>
      <c r="I139" s="88" t="e">
        <f>VLOOKUP($H139,APOIO!$H:$J,2,FALSE)</f>
        <v>#N/A</v>
      </c>
      <c r="J139" s="88" t="e">
        <f>VLOOKUP($H139,APOIO!$H:$J,3,FALSE)</f>
        <v>#N/A</v>
      </c>
      <c r="K139" s="32"/>
      <c r="L139" s="32"/>
      <c r="M139" s="31"/>
      <c r="N139" s="32" t="e">
        <f>VLOOKUP($M139,APOIO!$R:$S,2,FALSE)</f>
        <v>#N/A</v>
      </c>
      <c r="O139" s="32"/>
      <c r="P139" s="32"/>
      <c r="Q139" s="71"/>
      <c r="R139" s="68" t="e">
        <f>INDEX(APOIO!$V:$V,MATCH(EOMONTH($Q139,0),APOIO!$X:$X,0))</f>
        <v>#N/A</v>
      </c>
      <c r="S139" s="60"/>
      <c r="T139" s="59"/>
      <c r="U139" s="59" t="str">
        <f t="shared" si="2"/>
        <v/>
      </c>
    </row>
    <row r="140" spans="1:21" ht="15" x14ac:dyDescent="0.25">
      <c r="A140" s="31"/>
      <c r="B140" s="62" t="str">
        <f>IF(A140="","",IFERROR(VLOOKUP($A140,APOIO!$A:$B,2,FALSE),"error"))</f>
        <v/>
      </c>
      <c r="C140" s="77"/>
      <c r="D140" s="62" t="e">
        <f>VLOOKUP($C140,APOIO!$O:$Q,2,FALSE)</f>
        <v>#N/A</v>
      </c>
      <c r="E140" s="62" t="e">
        <f>VLOOKUP($C140,APOIO!$O:$Q,3,FALSE)</f>
        <v>#N/A</v>
      </c>
      <c r="F140" s="78"/>
      <c r="G140" s="88" t="e">
        <f>VLOOKUP($F140,APOIO!$L:$M,2,FALSE)</f>
        <v>#N/A</v>
      </c>
      <c r="H140" s="77"/>
      <c r="I140" s="88" t="e">
        <f>VLOOKUP($H140,APOIO!$H:$J,2,FALSE)</f>
        <v>#N/A</v>
      </c>
      <c r="J140" s="88" t="e">
        <f>VLOOKUP($H140,APOIO!$H:$J,3,FALSE)</f>
        <v>#N/A</v>
      </c>
      <c r="K140" s="32"/>
      <c r="L140" s="32"/>
      <c r="M140" s="31"/>
      <c r="N140" s="32" t="e">
        <f>VLOOKUP($M140,APOIO!$R:$S,2,FALSE)</f>
        <v>#N/A</v>
      </c>
      <c r="O140" s="32"/>
      <c r="P140" s="32"/>
      <c r="Q140" s="71"/>
      <c r="R140" s="68" t="e">
        <f>INDEX(APOIO!$V:$V,MATCH(EOMONTH($Q140,0),APOIO!$X:$X,0))</f>
        <v>#N/A</v>
      </c>
      <c r="S140" s="60"/>
      <c r="T140" s="59"/>
      <c r="U140" s="59" t="str">
        <f t="shared" si="2"/>
        <v/>
      </c>
    </row>
    <row r="141" spans="1:21" ht="15" x14ac:dyDescent="0.25">
      <c r="A141" s="31"/>
      <c r="B141" s="62" t="str">
        <f>IF(A141="","",IFERROR(VLOOKUP($A141,APOIO!$A:$B,2,FALSE),"error"))</f>
        <v/>
      </c>
      <c r="C141" s="77"/>
      <c r="D141" s="62" t="e">
        <f>VLOOKUP($C141,APOIO!$O:$Q,2,FALSE)</f>
        <v>#N/A</v>
      </c>
      <c r="E141" s="62" t="e">
        <f>VLOOKUP($C141,APOIO!$O:$Q,3,FALSE)</f>
        <v>#N/A</v>
      </c>
      <c r="F141" s="78"/>
      <c r="G141" s="88" t="e">
        <f>VLOOKUP($F141,APOIO!$L:$M,2,FALSE)</f>
        <v>#N/A</v>
      </c>
      <c r="H141" s="77"/>
      <c r="I141" s="88" t="e">
        <f>VLOOKUP($H141,APOIO!$H:$J,2,FALSE)</f>
        <v>#N/A</v>
      </c>
      <c r="J141" s="88" t="e">
        <f>VLOOKUP($H141,APOIO!$H:$J,3,FALSE)</f>
        <v>#N/A</v>
      </c>
      <c r="K141" s="32"/>
      <c r="L141" s="32"/>
      <c r="M141" s="31"/>
      <c r="N141" s="32" t="e">
        <f>VLOOKUP($M141,APOIO!$R:$S,2,FALSE)</f>
        <v>#N/A</v>
      </c>
      <c r="O141" s="32"/>
      <c r="P141" s="32"/>
      <c r="Q141" s="71"/>
      <c r="R141" s="68" t="e">
        <f>INDEX(APOIO!$V:$V,MATCH(EOMONTH($Q141,0),APOIO!$X:$X,0))</f>
        <v>#N/A</v>
      </c>
      <c r="S141" s="60"/>
      <c r="T141" s="59"/>
      <c r="U141" s="59" t="str">
        <f t="shared" si="2"/>
        <v/>
      </c>
    </row>
    <row r="142" spans="1:21" ht="15" x14ac:dyDescent="0.25">
      <c r="A142" s="31"/>
      <c r="B142" s="62" t="str">
        <f>IF(A142="","",IFERROR(VLOOKUP($A142,APOIO!$A:$B,2,FALSE),"error"))</f>
        <v/>
      </c>
      <c r="C142" s="77"/>
      <c r="D142" s="62" t="e">
        <f>VLOOKUP($C142,APOIO!$O:$Q,2,FALSE)</f>
        <v>#N/A</v>
      </c>
      <c r="E142" s="62" t="e">
        <f>VLOOKUP($C142,APOIO!$O:$Q,3,FALSE)</f>
        <v>#N/A</v>
      </c>
      <c r="F142" s="78"/>
      <c r="G142" s="88" t="e">
        <f>VLOOKUP($F142,APOIO!$L:$M,2,FALSE)</f>
        <v>#N/A</v>
      </c>
      <c r="H142" s="77"/>
      <c r="I142" s="88" t="e">
        <f>VLOOKUP($H142,APOIO!$H:$J,2,FALSE)</f>
        <v>#N/A</v>
      </c>
      <c r="J142" s="88" t="e">
        <f>VLOOKUP($H142,APOIO!$H:$J,3,FALSE)</f>
        <v>#N/A</v>
      </c>
      <c r="K142" s="32"/>
      <c r="L142" s="32"/>
      <c r="M142" s="31"/>
      <c r="N142" s="32" t="e">
        <f>VLOOKUP($M142,APOIO!$R:$S,2,FALSE)</f>
        <v>#N/A</v>
      </c>
      <c r="O142" s="32"/>
      <c r="P142" s="32"/>
      <c r="Q142" s="71"/>
      <c r="R142" s="68" t="e">
        <f>INDEX(APOIO!$V:$V,MATCH(EOMONTH($Q142,0),APOIO!$X:$X,0))</f>
        <v>#N/A</v>
      </c>
      <c r="S142" s="60"/>
      <c r="T142" s="59"/>
      <c r="U142" s="59" t="str">
        <f t="shared" si="2"/>
        <v/>
      </c>
    </row>
    <row r="143" spans="1:21" ht="15" x14ac:dyDescent="0.25">
      <c r="A143" s="31"/>
      <c r="B143" s="62" t="str">
        <f>IF(A143="","",IFERROR(VLOOKUP($A143,APOIO!$A:$B,2,FALSE),"error"))</f>
        <v/>
      </c>
      <c r="C143" s="77"/>
      <c r="D143" s="62" t="e">
        <f>VLOOKUP($C143,APOIO!$O:$Q,2,FALSE)</f>
        <v>#N/A</v>
      </c>
      <c r="E143" s="62" t="e">
        <f>VLOOKUP($C143,APOIO!$O:$Q,3,FALSE)</f>
        <v>#N/A</v>
      </c>
      <c r="F143" s="78"/>
      <c r="G143" s="88" t="e">
        <f>VLOOKUP($F143,APOIO!$L:$M,2,FALSE)</f>
        <v>#N/A</v>
      </c>
      <c r="H143" s="77"/>
      <c r="I143" s="88" t="e">
        <f>VLOOKUP($H143,APOIO!$H:$J,2,FALSE)</f>
        <v>#N/A</v>
      </c>
      <c r="J143" s="88" t="e">
        <f>VLOOKUP($H143,APOIO!$H:$J,3,FALSE)</f>
        <v>#N/A</v>
      </c>
      <c r="K143" s="32"/>
      <c r="L143" s="32"/>
      <c r="M143" s="31"/>
      <c r="N143" s="32" t="e">
        <f>VLOOKUP($M143,APOIO!$R:$S,2,FALSE)</f>
        <v>#N/A</v>
      </c>
      <c r="O143" s="32"/>
      <c r="P143" s="32"/>
      <c r="Q143" s="71"/>
      <c r="R143" s="68" t="e">
        <f>INDEX(APOIO!$V:$V,MATCH(EOMONTH($Q143,0),APOIO!$X:$X,0))</f>
        <v>#N/A</v>
      </c>
      <c r="S143" s="60"/>
      <c r="T143" s="59"/>
      <c r="U143" s="59" t="str">
        <f t="shared" si="2"/>
        <v/>
      </c>
    </row>
    <row r="144" spans="1:21" ht="15" x14ac:dyDescent="0.25">
      <c r="A144" s="31"/>
      <c r="B144" s="62" t="str">
        <f>IF(A144="","",IFERROR(VLOOKUP($A144,APOIO!$A:$B,2,FALSE),"error"))</f>
        <v/>
      </c>
      <c r="C144" s="77"/>
      <c r="D144" s="62" t="e">
        <f>VLOOKUP($C144,APOIO!$O:$Q,2,FALSE)</f>
        <v>#N/A</v>
      </c>
      <c r="E144" s="62" t="e">
        <f>VLOOKUP($C144,APOIO!$O:$Q,3,FALSE)</f>
        <v>#N/A</v>
      </c>
      <c r="F144" s="78"/>
      <c r="G144" s="88" t="e">
        <f>VLOOKUP($F144,APOIO!$L:$M,2,FALSE)</f>
        <v>#N/A</v>
      </c>
      <c r="H144" s="77"/>
      <c r="I144" s="88" t="e">
        <f>VLOOKUP($H144,APOIO!$H:$J,2,FALSE)</f>
        <v>#N/A</v>
      </c>
      <c r="J144" s="88" t="e">
        <f>VLOOKUP($H144,APOIO!$H:$J,3,FALSE)</f>
        <v>#N/A</v>
      </c>
      <c r="K144" s="32"/>
      <c r="L144" s="32"/>
      <c r="M144" s="31"/>
      <c r="N144" s="32" t="e">
        <f>VLOOKUP($M144,APOIO!$R:$S,2,FALSE)</f>
        <v>#N/A</v>
      </c>
      <c r="O144" s="32"/>
      <c r="P144" s="32"/>
      <c r="Q144" s="71"/>
      <c r="R144" s="68" t="e">
        <f>INDEX(APOIO!$V:$V,MATCH(EOMONTH($Q144,0),APOIO!$X:$X,0))</f>
        <v>#N/A</v>
      </c>
      <c r="S144" s="60"/>
      <c r="T144" s="59"/>
      <c r="U144" s="59" t="str">
        <f t="shared" si="2"/>
        <v/>
      </c>
    </row>
    <row r="145" spans="1:21" ht="15" x14ac:dyDescent="0.25">
      <c r="A145" s="31"/>
      <c r="B145" s="62" t="str">
        <f>IF(A145="","",IFERROR(VLOOKUP($A145,APOIO!$A:$B,2,FALSE),"error"))</f>
        <v/>
      </c>
      <c r="C145" s="77"/>
      <c r="D145" s="62" t="e">
        <f>VLOOKUP($C145,APOIO!$O:$Q,2,FALSE)</f>
        <v>#N/A</v>
      </c>
      <c r="E145" s="62" t="e">
        <f>VLOOKUP($C145,APOIO!$O:$Q,3,FALSE)</f>
        <v>#N/A</v>
      </c>
      <c r="F145" s="78"/>
      <c r="G145" s="88" t="e">
        <f>VLOOKUP($F145,APOIO!$L:$M,2,FALSE)</f>
        <v>#N/A</v>
      </c>
      <c r="H145" s="77"/>
      <c r="I145" s="88" t="e">
        <f>VLOOKUP($H145,APOIO!$H:$J,2,FALSE)</f>
        <v>#N/A</v>
      </c>
      <c r="J145" s="88" t="e">
        <f>VLOOKUP($H145,APOIO!$H:$J,3,FALSE)</f>
        <v>#N/A</v>
      </c>
      <c r="K145" s="32"/>
      <c r="L145" s="32"/>
      <c r="M145" s="31"/>
      <c r="N145" s="32" t="e">
        <f>VLOOKUP($M145,APOIO!$R:$S,2,FALSE)</f>
        <v>#N/A</v>
      </c>
      <c r="O145" s="32"/>
      <c r="P145" s="32"/>
      <c r="Q145" s="71"/>
      <c r="R145" s="68" t="e">
        <f>INDEX(APOIO!$V:$V,MATCH(EOMONTH($Q145,0),APOIO!$X:$X,0))</f>
        <v>#N/A</v>
      </c>
      <c r="S145" s="60"/>
      <c r="T145" s="59"/>
      <c r="U145" s="59" t="str">
        <f t="shared" si="2"/>
        <v/>
      </c>
    </row>
    <row r="146" spans="1:21" ht="15" x14ac:dyDescent="0.25">
      <c r="A146" s="31"/>
      <c r="B146" s="62" t="str">
        <f>IF(A146="","",IFERROR(VLOOKUP($A146,APOIO!$A:$B,2,FALSE),"error"))</f>
        <v/>
      </c>
      <c r="C146" s="77"/>
      <c r="D146" s="62" t="e">
        <f>VLOOKUP($C146,APOIO!$O:$Q,2,FALSE)</f>
        <v>#N/A</v>
      </c>
      <c r="E146" s="62" t="e">
        <f>VLOOKUP($C146,APOIO!$O:$Q,3,FALSE)</f>
        <v>#N/A</v>
      </c>
      <c r="F146" s="78"/>
      <c r="G146" s="88" t="e">
        <f>VLOOKUP($F146,APOIO!$L:$M,2,FALSE)</f>
        <v>#N/A</v>
      </c>
      <c r="H146" s="77"/>
      <c r="I146" s="88" t="e">
        <f>VLOOKUP($H146,APOIO!$H:$J,2,FALSE)</f>
        <v>#N/A</v>
      </c>
      <c r="J146" s="88" t="e">
        <f>VLOOKUP($H146,APOIO!$H:$J,3,FALSE)</f>
        <v>#N/A</v>
      </c>
      <c r="K146" s="32"/>
      <c r="L146" s="32"/>
      <c r="M146" s="31"/>
      <c r="N146" s="32" t="e">
        <f>VLOOKUP($M146,APOIO!$R:$S,2,FALSE)</f>
        <v>#N/A</v>
      </c>
      <c r="O146" s="32"/>
      <c r="P146" s="32"/>
      <c r="Q146" s="71"/>
      <c r="R146" s="68" t="e">
        <f>INDEX(APOIO!$V:$V,MATCH(EOMONTH($Q146,0),APOIO!$X:$X,0))</f>
        <v>#N/A</v>
      </c>
      <c r="S146" s="60"/>
      <c r="T146" s="59"/>
      <c r="U146" s="59" t="str">
        <f t="shared" si="2"/>
        <v/>
      </c>
    </row>
    <row r="147" spans="1:21" ht="15" x14ac:dyDescent="0.25">
      <c r="A147" s="31"/>
      <c r="B147" s="62" t="str">
        <f>IF(A147="","",IFERROR(VLOOKUP($A147,APOIO!$A:$B,2,FALSE),"error"))</f>
        <v/>
      </c>
      <c r="C147" s="77"/>
      <c r="D147" s="62" t="e">
        <f>VLOOKUP($C147,APOIO!$O:$Q,2,FALSE)</f>
        <v>#N/A</v>
      </c>
      <c r="E147" s="62" t="e">
        <f>VLOOKUP($C147,APOIO!$O:$Q,3,FALSE)</f>
        <v>#N/A</v>
      </c>
      <c r="F147" s="78"/>
      <c r="G147" s="88" t="e">
        <f>VLOOKUP($F147,APOIO!$L:$M,2,FALSE)</f>
        <v>#N/A</v>
      </c>
      <c r="H147" s="77"/>
      <c r="I147" s="88" t="e">
        <f>VLOOKUP($H147,APOIO!$H:$J,2,FALSE)</f>
        <v>#N/A</v>
      </c>
      <c r="J147" s="88" t="e">
        <f>VLOOKUP($H147,APOIO!$H:$J,3,FALSE)</f>
        <v>#N/A</v>
      </c>
      <c r="K147" s="32"/>
      <c r="L147" s="32"/>
      <c r="M147" s="31"/>
      <c r="N147" s="32" t="e">
        <f>VLOOKUP($M147,APOIO!$R:$S,2,FALSE)</f>
        <v>#N/A</v>
      </c>
      <c r="O147" s="32"/>
      <c r="P147" s="32"/>
      <c r="Q147" s="71"/>
      <c r="R147" s="68" t="e">
        <f>INDEX(APOIO!$V:$V,MATCH(EOMONTH($Q147,0),APOIO!$X:$X,0))</f>
        <v>#N/A</v>
      </c>
      <c r="S147" s="60"/>
      <c r="T147" s="59"/>
      <c r="U147" s="59" t="str">
        <f t="shared" si="2"/>
        <v/>
      </c>
    </row>
    <row r="148" spans="1:21" ht="15" x14ac:dyDescent="0.25">
      <c r="A148" s="31"/>
      <c r="B148" s="62" t="str">
        <f>IF(A148="","",IFERROR(VLOOKUP($A148,APOIO!$A:$B,2,FALSE),"error"))</f>
        <v/>
      </c>
      <c r="C148" s="77"/>
      <c r="D148" s="62" t="e">
        <f>VLOOKUP($C148,APOIO!$O:$Q,2,FALSE)</f>
        <v>#N/A</v>
      </c>
      <c r="E148" s="62" t="e">
        <f>VLOOKUP($C148,APOIO!$O:$Q,3,FALSE)</f>
        <v>#N/A</v>
      </c>
      <c r="F148" s="78"/>
      <c r="G148" s="88" t="e">
        <f>VLOOKUP($F148,APOIO!$L:$M,2,FALSE)</f>
        <v>#N/A</v>
      </c>
      <c r="H148" s="77"/>
      <c r="I148" s="88" t="e">
        <f>VLOOKUP($H148,APOIO!$H:$J,2,FALSE)</f>
        <v>#N/A</v>
      </c>
      <c r="J148" s="88" t="e">
        <f>VLOOKUP($H148,APOIO!$H:$J,3,FALSE)</f>
        <v>#N/A</v>
      </c>
      <c r="K148" s="32"/>
      <c r="L148" s="32"/>
      <c r="M148" s="31"/>
      <c r="N148" s="32" t="e">
        <f>VLOOKUP($M148,APOIO!$R:$S,2,FALSE)</f>
        <v>#N/A</v>
      </c>
      <c r="O148" s="32"/>
      <c r="P148" s="32"/>
      <c r="Q148" s="71"/>
      <c r="R148" s="68" t="e">
        <f>INDEX(APOIO!$V:$V,MATCH(EOMONTH($Q148,0),APOIO!$X:$X,0))</f>
        <v>#N/A</v>
      </c>
      <c r="S148" s="60"/>
      <c r="T148" s="59"/>
      <c r="U148" s="59" t="str">
        <f t="shared" si="2"/>
        <v/>
      </c>
    </row>
    <row r="149" spans="1:21" ht="15" x14ac:dyDescent="0.25">
      <c r="A149" s="31"/>
      <c r="B149" s="62" t="str">
        <f>IF(A149="","",IFERROR(VLOOKUP($A149,APOIO!$A:$B,2,FALSE),"error"))</f>
        <v/>
      </c>
      <c r="C149" s="77"/>
      <c r="D149" s="62" t="e">
        <f>VLOOKUP($C149,APOIO!$O:$Q,2,FALSE)</f>
        <v>#N/A</v>
      </c>
      <c r="E149" s="62" t="e">
        <f>VLOOKUP($C149,APOIO!$O:$Q,3,FALSE)</f>
        <v>#N/A</v>
      </c>
      <c r="F149" s="78"/>
      <c r="G149" s="88" t="e">
        <f>VLOOKUP($F149,APOIO!$L:$M,2,FALSE)</f>
        <v>#N/A</v>
      </c>
      <c r="H149" s="77"/>
      <c r="I149" s="88" t="e">
        <f>VLOOKUP($H149,APOIO!$H:$J,2,FALSE)</f>
        <v>#N/A</v>
      </c>
      <c r="J149" s="88" t="e">
        <f>VLOOKUP($H149,APOIO!$H:$J,3,FALSE)</f>
        <v>#N/A</v>
      </c>
      <c r="K149" s="32"/>
      <c r="L149" s="32"/>
      <c r="M149" s="31"/>
      <c r="N149" s="32" t="e">
        <f>VLOOKUP($M149,APOIO!$R:$S,2,FALSE)</f>
        <v>#N/A</v>
      </c>
      <c r="O149" s="32"/>
      <c r="P149" s="32"/>
      <c r="Q149" s="71"/>
      <c r="R149" s="68" t="e">
        <f>INDEX(APOIO!$V:$V,MATCH(EOMONTH($Q149,0),APOIO!$X:$X,0))</f>
        <v>#N/A</v>
      </c>
      <c r="S149" s="60"/>
      <c r="T149" s="59"/>
      <c r="U149" s="59" t="str">
        <f t="shared" si="2"/>
        <v/>
      </c>
    </row>
    <row r="150" spans="1:21" ht="15" x14ac:dyDescent="0.25">
      <c r="A150" s="31"/>
      <c r="B150" s="62" t="str">
        <f>IF(A150="","",IFERROR(VLOOKUP($A150,APOIO!$A:$B,2,FALSE),"error"))</f>
        <v/>
      </c>
      <c r="C150" s="77"/>
      <c r="D150" s="62" t="e">
        <f>VLOOKUP($C150,APOIO!$O:$Q,2,FALSE)</f>
        <v>#N/A</v>
      </c>
      <c r="E150" s="62" t="e">
        <f>VLOOKUP($C150,APOIO!$O:$Q,3,FALSE)</f>
        <v>#N/A</v>
      </c>
      <c r="F150" s="78"/>
      <c r="G150" s="88" t="e">
        <f>VLOOKUP($F150,APOIO!$L:$M,2,FALSE)</f>
        <v>#N/A</v>
      </c>
      <c r="H150" s="77"/>
      <c r="I150" s="88" t="e">
        <f>VLOOKUP($H150,APOIO!$H:$J,2,FALSE)</f>
        <v>#N/A</v>
      </c>
      <c r="J150" s="88" t="e">
        <f>VLOOKUP($H150,APOIO!$H:$J,3,FALSE)</f>
        <v>#N/A</v>
      </c>
      <c r="K150" s="32"/>
      <c r="L150" s="32"/>
      <c r="M150" s="31"/>
      <c r="N150" s="32" t="e">
        <f>VLOOKUP($M150,APOIO!$R:$S,2,FALSE)</f>
        <v>#N/A</v>
      </c>
      <c r="O150" s="32"/>
      <c r="P150" s="32"/>
      <c r="Q150" s="71"/>
      <c r="R150" s="68" t="e">
        <f>INDEX(APOIO!$V:$V,MATCH(EOMONTH($Q150,0),APOIO!$X:$X,0))</f>
        <v>#N/A</v>
      </c>
      <c r="S150" s="60"/>
      <c r="T150" s="59"/>
      <c r="U150" s="59" t="str">
        <f t="shared" si="2"/>
        <v/>
      </c>
    </row>
    <row r="151" spans="1:21" ht="15" x14ac:dyDescent="0.25">
      <c r="A151" s="31"/>
      <c r="B151" s="62" t="str">
        <f>IF(A151="","",IFERROR(VLOOKUP($A151,APOIO!$A:$B,2,FALSE),"error"))</f>
        <v/>
      </c>
      <c r="C151" s="77"/>
      <c r="D151" s="62" t="e">
        <f>VLOOKUP($C151,APOIO!$O:$Q,2,FALSE)</f>
        <v>#N/A</v>
      </c>
      <c r="E151" s="62" t="e">
        <f>VLOOKUP($C151,APOIO!$O:$Q,3,FALSE)</f>
        <v>#N/A</v>
      </c>
      <c r="F151" s="78"/>
      <c r="G151" s="88" t="e">
        <f>VLOOKUP($F151,APOIO!$L:$M,2,FALSE)</f>
        <v>#N/A</v>
      </c>
      <c r="H151" s="77"/>
      <c r="I151" s="88" t="e">
        <f>VLOOKUP($H151,APOIO!$H:$J,2,FALSE)</f>
        <v>#N/A</v>
      </c>
      <c r="J151" s="88" t="e">
        <f>VLOOKUP($H151,APOIO!$H:$J,3,FALSE)</f>
        <v>#N/A</v>
      </c>
      <c r="K151" s="32"/>
      <c r="L151" s="32"/>
      <c r="M151" s="31"/>
      <c r="N151" s="32" t="e">
        <f>VLOOKUP($M151,APOIO!$R:$S,2,FALSE)</f>
        <v>#N/A</v>
      </c>
      <c r="O151" s="32"/>
      <c r="P151" s="32"/>
      <c r="Q151" s="71"/>
      <c r="R151" s="68" t="e">
        <f>INDEX(APOIO!$V:$V,MATCH(EOMONTH($Q151,0),APOIO!$X:$X,0))</f>
        <v>#N/A</v>
      </c>
      <c r="S151" s="60"/>
      <c r="T151" s="59"/>
      <c r="U151" s="59" t="str">
        <f t="shared" si="2"/>
        <v/>
      </c>
    </row>
    <row r="152" spans="1:21" ht="15" x14ac:dyDescent="0.25">
      <c r="A152" s="31"/>
      <c r="B152" s="62" t="str">
        <f>IF(A152="","",IFERROR(VLOOKUP($A152,APOIO!$A:$B,2,FALSE),"error"))</f>
        <v/>
      </c>
      <c r="C152" s="77"/>
      <c r="D152" s="62" t="e">
        <f>VLOOKUP($C152,APOIO!$O:$Q,2,FALSE)</f>
        <v>#N/A</v>
      </c>
      <c r="E152" s="62" t="e">
        <f>VLOOKUP($C152,APOIO!$O:$Q,3,FALSE)</f>
        <v>#N/A</v>
      </c>
      <c r="F152" s="78"/>
      <c r="G152" s="88" t="e">
        <f>VLOOKUP($F152,APOIO!$L:$M,2,FALSE)</f>
        <v>#N/A</v>
      </c>
      <c r="H152" s="77"/>
      <c r="I152" s="88" t="e">
        <f>VLOOKUP($H152,APOIO!$H:$J,2,FALSE)</f>
        <v>#N/A</v>
      </c>
      <c r="J152" s="88" t="e">
        <f>VLOOKUP($H152,APOIO!$H:$J,3,FALSE)</f>
        <v>#N/A</v>
      </c>
      <c r="K152" s="32"/>
      <c r="L152" s="32"/>
      <c r="M152" s="31"/>
      <c r="N152" s="32" t="e">
        <f>VLOOKUP($M152,APOIO!$R:$S,2,FALSE)</f>
        <v>#N/A</v>
      </c>
      <c r="O152" s="32"/>
      <c r="P152" s="32"/>
      <c r="Q152" s="71"/>
      <c r="R152" s="68" t="e">
        <f>INDEX(APOIO!$V:$V,MATCH(EOMONTH($Q152,0),APOIO!$X:$X,0))</f>
        <v>#N/A</v>
      </c>
      <c r="S152" s="60"/>
      <c r="T152" s="59"/>
      <c r="U152" s="59" t="str">
        <f t="shared" si="2"/>
        <v/>
      </c>
    </row>
    <row r="153" spans="1:21" ht="15" x14ac:dyDescent="0.25">
      <c r="A153" s="31"/>
      <c r="B153" s="62" t="str">
        <f>IF(A153="","",IFERROR(VLOOKUP($A153,APOIO!$A:$B,2,FALSE),"error"))</f>
        <v/>
      </c>
      <c r="C153" s="77"/>
      <c r="D153" s="62" t="e">
        <f>VLOOKUP($C153,APOIO!$O:$Q,2,FALSE)</f>
        <v>#N/A</v>
      </c>
      <c r="E153" s="62" t="e">
        <f>VLOOKUP($C153,APOIO!$O:$Q,3,FALSE)</f>
        <v>#N/A</v>
      </c>
      <c r="F153" s="78"/>
      <c r="G153" s="88" t="e">
        <f>VLOOKUP($F153,APOIO!$L:$M,2,FALSE)</f>
        <v>#N/A</v>
      </c>
      <c r="H153" s="77"/>
      <c r="I153" s="88" t="e">
        <f>VLOOKUP($H153,APOIO!$H:$J,2,FALSE)</f>
        <v>#N/A</v>
      </c>
      <c r="J153" s="88" t="e">
        <f>VLOOKUP($H153,APOIO!$H:$J,3,FALSE)</f>
        <v>#N/A</v>
      </c>
      <c r="K153" s="32"/>
      <c r="L153" s="32"/>
      <c r="M153" s="31"/>
      <c r="N153" s="32" t="e">
        <f>VLOOKUP($M153,APOIO!$R:$S,2,FALSE)</f>
        <v>#N/A</v>
      </c>
      <c r="O153" s="32"/>
      <c r="P153" s="32"/>
      <c r="Q153" s="71"/>
      <c r="R153" s="68" t="e">
        <f>INDEX(APOIO!$V:$V,MATCH(EOMONTH($Q153,0),APOIO!$X:$X,0))</f>
        <v>#N/A</v>
      </c>
      <c r="S153" s="60"/>
      <c r="T153" s="59"/>
      <c r="U153" s="59" t="str">
        <f t="shared" si="2"/>
        <v/>
      </c>
    </row>
    <row r="154" spans="1:21" ht="15" x14ac:dyDescent="0.25">
      <c r="A154" s="31"/>
      <c r="B154" s="62" t="str">
        <f>IF(A154="","",IFERROR(VLOOKUP($A154,APOIO!$A:$B,2,FALSE),"error"))</f>
        <v/>
      </c>
      <c r="C154" s="77"/>
      <c r="D154" s="62" t="e">
        <f>VLOOKUP($C154,APOIO!$O:$Q,2,FALSE)</f>
        <v>#N/A</v>
      </c>
      <c r="E154" s="62" t="e">
        <f>VLOOKUP($C154,APOIO!$O:$Q,3,FALSE)</f>
        <v>#N/A</v>
      </c>
      <c r="F154" s="78"/>
      <c r="G154" s="88" t="e">
        <f>VLOOKUP($F154,APOIO!$L:$M,2,FALSE)</f>
        <v>#N/A</v>
      </c>
      <c r="H154" s="77"/>
      <c r="I154" s="88" t="e">
        <f>VLOOKUP($H154,APOIO!$H:$J,2,FALSE)</f>
        <v>#N/A</v>
      </c>
      <c r="J154" s="88" t="e">
        <f>VLOOKUP($H154,APOIO!$H:$J,3,FALSE)</f>
        <v>#N/A</v>
      </c>
      <c r="K154" s="32"/>
      <c r="L154" s="32"/>
      <c r="M154" s="31"/>
      <c r="N154" s="32" t="e">
        <f>VLOOKUP($M154,APOIO!$R:$S,2,FALSE)</f>
        <v>#N/A</v>
      </c>
      <c r="O154" s="32"/>
      <c r="P154" s="32"/>
      <c r="Q154" s="71"/>
      <c r="R154" s="68" t="e">
        <f>INDEX(APOIO!$V:$V,MATCH(EOMONTH($Q154,0),APOIO!$X:$X,0))</f>
        <v>#N/A</v>
      </c>
      <c r="S154" s="60"/>
      <c r="T154" s="59"/>
      <c r="U154" s="59" t="str">
        <f t="shared" si="2"/>
        <v/>
      </c>
    </row>
    <row r="155" spans="1:21" ht="15" x14ac:dyDescent="0.25">
      <c r="A155" s="31"/>
      <c r="B155" s="62" t="str">
        <f>IF(A155="","",IFERROR(VLOOKUP($A155,APOIO!$A:$B,2,FALSE),"error"))</f>
        <v/>
      </c>
      <c r="C155" s="77"/>
      <c r="D155" s="62" t="e">
        <f>VLOOKUP($C155,APOIO!$O:$Q,2,FALSE)</f>
        <v>#N/A</v>
      </c>
      <c r="E155" s="62" t="e">
        <f>VLOOKUP($C155,APOIO!$O:$Q,3,FALSE)</f>
        <v>#N/A</v>
      </c>
      <c r="F155" s="78"/>
      <c r="G155" s="88" t="e">
        <f>VLOOKUP($F155,APOIO!$L:$M,2,FALSE)</f>
        <v>#N/A</v>
      </c>
      <c r="H155" s="77"/>
      <c r="I155" s="88" t="e">
        <f>VLOOKUP($H155,APOIO!$H:$J,2,FALSE)</f>
        <v>#N/A</v>
      </c>
      <c r="J155" s="88" t="e">
        <f>VLOOKUP($H155,APOIO!$H:$J,3,FALSE)</f>
        <v>#N/A</v>
      </c>
      <c r="K155" s="32"/>
      <c r="L155" s="32"/>
      <c r="M155" s="31"/>
      <c r="N155" s="32" t="e">
        <f>VLOOKUP($M155,APOIO!$R:$S,2,FALSE)</f>
        <v>#N/A</v>
      </c>
      <c r="O155" s="32"/>
      <c r="P155" s="32"/>
      <c r="Q155" s="71"/>
      <c r="R155" s="68" t="e">
        <f>INDEX(APOIO!$V:$V,MATCH(EOMONTH($Q155,0),APOIO!$X:$X,0))</f>
        <v>#N/A</v>
      </c>
      <c r="S155" s="60"/>
      <c r="T155" s="59"/>
      <c r="U155" s="59" t="str">
        <f t="shared" si="2"/>
        <v/>
      </c>
    </row>
    <row r="156" spans="1:21" ht="15" x14ac:dyDescent="0.25">
      <c r="A156" s="31"/>
      <c r="B156" s="62" t="str">
        <f>IF(A156="","",IFERROR(VLOOKUP($A156,APOIO!$A:$B,2,FALSE),"error"))</f>
        <v/>
      </c>
      <c r="C156" s="77"/>
      <c r="D156" s="62" t="e">
        <f>VLOOKUP($C156,APOIO!$O:$Q,2,FALSE)</f>
        <v>#N/A</v>
      </c>
      <c r="E156" s="62" t="e">
        <f>VLOOKUP($C156,APOIO!$O:$Q,3,FALSE)</f>
        <v>#N/A</v>
      </c>
      <c r="F156" s="78"/>
      <c r="G156" s="88" t="e">
        <f>VLOOKUP($F156,APOIO!$L:$M,2,FALSE)</f>
        <v>#N/A</v>
      </c>
      <c r="H156" s="77"/>
      <c r="I156" s="88" t="e">
        <f>VLOOKUP($H156,APOIO!$H:$J,2,FALSE)</f>
        <v>#N/A</v>
      </c>
      <c r="J156" s="88" t="e">
        <f>VLOOKUP($H156,APOIO!$H:$J,3,FALSE)</f>
        <v>#N/A</v>
      </c>
      <c r="K156" s="32"/>
      <c r="L156" s="32"/>
      <c r="M156" s="31"/>
      <c r="N156" s="32" t="e">
        <f>VLOOKUP($M156,APOIO!$R:$S,2,FALSE)</f>
        <v>#N/A</v>
      </c>
      <c r="O156" s="32"/>
      <c r="P156" s="32"/>
      <c r="Q156" s="71"/>
      <c r="R156" s="68" t="e">
        <f>INDEX(APOIO!$V:$V,MATCH(EOMONTH($Q156,0),APOIO!$X:$X,0))</f>
        <v>#N/A</v>
      </c>
      <c r="S156" s="60"/>
      <c r="T156" s="59"/>
      <c r="U156" s="59" t="str">
        <f t="shared" si="2"/>
        <v/>
      </c>
    </row>
    <row r="157" spans="1:21" ht="15" x14ac:dyDescent="0.25">
      <c r="A157" s="31"/>
      <c r="B157" s="62" t="str">
        <f>IF(A157="","",IFERROR(VLOOKUP($A157,APOIO!$A:$B,2,FALSE),"error"))</f>
        <v/>
      </c>
      <c r="C157" s="77"/>
      <c r="D157" s="62" t="e">
        <f>VLOOKUP($C157,APOIO!$O:$Q,2,FALSE)</f>
        <v>#N/A</v>
      </c>
      <c r="E157" s="62" t="e">
        <f>VLOOKUP($C157,APOIO!$O:$Q,3,FALSE)</f>
        <v>#N/A</v>
      </c>
      <c r="F157" s="78"/>
      <c r="G157" s="88" t="e">
        <f>VLOOKUP($F157,APOIO!$L:$M,2,FALSE)</f>
        <v>#N/A</v>
      </c>
      <c r="H157" s="77"/>
      <c r="I157" s="88" t="e">
        <f>VLOOKUP($H157,APOIO!$H:$J,2,FALSE)</f>
        <v>#N/A</v>
      </c>
      <c r="J157" s="88" t="e">
        <f>VLOOKUP($H157,APOIO!$H:$J,3,FALSE)</f>
        <v>#N/A</v>
      </c>
      <c r="K157" s="32"/>
      <c r="L157" s="32"/>
      <c r="M157" s="31"/>
      <c r="N157" s="32" t="e">
        <f>VLOOKUP($M157,APOIO!$R:$S,2,FALSE)</f>
        <v>#N/A</v>
      </c>
      <c r="O157" s="32"/>
      <c r="P157" s="32"/>
      <c r="Q157" s="71"/>
      <c r="R157" s="68" t="e">
        <f>INDEX(APOIO!$V:$V,MATCH(EOMONTH($Q157,0),APOIO!$X:$X,0))</f>
        <v>#N/A</v>
      </c>
      <c r="S157" s="60"/>
      <c r="T157" s="59"/>
      <c r="U157" s="59" t="str">
        <f t="shared" si="2"/>
        <v/>
      </c>
    </row>
    <row r="158" spans="1:21" ht="15" x14ac:dyDescent="0.25">
      <c r="A158" s="31"/>
      <c r="B158" s="62" t="str">
        <f>IF(A158="","",IFERROR(VLOOKUP($A158,APOIO!$A:$B,2,FALSE),"error"))</f>
        <v/>
      </c>
      <c r="C158" s="77"/>
      <c r="D158" s="62" t="e">
        <f>VLOOKUP($C158,APOIO!$O:$Q,2,FALSE)</f>
        <v>#N/A</v>
      </c>
      <c r="E158" s="62" t="e">
        <f>VLOOKUP($C158,APOIO!$O:$Q,3,FALSE)</f>
        <v>#N/A</v>
      </c>
      <c r="F158" s="78"/>
      <c r="G158" s="88" t="e">
        <f>VLOOKUP($F158,APOIO!$L:$M,2,FALSE)</f>
        <v>#N/A</v>
      </c>
      <c r="H158" s="77"/>
      <c r="I158" s="88" t="e">
        <f>VLOOKUP($H158,APOIO!$H:$J,2,FALSE)</f>
        <v>#N/A</v>
      </c>
      <c r="J158" s="88" t="e">
        <f>VLOOKUP($H158,APOIO!$H:$J,3,FALSE)</f>
        <v>#N/A</v>
      </c>
      <c r="K158" s="32"/>
      <c r="L158" s="32"/>
      <c r="M158" s="31"/>
      <c r="N158" s="32" t="e">
        <f>VLOOKUP($M158,APOIO!$R:$S,2,FALSE)</f>
        <v>#N/A</v>
      </c>
      <c r="O158" s="32"/>
      <c r="P158" s="32"/>
      <c r="Q158" s="71"/>
      <c r="R158" s="68" t="e">
        <f>INDEX(APOIO!$V:$V,MATCH(EOMONTH($Q158,0),APOIO!$X:$X,0))</f>
        <v>#N/A</v>
      </c>
      <c r="S158" s="60"/>
      <c r="T158" s="59"/>
      <c r="U158" s="59" t="str">
        <f t="shared" si="2"/>
        <v/>
      </c>
    </row>
    <row r="159" spans="1:21" ht="15" x14ac:dyDescent="0.25">
      <c r="A159" s="31"/>
      <c r="B159" s="62" t="str">
        <f>IF(A159="","",IFERROR(VLOOKUP($A159,APOIO!$A:$B,2,FALSE),"error"))</f>
        <v/>
      </c>
      <c r="C159" s="77"/>
      <c r="D159" s="62" t="e">
        <f>VLOOKUP($C159,APOIO!$O:$Q,2,FALSE)</f>
        <v>#N/A</v>
      </c>
      <c r="E159" s="62" t="e">
        <f>VLOOKUP($C159,APOIO!$O:$Q,3,FALSE)</f>
        <v>#N/A</v>
      </c>
      <c r="F159" s="78"/>
      <c r="G159" s="88" t="e">
        <f>VLOOKUP($F159,APOIO!$L:$M,2,FALSE)</f>
        <v>#N/A</v>
      </c>
      <c r="H159" s="77"/>
      <c r="I159" s="88" t="e">
        <f>VLOOKUP($H159,APOIO!$H:$J,2,FALSE)</f>
        <v>#N/A</v>
      </c>
      <c r="J159" s="88" t="e">
        <f>VLOOKUP($H159,APOIO!$H:$J,3,FALSE)</f>
        <v>#N/A</v>
      </c>
      <c r="K159" s="32"/>
      <c r="L159" s="32"/>
      <c r="M159" s="31"/>
      <c r="N159" s="32" t="e">
        <f>VLOOKUP($M159,APOIO!$R:$S,2,FALSE)</f>
        <v>#N/A</v>
      </c>
      <c r="O159" s="32"/>
      <c r="P159" s="32"/>
      <c r="Q159" s="71"/>
      <c r="R159" s="68" t="e">
        <f>INDEX(APOIO!$V:$V,MATCH(EOMONTH($Q159,0),APOIO!$X:$X,0))</f>
        <v>#N/A</v>
      </c>
      <c r="S159" s="60"/>
      <c r="T159" s="59"/>
      <c r="U159" s="59" t="str">
        <f t="shared" si="2"/>
        <v/>
      </c>
    </row>
    <row r="160" spans="1:21" ht="15" x14ac:dyDescent="0.25">
      <c r="A160" s="31"/>
      <c r="B160" s="62" t="str">
        <f>IF(A160="","",IFERROR(VLOOKUP($A160,APOIO!$A:$B,2,FALSE),"error"))</f>
        <v/>
      </c>
      <c r="C160" s="77"/>
      <c r="D160" s="62" t="e">
        <f>VLOOKUP($C160,APOIO!$O:$Q,2,FALSE)</f>
        <v>#N/A</v>
      </c>
      <c r="E160" s="62" t="e">
        <f>VLOOKUP($C160,APOIO!$O:$Q,3,FALSE)</f>
        <v>#N/A</v>
      </c>
      <c r="F160" s="78"/>
      <c r="G160" s="88" t="e">
        <f>VLOOKUP($F160,APOIO!$L:$M,2,FALSE)</f>
        <v>#N/A</v>
      </c>
      <c r="H160" s="77"/>
      <c r="I160" s="88" t="e">
        <f>VLOOKUP($H160,APOIO!$H:$J,2,FALSE)</f>
        <v>#N/A</v>
      </c>
      <c r="J160" s="88" t="e">
        <f>VLOOKUP($H160,APOIO!$H:$J,3,FALSE)</f>
        <v>#N/A</v>
      </c>
      <c r="K160" s="32"/>
      <c r="L160" s="32"/>
      <c r="M160" s="31"/>
      <c r="N160" s="32" t="e">
        <f>VLOOKUP($M160,APOIO!$R:$S,2,FALSE)</f>
        <v>#N/A</v>
      </c>
      <c r="O160" s="32"/>
      <c r="P160" s="32"/>
      <c r="Q160" s="71"/>
      <c r="R160" s="68" t="e">
        <f>INDEX(APOIO!$V:$V,MATCH(EOMONTH($Q160,0),APOIO!$X:$X,0))</f>
        <v>#N/A</v>
      </c>
      <c r="S160" s="60"/>
      <c r="T160" s="59"/>
      <c r="U160" s="59" t="str">
        <f t="shared" si="2"/>
        <v/>
      </c>
    </row>
    <row r="161" spans="1:21" ht="15" x14ac:dyDescent="0.25">
      <c r="A161" s="31"/>
      <c r="B161" s="62" t="str">
        <f>IF(A161="","",IFERROR(VLOOKUP($A161,APOIO!$A:$B,2,FALSE),"error"))</f>
        <v/>
      </c>
      <c r="C161" s="77"/>
      <c r="D161" s="62" t="e">
        <f>VLOOKUP($C161,APOIO!$O:$Q,2,FALSE)</f>
        <v>#N/A</v>
      </c>
      <c r="E161" s="62" t="e">
        <f>VLOOKUP($C161,APOIO!$O:$Q,3,FALSE)</f>
        <v>#N/A</v>
      </c>
      <c r="F161" s="78"/>
      <c r="G161" s="88" t="e">
        <f>VLOOKUP($F161,APOIO!$L:$M,2,FALSE)</f>
        <v>#N/A</v>
      </c>
      <c r="H161" s="77"/>
      <c r="I161" s="88" t="e">
        <f>VLOOKUP($H161,APOIO!$H:$J,2,FALSE)</f>
        <v>#N/A</v>
      </c>
      <c r="J161" s="88" t="e">
        <f>VLOOKUP($H161,APOIO!$H:$J,3,FALSE)</f>
        <v>#N/A</v>
      </c>
      <c r="K161" s="32"/>
      <c r="L161" s="32"/>
      <c r="M161" s="31"/>
      <c r="N161" s="32" t="e">
        <f>VLOOKUP($M161,APOIO!$R:$S,2,FALSE)</f>
        <v>#N/A</v>
      </c>
      <c r="O161" s="32"/>
      <c r="P161" s="32"/>
      <c r="Q161" s="71"/>
      <c r="R161" s="68" t="e">
        <f>INDEX(APOIO!$V:$V,MATCH(EOMONTH($Q161,0),APOIO!$X:$X,0))</f>
        <v>#N/A</v>
      </c>
      <c r="S161" s="60"/>
      <c r="T161" s="59"/>
      <c r="U161" s="59" t="str">
        <f t="shared" si="2"/>
        <v/>
      </c>
    </row>
    <row r="162" spans="1:21" ht="15" x14ac:dyDescent="0.25">
      <c r="A162" s="31"/>
      <c r="B162" s="62" t="str">
        <f>IF(A162="","",IFERROR(VLOOKUP($A162,APOIO!$A:$B,2,FALSE),"error"))</f>
        <v/>
      </c>
      <c r="C162" s="77"/>
      <c r="D162" s="62" t="e">
        <f>VLOOKUP($C162,APOIO!$O:$Q,2,FALSE)</f>
        <v>#N/A</v>
      </c>
      <c r="E162" s="62" t="e">
        <f>VLOOKUP($C162,APOIO!$O:$Q,3,FALSE)</f>
        <v>#N/A</v>
      </c>
      <c r="F162" s="78"/>
      <c r="G162" s="88" t="e">
        <f>VLOOKUP($F162,APOIO!$L:$M,2,FALSE)</f>
        <v>#N/A</v>
      </c>
      <c r="H162" s="77"/>
      <c r="I162" s="88" t="e">
        <f>VLOOKUP($H162,APOIO!$H:$J,2,FALSE)</f>
        <v>#N/A</v>
      </c>
      <c r="J162" s="88" t="e">
        <f>VLOOKUP($H162,APOIO!$H:$J,3,FALSE)</f>
        <v>#N/A</v>
      </c>
      <c r="K162" s="32"/>
      <c r="L162" s="32"/>
      <c r="M162" s="31"/>
      <c r="N162" s="32" t="e">
        <f>VLOOKUP($M162,APOIO!$R:$S,2,FALSE)</f>
        <v>#N/A</v>
      </c>
      <c r="O162" s="32"/>
      <c r="P162" s="32"/>
      <c r="Q162" s="71"/>
      <c r="R162" s="68" t="e">
        <f>INDEX(APOIO!$V:$V,MATCH(EOMONTH($Q162,0),APOIO!$X:$X,0))</f>
        <v>#N/A</v>
      </c>
      <c r="S162" s="60"/>
      <c r="T162" s="59"/>
      <c r="U162" s="59" t="str">
        <f t="shared" si="2"/>
        <v/>
      </c>
    </row>
    <row r="163" spans="1:21" ht="15" x14ac:dyDescent="0.25">
      <c r="A163" s="31"/>
      <c r="B163" s="62" t="str">
        <f>IF(A163="","",IFERROR(VLOOKUP($A163,APOIO!$A:$B,2,FALSE),"error"))</f>
        <v/>
      </c>
      <c r="C163" s="77"/>
      <c r="D163" s="62" t="e">
        <f>VLOOKUP($C163,APOIO!$O:$Q,2,FALSE)</f>
        <v>#N/A</v>
      </c>
      <c r="E163" s="62" t="e">
        <f>VLOOKUP($C163,APOIO!$O:$Q,3,FALSE)</f>
        <v>#N/A</v>
      </c>
      <c r="F163" s="78"/>
      <c r="G163" s="88" t="e">
        <f>VLOOKUP($F163,APOIO!$L:$M,2,FALSE)</f>
        <v>#N/A</v>
      </c>
      <c r="H163" s="77"/>
      <c r="I163" s="88" t="e">
        <f>VLOOKUP($H163,APOIO!$H:$J,2,FALSE)</f>
        <v>#N/A</v>
      </c>
      <c r="J163" s="88" t="e">
        <f>VLOOKUP($H163,APOIO!$H:$J,3,FALSE)</f>
        <v>#N/A</v>
      </c>
      <c r="K163" s="32"/>
      <c r="L163" s="32"/>
      <c r="M163" s="31"/>
      <c r="N163" s="32" t="e">
        <f>VLOOKUP($M163,APOIO!$R:$S,2,FALSE)</f>
        <v>#N/A</v>
      </c>
      <c r="O163" s="32"/>
      <c r="P163" s="32"/>
      <c r="Q163" s="71"/>
      <c r="R163" s="68" t="e">
        <f>INDEX(APOIO!$V:$V,MATCH(EOMONTH($Q163,0),APOIO!$X:$X,0))</f>
        <v>#N/A</v>
      </c>
      <c r="S163" s="60"/>
      <c r="T163" s="59"/>
      <c r="U163" s="59" t="str">
        <f t="shared" si="2"/>
        <v/>
      </c>
    </row>
    <row r="164" spans="1:21" ht="15" x14ac:dyDescent="0.25">
      <c r="A164" s="31"/>
      <c r="B164" s="62" t="str">
        <f>IF(A164="","",IFERROR(VLOOKUP($A164,APOIO!$A:$B,2,FALSE),"error"))</f>
        <v/>
      </c>
      <c r="C164" s="77"/>
      <c r="D164" s="62" t="e">
        <f>VLOOKUP($C164,APOIO!$O:$Q,2,FALSE)</f>
        <v>#N/A</v>
      </c>
      <c r="E164" s="62" t="e">
        <f>VLOOKUP($C164,APOIO!$O:$Q,3,FALSE)</f>
        <v>#N/A</v>
      </c>
      <c r="F164" s="78"/>
      <c r="G164" s="88" t="e">
        <f>VLOOKUP($F164,APOIO!$L:$M,2,FALSE)</f>
        <v>#N/A</v>
      </c>
      <c r="H164" s="77"/>
      <c r="I164" s="88" t="e">
        <f>VLOOKUP($H164,APOIO!$H:$J,2,FALSE)</f>
        <v>#N/A</v>
      </c>
      <c r="J164" s="88" t="e">
        <f>VLOOKUP($H164,APOIO!$H:$J,3,FALSE)</f>
        <v>#N/A</v>
      </c>
      <c r="K164" s="32"/>
      <c r="L164" s="32"/>
      <c r="M164" s="31"/>
      <c r="N164" s="32" t="e">
        <f>VLOOKUP($M164,APOIO!$R:$S,2,FALSE)</f>
        <v>#N/A</v>
      </c>
      <c r="O164" s="32"/>
      <c r="P164" s="32"/>
      <c r="Q164" s="71"/>
      <c r="R164" s="68" t="e">
        <f>INDEX(APOIO!$V:$V,MATCH(EOMONTH($Q164,0),APOIO!$X:$X,0))</f>
        <v>#N/A</v>
      </c>
      <c r="S164" s="60"/>
      <c r="T164" s="59"/>
      <c r="U164" s="59" t="str">
        <f t="shared" si="2"/>
        <v/>
      </c>
    </row>
    <row r="165" spans="1:21" ht="15" x14ac:dyDescent="0.25">
      <c r="A165" s="31"/>
      <c r="B165" s="62" t="str">
        <f>IF(A165="","",IFERROR(VLOOKUP($A165,APOIO!$A:$B,2,FALSE),"error"))</f>
        <v/>
      </c>
      <c r="C165" s="77"/>
      <c r="D165" s="62" t="e">
        <f>VLOOKUP($C165,APOIO!$O:$Q,2,FALSE)</f>
        <v>#N/A</v>
      </c>
      <c r="E165" s="62" t="e">
        <f>VLOOKUP($C165,APOIO!$O:$Q,3,FALSE)</f>
        <v>#N/A</v>
      </c>
      <c r="F165" s="78"/>
      <c r="G165" s="88" t="e">
        <f>VLOOKUP($F165,APOIO!$L:$M,2,FALSE)</f>
        <v>#N/A</v>
      </c>
      <c r="H165" s="77"/>
      <c r="I165" s="88" t="e">
        <f>VLOOKUP($H165,APOIO!$H:$J,2,FALSE)</f>
        <v>#N/A</v>
      </c>
      <c r="J165" s="88" t="e">
        <f>VLOOKUP($H165,APOIO!$H:$J,3,FALSE)</f>
        <v>#N/A</v>
      </c>
      <c r="K165" s="32"/>
      <c r="L165" s="32"/>
      <c r="M165" s="31"/>
      <c r="N165" s="32" t="e">
        <f>VLOOKUP($M165,APOIO!$R:$S,2,FALSE)</f>
        <v>#N/A</v>
      </c>
      <c r="O165" s="32"/>
      <c r="P165" s="32"/>
      <c r="Q165" s="71"/>
      <c r="R165" s="68" t="e">
        <f>INDEX(APOIO!$V:$V,MATCH(EOMONTH($Q165,0),APOIO!$X:$X,0))</f>
        <v>#N/A</v>
      </c>
      <c r="S165" s="60"/>
      <c r="T165" s="59"/>
      <c r="U165" s="59" t="str">
        <f t="shared" si="2"/>
        <v/>
      </c>
    </row>
    <row r="166" spans="1:21" ht="15" x14ac:dyDescent="0.25">
      <c r="A166" s="31"/>
      <c r="B166" s="62" t="str">
        <f>IF(A166="","",IFERROR(VLOOKUP($A166,APOIO!$A:$B,2,FALSE),"error"))</f>
        <v/>
      </c>
      <c r="C166" s="77"/>
      <c r="D166" s="62" t="e">
        <f>VLOOKUP($C166,APOIO!$O:$Q,2,FALSE)</f>
        <v>#N/A</v>
      </c>
      <c r="E166" s="62" t="e">
        <f>VLOOKUP($C166,APOIO!$O:$Q,3,FALSE)</f>
        <v>#N/A</v>
      </c>
      <c r="F166" s="78"/>
      <c r="G166" s="88" t="e">
        <f>VLOOKUP($F166,APOIO!$L:$M,2,FALSE)</f>
        <v>#N/A</v>
      </c>
      <c r="H166" s="77"/>
      <c r="I166" s="88" t="e">
        <f>VLOOKUP($H166,APOIO!$H:$J,2,FALSE)</f>
        <v>#N/A</v>
      </c>
      <c r="J166" s="88" t="e">
        <f>VLOOKUP($H166,APOIO!$H:$J,3,FALSE)</f>
        <v>#N/A</v>
      </c>
      <c r="K166" s="32"/>
      <c r="L166" s="32"/>
      <c r="M166" s="31"/>
      <c r="N166" s="32" t="e">
        <f>VLOOKUP($M166,APOIO!$R:$S,2,FALSE)</f>
        <v>#N/A</v>
      </c>
      <c r="O166" s="32"/>
      <c r="P166" s="32"/>
      <c r="Q166" s="71"/>
      <c r="R166" s="68" t="e">
        <f>INDEX(APOIO!$V:$V,MATCH(EOMONTH($Q166,0),APOIO!$X:$X,0))</f>
        <v>#N/A</v>
      </c>
      <c r="S166" s="60"/>
      <c r="T166" s="59"/>
      <c r="U166" s="59" t="str">
        <f t="shared" si="2"/>
        <v/>
      </c>
    </row>
    <row r="167" spans="1:21" ht="15" x14ac:dyDescent="0.25">
      <c r="A167" s="31"/>
      <c r="B167" s="62" t="str">
        <f>IF(A167="","",IFERROR(VLOOKUP($A167,APOIO!$A:$B,2,FALSE),"error"))</f>
        <v/>
      </c>
      <c r="C167" s="77"/>
      <c r="D167" s="62" t="e">
        <f>VLOOKUP($C167,APOIO!$O:$Q,2,FALSE)</f>
        <v>#N/A</v>
      </c>
      <c r="E167" s="62" t="e">
        <f>VLOOKUP($C167,APOIO!$O:$Q,3,FALSE)</f>
        <v>#N/A</v>
      </c>
      <c r="F167" s="78"/>
      <c r="G167" s="88" t="e">
        <f>VLOOKUP($F167,APOIO!$L:$M,2,FALSE)</f>
        <v>#N/A</v>
      </c>
      <c r="H167" s="77"/>
      <c r="I167" s="88" t="e">
        <f>VLOOKUP($H167,APOIO!$H:$J,2,FALSE)</f>
        <v>#N/A</v>
      </c>
      <c r="J167" s="88" t="e">
        <f>VLOOKUP($H167,APOIO!$H:$J,3,FALSE)</f>
        <v>#N/A</v>
      </c>
      <c r="K167" s="32"/>
      <c r="L167" s="32"/>
      <c r="M167" s="31"/>
      <c r="N167" s="32" t="e">
        <f>VLOOKUP($M167,APOIO!$R:$S,2,FALSE)</f>
        <v>#N/A</v>
      </c>
      <c r="O167" s="32"/>
      <c r="P167" s="32"/>
      <c r="Q167" s="71"/>
      <c r="R167" s="68" t="e">
        <f>INDEX(APOIO!$V:$V,MATCH(EOMONTH($Q167,0),APOIO!$X:$X,0))</f>
        <v>#N/A</v>
      </c>
      <c r="S167" s="60"/>
      <c r="T167" s="59"/>
      <c r="U167" s="59" t="str">
        <f t="shared" si="2"/>
        <v/>
      </c>
    </row>
    <row r="168" spans="1:21" ht="15" x14ac:dyDescent="0.25">
      <c r="A168" s="31"/>
      <c r="B168" s="62" t="str">
        <f>IF(A168="","",IFERROR(VLOOKUP($A168,APOIO!$A:$B,2,FALSE),"error"))</f>
        <v/>
      </c>
      <c r="C168" s="77"/>
      <c r="D168" s="62" t="e">
        <f>VLOOKUP($C168,APOIO!$O:$Q,2,FALSE)</f>
        <v>#N/A</v>
      </c>
      <c r="E168" s="62" t="e">
        <f>VLOOKUP($C168,APOIO!$O:$Q,3,FALSE)</f>
        <v>#N/A</v>
      </c>
      <c r="F168" s="78"/>
      <c r="G168" s="88" t="e">
        <f>VLOOKUP($F168,APOIO!$L:$M,2,FALSE)</f>
        <v>#N/A</v>
      </c>
      <c r="H168" s="77"/>
      <c r="I168" s="88" t="e">
        <f>VLOOKUP($H168,APOIO!$H:$J,2,FALSE)</f>
        <v>#N/A</v>
      </c>
      <c r="J168" s="88" t="e">
        <f>VLOOKUP($H168,APOIO!$H:$J,3,FALSE)</f>
        <v>#N/A</v>
      </c>
      <c r="K168" s="32"/>
      <c r="L168" s="32"/>
      <c r="M168" s="31"/>
      <c r="N168" s="32" t="e">
        <f>VLOOKUP($M168,APOIO!$R:$S,2,FALSE)</f>
        <v>#N/A</v>
      </c>
      <c r="O168" s="32"/>
      <c r="P168" s="32"/>
      <c r="Q168" s="71"/>
      <c r="R168" s="68" t="e">
        <f>INDEX(APOIO!$V:$V,MATCH(EOMONTH($Q168,0),APOIO!$X:$X,0))</f>
        <v>#N/A</v>
      </c>
      <c r="S168" s="60"/>
      <c r="T168" s="59"/>
      <c r="U168" s="59" t="str">
        <f t="shared" si="2"/>
        <v/>
      </c>
    </row>
    <row r="169" spans="1:21" ht="15" x14ac:dyDescent="0.25">
      <c r="A169" s="31"/>
      <c r="B169" s="62" t="str">
        <f>IF(A169="","",IFERROR(VLOOKUP($A169,APOIO!$A:$B,2,FALSE),"error"))</f>
        <v/>
      </c>
      <c r="C169" s="77"/>
      <c r="D169" s="62" t="e">
        <f>VLOOKUP($C169,APOIO!$O:$Q,2,FALSE)</f>
        <v>#N/A</v>
      </c>
      <c r="E169" s="62" t="e">
        <f>VLOOKUP($C169,APOIO!$O:$Q,3,FALSE)</f>
        <v>#N/A</v>
      </c>
      <c r="F169" s="78"/>
      <c r="G169" s="88" t="e">
        <f>VLOOKUP($F169,APOIO!$L:$M,2,FALSE)</f>
        <v>#N/A</v>
      </c>
      <c r="H169" s="77"/>
      <c r="I169" s="88" t="e">
        <f>VLOOKUP($H169,APOIO!$H:$J,2,FALSE)</f>
        <v>#N/A</v>
      </c>
      <c r="J169" s="88" t="e">
        <f>VLOOKUP($H169,APOIO!$H:$J,3,FALSE)</f>
        <v>#N/A</v>
      </c>
      <c r="K169" s="32"/>
      <c r="L169" s="32"/>
      <c r="M169" s="31"/>
      <c r="N169" s="32" t="e">
        <f>VLOOKUP($M169,APOIO!$R:$S,2,FALSE)</f>
        <v>#N/A</v>
      </c>
      <c r="O169" s="32"/>
      <c r="P169" s="32"/>
      <c r="Q169" s="71"/>
      <c r="R169" s="68" t="e">
        <f>INDEX(APOIO!$V:$V,MATCH(EOMONTH($Q169,0),APOIO!$X:$X,0))</f>
        <v>#N/A</v>
      </c>
      <c r="S169" s="60"/>
      <c r="T169" s="59"/>
      <c r="U169" s="59" t="str">
        <f t="shared" si="2"/>
        <v/>
      </c>
    </row>
    <row r="170" spans="1:21" ht="15" x14ac:dyDescent="0.25">
      <c r="A170" s="31"/>
      <c r="B170" s="62" t="str">
        <f>IF(A170="","",IFERROR(VLOOKUP($A170,APOIO!$A:$B,2,FALSE),"error"))</f>
        <v/>
      </c>
      <c r="C170" s="77"/>
      <c r="D170" s="62" t="e">
        <f>VLOOKUP($C170,APOIO!$O:$Q,2,FALSE)</f>
        <v>#N/A</v>
      </c>
      <c r="E170" s="62" t="e">
        <f>VLOOKUP($C170,APOIO!$O:$Q,3,FALSE)</f>
        <v>#N/A</v>
      </c>
      <c r="F170" s="78"/>
      <c r="G170" s="88" t="e">
        <f>VLOOKUP($F170,APOIO!$L:$M,2,FALSE)</f>
        <v>#N/A</v>
      </c>
      <c r="H170" s="77"/>
      <c r="I170" s="88" t="e">
        <f>VLOOKUP($H170,APOIO!$H:$J,2,FALSE)</f>
        <v>#N/A</v>
      </c>
      <c r="J170" s="88" t="e">
        <f>VLOOKUP($H170,APOIO!$H:$J,3,FALSE)</f>
        <v>#N/A</v>
      </c>
      <c r="K170" s="32"/>
      <c r="L170" s="32"/>
      <c r="M170" s="31"/>
      <c r="N170" s="32" t="e">
        <f>VLOOKUP($M170,APOIO!$R:$S,2,FALSE)</f>
        <v>#N/A</v>
      </c>
      <c r="O170" s="32"/>
      <c r="P170" s="32"/>
      <c r="Q170" s="71"/>
      <c r="R170" s="68" t="e">
        <f>INDEX(APOIO!$V:$V,MATCH(EOMONTH($Q170,0),APOIO!$X:$X,0))</f>
        <v>#N/A</v>
      </c>
      <c r="S170" s="60"/>
      <c r="T170" s="59"/>
      <c r="U170" s="59" t="str">
        <f t="shared" si="2"/>
        <v/>
      </c>
    </row>
    <row r="171" spans="1:21" ht="15" x14ac:dyDescent="0.25">
      <c r="A171" s="31"/>
      <c r="B171" s="62" t="str">
        <f>IF(A171="","",IFERROR(VLOOKUP($A171,APOIO!$A:$B,2,FALSE),"error"))</f>
        <v/>
      </c>
      <c r="C171" s="77"/>
      <c r="D171" s="62" t="e">
        <f>VLOOKUP($C171,APOIO!$O:$Q,2,FALSE)</f>
        <v>#N/A</v>
      </c>
      <c r="E171" s="62" t="e">
        <f>VLOOKUP($C171,APOIO!$O:$Q,3,FALSE)</f>
        <v>#N/A</v>
      </c>
      <c r="F171" s="78"/>
      <c r="G171" s="88" t="e">
        <f>VLOOKUP($F171,APOIO!$L:$M,2,FALSE)</f>
        <v>#N/A</v>
      </c>
      <c r="H171" s="77"/>
      <c r="I171" s="88" t="e">
        <f>VLOOKUP($H171,APOIO!$H:$J,2,FALSE)</f>
        <v>#N/A</v>
      </c>
      <c r="J171" s="88" t="e">
        <f>VLOOKUP($H171,APOIO!$H:$J,3,FALSE)</f>
        <v>#N/A</v>
      </c>
      <c r="K171" s="32"/>
      <c r="L171" s="32"/>
      <c r="M171" s="31"/>
      <c r="N171" s="32" t="e">
        <f>VLOOKUP($M171,APOIO!$R:$S,2,FALSE)</f>
        <v>#N/A</v>
      </c>
      <c r="O171" s="32"/>
      <c r="P171" s="32"/>
      <c r="Q171" s="71"/>
      <c r="R171" s="68" t="e">
        <f>INDEX(APOIO!$V:$V,MATCH(EOMONTH($Q171,0),APOIO!$X:$X,0))</f>
        <v>#N/A</v>
      </c>
      <c r="S171" s="60"/>
      <c r="T171" s="59"/>
      <c r="U171" s="59" t="str">
        <f t="shared" si="2"/>
        <v/>
      </c>
    </row>
    <row r="172" spans="1:21" ht="15" x14ac:dyDescent="0.25">
      <c r="A172" s="31"/>
      <c r="B172" s="62" t="str">
        <f>IF(A172="","",IFERROR(VLOOKUP($A172,APOIO!$A:$B,2,FALSE),"error"))</f>
        <v/>
      </c>
      <c r="C172" s="77"/>
      <c r="D172" s="62" t="e">
        <f>VLOOKUP($C172,APOIO!$O:$Q,2,FALSE)</f>
        <v>#N/A</v>
      </c>
      <c r="E172" s="62" t="e">
        <f>VLOOKUP($C172,APOIO!$O:$Q,3,FALSE)</f>
        <v>#N/A</v>
      </c>
      <c r="F172" s="78"/>
      <c r="G172" s="88" t="e">
        <f>VLOOKUP($F172,APOIO!$L:$M,2,FALSE)</f>
        <v>#N/A</v>
      </c>
      <c r="H172" s="77"/>
      <c r="I172" s="88" t="e">
        <f>VLOOKUP($H172,APOIO!$H:$J,2,FALSE)</f>
        <v>#N/A</v>
      </c>
      <c r="J172" s="88" t="e">
        <f>VLOOKUP($H172,APOIO!$H:$J,3,FALSE)</f>
        <v>#N/A</v>
      </c>
      <c r="K172" s="32"/>
      <c r="L172" s="32"/>
      <c r="M172" s="31"/>
      <c r="N172" s="32" t="e">
        <f>VLOOKUP($M172,APOIO!$R:$S,2,FALSE)</f>
        <v>#N/A</v>
      </c>
      <c r="O172" s="32"/>
      <c r="P172" s="32"/>
      <c r="Q172" s="71"/>
      <c r="R172" s="68" t="e">
        <f>INDEX(APOIO!$V:$V,MATCH(EOMONTH($Q172,0),APOIO!$X:$X,0))</f>
        <v>#N/A</v>
      </c>
      <c r="S172" s="60"/>
      <c r="T172" s="59"/>
      <c r="U172" s="59" t="str">
        <f t="shared" si="2"/>
        <v/>
      </c>
    </row>
    <row r="173" spans="1:21" ht="15" x14ac:dyDescent="0.25">
      <c r="A173" s="31"/>
      <c r="B173" s="62" t="str">
        <f>IF(A173="","",IFERROR(VLOOKUP($A173,APOIO!$A:$B,2,FALSE),"error"))</f>
        <v/>
      </c>
      <c r="C173" s="77"/>
      <c r="D173" s="62" t="e">
        <f>VLOOKUP($C173,APOIO!$O:$Q,2,FALSE)</f>
        <v>#N/A</v>
      </c>
      <c r="E173" s="62" t="e">
        <f>VLOOKUP($C173,APOIO!$O:$Q,3,FALSE)</f>
        <v>#N/A</v>
      </c>
      <c r="F173" s="78"/>
      <c r="G173" s="88" t="e">
        <f>VLOOKUP($F173,APOIO!$L:$M,2,FALSE)</f>
        <v>#N/A</v>
      </c>
      <c r="H173" s="77"/>
      <c r="I173" s="88" t="e">
        <f>VLOOKUP($H173,APOIO!$H:$J,2,FALSE)</f>
        <v>#N/A</v>
      </c>
      <c r="J173" s="88" t="e">
        <f>VLOOKUP($H173,APOIO!$H:$J,3,FALSE)</f>
        <v>#N/A</v>
      </c>
      <c r="K173" s="32"/>
      <c r="L173" s="32"/>
      <c r="M173" s="31"/>
      <c r="N173" s="32" t="e">
        <f>VLOOKUP($M173,APOIO!$R:$S,2,FALSE)</f>
        <v>#N/A</v>
      </c>
      <c r="O173" s="32"/>
      <c r="P173" s="32"/>
      <c r="Q173" s="71"/>
      <c r="R173" s="68" t="e">
        <f>INDEX(APOIO!$V:$V,MATCH(EOMONTH($Q173,0),APOIO!$X:$X,0))</f>
        <v>#N/A</v>
      </c>
      <c r="S173" s="60"/>
      <c r="T173" s="59"/>
      <c r="U173" s="59" t="str">
        <f t="shared" si="2"/>
        <v/>
      </c>
    </row>
    <row r="174" spans="1:21" ht="15" x14ac:dyDescent="0.25">
      <c r="A174" s="31"/>
      <c r="B174" s="62" t="str">
        <f>IF(A174="","",IFERROR(VLOOKUP($A174,APOIO!$A:$B,2,FALSE),"error"))</f>
        <v/>
      </c>
      <c r="C174" s="77"/>
      <c r="D174" s="62" t="e">
        <f>VLOOKUP($C174,APOIO!$O:$Q,2,FALSE)</f>
        <v>#N/A</v>
      </c>
      <c r="E174" s="62" t="e">
        <f>VLOOKUP($C174,APOIO!$O:$Q,3,FALSE)</f>
        <v>#N/A</v>
      </c>
      <c r="F174" s="78"/>
      <c r="G174" s="88" t="e">
        <f>VLOOKUP($F174,APOIO!$L:$M,2,FALSE)</f>
        <v>#N/A</v>
      </c>
      <c r="H174" s="77"/>
      <c r="I174" s="88" t="e">
        <f>VLOOKUP($H174,APOIO!$H:$J,2,FALSE)</f>
        <v>#N/A</v>
      </c>
      <c r="J174" s="88" t="e">
        <f>VLOOKUP($H174,APOIO!$H:$J,3,FALSE)</f>
        <v>#N/A</v>
      </c>
      <c r="K174" s="32"/>
      <c r="L174" s="32"/>
      <c r="M174" s="31"/>
      <c r="N174" s="32" t="e">
        <f>VLOOKUP($M174,APOIO!$R:$S,2,FALSE)</f>
        <v>#N/A</v>
      </c>
      <c r="O174" s="32"/>
      <c r="P174" s="32"/>
      <c r="Q174" s="71"/>
      <c r="R174" s="68" t="e">
        <f>INDEX(APOIO!$V:$V,MATCH(EOMONTH($Q174,0),APOIO!$X:$X,0))</f>
        <v>#N/A</v>
      </c>
      <c r="S174" s="60"/>
      <c r="T174" s="59"/>
      <c r="U174" s="59" t="str">
        <f t="shared" si="2"/>
        <v/>
      </c>
    </row>
    <row r="175" spans="1:21" ht="15" x14ac:dyDescent="0.25">
      <c r="A175" s="31"/>
      <c r="B175" s="62" t="str">
        <f>IF(A175="","",IFERROR(VLOOKUP($A175,APOIO!$A:$B,2,FALSE),"error"))</f>
        <v/>
      </c>
      <c r="C175" s="77"/>
      <c r="D175" s="62" t="e">
        <f>VLOOKUP($C175,APOIO!$O:$Q,2,FALSE)</f>
        <v>#N/A</v>
      </c>
      <c r="E175" s="62" t="e">
        <f>VLOOKUP($C175,APOIO!$O:$Q,3,FALSE)</f>
        <v>#N/A</v>
      </c>
      <c r="F175" s="78"/>
      <c r="G175" s="88" t="e">
        <f>VLOOKUP($F175,APOIO!$L:$M,2,FALSE)</f>
        <v>#N/A</v>
      </c>
      <c r="H175" s="77"/>
      <c r="I175" s="88" t="e">
        <f>VLOOKUP($H175,APOIO!$H:$J,2,FALSE)</f>
        <v>#N/A</v>
      </c>
      <c r="J175" s="88" t="e">
        <f>VLOOKUP($H175,APOIO!$H:$J,3,FALSE)</f>
        <v>#N/A</v>
      </c>
      <c r="K175" s="32"/>
      <c r="L175" s="32"/>
      <c r="M175" s="31"/>
      <c r="N175" s="32" t="e">
        <f>VLOOKUP($M175,APOIO!$R:$S,2,FALSE)</f>
        <v>#N/A</v>
      </c>
      <c r="O175" s="32"/>
      <c r="P175" s="32"/>
      <c r="Q175" s="71"/>
      <c r="R175" s="68" t="e">
        <f>INDEX(APOIO!$V:$V,MATCH(EOMONTH($Q175,0),APOIO!$X:$X,0))</f>
        <v>#N/A</v>
      </c>
      <c r="S175" s="60"/>
      <c r="T175" s="59"/>
      <c r="U175" s="59" t="str">
        <f t="shared" si="2"/>
        <v/>
      </c>
    </row>
    <row r="176" spans="1:21" ht="15" x14ac:dyDescent="0.25">
      <c r="A176" s="31"/>
      <c r="B176" s="62" t="str">
        <f>IF(A176="","",IFERROR(VLOOKUP($A176,APOIO!$A:$B,2,FALSE),"error"))</f>
        <v/>
      </c>
      <c r="C176" s="77"/>
      <c r="D176" s="62" t="e">
        <f>VLOOKUP($C176,APOIO!$O:$Q,2,FALSE)</f>
        <v>#N/A</v>
      </c>
      <c r="E176" s="62" t="e">
        <f>VLOOKUP($C176,APOIO!$O:$Q,3,FALSE)</f>
        <v>#N/A</v>
      </c>
      <c r="F176" s="78"/>
      <c r="G176" s="88" t="e">
        <f>VLOOKUP($F176,APOIO!$L:$M,2,FALSE)</f>
        <v>#N/A</v>
      </c>
      <c r="H176" s="77"/>
      <c r="I176" s="88" t="e">
        <f>VLOOKUP($H176,APOIO!$H:$J,2,FALSE)</f>
        <v>#N/A</v>
      </c>
      <c r="J176" s="88" t="e">
        <f>VLOOKUP($H176,APOIO!$H:$J,3,FALSE)</f>
        <v>#N/A</v>
      </c>
      <c r="K176" s="32"/>
      <c r="L176" s="32"/>
      <c r="M176" s="31"/>
      <c r="N176" s="32" t="e">
        <f>VLOOKUP($M176,APOIO!$R:$S,2,FALSE)</f>
        <v>#N/A</v>
      </c>
      <c r="O176" s="32"/>
      <c r="P176" s="32"/>
      <c r="Q176" s="71"/>
      <c r="R176" s="68" t="e">
        <f>INDEX(APOIO!$V:$V,MATCH(EOMONTH($Q176,0),APOIO!$X:$X,0))</f>
        <v>#N/A</v>
      </c>
      <c r="S176" s="60"/>
      <c r="T176" s="59"/>
      <c r="U176" s="59" t="str">
        <f t="shared" si="2"/>
        <v/>
      </c>
    </row>
    <row r="177" spans="1:22" ht="15" x14ac:dyDescent="0.25">
      <c r="A177" s="31"/>
      <c r="B177" s="62" t="str">
        <f>IF(A177="","",IFERROR(VLOOKUP($A177,APOIO!$A:$B,2,FALSE),"error"))</f>
        <v/>
      </c>
      <c r="C177" s="77"/>
      <c r="D177" s="62" t="e">
        <f>VLOOKUP($C177,APOIO!$O:$Q,2,FALSE)</f>
        <v>#N/A</v>
      </c>
      <c r="E177" s="62" t="e">
        <f>VLOOKUP($C177,APOIO!$O:$Q,3,FALSE)</f>
        <v>#N/A</v>
      </c>
      <c r="F177" s="78"/>
      <c r="G177" s="88" t="e">
        <f>VLOOKUP($F177,APOIO!$L:$M,2,FALSE)</f>
        <v>#N/A</v>
      </c>
      <c r="H177" s="77"/>
      <c r="I177" s="88" t="e">
        <f>VLOOKUP($H177,APOIO!$H:$J,2,FALSE)</f>
        <v>#N/A</v>
      </c>
      <c r="J177" s="88" t="e">
        <f>VLOOKUP($H177,APOIO!$H:$J,3,FALSE)</f>
        <v>#N/A</v>
      </c>
      <c r="K177" s="32"/>
      <c r="L177" s="32"/>
      <c r="M177" s="31"/>
      <c r="N177" s="32" t="e">
        <f>VLOOKUP($M177,APOIO!$R:$S,2,FALSE)</f>
        <v>#N/A</v>
      </c>
      <c r="O177" s="32"/>
      <c r="P177" s="32"/>
      <c r="Q177" s="71"/>
      <c r="R177" s="68" t="e">
        <f>INDEX(APOIO!$V:$V,MATCH(EOMONTH($Q177,0),APOIO!$X:$X,0))</f>
        <v>#N/A</v>
      </c>
      <c r="S177" s="60"/>
      <c r="T177" s="59"/>
      <c r="U177" s="59" t="str">
        <f t="shared" si="2"/>
        <v/>
      </c>
    </row>
    <row r="178" spans="1:22" ht="15" x14ac:dyDescent="0.25">
      <c r="A178" s="31"/>
      <c r="B178" s="62" t="str">
        <f>IF(A178="","",IFERROR(VLOOKUP($A178,APOIO!$A:$B,2,FALSE),"error"))</f>
        <v/>
      </c>
      <c r="C178" s="77"/>
      <c r="D178" s="62" t="e">
        <f>VLOOKUP($C178,APOIO!$O:$Q,2,FALSE)</f>
        <v>#N/A</v>
      </c>
      <c r="E178" s="62" t="e">
        <f>VLOOKUP($C178,APOIO!$O:$Q,3,FALSE)</f>
        <v>#N/A</v>
      </c>
      <c r="F178" s="78"/>
      <c r="G178" s="88" t="e">
        <f>VLOOKUP($F178,APOIO!$L:$M,2,FALSE)</f>
        <v>#N/A</v>
      </c>
      <c r="H178" s="77"/>
      <c r="I178" s="88" t="e">
        <f>VLOOKUP($H178,APOIO!$H:$J,2,FALSE)</f>
        <v>#N/A</v>
      </c>
      <c r="J178" s="88" t="e">
        <f>VLOOKUP($H178,APOIO!$H:$J,3,FALSE)</f>
        <v>#N/A</v>
      </c>
      <c r="K178" s="32"/>
      <c r="L178" s="32"/>
      <c r="M178" s="31"/>
      <c r="N178" s="32" t="e">
        <f>VLOOKUP($M178,APOIO!$R:$S,2,FALSE)</f>
        <v>#N/A</v>
      </c>
      <c r="O178" s="32"/>
      <c r="P178" s="32"/>
      <c r="Q178" s="71"/>
      <c r="R178" s="68" t="e">
        <f>INDEX(APOIO!$V:$V,MATCH(EOMONTH($Q178,0),APOIO!$X:$X,0))</f>
        <v>#N/A</v>
      </c>
      <c r="S178" s="60"/>
      <c r="T178" s="59"/>
      <c r="U178" s="59" t="str">
        <f t="shared" si="2"/>
        <v/>
      </c>
    </row>
    <row r="179" spans="1:22" ht="15" x14ac:dyDescent="0.25">
      <c r="A179" s="31"/>
      <c r="B179" s="62" t="str">
        <f>IF(A179="","",IFERROR(VLOOKUP($A179,APOIO!$A:$B,2,FALSE),"error"))</f>
        <v/>
      </c>
      <c r="C179" s="77"/>
      <c r="D179" s="62" t="e">
        <f>VLOOKUP($C179,APOIO!$O:$Q,2,FALSE)</f>
        <v>#N/A</v>
      </c>
      <c r="E179" s="62" t="e">
        <f>VLOOKUP($C179,APOIO!$O:$Q,3,FALSE)</f>
        <v>#N/A</v>
      </c>
      <c r="F179" s="78"/>
      <c r="G179" s="88" t="e">
        <f>VLOOKUP($F179,APOIO!$L:$M,2,FALSE)</f>
        <v>#N/A</v>
      </c>
      <c r="H179" s="77"/>
      <c r="I179" s="88" t="e">
        <f>VLOOKUP($H179,APOIO!$H:$J,2,FALSE)</f>
        <v>#N/A</v>
      </c>
      <c r="J179" s="88" t="e">
        <f>VLOOKUP($H179,APOIO!$H:$J,3,FALSE)</f>
        <v>#N/A</v>
      </c>
      <c r="K179" s="32"/>
      <c r="L179" s="32"/>
      <c r="M179" s="31"/>
      <c r="N179" s="32" t="e">
        <f>VLOOKUP($M179,APOIO!$R:$S,2,FALSE)</f>
        <v>#N/A</v>
      </c>
      <c r="O179" s="32"/>
      <c r="P179" s="32"/>
      <c r="Q179" s="71"/>
      <c r="R179" s="68" t="e">
        <f>INDEX(APOIO!$V:$V,MATCH(EOMONTH($Q179,0),APOIO!$X:$X,0))</f>
        <v>#N/A</v>
      </c>
      <c r="S179" s="60"/>
      <c r="T179" s="59"/>
      <c r="U179" s="59" t="str">
        <f t="shared" si="2"/>
        <v/>
      </c>
    </row>
    <row r="180" spans="1:22" ht="15" x14ac:dyDescent="0.25">
      <c r="A180" s="31"/>
      <c r="B180" s="62" t="str">
        <f>IF(A180="","",IFERROR(VLOOKUP($A180,APOIO!$A:$B,2,FALSE),"error"))</f>
        <v/>
      </c>
      <c r="C180" s="77"/>
      <c r="D180" s="62" t="e">
        <f>VLOOKUP($C180,APOIO!$O:$Q,2,FALSE)</f>
        <v>#N/A</v>
      </c>
      <c r="E180" s="62" t="e">
        <f>VLOOKUP($C180,APOIO!$O:$Q,3,FALSE)</f>
        <v>#N/A</v>
      </c>
      <c r="F180" s="78"/>
      <c r="G180" s="88" t="e">
        <f>VLOOKUP($F180,APOIO!$L:$M,2,FALSE)</f>
        <v>#N/A</v>
      </c>
      <c r="H180" s="77"/>
      <c r="I180" s="88" t="e">
        <f>VLOOKUP($H180,APOIO!$H:$J,2,FALSE)</f>
        <v>#N/A</v>
      </c>
      <c r="J180" s="88" t="e">
        <f>VLOOKUP($H180,APOIO!$H:$J,3,FALSE)</f>
        <v>#N/A</v>
      </c>
      <c r="K180" s="32"/>
      <c r="L180" s="32"/>
      <c r="M180" s="31"/>
      <c r="N180" s="32" t="e">
        <f>VLOOKUP($M180,APOIO!$R:$S,2,FALSE)</f>
        <v>#N/A</v>
      </c>
      <c r="O180" s="32"/>
      <c r="P180" s="32"/>
      <c r="Q180" s="71"/>
      <c r="R180" s="68" t="e">
        <f>INDEX(APOIO!$V:$V,MATCH(EOMONTH($Q180,0),APOIO!$X:$X,0))</f>
        <v>#N/A</v>
      </c>
      <c r="S180" s="60"/>
      <c r="T180" s="59"/>
      <c r="U180" s="59" t="str">
        <f t="shared" si="2"/>
        <v/>
      </c>
    </row>
    <row r="181" spans="1:22" ht="15" x14ac:dyDescent="0.25">
      <c r="A181" s="31"/>
      <c r="B181" s="62" t="str">
        <f>IF(A181="","",IFERROR(VLOOKUP($A181,APOIO!$A:$B,2,FALSE),"error"))</f>
        <v/>
      </c>
      <c r="C181" s="77"/>
      <c r="D181" s="62" t="e">
        <f>VLOOKUP($C181,APOIO!$O:$Q,2,FALSE)</f>
        <v>#N/A</v>
      </c>
      <c r="E181" s="62" t="e">
        <f>VLOOKUP($C181,APOIO!$O:$Q,3,FALSE)</f>
        <v>#N/A</v>
      </c>
      <c r="F181" s="78"/>
      <c r="G181" s="88" t="e">
        <f>VLOOKUP($F181,APOIO!$L:$M,2,FALSE)</f>
        <v>#N/A</v>
      </c>
      <c r="H181" s="77"/>
      <c r="I181" s="88" t="e">
        <f>VLOOKUP($H181,APOIO!$H:$J,2,FALSE)</f>
        <v>#N/A</v>
      </c>
      <c r="J181" s="88" t="e">
        <f>VLOOKUP($H181,APOIO!$H:$J,3,FALSE)</f>
        <v>#N/A</v>
      </c>
      <c r="K181" s="32"/>
      <c r="L181" s="32"/>
      <c r="M181" s="31"/>
      <c r="N181" s="32" t="e">
        <f>VLOOKUP($M181,APOIO!$R:$S,2,FALSE)</f>
        <v>#N/A</v>
      </c>
      <c r="O181" s="32"/>
      <c r="P181" s="32"/>
      <c r="Q181" s="71"/>
      <c r="R181" s="68" t="e">
        <f>INDEX(APOIO!$V:$V,MATCH(EOMONTH($Q181,0),APOIO!$X:$X,0))</f>
        <v>#N/A</v>
      </c>
      <c r="S181" s="60"/>
      <c r="T181" s="59"/>
      <c r="U181" s="59" t="str">
        <f t="shared" si="2"/>
        <v/>
      </c>
    </row>
    <row r="182" spans="1:22" ht="15" x14ac:dyDescent="0.25">
      <c r="A182" s="31"/>
      <c r="B182" s="62" t="str">
        <f>IF(A182="","",IFERROR(VLOOKUP($A182,APOIO!$A:$B,2,FALSE),"error"))</f>
        <v/>
      </c>
      <c r="C182" s="77"/>
      <c r="D182" s="62" t="e">
        <f>VLOOKUP($C182,APOIO!$O:$Q,2,FALSE)</f>
        <v>#N/A</v>
      </c>
      <c r="E182" s="62" t="e">
        <f>VLOOKUP($C182,APOIO!$O:$Q,3,FALSE)</f>
        <v>#N/A</v>
      </c>
      <c r="F182" s="78"/>
      <c r="G182" s="88" t="e">
        <f>VLOOKUP($F182,APOIO!$L:$M,2,FALSE)</f>
        <v>#N/A</v>
      </c>
      <c r="H182" s="77"/>
      <c r="I182" s="88" t="e">
        <f>VLOOKUP($H182,APOIO!$H:$J,2,FALSE)</f>
        <v>#N/A</v>
      </c>
      <c r="J182" s="88" t="e">
        <f>VLOOKUP($H182,APOIO!$H:$J,3,FALSE)</f>
        <v>#N/A</v>
      </c>
      <c r="K182" s="32"/>
      <c r="L182" s="32"/>
      <c r="M182" s="31"/>
      <c r="N182" s="32" t="e">
        <f>VLOOKUP($M182,APOIO!$R:$S,2,FALSE)</f>
        <v>#N/A</v>
      </c>
      <c r="O182" s="32"/>
      <c r="P182" s="32"/>
      <c r="Q182" s="71"/>
      <c r="R182" s="68" t="e">
        <f>INDEX(APOIO!$V:$V,MATCH(EOMONTH($Q182,0),APOIO!$X:$X,0))</f>
        <v>#N/A</v>
      </c>
      <c r="S182" s="60"/>
      <c r="T182" s="59"/>
      <c r="U182" s="59" t="str">
        <f t="shared" si="2"/>
        <v/>
      </c>
    </row>
    <row r="183" spans="1:22" ht="15" x14ac:dyDescent="0.25">
      <c r="A183" s="31"/>
      <c r="B183" s="62" t="str">
        <f>IF(A183="","",IFERROR(VLOOKUP($A183,APOIO!$A:$B,2,FALSE),"error"))</f>
        <v/>
      </c>
      <c r="C183" s="77"/>
      <c r="D183" s="62" t="e">
        <f>VLOOKUP($C183,APOIO!$O:$Q,2,FALSE)</f>
        <v>#N/A</v>
      </c>
      <c r="E183" s="62" t="e">
        <f>VLOOKUP($C183,APOIO!$O:$Q,3,FALSE)</f>
        <v>#N/A</v>
      </c>
      <c r="F183" s="78"/>
      <c r="G183" s="88" t="e">
        <f>VLOOKUP($F183,APOIO!$L:$M,2,FALSE)</f>
        <v>#N/A</v>
      </c>
      <c r="H183" s="77"/>
      <c r="I183" s="88" t="e">
        <f>VLOOKUP($H183,APOIO!$H:$J,2,FALSE)</f>
        <v>#N/A</v>
      </c>
      <c r="J183" s="88" t="e">
        <f>VLOOKUP($H183,APOIO!$H:$J,3,FALSE)</f>
        <v>#N/A</v>
      </c>
      <c r="K183" s="32"/>
      <c r="L183" s="32"/>
      <c r="M183" s="31"/>
      <c r="N183" s="32" t="e">
        <f>VLOOKUP($M183,APOIO!$R:$S,2,FALSE)</f>
        <v>#N/A</v>
      </c>
      <c r="O183" s="32"/>
      <c r="P183" s="32"/>
      <c r="Q183" s="71"/>
      <c r="R183" s="68" t="e">
        <f>INDEX(APOIO!$V:$V,MATCH(EOMONTH($Q183,0),APOIO!$X:$X,0))</f>
        <v>#N/A</v>
      </c>
      <c r="S183" s="60"/>
      <c r="T183" s="59"/>
      <c r="U183" s="59" t="str">
        <f t="shared" si="2"/>
        <v/>
      </c>
    </row>
    <row r="184" spans="1:22" ht="15" x14ac:dyDescent="0.25">
      <c r="A184" s="31"/>
      <c r="B184" s="62" t="str">
        <f>IF(A184="","",IFERROR(VLOOKUP($A184,APOIO!$A:$B,2,FALSE),"error"))</f>
        <v/>
      </c>
      <c r="C184" s="77"/>
      <c r="D184" s="62" t="e">
        <f>VLOOKUP($C184,APOIO!$O:$Q,2,FALSE)</f>
        <v>#N/A</v>
      </c>
      <c r="E184" s="62" t="e">
        <f>VLOOKUP($C184,APOIO!$O:$Q,3,FALSE)</f>
        <v>#N/A</v>
      </c>
      <c r="F184" s="78"/>
      <c r="G184" s="88" t="e">
        <f>VLOOKUP($F184,APOIO!$L:$M,2,FALSE)</f>
        <v>#N/A</v>
      </c>
      <c r="H184" s="77"/>
      <c r="I184" s="88" t="e">
        <f>VLOOKUP($H184,APOIO!$H:$J,2,FALSE)</f>
        <v>#N/A</v>
      </c>
      <c r="J184" s="88" t="e">
        <f>VLOOKUP($H184,APOIO!$H:$J,3,FALSE)</f>
        <v>#N/A</v>
      </c>
      <c r="K184" s="32"/>
      <c r="L184" s="32"/>
      <c r="M184" s="31"/>
      <c r="N184" s="32" t="e">
        <f>VLOOKUP($M184,APOIO!$R:$S,2,FALSE)</f>
        <v>#N/A</v>
      </c>
      <c r="O184" s="32"/>
      <c r="P184" s="32"/>
      <c r="Q184" s="71"/>
      <c r="R184" s="68" t="e">
        <f>INDEX(APOIO!$V:$V,MATCH(EOMONTH($Q184,0),APOIO!$X:$X,0))</f>
        <v>#N/A</v>
      </c>
      <c r="S184" s="60"/>
      <c r="T184" s="59"/>
      <c r="U184" s="59" t="str">
        <f t="shared" si="2"/>
        <v/>
      </c>
    </row>
    <row r="185" spans="1:22" ht="15" x14ac:dyDescent="0.25">
      <c r="A185" s="31"/>
      <c r="B185" s="62" t="str">
        <f>IF(A185="","",IFERROR(VLOOKUP($A185,APOIO!$A:$B,2,FALSE),"error"))</f>
        <v/>
      </c>
      <c r="C185" s="77"/>
      <c r="D185" s="62" t="e">
        <f>VLOOKUP($C185,APOIO!$O:$Q,2,FALSE)</f>
        <v>#N/A</v>
      </c>
      <c r="E185" s="62" t="e">
        <f>VLOOKUP($C185,APOIO!$O:$Q,3,FALSE)</f>
        <v>#N/A</v>
      </c>
      <c r="F185" s="78"/>
      <c r="G185" s="88" t="e">
        <f>VLOOKUP($F185,APOIO!$L:$M,2,FALSE)</f>
        <v>#N/A</v>
      </c>
      <c r="H185" s="77"/>
      <c r="I185" s="88" t="e">
        <f>VLOOKUP($H185,APOIO!$H:$J,2,FALSE)</f>
        <v>#N/A</v>
      </c>
      <c r="J185" s="88" t="e">
        <f>VLOOKUP($H185,APOIO!$H:$J,3,FALSE)</f>
        <v>#N/A</v>
      </c>
      <c r="K185" s="32"/>
      <c r="L185" s="32"/>
      <c r="M185" s="31"/>
      <c r="N185" s="32" t="e">
        <f>VLOOKUP($M185,APOIO!$R:$S,2,FALSE)</f>
        <v>#N/A</v>
      </c>
      <c r="O185" s="32"/>
      <c r="P185" s="32"/>
      <c r="Q185" s="71"/>
      <c r="R185" s="68" t="e">
        <f>INDEX(APOIO!$V:$V,MATCH(EOMONTH($Q185,0),APOIO!$X:$X,0))</f>
        <v>#N/A</v>
      </c>
      <c r="S185" s="60"/>
      <c r="T185" s="59"/>
      <c r="U185" s="59" t="str">
        <f t="shared" si="2"/>
        <v/>
      </c>
    </row>
    <row r="186" spans="1:22" ht="15" x14ac:dyDescent="0.25">
      <c r="A186" s="31"/>
      <c r="B186" s="62" t="str">
        <f>IF(A186="","",IFERROR(VLOOKUP($A186,APOIO!$A:$B,2,FALSE),"error"))</f>
        <v/>
      </c>
      <c r="C186" s="77"/>
      <c r="D186" s="62" t="e">
        <f>VLOOKUP($C186,APOIO!$O:$Q,2,FALSE)</f>
        <v>#N/A</v>
      </c>
      <c r="E186" s="62" t="e">
        <f>VLOOKUP($C186,APOIO!$O:$Q,3,FALSE)</f>
        <v>#N/A</v>
      </c>
      <c r="F186" s="78"/>
      <c r="G186" s="88" t="e">
        <f>VLOOKUP($F186,APOIO!$L:$M,2,FALSE)</f>
        <v>#N/A</v>
      </c>
      <c r="H186" s="77"/>
      <c r="I186" s="88" t="e">
        <f>VLOOKUP($H186,APOIO!$H:$J,2,FALSE)</f>
        <v>#N/A</v>
      </c>
      <c r="J186" s="88" t="e">
        <f>VLOOKUP($H186,APOIO!$H:$J,3,FALSE)</f>
        <v>#N/A</v>
      </c>
      <c r="K186" s="32"/>
      <c r="L186" s="32"/>
      <c r="M186" s="31"/>
      <c r="N186" s="32" t="e">
        <f>VLOOKUP($M186,APOIO!$R:$S,2,FALSE)</f>
        <v>#N/A</v>
      </c>
      <c r="O186" s="32"/>
      <c r="P186" s="32"/>
      <c r="Q186" s="71"/>
      <c r="R186" s="68" t="e">
        <f>INDEX(APOIO!$V:$V,MATCH(EOMONTH($Q186,0),APOIO!$X:$X,0))</f>
        <v>#N/A</v>
      </c>
      <c r="S186" s="60"/>
      <c r="T186" s="59"/>
      <c r="U186" s="59" t="str">
        <f t="shared" si="2"/>
        <v/>
      </c>
    </row>
    <row r="187" spans="1:22" ht="15" x14ac:dyDescent="0.25">
      <c r="A187" s="31"/>
      <c r="B187" s="62" t="str">
        <f>IF(A187="","",IFERROR(VLOOKUP($A187,APOIO!$A:$B,2,FALSE),"error"))</f>
        <v/>
      </c>
      <c r="C187" s="77"/>
      <c r="D187" s="62" t="e">
        <f>VLOOKUP($C187,APOIO!$O:$Q,2,FALSE)</f>
        <v>#N/A</v>
      </c>
      <c r="E187" s="62" t="e">
        <f>VLOOKUP($C187,APOIO!$O:$Q,3,FALSE)</f>
        <v>#N/A</v>
      </c>
      <c r="F187" s="78"/>
      <c r="G187" s="88" t="e">
        <f>VLOOKUP($F187,APOIO!$L:$M,2,FALSE)</f>
        <v>#N/A</v>
      </c>
      <c r="H187" s="77"/>
      <c r="I187" s="88" t="e">
        <f>VLOOKUP($H187,APOIO!$H:$J,2,FALSE)</f>
        <v>#N/A</v>
      </c>
      <c r="J187" s="88" t="e">
        <f>VLOOKUP($H187,APOIO!$H:$J,3,FALSE)</f>
        <v>#N/A</v>
      </c>
      <c r="K187" s="32"/>
      <c r="L187" s="32"/>
      <c r="M187" s="31"/>
      <c r="N187" s="32" t="e">
        <f>VLOOKUP($M187,APOIO!$R:$S,2,FALSE)</f>
        <v>#N/A</v>
      </c>
      <c r="O187" s="32"/>
      <c r="P187" s="32"/>
      <c r="Q187" s="71"/>
      <c r="R187" s="68" t="e">
        <f>INDEX(APOIO!$V:$V,MATCH(EOMONTH($Q187,0),APOIO!$X:$X,0))</f>
        <v>#N/A</v>
      </c>
      <c r="S187" s="60"/>
      <c r="T187" s="59"/>
      <c r="U187" s="59" t="str">
        <f t="shared" si="2"/>
        <v/>
      </c>
    </row>
    <row r="188" spans="1:22" ht="15" x14ac:dyDescent="0.25">
      <c r="A188" s="31"/>
      <c r="B188" s="62" t="str">
        <f>IF(A188="","",IFERROR(VLOOKUP($A188,APOIO!$A:$B,2,FALSE),"error"))</f>
        <v/>
      </c>
      <c r="C188" s="77"/>
      <c r="D188" s="62" t="e">
        <f>VLOOKUP($C188,APOIO!$O:$Q,2,FALSE)</f>
        <v>#N/A</v>
      </c>
      <c r="E188" s="62" t="e">
        <f>VLOOKUP($C188,APOIO!$O:$Q,3,FALSE)</f>
        <v>#N/A</v>
      </c>
      <c r="F188" s="78"/>
      <c r="G188" s="88" t="e">
        <f>VLOOKUP($F188,APOIO!$L:$M,2,FALSE)</f>
        <v>#N/A</v>
      </c>
      <c r="H188" s="77"/>
      <c r="I188" s="88" t="e">
        <f>VLOOKUP($H188,APOIO!$H:$J,2,FALSE)</f>
        <v>#N/A</v>
      </c>
      <c r="J188" s="88" t="e">
        <f>VLOOKUP($H188,APOIO!$H:$J,3,FALSE)</f>
        <v>#N/A</v>
      </c>
      <c r="K188" s="32"/>
      <c r="L188" s="34"/>
      <c r="M188" s="31"/>
      <c r="N188" s="32" t="e">
        <f>VLOOKUP($M188,APOIO!$R:$S,2,FALSE)</f>
        <v>#N/A</v>
      </c>
      <c r="O188" s="32"/>
      <c r="P188" s="32"/>
      <c r="Q188" s="71"/>
      <c r="R188" s="68" t="e">
        <f>INDEX(APOIO!$V:$V,MATCH(EOMONTH($Q188,0),APOIO!$X:$X,0))</f>
        <v>#N/A</v>
      </c>
      <c r="S188" s="60"/>
      <c r="T188" s="59"/>
      <c r="U188" s="59" t="str">
        <f t="shared" si="2"/>
        <v/>
      </c>
      <c r="V188" s="69"/>
    </row>
    <row r="189" spans="1:22" ht="15" x14ac:dyDescent="0.25">
      <c r="A189" s="31"/>
      <c r="B189" s="62" t="str">
        <f>IF(A189="","",IFERROR(VLOOKUP($A189,APOIO!$A:$B,2,FALSE),"error"))</f>
        <v/>
      </c>
      <c r="C189" s="77"/>
      <c r="D189" s="62" t="e">
        <f>VLOOKUP($C189,APOIO!$O:$Q,2,FALSE)</f>
        <v>#N/A</v>
      </c>
      <c r="E189" s="62" t="e">
        <f>VLOOKUP($C189,APOIO!$O:$Q,3,FALSE)</f>
        <v>#N/A</v>
      </c>
      <c r="F189" s="78"/>
      <c r="G189" s="88" t="e">
        <f>VLOOKUP($F189,APOIO!$L:$M,2,FALSE)</f>
        <v>#N/A</v>
      </c>
      <c r="H189" s="77"/>
      <c r="I189" s="88" t="e">
        <f>VLOOKUP($H189,APOIO!$H:$J,2,FALSE)</f>
        <v>#N/A</v>
      </c>
      <c r="J189" s="88" t="e">
        <f>VLOOKUP($H189,APOIO!$H:$J,3,FALSE)</f>
        <v>#N/A</v>
      </c>
      <c r="K189" s="32"/>
      <c r="L189" s="34"/>
      <c r="M189" s="31"/>
      <c r="N189" s="32" t="e">
        <f>VLOOKUP($M189,APOIO!$R:$S,2,FALSE)</f>
        <v>#N/A</v>
      </c>
      <c r="O189" s="32"/>
      <c r="P189" s="32"/>
      <c r="Q189" s="71"/>
      <c r="R189" s="68" t="e">
        <f>INDEX(APOIO!$V:$V,MATCH(EOMONTH($Q189,0),APOIO!$X:$X,0))</f>
        <v>#N/A</v>
      </c>
      <c r="S189" s="60"/>
      <c r="T189" s="59"/>
      <c r="U189" s="59" t="str">
        <f t="shared" si="2"/>
        <v/>
      </c>
    </row>
    <row r="190" spans="1:22" ht="15" x14ac:dyDescent="0.25">
      <c r="A190" s="31"/>
      <c r="B190" s="62" t="str">
        <f>IF(A190="","",IFERROR(VLOOKUP($A190,APOIO!$A:$B,2,FALSE),"error"))</f>
        <v/>
      </c>
      <c r="C190" s="77"/>
      <c r="D190" s="62" t="e">
        <f>VLOOKUP($C190,APOIO!$O:$Q,2,FALSE)</f>
        <v>#N/A</v>
      </c>
      <c r="E190" s="62" t="e">
        <f>VLOOKUP($C190,APOIO!$O:$Q,3,FALSE)</f>
        <v>#N/A</v>
      </c>
      <c r="F190" s="78"/>
      <c r="G190" s="88" t="e">
        <f>VLOOKUP($F190,APOIO!$L:$M,2,FALSE)</f>
        <v>#N/A</v>
      </c>
      <c r="H190" s="77"/>
      <c r="I190" s="88" t="e">
        <f>VLOOKUP($H190,APOIO!$H:$J,2,FALSE)</f>
        <v>#N/A</v>
      </c>
      <c r="J190" s="88" t="e">
        <f>VLOOKUP($H190,APOIO!$H:$J,3,FALSE)</f>
        <v>#N/A</v>
      </c>
      <c r="K190" s="32"/>
      <c r="L190" s="34"/>
      <c r="M190" s="31"/>
      <c r="N190" s="32" t="e">
        <f>VLOOKUP($M190,APOIO!$R:$S,2,FALSE)</f>
        <v>#N/A</v>
      </c>
      <c r="O190" s="32"/>
      <c r="P190" s="32"/>
      <c r="Q190" s="71"/>
      <c r="R190" s="68" t="e">
        <f>INDEX(APOIO!$V:$V,MATCH(EOMONTH($Q190,0),APOIO!$X:$X,0))</f>
        <v>#N/A</v>
      </c>
      <c r="S190" s="60"/>
      <c r="T190" s="59"/>
      <c r="U190" s="59" t="str">
        <f t="shared" si="2"/>
        <v/>
      </c>
    </row>
    <row r="191" spans="1:22" ht="15" x14ac:dyDescent="0.25">
      <c r="A191" s="31"/>
      <c r="B191" s="62" t="str">
        <f>IF(A191="","",IFERROR(VLOOKUP($A191,APOIO!$A:$B,2,FALSE),"error"))</f>
        <v/>
      </c>
      <c r="C191" s="77"/>
      <c r="D191" s="62" t="e">
        <f>VLOOKUP($C191,APOIO!$O:$Q,2,FALSE)</f>
        <v>#N/A</v>
      </c>
      <c r="E191" s="62" t="e">
        <f>VLOOKUP($C191,APOIO!$O:$Q,3,FALSE)</f>
        <v>#N/A</v>
      </c>
      <c r="F191" s="78"/>
      <c r="G191" s="88" t="e">
        <f>VLOOKUP($F191,APOIO!$L:$M,2,FALSE)</f>
        <v>#N/A</v>
      </c>
      <c r="H191" s="77"/>
      <c r="I191" s="88" t="e">
        <f>VLOOKUP($H191,APOIO!$H:$J,2,FALSE)</f>
        <v>#N/A</v>
      </c>
      <c r="J191" s="88" t="e">
        <f>VLOOKUP($H191,APOIO!$H:$J,3,FALSE)</f>
        <v>#N/A</v>
      </c>
      <c r="K191" s="32"/>
      <c r="L191" s="34"/>
      <c r="M191" s="31"/>
      <c r="N191" s="32" t="e">
        <f>VLOOKUP($M191,APOIO!$R:$S,2,FALSE)</f>
        <v>#N/A</v>
      </c>
      <c r="O191" s="32"/>
      <c r="P191" s="32"/>
      <c r="Q191" s="71"/>
      <c r="R191" s="68" t="e">
        <f>INDEX(APOIO!$V:$V,MATCH(EOMONTH($Q191,0),APOIO!$X:$X,0))</f>
        <v>#N/A</v>
      </c>
      <c r="S191" s="60"/>
      <c r="T191" s="59"/>
      <c r="U191" s="59" t="str">
        <f t="shared" si="2"/>
        <v/>
      </c>
    </row>
    <row r="192" spans="1:22" ht="15" x14ac:dyDescent="0.25">
      <c r="A192" s="31"/>
      <c r="B192" s="62" t="str">
        <f>IF(A192="","",IFERROR(VLOOKUP($A192,APOIO!$A:$B,2,FALSE),"error"))</f>
        <v/>
      </c>
      <c r="C192" s="77"/>
      <c r="D192" s="62" t="e">
        <f>VLOOKUP($C192,APOIO!$O:$Q,2,FALSE)</f>
        <v>#N/A</v>
      </c>
      <c r="E192" s="62" t="e">
        <f>VLOOKUP($C192,APOIO!$O:$Q,3,FALSE)</f>
        <v>#N/A</v>
      </c>
      <c r="F192" s="78"/>
      <c r="G192" s="88" t="e">
        <f>VLOOKUP($F192,APOIO!$L:$M,2,FALSE)</f>
        <v>#N/A</v>
      </c>
      <c r="H192" s="77"/>
      <c r="I192" s="88" t="e">
        <f>VLOOKUP($H192,APOIO!$H:$J,2,FALSE)</f>
        <v>#N/A</v>
      </c>
      <c r="J192" s="88" t="e">
        <f>VLOOKUP($H192,APOIO!$H:$J,3,FALSE)</f>
        <v>#N/A</v>
      </c>
      <c r="K192" s="32"/>
      <c r="L192" s="34"/>
      <c r="M192" s="31"/>
      <c r="N192" s="32" t="e">
        <f>VLOOKUP($M192,APOIO!$R:$S,2,FALSE)</f>
        <v>#N/A</v>
      </c>
      <c r="O192" s="32"/>
      <c r="P192" s="32"/>
      <c r="Q192" s="71"/>
      <c r="R192" s="68" t="e">
        <f>INDEX(APOIO!$V:$V,MATCH(EOMONTH($Q192,0),APOIO!$X:$X,0))</f>
        <v>#N/A</v>
      </c>
      <c r="S192" s="60"/>
      <c r="T192" s="59"/>
      <c r="U192" s="59" t="str">
        <f t="shared" si="2"/>
        <v/>
      </c>
    </row>
    <row r="193" spans="1:21" ht="15" x14ac:dyDescent="0.25">
      <c r="A193" s="31"/>
      <c r="B193" s="62" t="str">
        <f>IF(A193="","",IFERROR(VLOOKUP($A193,APOIO!$A:$B,2,FALSE),"error"))</f>
        <v/>
      </c>
      <c r="C193" s="77"/>
      <c r="D193" s="62" t="e">
        <f>VLOOKUP($C193,APOIO!$O:$Q,2,FALSE)</f>
        <v>#N/A</v>
      </c>
      <c r="E193" s="62" t="e">
        <f>VLOOKUP($C193,APOIO!$O:$Q,3,FALSE)</f>
        <v>#N/A</v>
      </c>
      <c r="F193" s="78"/>
      <c r="G193" s="88" t="e">
        <f>VLOOKUP($F193,APOIO!$L:$M,2,FALSE)</f>
        <v>#N/A</v>
      </c>
      <c r="H193" s="77"/>
      <c r="I193" s="88" t="e">
        <f>VLOOKUP($H193,APOIO!$H:$J,2,FALSE)</f>
        <v>#N/A</v>
      </c>
      <c r="J193" s="88" t="e">
        <f>VLOOKUP($H193,APOIO!$H:$J,3,FALSE)</f>
        <v>#N/A</v>
      </c>
      <c r="K193" s="32"/>
      <c r="L193" s="34"/>
      <c r="M193" s="31"/>
      <c r="N193" s="32" t="e">
        <f>VLOOKUP($M193,APOIO!$R:$S,2,FALSE)</f>
        <v>#N/A</v>
      </c>
      <c r="O193" s="32"/>
      <c r="P193" s="32"/>
      <c r="Q193" s="71"/>
      <c r="R193" s="68" t="e">
        <f>INDEX(APOIO!$V:$V,MATCH(EOMONTH($Q193,0),APOIO!$X:$X,0))</f>
        <v>#N/A</v>
      </c>
      <c r="S193" s="60"/>
      <c r="T193" s="59"/>
      <c r="U193" s="59" t="str">
        <f t="shared" si="2"/>
        <v/>
      </c>
    </row>
    <row r="194" spans="1:21" ht="15" x14ac:dyDescent="0.25">
      <c r="A194" s="31"/>
      <c r="B194" s="62" t="str">
        <f>IF(A194="","",IFERROR(VLOOKUP($A194,APOIO!$A:$B,2,FALSE),"error"))</f>
        <v/>
      </c>
      <c r="C194" s="77"/>
      <c r="D194" s="62" t="e">
        <f>VLOOKUP($C194,APOIO!$O:$Q,2,FALSE)</f>
        <v>#N/A</v>
      </c>
      <c r="E194" s="62" t="e">
        <f>VLOOKUP($C194,APOIO!$O:$Q,3,FALSE)</f>
        <v>#N/A</v>
      </c>
      <c r="F194" s="78"/>
      <c r="G194" s="88" t="e">
        <f>VLOOKUP($F194,APOIO!$L:$M,2,FALSE)</f>
        <v>#N/A</v>
      </c>
      <c r="H194" s="77"/>
      <c r="I194" s="88" t="e">
        <f>VLOOKUP($H194,APOIO!$H:$J,2,FALSE)</f>
        <v>#N/A</v>
      </c>
      <c r="J194" s="88" t="e">
        <f>VLOOKUP($H194,APOIO!$H:$J,3,FALSE)</f>
        <v>#N/A</v>
      </c>
      <c r="K194" s="32"/>
      <c r="L194" s="34"/>
      <c r="M194" s="31"/>
      <c r="N194" s="32" t="e">
        <f>VLOOKUP($M194,APOIO!$R:$S,2,FALSE)</f>
        <v>#N/A</v>
      </c>
      <c r="O194" s="32"/>
      <c r="P194" s="32"/>
      <c r="Q194" s="71"/>
      <c r="R194" s="68" t="e">
        <f>INDEX(APOIO!$V:$V,MATCH(EOMONTH($Q194,0),APOIO!$X:$X,0))</f>
        <v>#N/A</v>
      </c>
      <c r="S194" s="60"/>
      <c r="T194" s="59"/>
      <c r="U194" s="59" t="str">
        <f t="shared" si="2"/>
        <v/>
      </c>
    </row>
    <row r="195" spans="1:21" ht="15" x14ac:dyDescent="0.25">
      <c r="A195" s="31"/>
      <c r="B195" s="62" t="str">
        <f>IF(A195="","",IFERROR(VLOOKUP($A195,APOIO!$A:$B,2,FALSE),"error"))</f>
        <v/>
      </c>
      <c r="C195" s="77"/>
      <c r="D195" s="62" t="e">
        <f>VLOOKUP($C195,APOIO!$O:$Q,2,FALSE)</f>
        <v>#N/A</v>
      </c>
      <c r="E195" s="62" t="e">
        <f>VLOOKUP($C195,APOIO!$O:$Q,3,FALSE)</f>
        <v>#N/A</v>
      </c>
      <c r="F195" s="78"/>
      <c r="G195" s="88" t="e">
        <f>VLOOKUP($F195,APOIO!$L:$M,2,FALSE)</f>
        <v>#N/A</v>
      </c>
      <c r="H195" s="77"/>
      <c r="I195" s="88" t="e">
        <f>VLOOKUP($H195,APOIO!$H:$J,2,FALSE)</f>
        <v>#N/A</v>
      </c>
      <c r="J195" s="88" t="e">
        <f>VLOOKUP($H195,APOIO!$H:$J,3,FALSE)</f>
        <v>#N/A</v>
      </c>
      <c r="K195" s="32"/>
      <c r="L195" s="34"/>
      <c r="M195" s="31"/>
      <c r="N195" s="32" t="e">
        <f>VLOOKUP($M195,APOIO!$R:$S,2,FALSE)</f>
        <v>#N/A</v>
      </c>
      <c r="O195" s="32"/>
      <c r="P195" s="32"/>
      <c r="Q195" s="71"/>
      <c r="R195" s="68" t="e">
        <f>INDEX(APOIO!$V:$V,MATCH(EOMONTH($Q195,0),APOIO!$X:$X,0))</f>
        <v>#N/A</v>
      </c>
      <c r="S195" s="60"/>
      <c r="T195" s="59"/>
      <c r="U195" s="59" t="str">
        <f t="shared" si="2"/>
        <v/>
      </c>
    </row>
    <row r="196" spans="1:21" ht="15" x14ac:dyDescent="0.25">
      <c r="A196" s="31"/>
      <c r="B196" s="62" t="str">
        <f>IF(A196="","",IFERROR(VLOOKUP($A196,APOIO!$A:$B,2,FALSE),"error"))</f>
        <v/>
      </c>
      <c r="C196" s="77"/>
      <c r="D196" s="62" t="e">
        <f>VLOOKUP($C196,APOIO!$O:$Q,2,FALSE)</f>
        <v>#N/A</v>
      </c>
      <c r="E196" s="62" t="e">
        <f>VLOOKUP($C196,APOIO!$O:$Q,3,FALSE)</f>
        <v>#N/A</v>
      </c>
      <c r="F196" s="78"/>
      <c r="G196" s="88" t="e">
        <f>VLOOKUP($F196,APOIO!$L:$M,2,FALSE)</f>
        <v>#N/A</v>
      </c>
      <c r="H196" s="77"/>
      <c r="I196" s="88" t="e">
        <f>VLOOKUP($H196,APOIO!$H:$J,2,FALSE)</f>
        <v>#N/A</v>
      </c>
      <c r="J196" s="88" t="e">
        <f>VLOOKUP($H196,APOIO!$H:$J,3,FALSE)</f>
        <v>#N/A</v>
      </c>
      <c r="K196" s="32"/>
      <c r="L196" s="32"/>
      <c r="M196" s="31"/>
      <c r="N196" s="32" t="e">
        <f>VLOOKUP($M196,APOIO!$R:$S,2,FALSE)</f>
        <v>#N/A</v>
      </c>
      <c r="O196" s="32"/>
      <c r="P196" s="32"/>
      <c r="Q196" s="71"/>
      <c r="R196" s="68" t="e">
        <f>INDEX(APOIO!$V:$V,MATCH(EOMONTH($Q196,0),APOIO!$X:$X,0))</f>
        <v>#N/A</v>
      </c>
      <c r="S196" s="60"/>
      <c r="T196" s="59"/>
      <c r="U196" s="59" t="str">
        <f t="shared" si="2"/>
        <v/>
      </c>
    </row>
    <row r="197" spans="1:21" ht="15" x14ac:dyDescent="0.25">
      <c r="A197" s="31"/>
      <c r="B197" s="62" t="str">
        <f>IF(A197="","",IFERROR(VLOOKUP($A197,APOIO!$A:$B,2,FALSE),"error"))</f>
        <v/>
      </c>
      <c r="C197" s="77"/>
      <c r="D197" s="62" t="e">
        <f>VLOOKUP($C197,APOIO!$O:$Q,2,FALSE)</f>
        <v>#N/A</v>
      </c>
      <c r="E197" s="62" t="e">
        <f>VLOOKUP($C197,APOIO!$O:$Q,3,FALSE)</f>
        <v>#N/A</v>
      </c>
      <c r="F197" s="78"/>
      <c r="G197" s="88" t="e">
        <f>VLOOKUP($F197,APOIO!$L:$M,2,FALSE)</f>
        <v>#N/A</v>
      </c>
      <c r="H197" s="77"/>
      <c r="I197" s="88" t="e">
        <f>VLOOKUP($H197,APOIO!$H:$J,2,FALSE)</f>
        <v>#N/A</v>
      </c>
      <c r="J197" s="88" t="e">
        <f>VLOOKUP($H197,APOIO!$H:$J,3,FALSE)</f>
        <v>#N/A</v>
      </c>
      <c r="K197" s="32"/>
      <c r="L197" s="32"/>
      <c r="M197" s="31"/>
      <c r="N197" s="32" t="e">
        <f>VLOOKUP($M197,APOIO!$R:$S,2,FALSE)</f>
        <v>#N/A</v>
      </c>
      <c r="O197" s="32"/>
      <c r="P197" s="32"/>
      <c r="Q197" s="71"/>
      <c r="R197" s="68" t="e">
        <f>INDEX(APOIO!$V:$V,MATCH(EOMONTH($Q197,0),APOIO!$X:$X,0))</f>
        <v>#N/A</v>
      </c>
      <c r="S197" s="60"/>
      <c r="T197" s="59"/>
      <c r="U197" s="59" t="str">
        <f t="shared" si="2"/>
        <v/>
      </c>
    </row>
    <row r="198" spans="1:21" ht="15" x14ac:dyDescent="0.25">
      <c r="A198" s="31"/>
      <c r="B198" s="62" t="str">
        <f>IF(A198="","",IFERROR(VLOOKUP($A198,APOIO!$A:$B,2,FALSE),"error"))</f>
        <v/>
      </c>
      <c r="C198" s="77"/>
      <c r="D198" s="62" t="e">
        <f>VLOOKUP($C198,APOIO!$O:$Q,2,FALSE)</f>
        <v>#N/A</v>
      </c>
      <c r="E198" s="62" t="e">
        <f>VLOOKUP($C198,APOIO!$O:$Q,3,FALSE)</f>
        <v>#N/A</v>
      </c>
      <c r="F198" s="78"/>
      <c r="G198" s="88" t="e">
        <f>VLOOKUP($F198,APOIO!$L:$M,2,FALSE)</f>
        <v>#N/A</v>
      </c>
      <c r="H198" s="77"/>
      <c r="I198" s="88" t="e">
        <f>VLOOKUP($H198,APOIO!$H:$J,2,FALSE)</f>
        <v>#N/A</v>
      </c>
      <c r="J198" s="88" t="e">
        <f>VLOOKUP($H198,APOIO!$H:$J,3,FALSE)</f>
        <v>#N/A</v>
      </c>
      <c r="K198" s="32"/>
      <c r="L198" s="32"/>
      <c r="M198" s="31"/>
      <c r="N198" s="32" t="e">
        <f>VLOOKUP($M198,APOIO!$R:$S,2,FALSE)</f>
        <v>#N/A</v>
      </c>
      <c r="O198" s="32"/>
      <c r="P198" s="32"/>
      <c r="Q198" s="71"/>
      <c r="R198" s="68" t="e">
        <f>INDEX(APOIO!$V:$V,MATCH(EOMONTH($Q198,0),APOIO!$X:$X,0))</f>
        <v>#N/A</v>
      </c>
      <c r="S198" s="60"/>
      <c r="T198" s="59"/>
      <c r="U198" s="59" t="str">
        <f t="shared" si="2"/>
        <v/>
      </c>
    </row>
    <row r="199" spans="1:21" ht="15" x14ac:dyDescent="0.25">
      <c r="A199" s="31"/>
      <c r="B199" s="62" t="str">
        <f>IF(A199="","",IFERROR(VLOOKUP($A199,APOIO!$A:$B,2,FALSE),"error"))</f>
        <v/>
      </c>
      <c r="C199" s="77"/>
      <c r="D199" s="62" t="e">
        <f>VLOOKUP($C199,APOIO!$O:$Q,2,FALSE)</f>
        <v>#N/A</v>
      </c>
      <c r="E199" s="62" t="e">
        <f>VLOOKUP($C199,APOIO!$O:$Q,3,FALSE)</f>
        <v>#N/A</v>
      </c>
      <c r="F199" s="78"/>
      <c r="G199" s="88" t="e">
        <f>VLOOKUP($F199,APOIO!$L:$M,2,FALSE)</f>
        <v>#N/A</v>
      </c>
      <c r="H199" s="77"/>
      <c r="I199" s="88" t="e">
        <f>VLOOKUP($H199,APOIO!$H:$J,2,FALSE)</f>
        <v>#N/A</v>
      </c>
      <c r="J199" s="88" t="e">
        <f>VLOOKUP($H199,APOIO!$H:$J,3,FALSE)</f>
        <v>#N/A</v>
      </c>
      <c r="K199" s="32"/>
      <c r="L199" s="32"/>
      <c r="M199" s="31"/>
      <c r="N199" s="32" t="e">
        <f>VLOOKUP($M199,APOIO!$R:$S,2,FALSE)</f>
        <v>#N/A</v>
      </c>
      <c r="O199" s="32"/>
      <c r="P199" s="32"/>
      <c r="Q199" s="71"/>
      <c r="R199" s="68" t="e">
        <f>INDEX(APOIO!$V:$V,MATCH(EOMONTH($Q199,0),APOIO!$X:$X,0))</f>
        <v>#N/A</v>
      </c>
      <c r="S199" s="60"/>
      <c r="T199" s="59"/>
      <c r="U199" s="59" t="str">
        <f t="shared" si="2"/>
        <v/>
      </c>
    </row>
    <row r="200" spans="1:21" ht="15" x14ac:dyDescent="0.25">
      <c r="A200" s="31"/>
      <c r="B200" s="62" t="str">
        <f>IF(A200="","",IFERROR(VLOOKUP($A200,APOIO!$A:$B,2,FALSE),"error"))</f>
        <v/>
      </c>
      <c r="C200" s="77"/>
      <c r="D200" s="62" t="e">
        <f>VLOOKUP($C200,APOIO!$O:$Q,2,FALSE)</f>
        <v>#N/A</v>
      </c>
      <c r="E200" s="62" t="e">
        <f>VLOOKUP($C200,APOIO!$O:$Q,3,FALSE)</f>
        <v>#N/A</v>
      </c>
      <c r="F200" s="78"/>
      <c r="G200" s="88" t="e">
        <f>VLOOKUP($F200,APOIO!$L:$M,2,FALSE)</f>
        <v>#N/A</v>
      </c>
      <c r="H200" s="77"/>
      <c r="I200" s="88" t="e">
        <f>VLOOKUP($H200,APOIO!$H:$J,2,FALSE)</f>
        <v>#N/A</v>
      </c>
      <c r="J200" s="88" t="e">
        <f>VLOOKUP($H200,APOIO!$H:$J,3,FALSE)</f>
        <v>#N/A</v>
      </c>
      <c r="K200" s="32"/>
      <c r="L200" s="32"/>
      <c r="M200" s="31"/>
      <c r="N200" s="32" t="e">
        <f>VLOOKUP($M200,APOIO!$R:$S,2,FALSE)</f>
        <v>#N/A</v>
      </c>
      <c r="O200" s="32"/>
      <c r="P200" s="32"/>
      <c r="Q200" s="71"/>
      <c r="R200" s="68" t="e">
        <f>INDEX(APOIO!$V:$V,MATCH(EOMONTH($Q200,0),APOIO!$X:$X,0))</f>
        <v>#N/A</v>
      </c>
      <c r="S200" s="60"/>
      <c r="T200" s="59"/>
      <c r="U200" s="59" t="str">
        <f t="shared" si="2"/>
        <v/>
      </c>
    </row>
    <row r="201" spans="1:21" ht="15" x14ac:dyDescent="0.25">
      <c r="C201" s="70"/>
      <c r="E201" s="62"/>
      <c r="F201" s="70"/>
      <c r="G201" s="88"/>
      <c r="H201" s="70"/>
      <c r="I201" s="88"/>
      <c r="J201" s="88"/>
      <c r="T201" s="70"/>
      <c r="U201" s="70"/>
    </row>
  </sheetData>
  <sortState ref="A10:U201">
    <sortCondition descending="1" ref="U10:U2000"/>
    <sortCondition descending="1" ref="Q10:Q2000"/>
    <sortCondition descending="1" ref="S10:S2000"/>
  </sortState>
  <conditionalFormatting sqref="H10:H200">
    <cfRule type="expression" dxfId="4" priority="7">
      <formula>IF($E10=$J10,0,1)</formula>
    </cfRule>
  </conditionalFormatting>
  <conditionalFormatting sqref="A16:A200">
    <cfRule type="expression" dxfId="3" priority="5">
      <formula>IF($B16="error",1,0)</formula>
    </cfRule>
  </conditionalFormatting>
  <conditionalFormatting sqref="A5">
    <cfRule type="expression" dxfId="2" priority="4">
      <formula>IF($B5="error",1,0)</formula>
    </cfRule>
  </conditionalFormatting>
  <conditionalFormatting sqref="H5">
    <cfRule type="expression" dxfId="1" priority="3">
      <formula>IF($E5=$J5,0,1)</formula>
    </cfRule>
  </conditionalFormatting>
  <conditionalFormatting sqref="A10:A15">
    <cfRule type="expression" dxfId="0" priority="1">
      <formula>IF($B10="error",1,0)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2" r:id="rId4" name="btn_CleanSheet">
          <controlPr defaultSize="0" autoLine="0" r:id="rId5">
            <anchor>
              <from>
                <xdr:col>18</xdr:col>
                <xdr:colOff>1571625</xdr:colOff>
                <xdr:row>1</xdr:row>
                <xdr:rowOff>95250</xdr:rowOff>
              </from>
              <to>
                <xdr:col>19</xdr:col>
                <xdr:colOff>1438275</xdr:colOff>
                <xdr:row>3</xdr:row>
                <xdr:rowOff>0</xdr:rowOff>
              </to>
            </anchor>
          </controlPr>
        </control>
      </mc:Choice>
      <mc:Fallback>
        <control shapeId="2052" r:id="rId4" name="btn_CleanSheet"/>
      </mc:Fallback>
    </mc:AlternateContent>
    <mc:AlternateContent xmlns:mc="http://schemas.openxmlformats.org/markup-compatibility/2006">
      <mc:Choice Requires="x14">
        <control shapeId="2050" r:id="rId6" name="btn_EnviarDados">
          <controlPr defaultSize="0" autoLine="0" r:id="rId7">
            <anchor>
              <from>
                <xdr:col>16</xdr:col>
                <xdr:colOff>1571625</xdr:colOff>
                <xdr:row>3</xdr:row>
                <xdr:rowOff>76200</xdr:rowOff>
              </from>
              <to>
                <xdr:col>18</xdr:col>
                <xdr:colOff>1438275</xdr:colOff>
                <xdr:row>4</xdr:row>
                <xdr:rowOff>190500</xdr:rowOff>
              </to>
            </anchor>
          </controlPr>
        </control>
      </mc:Choice>
      <mc:Fallback>
        <control shapeId="2050" r:id="rId6" name="btn_EnviarDados"/>
      </mc:Fallback>
    </mc:AlternateContent>
    <mc:AlternateContent xmlns:mc="http://schemas.openxmlformats.org/markup-compatibility/2006">
      <mc:Choice Requires="x14">
        <control shapeId="2049" r:id="rId8" name="btn_AtualizarPlanilha">
          <controlPr defaultSize="0" autoLine="0" r:id="rId9">
            <anchor>
              <from>
                <xdr:col>16</xdr:col>
                <xdr:colOff>1571625</xdr:colOff>
                <xdr:row>1</xdr:row>
                <xdr:rowOff>95250</xdr:rowOff>
              </from>
              <to>
                <xdr:col>18</xdr:col>
                <xdr:colOff>1428750</xdr:colOff>
                <xdr:row>2</xdr:row>
                <xdr:rowOff>209550</xdr:rowOff>
              </to>
            </anchor>
          </controlPr>
        </control>
      </mc:Choice>
      <mc:Fallback>
        <control shapeId="2049" r:id="rId8" name="btn_AtualizarPlanilha"/>
      </mc:Fallback>
    </mc:AlternateContent>
    <mc:AlternateContent xmlns:mc="http://schemas.openxmlformats.org/markup-compatibility/2006">
      <mc:Choice Requires="x14">
        <control shapeId="2057" r:id="rId10" name="btn_menu">
          <controlPr defaultSize="0" autoLine="0" r:id="rId11">
            <anchor>
              <from>
                <xdr:col>18</xdr:col>
                <xdr:colOff>1571625</xdr:colOff>
                <xdr:row>3</xdr:row>
                <xdr:rowOff>66675</xdr:rowOff>
              </from>
              <to>
                <xdr:col>19</xdr:col>
                <xdr:colOff>1428750</xdr:colOff>
                <xdr:row>4</xdr:row>
                <xdr:rowOff>190500</xdr:rowOff>
              </to>
            </anchor>
          </controlPr>
        </control>
      </mc:Choice>
      <mc:Fallback>
        <control shapeId="2057" r:id="rId10" name="btn_menu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APOIO!$Z$2:$Z$2</xm:f>
          </x14:formula1>
          <xm:sqref>K10:K100</xm:sqref>
        </x14:dataValidation>
        <x14:dataValidation type="list" allowBlank="1" showInputMessage="1" showErrorMessage="1">
          <x14:formula1>
            <xm:f>APOIO!$R$1:$R$2</xm:f>
          </x14:formula1>
          <xm:sqref>M10:M100</xm:sqref>
        </x14:dataValidation>
        <x14:dataValidation type="list" allowBlank="1" showInputMessage="1" showErrorMessage="1">
          <x14:formula1>
            <xm:f>APOIO!$L$2:$L$3</xm:f>
          </x14:formula1>
          <xm:sqref>F10:F2000 F5</xm:sqref>
        </x14:dataValidation>
        <x14:dataValidation type="list" allowBlank="1" showInputMessage="1" showErrorMessage="1">
          <x14:formula1>
            <xm:f>APOIO!$O$2:$O$5</xm:f>
          </x14:formula1>
          <xm:sqref>C10:C2000 C5</xm:sqref>
        </x14:dataValidation>
        <x14:dataValidation type="list" allowBlank="1" showInputMessage="1" showErrorMessage="1">
          <x14:formula1>
            <xm:f>APOIO!$H$2:$H$35</xm:f>
          </x14:formula1>
          <xm:sqref>H10:H2000 H5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Z2001"/>
  <sheetViews>
    <sheetView showGridLines="0" zoomScale="85" zoomScaleNormal="85" workbookViewId="0"/>
  </sheetViews>
  <sheetFormatPr defaultColWidth="0" defaultRowHeight="12.75" zeroHeight="1" x14ac:dyDescent="0.2"/>
  <cols>
    <col min="1" max="1" width="25.7109375" style="95" customWidth="1"/>
    <col min="2" max="2" width="46.7109375" style="81" hidden="1" customWidth="1"/>
    <col min="3" max="3" width="27.5703125" style="39" customWidth="1"/>
    <col min="4" max="4" width="22.140625" style="39" hidden="1" customWidth="1"/>
    <col min="5" max="5" width="20.7109375" style="39" hidden="1" customWidth="1"/>
    <col min="6" max="6" width="50.7109375" style="39" hidden="1" customWidth="1"/>
    <col min="7" max="7" width="20.7109375" style="39" hidden="1" customWidth="1"/>
    <col min="8" max="8" width="21.7109375" style="39" customWidth="1"/>
    <col min="9" max="9" width="20.7109375" style="39" hidden="1" customWidth="1"/>
    <col min="10" max="10" width="34.5703125" style="39" customWidth="1"/>
    <col min="11" max="18" width="20.7109375" style="39" hidden="1" customWidth="1"/>
    <col min="19" max="19" width="24.7109375" style="39" customWidth="1"/>
    <col min="20" max="20" width="20.7109375" style="39" hidden="1" customWidth="1"/>
    <col min="21" max="21" width="25.7109375" style="39" customWidth="1"/>
    <col min="22" max="22" width="23.7109375" style="39" hidden="1" customWidth="1"/>
    <col min="23" max="23" width="28.140625" style="63" customWidth="1"/>
    <col min="24" max="24" width="19.5703125" style="1" customWidth="1"/>
    <col min="25" max="25" width="17.28515625" style="1" hidden="1" customWidth="1"/>
    <col min="26" max="26" width="4.42578125" style="1" customWidth="1"/>
    <col min="27" max="16384" width="9.140625" style="1" hidden="1"/>
  </cols>
  <sheetData>
    <row r="1" spans="1:25" ht="15" x14ac:dyDescent="0.25">
      <c r="A1" s="99"/>
      <c r="B1" s="79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61"/>
      <c r="X1" s="61"/>
      <c r="Y1" s="61"/>
    </row>
    <row r="2" spans="1:25" ht="15" x14ac:dyDescent="0.25">
      <c r="A2" s="92"/>
      <c r="B2" s="79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61"/>
      <c r="X2" s="61"/>
      <c r="Y2" s="61"/>
    </row>
    <row r="3" spans="1:25" ht="15" x14ac:dyDescent="0.25">
      <c r="A3" s="92"/>
      <c r="B3" s="79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61"/>
      <c r="X3" s="61"/>
      <c r="Y3" s="61"/>
    </row>
    <row r="4" spans="1:25" ht="16.5" customHeight="1" x14ac:dyDescent="0.25">
      <c r="A4" s="92"/>
      <c r="B4" s="80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61"/>
      <c r="X4" s="61"/>
      <c r="Y4" s="61"/>
    </row>
    <row r="5" spans="1:25" ht="15.75" customHeight="1" x14ac:dyDescent="0.25">
      <c r="A5" s="94"/>
      <c r="B5" s="32" t="str">
        <f>IF($A5="","",VLOOKUP($A5,APOIO!$A:$E,2,FALSE))</f>
        <v/>
      </c>
      <c r="C5" s="94"/>
      <c r="D5" s="32" t="str">
        <f>IF($A5="","",INDEX(APOIO!$D:$D,MATCH(CONCATENATE($A5,"_",$B5,"_",$C5),APOIO!$F:$F,0)))</f>
        <v/>
      </c>
      <c r="E5" s="31"/>
      <c r="F5" s="31"/>
      <c r="G5" s="33"/>
      <c r="H5" s="94"/>
      <c r="I5" s="32" t="str">
        <f>IF($A5="","",VLOOKUP($H5,APOIO!$L:$M,2,FALSE))</f>
        <v/>
      </c>
      <c r="J5" s="31"/>
      <c r="K5" s="32" t="str">
        <f>IF($A5="","",VLOOKUP($J5,APOIO!$H:$J,2,FALSE))</f>
        <v/>
      </c>
      <c r="L5" s="32" t="str">
        <f>IF($A5="","",VLOOKUP($J5,APOIO!$H:$J,3,FALSE))</f>
        <v/>
      </c>
      <c r="M5" s="31"/>
      <c r="N5" s="34"/>
      <c r="O5" s="32"/>
      <c r="P5" s="32"/>
      <c r="Q5" s="32"/>
      <c r="R5" s="32"/>
      <c r="S5" s="35"/>
      <c r="T5" s="91"/>
      <c r="U5" s="60"/>
      <c r="V5" s="36"/>
      <c r="W5" s="31"/>
      <c r="X5" s="59"/>
      <c r="Y5" s="59" t="str">
        <f>IFERROR(VLOOKUP($A5,APOIO!$A:$A,1,FALSE),"ERRO")</f>
        <v>ERRO</v>
      </c>
    </row>
    <row r="6" spans="1:25" ht="15" x14ac:dyDescent="0.25">
      <c r="A6" s="92"/>
      <c r="B6" s="79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61"/>
      <c r="X6" s="61"/>
      <c r="Y6" s="61"/>
    </row>
    <row r="7" spans="1:25" ht="34.5" customHeight="1" x14ac:dyDescent="0.25">
      <c r="A7" s="93"/>
      <c r="B7" s="38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61"/>
      <c r="X7" s="61"/>
      <c r="Y7" s="61"/>
    </row>
    <row r="8" spans="1:25" customFormat="1" ht="18.75" hidden="1" customHeight="1" x14ac:dyDescent="0.25">
      <c r="A8" s="93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61"/>
      <c r="X8" s="61"/>
      <c r="Y8" s="61"/>
    </row>
    <row r="9" spans="1:25" s="98" customFormat="1" ht="9.9499999999999993" customHeight="1" x14ac:dyDescent="0.2">
      <c r="A9" s="97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</row>
    <row r="10" spans="1:25" s="96" customFormat="1" ht="45" customHeight="1" x14ac:dyDescent="0.25">
      <c r="A10" s="104" t="s">
        <v>4922</v>
      </c>
      <c r="B10" s="90" t="s">
        <v>4923</v>
      </c>
      <c r="C10" s="27" t="s">
        <v>4924</v>
      </c>
      <c r="D10" s="28" t="s">
        <v>17</v>
      </c>
      <c r="E10" s="29" t="s">
        <v>4925</v>
      </c>
      <c r="F10" s="30" t="s">
        <v>18</v>
      </c>
      <c r="G10" s="30" t="s">
        <v>19</v>
      </c>
      <c r="H10" s="27" t="s">
        <v>2055</v>
      </c>
      <c r="I10" s="28" t="s">
        <v>20</v>
      </c>
      <c r="J10" s="27" t="s">
        <v>4254</v>
      </c>
      <c r="K10" s="28" t="s">
        <v>21</v>
      </c>
      <c r="L10" s="28" t="s">
        <v>22</v>
      </c>
      <c r="M10" s="29" t="s">
        <v>23</v>
      </c>
      <c r="N10" s="64" t="s">
        <v>24</v>
      </c>
      <c r="O10" s="29" t="s">
        <v>25</v>
      </c>
      <c r="P10" s="30" t="s">
        <v>26</v>
      </c>
      <c r="Q10" s="29" t="s">
        <v>27</v>
      </c>
      <c r="R10" s="30" t="s">
        <v>28</v>
      </c>
      <c r="S10" s="27" t="s">
        <v>29</v>
      </c>
      <c r="T10" s="29" t="s">
        <v>30</v>
      </c>
      <c r="U10" s="27" t="s">
        <v>1642</v>
      </c>
      <c r="V10" s="30" t="s">
        <v>31</v>
      </c>
      <c r="W10" s="27" t="s">
        <v>32</v>
      </c>
      <c r="X10" s="28" t="s">
        <v>33</v>
      </c>
      <c r="Y10" s="28" t="s">
        <v>4364</v>
      </c>
    </row>
    <row r="11" spans="1:25" customFormat="1" ht="15" x14ac:dyDescent="0.25">
      <c r="A11" s="94"/>
      <c r="B11" s="32" t="str">
        <f>IF($A11="","",VLOOKUP($A11,APOIO!$A:$E,2,FALSE))</f>
        <v/>
      </c>
      <c r="C11" s="94"/>
      <c r="D11" s="32" t="str">
        <f>IF($A11="","",INDEX(APOIO!$D:$D,MATCH(CONCATENATE($A11,"_",$B11,"_",$C11),APOIO!$F:$F,0)))</f>
        <v/>
      </c>
      <c r="E11" s="31"/>
      <c r="F11" s="31"/>
      <c r="G11" s="33"/>
      <c r="H11" s="94"/>
      <c r="I11" s="32" t="str">
        <f>IF($A11="","",VLOOKUP($H11,APOIO!$L:$M,2,FALSE))</f>
        <v/>
      </c>
      <c r="J11" s="31"/>
      <c r="K11" s="32" t="str">
        <f>IF($A11="","",VLOOKUP($J11,APOIO!$H:$J,2,FALSE))</f>
        <v/>
      </c>
      <c r="L11" s="32" t="str">
        <f>IF($A11="","",VLOOKUP($J11,APOIO!$H:$J,3,FALSE))</f>
        <v/>
      </c>
      <c r="M11" s="31"/>
      <c r="N11" s="34"/>
      <c r="O11" s="32"/>
      <c r="P11" s="32"/>
      <c r="Q11" s="32"/>
      <c r="R11" s="32"/>
      <c r="S11" s="35"/>
      <c r="T11" s="91"/>
      <c r="U11" s="60"/>
      <c r="V11" s="36"/>
      <c r="W11" s="31"/>
      <c r="X11" s="59"/>
      <c r="Y11" s="59" t="str">
        <f>IFERROR(VLOOKUP($A11,APOIO!$A:$A,1,FALSE),"ERRO")</f>
        <v>ERRO</v>
      </c>
    </row>
    <row r="12" spans="1:25" customFormat="1" ht="15" x14ac:dyDescent="0.25">
      <c r="A12" s="94"/>
      <c r="B12" s="32" t="str">
        <f>IF($A12="","",VLOOKUP($A12,APOIO!$A:$E,2,FALSE))</f>
        <v/>
      </c>
      <c r="C12" s="94"/>
      <c r="D12" s="32" t="str">
        <f>IF($A12="","",INDEX(APOIO!$D:$D,MATCH(CONCATENATE($A12,"_",$B12,"_",$C12),APOIO!$F:$F,0)))</f>
        <v/>
      </c>
      <c r="E12" s="31"/>
      <c r="F12" s="31"/>
      <c r="G12" s="33"/>
      <c r="H12" s="94"/>
      <c r="I12" s="32" t="str">
        <f>IF($A12="","",VLOOKUP($H12,APOIO!$L:$M,2,FALSE))</f>
        <v/>
      </c>
      <c r="J12" s="31"/>
      <c r="K12" s="32" t="str">
        <f>IF($A12="","",VLOOKUP($J12,APOIO!$H:$J,2,FALSE))</f>
        <v/>
      </c>
      <c r="L12" s="32" t="str">
        <f>IF($A12="","",VLOOKUP($J12,APOIO!$H:$J,3,FALSE))</f>
        <v/>
      </c>
      <c r="M12" s="31"/>
      <c r="N12" s="34"/>
      <c r="O12" s="32"/>
      <c r="P12" s="32"/>
      <c r="Q12" s="32"/>
      <c r="R12" s="32"/>
      <c r="S12" s="35"/>
      <c r="T12" s="91"/>
      <c r="U12" s="60"/>
      <c r="V12" s="36"/>
      <c r="W12" s="31"/>
      <c r="X12" s="59"/>
      <c r="Y12" s="59" t="str">
        <f>IFERROR(VLOOKUP($A12,APOIO!$A:$A,1,FALSE),"ERRO")</f>
        <v>ERRO</v>
      </c>
    </row>
    <row r="13" spans="1:25" customFormat="1" ht="15" x14ac:dyDescent="0.25">
      <c r="A13" s="94"/>
      <c r="B13" s="32" t="str">
        <f>IF($A13="","",VLOOKUP($A13,APOIO!$A:$E,2,FALSE))</f>
        <v/>
      </c>
      <c r="C13" s="94"/>
      <c r="D13" s="32" t="str">
        <f>IF($A13="","",INDEX(APOIO!$D:$D,MATCH(CONCATENATE($A13,"_",$B13,"_",$C13),APOIO!$F:$F,0)))</f>
        <v/>
      </c>
      <c r="E13" s="31"/>
      <c r="F13" s="31"/>
      <c r="G13" s="33"/>
      <c r="H13" s="94"/>
      <c r="I13" s="32" t="str">
        <f>IF($A13="","",VLOOKUP($H13,APOIO!$L:$M,2,FALSE))</f>
        <v/>
      </c>
      <c r="J13" s="31"/>
      <c r="K13" s="32" t="str">
        <f>IF($A13="","",VLOOKUP($J13,APOIO!$H:$J,2,FALSE))</f>
        <v/>
      </c>
      <c r="L13" s="32" t="str">
        <f>IF($A13="","",VLOOKUP($J13,APOIO!$H:$J,3,FALSE))</f>
        <v/>
      </c>
      <c r="M13" s="31"/>
      <c r="N13" s="34"/>
      <c r="O13" s="32"/>
      <c r="P13" s="32"/>
      <c r="Q13" s="32"/>
      <c r="R13" s="32"/>
      <c r="S13" s="35"/>
      <c r="T13" s="91"/>
      <c r="U13" s="60"/>
      <c r="V13" s="36"/>
      <c r="W13" s="31"/>
      <c r="X13" s="59"/>
      <c r="Y13" s="59" t="str">
        <f>IFERROR(VLOOKUP($A13,APOIO!$A:$A,1,FALSE),"ERRO")</f>
        <v>ERRO</v>
      </c>
    </row>
    <row r="14" spans="1:25" customFormat="1" ht="15" x14ac:dyDescent="0.25">
      <c r="A14" s="94"/>
      <c r="B14" s="32" t="str">
        <f>IF($A14="","",VLOOKUP($A14,APOIO!$A:$E,2,FALSE))</f>
        <v/>
      </c>
      <c r="C14" s="94"/>
      <c r="D14" s="32" t="str">
        <f>IF($A14="","",INDEX(APOIO!$D:$D,MATCH(CONCATENATE($A14,"_",$B14,"_",$C14),APOIO!$F:$F,0)))</f>
        <v/>
      </c>
      <c r="E14" s="31"/>
      <c r="F14" s="31"/>
      <c r="G14" s="33"/>
      <c r="H14" s="94"/>
      <c r="I14" s="32" t="str">
        <f>IF($A14="","",VLOOKUP($H14,APOIO!$L:$M,2,FALSE))</f>
        <v/>
      </c>
      <c r="J14" s="31"/>
      <c r="K14" s="32" t="str">
        <f>IF($A14="","",VLOOKUP($J14,APOIO!$H:$J,2,FALSE))</f>
        <v/>
      </c>
      <c r="L14" s="32" t="str">
        <f>IF($A14="","",VLOOKUP($J14,APOIO!$H:$J,3,FALSE))</f>
        <v/>
      </c>
      <c r="M14" s="31"/>
      <c r="N14" s="34"/>
      <c r="O14" s="32"/>
      <c r="P14" s="32"/>
      <c r="Q14" s="32"/>
      <c r="R14" s="32"/>
      <c r="S14" s="35"/>
      <c r="T14" s="91"/>
      <c r="U14" s="60"/>
      <c r="V14" s="36"/>
      <c r="W14" s="31"/>
      <c r="X14" s="59"/>
      <c r="Y14" s="59" t="str">
        <f>IFERROR(VLOOKUP($A14,APOIO!$A:$A,1,FALSE),"ERRO")</f>
        <v>ERRO</v>
      </c>
    </row>
    <row r="15" spans="1:25" customFormat="1" ht="15" x14ac:dyDescent="0.25">
      <c r="A15" s="94"/>
      <c r="B15" s="32" t="str">
        <f>IF($A15="","",VLOOKUP($A15,APOIO!$A:$E,2,FALSE))</f>
        <v/>
      </c>
      <c r="C15" s="94"/>
      <c r="D15" s="32" t="str">
        <f>IF($A15="","",INDEX(APOIO!$D:$D,MATCH(CONCATENATE($A15,"_",$B15,"_",$C15),APOIO!$F:$F,0)))</f>
        <v/>
      </c>
      <c r="E15" s="31"/>
      <c r="F15" s="31"/>
      <c r="G15" s="33"/>
      <c r="H15" s="94"/>
      <c r="I15" s="32" t="str">
        <f>IF($A15="","",VLOOKUP($H15,APOIO!$L:$M,2,FALSE))</f>
        <v/>
      </c>
      <c r="J15" s="31"/>
      <c r="K15" s="32" t="str">
        <f>IF($A15="","",VLOOKUP($J15,APOIO!$H:$J,2,FALSE))</f>
        <v/>
      </c>
      <c r="L15" s="32" t="str">
        <f>IF($A15="","",VLOOKUP($J15,APOIO!$H:$J,3,FALSE))</f>
        <v/>
      </c>
      <c r="M15" s="31"/>
      <c r="N15" s="34"/>
      <c r="O15" s="32"/>
      <c r="P15" s="32"/>
      <c r="Q15" s="32"/>
      <c r="R15" s="32"/>
      <c r="S15" s="35"/>
      <c r="T15" s="91"/>
      <c r="U15" s="60"/>
      <c r="V15" s="36"/>
      <c r="W15" s="31"/>
      <c r="X15" s="59"/>
      <c r="Y15" s="59" t="str">
        <f>IFERROR(VLOOKUP($A15,APOIO!$A:$A,1,FALSE),"ERRO")</f>
        <v>ERRO</v>
      </c>
    </row>
    <row r="16" spans="1:25" customFormat="1" ht="15" x14ac:dyDescent="0.25">
      <c r="A16" s="94"/>
      <c r="B16" s="32" t="str">
        <f>IF($A16="","",VLOOKUP($A16,APOIO!$A:$E,2,FALSE))</f>
        <v/>
      </c>
      <c r="C16" s="94"/>
      <c r="D16" s="32" t="str">
        <f>IF($A16="","",INDEX(APOIO!$D:$D,MATCH(CONCATENATE($A16,"_",$B16,"_",$C16),APOIO!$F:$F,0)))</f>
        <v/>
      </c>
      <c r="E16" s="31"/>
      <c r="F16" s="31"/>
      <c r="G16" s="33"/>
      <c r="H16" s="94"/>
      <c r="I16" s="32" t="str">
        <f>IF($A16="","",VLOOKUP($H16,APOIO!$L:$M,2,FALSE))</f>
        <v/>
      </c>
      <c r="J16" s="31"/>
      <c r="K16" s="32" t="str">
        <f>IF($A16="","",VLOOKUP($J16,APOIO!$H:$J,2,FALSE))</f>
        <v/>
      </c>
      <c r="L16" s="32" t="str">
        <f>IF($A16="","",VLOOKUP($J16,APOIO!$H:$J,3,FALSE))</f>
        <v/>
      </c>
      <c r="M16" s="31"/>
      <c r="N16" s="34"/>
      <c r="O16" s="32"/>
      <c r="P16" s="32"/>
      <c r="Q16" s="32"/>
      <c r="R16" s="32"/>
      <c r="S16" s="35"/>
      <c r="T16" s="91"/>
      <c r="U16" s="60"/>
      <c r="V16" s="36"/>
      <c r="W16" s="31"/>
      <c r="X16" s="59"/>
      <c r="Y16" s="59" t="str">
        <f>IFERROR(VLOOKUP($A16,APOIO!$A:$A,1,FALSE),"ERRO")</f>
        <v>ERRO</v>
      </c>
    </row>
    <row r="17" spans="1:26" customFormat="1" ht="15" x14ac:dyDescent="0.25">
      <c r="A17" s="94"/>
      <c r="B17" s="32" t="str">
        <f>IF($A17="","",VLOOKUP($A17,APOIO!$A:$E,2,FALSE))</f>
        <v/>
      </c>
      <c r="C17" s="94"/>
      <c r="D17" s="32" t="str">
        <f>IF($A17="","",INDEX(APOIO!$D:$D,MATCH(CONCATENATE($A17,"_",$B17,"_",$C17),APOIO!$F:$F,0)))</f>
        <v/>
      </c>
      <c r="E17" s="31"/>
      <c r="F17" s="31"/>
      <c r="G17" s="33"/>
      <c r="H17" s="94"/>
      <c r="I17" s="32" t="str">
        <f>IF($A17="","",VLOOKUP($H17,APOIO!$L:$M,2,FALSE))</f>
        <v/>
      </c>
      <c r="J17" s="31"/>
      <c r="K17" s="32" t="str">
        <f>IF($A17="","",VLOOKUP($J17,APOIO!$H:$J,2,FALSE))</f>
        <v/>
      </c>
      <c r="L17" s="32" t="str">
        <f>IF($A17="","",VLOOKUP($J17,APOIO!$H:$J,3,FALSE))</f>
        <v/>
      </c>
      <c r="M17" s="31"/>
      <c r="N17" s="34"/>
      <c r="O17" s="32"/>
      <c r="P17" s="32"/>
      <c r="Q17" s="32"/>
      <c r="R17" s="32"/>
      <c r="S17" s="35"/>
      <c r="T17" s="91"/>
      <c r="U17" s="60"/>
      <c r="V17" s="36"/>
      <c r="W17" s="31"/>
      <c r="X17" s="59"/>
      <c r="Y17" s="59" t="str">
        <f>IFERROR(VLOOKUP($A17,APOIO!$A:$A,1,FALSE),"ERRO")</f>
        <v>ERRO</v>
      </c>
    </row>
    <row r="18" spans="1:26" customFormat="1" ht="15" x14ac:dyDescent="0.25">
      <c r="A18" s="94"/>
      <c r="B18" s="32" t="str">
        <f>IF($A18="","",VLOOKUP($A18,APOIO!$A:$E,2,FALSE))</f>
        <v/>
      </c>
      <c r="C18" s="94"/>
      <c r="D18" s="32" t="str">
        <f>IF($A18="","",INDEX(APOIO!$D:$D,MATCH(CONCATENATE($A18,"_",$B18,"_",$C18),APOIO!$F:$F,0)))</f>
        <v/>
      </c>
      <c r="E18" s="31"/>
      <c r="F18" s="31"/>
      <c r="G18" s="33"/>
      <c r="H18" s="94"/>
      <c r="I18" s="32" t="str">
        <f>IF($A18="","",VLOOKUP($H18,APOIO!$L:$M,2,FALSE))</f>
        <v/>
      </c>
      <c r="J18" s="31"/>
      <c r="K18" s="32" t="str">
        <f>IF($A18="","",VLOOKUP($J18,APOIO!$H:$J,2,FALSE))</f>
        <v/>
      </c>
      <c r="L18" s="32" t="str">
        <f>IF($A18="","",VLOOKUP($J18,APOIO!$H:$J,3,FALSE))</f>
        <v/>
      </c>
      <c r="M18" s="31"/>
      <c r="N18" s="34"/>
      <c r="O18" s="32"/>
      <c r="P18" s="32"/>
      <c r="Q18" s="32"/>
      <c r="R18" s="32"/>
      <c r="S18" s="35"/>
      <c r="T18" s="91"/>
      <c r="U18" s="60"/>
      <c r="V18" s="36"/>
      <c r="W18" s="31"/>
      <c r="X18" s="59"/>
      <c r="Y18" s="59" t="str">
        <f>IFERROR(VLOOKUP($A18,APOIO!$A:$A,1,FALSE),"ERRO")</f>
        <v>ERRO</v>
      </c>
    </row>
    <row r="19" spans="1:26" customFormat="1" ht="15" x14ac:dyDescent="0.25">
      <c r="A19" s="94"/>
      <c r="B19" s="32" t="str">
        <f>IF($A19="","",VLOOKUP($A19,APOIO!$A:$E,2,FALSE))</f>
        <v/>
      </c>
      <c r="C19" s="94"/>
      <c r="D19" s="32" t="str">
        <f>IF($A19="","",INDEX(APOIO!$D:$D,MATCH(CONCATENATE($A19,"_",$B19,"_",$C19),APOIO!$F:$F,0)))</f>
        <v/>
      </c>
      <c r="E19" s="31"/>
      <c r="F19" s="31"/>
      <c r="G19" s="33"/>
      <c r="H19" s="94"/>
      <c r="I19" s="32" t="str">
        <f>IF($A19="","",VLOOKUP($H19,APOIO!$L:$M,2,FALSE))</f>
        <v/>
      </c>
      <c r="J19" s="31"/>
      <c r="K19" s="32" t="str">
        <f>IF($A19="","",VLOOKUP($J19,APOIO!$H:$J,2,FALSE))</f>
        <v/>
      </c>
      <c r="L19" s="32" t="str">
        <f>IF($A19="","",VLOOKUP($J19,APOIO!$H:$J,3,FALSE))</f>
        <v/>
      </c>
      <c r="M19" s="31"/>
      <c r="N19" s="34"/>
      <c r="O19" s="32"/>
      <c r="P19" s="32"/>
      <c r="Q19" s="32"/>
      <c r="R19" s="32"/>
      <c r="S19" s="35"/>
      <c r="T19" s="91"/>
      <c r="U19" s="60"/>
      <c r="V19" s="36"/>
      <c r="W19" s="31"/>
      <c r="X19" s="59"/>
      <c r="Y19" s="59" t="str">
        <f>IFERROR(VLOOKUP($A19,APOIO!$A:$A,1,FALSE),"ERRO")</f>
        <v>ERRO</v>
      </c>
    </row>
    <row r="20" spans="1:26" ht="15" x14ac:dyDescent="0.25">
      <c r="A20" s="94"/>
      <c r="B20" s="32" t="str">
        <f>IF($A20="","",VLOOKUP($A20,APOIO!$A:$E,2,FALSE))</f>
        <v/>
      </c>
      <c r="C20" s="94"/>
      <c r="D20" s="32" t="str">
        <f>IF($A20="","",INDEX(APOIO!$D:$D,MATCH(CONCATENATE($A20,"_",$B20,"_",$C20),APOIO!$F:$F,0)))</f>
        <v/>
      </c>
      <c r="E20" s="31"/>
      <c r="F20" s="31"/>
      <c r="G20" s="33"/>
      <c r="H20" s="94"/>
      <c r="I20" s="32" t="str">
        <f>IF($A20="","",VLOOKUP($H20,APOIO!$L:$M,2,FALSE))</f>
        <v/>
      </c>
      <c r="J20" s="31"/>
      <c r="K20" s="32" t="str">
        <f>IF($A20="","",VLOOKUP($J20,APOIO!$H:$J,2,FALSE))</f>
        <v/>
      </c>
      <c r="L20" s="32" t="str">
        <f>IF($A20="","",VLOOKUP($J20,APOIO!$H:$J,3,FALSE))</f>
        <v/>
      </c>
      <c r="M20" s="31"/>
      <c r="N20" s="34"/>
      <c r="O20" s="32"/>
      <c r="P20" s="32"/>
      <c r="Q20" s="32"/>
      <c r="R20" s="32"/>
      <c r="S20" s="35"/>
      <c r="T20" s="91"/>
      <c r="U20" s="60"/>
      <c r="V20" s="36"/>
      <c r="W20" s="31"/>
      <c r="X20" s="59"/>
      <c r="Y20" s="59" t="str">
        <f>IFERROR(VLOOKUP($A20,APOIO!$A:$A,1,FALSE),"ERRO")</f>
        <v>ERRO</v>
      </c>
      <c r="Z20"/>
    </row>
    <row r="21" spans="1:26" ht="15" x14ac:dyDescent="0.25">
      <c r="A21" s="94"/>
      <c r="B21" s="32" t="str">
        <f>IF($A21="","",VLOOKUP($A21,APOIO!$A:$E,2,FALSE))</f>
        <v/>
      </c>
      <c r="C21" s="94"/>
      <c r="D21" s="32" t="str">
        <f>IF($A21="","",INDEX(APOIO!$D:$D,MATCH(CONCATENATE($A21,"_",$B21,"_",$C21),APOIO!$F:$F,0)))</f>
        <v/>
      </c>
      <c r="E21" s="31"/>
      <c r="F21" s="31"/>
      <c r="G21" s="33"/>
      <c r="H21" s="94"/>
      <c r="I21" s="32" t="str">
        <f>IF($A21="","",VLOOKUP($H21,APOIO!$L:$M,2,FALSE))</f>
        <v/>
      </c>
      <c r="J21" s="31"/>
      <c r="K21" s="32" t="str">
        <f>IF($A21="","",VLOOKUP($J21,APOIO!$H:$J,2,FALSE))</f>
        <v/>
      </c>
      <c r="L21" s="32" t="str">
        <f>IF($A21="","",VLOOKUP($J21,APOIO!$H:$J,3,FALSE))</f>
        <v/>
      </c>
      <c r="M21" s="31"/>
      <c r="N21" s="34"/>
      <c r="O21" s="32"/>
      <c r="P21" s="32"/>
      <c r="Q21" s="32"/>
      <c r="R21" s="32"/>
      <c r="S21" s="35"/>
      <c r="T21" s="91"/>
      <c r="U21" s="60"/>
      <c r="V21" s="36"/>
      <c r="W21" s="31"/>
      <c r="X21" s="59"/>
      <c r="Y21" s="59" t="str">
        <f>IFERROR(VLOOKUP($A21,APOIO!$A:$A,1,FALSE),"ERRO")</f>
        <v>ERRO</v>
      </c>
      <c r="Z21"/>
    </row>
    <row r="22" spans="1:26" ht="15" x14ac:dyDescent="0.25">
      <c r="A22" s="94"/>
      <c r="B22" s="32" t="str">
        <f>IF($A22="","",VLOOKUP($A22,APOIO!$A:$E,2,FALSE))</f>
        <v/>
      </c>
      <c r="C22" s="94"/>
      <c r="D22" s="32" t="str">
        <f>IF($A22="","",INDEX(APOIO!$D:$D,MATCH(CONCATENATE($A22,"_",$B22,"_",$C22),APOIO!$F:$F,0)))</f>
        <v/>
      </c>
      <c r="E22" s="31"/>
      <c r="F22" s="31"/>
      <c r="G22" s="33"/>
      <c r="H22" s="94"/>
      <c r="I22" s="32" t="str">
        <f>IF($A22="","",VLOOKUP($H22,APOIO!$L:$M,2,FALSE))</f>
        <v/>
      </c>
      <c r="J22" s="31"/>
      <c r="K22" s="32" t="str">
        <f>IF($A22="","",VLOOKUP($J22,APOIO!$H:$J,2,FALSE))</f>
        <v/>
      </c>
      <c r="L22" s="32" t="str">
        <f>IF($A22="","",VLOOKUP($J22,APOIO!$H:$J,3,FALSE))</f>
        <v/>
      </c>
      <c r="M22" s="31"/>
      <c r="N22" s="34"/>
      <c r="O22" s="32"/>
      <c r="P22" s="32"/>
      <c r="Q22" s="32"/>
      <c r="R22" s="32"/>
      <c r="S22" s="35"/>
      <c r="T22" s="91"/>
      <c r="U22" s="60"/>
      <c r="V22" s="36"/>
      <c r="W22" s="31"/>
      <c r="X22" s="59"/>
      <c r="Y22" s="59" t="str">
        <f>IFERROR(VLOOKUP($A22,APOIO!$A:$A,1,FALSE),"ERRO")</f>
        <v>ERRO</v>
      </c>
      <c r="Z22"/>
    </row>
    <row r="23" spans="1:26" ht="15" x14ac:dyDescent="0.25">
      <c r="A23" s="94"/>
      <c r="B23" s="32" t="str">
        <f>IF($A23="","",VLOOKUP($A23,APOIO!$A:$E,2,FALSE))</f>
        <v/>
      </c>
      <c r="C23" s="94"/>
      <c r="D23" s="32" t="str">
        <f>IF($A23="","",INDEX(APOIO!$D:$D,MATCH(CONCATENATE($A23,"_",$B23,"_",$C23),APOIO!$F:$F,0)))</f>
        <v/>
      </c>
      <c r="E23" s="31"/>
      <c r="F23" s="31"/>
      <c r="G23" s="33"/>
      <c r="H23" s="94"/>
      <c r="I23" s="32" t="str">
        <f>IF($A23="","",VLOOKUP($H23,APOIO!$L:$M,2,FALSE))</f>
        <v/>
      </c>
      <c r="J23" s="31"/>
      <c r="K23" s="32" t="str">
        <f>IF($A23="","",VLOOKUP($J23,APOIO!$H:$J,2,FALSE))</f>
        <v/>
      </c>
      <c r="L23" s="32" t="str">
        <f>IF($A23="","",VLOOKUP($J23,APOIO!$H:$J,3,FALSE))</f>
        <v/>
      </c>
      <c r="M23" s="31"/>
      <c r="N23" s="34"/>
      <c r="O23" s="32"/>
      <c r="P23" s="32"/>
      <c r="Q23" s="32"/>
      <c r="R23" s="32"/>
      <c r="S23" s="35"/>
      <c r="T23" s="91"/>
      <c r="U23" s="60"/>
      <c r="V23" s="36"/>
      <c r="W23" s="31"/>
      <c r="X23" s="59"/>
      <c r="Y23" s="59" t="str">
        <f>IFERROR(VLOOKUP($A23,APOIO!$A:$A,1,FALSE),"ERRO")</f>
        <v>ERRO</v>
      </c>
      <c r="Z23"/>
    </row>
    <row r="24" spans="1:26" ht="15" x14ac:dyDescent="0.25">
      <c r="A24" s="94"/>
      <c r="B24" s="32" t="str">
        <f>IF($A24="","",VLOOKUP($A24,APOIO!$A:$E,2,FALSE))</f>
        <v/>
      </c>
      <c r="C24" s="94"/>
      <c r="D24" s="32" t="str">
        <f>IF($A24="","",INDEX(APOIO!$D:$D,MATCH(CONCATENATE($A24,"_",$B24,"_",$C24),APOIO!$F:$F,0)))</f>
        <v/>
      </c>
      <c r="E24" s="31"/>
      <c r="F24" s="31"/>
      <c r="G24" s="33"/>
      <c r="H24" s="94"/>
      <c r="I24" s="32" t="str">
        <f>IF($A24="","",VLOOKUP($H24,APOIO!$L:$M,2,FALSE))</f>
        <v/>
      </c>
      <c r="J24" s="31"/>
      <c r="K24" s="32" t="str">
        <f>IF($A24="","",VLOOKUP($J24,APOIO!$H:$J,2,FALSE))</f>
        <v/>
      </c>
      <c r="L24" s="32" t="str">
        <f>IF($A24="","",VLOOKUP($J24,APOIO!$H:$J,3,FALSE))</f>
        <v/>
      </c>
      <c r="M24" s="31"/>
      <c r="N24" s="34"/>
      <c r="O24" s="32"/>
      <c r="P24" s="32"/>
      <c r="Q24" s="32"/>
      <c r="R24" s="32"/>
      <c r="S24" s="35"/>
      <c r="T24" s="91"/>
      <c r="U24" s="60"/>
      <c r="V24" s="36"/>
      <c r="W24" s="31"/>
      <c r="X24" s="59"/>
      <c r="Y24" s="59" t="str">
        <f>IFERROR(VLOOKUP($A24,APOIO!$A:$A,1,FALSE),"ERRO")</f>
        <v>ERRO</v>
      </c>
      <c r="Z24"/>
    </row>
    <row r="25" spans="1:26" ht="15" x14ac:dyDescent="0.25">
      <c r="A25" s="94"/>
      <c r="B25" s="32" t="str">
        <f>IF($A25="","",VLOOKUP($A25,APOIO!$A:$E,2,FALSE))</f>
        <v/>
      </c>
      <c r="C25" s="94"/>
      <c r="D25" s="32" t="str">
        <f>IF($A25="","",INDEX(APOIO!$D:$D,MATCH(CONCATENATE($A25,"_",$B25,"_",$C25),APOIO!$F:$F,0)))</f>
        <v/>
      </c>
      <c r="E25" s="31"/>
      <c r="F25" s="31"/>
      <c r="G25" s="33"/>
      <c r="H25" s="94"/>
      <c r="I25" s="32" t="str">
        <f>IF($A25="","",VLOOKUP($H25,APOIO!$L:$M,2,FALSE))</f>
        <v/>
      </c>
      <c r="J25" s="31"/>
      <c r="K25" s="32" t="str">
        <f>IF($A25="","",VLOOKUP($J25,APOIO!$H:$J,2,FALSE))</f>
        <v/>
      </c>
      <c r="L25" s="32" t="str">
        <f>IF($A25="","",VLOOKUP($J25,APOIO!$H:$J,3,FALSE))</f>
        <v/>
      </c>
      <c r="M25" s="31"/>
      <c r="N25" s="34"/>
      <c r="O25" s="32"/>
      <c r="P25" s="32"/>
      <c r="Q25" s="32"/>
      <c r="R25" s="32"/>
      <c r="S25" s="35"/>
      <c r="T25" s="91"/>
      <c r="U25" s="60"/>
      <c r="V25" s="36"/>
      <c r="W25" s="31"/>
      <c r="X25" s="59"/>
      <c r="Y25" s="59" t="str">
        <f>IFERROR(VLOOKUP($A25,APOIO!$A:$A,1,FALSE),"ERRO")</f>
        <v>ERRO</v>
      </c>
      <c r="Z25"/>
    </row>
    <row r="26" spans="1:26" ht="15" x14ac:dyDescent="0.25">
      <c r="A26" s="94"/>
      <c r="B26" s="32" t="str">
        <f>IF($A26="","",VLOOKUP($A26,APOIO!$A:$E,2,FALSE))</f>
        <v/>
      </c>
      <c r="C26" s="94"/>
      <c r="D26" s="32" t="str">
        <f>IF($A26="","",INDEX(APOIO!$D:$D,MATCH(CONCATENATE($A26,"_",$B26,"_",$C26),APOIO!$F:$F,0)))</f>
        <v/>
      </c>
      <c r="E26" s="31"/>
      <c r="F26" s="31"/>
      <c r="G26" s="33"/>
      <c r="H26" s="94"/>
      <c r="I26" s="32" t="str">
        <f>IF($A26="","",VLOOKUP($H26,APOIO!$L:$M,2,FALSE))</f>
        <v/>
      </c>
      <c r="J26" s="31"/>
      <c r="K26" s="32" t="str">
        <f>IF($A26="","",VLOOKUP($J26,APOIO!$H:$J,2,FALSE))</f>
        <v/>
      </c>
      <c r="L26" s="32" t="str">
        <f>IF($A26="","",VLOOKUP($J26,APOIO!$H:$J,3,FALSE))</f>
        <v/>
      </c>
      <c r="M26" s="31"/>
      <c r="N26" s="34"/>
      <c r="O26" s="32"/>
      <c r="P26" s="32"/>
      <c r="Q26" s="32"/>
      <c r="R26" s="32"/>
      <c r="S26" s="35"/>
      <c r="T26" s="91"/>
      <c r="U26" s="60"/>
      <c r="V26" s="36"/>
      <c r="W26" s="31"/>
      <c r="X26" s="59"/>
      <c r="Y26" s="59" t="str">
        <f>IFERROR(VLOOKUP($A26,APOIO!$A:$A,1,FALSE),"ERRO")</f>
        <v>ERRO</v>
      </c>
      <c r="Z26"/>
    </row>
    <row r="27" spans="1:26" ht="15" x14ac:dyDescent="0.25">
      <c r="A27" s="94"/>
      <c r="B27" s="32" t="str">
        <f>IF($A27="","",VLOOKUP($A27,APOIO!$A:$E,2,FALSE))</f>
        <v/>
      </c>
      <c r="C27" s="94"/>
      <c r="D27" s="32" t="str">
        <f>IF($A27="","",INDEX(APOIO!$D:$D,MATCH(CONCATENATE($A27,"_",$B27,"_",$C27),APOIO!$F:$F,0)))</f>
        <v/>
      </c>
      <c r="E27" s="31"/>
      <c r="F27" s="31"/>
      <c r="G27" s="33"/>
      <c r="H27" s="94"/>
      <c r="I27" s="32" t="str">
        <f>IF($A27="","",VLOOKUP($H27,APOIO!$L:$M,2,FALSE))</f>
        <v/>
      </c>
      <c r="J27" s="31"/>
      <c r="K27" s="32" t="str">
        <f>IF($A27="","",VLOOKUP($J27,APOIO!$H:$J,2,FALSE))</f>
        <v/>
      </c>
      <c r="L27" s="32" t="str">
        <f>IF($A27="","",VLOOKUP($J27,APOIO!$H:$J,3,FALSE))</f>
        <v/>
      </c>
      <c r="M27" s="31"/>
      <c r="N27" s="34"/>
      <c r="O27" s="32"/>
      <c r="P27" s="32"/>
      <c r="Q27" s="32"/>
      <c r="R27" s="32"/>
      <c r="S27" s="35"/>
      <c r="T27" s="91"/>
      <c r="U27" s="60"/>
      <c r="V27" s="36"/>
      <c r="W27" s="31"/>
      <c r="X27" s="59"/>
      <c r="Y27" s="59" t="str">
        <f>IFERROR(VLOOKUP($A27,APOIO!$A:$A,1,FALSE),"ERRO")</f>
        <v>ERRO</v>
      </c>
      <c r="Z27"/>
    </row>
    <row r="28" spans="1:26" ht="15" x14ac:dyDescent="0.25">
      <c r="A28" s="94"/>
      <c r="B28" s="32" t="str">
        <f>IF($A28="","",VLOOKUP($A28,APOIO!$A:$E,2,FALSE))</f>
        <v/>
      </c>
      <c r="C28" s="94"/>
      <c r="D28" s="32" t="str">
        <f>IF($A28="","",INDEX(APOIO!$D:$D,MATCH(CONCATENATE($A28,"_",$B28,"_",$C28),APOIO!$F:$F,0)))</f>
        <v/>
      </c>
      <c r="E28" s="31"/>
      <c r="F28" s="31"/>
      <c r="G28" s="33"/>
      <c r="H28" s="94"/>
      <c r="I28" s="32" t="str">
        <f>IF($A28="","",VLOOKUP($H28,APOIO!$L:$M,2,FALSE))</f>
        <v/>
      </c>
      <c r="J28" s="31"/>
      <c r="K28" s="32" t="str">
        <f>IF($A28="","",VLOOKUP($J28,APOIO!$H:$J,2,FALSE))</f>
        <v/>
      </c>
      <c r="L28" s="32" t="str">
        <f>IF($A28="","",VLOOKUP($J28,APOIO!$H:$J,3,FALSE))</f>
        <v/>
      </c>
      <c r="M28" s="31"/>
      <c r="N28" s="34"/>
      <c r="O28" s="32"/>
      <c r="P28" s="32"/>
      <c r="Q28" s="32"/>
      <c r="R28" s="32"/>
      <c r="S28" s="35"/>
      <c r="T28" s="91"/>
      <c r="U28" s="60"/>
      <c r="V28" s="36"/>
      <c r="W28" s="31"/>
      <c r="X28" s="59"/>
      <c r="Y28" s="59" t="str">
        <f>IFERROR(VLOOKUP($A28,APOIO!$A:$A,1,FALSE),"ERRO")</f>
        <v>ERRO</v>
      </c>
      <c r="Z28"/>
    </row>
    <row r="29" spans="1:26" ht="15" x14ac:dyDescent="0.25">
      <c r="A29" s="94"/>
      <c r="B29" s="32" t="str">
        <f>IF($A29="","",VLOOKUP($A29,APOIO!$A:$E,2,FALSE))</f>
        <v/>
      </c>
      <c r="C29" s="94"/>
      <c r="D29" s="32" t="str">
        <f>IF($A29="","",INDEX(APOIO!$D:$D,MATCH(CONCATENATE($A29,"_",$B29,"_",$C29),APOIO!$F:$F,0)))</f>
        <v/>
      </c>
      <c r="E29" s="31"/>
      <c r="F29" s="31"/>
      <c r="G29" s="33"/>
      <c r="H29" s="94"/>
      <c r="I29" s="32" t="str">
        <f>IF($A29="","",VLOOKUP($H29,APOIO!$L:$M,2,FALSE))</f>
        <v/>
      </c>
      <c r="J29" s="31"/>
      <c r="K29" s="32" t="str">
        <f>IF($A29="","",VLOOKUP($J29,APOIO!$H:$J,2,FALSE))</f>
        <v/>
      </c>
      <c r="L29" s="32" t="str">
        <f>IF($A29="","",VLOOKUP($J29,APOIO!$H:$J,3,FALSE))</f>
        <v/>
      </c>
      <c r="M29" s="31"/>
      <c r="N29" s="34"/>
      <c r="O29" s="32"/>
      <c r="P29" s="32"/>
      <c r="Q29" s="32"/>
      <c r="R29" s="32"/>
      <c r="S29" s="35"/>
      <c r="T29" s="91"/>
      <c r="U29" s="60"/>
      <c r="V29" s="36"/>
      <c r="W29" s="31"/>
      <c r="X29" s="59"/>
      <c r="Y29" s="59" t="str">
        <f>IFERROR(VLOOKUP($A29,APOIO!$A:$A,1,FALSE),"ERRO")</f>
        <v>ERRO</v>
      </c>
      <c r="Z29"/>
    </row>
    <row r="30" spans="1:26" ht="15" x14ac:dyDescent="0.25">
      <c r="A30" s="94"/>
      <c r="B30" s="32" t="str">
        <f>IF($A30="","",VLOOKUP($A30,APOIO!$A:$E,2,FALSE))</f>
        <v/>
      </c>
      <c r="C30" s="94"/>
      <c r="D30" s="32" t="str">
        <f>IF($A30="","",INDEX(APOIO!$D:$D,MATCH(CONCATENATE($A30,"_",$B30,"_",$C30),APOIO!$F:$F,0)))</f>
        <v/>
      </c>
      <c r="E30" s="31"/>
      <c r="F30" s="31"/>
      <c r="G30" s="33"/>
      <c r="H30" s="94"/>
      <c r="I30" s="32" t="str">
        <f>IF($A30="","",VLOOKUP($H30,APOIO!$L:$M,2,FALSE))</f>
        <v/>
      </c>
      <c r="J30" s="31"/>
      <c r="K30" s="32" t="str">
        <f>IF($A30="","",VLOOKUP($J30,APOIO!$H:$J,2,FALSE))</f>
        <v/>
      </c>
      <c r="L30" s="32" t="str">
        <f>IF($A30="","",VLOOKUP($J30,APOIO!$H:$J,3,FALSE))</f>
        <v/>
      </c>
      <c r="M30" s="31"/>
      <c r="N30" s="34"/>
      <c r="O30" s="32"/>
      <c r="P30" s="32"/>
      <c r="Q30" s="32"/>
      <c r="R30" s="32"/>
      <c r="S30" s="35"/>
      <c r="T30" s="91"/>
      <c r="U30" s="60"/>
      <c r="V30" s="36"/>
      <c r="W30" s="31"/>
      <c r="X30" s="59"/>
      <c r="Y30" s="59" t="str">
        <f>IFERROR(VLOOKUP($A30,APOIO!$A:$A,1,FALSE),"ERRO")</f>
        <v>ERRO</v>
      </c>
      <c r="Z30"/>
    </row>
    <row r="31" spans="1:26" ht="15" x14ac:dyDescent="0.25">
      <c r="A31" s="94"/>
      <c r="B31" s="32" t="str">
        <f>IF($A31="","",VLOOKUP($A31,APOIO!$A:$E,2,FALSE))</f>
        <v/>
      </c>
      <c r="C31" s="94"/>
      <c r="D31" s="32" t="str">
        <f>IF($A31="","",INDEX(APOIO!$D:$D,MATCH(CONCATENATE($A31,"_",$B31,"_",$C31),APOIO!$F:$F,0)))</f>
        <v/>
      </c>
      <c r="E31" s="31"/>
      <c r="F31" s="31"/>
      <c r="G31" s="33"/>
      <c r="H31" s="94"/>
      <c r="I31" s="32" t="str">
        <f>IF($A31="","",VLOOKUP($H31,APOIO!$L:$M,2,FALSE))</f>
        <v/>
      </c>
      <c r="J31" s="31"/>
      <c r="K31" s="32" t="str">
        <f>IF($A31="","",VLOOKUP($J31,APOIO!$H:$J,2,FALSE))</f>
        <v/>
      </c>
      <c r="L31" s="32" t="str">
        <f>IF($A31="","",VLOOKUP($J31,APOIO!$H:$J,3,FALSE))</f>
        <v/>
      </c>
      <c r="M31" s="31"/>
      <c r="N31" s="34"/>
      <c r="O31" s="32"/>
      <c r="P31" s="32"/>
      <c r="Q31" s="32"/>
      <c r="R31" s="32"/>
      <c r="S31" s="35"/>
      <c r="T31" s="91"/>
      <c r="U31" s="60"/>
      <c r="V31" s="36"/>
      <c r="W31" s="31"/>
      <c r="X31" s="59"/>
      <c r="Y31" s="59" t="str">
        <f>IFERROR(VLOOKUP($A31,APOIO!$A:$A,1,FALSE),"ERRO")</f>
        <v>ERRO</v>
      </c>
      <c r="Z31"/>
    </row>
    <row r="32" spans="1:26" ht="15" x14ac:dyDescent="0.25">
      <c r="A32" s="94"/>
      <c r="B32" s="32" t="str">
        <f>IF($A32="","",VLOOKUP($A32,APOIO!$A:$E,2,FALSE))</f>
        <v/>
      </c>
      <c r="C32" s="94"/>
      <c r="D32" s="32" t="str">
        <f>IF($A32="","",INDEX(APOIO!$D:$D,MATCH(CONCATENATE($A32,"_",$B32,"_",$C32),APOIO!$F:$F,0)))</f>
        <v/>
      </c>
      <c r="E32" s="31"/>
      <c r="F32" s="31"/>
      <c r="G32" s="33"/>
      <c r="H32" s="94"/>
      <c r="I32" s="32" t="str">
        <f>IF($A32="","",VLOOKUP($H32,APOIO!$L:$M,2,FALSE))</f>
        <v/>
      </c>
      <c r="J32" s="31"/>
      <c r="K32" s="32" t="str">
        <f>IF($A32="","",VLOOKUP($J32,APOIO!$H:$J,2,FALSE))</f>
        <v/>
      </c>
      <c r="L32" s="32" t="str">
        <f>IF($A32="","",VLOOKUP($J32,APOIO!$H:$J,3,FALSE))</f>
        <v/>
      </c>
      <c r="M32" s="31"/>
      <c r="N32" s="34"/>
      <c r="O32" s="32"/>
      <c r="P32" s="32"/>
      <c r="Q32" s="32"/>
      <c r="R32" s="32"/>
      <c r="S32" s="35"/>
      <c r="T32" s="91"/>
      <c r="U32" s="60"/>
      <c r="V32" s="36"/>
      <c r="W32" s="31"/>
      <c r="X32" s="59"/>
      <c r="Y32" s="59" t="str">
        <f>IFERROR(VLOOKUP($A32,APOIO!$A:$A,1,FALSE),"ERRO")</f>
        <v>ERRO</v>
      </c>
      <c r="Z32"/>
    </row>
    <row r="33" spans="1:26" ht="15" x14ac:dyDescent="0.25">
      <c r="A33" s="94"/>
      <c r="B33" s="32" t="str">
        <f>IF($A33="","",VLOOKUP($A33,APOIO!$A:$E,2,FALSE))</f>
        <v/>
      </c>
      <c r="C33" s="94"/>
      <c r="D33" s="32" t="str">
        <f>IF($A33="","",INDEX(APOIO!$D:$D,MATCH(CONCATENATE($A33,"_",$B33,"_",$C33),APOIO!$F:$F,0)))</f>
        <v/>
      </c>
      <c r="E33" s="31"/>
      <c r="F33" s="31"/>
      <c r="G33" s="33"/>
      <c r="H33" s="94"/>
      <c r="I33" s="32" t="str">
        <f>IF($A33="","",VLOOKUP($H33,APOIO!$L:$M,2,FALSE))</f>
        <v/>
      </c>
      <c r="J33" s="31"/>
      <c r="K33" s="32" t="str">
        <f>IF($A33="","",VLOOKUP($J33,APOIO!$H:$J,2,FALSE))</f>
        <v/>
      </c>
      <c r="L33" s="32" t="str">
        <f>IF($A33="","",VLOOKUP($J33,APOIO!$H:$J,3,FALSE))</f>
        <v/>
      </c>
      <c r="M33" s="31"/>
      <c r="N33" s="34"/>
      <c r="O33" s="32"/>
      <c r="P33" s="32"/>
      <c r="Q33" s="32"/>
      <c r="R33" s="32"/>
      <c r="S33" s="35"/>
      <c r="T33" s="91"/>
      <c r="U33" s="60"/>
      <c r="V33" s="36"/>
      <c r="W33" s="31"/>
      <c r="X33" s="59"/>
      <c r="Y33" s="59" t="str">
        <f>IFERROR(VLOOKUP($A33,APOIO!$A:$A,1,FALSE),"ERRO")</f>
        <v>ERRO</v>
      </c>
      <c r="Z33"/>
    </row>
    <row r="34" spans="1:26" ht="15" x14ac:dyDescent="0.25">
      <c r="A34" s="94"/>
      <c r="B34" s="32" t="str">
        <f>IF($A34="","",VLOOKUP($A34,APOIO!$A:$E,2,FALSE))</f>
        <v/>
      </c>
      <c r="C34" s="94"/>
      <c r="D34" s="32" t="str">
        <f>IF($A34="","",INDEX(APOIO!$D:$D,MATCH(CONCATENATE($A34,"_",$B34,"_",$C34),APOIO!$F:$F,0)))</f>
        <v/>
      </c>
      <c r="E34" s="31"/>
      <c r="F34" s="31"/>
      <c r="G34" s="33"/>
      <c r="H34" s="94"/>
      <c r="I34" s="32" t="str">
        <f>IF($A34="","",VLOOKUP($H34,APOIO!$L:$M,2,FALSE))</f>
        <v/>
      </c>
      <c r="J34" s="31"/>
      <c r="K34" s="32" t="str">
        <f>IF($A34="","",VLOOKUP($J34,APOIO!$H:$J,2,FALSE))</f>
        <v/>
      </c>
      <c r="L34" s="32" t="str">
        <f>IF($A34="","",VLOOKUP($J34,APOIO!$H:$J,3,FALSE))</f>
        <v/>
      </c>
      <c r="M34" s="31"/>
      <c r="N34" s="34"/>
      <c r="O34" s="32"/>
      <c r="P34" s="32"/>
      <c r="Q34" s="32"/>
      <c r="R34" s="32"/>
      <c r="S34" s="35"/>
      <c r="T34" s="91"/>
      <c r="U34" s="60"/>
      <c r="V34" s="36"/>
      <c r="W34" s="31"/>
      <c r="X34" s="59"/>
      <c r="Y34" s="59" t="str">
        <f>IFERROR(VLOOKUP($A34,APOIO!$A:$A,1,FALSE),"ERRO")</f>
        <v>ERRO</v>
      </c>
      <c r="Z34"/>
    </row>
    <row r="35" spans="1:26" ht="15" x14ac:dyDescent="0.25">
      <c r="A35" s="94"/>
      <c r="B35" s="32" t="str">
        <f>IF($A35="","",VLOOKUP($A35,APOIO!$A:$E,2,FALSE))</f>
        <v/>
      </c>
      <c r="C35" s="94"/>
      <c r="D35" s="32" t="str">
        <f>IF($A35="","",INDEX(APOIO!$D:$D,MATCH(CONCATENATE($A35,"_",$B35,"_",$C35),APOIO!$F:$F,0)))</f>
        <v/>
      </c>
      <c r="E35" s="31"/>
      <c r="F35" s="31"/>
      <c r="G35" s="33"/>
      <c r="H35" s="94"/>
      <c r="I35" s="32" t="str">
        <f>IF($A35="","",VLOOKUP($H35,APOIO!$L:$M,2,FALSE))</f>
        <v/>
      </c>
      <c r="J35" s="31"/>
      <c r="K35" s="32" t="str">
        <f>IF($A35="","",VLOOKUP($J35,APOIO!$H:$J,2,FALSE))</f>
        <v/>
      </c>
      <c r="L35" s="32" t="str">
        <f>IF($A35="","",VLOOKUP($J35,APOIO!$H:$J,3,FALSE))</f>
        <v/>
      </c>
      <c r="M35" s="31"/>
      <c r="N35" s="34"/>
      <c r="O35" s="32"/>
      <c r="P35" s="32"/>
      <c r="Q35" s="32"/>
      <c r="R35" s="32"/>
      <c r="S35" s="35"/>
      <c r="T35" s="91"/>
      <c r="U35" s="60"/>
      <c r="V35" s="36"/>
      <c r="W35" s="31"/>
      <c r="X35" s="59"/>
      <c r="Y35" s="59" t="str">
        <f>IFERROR(VLOOKUP($A35,APOIO!$A:$A,1,FALSE),"ERRO")</f>
        <v>ERRO</v>
      </c>
      <c r="Z35"/>
    </row>
    <row r="36" spans="1:26" ht="15" x14ac:dyDescent="0.25">
      <c r="A36" s="94"/>
      <c r="B36" s="32" t="str">
        <f>IF($A36="","",VLOOKUP($A36,APOIO!$A:$E,2,FALSE))</f>
        <v/>
      </c>
      <c r="C36" s="94"/>
      <c r="D36" s="32" t="str">
        <f>IF($A36="","",INDEX(APOIO!$D:$D,MATCH(CONCATENATE($A36,"_",$B36,"_",$C36),APOIO!$F:$F,0)))</f>
        <v/>
      </c>
      <c r="E36" s="31"/>
      <c r="F36" s="31"/>
      <c r="G36" s="33"/>
      <c r="H36" s="94"/>
      <c r="I36" s="32" t="str">
        <f>IF($A36="","",VLOOKUP($H36,APOIO!$L:$M,2,FALSE))</f>
        <v/>
      </c>
      <c r="J36" s="31"/>
      <c r="K36" s="32" t="str">
        <f>IF($A36="","",VLOOKUP($J36,APOIO!$H:$J,2,FALSE))</f>
        <v/>
      </c>
      <c r="L36" s="32" t="str">
        <f>IF($A36="","",VLOOKUP($J36,APOIO!$H:$J,3,FALSE))</f>
        <v/>
      </c>
      <c r="M36" s="31"/>
      <c r="N36" s="34"/>
      <c r="O36" s="32"/>
      <c r="P36" s="32"/>
      <c r="Q36" s="32"/>
      <c r="R36" s="32"/>
      <c r="S36" s="35"/>
      <c r="T36" s="91"/>
      <c r="U36" s="60"/>
      <c r="V36" s="36"/>
      <c r="W36" s="31"/>
      <c r="X36" s="59"/>
      <c r="Y36" s="59" t="str">
        <f>IFERROR(VLOOKUP($A36,APOIO!$A:$A,1,FALSE),"ERRO")</f>
        <v>ERRO</v>
      </c>
      <c r="Z36"/>
    </row>
    <row r="37" spans="1:26" ht="15" x14ac:dyDescent="0.25">
      <c r="A37" s="94"/>
      <c r="B37" s="32" t="str">
        <f>IF($A37="","",VLOOKUP($A37,APOIO!$A:$E,2,FALSE))</f>
        <v/>
      </c>
      <c r="C37" s="94"/>
      <c r="D37" s="32" t="str">
        <f>IF($A37="","",INDEX(APOIO!$D:$D,MATCH(CONCATENATE($A37,"_",$B37,"_",$C37),APOIO!$F:$F,0)))</f>
        <v/>
      </c>
      <c r="E37" s="31"/>
      <c r="F37" s="31"/>
      <c r="G37" s="33"/>
      <c r="H37" s="94"/>
      <c r="I37" s="32" t="str">
        <f>IF($A37="","",VLOOKUP($H37,APOIO!$L:$M,2,FALSE))</f>
        <v/>
      </c>
      <c r="J37" s="31"/>
      <c r="K37" s="32" t="str">
        <f>IF($A37="","",VLOOKUP($J37,APOIO!$H:$J,2,FALSE))</f>
        <v/>
      </c>
      <c r="L37" s="32" t="str">
        <f>IF($A37="","",VLOOKUP($J37,APOIO!$H:$J,3,FALSE))</f>
        <v/>
      </c>
      <c r="M37" s="31"/>
      <c r="N37" s="34"/>
      <c r="O37" s="32"/>
      <c r="P37" s="32"/>
      <c r="Q37" s="32"/>
      <c r="R37" s="32"/>
      <c r="S37" s="35"/>
      <c r="T37" s="91"/>
      <c r="U37" s="60"/>
      <c r="V37" s="36"/>
      <c r="W37" s="31"/>
      <c r="X37" s="59"/>
      <c r="Y37" s="59" t="str">
        <f>IFERROR(VLOOKUP($A37,APOIO!$A:$A,1,FALSE),"ERRO")</f>
        <v>ERRO</v>
      </c>
      <c r="Z37"/>
    </row>
    <row r="38" spans="1:26" ht="15" x14ac:dyDescent="0.25">
      <c r="A38" s="94"/>
      <c r="B38" s="32" t="str">
        <f>IF($A38="","",VLOOKUP($A38,APOIO!$A:$E,2,FALSE))</f>
        <v/>
      </c>
      <c r="C38" s="94"/>
      <c r="D38" s="32" t="str">
        <f>IF($A38="","",INDEX(APOIO!$D:$D,MATCH(CONCATENATE($A38,"_",$B38,"_",$C38),APOIO!$F:$F,0)))</f>
        <v/>
      </c>
      <c r="E38" s="31"/>
      <c r="F38" s="31"/>
      <c r="G38" s="33"/>
      <c r="H38" s="94"/>
      <c r="I38" s="32" t="str">
        <f>IF($A38="","",VLOOKUP($H38,APOIO!$L:$M,2,FALSE))</f>
        <v/>
      </c>
      <c r="J38" s="31"/>
      <c r="K38" s="32" t="str">
        <f>IF($A38="","",VLOOKUP($J38,APOIO!$H:$J,2,FALSE))</f>
        <v/>
      </c>
      <c r="L38" s="32" t="str">
        <f>IF($A38="","",VLOOKUP($J38,APOIO!$H:$J,3,FALSE))</f>
        <v/>
      </c>
      <c r="M38" s="31"/>
      <c r="N38" s="34"/>
      <c r="O38" s="32"/>
      <c r="P38" s="32"/>
      <c r="Q38" s="32"/>
      <c r="R38" s="32"/>
      <c r="S38" s="35"/>
      <c r="T38" s="91"/>
      <c r="U38" s="60"/>
      <c r="V38" s="36"/>
      <c r="W38" s="31"/>
      <c r="X38" s="59"/>
      <c r="Y38" s="59" t="str">
        <f>IFERROR(VLOOKUP($A38,APOIO!$A:$A,1,FALSE),"ERRO")</f>
        <v>ERRO</v>
      </c>
      <c r="Z38"/>
    </row>
    <row r="39" spans="1:26" ht="15" x14ac:dyDescent="0.25">
      <c r="A39" s="94"/>
      <c r="B39" s="32" t="str">
        <f>IF($A39="","",VLOOKUP($A39,APOIO!$A:$E,2,FALSE))</f>
        <v/>
      </c>
      <c r="C39" s="94"/>
      <c r="D39" s="32" t="str">
        <f>IF($A39="","",INDEX(APOIO!$D:$D,MATCH(CONCATENATE($A39,"_",$B39,"_",$C39),APOIO!$F:$F,0)))</f>
        <v/>
      </c>
      <c r="E39" s="31"/>
      <c r="F39" s="31"/>
      <c r="G39" s="33"/>
      <c r="H39" s="94"/>
      <c r="I39" s="32" t="str">
        <f>IF($A39="","",VLOOKUP($H39,APOIO!$L:$M,2,FALSE))</f>
        <v/>
      </c>
      <c r="J39" s="31"/>
      <c r="K39" s="32" t="str">
        <f>IF($A39="","",VLOOKUP($J39,APOIO!$H:$J,2,FALSE))</f>
        <v/>
      </c>
      <c r="L39" s="32" t="str">
        <f>IF($A39="","",VLOOKUP($J39,APOIO!$H:$J,3,FALSE))</f>
        <v/>
      </c>
      <c r="M39" s="31"/>
      <c r="N39" s="34"/>
      <c r="O39" s="32"/>
      <c r="P39" s="32"/>
      <c r="Q39" s="32"/>
      <c r="R39" s="32"/>
      <c r="S39" s="35"/>
      <c r="T39" s="91"/>
      <c r="U39" s="60"/>
      <c r="V39" s="36"/>
      <c r="W39" s="31"/>
      <c r="X39" s="59"/>
      <c r="Y39" s="59" t="str">
        <f>IFERROR(VLOOKUP($A39,APOIO!$A:$A,1,FALSE),"ERRO")</f>
        <v>ERRO</v>
      </c>
      <c r="Z39"/>
    </row>
    <row r="40" spans="1:26" ht="15" x14ac:dyDescent="0.25">
      <c r="A40" s="94"/>
      <c r="B40" s="32" t="str">
        <f>IF($A40="","",VLOOKUP($A40,APOIO!$A:$E,2,FALSE))</f>
        <v/>
      </c>
      <c r="C40" s="94"/>
      <c r="D40" s="32" t="str">
        <f>IF($A40="","",INDEX(APOIO!$D:$D,MATCH(CONCATENATE($A40,"_",$B40,"_",$C40),APOIO!$F:$F,0)))</f>
        <v/>
      </c>
      <c r="E40" s="31"/>
      <c r="F40" s="31"/>
      <c r="G40" s="33"/>
      <c r="H40" s="94"/>
      <c r="I40" s="32" t="str">
        <f>IF($A40="","",VLOOKUP($H40,APOIO!$L:$M,2,FALSE))</f>
        <v/>
      </c>
      <c r="J40" s="31"/>
      <c r="K40" s="32" t="str">
        <f>IF($A40="","",VLOOKUP($J40,APOIO!$H:$J,2,FALSE))</f>
        <v/>
      </c>
      <c r="L40" s="32" t="str">
        <f>IF($A40="","",VLOOKUP($J40,APOIO!$H:$J,3,FALSE))</f>
        <v/>
      </c>
      <c r="M40" s="31"/>
      <c r="N40" s="34"/>
      <c r="O40" s="32"/>
      <c r="P40" s="32"/>
      <c r="Q40" s="32"/>
      <c r="R40" s="32"/>
      <c r="S40" s="35"/>
      <c r="T40" s="91"/>
      <c r="U40" s="60"/>
      <c r="V40" s="36"/>
      <c r="W40" s="31"/>
      <c r="X40" s="59"/>
      <c r="Y40" s="59" t="str">
        <f>IFERROR(VLOOKUP($A40,APOIO!$A:$A,1,FALSE),"ERRO")</f>
        <v>ERRO</v>
      </c>
      <c r="Z40"/>
    </row>
    <row r="41" spans="1:26" ht="15" x14ac:dyDescent="0.25">
      <c r="A41" s="94"/>
      <c r="B41" s="32" t="str">
        <f>IF($A41="","",VLOOKUP($A41,APOIO!$A:$E,2,FALSE))</f>
        <v/>
      </c>
      <c r="C41" s="94"/>
      <c r="D41" s="32" t="str">
        <f>IF($A41="","",INDEX(APOIO!$D:$D,MATCH(CONCATENATE($A41,"_",$B41,"_",$C41),APOIO!$F:$F,0)))</f>
        <v/>
      </c>
      <c r="E41" s="31"/>
      <c r="F41" s="31"/>
      <c r="G41" s="33"/>
      <c r="H41" s="94"/>
      <c r="I41" s="32" t="str">
        <f>IF($A41="","",VLOOKUP($H41,APOIO!$L:$M,2,FALSE))</f>
        <v/>
      </c>
      <c r="J41" s="31"/>
      <c r="K41" s="32" t="str">
        <f>IF($A41="","",VLOOKUP($J41,APOIO!$H:$J,2,FALSE))</f>
        <v/>
      </c>
      <c r="L41" s="32" t="str">
        <f>IF($A41="","",VLOOKUP($J41,APOIO!$H:$J,3,FALSE))</f>
        <v/>
      </c>
      <c r="M41" s="31"/>
      <c r="N41" s="34"/>
      <c r="O41" s="32"/>
      <c r="P41" s="32"/>
      <c r="Q41" s="32"/>
      <c r="R41" s="32"/>
      <c r="S41" s="35"/>
      <c r="T41" s="91"/>
      <c r="U41" s="60"/>
      <c r="V41" s="36"/>
      <c r="W41" s="31"/>
      <c r="X41" s="59"/>
      <c r="Y41" s="59" t="str">
        <f>IFERROR(VLOOKUP($A41,APOIO!$A:$A,1,FALSE),"ERRO")</f>
        <v>ERRO</v>
      </c>
      <c r="Z41"/>
    </row>
    <row r="42" spans="1:26" ht="15" x14ac:dyDescent="0.25">
      <c r="A42" s="94"/>
      <c r="B42" s="32" t="str">
        <f>IF($A42="","",VLOOKUP($A42,APOIO!$A:$E,2,FALSE))</f>
        <v/>
      </c>
      <c r="C42" s="94"/>
      <c r="D42" s="32" t="str">
        <f>IF($A42="","",INDEX(APOIO!$D:$D,MATCH(CONCATENATE($A42,"_",$B42,"_",$C42),APOIO!$F:$F,0)))</f>
        <v/>
      </c>
      <c r="E42" s="31"/>
      <c r="F42" s="31"/>
      <c r="G42" s="33"/>
      <c r="H42" s="94"/>
      <c r="I42" s="32" t="str">
        <f>IF($A42="","",VLOOKUP($H42,APOIO!$L:$M,2,FALSE))</f>
        <v/>
      </c>
      <c r="J42" s="31"/>
      <c r="K42" s="32" t="str">
        <f>IF($A42="","",VLOOKUP($J42,APOIO!$H:$J,2,FALSE))</f>
        <v/>
      </c>
      <c r="L42" s="32" t="str">
        <f>IF($A42="","",VLOOKUP($J42,APOIO!$H:$J,3,FALSE))</f>
        <v/>
      </c>
      <c r="M42" s="31"/>
      <c r="N42" s="34"/>
      <c r="O42" s="32"/>
      <c r="P42" s="32"/>
      <c r="Q42" s="32"/>
      <c r="R42" s="32"/>
      <c r="S42" s="35"/>
      <c r="T42" s="91"/>
      <c r="U42" s="60"/>
      <c r="V42" s="36"/>
      <c r="W42" s="31"/>
      <c r="X42" s="59"/>
      <c r="Y42" s="59" t="str">
        <f>IFERROR(VLOOKUP($A42,APOIO!$A:$A,1,FALSE),"ERRO")</f>
        <v>ERRO</v>
      </c>
      <c r="Z42"/>
    </row>
    <row r="43" spans="1:26" ht="15" x14ac:dyDescent="0.25">
      <c r="A43" s="94"/>
      <c r="B43" s="32" t="str">
        <f>IF($A43="","",VLOOKUP($A43,APOIO!$A:$E,2,FALSE))</f>
        <v/>
      </c>
      <c r="C43" s="94"/>
      <c r="D43" s="32" t="str">
        <f>IF($A43="","",INDEX(APOIO!$D:$D,MATCH(CONCATENATE($A43,"_",$B43,"_",$C43),APOIO!$F:$F,0)))</f>
        <v/>
      </c>
      <c r="E43" s="31"/>
      <c r="F43" s="31"/>
      <c r="G43" s="33"/>
      <c r="H43" s="94"/>
      <c r="I43" s="32" t="str">
        <f>IF($A43="","",VLOOKUP($H43,APOIO!$L:$M,2,FALSE))</f>
        <v/>
      </c>
      <c r="J43" s="31"/>
      <c r="K43" s="32" t="str">
        <f>IF($A43="","",VLOOKUP($J43,APOIO!$H:$J,2,FALSE))</f>
        <v/>
      </c>
      <c r="L43" s="32" t="str">
        <f>IF($A43="","",VLOOKUP($J43,APOIO!$H:$J,3,FALSE))</f>
        <v/>
      </c>
      <c r="M43" s="31"/>
      <c r="N43" s="34"/>
      <c r="O43" s="32"/>
      <c r="P43" s="32"/>
      <c r="Q43" s="32"/>
      <c r="R43" s="32"/>
      <c r="S43" s="35"/>
      <c r="T43" s="91"/>
      <c r="U43" s="60"/>
      <c r="V43" s="36"/>
      <c r="W43" s="31"/>
      <c r="X43" s="59"/>
      <c r="Y43" s="59" t="str">
        <f>IFERROR(VLOOKUP($A43,APOIO!$A:$A,1,FALSE),"ERRO")</f>
        <v>ERRO</v>
      </c>
      <c r="Z43"/>
    </row>
    <row r="44" spans="1:26" ht="15" x14ac:dyDescent="0.25">
      <c r="A44" s="94"/>
      <c r="B44" s="32" t="str">
        <f>IF($A44="","",VLOOKUP($A44,APOIO!$A:$E,2,FALSE))</f>
        <v/>
      </c>
      <c r="C44" s="94"/>
      <c r="D44" s="32" t="str">
        <f>IF($A44="","",INDEX(APOIO!$D:$D,MATCH(CONCATENATE($A44,"_",$B44,"_",$C44),APOIO!$F:$F,0)))</f>
        <v/>
      </c>
      <c r="E44" s="31"/>
      <c r="F44" s="31"/>
      <c r="G44" s="33"/>
      <c r="H44" s="94"/>
      <c r="I44" s="32" t="str">
        <f>IF($A44="","",VLOOKUP($H44,APOIO!$L:$M,2,FALSE))</f>
        <v/>
      </c>
      <c r="J44" s="31"/>
      <c r="K44" s="32" t="str">
        <f>IF($A44="","",VLOOKUP($J44,APOIO!$H:$J,2,FALSE))</f>
        <v/>
      </c>
      <c r="L44" s="32" t="str">
        <f>IF($A44="","",VLOOKUP($J44,APOIO!$H:$J,3,FALSE))</f>
        <v/>
      </c>
      <c r="M44" s="31"/>
      <c r="N44" s="34"/>
      <c r="O44" s="32"/>
      <c r="P44" s="32"/>
      <c r="Q44" s="32"/>
      <c r="R44" s="32"/>
      <c r="S44" s="35"/>
      <c r="T44" s="91"/>
      <c r="U44" s="60"/>
      <c r="V44" s="36"/>
      <c r="W44" s="31"/>
      <c r="X44" s="59"/>
      <c r="Y44" s="59" t="str">
        <f>IFERROR(VLOOKUP($A44,APOIO!$A:$A,1,FALSE),"ERRO")</f>
        <v>ERRO</v>
      </c>
      <c r="Z44"/>
    </row>
    <row r="45" spans="1:26" ht="15" x14ac:dyDescent="0.25">
      <c r="A45" s="94"/>
      <c r="B45" s="32" t="str">
        <f>IF($A45="","",VLOOKUP($A45,APOIO!$A:$E,2,FALSE))</f>
        <v/>
      </c>
      <c r="C45" s="94"/>
      <c r="D45" s="32" t="str">
        <f>IF($A45="","",INDEX(APOIO!$D:$D,MATCH(CONCATENATE($A45,"_",$B45,"_",$C45),APOIO!$F:$F,0)))</f>
        <v/>
      </c>
      <c r="E45" s="31"/>
      <c r="F45" s="31"/>
      <c r="G45" s="33"/>
      <c r="H45" s="94"/>
      <c r="I45" s="32" t="str">
        <f>IF($A45="","",VLOOKUP($H45,APOIO!$L:$M,2,FALSE))</f>
        <v/>
      </c>
      <c r="J45" s="31"/>
      <c r="K45" s="32" t="str">
        <f>IF($A45="","",VLOOKUP($J45,APOIO!$H:$J,2,FALSE))</f>
        <v/>
      </c>
      <c r="L45" s="32" t="str">
        <f>IF($A45="","",VLOOKUP($J45,APOIO!$H:$J,3,FALSE))</f>
        <v/>
      </c>
      <c r="M45" s="31"/>
      <c r="N45" s="34"/>
      <c r="O45" s="32"/>
      <c r="P45" s="32"/>
      <c r="Q45" s="32"/>
      <c r="R45" s="32"/>
      <c r="S45" s="35"/>
      <c r="T45" s="91"/>
      <c r="U45" s="60"/>
      <c r="V45" s="36"/>
      <c r="W45" s="31"/>
      <c r="X45" s="59"/>
      <c r="Y45" s="59" t="str">
        <f>IFERROR(VLOOKUP($A45,APOIO!$A:$A,1,FALSE),"ERRO")</f>
        <v>ERRO</v>
      </c>
      <c r="Z45"/>
    </row>
    <row r="46" spans="1:26" ht="15" x14ac:dyDescent="0.25">
      <c r="A46" s="94"/>
      <c r="B46" s="32" t="str">
        <f>IF($A46="","",VLOOKUP($A46,APOIO!$A:$E,2,FALSE))</f>
        <v/>
      </c>
      <c r="C46" s="94"/>
      <c r="D46" s="32" t="str">
        <f>IF($A46="","",INDEX(APOIO!$D:$D,MATCH(CONCATENATE($A46,"_",$B46,"_",$C46),APOIO!$F:$F,0)))</f>
        <v/>
      </c>
      <c r="E46" s="31"/>
      <c r="F46" s="31"/>
      <c r="G46" s="33"/>
      <c r="H46" s="94"/>
      <c r="I46" s="32" t="str">
        <f>IF($A46="","",VLOOKUP($H46,APOIO!$L:$M,2,FALSE))</f>
        <v/>
      </c>
      <c r="J46" s="31"/>
      <c r="K46" s="32" t="str">
        <f>IF($A46="","",VLOOKUP($J46,APOIO!$H:$J,2,FALSE))</f>
        <v/>
      </c>
      <c r="L46" s="32" t="str">
        <f>IF($A46="","",VLOOKUP($J46,APOIO!$H:$J,3,FALSE))</f>
        <v/>
      </c>
      <c r="M46" s="31"/>
      <c r="N46" s="34"/>
      <c r="O46" s="32"/>
      <c r="P46" s="32"/>
      <c r="Q46" s="32"/>
      <c r="R46" s="32"/>
      <c r="S46" s="35"/>
      <c r="T46" s="91"/>
      <c r="U46" s="60"/>
      <c r="V46" s="36"/>
      <c r="W46" s="31"/>
      <c r="X46" s="59"/>
      <c r="Y46" s="59" t="str">
        <f>IFERROR(VLOOKUP($A46,APOIO!$A:$A,1,FALSE),"ERRO")</f>
        <v>ERRO</v>
      </c>
      <c r="Z46"/>
    </row>
    <row r="47" spans="1:26" ht="15" x14ac:dyDescent="0.25">
      <c r="A47" s="94"/>
      <c r="B47" s="32" t="str">
        <f>IF($A47="","",VLOOKUP($A47,APOIO!$A:$E,2,FALSE))</f>
        <v/>
      </c>
      <c r="C47" s="94"/>
      <c r="D47" s="32" t="str">
        <f>IF($A47="","",INDEX(APOIO!$D:$D,MATCH(CONCATENATE($A47,"_",$B47,"_",$C47),APOIO!$F:$F,0)))</f>
        <v/>
      </c>
      <c r="E47" s="31"/>
      <c r="F47" s="31"/>
      <c r="G47" s="33"/>
      <c r="H47" s="94"/>
      <c r="I47" s="32" t="str">
        <f>IF($A47="","",VLOOKUP($H47,APOIO!$L:$M,2,FALSE))</f>
        <v/>
      </c>
      <c r="J47" s="31"/>
      <c r="K47" s="32" t="str">
        <f>IF($A47="","",VLOOKUP($J47,APOIO!$H:$J,2,FALSE))</f>
        <v/>
      </c>
      <c r="L47" s="32" t="str">
        <f>IF($A47="","",VLOOKUP($J47,APOIO!$H:$J,3,FALSE))</f>
        <v/>
      </c>
      <c r="M47" s="31"/>
      <c r="N47" s="34"/>
      <c r="O47" s="32"/>
      <c r="P47" s="32"/>
      <c r="Q47" s="32"/>
      <c r="R47" s="32"/>
      <c r="S47" s="35"/>
      <c r="T47" s="91"/>
      <c r="U47" s="60"/>
      <c r="V47" s="36"/>
      <c r="W47" s="31"/>
      <c r="X47" s="59"/>
      <c r="Y47" s="59" t="str">
        <f>IFERROR(VLOOKUP($A47,APOIO!$A:$A,1,FALSE),"ERRO")</f>
        <v>ERRO</v>
      </c>
      <c r="Z47"/>
    </row>
    <row r="48" spans="1:26" ht="15" x14ac:dyDescent="0.25">
      <c r="A48" s="94"/>
      <c r="B48" s="32" t="str">
        <f>IF($A48="","",VLOOKUP($A48,APOIO!$A:$E,2,FALSE))</f>
        <v/>
      </c>
      <c r="C48" s="94"/>
      <c r="D48" s="32" t="str">
        <f>IF($A48="","",INDEX(APOIO!$D:$D,MATCH(CONCATENATE($A48,"_",$B48,"_",$C48),APOIO!$F:$F,0)))</f>
        <v/>
      </c>
      <c r="E48" s="31"/>
      <c r="F48" s="31"/>
      <c r="G48" s="33"/>
      <c r="H48" s="94"/>
      <c r="I48" s="32" t="str">
        <f>IF($A48="","",VLOOKUP($H48,APOIO!$L:$M,2,FALSE))</f>
        <v/>
      </c>
      <c r="J48" s="31"/>
      <c r="K48" s="32" t="str">
        <f>IF($A48="","",VLOOKUP($J48,APOIO!$H:$J,2,FALSE))</f>
        <v/>
      </c>
      <c r="L48" s="32" t="str">
        <f>IF($A48="","",VLOOKUP($J48,APOIO!$H:$J,3,FALSE))</f>
        <v/>
      </c>
      <c r="M48" s="31"/>
      <c r="N48" s="34"/>
      <c r="O48" s="32"/>
      <c r="P48" s="32"/>
      <c r="Q48" s="32"/>
      <c r="R48" s="32"/>
      <c r="S48" s="35"/>
      <c r="T48" s="91"/>
      <c r="U48" s="60"/>
      <c r="V48" s="36"/>
      <c r="W48" s="31"/>
      <c r="X48" s="59"/>
      <c r="Y48" s="59" t="str">
        <f>IFERROR(VLOOKUP($A48,APOIO!$A:$A,1,FALSE),"ERRO")</f>
        <v>ERRO</v>
      </c>
      <c r="Z48"/>
    </row>
    <row r="49" spans="1:26" ht="15" x14ac:dyDescent="0.25">
      <c r="A49" s="94"/>
      <c r="B49" s="32" t="str">
        <f>IF($A49="","",VLOOKUP($A49,APOIO!$A:$E,2,FALSE))</f>
        <v/>
      </c>
      <c r="C49" s="94"/>
      <c r="D49" s="32" t="str">
        <f>IF($A49="","",INDEX(APOIO!$D:$D,MATCH(CONCATENATE($A49,"_",$B49,"_",$C49),APOIO!$F:$F,0)))</f>
        <v/>
      </c>
      <c r="E49" s="31"/>
      <c r="F49" s="31"/>
      <c r="G49" s="33"/>
      <c r="H49" s="94"/>
      <c r="I49" s="32" t="str">
        <f>IF($A49="","",VLOOKUP($H49,APOIO!$L:$M,2,FALSE))</f>
        <v/>
      </c>
      <c r="J49" s="31"/>
      <c r="K49" s="32" t="str">
        <f>IF($A49="","",VLOOKUP($J49,APOIO!$H:$J,2,FALSE))</f>
        <v/>
      </c>
      <c r="L49" s="32" t="str">
        <f>IF($A49="","",VLOOKUP($J49,APOIO!$H:$J,3,FALSE))</f>
        <v/>
      </c>
      <c r="M49" s="31"/>
      <c r="N49" s="34"/>
      <c r="O49" s="32"/>
      <c r="P49" s="32"/>
      <c r="Q49" s="32"/>
      <c r="R49" s="32"/>
      <c r="S49" s="35"/>
      <c r="T49" s="91"/>
      <c r="U49" s="60"/>
      <c r="V49" s="36"/>
      <c r="W49" s="31"/>
      <c r="X49" s="59"/>
      <c r="Y49" s="59" t="str">
        <f>IFERROR(VLOOKUP($A49,APOIO!$A:$A,1,FALSE),"ERRO")</f>
        <v>ERRO</v>
      </c>
      <c r="Z49"/>
    </row>
    <row r="50" spans="1:26" ht="15" x14ac:dyDescent="0.25">
      <c r="A50" s="94"/>
      <c r="B50" s="32" t="str">
        <f>IF($A50="","",VLOOKUP($A50,APOIO!$A:$E,2,FALSE))</f>
        <v/>
      </c>
      <c r="C50" s="94"/>
      <c r="D50" s="32" t="str">
        <f>IF($A50="","",INDEX(APOIO!$D:$D,MATCH(CONCATENATE($A50,"_",$B50,"_",$C50),APOIO!$F:$F,0)))</f>
        <v/>
      </c>
      <c r="E50" s="31"/>
      <c r="F50" s="31"/>
      <c r="G50" s="33"/>
      <c r="H50" s="94"/>
      <c r="I50" s="32" t="str">
        <f>IF($A50="","",VLOOKUP($H50,APOIO!$L:$M,2,FALSE))</f>
        <v/>
      </c>
      <c r="J50" s="31"/>
      <c r="K50" s="32" t="str">
        <f>IF($A50="","",VLOOKUP($J50,APOIO!$H:$J,2,FALSE))</f>
        <v/>
      </c>
      <c r="L50" s="32" t="str">
        <f>IF($A50="","",VLOOKUP($J50,APOIO!$H:$J,3,FALSE))</f>
        <v/>
      </c>
      <c r="M50" s="31"/>
      <c r="N50" s="34"/>
      <c r="O50" s="32"/>
      <c r="P50" s="32"/>
      <c r="Q50" s="32"/>
      <c r="R50" s="32"/>
      <c r="S50" s="35"/>
      <c r="T50" s="91"/>
      <c r="U50" s="60"/>
      <c r="V50" s="36"/>
      <c r="W50" s="31"/>
      <c r="X50" s="59"/>
      <c r="Y50" s="59" t="str">
        <f>IFERROR(VLOOKUP($A50,APOIO!$A:$A,1,FALSE),"ERRO")</f>
        <v>ERRO</v>
      </c>
      <c r="Z50"/>
    </row>
    <row r="51" spans="1:26" ht="15" x14ac:dyDescent="0.25">
      <c r="A51" s="94"/>
      <c r="B51" s="32" t="str">
        <f>IF($A51="","",VLOOKUP($A51,APOIO!$A:$E,2,FALSE))</f>
        <v/>
      </c>
      <c r="C51" s="94"/>
      <c r="D51" s="32" t="str">
        <f>IF($A51="","",INDEX(APOIO!$D:$D,MATCH(CONCATENATE($A51,"_",$B51,"_",$C51),APOIO!$F:$F,0)))</f>
        <v/>
      </c>
      <c r="E51" s="31"/>
      <c r="F51" s="31"/>
      <c r="G51" s="33"/>
      <c r="H51" s="94"/>
      <c r="I51" s="32" t="str">
        <f>IF($A51="","",VLOOKUP($H51,APOIO!$L:$M,2,FALSE))</f>
        <v/>
      </c>
      <c r="J51" s="31"/>
      <c r="K51" s="32" t="str">
        <f>IF($A51="","",VLOOKUP($J51,APOIO!$H:$J,2,FALSE))</f>
        <v/>
      </c>
      <c r="L51" s="32" t="str">
        <f>IF($A51="","",VLOOKUP($J51,APOIO!$H:$J,3,FALSE))</f>
        <v/>
      </c>
      <c r="M51" s="31"/>
      <c r="N51" s="34"/>
      <c r="O51" s="32"/>
      <c r="P51" s="32"/>
      <c r="Q51" s="32"/>
      <c r="R51" s="32"/>
      <c r="S51" s="35"/>
      <c r="T51" s="91"/>
      <c r="U51" s="60"/>
      <c r="V51" s="36"/>
      <c r="W51" s="31"/>
      <c r="X51" s="59"/>
      <c r="Y51" s="59" t="str">
        <f>IFERROR(VLOOKUP($A51,APOIO!$A:$A,1,FALSE),"ERRO")</f>
        <v>ERRO</v>
      </c>
      <c r="Z51"/>
    </row>
    <row r="52" spans="1:26" ht="15" x14ac:dyDescent="0.25">
      <c r="A52" s="94"/>
      <c r="B52" s="32" t="str">
        <f>IF($A52="","",VLOOKUP($A52,APOIO!$A:$E,2,FALSE))</f>
        <v/>
      </c>
      <c r="C52" s="94"/>
      <c r="D52" s="32" t="str">
        <f>IF($A52="","",INDEX(APOIO!$D:$D,MATCH(CONCATENATE($A52,"_",$B52,"_",$C52),APOIO!$F:$F,0)))</f>
        <v/>
      </c>
      <c r="E52" s="31"/>
      <c r="F52" s="31"/>
      <c r="G52" s="33"/>
      <c r="H52" s="94"/>
      <c r="I52" s="32" t="str">
        <f>IF($A52="","",VLOOKUP($H52,APOIO!$L:$M,2,FALSE))</f>
        <v/>
      </c>
      <c r="J52" s="31"/>
      <c r="K52" s="32" t="str">
        <f>IF($A52="","",VLOOKUP($J52,APOIO!$H:$J,2,FALSE))</f>
        <v/>
      </c>
      <c r="L52" s="32" t="str">
        <f>IF($A52="","",VLOOKUP($J52,APOIO!$H:$J,3,FALSE))</f>
        <v/>
      </c>
      <c r="M52" s="31"/>
      <c r="N52" s="34"/>
      <c r="O52" s="32"/>
      <c r="P52" s="32"/>
      <c r="Q52" s="32"/>
      <c r="R52" s="32"/>
      <c r="S52" s="35"/>
      <c r="T52" s="91"/>
      <c r="U52" s="60"/>
      <c r="V52" s="36"/>
      <c r="W52" s="31"/>
      <c r="X52" s="59"/>
      <c r="Y52" s="59" t="str">
        <f>IFERROR(VLOOKUP($A52,APOIO!$A:$A,1,FALSE),"ERRO")</f>
        <v>ERRO</v>
      </c>
      <c r="Z52"/>
    </row>
    <row r="53" spans="1:26" ht="15" x14ac:dyDescent="0.25">
      <c r="A53" s="94"/>
      <c r="B53" s="32" t="str">
        <f>IF($A53="","",VLOOKUP($A53,APOIO!$A:$E,2,FALSE))</f>
        <v/>
      </c>
      <c r="C53" s="94"/>
      <c r="D53" s="32" t="str">
        <f>IF($A53="","",INDEX(APOIO!$D:$D,MATCH(CONCATENATE($A53,"_",$B53,"_",$C53),APOIO!$F:$F,0)))</f>
        <v/>
      </c>
      <c r="E53" s="31"/>
      <c r="F53" s="31"/>
      <c r="G53" s="33"/>
      <c r="H53" s="94"/>
      <c r="I53" s="32" t="str">
        <f>IF($A53="","",VLOOKUP($H53,APOIO!$L:$M,2,FALSE))</f>
        <v/>
      </c>
      <c r="J53" s="31"/>
      <c r="K53" s="32" t="str">
        <f>IF($A53="","",VLOOKUP($J53,APOIO!$H:$J,2,FALSE))</f>
        <v/>
      </c>
      <c r="L53" s="32" t="str">
        <f>IF($A53="","",VLOOKUP($J53,APOIO!$H:$J,3,FALSE))</f>
        <v/>
      </c>
      <c r="M53" s="31"/>
      <c r="N53" s="34"/>
      <c r="O53" s="32"/>
      <c r="P53" s="32"/>
      <c r="Q53" s="32"/>
      <c r="R53" s="32"/>
      <c r="S53" s="35"/>
      <c r="T53" s="91"/>
      <c r="U53" s="60"/>
      <c r="V53" s="36"/>
      <c r="W53" s="31"/>
      <c r="X53" s="59"/>
      <c r="Y53" s="59" t="str">
        <f>IFERROR(VLOOKUP($A53,APOIO!$A:$A,1,FALSE),"ERRO")</f>
        <v>ERRO</v>
      </c>
      <c r="Z53"/>
    </row>
    <row r="54" spans="1:26" ht="15" x14ac:dyDescent="0.25">
      <c r="A54" s="94"/>
      <c r="B54" s="32" t="str">
        <f>IF($A54="","",VLOOKUP($A54,APOIO!$A:$E,2,FALSE))</f>
        <v/>
      </c>
      <c r="C54" s="94"/>
      <c r="D54" s="32" t="str">
        <f>IF($A54="","",INDEX(APOIO!$D:$D,MATCH(CONCATENATE($A54,"_",$B54,"_",$C54),APOIO!$F:$F,0)))</f>
        <v/>
      </c>
      <c r="E54" s="31"/>
      <c r="F54" s="31"/>
      <c r="G54" s="33"/>
      <c r="H54" s="94"/>
      <c r="I54" s="32" t="str">
        <f>IF($A54="","",VLOOKUP($H54,APOIO!$L:$M,2,FALSE))</f>
        <v/>
      </c>
      <c r="J54" s="31"/>
      <c r="K54" s="32" t="str">
        <f>IF($A54="","",VLOOKUP($J54,APOIO!$H:$J,2,FALSE))</f>
        <v/>
      </c>
      <c r="L54" s="32" t="str">
        <f>IF($A54="","",VLOOKUP($J54,APOIO!$H:$J,3,FALSE))</f>
        <v/>
      </c>
      <c r="M54" s="31"/>
      <c r="N54" s="34"/>
      <c r="O54" s="32"/>
      <c r="P54" s="32"/>
      <c r="Q54" s="32"/>
      <c r="R54" s="32"/>
      <c r="S54" s="35"/>
      <c r="T54" s="91"/>
      <c r="U54" s="60"/>
      <c r="V54" s="36"/>
      <c r="W54" s="31"/>
      <c r="X54" s="59"/>
      <c r="Y54" s="59" t="str">
        <f>IFERROR(VLOOKUP($A54,APOIO!$A:$A,1,FALSE),"ERRO")</f>
        <v>ERRO</v>
      </c>
      <c r="Z54"/>
    </row>
    <row r="55" spans="1:26" ht="15" x14ac:dyDescent="0.25">
      <c r="A55" s="94"/>
      <c r="B55" s="32" t="str">
        <f>IF($A55="","",VLOOKUP($A55,APOIO!$A:$E,2,FALSE))</f>
        <v/>
      </c>
      <c r="C55" s="94"/>
      <c r="D55" s="32" t="str">
        <f>IF($A55="","",INDEX(APOIO!$D:$D,MATCH(CONCATENATE($A55,"_",$B55,"_",$C55),APOIO!$F:$F,0)))</f>
        <v/>
      </c>
      <c r="E55" s="31"/>
      <c r="F55" s="31"/>
      <c r="G55" s="33"/>
      <c r="H55" s="94"/>
      <c r="I55" s="32" t="str">
        <f>IF($A55="","",VLOOKUP($H55,APOIO!$L:$M,2,FALSE))</f>
        <v/>
      </c>
      <c r="J55" s="31"/>
      <c r="K55" s="32" t="str">
        <f>IF($A55="","",VLOOKUP($J55,APOIO!$H:$J,2,FALSE))</f>
        <v/>
      </c>
      <c r="L55" s="32" t="str">
        <f>IF($A55="","",VLOOKUP($J55,APOIO!$H:$J,3,FALSE))</f>
        <v/>
      </c>
      <c r="M55" s="31"/>
      <c r="N55" s="34"/>
      <c r="O55" s="32"/>
      <c r="P55" s="32"/>
      <c r="Q55" s="32"/>
      <c r="R55" s="32"/>
      <c r="S55" s="35"/>
      <c r="T55" s="91"/>
      <c r="U55" s="60"/>
      <c r="V55" s="36"/>
      <c r="W55" s="31"/>
      <c r="X55" s="59"/>
      <c r="Y55" s="59" t="str">
        <f>IFERROR(VLOOKUP($A55,APOIO!$A:$A,1,FALSE),"ERRO")</f>
        <v>ERRO</v>
      </c>
      <c r="Z55"/>
    </row>
    <row r="56" spans="1:26" ht="15" x14ac:dyDescent="0.25">
      <c r="A56" s="94"/>
      <c r="B56" s="32" t="str">
        <f>IF($A56="","",VLOOKUP($A56,APOIO!$A:$E,2,FALSE))</f>
        <v/>
      </c>
      <c r="C56" s="94"/>
      <c r="D56" s="32" t="str">
        <f>IF($A56="","",INDEX(APOIO!$D:$D,MATCH(CONCATENATE($A56,"_",$B56,"_",$C56),APOIO!$F:$F,0)))</f>
        <v/>
      </c>
      <c r="E56" s="31"/>
      <c r="F56" s="31"/>
      <c r="G56" s="33"/>
      <c r="H56" s="94"/>
      <c r="I56" s="32" t="str">
        <f>IF($A56="","",VLOOKUP($H56,APOIO!$L:$M,2,FALSE))</f>
        <v/>
      </c>
      <c r="J56" s="31"/>
      <c r="K56" s="32" t="str">
        <f>IF($A56="","",VLOOKUP($J56,APOIO!$H:$J,2,FALSE))</f>
        <v/>
      </c>
      <c r="L56" s="32" t="str">
        <f>IF($A56="","",VLOOKUP($J56,APOIO!$H:$J,3,FALSE))</f>
        <v/>
      </c>
      <c r="M56" s="31"/>
      <c r="N56" s="34"/>
      <c r="O56" s="32"/>
      <c r="P56" s="32"/>
      <c r="Q56" s="32"/>
      <c r="R56" s="32"/>
      <c r="S56" s="35"/>
      <c r="T56" s="91"/>
      <c r="U56" s="60"/>
      <c r="V56" s="36"/>
      <c r="W56" s="31"/>
      <c r="X56" s="59"/>
      <c r="Y56" s="59" t="str">
        <f>IFERROR(VLOOKUP($A56,APOIO!$A:$A,1,FALSE),"ERRO")</f>
        <v>ERRO</v>
      </c>
      <c r="Z56"/>
    </row>
    <row r="57" spans="1:26" ht="15" x14ac:dyDescent="0.25">
      <c r="A57" s="94"/>
      <c r="B57" s="32" t="str">
        <f>IF($A57="","",VLOOKUP($A57,APOIO!$A:$E,2,FALSE))</f>
        <v/>
      </c>
      <c r="C57" s="94"/>
      <c r="D57" s="32" t="str">
        <f>IF($A57="","",INDEX(APOIO!$D:$D,MATCH(CONCATENATE($A57,"_",$B57,"_",$C57),APOIO!$F:$F,0)))</f>
        <v/>
      </c>
      <c r="E57" s="31"/>
      <c r="F57" s="31"/>
      <c r="G57" s="33"/>
      <c r="H57" s="94"/>
      <c r="I57" s="32" t="str">
        <f>IF($A57="","",VLOOKUP($H57,APOIO!$L:$M,2,FALSE))</f>
        <v/>
      </c>
      <c r="J57" s="31"/>
      <c r="K57" s="32" t="str">
        <f>IF($A57="","",VLOOKUP($J57,APOIO!$H:$J,2,FALSE))</f>
        <v/>
      </c>
      <c r="L57" s="32" t="str">
        <f>IF($A57="","",VLOOKUP($J57,APOIO!$H:$J,3,FALSE))</f>
        <v/>
      </c>
      <c r="M57" s="31"/>
      <c r="N57" s="34"/>
      <c r="O57" s="32"/>
      <c r="P57" s="32"/>
      <c r="Q57" s="32"/>
      <c r="R57" s="32"/>
      <c r="S57" s="35"/>
      <c r="T57" s="91"/>
      <c r="U57" s="60"/>
      <c r="V57" s="36"/>
      <c r="W57" s="31"/>
      <c r="X57" s="59"/>
      <c r="Y57" s="59" t="str">
        <f>IFERROR(VLOOKUP($A57,APOIO!$A:$A,1,FALSE),"ERRO")</f>
        <v>ERRO</v>
      </c>
      <c r="Z57"/>
    </row>
    <row r="58" spans="1:26" ht="15" x14ac:dyDescent="0.25">
      <c r="A58" s="94"/>
      <c r="B58" s="32" t="str">
        <f>IF($A58="","",VLOOKUP($A58,APOIO!$A:$E,2,FALSE))</f>
        <v/>
      </c>
      <c r="C58" s="94"/>
      <c r="D58" s="32" t="str">
        <f>IF($A58="","",INDEX(APOIO!$D:$D,MATCH(CONCATENATE($A58,"_",$B58,"_",$C58),APOIO!$F:$F,0)))</f>
        <v/>
      </c>
      <c r="E58" s="31"/>
      <c r="F58" s="31"/>
      <c r="G58" s="33"/>
      <c r="H58" s="94"/>
      <c r="I58" s="32" t="str">
        <f>IF($A58="","",VLOOKUP($H58,APOIO!$L:$M,2,FALSE))</f>
        <v/>
      </c>
      <c r="J58" s="31"/>
      <c r="K58" s="32" t="str">
        <f>IF($A58="","",VLOOKUP($J58,APOIO!$H:$J,2,FALSE))</f>
        <v/>
      </c>
      <c r="L58" s="32" t="str">
        <f>IF($A58="","",VLOOKUP($J58,APOIO!$H:$J,3,FALSE))</f>
        <v/>
      </c>
      <c r="M58" s="31"/>
      <c r="N58" s="34"/>
      <c r="O58" s="32"/>
      <c r="P58" s="32"/>
      <c r="Q58" s="32"/>
      <c r="R58" s="32"/>
      <c r="S58" s="35"/>
      <c r="T58" s="91"/>
      <c r="U58" s="60"/>
      <c r="V58" s="36"/>
      <c r="W58" s="31"/>
      <c r="X58" s="59"/>
      <c r="Y58" s="59" t="str">
        <f>IFERROR(VLOOKUP($A58,APOIO!$A:$A,1,FALSE),"ERRO")</f>
        <v>ERRO</v>
      </c>
      <c r="Z58"/>
    </row>
    <row r="59" spans="1:26" ht="15" x14ac:dyDescent="0.25">
      <c r="A59" s="94"/>
      <c r="B59" s="32" t="str">
        <f>IF($A59="","",VLOOKUP($A59,APOIO!$A:$E,2,FALSE))</f>
        <v/>
      </c>
      <c r="C59" s="94"/>
      <c r="D59" s="32" t="str">
        <f>IF($A59="","",INDEX(APOIO!$D:$D,MATCH(CONCATENATE($A59,"_",$B59,"_",$C59),APOIO!$F:$F,0)))</f>
        <v/>
      </c>
      <c r="E59" s="31"/>
      <c r="F59" s="31"/>
      <c r="G59" s="33"/>
      <c r="H59" s="94"/>
      <c r="I59" s="32" t="str">
        <f>IF($A59="","",VLOOKUP($H59,APOIO!$L:$M,2,FALSE))</f>
        <v/>
      </c>
      <c r="J59" s="31"/>
      <c r="K59" s="32" t="str">
        <f>IF($A59="","",VLOOKUP($J59,APOIO!$H:$J,2,FALSE))</f>
        <v/>
      </c>
      <c r="L59" s="32" t="str">
        <f>IF($A59="","",VLOOKUP($J59,APOIO!$H:$J,3,FALSE))</f>
        <v/>
      </c>
      <c r="M59" s="31"/>
      <c r="N59" s="34"/>
      <c r="O59" s="32"/>
      <c r="P59" s="32"/>
      <c r="Q59" s="32"/>
      <c r="R59" s="32"/>
      <c r="S59" s="35"/>
      <c r="T59" s="91"/>
      <c r="U59" s="60"/>
      <c r="V59" s="36"/>
      <c r="W59" s="31"/>
      <c r="X59" s="59"/>
      <c r="Y59" s="59" t="str">
        <f>IFERROR(VLOOKUP($A59,APOIO!$A:$A,1,FALSE),"ERRO")</f>
        <v>ERRO</v>
      </c>
      <c r="Z59"/>
    </row>
    <row r="60" spans="1:26" ht="15" x14ac:dyDescent="0.25">
      <c r="A60" s="94"/>
      <c r="B60" s="32" t="str">
        <f>IF($A60="","",VLOOKUP($A60,APOIO!$A:$E,2,FALSE))</f>
        <v/>
      </c>
      <c r="C60" s="94"/>
      <c r="D60" s="32" t="str">
        <f>IF($A60="","",INDEX(APOIO!$D:$D,MATCH(CONCATENATE($A60,"_",$B60,"_",$C60),APOIO!$F:$F,0)))</f>
        <v/>
      </c>
      <c r="E60" s="31"/>
      <c r="F60" s="31"/>
      <c r="G60" s="33"/>
      <c r="H60" s="94"/>
      <c r="I60" s="32" t="str">
        <f>IF($A60="","",VLOOKUP($H60,APOIO!$L:$M,2,FALSE))</f>
        <v/>
      </c>
      <c r="J60" s="31"/>
      <c r="K60" s="32" t="str">
        <f>IF($A60="","",VLOOKUP($J60,APOIO!$H:$J,2,FALSE))</f>
        <v/>
      </c>
      <c r="L60" s="32" t="str">
        <f>IF($A60="","",VLOOKUP($J60,APOIO!$H:$J,3,FALSE))</f>
        <v/>
      </c>
      <c r="M60" s="31"/>
      <c r="N60" s="34"/>
      <c r="O60" s="32"/>
      <c r="P60" s="32"/>
      <c r="Q60" s="32"/>
      <c r="R60" s="32"/>
      <c r="S60" s="35"/>
      <c r="T60" s="91"/>
      <c r="U60" s="60"/>
      <c r="V60" s="36"/>
      <c r="W60" s="31"/>
      <c r="X60" s="59"/>
      <c r="Y60" s="59" t="str">
        <f>IFERROR(VLOOKUP($A60,APOIO!$A:$A,1,FALSE),"ERRO")</f>
        <v>ERRO</v>
      </c>
      <c r="Z60"/>
    </row>
    <row r="61" spans="1:26" ht="15" x14ac:dyDescent="0.25">
      <c r="A61" s="94"/>
      <c r="B61" s="32" t="str">
        <f>IF($A61="","",VLOOKUP($A61,APOIO!$A:$E,2,FALSE))</f>
        <v/>
      </c>
      <c r="C61" s="94"/>
      <c r="D61" s="32" t="str">
        <f>IF($A61="","",INDEX(APOIO!$D:$D,MATCH(CONCATENATE($A61,"_",$B61,"_",$C61),APOIO!$F:$F,0)))</f>
        <v/>
      </c>
      <c r="E61" s="31"/>
      <c r="F61" s="31"/>
      <c r="G61" s="33"/>
      <c r="H61" s="94"/>
      <c r="I61" s="32" t="str">
        <f>IF($A61="","",VLOOKUP($H61,APOIO!$L:$M,2,FALSE))</f>
        <v/>
      </c>
      <c r="J61" s="31"/>
      <c r="K61" s="32" t="str">
        <f>IF($A61="","",VLOOKUP($J61,APOIO!$H:$J,2,FALSE))</f>
        <v/>
      </c>
      <c r="L61" s="32" t="str">
        <f>IF($A61="","",VLOOKUP($J61,APOIO!$H:$J,3,FALSE))</f>
        <v/>
      </c>
      <c r="M61" s="31"/>
      <c r="N61" s="34"/>
      <c r="O61" s="32"/>
      <c r="P61" s="32"/>
      <c r="Q61" s="32"/>
      <c r="R61" s="32"/>
      <c r="S61" s="35"/>
      <c r="T61" s="91"/>
      <c r="U61" s="60"/>
      <c r="V61" s="36"/>
      <c r="W61" s="31"/>
      <c r="X61" s="59"/>
      <c r="Y61" s="59" t="str">
        <f>IFERROR(VLOOKUP($A61,APOIO!$A:$A,1,FALSE),"ERRO")</f>
        <v>ERRO</v>
      </c>
      <c r="Z61"/>
    </row>
    <row r="62" spans="1:26" ht="15" x14ac:dyDescent="0.25">
      <c r="A62" s="94"/>
      <c r="B62" s="32" t="str">
        <f>IF($A62="","",VLOOKUP($A62,APOIO!$A:$E,2,FALSE))</f>
        <v/>
      </c>
      <c r="C62" s="94"/>
      <c r="D62" s="32" t="str">
        <f>IF($A62="","",INDEX(APOIO!$D:$D,MATCH(CONCATENATE($A62,"_",$B62,"_",$C62),APOIO!$F:$F,0)))</f>
        <v/>
      </c>
      <c r="E62" s="31"/>
      <c r="F62" s="31"/>
      <c r="G62" s="33"/>
      <c r="H62" s="94"/>
      <c r="I62" s="32" t="str">
        <f>IF($A62="","",VLOOKUP($H62,APOIO!$L:$M,2,FALSE))</f>
        <v/>
      </c>
      <c r="J62" s="31"/>
      <c r="K62" s="32" t="str">
        <f>IF($A62="","",VLOOKUP($J62,APOIO!$H:$J,2,FALSE))</f>
        <v/>
      </c>
      <c r="L62" s="32" t="str">
        <f>IF($A62="","",VLOOKUP($J62,APOIO!$H:$J,3,FALSE))</f>
        <v/>
      </c>
      <c r="M62" s="31"/>
      <c r="N62" s="34"/>
      <c r="O62" s="32"/>
      <c r="P62" s="32"/>
      <c r="Q62" s="32"/>
      <c r="R62" s="32"/>
      <c r="S62" s="35"/>
      <c r="T62" s="91"/>
      <c r="U62" s="60"/>
      <c r="V62" s="36"/>
      <c r="W62" s="31"/>
      <c r="X62" s="59"/>
      <c r="Y62" s="59" t="str">
        <f>IFERROR(VLOOKUP($A62,APOIO!$A:$A,1,FALSE),"ERRO")</f>
        <v>ERRO</v>
      </c>
      <c r="Z62"/>
    </row>
    <row r="63" spans="1:26" ht="15" x14ac:dyDescent="0.25">
      <c r="A63" s="94"/>
      <c r="B63" s="32" t="str">
        <f>IF($A63="","",VLOOKUP($A63,APOIO!$A:$E,2,FALSE))</f>
        <v/>
      </c>
      <c r="C63" s="94"/>
      <c r="D63" s="32" t="str">
        <f>IF($A63="","",INDEX(APOIO!$D:$D,MATCH(CONCATENATE($A63,"_",$B63,"_",$C63),APOIO!$F:$F,0)))</f>
        <v/>
      </c>
      <c r="E63" s="31"/>
      <c r="F63" s="31"/>
      <c r="G63" s="33"/>
      <c r="H63" s="94"/>
      <c r="I63" s="32" t="str">
        <f>IF($A63="","",VLOOKUP($H63,APOIO!$L:$M,2,FALSE))</f>
        <v/>
      </c>
      <c r="J63" s="31"/>
      <c r="K63" s="32" t="str">
        <f>IF($A63="","",VLOOKUP($J63,APOIO!$H:$J,2,FALSE))</f>
        <v/>
      </c>
      <c r="L63" s="32" t="str">
        <f>IF($A63="","",VLOOKUP($J63,APOIO!$H:$J,3,FALSE))</f>
        <v/>
      </c>
      <c r="M63" s="31"/>
      <c r="N63" s="34"/>
      <c r="O63" s="32"/>
      <c r="P63" s="32"/>
      <c r="Q63" s="32"/>
      <c r="R63" s="32"/>
      <c r="S63" s="35"/>
      <c r="T63" s="91"/>
      <c r="U63" s="60"/>
      <c r="V63" s="36"/>
      <c r="W63" s="31"/>
      <c r="X63" s="59"/>
      <c r="Y63" s="59" t="str">
        <f>IFERROR(VLOOKUP($A63,APOIO!$A:$A,1,FALSE),"ERRO")</f>
        <v>ERRO</v>
      </c>
      <c r="Z63"/>
    </row>
    <row r="64" spans="1:26" ht="15" x14ac:dyDescent="0.25">
      <c r="A64" s="94"/>
      <c r="B64" s="32" t="str">
        <f>IF($A64="","",VLOOKUP($A64,APOIO!$A:$E,2,FALSE))</f>
        <v/>
      </c>
      <c r="C64" s="94"/>
      <c r="D64" s="32" t="str">
        <f>IF($A64="","",INDEX(APOIO!$D:$D,MATCH(CONCATENATE($A64,"_",$B64,"_",$C64),APOIO!$F:$F,0)))</f>
        <v/>
      </c>
      <c r="E64" s="31"/>
      <c r="F64" s="31"/>
      <c r="G64" s="33"/>
      <c r="H64" s="94"/>
      <c r="I64" s="32" t="str">
        <f>IF($A64="","",VLOOKUP($H64,APOIO!$L:$M,2,FALSE))</f>
        <v/>
      </c>
      <c r="J64" s="31"/>
      <c r="K64" s="32" t="str">
        <f>IF($A64="","",VLOOKUP($J64,APOIO!$H:$J,2,FALSE))</f>
        <v/>
      </c>
      <c r="L64" s="32" t="str">
        <f>IF($A64="","",VLOOKUP($J64,APOIO!$H:$J,3,FALSE))</f>
        <v/>
      </c>
      <c r="M64" s="31"/>
      <c r="N64" s="34"/>
      <c r="O64" s="32"/>
      <c r="P64" s="32"/>
      <c r="Q64" s="32"/>
      <c r="R64" s="32"/>
      <c r="S64" s="35"/>
      <c r="T64" s="91"/>
      <c r="U64" s="60"/>
      <c r="V64" s="36"/>
      <c r="W64" s="31"/>
      <c r="X64" s="59"/>
      <c r="Y64" s="59" t="str">
        <f>IFERROR(VLOOKUP($A64,APOIO!$A:$A,1,FALSE),"ERRO")</f>
        <v>ERRO</v>
      </c>
      <c r="Z64"/>
    </row>
    <row r="65" spans="1:26" ht="15" x14ac:dyDescent="0.25">
      <c r="A65" s="94"/>
      <c r="B65" s="32" t="str">
        <f>IF($A65="","",VLOOKUP($A65,APOIO!$A:$E,2,FALSE))</f>
        <v/>
      </c>
      <c r="C65" s="94"/>
      <c r="D65" s="32" t="str">
        <f>IF($A65="","",INDEX(APOIO!$D:$D,MATCH(CONCATENATE($A65,"_",$B65,"_",$C65),APOIO!$F:$F,0)))</f>
        <v/>
      </c>
      <c r="E65" s="31"/>
      <c r="F65" s="31"/>
      <c r="G65" s="33"/>
      <c r="H65" s="94"/>
      <c r="I65" s="32" t="str">
        <f>IF($A65="","",VLOOKUP($H65,APOIO!$L:$M,2,FALSE))</f>
        <v/>
      </c>
      <c r="J65" s="31"/>
      <c r="K65" s="32" t="str">
        <f>IF($A65="","",VLOOKUP($J65,APOIO!$H:$J,2,FALSE))</f>
        <v/>
      </c>
      <c r="L65" s="32" t="str">
        <f>IF($A65="","",VLOOKUP($J65,APOIO!$H:$J,3,FALSE))</f>
        <v/>
      </c>
      <c r="M65" s="31"/>
      <c r="N65" s="34"/>
      <c r="O65" s="32"/>
      <c r="P65" s="32"/>
      <c r="Q65" s="32"/>
      <c r="R65" s="32"/>
      <c r="S65" s="35"/>
      <c r="T65" s="91"/>
      <c r="U65" s="60"/>
      <c r="V65" s="36"/>
      <c r="W65" s="31"/>
      <c r="X65" s="59"/>
      <c r="Y65" s="59" t="str">
        <f>IFERROR(VLOOKUP($A65,APOIO!$A:$A,1,FALSE),"ERRO")</f>
        <v>ERRO</v>
      </c>
      <c r="Z65"/>
    </row>
    <row r="66" spans="1:26" ht="15" x14ac:dyDescent="0.25">
      <c r="A66" s="94"/>
      <c r="B66" s="32" t="str">
        <f>IF($A66="","",VLOOKUP($A66,APOIO!$A:$E,2,FALSE))</f>
        <v/>
      </c>
      <c r="C66" s="94"/>
      <c r="D66" s="32" t="str">
        <f>IF($A66="","",INDEX(APOIO!$D:$D,MATCH(CONCATENATE($A66,"_",$B66,"_",$C66),APOIO!$F:$F,0)))</f>
        <v/>
      </c>
      <c r="E66" s="31"/>
      <c r="F66" s="31"/>
      <c r="G66" s="33"/>
      <c r="H66" s="94"/>
      <c r="I66" s="32" t="str">
        <f>IF($A66="","",VLOOKUP($H66,APOIO!$L:$M,2,FALSE))</f>
        <v/>
      </c>
      <c r="J66" s="31"/>
      <c r="K66" s="32" t="str">
        <f>IF($A66="","",VLOOKUP($J66,APOIO!$H:$J,2,FALSE))</f>
        <v/>
      </c>
      <c r="L66" s="32" t="str">
        <f>IF($A66="","",VLOOKUP($J66,APOIO!$H:$J,3,FALSE))</f>
        <v/>
      </c>
      <c r="M66" s="31"/>
      <c r="N66" s="34"/>
      <c r="O66" s="32"/>
      <c r="P66" s="32"/>
      <c r="Q66" s="32"/>
      <c r="R66" s="32"/>
      <c r="S66" s="35"/>
      <c r="T66" s="91"/>
      <c r="U66" s="60"/>
      <c r="V66" s="36"/>
      <c r="W66" s="31"/>
      <c r="X66" s="59"/>
      <c r="Y66" s="59" t="str">
        <f>IFERROR(VLOOKUP($A66,APOIO!$A:$A,1,FALSE),"ERRO")</f>
        <v>ERRO</v>
      </c>
      <c r="Z66"/>
    </row>
    <row r="67" spans="1:26" ht="15" x14ac:dyDescent="0.25">
      <c r="A67" s="94"/>
      <c r="B67" s="32" t="str">
        <f>IF($A67="","",VLOOKUP($A67,APOIO!$A:$E,2,FALSE))</f>
        <v/>
      </c>
      <c r="C67" s="94"/>
      <c r="D67" s="32" t="str">
        <f>IF($A67="","",INDEX(APOIO!$D:$D,MATCH(CONCATENATE($A67,"_",$B67,"_",$C67),APOIO!$F:$F,0)))</f>
        <v/>
      </c>
      <c r="E67" s="31"/>
      <c r="F67" s="31"/>
      <c r="G67" s="33"/>
      <c r="H67" s="94"/>
      <c r="I67" s="32" t="str">
        <f>IF($A67="","",VLOOKUP($H67,APOIO!$L:$M,2,FALSE))</f>
        <v/>
      </c>
      <c r="J67" s="31"/>
      <c r="K67" s="32" t="str">
        <f>IF($A67="","",VLOOKUP($J67,APOIO!$H:$J,2,FALSE))</f>
        <v/>
      </c>
      <c r="L67" s="32" t="str">
        <f>IF($A67="","",VLOOKUP($J67,APOIO!$H:$J,3,FALSE))</f>
        <v/>
      </c>
      <c r="M67" s="31"/>
      <c r="N67" s="34"/>
      <c r="O67" s="32"/>
      <c r="P67" s="32"/>
      <c r="Q67" s="32"/>
      <c r="R67" s="32"/>
      <c r="S67" s="35"/>
      <c r="T67" s="91"/>
      <c r="U67" s="60"/>
      <c r="V67" s="36"/>
      <c r="W67" s="31"/>
      <c r="X67" s="59"/>
      <c r="Y67" s="59" t="str">
        <f>IFERROR(VLOOKUP($A67,APOIO!$A:$A,1,FALSE),"ERRO")</f>
        <v>ERRO</v>
      </c>
      <c r="Z67"/>
    </row>
    <row r="68" spans="1:26" ht="15" x14ac:dyDescent="0.25">
      <c r="A68" s="94"/>
      <c r="B68" s="32" t="str">
        <f>IF($A68="","",VLOOKUP($A68,APOIO!$A:$E,2,FALSE))</f>
        <v/>
      </c>
      <c r="C68" s="94"/>
      <c r="D68" s="32" t="str">
        <f>IF($A68="","",INDEX(APOIO!$D:$D,MATCH(CONCATENATE($A68,"_",$B68,"_",$C68),APOIO!$F:$F,0)))</f>
        <v/>
      </c>
      <c r="E68" s="31"/>
      <c r="F68" s="31"/>
      <c r="G68" s="33"/>
      <c r="H68" s="94"/>
      <c r="I68" s="32" t="str">
        <f>IF($A68="","",VLOOKUP($H68,APOIO!$L:$M,2,FALSE))</f>
        <v/>
      </c>
      <c r="J68" s="31"/>
      <c r="K68" s="32" t="str">
        <f>IF($A68="","",VLOOKUP($J68,APOIO!$H:$J,2,FALSE))</f>
        <v/>
      </c>
      <c r="L68" s="32" t="str">
        <f>IF($A68="","",VLOOKUP($J68,APOIO!$H:$J,3,FALSE))</f>
        <v/>
      </c>
      <c r="M68" s="31"/>
      <c r="N68" s="34"/>
      <c r="O68" s="32"/>
      <c r="P68" s="32"/>
      <c r="Q68" s="32"/>
      <c r="R68" s="32"/>
      <c r="S68" s="35"/>
      <c r="T68" s="91"/>
      <c r="U68" s="60"/>
      <c r="V68" s="36"/>
      <c r="W68" s="31"/>
      <c r="X68" s="59"/>
      <c r="Y68" s="59" t="str">
        <f>IFERROR(VLOOKUP($A68,APOIO!$A:$A,1,FALSE),"ERRO")</f>
        <v>ERRO</v>
      </c>
      <c r="Z68"/>
    </row>
    <row r="69" spans="1:26" ht="15" x14ac:dyDescent="0.25">
      <c r="A69" s="94"/>
      <c r="B69" s="32" t="str">
        <f>IF($A69="","",VLOOKUP($A69,APOIO!$A:$E,2,FALSE))</f>
        <v/>
      </c>
      <c r="C69" s="94"/>
      <c r="D69" s="32" t="str">
        <f>IF($A69="","",INDEX(APOIO!$D:$D,MATCH(CONCATENATE($A69,"_",$B69,"_",$C69),APOIO!$F:$F,0)))</f>
        <v/>
      </c>
      <c r="E69" s="31"/>
      <c r="F69" s="31"/>
      <c r="G69" s="33"/>
      <c r="H69" s="94"/>
      <c r="I69" s="32" t="str">
        <f>IF($A69="","",VLOOKUP($H69,APOIO!$L:$M,2,FALSE))</f>
        <v/>
      </c>
      <c r="J69" s="31"/>
      <c r="K69" s="32" t="str">
        <f>IF($A69="","",VLOOKUP($J69,APOIO!$H:$J,2,FALSE))</f>
        <v/>
      </c>
      <c r="L69" s="32" t="str">
        <f>IF($A69="","",VLOOKUP($J69,APOIO!$H:$J,3,FALSE))</f>
        <v/>
      </c>
      <c r="M69" s="31"/>
      <c r="N69" s="34"/>
      <c r="O69" s="32"/>
      <c r="P69" s="32"/>
      <c r="Q69" s="32"/>
      <c r="R69" s="32"/>
      <c r="S69" s="35"/>
      <c r="T69" s="91"/>
      <c r="U69" s="60"/>
      <c r="V69" s="36"/>
      <c r="W69" s="31"/>
      <c r="X69" s="59"/>
      <c r="Y69" s="59" t="str">
        <f>IFERROR(VLOOKUP($A69,APOIO!$A:$A,1,FALSE),"ERRO")</f>
        <v>ERRO</v>
      </c>
      <c r="Z69"/>
    </row>
    <row r="70" spans="1:26" ht="15" x14ac:dyDescent="0.25">
      <c r="A70" s="94"/>
      <c r="B70" s="32" t="str">
        <f>IF($A70="","",VLOOKUP($A70,APOIO!$A:$E,2,FALSE))</f>
        <v/>
      </c>
      <c r="C70" s="94"/>
      <c r="D70" s="32" t="str">
        <f>IF($A70="","",INDEX(APOIO!$D:$D,MATCH(CONCATENATE($A70,"_",$B70,"_",$C70),APOIO!$F:$F,0)))</f>
        <v/>
      </c>
      <c r="E70" s="31"/>
      <c r="F70" s="31"/>
      <c r="G70" s="33"/>
      <c r="H70" s="94"/>
      <c r="I70" s="32" t="str">
        <f>IF($A70="","",VLOOKUP($H70,APOIO!$L:$M,2,FALSE))</f>
        <v/>
      </c>
      <c r="J70" s="31"/>
      <c r="K70" s="32" t="str">
        <f>IF($A70="","",VLOOKUP($J70,APOIO!$H:$J,2,FALSE))</f>
        <v/>
      </c>
      <c r="L70" s="32" t="str">
        <f>IF($A70="","",VLOOKUP($J70,APOIO!$H:$J,3,FALSE))</f>
        <v/>
      </c>
      <c r="M70" s="31"/>
      <c r="N70" s="34"/>
      <c r="O70" s="32"/>
      <c r="P70" s="32"/>
      <c r="Q70" s="32"/>
      <c r="R70" s="32"/>
      <c r="S70" s="35"/>
      <c r="T70" s="91"/>
      <c r="U70" s="60"/>
      <c r="V70" s="36"/>
      <c r="W70" s="31"/>
      <c r="X70" s="59"/>
      <c r="Y70" s="59" t="str">
        <f>IFERROR(VLOOKUP($A70,APOIO!$A:$A,1,FALSE),"ERRO")</f>
        <v>ERRO</v>
      </c>
      <c r="Z70"/>
    </row>
    <row r="71" spans="1:26" ht="15" x14ac:dyDescent="0.25">
      <c r="A71" s="94"/>
      <c r="B71" s="32" t="str">
        <f>IF($A71="","",VLOOKUP($A71,APOIO!$A:$E,2,FALSE))</f>
        <v/>
      </c>
      <c r="C71" s="94"/>
      <c r="D71" s="32" t="str">
        <f>IF($A71="","",INDEX(APOIO!$D:$D,MATCH(CONCATENATE($A71,"_",$B71,"_",$C71),APOIO!$F:$F,0)))</f>
        <v/>
      </c>
      <c r="E71" s="31"/>
      <c r="F71" s="31"/>
      <c r="G71" s="33"/>
      <c r="H71" s="94"/>
      <c r="I71" s="32" t="str">
        <f>IF($A71="","",VLOOKUP($H71,APOIO!$L:$M,2,FALSE))</f>
        <v/>
      </c>
      <c r="J71" s="31"/>
      <c r="K71" s="32" t="str">
        <f>IF($A71="","",VLOOKUP($J71,APOIO!$H:$J,2,FALSE))</f>
        <v/>
      </c>
      <c r="L71" s="32" t="str">
        <f>IF($A71="","",VLOOKUP($J71,APOIO!$H:$J,3,FALSE))</f>
        <v/>
      </c>
      <c r="M71" s="31"/>
      <c r="N71" s="34"/>
      <c r="O71" s="32"/>
      <c r="P71" s="32"/>
      <c r="Q71" s="32"/>
      <c r="R71" s="32"/>
      <c r="S71" s="35"/>
      <c r="T71" s="91"/>
      <c r="U71" s="60"/>
      <c r="V71" s="36"/>
      <c r="W71" s="31"/>
      <c r="X71" s="59"/>
      <c r="Y71" s="59" t="str">
        <f>IFERROR(VLOOKUP($A71,APOIO!$A:$A,1,FALSE),"ERRO")</f>
        <v>ERRO</v>
      </c>
      <c r="Z71"/>
    </row>
    <row r="72" spans="1:26" ht="15" x14ac:dyDescent="0.25">
      <c r="A72" s="94"/>
      <c r="B72" s="32" t="str">
        <f>IF($A72="","",VLOOKUP($A72,APOIO!$A:$E,2,FALSE))</f>
        <v/>
      </c>
      <c r="C72" s="94"/>
      <c r="D72" s="32" t="str">
        <f>IF($A72="","",INDEX(APOIO!$D:$D,MATCH(CONCATENATE($A72,"_",$B72,"_",$C72),APOIO!$F:$F,0)))</f>
        <v/>
      </c>
      <c r="E72" s="31"/>
      <c r="F72" s="31"/>
      <c r="G72" s="33"/>
      <c r="H72" s="94"/>
      <c r="I72" s="32" t="str">
        <f>IF($A72="","",VLOOKUP($H72,APOIO!$L:$M,2,FALSE))</f>
        <v/>
      </c>
      <c r="J72" s="31"/>
      <c r="K72" s="32" t="str">
        <f>IF($A72="","",VLOOKUP($J72,APOIO!$H:$J,2,FALSE))</f>
        <v/>
      </c>
      <c r="L72" s="32" t="str">
        <f>IF($A72="","",VLOOKUP($J72,APOIO!$H:$J,3,FALSE))</f>
        <v/>
      </c>
      <c r="M72" s="31"/>
      <c r="N72" s="34"/>
      <c r="O72" s="32"/>
      <c r="P72" s="32"/>
      <c r="Q72" s="32"/>
      <c r="R72" s="32"/>
      <c r="S72" s="35"/>
      <c r="T72" s="91"/>
      <c r="U72" s="60"/>
      <c r="V72" s="36"/>
      <c r="W72" s="31"/>
      <c r="X72" s="59"/>
      <c r="Y72" s="59" t="str">
        <f>IFERROR(VLOOKUP($A72,APOIO!$A:$A,1,FALSE),"ERRO")</f>
        <v>ERRO</v>
      </c>
      <c r="Z72"/>
    </row>
    <row r="73" spans="1:26" ht="15" x14ac:dyDescent="0.25">
      <c r="A73" s="94"/>
      <c r="B73" s="32" t="str">
        <f>IF($A73="","",VLOOKUP($A73,APOIO!$A:$E,2,FALSE))</f>
        <v/>
      </c>
      <c r="C73" s="94"/>
      <c r="D73" s="32" t="str">
        <f>IF($A73="","",INDEX(APOIO!$D:$D,MATCH(CONCATENATE($A73,"_",$B73,"_",$C73),APOIO!$F:$F,0)))</f>
        <v/>
      </c>
      <c r="E73" s="31"/>
      <c r="F73" s="31"/>
      <c r="G73" s="33"/>
      <c r="H73" s="94"/>
      <c r="I73" s="32" t="str">
        <f>IF($A73="","",VLOOKUP($H73,APOIO!$L:$M,2,FALSE))</f>
        <v/>
      </c>
      <c r="J73" s="31"/>
      <c r="K73" s="32" t="str">
        <f>IF($A73="","",VLOOKUP($J73,APOIO!$H:$J,2,FALSE))</f>
        <v/>
      </c>
      <c r="L73" s="32" t="str">
        <f>IF($A73="","",VLOOKUP($J73,APOIO!$H:$J,3,FALSE))</f>
        <v/>
      </c>
      <c r="M73" s="31"/>
      <c r="N73" s="34"/>
      <c r="O73" s="32"/>
      <c r="P73" s="32"/>
      <c r="Q73" s="32"/>
      <c r="R73" s="32"/>
      <c r="S73" s="35"/>
      <c r="T73" s="91"/>
      <c r="U73" s="60"/>
      <c r="V73" s="36"/>
      <c r="W73" s="31"/>
      <c r="X73" s="59"/>
      <c r="Y73" s="59" t="str">
        <f>IFERROR(VLOOKUP($A73,APOIO!$A:$A,1,FALSE),"ERRO")</f>
        <v>ERRO</v>
      </c>
      <c r="Z73"/>
    </row>
    <row r="74" spans="1:26" ht="15" x14ac:dyDescent="0.25">
      <c r="A74" s="94"/>
      <c r="B74" s="32" t="str">
        <f>IF($A74="","",VLOOKUP($A74,APOIO!$A:$E,2,FALSE))</f>
        <v/>
      </c>
      <c r="C74" s="94"/>
      <c r="D74" s="32" t="str">
        <f>IF($A74="","",INDEX(APOIO!$D:$D,MATCH(CONCATENATE($A74,"_",$B74,"_",$C74),APOIO!$F:$F,0)))</f>
        <v/>
      </c>
      <c r="E74" s="31"/>
      <c r="F74" s="31"/>
      <c r="G74" s="33"/>
      <c r="H74" s="94"/>
      <c r="I74" s="32" t="str">
        <f>IF($A74="","",VLOOKUP($H74,APOIO!$L:$M,2,FALSE))</f>
        <v/>
      </c>
      <c r="J74" s="31"/>
      <c r="K74" s="32" t="str">
        <f>IF($A74="","",VLOOKUP($J74,APOIO!$H:$J,2,FALSE))</f>
        <v/>
      </c>
      <c r="L74" s="32" t="str">
        <f>IF($A74="","",VLOOKUP($J74,APOIO!$H:$J,3,FALSE))</f>
        <v/>
      </c>
      <c r="M74" s="31"/>
      <c r="N74" s="34"/>
      <c r="O74" s="32"/>
      <c r="P74" s="32"/>
      <c r="Q74" s="32"/>
      <c r="R74" s="32"/>
      <c r="S74" s="35"/>
      <c r="T74" s="91"/>
      <c r="U74" s="60"/>
      <c r="V74" s="36"/>
      <c r="W74" s="31"/>
      <c r="X74" s="59"/>
      <c r="Y74" s="59" t="str">
        <f>IFERROR(VLOOKUP($A74,APOIO!$A:$A,1,FALSE),"ERRO")</f>
        <v>ERRO</v>
      </c>
      <c r="Z74"/>
    </row>
    <row r="75" spans="1:26" ht="15" x14ac:dyDescent="0.25">
      <c r="A75" s="94"/>
      <c r="B75" s="32" t="str">
        <f>IF($A75="","",VLOOKUP($A75,APOIO!$A:$E,2,FALSE))</f>
        <v/>
      </c>
      <c r="C75" s="94"/>
      <c r="D75" s="32" t="str">
        <f>IF($A75="","",INDEX(APOIO!$D:$D,MATCH(CONCATENATE($A75,"_",$B75,"_",$C75),APOIO!$F:$F,0)))</f>
        <v/>
      </c>
      <c r="E75" s="31"/>
      <c r="F75" s="31"/>
      <c r="G75" s="33"/>
      <c r="H75" s="94"/>
      <c r="I75" s="32" t="str">
        <f>IF($A75="","",VLOOKUP($H75,APOIO!$L:$M,2,FALSE))</f>
        <v/>
      </c>
      <c r="J75" s="31"/>
      <c r="K75" s="32" t="str">
        <f>IF($A75="","",VLOOKUP($J75,APOIO!$H:$J,2,FALSE))</f>
        <v/>
      </c>
      <c r="L75" s="32" t="str">
        <f>IF($A75="","",VLOOKUP($J75,APOIO!$H:$J,3,FALSE))</f>
        <v/>
      </c>
      <c r="M75" s="31"/>
      <c r="N75" s="34"/>
      <c r="O75" s="32"/>
      <c r="P75" s="32"/>
      <c r="Q75" s="32"/>
      <c r="R75" s="32"/>
      <c r="S75" s="35"/>
      <c r="T75" s="91"/>
      <c r="U75" s="60"/>
      <c r="V75" s="36"/>
      <c r="W75" s="31"/>
      <c r="X75" s="59"/>
      <c r="Y75" s="59" t="str">
        <f>IFERROR(VLOOKUP($A75,APOIO!$A:$A,1,FALSE),"ERRO")</f>
        <v>ERRO</v>
      </c>
      <c r="Z75"/>
    </row>
    <row r="76" spans="1:26" ht="15" x14ac:dyDescent="0.25">
      <c r="A76" s="94"/>
      <c r="B76" s="32" t="str">
        <f>IF($A76="","",VLOOKUP($A76,APOIO!$A:$E,2,FALSE))</f>
        <v/>
      </c>
      <c r="C76" s="94"/>
      <c r="D76" s="32" t="str">
        <f>IF($A76="","",INDEX(APOIO!$D:$D,MATCH(CONCATENATE($A76,"_",$B76,"_",$C76),APOIO!$F:$F,0)))</f>
        <v/>
      </c>
      <c r="E76" s="31"/>
      <c r="F76" s="31"/>
      <c r="G76" s="33"/>
      <c r="H76" s="94"/>
      <c r="I76" s="32" t="str">
        <f>IF($A76="","",VLOOKUP($H76,APOIO!$L:$M,2,FALSE))</f>
        <v/>
      </c>
      <c r="J76" s="31"/>
      <c r="K76" s="32" t="str">
        <f>IF($A76="","",VLOOKUP($J76,APOIO!$H:$J,2,FALSE))</f>
        <v/>
      </c>
      <c r="L76" s="32" t="str">
        <f>IF($A76="","",VLOOKUP($J76,APOIO!$H:$J,3,FALSE))</f>
        <v/>
      </c>
      <c r="M76" s="31"/>
      <c r="N76" s="34"/>
      <c r="O76" s="32"/>
      <c r="P76" s="32"/>
      <c r="Q76" s="32"/>
      <c r="R76" s="32"/>
      <c r="S76" s="35"/>
      <c r="T76" s="91"/>
      <c r="U76" s="60"/>
      <c r="V76" s="36"/>
      <c r="W76" s="31"/>
      <c r="X76" s="59"/>
      <c r="Y76" s="59" t="str">
        <f>IFERROR(VLOOKUP($A76,APOIO!$A:$A,1,FALSE),"ERRO")</f>
        <v>ERRO</v>
      </c>
      <c r="Z76"/>
    </row>
    <row r="77" spans="1:26" ht="15" x14ac:dyDescent="0.25">
      <c r="A77" s="94"/>
      <c r="B77" s="32" t="str">
        <f>IF($A77="","",VLOOKUP($A77,APOIO!$A:$E,2,FALSE))</f>
        <v/>
      </c>
      <c r="C77" s="94"/>
      <c r="D77" s="32" t="str">
        <f>IF($A77="","",INDEX(APOIO!$D:$D,MATCH(CONCATENATE($A77,"_",$B77,"_",$C77),APOIO!$F:$F,0)))</f>
        <v/>
      </c>
      <c r="E77" s="31"/>
      <c r="F77" s="31"/>
      <c r="G77" s="33"/>
      <c r="H77" s="94"/>
      <c r="I77" s="32" t="str">
        <f>IF($A77="","",VLOOKUP($H77,APOIO!$L:$M,2,FALSE))</f>
        <v/>
      </c>
      <c r="J77" s="31"/>
      <c r="K77" s="32" t="str">
        <f>IF($A77="","",VLOOKUP($J77,APOIO!$H:$J,2,FALSE))</f>
        <v/>
      </c>
      <c r="L77" s="32" t="str">
        <f>IF($A77="","",VLOOKUP($J77,APOIO!$H:$J,3,FALSE))</f>
        <v/>
      </c>
      <c r="M77" s="31"/>
      <c r="N77" s="34"/>
      <c r="O77" s="32"/>
      <c r="P77" s="32"/>
      <c r="Q77" s="32"/>
      <c r="R77" s="32"/>
      <c r="S77" s="35"/>
      <c r="T77" s="91"/>
      <c r="U77" s="60"/>
      <c r="V77" s="36"/>
      <c r="W77" s="31"/>
      <c r="X77" s="59"/>
      <c r="Y77" s="59" t="str">
        <f>IFERROR(VLOOKUP($A77,APOIO!$A:$A,1,FALSE),"ERRO")</f>
        <v>ERRO</v>
      </c>
      <c r="Z77"/>
    </row>
    <row r="78" spans="1:26" ht="15" x14ac:dyDescent="0.25">
      <c r="A78" s="94"/>
      <c r="B78" s="32" t="str">
        <f>IF($A78="","",VLOOKUP($A78,APOIO!$A:$E,2,FALSE))</f>
        <v/>
      </c>
      <c r="C78" s="94"/>
      <c r="D78" s="32" t="str">
        <f>IF($A78="","",INDEX(APOIO!$D:$D,MATCH(CONCATENATE($A78,"_",$B78,"_",$C78),APOIO!$F:$F,0)))</f>
        <v/>
      </c>
      <c r="E78" s="31"/>
      <c r="F78" s="31"/>
      <c r="G78" s="33"/>
      <c r="H78" s="94"/>
      <c r="I78" s="32" t="str">
        <f>IF($A78="","",VLOOKUP($H78,APOIO!$L:$M,2,FALSE))</f>
        <v/>
      </c>
      <c r="J78" s="31"/>
      <c r="K78" s="32" t="str">
        <f>IF($A78="","",VLOOKUP($J78,APOIO!$H:$J,2,FALSE))</f>
        <v/>
      </c>
      <c r="L78" s="32" t="str">
        <f>IF($A78="","",VLOOKUP($J78,APOIO!$H:$J,3,FALSE))</f>
        <v/>
      </c>
      <c r="M78" s="31"/>
      <c r="N78" s="34"/>
      <c r="O78" s="32"/>
      <c r="P78" s="32"/>
      <c r="Q78" s="32"/>
      <c r="R78" s="32"/>
      <c r="S78" s="35"/>
      <c r="T78" s="91"/>
      <c r="U78" s="60"/>
      <c r="V78" s="36"/>
      <c r="W78" s="31"/>
      <c r="X78" s="59"/>
      <c r="Y78" s="59" t="str">
        <f>IFERROR(VLOOKUP($A78,APOIO!$A:$A,1,FALSE),"ERRO")</f>
        <v>ERRO</v>
      </c>
      <c r="Z78"/>
    </row>
    <row r="79" spans="1:26" ht="15" x14ac:dyDescent="0.25">
      <c r="A79" s="94"/>
      <c r="B79" s="32" t="str">
        <f>IF($A79="","",VLOOKUP($A79,APOIO!$A:$E,2,FALSE))</f>
        <v/>
      </c>
      <c r="C79" s="94"/>
      <c r="D79" s="32" t="str">
        <f>IF($A79="","",INDEX(APOIO!$D:$D,MATCH(CONCATENATE($A79,"_",$B79,"_",$C79),APOIO!$F:$F,0)))</f>
        <v/>
      </c>
      <c r="E79" s="31"/>
      <c r="F79" s="31"/>
      <c r="G79" s="33"/>
      <c r="H79" s="94"/>
      <c r="I79" s="32" t="str">
        <f>IF($A79="","",VLOOKUP($H79,APOIO!$L:$M,2,FALSE))</f>
        <v/>
      </c>
      <c r="J79" s="31"/>
      <c r="K79" s="32" t="str">
        <f>IF($A79="","",VLOOKUP($J79,APOIO!$H:$J,2,FALSE))</f>
        <v/>
      </c>
      <c r="L79" s="32" t="str">
        <f>IF($A79="","",VLOOKUP($J79,APOIO!$H:$J,3,FALSE))</f>
        <v/>
      </c>
      <c r="M79" s="31"/>
      <c r="N79" s="34"/>
      <c r="O79" s="32"/>
      <c r="P79" s="32"/>
      <c r="Q79" s="32"/>
      <c r="R79" s="32"/>
      <c r="S79" s="35"/>
      <c r="T79" s="91"/>
      <c r="U79" s="60"/>
      <c r="V79" s="36"/>
      <c r="W79" s="31"/>
      <c r="X79" s="59"/>
      <c r="Y79" s="59" t="str">
        <f>IFERROR(VLOOKUP($A79,APOIO!$A:$A,1,FALSE),"ERRO")</f>
        <v>ERRO</v>
      </c>
      <c r="Z79"/>
    </row>
    <row r="80" spans="1:26" ht="15" x14ac:dyDescent="0.25">
      <c r="A80" s="94"/>
      <c r="B80" s="32" t="str">
        <f>IF($A80="","",VLOOKUP($A80,APOIO!$A:$E,2,FALSE))</f>
        <v/>
      </c>
      <c r="C80" s="94"/>
      <c r="D80" s="32" t="str">
        <f>IF($A80="","",INDEX(APOIO!$D:$D,MATCH(CONCATENATE($A80,"_",$B80,"_",$C80),APOIO!$F:$F,0)))</f>
        <v/>
      </c>
      <c r="E80" s="31"/>
      <c r="F80" s="31"/>
      <c r="G80" s="33"/>
      <c r="H80" s="94"/>
      <c r="I80" s="32" t="str">
        <f>IF($A80="","",VLOOKUP($H80,APOIO!$L:$M,2,FALSE))</f>
        <v/>
      </c>
      <c r="J80" s="31"/>
      <c r="K80" s="32" t="str">
        <f>IF($A80="","",VLOOKUP($J80,APOIO!$H:$J,2,FALSE))</f>
        <v/>
      </c>
      <c r="L80" s="32" t="str">
        <f>IF($A80="","",VLOOKUP($J80,APOIO!$H:$J,3,FALSE))</f>
        <v/>
      </c>
      <c r="M80" s="31"/>
      <c r="N80" s="34"/>
      <c r="O80" s="32"/>
      <c r="P80" s="32"/>
      <c r="Q80" s="32"/>
      <c r="R80" s="32"/>
      <c r="S80" s="35"/>
      <c r="T80" s="91"/>
      <c r="U80" s="60"/>
      <c r="V80" s="36"/>
      <c r="W80" s="31"/>
      <c r="X80" s="59"/>
      <c r="Y80" s="59" t="str">
        <f>IFERROR(VLOOKUP($A80,APOIO!$A:$A,1,FALSE),"ERRO")</f>
        <v>ERRO</v>
      </c>
      <c r="Z80"/>
    </row>
    <row r="81" spans="1:26" ht="15" x14ac:dyDescent="0.25">
      <c r="A81" s="94"/>
      <c r="B81" s="32" t="str">
        <f>IF($A81="","",VLOOKUP($A81,APOIO!$A:$E,2,FALSE))</f>
        <v/>
      </c>
      <c r="C81" s="94"/>
      <c r="D81" s="32" t="str">
        <f>IF($A81="","",INDEX(APOIO!$D:$D,MATCH(CONCATENATE($A81,"_",$B81,"_",$C81),APOIO!$F:$F,0)))</f>
        <v/>
      </c>
      <c r="E81" s="31"/>
      <c r="F81" s="31"/>
      <c r="G81" s="33"/>
      <c r="H81" s="94"/>
      <c r="I81" s="32" t="str">
        <f>IF($A81="","",VLOOKUP($H81,APOIO!$L:$M,2,FALSE))</f>
        <v/>
      </c>
      <c r="J81" s="31"/>
      <c r="K81" s="32" t="str">
        <f>IF($A81="","",VLOOKUP($J81,APOIO!$H:$J,2,FALSE))</f>
        <v/>
      </c>
      <c r="L81" s="32" t="str">
        <f>IF($A81="","",VLOOKUP($J81,APOIO!$H:$J,3,FALSE))</f>
        <v/>
      </c>
      <c r="M81" s="31"/>
      <c r="N81" s="34"/>
      <c r="O81" s="32"/>
      <c r="P81" s="32"/>
      <c r="Q81" s="32"/>
      <c r="R81" s="32"/>
      <c r="S81" s="35"/>
      <c r="T81" s="91"/>
      <c r="U81" s="60"/>
      <c r="V81" s="36"/>
      <c r="W81" s="31"/>
      <c r="X81" s="59"/>
      <c r="Y81" s="59" t="str">
        <f>IFERROR(VLOOKUP($A81,APOIO!$A:$A,1,FALSE),"ERRO")</f>
        <v>ERRO</v>
      </c>
      <c r="Z81"/>
    </row>
    <row r="82" spans="1:26" ht="15" x14ac:dyDescent="0.25">
      <c r="A82" s="94"/>
      <c r="B82" s="32" t="str">
        <f>IF($A82="","",VLOOKUP($A82,APOIO!$A:$E,2,FALSE))</f>
        <v/>
      </c>
      <c r="C82" s="94"/>
      <c r="D82" s="32" t="str">
        <f>IF($A82="","",INDEX(APOIO!$D:$D,MATCH(CONCATENATE($A82,"_",$B82,"_",$C82),APOIO!$F:$F,0)))</f>
        <v/>
      </c>
      <c r="E82" s="31"/>
      <c r="F82" s="31"/>
      <c r="G82" s="33"/>
      <c r="H82" s="94"/>
      <c r="I82" s="32" t="str">
        <f>IF($A82="","",VLOOKUP($H82,APOIO!$L:$M,2,FALSE))</f>
        <v/>
      </c>
      <c r="J82" s="31"/>
      <c r="K82" s="32" t="str">
        <f>IF($A82="","",VLOOKUP($J82,APOIO!$H:$J,2,FALSE))</f>
        <v/>
      </c>
      <c r="L82" s="32" t="str">
        <f>IF($A82="","",VLOOKUP($J82,APOIO!$H:$J,3,FALSE))</f>
        <v/>
      </c>
      <c r="M82" s="31"/>
      <c r="N82" s="34"/>
      <c r="O82" s="32"/>
      <c r="P82" s="32"/>
      <c r="Q82" s="32"/>
      <c r="R82" s="32"/>
      <c r="S82" s="35"/>
      <c r="T82" s="91"/>
      <c r="U82" s="60"/>
      <c r="V82" s="36"/>
      <c r="W82" s="31"/>
      <c r="X82" s="59"/>
      <c r="Y82" s="59" t="str">
        <f>IFERROR(VLOOKUP($A82,APOIO!$A:$A,1,FALSE),"ERRO")</f>
        <v>ERRO</v>
      </c>
      <c r="Z82"/>
    </row>
    <row r="83" spans="1:26" ht="15" x14ac:dyDescent="0.25">
      <c r="A83" s="94"/>
      <c r="B83" s="32" t="str">
        <f>IF($A83="","",VLOOKUP($A83,APOIO!$A:$E,2,FALSE))</f>
        <v/>
      </c>
      <c r="C83" s="94"/>
      <c r="D83" s="32" t="str">
        <f>IF($A83="","",INDEX(APOIO!$D:$D,MATCH(CONCATENATE($A83,"_",$B83,"_",$C83),APOIO!$F:$F,0)))</f>
        <v/>
      </c>
      <c r="E83" s="31"/>
      <c r="F83" s="31"/>
      <c r="G83" s="33"/>
      <c r="H83" s="94"/>
      <c r="I83" s="32" t="str">
        <f>IF($A83="","",VLOOKUP($H83,APOIO!$L:$M,2,FALSE))</f>
        <v/>
      </c>
      <c r="J83" s="31"/>
      <c r="K83" s="32" t="str">
        <f>IF($A83="","",VLOOKUP($J83,APOIO!$H:$J,2,FALSE))</f>
        <v/>
      </c>
      <c r="L83" s="32" t="str">
        <f>IF($A83="","",VLOOKUP($J83,APOIO!$H:$J,3,FALSE))</f>
        <v/>
      </c>
      <c r="M83" s="31"/>
      <c r="N83" s="34"/>
      <c r="O83" s="32"/>
      <c r="P83" s="32"/>
      <c r="Q83" s="32"/>
      <c r="R83" s="32"/>
      <c r="S83" s="35"/>
      <c r="T83" s="91"/>
      <c r="U83" s="60"/>
      <c r="V83" s="36"/>
      <c r="W83" s="31"/>
      <c r="X83" s="59"/>
      <c r="Y83" s="59" t="str">
        <f>IFERROR(VLOOKUP($A83,APOIO!$A:$A,1,FALSE),"ERRO")</f>
        <v>ERRO</v>
      </c>
      <c r="Z83"/>
    </row>
    <row r="84" spans="1:26" ht="15" x14ac:dyDescent="0.25">
      <c r="A84" s="94"/>
      <c r="B84" s="32" t="str">
        <f>IF($A84="","",VLOOKUP($A84,APOIO!$A:$E,2,FALSE))</f>
        <v/>
      </c>
      <c r="C84" s="94"/>
      <c r="D84" s="32" t="str">
        <f>IF($A84="","",INDEX(APOIO!$D:$D,MATCH(CONCATENATE($A84,"_",$B84,"_",$C84),APOIO!$F:$F,0)))</f>
        <v/>
      </c>
      <c r="E84" s="31"/>
      <c r="F84" s="31"/>
      <c r="G84" s="33"/>
      <c r="H84" s="94"/>
      <c r="I84" s="32" t="str">
        <f>IF($A84="","",VLOOKUP($H84,APOIO!$L:$M,2,FALSE))</f>
        <v/>
      </c>
      <c r="J84" s="31"/>
      <c r="K84" s="32" t="str">
        <f>IF($A84="","",VLOOKUP($J84,APOIO!$H:$J,2,FALSE))</f>
        <v/>
      </c>
      <c r="L84" s="32" t="str">
        <f>IF($A84="","",VLOOKUP($J84,APOIO!$H:$J,3,FALSE))</f>
        <v/>
      </c>
      <c r="M84" s="31"/>
      <c r="N84" s="34"/>
      <c r="O84" s="32"/>
      <c r="P84" s="32"/>
      <c r="Q84" s="32"/>
      <c r="R84" s="32"/>
      <c r="S84" s="35"/>
      <c r="T84" s="91"/>
      <c r="U84" s="60"/>
      <c r="V84" s="36"/>
      <c r="W84" s="31"/>
      <c r="X84" s="59"/>
      <c r="Y84" s="59" t="str">
        <f>IFERROR(VLOOKUP($A84,APOIO!$A:$A,1,FALSE),"ERRO")</f>
        <v>ERRO</v>
      </c>
      <c r="Z84"/>
    </row>
    <row r="85" spans="1:26" ht="15" x14ac:dyDescent="0.25">
      <c r="A85" s="94"/>
      <c r="B85" s="32" t="str">
        <f>IF($A85="","",VLOOKUP($A85,APOIO!$A:$E,2,FALSE))</f>
        <v/>
      </c>
      <c r="C85" s="94"/>
      <c r="D85" s="32" t="str">
        <f>IF($A85="","",INDEX(APOIO!$D:$D,MATCH(CONCATENATE($A85,"_",$B85,"_",$C85),APOIO!$F:$F,0)))</f>
        <v/>
      </c>
      <c r="E85" s="31"/>
      <c r="F85" s="31"/>
      <c r="G85" s="33"/>
      <c r="H85" s="94"/>
      <c r="I85" s="32" t="str">
        <f>IF($A85="","",VLOOKUP($H85,APOIO!$L:$M,2,FALSE))</f>
        <v/>
      </c>
      <c r="J85" s="31"/>
      <c r="K85" s="32" t="str">
        <f>IF($A85="","",VLOOKUP($J85,APOIO!$H:$J,2,FALSE))</f>
        <v/>
      </c>
      <c r="L85" s="32" t="str">
        <f>IF($A85="","",VLOOKUP($J85,APOIO!$H:$J,3,FALSE))</f>
        <v/>
      </c>
      <c r="M85" s="31"/>
      <c r="N85" s="34"/>
      <c r="O85" s="32"/>
      <c r="P85" s="32"/>
      <c r="Q85" s="32"/>
      <c r="R85" s="32"/>
      <c r="S85" s="35"/>
      <c r="T85" s="91"/>
      <c r="U85" s="60"/>
      <c r="V85" s="36"/>
      <c r="W85" s="31"/>
      <c r="X85" s="59"/>
      <c r="Y85" s="59" t="str">
        <f>IFERROR(VLOOKUP($A85,APOIO!$A:$A,1,FALSE),"ERRO")</f>
        <v>ERRO</v>
      </c>
      <c r="Z85"/>
    </row>
    <row r="86" spans="1:26" ht="15" x14ac:dyDescent="0.25">
      <c r="A86" s="94"/>
      <c r="B86" s="32" t="str">
        <f>IF($A86="","",VLOOKUP($A86,APOIO!$A:$E,2,FALSE))</f>
        <v/>
      </c>
      <c r="C86" s="94"/>
      <c r="D86" s="32" t="str">
        <f>IF($A86="","",INDEX(APOIO!$D:$D,MATCH(CONCATENATE($A86,"_",$B86,"_",$C86),APOIO!$F:$F,0)))</f>
        <v/>
      </c>
      <c r="E86" s="31"/>
      <c r="F86" s="31"/>
      <c r="G86" s="33"/>
      <c r="H86" s="94"/>
      <c r="I86" s="32" t="str">
        <f>IF($A86="","",VLOOKUP($H86,APOIO!$L:$M,2,FALSE))</f>
        <v/>
      </c>
      <c r="J86" s="31"/>
      <c r="K86" s="32" t="str">
        <f>IF($A86="","",VLOOKUP($J86,APOIO!$H:$J,2,FALSE))</f>
        <v/>
      </c>
      <c r="L86" s="32" t="str">
        <f>IF($A86="","",VLOOKUP($J86,APOIO!$H:$J,3,FALSE))</f>
        <v/>
      </c>
      <c r="M86" s="31"/>
      <c r="N86" s="34"/>
      <c r="O86" s="32"/>
      <c r="P86" s="32"/>
      <c r="Q86" s="32"/>
      <c r="R86" s="32"/>
      <c r="S86" s="35"/>
      <c r="T86" s="91"/>
      <c r="U86" s="60"/>
      <c r="V86" s="36"/>
      <c r="W86" s="31"/>
      <c r="X86" s="59"/>
      <c r="Y86" s="59" t="str">
        <f>IFERROR(VLOOKUP($A86,APOIO!$A:$A,1,FALSE),"ERRO")</f>
        <v>ERRO</v>
      </c>
      <c r="Z86"/>
    </row>
    <row r="87" spans="1:26" ht="15" x14ac:dyDescent="0.25">
      <c r="A87" s="94"/>
      <c r="B87" s="32" t="str">
        <f>IF($A87="","",VLOOKUP($A87,APOIO!$A:$E,2,FALSE))</f>
        <v/>
      </c>
      <c r="C87" s="94"/>
      <c r="D87" s="32" t="str">
        <f>IF($A87="","",INDEX(APOIO!$D:$D,MATCH(CONCATENATE($A87,"_",$B87,"_",$C87),APOIO!$F:$F,0)))</f>
        <v/>
      </c>
      <c r="E87" s="31"/>
      <c r="F87" s="31"/>
      <c r="G87" s="33"/>
      <c r="H87" s="94"/>
      <c r="I87" s="32" t="str">
        <f>IF($A87="","",VLOOKUP($H87,APOIO!$L:$M,2,FALSE))</f>
        <v/>
      </c>
      <c r="J87" s="31"/>
      <c r="K87" s="32" t="str">
        <f>IF($A87="","",VLOOKUP($J87,APOIO!$H:$J,2,FALSE))</f>
        <v/>
      </c>
      <c r="L87" s="32" t="str">
        <f>IF($A87="","",VLOOKUP($J87,APOIO!$H:$J,3,FALSE))</f>
        <v/>
      </c>
      <c r="M87" s="31"/>
      <c r="N87" s="34"/>
      <c r="O87" s="32"/>
      <c r="P87" s="32"/>
      <c r="Q87" s="32"/>
      <c r="R87" s="32"/>
      <c r="S87" s="35"/>
      <c r="T87" s="91"/>
      <c r="U87" s="60"/>
      <c r="V87" s="36"/>
      <c r="W87" s="31"/>
      <c r="X87" s="59"/>
      <c r="Y87" s="59" t="str">
        <f>IFERROR(VLOOKUP($A87,APOIO!$A:$A,1,FALSE),"ERRO")</f>
        <v>ERRO</v>
      </c>
      <c r="Z87"/>
    </row>
    <row r="88" spans="1:26" ht="15" x14ac:dyDescent="0.25">
      <c r="A88" s="94"/>
      <c r="B88" s="32" t="str">
        <f>IF($A88="","",VLOOKUP($A88,APOIO!$A:$E,2,FALSE))</f>
        <v/>
      </c>
      <c r="C88" s="94"/>
      <c r="D88" s="32" t="str">
        <f>IF($A88="","",INDEX(APOIO!$D:$D,MATCH(CONCATENATE($A88,"_",$B88,"_",$C88),APOIO!$F:$F,0)))</f>
        <v/>
      </c>
      <c r="E88" s="31"/>
      <c r="F88" s="31"/>
      <c r="G88" s="33"/>
      <c r="H88" s="94"/>
      <c r="I88" s="32" t="str">
        <f>IF($A88="","",VLOOKUP($H88,APOIO!$L:$M,2,FALSE))</f>
        <v/>
      </c>
      <c r="J88" s="31"/>
      <c r="K88" s="32" t="str">
        <f>IF($A88="","",VLOOKUP($J88,APOIO!$H:$J,2,FALSE))</f>
        <v/>
      </c>
      <c r="L88" s="32" t="str">
        <f>IF($A88="","",VLOOKUP($J88,APOIO!$H:$J,3,FALSE))</f>
        <v/>
      </c>
      <c r="M88" s="31"/>
      <c r="N88" s="34"/>
      <c r="O88" s="32"/>
      <c r="P88" s="32"/>
      <c r="Q88" s="32"/>
      <c r="R88" s="32"/>
      <c r="S88" s="35"/>
      <c r="T88" s="91"/>
      <c r="U88" s="60"/>
      <c r="V88" s="36"/>
      <c r="W88" s="31"/>
      <c r="X88" s="59"/>
      <c r="Y88" s="59" t="str">
        <f>IFERROR(VLOOKUP($A88,APOIO!$A:$A,1,FALSE),"ERRO")</f>
        <v>ERRO</v>
      </c>
      <c r="Z88"/>
    </row>
    <row r="89" spans="1:26" ht="15" x14ac:dyDescent="0.25">
      <c r="A89" s="94"/>
      <c r="B89" s="32" t="str">
        <f>IF($A89="","",VLOOKUP($A89,APOIO!$A:$E,2,FALSE))</f>
        <v/>
      </c>
      <c r="C89" s="94"/>
      <c r="D89" s="32" t="str">
        <f>IF($A89="","",INDEX(APOIO!$D:$D,MATCH(CONCATENATE($A89,"_",$B89,"_",$C89),APOIO!$F:$F,0)))</f>
        <v/>
      </c>
      <c r="E89" s="31"/>
      <c r="F89" s="31"/>
      <c r="G89" s="33"/>
      <c r="H89" s="94"/>
      <c r="I89" s="32" t="str">
        <f>IF($A89="","",VLOOKUP($H89,APOIO!$L:$M,2,FALSE))</f>
        <v/>
      </c>
      <c r="J89" s="31"/>
      <c r="K89" s="32" t="str">
        <f>IF($A89="","",VLOOKUP($J89,APOIO!$H:$J,2,FALSE))</f>
        <v/>
      </c>
      <c r="L89" s="32" t="str">
        <f>IF($A89="","",VLOOKUP($J89,APOIO!$H:$J,3,FALSE))</f>
        <v/>
      </c>
      <c r="M89" s="31"/>
      <c r="N89" s="34"/>
      <c r="O89" s="32"/>
      <c r="P89" s="32"/>
      <c r="Q89" s="32"/>
      <c r="R89" s="32"/>
      <c r="S89" s="35"/>
      <c r="T89" s="91"/>
      <c r="U89" s="60"/>
      <c r="V89" s="36"/>
      <c r="W89" s="31"/>
      <c r="X89" s="59"/>
      <c r="Y89" s="59" t="str">
        <f>IFERROR(VLOOKUP($A89,APOIO!$A:$A,1,FALSE),"ERRO")</f>
        <v>ERRO</v>
      </c>
      <c r="Z89"/>
    </row>
    <row r="90" spans="1:26" ht="15" x14ac:dyDescent="0.25">
      <c r="A90" s="94"/>
      <c r="B90" s="32" t="str">
        <f>IF($A90="","",VLOOKUP($A90,APOIO!$A:$E,2,FALSE))</f>
        <v/>
      </c>
      <c r="C90" s="94"/>
      <c r="D90" s="32" t="str">
        <f>IF($A90="","",INDEX(APOIO!$D:$D,MATCH(CONCATENATE($A90,"_",$B90,"_",$C90),APOIO!$F:$F,0)))</f>
        <v/>
      </c>
      <c r="E90" s="31"/>
      <c r="F90" s="31"/>
      <c r="G90" s="33"/>
      <c r="H90" s="94"/>
      <c r="I90" s="32" t="str">
        <f>IF($A90="","",VLOOKUP($H90,APOIO!$L:$M,2,FALSE))</f>
        <v/>
      </c>
      <c r="J90" s="31"/>
      <c r="K90" s="32" t="str">
        <f>IF($A90="","",VLOOKUP($J90,APOIO!$H:$J,2,FALSE))</f>
        <v/>
      </c>
      <c r="L90" s="32" t="str">
        <f>IF($A90="","",VLOOKUP($J90,APOIO!$H:$J,3,FALSE))</f>
        <v/>
      </c>
      <c r="M90" s="31"/>
      <c r="N90" s="34"/>
      <c r="O90" s="32"/>
      <c r="P90" s="32"/>
      <c r="Q90" s="32"/>
      <c r="R90" s="32"/>
      <c r="S90" s="35"/>
      <c r="T90" s="91"/>
      <c r="U90" s="60"/>
      <c r="V90" s="36"/>
      <c r="W90" s="31"/>
      <c r="X90" s="59"/>
      <c r="Y90" s="59" t="str">
        <f>IFERROR(VLOOKUP($A90,APOIO!$A:$A,1,FALSE),"ERRO")</f>
        <v>ERRO</v>
      </c>
      <c r="Z90"/>
    </row>
    <row r="91" spans="1:26" ht="15" x14ac:dyDescent="0.25">
      <c r="A91" s="94"/>
      <c r="B91" s="32" t="str">
        <f>IF($A91="","",VLOOKUP($A91,APOIO!$A:$E,2,FALSE))</f>
        <v/>
      </c>
      <c r="C91" s="94"/>
      <c r="D91" s="32" t="str">
        <f>IF($A91="","",INDEX(APOIO!$D:$D,MATCH(CONCATENATE($A91,"_",$B91,"_",$C91),APOIO!$F:$F,0)))</f>
        <v/>
      </c>
      <c r="E91" s="31"/>
      <c r="F91" s="31"/>
      <c r="G91" s="33"/>
      <c r="H91" s="94"/>
      <c r="I91" s="32" t="str">
        <f>IF($A91="","",VLOOKUP($H91,APOIO!$L:$M,2,FALSE))</f>
        <v/>
      </c>
      <c r="J91" s="31"/>
      <c r="K91" s="32" t="str">
        <f>IF($A91="","",VLOOKUP($J91,APOIO!$H:$J,2,FALSE))</f>
        <v/>
      </c>
      <c r="L91" s="32" t="str">
        <f>IF($A91="","",VLOOKUP($J91,APOIO!$H:$J,3,FALSE))</f>
        <v/>
      </c>
      <c r="M91" s="31"/>
      <c r="N91" s="34"/>
      <c r="O91" s="32"/>
      <c r="P91" s="32"/>
      <c r="Q91" s="32"/>
      <c r="R91" s="32"/>
      <c r="S91" s="35"/>
      <c r="T91" s="91"/>
      <c r="U91" s="60"/>
      <c r="V91" s="36"/>
      <c r="W91" s="31"/>
      <c r="X91" s="59"/>
      <c r="Y91" s="59" t="str">
        <f>IFERROR(VLOOKUP($A91,APOIO!$A:$A,1,FALSE),"ERRO")</f>
        <v>ERRO</v>
      </c>
      <c r="Z91"/>
    </row>
    <row r="92" spans="1:26" ht="15" x14ac:dyDescent="0.25">
      <c r="A92" s="94"/>
      <c r="B92" s="32" t="str">
        <f>IF($A92="","",VLOOKUP($A92,APOIO!$A:$E,2,FALSE))</f>
        <v/>
      </c>
      <c r="C92" s="94"/>
      <c r="D92" s="32" t="str">
        <f>IF($A92="","",INDEX(APOIO!$D:$D,MATCH(CONCATENATE($A92,"_",$B92,"_",$C92),APOIO!$F:$F,0)))</f>
        <v/>
      </c>
      <c r="E92" s="31"/>
      <c r="F92" s="31"/>
      <c r="G92" s="33"/>
      <c r="H92" s="94"/>
      <c r="I92" s="32" t="str">
        <f>IF($A92="","",VLOOKUP($H92,APOIO!$L:$M,2,FALSE))</f>
        <v/>
      </c>
      <c r="J92" s="31"/>
      <c r="K92" s="32" t="str">
        <f>IF($A92="","",VLOOKUP($J92,APOIO!$H:$J,2,FALSE))</f>
        <v/>
      </c>
      <c r="L92" s="32" t="str">
        <f>IF($A92="","",VLOOKUP($J92,APOIO!$H:$J,3,FALSE))</f>
        <v/>
      </c>
      <c r="M92" s="31"/>
      <c r="N92" s="34"/>
      <c r="O92" s="32"/>
      <c r="P92" s="32"/>
      <c r="Q92" s="32"/>
      <c r="R92" s="32"/>
      <c r="S92" s="35"/>
      <c r="T92" s="91"/>
      <c r="U92" s="60"/>
      <c r="V92" s="36"/>
      <c r="W92" s="31"/>
      <c r="X92" s="59"/>
      <c r="Y92" s="59" t="str">
        <f>IFERROR(VLOOKUP($A92,APOIO!$A:$A,1,FALSE),"ERRO")</f>
        <v>ERRO</v>
      </c>
      <c r="Z92"/>
    </row>
    <row r="93" spans="1:26" ht="15" x14ac:dyDescent="0.25">
      <c r="A93" s="94"/>
      <c r="B93" s="32" t="str">
        <f>IF($A93="","",VLOOKUP($A93,APOIO!$A:$E,2,FALSE))</f>
        <v/>
      </c>
      <c r="C93" s="94"/>
      <c r="D93" s="32" t="str">
        <f>IF($A93="","",INDEX(APOIO!$D:$D,MATCH(CONCATENATE($A93,"_",$B93,"_",$C93),APOIO!$F:$F,0)))</f>
        <v/>
      </c>
      <c r="E93" s="31"/>
      <c r="F93" s="31"/>
      <c r="G93" s="33"/>
      <c r="H93" s="94"/>
      <c r="I93" s="32" t="str">
        <f>IF($A93="","",VLOOKUP($H93,APOIO!$L:$M,2,FALSE))</f>
        <v/>
      </c>
      <c r="J93" s="31"/>
      <c r="K93" s="32" t="str">
        <f>IF($A93="","",VLOOKUP($J93,APOIO!$H:$J,2,FALSE))</f>
        <v/>
      </c>
      <c r="L93" s="32" t="str">
        <f>IF($A93="","",VLOOKUP($J93,APOIO!$H:$J,3,FALSE))</f>
        <v/>
      </c>
      <c r="M93" s="31"/>
      <c r="N93" s="34"/>
      <c r="O93" s="32"/>
      <c r="P93" s="32"/>
      <c r="Q93" s="32"/>
      <c r="R93" s="32"/>
      <c r="S93" s="35"/>
      <c r="T93" s="91"/>
      <c r="U93" s="60"/>
      <c r="V93" s="36"/>
      <c r="W93" s="31"/>
      <c r="X93" s="59"/>
      <c r="Y93" s="59" t="str">
        <f>IFERROR(VLOOKUP($A93,APOIO!$A:$A,1,FALSE),"ERRO")</f>
        <v>ERRO</v>
      </c>
      <c r="Z93"/>
    </row>
    <row r="94" spans="1:26" ht="15" x14ac:dyDescent="0.25">
      <c r="A94" s="94"/>
      <c r="B94" s="32" t="str">
        <f>IF($A94="","",VLOOKUP($A94,APOIO!$A:$E,2,FALSE))</f>
        <v/>
      </c>
      <c r="C94" s="94"/>
      <c r="D94" s="32" t="str">
        <f>IF($A94="","",INDEX(APOIO!$D:$D,MATCH(CONCATENATE($A94,"_",$B94,"_",$C94),APOIO!$F:$F,0)))</f>
        <v/>
      </c>
      <c r="E94" s="31"/>
      <c r="F94" s="31"/>
      <c r="G94" s="33"/>
      <c r="H94" s="94"/>
      <c r="I94" s="32" t="str">
        <f>IF($A94="","",VLOOKUP($H94,APOIO!$L:$M,2,FALSE))</f>
        <v/>
      </c>
      <c r="J94" s="31"/>
      <c r="K94" s="32" t="str">
        <f>IF($A94="","",VLOOKUP($J94,APOIO!$H:$J,2,FALSE))</f>
        <v/>
      </c>
      <c r="L94" s="32" t="str">
        <f>IF($A94="","",VLOOKUP($J94,APOIO!$H:$J,3,FALSE))</f>
        <v/>
      </c>
      <c r="M94" s="31"/>
      <c r="N94" s="34"/>
      <c r="O94" s="32"/>
      <c r="P94" s="32"/>
      <c r="Q94" s="32"/>
      <c r="R94" s="32"/>
      <c r="S94" s="35"/>
      <c r="T94" s="91"/>
      <c r="U94" s="60"/>
      <c r="V94" s="36"/>
      <c r="W94" s="31"/>
      <c r="X94" s="59"/>
      <c r="Y94" s="59" t="str">
        <f>IFERROR(VLOOKUP($A94,APOIO!$A:$A,1,FALSE),"ERRO")</f>
        <v>ERRO</v>
      </c>
      <c r="Z94"/>
    </row>
    <row r="95" spans="1:26" ht="15" x14ac:dyDescent="0.25">
      <c r="A95" s="94"/>
      <c r="B95" s="32" t="str">
        <f>IF($A95="","",VLOOKUP($A95,APOIO!$A:$E,2,FALSE))</f>
        <v/>
      </c>
      <c r="C95" s="94"/>
      <c r="D95" s="32" t="str">
        <f>IF($A95="","",INDEX(APOIO!$D:$D,MATCH(CONCATENATE($A95,"_",$B95,"_",$C95),APOIO!$F:$F,0)))</f>
        <v/>
      </c>
      <c r="E95" s="31"/>
      <c r="F95" s="31"/>
      <c r="G95" s="33"/>
      <c r="H95" s="94"/>
      <c r="I95" s="32" t="str">
        <f>IF($A95="","",VLOOKUP($H95,APOIO!$L:$M,2,FALSE))</f>
        <v/>
      </c>
      <c r="J95" s="31"/>
      <c r="K95" s="32" t="str">
        <f>IF($A95="","",VLOOKUP($J95,APOIO!$H:$J,2,FALSE))</f>
        <v/>
      </c>
      <c r="L95" s="32" t="str">
        <f>IF($A95="","",VLOOKUP($J95,APOIO!$H:$J,3,FALSE))</f>
        <v/>
      </c>
      <c r="M95" s="31"/>
      <c r="N95" s="34"/>
      <c r="O95" s="32"/>
      <c r="P95" s="32"/>
      <c r="Q95" s="32"/>
      <c r="R95" s="32"/>
      <c r="S95" s="35"/>
      <c r="T95" s="91"/>
      <c r="U95" s="60"/>
      <c r="V95" s="36"/>
      <c r="W95" s="31"/>
      <c r="X95" s="59"/>
      <c r="Y95" s="59" t="str">
        <f>IFERROR(VLOOKUP($A95,APOIO!$A:$A,1,FALSE),"ERRO")</f>
        <v>ERRO</v>
      </c>
      <c r="Z95"/>
    </row>
    <row r="96" spans="1:26" ht="15" x14ac:dyDescent="0.25">
      <c r="A96" s="94"/>
      <c r="B96" s="32" t="str">
        <f>IF($A96="","",VLOOKUP($A96,APOIO!$A:$E,2,FALSE))</f>
        <v/>
      </c>
      <c r="C96" s="94"/>
      <c r="D96" s="32" t="str">
        <f>IF($A96="","",INDEX(APOIO!$D:$D,MATCH(CONCATENATE($A96,"_",$B96,"_",$C96),APOIO!$F:$F,0)))</f>
        <v/>
      </c>
      <c r="E96" s="31"/>
      <c r="F96" s="31"/>
      <c r="G96" s="33"/>
      <c r="H96" s="94"/>
      <c r="I96" s="32" t="str">
        <f>IF($A96="","",VLOOKUP($H96,APOIO!$L:$M,2,FALSE))</f>
        <v/>
      </c>
      <c r="J96" s="31"/>
      <c r="K96" s="32" t="str">
        <f>IF($A96="","",VLOOKUP($J96,APOIO!$H:$J,2,FALSE))</f>
        <v/>
      </c>
      <c r="L96" s="32" t="str">
        <f>IF($A96="","",VLOOKUP($J96,APOIO!$H:$J,3,FALSE))</f>
        <v/>
      </c>
      <c r="M96" s="31"/>
      <c r="N96" s="34"/>
      <c r="O96" s="32"/>
      <c r="P96" s="32"/>
      <c r="Q96" s="32"/>
      <c r="R96" s="32"/>
      <c r="S96" s="35"/>
      <c r="T96" s="91"/>
      <c r="U96" s="60"/>
      <c r="V96" s="36"/>
      <c r="W96" s="31"/>
      <c r="X96" s="59"/>
      <c r="Y96" s="59" t="str">
        <f>IFERROR(VLOOKUP($A96,APOIO!$A:$A,1,FALSE),"ERRO")</f>
        <v>ERRO</v>
      </c>
      <c r="Z96"/>
    </row>
    <row r="97" spans="1:26" ht="15" x14ac:dyDescent="0.25">
      <c r="A97" s="94"/>
      <c r="B97" s="32" t="str">
        <f>IF($A97="","",VLOOKUP($A97,APOIO!$A:$E,2,FALSE))</f>
        <v/>
      </c>
      <c r="C97" s="94"/>
      <c r="D97" s="32" t="str">
        <f>IF($A97="","",INDEX(APOIO!$D:$D,MATCH(CONCATENATE($A97,"_",$B97,"_",$C97),APOIO!$F:$F,0)))</f>
        <v/>
      </c>
      <c r="E97" s="31"/>
      <c r="F97" s="31"/>
      <c r="G97" s="33"/>
      <c r="H97" s="94"/>
      <c r="I97" s="32" t="str">
        <f>IF($A97="","",VLOOKUP($H97,APOIO!$L:$M,2,FALSE))</f>
        <v/>
      </c>
      <c r="J97" s="31"/>
      <c r="K97" s="32" t="str">
        <f>IF($A97="","",VLOOKUP($J97,APOIO!$H:$J,2,FALSE))</f>
        <v/>
      </c>
      <c r="L97" s="32" t="str">
        <f>IF($A97="","",VLOOKUP($J97,APOIO!$H:$J,3,FALSE))</f>
        <v/>
      </c>
      <c r="M97" s="31"/>
      <c r="N97" s="34"/>
      <c r="O97" s="32"/>
      <c r="P97" s="32"/>
      <c r="Q97" s="32"/>
      <c r="R97" s="32"/>
      <c r="S97" s="35"/>
      <c r="T97" s="91"/>
      <c r="U97" s="60"/>
      <c r="V97" s="36"/>
      <c r="W97" s="31"/>
      <c r="X97" s="59"/>
      <c r="Y97" s="59" t="str">
        <f>IFERROR(VLOOKUP($A97,APOIO!$A:$A,1,FALSE),"ERRO")</f>
        <v>ERRO</v>
      </c>
      <c r="Z97"/>
    </row>
    <row r="98" spans="1:26" ht="15" x14ac:dyDescent="0.25">
      <c r="A98" s="94"/>
      <c r="B98" s="32" t="str">
        <f>IF($A98="","",VLOOKUP($A98,APOIO!$A:$E,2,FALSE))</f>
        <v/>
      </c>
      <c r="C98" s="94"/>
      <c r="D98" s="32" t="str">
        <f>IF($A98="","",INDEX(APOIO!$D:$D,MATCH(CONCATENATE($A98,"_",$B98,"_",$C98),APOIO!$F:$F,0)))</f>
        <v/>
      </c>
      <c r="E98" s="31"/>
      <c r="F98" s="31"/>
      <c r="G98" s="33"/>
      <c r="H98" s="94"/>
      <c r="I98" s="32" t="str">
        <f>IF($A98="","",VLOOKUP($H98,APOIO!$L:$M,2,FALSE))</f>
        <v/>
      </c>
      <c r="J98" s="31"/>
      <c r="K98" s="32" t="str">
        <f>IF($A98="","",VLOOKUP($J98,APOIO!$H:$J,2,FALSE))</f>
        <v/>
      </c>
      <c r="L98" s="32" t="str">
        <f>IF($A98="","",VLOOKUP($J98,APOIO!$H:$J,3,FALSE))</f>
        <v/>
      </c>
      <c r="M98" s="31"/>
      <c r="N98" s="34"/>
      <c r="O98" s="32"/>
      <c r="P98" s="32"/>
      <c r="Q98" s="32"/>
      <c r="R98" s="32"/>
      <c r="S98" s="35"/>
      <c r="T98" s="91"/>
      <c r="U98" s="60"/>
      <c r="V98" s="36"/>
      <c r="W98" s="31"/>
      <c r="X98" s="59"/>
      <c r="Y98" s="59" t="str">
        <f>IFERROR(VLOOKUP($A98,APOIO!$A:$A,1,FALSE),"ERRO")</f>
        <v>ERRO</v>
      </c>
      <c r="Z98"/>
    </row>
    <row r="99" spans="1:26" ht="15" x14ac:dyDescent="0.25">
      <c r="A99" s="94"/>
      <c r="B99" s="32" t="str">
        <f>IF($A99="","",VLOOKUP($A99,APOIO!$A:$E,2,FALSE))</f>
        <v/>
      </c>
      <c r="C99" s="94"/>
      <c r="D99" s="32" t="str">
        <f>IF($A99="","",INDEX(APOIO!$D:$D,MATCH(CONCATENATE($A99,"_",$B99,"_",$C99),APOIO!$F:$F,0)))</f>
        <v/>
      </c>
      <c r="E99" s="31"/>
      <c r="F99" s="31"/>
      <c r="G99" s="33"/>
      <c r="H99" s="94"/>
      <c r="I99" s="32" t="str">
        <f>IF($A99="","",VLOOKUP($H99,APOIO!$L:$M,2,FALSE))</f>
        <v/>
      </c>
      <c r="J99" s="31"/>
      <c r="K99" s="32" t="str">
        <f>IF($A99="","",VLOOKUP($J99,APOIO!$H:$J,2,FALSE))</f>
        <v/>
      </c>
      <c r="L99" s="32" t="str">
        <f>IF($A99="","",VLOOKUP($J99,APOIO!$H:$J,3,FALSE))</f>
        <v/>
      </c>
      <c r="M99" s="31"/>
      <c r="N99" s="34"/>
      <c r="O99" s="32"/>
      <c r="P99" s="32"/>
      <c r="Q99" s="32"/>
      <c r="R99" s="32"/>
      <c r="S99" s="35"/>
      <c r="T99" s="91"/>
      <c r="U99" s="60"/>
      <c r="V99" s="36"/>
      <c r="W99" s="31"/>
      <c r="X99" s="59"/>
      <c r="Y99" s="59" t="str">
        <f>IFERROR(VLOOKUP($A99,APOIO!$A:$A,1,FALSE),"ERRO")</f>
        <v>ERRO</v>
      </c>
      <c r="Z99"/>
    </row>
    <row r="100" spans="1:26" ht="15" x14ac:dyDescent="0.25">
      <c r="A100" s="94"/>
      <c r="B100" s="32" t="str">
        <f>IF($A100="","",VLOOKUP($A100,APOIO!$A:$E,2,FALSE))</f>
        <v/>
      </c>
      <c r="C100" s="94"/>
      <c r="D100" s="32" t="str">
        <f>IF($A100="","",INDEX(APOIO!$D:$D,MATCH(CONCATENATE($A100,"_",$B100,"_",$C100),APOIO!$F:$F,0)))</f>
        <v/>
      </c>
      <c r="E100" s="31"/>
      <c r="F100" s="31"/>
      <c r="G100" s="33"/>
      <c r="H100" s="94"/>
      <c r="I100" s="32" t="str">
        <f>IF($A100="","",VLOOKUP($H100,APOIO!$L:$M,2,FALSE))</f>
        <v/>
      </c>
      <c r="J100" s="31"/>
      <c r="K100" s="32" t="str">
        <f>IF($A100="","",VLOOKUP($J100,APOIO!$H:$J,2,FALSE))</f>
        <v/>
      </c>
      <c r="L100" s="32" t="str">
        <f>IF($A100="","",VLOOKUP($J100,APOIO!$H:$J,3,FALSE))</f>
        <v/>
      </c>
      <c r="M100" s="31"/>
      <c r="N100" s="34"/>
      <c r="O100" s="32"/>
      <c r="P100" s="32"/>
      <c r="Q100" s="32"/>
      <c r="R100" s="32"/>
      <c r="S100" s="35"/>
      <c r="T100" s="91"/>
      <c r="U100" s="60"/>
      <c r="V100" s="36"/>
      <c r="W100" s="31"/>
      <c r="X100" s="59"/>
      <c r="Y100" s="59" t="str">
        <f>IFERROR(VLOOKUP($A100,APOIO!$A:$A,1,FALSE),"ERRO")</f>
        <v>ERRO</v>
      </c>
      <c r="Z100"/>
    </row>
    <row r="101" spans="1:26" ht="15" x14ac:dyDescent="0.25">
      <c r="A101" s="94"/>
      <c r="B101" s="32" t="str">
        <f>IF($A101="","",VLOOKUP($A101,APOIO!$A:$E,2,FALSE))</f>
        <v/>
      </c>
      <c r="C101" s="94"/>
      <c r="D101" s="32" t="str">
        <f>IF($A101="","",INDEX(APOIO!$D:$D,MATCH(CONCATENATE($A101,"_",$B101,"_",$C101),APOIO!$F:$F,0)))</f>
        <v/>
      </c>
      <c r="E101" s="31"/>
      <c r="F101" s="31"/>
      <c r="G101" s="33"/>
      <c r="H101" s="94"/>
      <c r="I101" s="32" t="str">
        <f>IF($A101="","",VLOOKUP($H101,APOIO!$L:$M,2,FALSE))</f>
        <v/>
      </c>
      <c r="J101" s="31"/>
      <c r="K101" s="32" t="str">
        <f>IF($A101="","",VLOOKUP($J101,APOIO!$H:$J,2,FALSE))</f>
        <v/>
      </c>
      <c r="L101" s="32" t="str">
        <f>IF($A101="","",VLOOKUP($J101,APOIO!$H:$J,3,FALSE))</f>
        <v/>
      </c>
      <c r="M101" s="31"/>
      <c r="N101" s="34"/>
      <c r="O101" s="32"/>
      <c r="P101" s="32"/>
      <c r="Q101" s="32"/>
      <c r="R101" s="32"/>
      <c r="S101" s="35"/>
      <c r="T101" s="91"/>
      <c r="U101" s="60"/>
      <c r="V101" s="36"/>
      <c r="W101" s="31"/>
      <c r="X101" s="59"/>
      <c r="Y101" s="59" t="str">
        <f>IFERROR(VLOOKUP($A101,APOIO!$A:$A,1,FALSE),"ERRO")</f>
        <v>ERRO</v>
      </c>
      <c r="Z101"/>
    </row>
    <row r="102" spans="1:26" ht="15" x14ac:dyDescent="0.25">
      <c r="A102" s="94"/>
      <c r="B102" s="32" t="str">
        <f>IF($A102="","",VLOOKUP($A102,APOIO!$A:$E,2,FALSE))</f>
        <v/>
      </c>
      <c r="C102" s="94"/>
      <c r="D102" s="32" t="str">
        <f>IF($A102="","",INDEX(APOIO!$D:$D,MATCH(CONCATENATE($A102,"_",$B102,"_",$C102),APOIO!$F:$F,0)))</f>
        <v/>
      </c>
      <c r="E102" s="31"/>
      <c r="F102" s="31"/>
      <c r="G102" s="33"/>
      <c r="H102" s="94"/>
      <c r="I102" s="32" t="str">
        <f>IF($A102="","",VLOOKUP($H102,APOIO!$L:$M,2,FALSE))</f>
        <v/>
      </c>
      <c r="J102" s="31"/>
      <c r="K102" s="32" t="str">
        <f>IF($A102="","",VLOOKUP($J102,APOIO!$H:$J,2,FALSE))</f>
        <v/>
      </c>
      <c r="L102" s="32" t="str">
        <f>IF($A102="","",VLOOKUP($J102,APOIO!$H:$J,3,FALSE))</f>
        <v/>
      </c>
      <c r="M102" s="31"/>
      <c r="N102" s="34"/>
      <c r="O102" s="32"/>
      <c r="P102" s="32"/>
      <c r="Q102" s="32"/>
      <c r="R102" s="32"/>
      <c r="S102" s="35"/>
      <c r="T102" s="91"/>
      <c r="U102" s="60"/>
      <c r="V102" s="36"/>
      <c r="W102" s="31"/>
      <c r="X102" s="59"/>
      <c r="Y102" s="59" t="str">
        <f>IFERROR(VLOOKUP($A102,APOIO!$A:$A,1,FALSE),"ERRO")</f>
        <v>ERRO</v>
      </c>
      <c r="Z102"/>
    </row>
    <row r="103" spans="1:26" ht="15" x14ac:dyDescent="0.25">
      <c r="A103" s="94"/>
      <c r="B103" s="32" t="str">
        <f>IF($A103="","",VLOOKUP($A103,APOIO!$A:$E,2,FALSE))</f>
        <v/>
      </c>
      <c r="C103" s="94"/>
      <c r="D103" s="32" t="str">
        <f>IF($A103="","",INDEX(APOIO!$D:$D,MATCH(CONCATENATE($A103,"_",$B103,"_",$C103),APOIO!$F:$F,0)))</f>
        <v/>
      </c>
      <c r="E103" s="31"/>
      <c r="F103" s="31"/>
      <c r="G103" s="33"/>
      <c r="H103" s="94"/>
      <c r="I103" s="32" t="str">
        <f>IF($A103="","",VLOOKUP($H103,APOIO!$L:$M,2,FALSE))</f>
        <v/>
      </c>
      <c r="J103" s="31"/>
      <c r="K103" s="32" t="str">
        <f>IF($A103="","",VLOOKUP($J103,APOIO!$H:$J,2,FALSE))</f>
        <v/>
      </c>
      <c r="L103" s="32" t="str">
        <f>IF($A103="","",VLOOKUP($J103,APOIO!$H:$J,3,FALSE))</f>
        <v/>
      </c>
      <c r="M103" s="31"/>
      <c r="N103" s="34"/>
      <c r="O103" s="32"/>
      <c r="P103" s="32"/>
      <c r="Q103" s="32"/>
      <c r="R103" s="32"/>
      <c r="S103" s="35"/>
      <c r="T103" s="91"/>
      <c r="U103" s="60"/>
      <c r="V103" s="36"/>
      <c r="W103" s="31"/>
      <c r="X103" s="59"/>
      <c r="Y103" s="59" t="str">
        <f>IFERROR(VLOOKUP($A103,APOIO!$A:$A,1,FALSE),"ERRO")</f>
        <v>ERRO</v>
      </c>
      <c r="Z103"/>
    </row>
    <row r="104" spans="1:26" ht="15" x14ac:dyDescent="0.25">
      <c r="A104" s="94"/>
      <c r="B104" s="32" t="str">
        <f>IF($A104="","",VLOOKUP($A104,APOIO!$A:$E,2,FALSE))</f>
        <v/>
      </c>
      <c r="C104" s="94"/>
      <c r="D104" s="32" t="str">
        <f>IF($A104="","",INDEX(APOIO!$D:$D,MATCH(CONCATENATE($A104,"_",$B104,"_",$C104),APOIO!$F:$F,0)))</f>
        <v/>
      </c>
      <c r="E104" s="31"/>
      <c r="F104" s="31"/>
      <c r="G104" s="33"/>
      <c r="H104" s="94"/>
      <c r="I104" s="32" t="str">
        <f>IF($A104="","",VLOOKUP($H104,APOIO!$L:$M,2,FALSE))</f>
        <v/>
      </c>
      <c r="J104" s="31"/>
      <c r="K104" s="32" t="str">
        <f>IF($A104="","",VLOOKUP($J104,APOIO!$H:$J,2,FALSE))</f>
        <v/>
      </c>
      <c r="L104" s="32" t="str">
        <f>IF($A104="","",VLOOKUP($J104,APOIO!$H:$J,3,FALSE))</f>
        <v/>
      </c>
      <c r="M104" s="31"/>
      <c r="N104" s="34"/>
      <c r="O104" s="32"/>
      <c r="P104" s="32"/>
      <c r="Q104" s="32"/>
      <c r="R104" s="32"/>
      <c r="S104" s="35"/>
      <c r="T104" s="91"/>
      <c r="U104" s="60"/>
      <c r="V104" s="36"/>
      <c r="W104" s="31"/>
      <c r="X104" s="59"/>
      <c r="Y104" s="59" t="str">
        <f>IFERROR(VLOOKUP($A104,APOIO!$A:$A,1,FALSE),"ERRO")</f>
        <v>ERRO</v>
      </c>
      <c r="Z104"/>
    </row>
    <row r="105" spans="1:26" ht="15" x14ac:dyDescent="0.25">
      <c r="A105" s="94"/>
      <c r="B105" s="32" t="str">
        <f>IF($A105="","",VLOOKUP($A105,APOIO!$A:$E,2,FALSE))</f>
        <v/>
      </c>
      <c r="C105" s="94"/>
      <c r="D105" s="32" t="str">
        <f>IF($A105="","",INDEX(APOIO!$D:$D,MATCH(CONCATENATE($A105,"_",$B105,"_",$C105),APOIO!$F:$F,0)))</f>
        <v/>
      </c>
      <c r="E105" s="31"/>
      <c r="F105" s="31"/>
      <c r="G105" s="33"/>
      <c r="H105" s="94"/>
      <c r="I105" s="32" t="str">
        <f>IF($A105="","",VLOOKUP($H105,APOIO!$L:$M,2,FALSE))</f>
        <v/>
      </c>
      <c r="J105" s="31"/>
      <c r="K105" s="32" t="str">
        <f>IF($A105="","",VLOOKUP($J105,APOIO!$H:$J,2,FALSE))</f>
        <v/>
      </c>
      <c r="L105" s="32" t="str">
        <f>IF($A105="","",VLOOKUP($J105,APOIO!$H:$J,3,FALSE))</f>
        <v/>
      </c>
      <c r="M105" s="31"/>
      <c r="N105" s="34"/>
      <c r="O105" s="32"/>
      <c r="P105" s="32"/>
      <c r="Q105" s="32"/>
      <c r="R105" s="32"/>
      <c r="S105" s="35"/>
      <c r="T105" s="91"/>
      <c r="U105" s="60"/>
      <c r="V105" s="36"/>
      <c r="W105" s="31"/>
      <c r="X105" s="59"/>
      <c r="Y105" s="59" t="str">
        <f>IFERROR(VLOOKUP($A105,APOIO!$A:$A,1,FALSE),"ERRO")</f>
        <v>ERRO</v>
      </c>
      <c r="Z105"/>
    </row>
    <row r="106" spans="1:26" ht="15" x14ac:dyDescent="0.25">
      <c r="A106" s="94"/>
      <c r="B106" s="32" t="str">
        <f>IF($A106="","",VLOOKUP($A106,APOIO!$A:$E,2,FALSE))</f>
        <v/>
      </c>
      <c r="C106" s="94"/>
      <c r="D106" s="32" t="str">
        <f>IF($A106="","",INDEX(APOIO!$D:$D,MATCH(CONCATENATE($A106,"_",$B106,"_",$C106),APOIO!$F:$F,0)))</f>
        <v/>
      </c>
      <c r="E106" s="31"/>
      <c r="F106" s="31"/>
      <c r="G106" s="33"/>
      <c r="H106" s="94"/>
      <c r="I106" s="32" t="str">
        <f>IF($A106="","",VLOOKUP($H106,APOIO!$L:$M,2,FALSE))</f>
        <v/>
      </c>
      <c r="J106" s="31"/>
      <c r="K106" s="32" t="str">
        <f>IF($A106="","",VLOOKUP($J106,APOIO!$H:$J,2,FALSE))</f>
        <v/>
      </c>
      <c r="L106" s="32" t="str">
        <f>IF($A106="","",VLOOKUP($J106,APOIO!$H:$J,3,FALSE))</f>
        <v/>
      </c>
      <c r="M106" s="31"/>
      <c r="N106" s="34"/>
      <c r="O106" s="32"/>
      <c r="P106" s="32"/>
      <c r="Q106" s="32"/>
      <c r="R106" s="32"/>
      <c r="S106" s="35"/>
      <c r="T106" s="91"/>
      <c r="U106" s="60"/>
      <c r="V106" s="36"/>
      <c r="W106" s="31"/>
      <c r="X106" s="59"/>
      <c r="Y106" s="59" t="str">
        <f>IFERROR(VLOOKUP($A106,APOIO!$A:$A,1,FALSE),"ERRO")</f>
        <v>ERRO</v>
      </c>
      <c r="Z106"/>
    </row>
    <row r="107" spans="1:26" ht="15" x14ac:dyDescent="0.25">
      <c r="A107" s="94"/>
      <c r="B107" s="32" t="str">
        <f>IF($A107="","",VLOOKUP($A107,APOIO!$A:$E,2,FALSE))</f>
        <v/>
      </c>
      <c r="C107" s="94"/>
      <c r="D107" s="32" t="str">
        <f>IF($A107="","",INDEX(APOIO!$D:$D,MATCH(CONCATENATE($A107,"_",$B107,"_",$C107),APOIO!$F:$F,0)))</f>
        <v/>
      </c>
      <c r="E107" s="31"/>
      <c r="F107" s="31"/>
      <c r="G107" s="33"/>
      <c r="H107" s="94"/>
      <c r="I107" s="32" t="str">
        <f>IF($A107="","",VLOOKUP($H107,APOIO!$L:$M,2,FALSE))</f>
        <v/>
      </c>
      <c r="J107" s="31"/>
      <c r="K107" s="32" t="str">
        <f>IF($A107="","",VLOOKUP($J107,APOIO!$H:$J,2,FALSE))</f>
        <v/>
      </c>
      <c r="L107" s="32" t="str">
        <f>IF($A107="","",VLOOKUP($J107,APOIO!$H:$J,3,FALSE))</f>
        <v/>
      </c>
      <c r="M107" s="31"/>
      <c r="N107" s="34"/>
      <c r="O107" s="32"/>
      <c r="P107" s="32"/>
      <c r="Q107" s="32"/>
      <c r="R107" s="32"/>
      <c r="S107" s="35"/>
      <c r="T107" s="91"/>
      <c r="U107" s="60"/>
      <c r="V107" s="36"/>
      <c r="W107" s="31"/>
      <c r="X107" s="59"/>
      <c r="Y107" s="59" t="str">
        <f>IFERROR(VLOOKUP($A107,APOIO!$A:$A,1,FALSE),"ERRO")</f>
        <v>ERRO</v>
      </c>
      <c r="Z107"/>
    </row>
    <row r="108" spans="1:26" ht="15" x14ac:dyDescent="0.25">
      <c r="A108" s="94"/>
      <c r="B108" s="32" t="str">
        <f>IF($A108="","",VLOOKUP($A108,APOIO!$A:$E,2,FALSE))</f>
        <v/>
      </c>
      <c r="C108" s="94"/>
      <c r="D108" s="32" t="str">
        <f>IF($A108="","",INDEX(APOIO!$D:$D,MATCH(CONCATENATE($A108,"_",$B108,"_",$C108),APOIO!$F:$F,0)))</f>
        <v/>
      </c>
      <c r="E108" s="31"/>
      <c r="F108" s="31"/>
      <c r="G108" s="33"/>
      <c r="H108" s="94"/>
      <c r="I108" s="32" t="str">
        <f>IF($A108="","",VLOOKUP($H108,APOIO!$L:$M,2,FALSE))</f>
        <v/>
      </c>
      <c r="J108" s="31"/>
      <c r="K108" s="32" t="str">
        <f>IF($A108="","",VLOOKUP($J108,APOIO!$H:$J,2,FALSE))</f>
        <v/>
      </c>
      <c r="L108" s="32" t="str">
        <f>IF($A108="","",VLOOKUP($J108,APOIO!$H:$J,3,FALSE))</f>
        <v/>
      </c>
      <c r="M108" s="31"/>
      <c r="N108" s="34"/>
      <c r="O108" s="32"/>
      <c r="P108" s="32"/>
      <c r="Q108" s="32"/>
      <c r="R108" s="32"/>
      <c r="S108" s="35"/>
      <c r="T108" s="91"/>
      <c r="U108" s="60"/>
      <c r="V108" s="36"/>
      <c r="W108" s="31"/>
      <c r="X108" s="59"/>
      <c r="Y108" s="59" t="str">
        <f>IFERROR(VLOOKUP($A108,APOIO!$A:$A,1,FALSE),"ERRO")</f>
        <v>ERRO</v>
      </c>
      <c r="Z108"/>
    </row>
    <row r="109" spans="1:26" ht="15" x14ac:dyDescent="0.25">
      <c r="A109" s="94"/>
      <c r="B109" s="32" t="str">
        <f>IF($A109="","",VLOOKUP($A109,APOIO!$A:$E,2,FALSE))</f>
        <v/>
      </c>
      <c r="C109" s="94"/>
      <c r="D109" s="32" t="str">
        <f>IF($A109="","",INDEX(APOIO!$D:$D,MATCH(CONCATENATE($A109,"_",$B109,"_",$C109),APOIO!$F:$F,0)))</f>
        <v/>
      </c>
      <c r="E109" s="31"/>
      <c r="F109" s="31"/>
      <c r="G109" s="33"/>
      <c r="H109" s="94"/>
      <c r="I109" s="32" t="str">
        <f>IF($A109="","",VLOOKUP($H109,APOIO!$L:$M,2,FALSE))</f>
        <v/>
      </c>
      <c r="J109" s="31"/>
      <c r="K109" s="32" t="str">
        <f>IF($A109="","",VLOOKUP($J109,APOIO!$H:$J,2,FALSE))</f>
        <v/>
      </c>
      <c r="L109" s="32" t="str">
        <f>IF($A109="","",VLOOKUP($J109,APOIO!$H:$J,3,FALSE))</f>
        <v/>
      </c>
      <c r="M109" s="31"/>
      <c r="N109" s="34"/>
      <c r="O109" s="32"/>
      <c r="P109" s="32"/>
      <c r="Q109" s="32"/>
      <c r="R109" s="32"/>
      <c r="S109" s="35"/>
      <c r="T109" s="91"/>
      <c r="U109" s="60"/>
      <c r="V109" s="36"/>
      <c r="W109" s="31"/>
      <c r="X109" s="59"/>
      <c r="Y109" s="59" t="str">
        <f>IFERROR(VLOOKUP($A109,APOIO!$A:$A,1,FALSE),"ERRO")</f>
        <v>ERRO</v>
      </c>
      <c r="Z109"/>
    </row>
    <row r="110" spans="1:26" ht="15" x14ac:dyDescent="0.25">
      <c r="A110" s="94"/>
      <c r="B110" s="32" t="str">
        <f>IF($A110="","",VLOOKUP($A110,APOIO!$A:$E,2,FALSE))</f>
        <v/>
      </c>
      <c r="C110" s="94"/>
      <c r="D110" s="32" t="str">
        <f>IF($A110="","",INDEX(APOIO!$D:$D,MATCH(CONCATENATE($A110,"_",$B110,"_",$C110),APOIO!$F:$F,0)))</f>
        <v/>
      </c>
      <c r="E110" s="31"/>
      <c r="F110" s="31"/>
      <c r="G110" s="33"/>
      <c r="H110" s="94"/>
      <c r="I110" s="32" t="str">
        <f>IF($A110="","",VLOOKUP($H110,APOIO!$L:$M,2,FALSE))</f>
        <v/>
      </c>
      <c r="J110" s="31"/>
      <c r="K110" s="32" t="str">
        <f>IF($A110="","",VLOOKUP($J110,APOIO!$H:$J,2,FALSE))</f>
        <v/>
      </c>
      <c r="L110" s="32" t="str">
        <f>IF($A110="","",VLOOKUP($J110,APOIO!$H:$J,3,FALSE))</f>
        <v/>
      </c>
      <c r="M110" s="31"/>
      <c r="N110" s="34"/>
      <c r="O110" s="32"/>
      <c r="P110" s="32"/>
      <c r="Q110" s="32"/>
      <c r="R110" s="32"/>
      <c r="S110" s="35"/>
      <c r="T110" s="91"/>
      <c r="U110" s="60"/>
      <c r="V110" s="36"/>
      <c r="W110" s="31"/>
      <c r="X110" s="59"/>
      <c r="Y110" s="59" t="str">
        <f>IFERROR(VLOOKUP($A110,APOIO!$A:$A,1,FALSE),"ERRO")</f>
        <v>ERRO</v>
      </c>
      <c r="Z110"/>
    </row>
    <row r="111" spans="1:26" ht="15" x14ac:dyDescent="0.25">
      <c r="A111" s="94"/>
      <c r="B111" s="32" t="str">
        <f>IF($A111="","",VLOOKUP($A111,APOIO!$A:$E,2,FALSE))</f>
        <v/>
      </c>
      <c r="C111" s="94"/>
      <c r="D111" s="32" t="str">
        <f>IF($A111="","",INDEX(APOIO!$D:$D,MATCH(CONCATENATE($A111,"_",$B111,"_",$C111),APOIO!$F:$F,0)))</f>
        <v/>
      </c>
      <c r="E111" s="31"/>
      <c r="F111" s="31"/>
      <c r="G111" s="33"/>
      <c r="H111" s="94"/>
      <c r="I111" s="32" t="str">
        <f>IF($A111="","",VLOOKUP($H111,APOIO!$L:$M,2,FALSE))</f>
        <v/>
      </c>
      <c r="J111" s="31"/>
      <c r="K111" s="32" t="str">
        <f>IF($A111="","",VLOOKUP($J111,APOIO!$H:$J,2,FALSE))</f>
        <v/>
      </c>
      <c r="L111" s="32" t="str">
        <f>IF($A111="","",VLOOKUP($J111,APOIO!$H:$J,3,FALSE))</f>
        <v/>
      </c>
      <c r="M111" s="31"/>
      <c r="N111" s="34"/>
      <c r="O111" s="32"/>
      <c r="P111" s="32"/>
      <c r="Q111" s="32"/>
      <c r="R111" s="32"/>
      <c r="S111" s="35"/>
      <c r="T111" s="91"/>
      <c r="U111" s="60"/>
      <c r="V111" s="36"/>
      <c r="W111" s="31"/>
      <c r="X111" s="59"/>
      <c r="Y111" s="59" t="str">
        <f>IFERROR(VLOOKUP($A111,APOIO!$A:$A,1,FALSE),"ERRO")</f>
        <v>ERRO</v>
      </c>
      <c r="Z111"/>
    </row>
    <row r="112" spans="1:26" ht="15" x14ac:dyDescent="0.25">
      <c r="A112" s="94"/>
      <c r="B112" s="32" t="str">
        <f>IF($A112="","",VLOOKUP($A112,APOIO!$A:$E,2,FALSE))</f>
        <v/>
      </c>
      <c r="C112" s="94"/>
      <c r="D112" s="32" t="str">
        <f>IF($A112="","",INDEX(APOIO!$D:$D,MATCH(CONCATENATE($A112,"_",$B112,"_",$C112),APOIO!$F:$F,0)))</f>
        <v/>
      </c>
      <c r="E112" s="31"/>
      <c r="F112" s="31"/>
      <c r="G112" s="33"/>
      <c r="H112" s="94"/>
      <c r="I112" s="32" t="str">
        <f>IF($A112="","",VLOOKUP($H112,APOIO!$L:$M,2,FALSE))</f>
        <v/>
      </c>
      <c r="J112" s="31"/>
      <c r="K112" s="32" t="str">
        <f>IF($A112="","",VLOOKUP($J112,APOIO!$H:$J,2,FALSE))</f>
        <v/>
      </c>
      <c r="L112" s="32" t="str">
        <f>IF($A112="","",VLOOKUP($J112,APOIO!$H:$J,3,FALSE))</f>
        <v/>
      </c>
      <c r="M112" s="31"/>
      <c r="N112" s="34"/>
      <c r="O112" s="32"/>
      <c r="P112" s="32"/>
      <c r="Q112" s="32"/>
      <c r="R112" s="32"/>
      <c r="S112" s="35"/>
      <c r="T112" s="91"/>
      <c r="U112" s="60"/>
      <c r="V112" s="36"/>
      <c r="W112" s="31"/>
      <c r="X112" s="59"/>
      <c r="Y112" s="59" t="str">
        <f>IFERROR(VLOOKUP($A112,APOIO!$A:$A,1,FALSE),"ERRO")</f>
        <v>ERRO</v>
      </c>
      <c r="Z112"/>
    </row>
    <row r="113" spans="1:26" ht="15" x14ac:dyDescent="0.25">
      <c r="A113" s="94"/>
      <c r="B113" s="32" t="str">
        <f>IF($A113="","",VLOOKUP($A113,APOIO!$A:$E,2,FALSE))</f>
        <v/>
      </c>
      <c r="C113" s="94"/>
      <c r="D113" s="32" t="str">
        <f>IF($A113="","",INDEX(APOIO!$D:$D,MATCH(CONCATENATE($A113,"_",$B113,"_",$C113),APOIO!$F:$F,0)))</f>
        <v/>
      </c>
      <c r="E113" s="31"/>
      <c r="F113" s="31"/>
      <c r="G113" s="33"/>
      <c r="H113" s="94"/>
      <c r="I113" s="32" t="str">
        <f>IF($A113="","",VLOOKUP($H113,APOIO!$L:$M,2,FALSE))</f>
        <v/>
      </c>
      <c r="J113" s="31"/>
      <c r="K113" s="32" t="str">
        <f>IF($A113="","",VLOOKUP($J113,APOIO!$H:$J,2,FALSE))</f>
        <v/>
      </c>
      <c r="L113" s="32" t="str">
        <f>IF($A113="","",VLOOKUP($J113,APOIO!$H:$J,3,FALSE))</f>
        <v/>
      </c>
      <c r="M113" s="31"/>
      <c r="N113" s="34"/>
      <c r="O113" s="32"/>
      <c r="P113" s="32"/>
      <c r="Q113" s="32"/>
      <c r="R113" s="32"/>
      <c r="S113" s="35"/>
      <c r="T113" s="91"/>
      <c r="U113" s="60"/>
      <c r="V113" s="36"/>
      <c r="W113" s="31"/>
      <c r="X113" s="59"/>
      <c r="Y113" s="59" t="str">
        <f>IFERROR(VLOOKUP($A113,APOIO!$A:$A,1,FALSE),"ERRO")</f>
        <v>ERRO</v>
      </c>
      <c r="Z113"/>
    </row>
    <row r="114" spans="1:26" ht="15" x14ac:dyDescent="0.25">
      <c r="A114" s="94"/>
      <c r="B114" s="32" t="str">
        <f>IF($A114="","",VLOOKUP($A114,APOIO!$A:$E,2,FALSE))</f>
        <v/>
      </c>
      <c r="C114" s="94"/>
      <c r="D114" s="32" t="str">
        <f>IF($A114="","",INDEX(APOIO!$D:$D,MATCH(CONCATENATE($A114,"_",$B114,"_",$C114),APOIO!$F:$F,0)))</f>
        <v/>
      </c>
      <c r="E114" s="31"/>
      <c r="F114" s="31"/>
      <c r="G114" s="33"/>
      <c r="H114" s="94"/>
      <c r="I114" s="32" t="str">
        <f>IF($A114="","",VLOOKUP($H114,APOIO!$L:$M,2,FALSE))</f>
        <v/>
      </c>
      <c r="J114" s="31"/>
      <c r="K114" s="32" t="str">
        <f>IF($A114="","",VLOOKUP($J114,APOIO!$H:$J,2,FALSE))</f>
        <v/>
      </c>
      <c r="L114" s="32" t="str">
        <f>IF($A114="","",VLOOKUP($J114,APOIO!$H:$J,3,FALSE))</f>
        <v/>
      </c>
      <c r="M114" s="31"/>
      <c r="N114" s="34"/>
      <c r="O114" s="32"/>
      <c r="P114" s="32"/>
      <c r="Q114" s="32"/>
      <c r="R114" s="32"/>
      <c r="S114" s="35"/>
      <c r="T114" s="91"/>
      <c r="U114" s="60"/>
      <c r="V114" s="36"/>
      <c r="W114" s="31"/>
      <c r="X114" s="59"/>
      <c r="Y114" s="59" t="str">
        <f>IFERROR(VLOOKUP($A114,APOIO!$A:$A,1,FALSE),"ERRO")</f>
        <v>ERRO</v>
      </c>
      <c r="Z114"/>
    </row>
    <row r="115" spans="1:26" ht="15" x14ac:dyDescent="0.25">
      <c r="A115" s="94"/>
      <c r="B115" s="32" t="str">
        <f>IF($A115="","",VLOOKUP($A115,APOIO!$A:$E,2,FALSE))</f>
        <v/>
      </c>
      <c r="C115" s="94"/>
      <c r="D115" s="32" t="str">
        <f>IF($A115="","",INDEX(APOIO!$D:$D,MATCH(CONCATENATE($A115,"_",$B115,"_",$C115),APOIO!$F:$F,0)))</f>
        <v/>
      </c>
      <c r="E115" s="31"/>
      <c r="F115" s="31"/>
      <c r="G115" s="33"/>
      <c r="H115" s="94"/>
      <c r="I115" s="32" t="str">
        <f>IF($A115="","",VLOOKUP($H115,APOIO!$L:$M,2,FALSE))</f>
        <v/>
      </c>
      <c r="J115" s="31"/>
      <c r="K115" s="32" t="str">
        <f>IF($A115="","",VLOOKUP($J115,APOIO!$H:$J,2,FALSE))</f>
        <v/>
      </c>
      <c r="L115" s="32" t="str">
        <f>IF($A115="","",VLOOKUP($J115,APOIO!$H:$J,3,FALSE))</f>
        <v/>
      </c>
      <c r="M115" s="31"/>
      <c r="N115" s="34"/>
      <c r="O115" s="32"/>
      <c r="P115" s="32"/>
      <c r="Q115" s="32"/>
      <c r="R115" s="32"/>
      <c r="S115" s="35"/>
      <c r="T115" s="91"/>
      <c r="U115" s="60"/>
      <c r="V115" s="36"/>
      <c r="W115" s="31"/>
      <c r="X115" s="59"/>
      <c r="Y115" s="59" t="str">
        <f>IFERROR(VLOOKUP($A115,APOIO!$A:$A,1,FALSE),"ERRO")</f>
        <v>ERRO</v>
      </c>
      <c r="Z115"/>
    </row>
    <row r="116" spans="1:26" ht="15" x14ac:dyDescent="0.25">
      <c r="A116" s="94"/>
      <c r="B116" s="32" t="str">
        <f>IF($A116="","",VLOOKUP($A116,APOIO!$A:$E,2,FALSE))</f>
        <v/>
      </c>
      <c r="C116" s="94"/>
      <c r="D116" s="32" t="str">
        <f>IF($A116="","",INDEX(APOIO!$D:$D,MATCH(CONCATENATE($A116,"_",$B116,"_",$C116),APOIO!$F:$F,0)))</f>
        <v/>
      </c>
      <c r="E116" s="31"/>
      <c r="F116" s="31"/>
      <c r="G116" s="33"/>
      <c r="H116" s="94"/>
      <c r="I116" s="32" t="str">
        <f>IF($A116="","",VLOOKUP($H116,APOIO!$L:$M,2,FALSE))</f>
        <v/>
      </c>
      <c r="J116" s="31"/>
      <c r="K116" s="32" t="str">
        <f>IF($A116="","",VLOOKUP($J116,APOIO!$H:$J,2,FALSE))</f>
        <v/>
      </c>
      <c r="L116" s="32" t="str">
        <f>IF($A116="","",VLOOKUP($J116,APOIO!$H:$J,3,FALSE))</f>
        <v/>
      </c>
      <c r="M116" s="31"/>
      <c r="N116" s="34"/>
      <c r="O116" s="32"/>
      <c r="P116" s="32"/>
      <c r="Q116" s="32"/>
      <c r="R116" s="32"/>
      <c r="S116" s="35"/>
      <c r="T116" s="91"/>
      <c r="U116" s="60"/>
      <c r="V116" s="36"/>
      <c r="W116" s="31"/>
      <c r="X116" s="59"/>
      <c r="Y116" s="59" t="str">
        <f>IFERROR(VLOOKUP($A116,APOIO!$A:$A,1,FALSE),"ERRO")</f>
        <v>ERRO</v>
      </c>
      <c r="Z116"/>
    </row>
    <row r="117" spans="1:26" ht="15" x14ac:dyDescent="0.25">
      <c r="A117" s="94"/>
      <c r="B117" s="32" t="str">
        <f>IF($A117="","",VLOOKUP($A117,APOIO!$A:$E,2,FALSE))</f>
        <v/>
      </c>
      <c r="C117" s="94"/>
      <c r="D117" s="32" t="str">
        <f>IF($A117="","",INDEX(APOIO!$D:$D,MATCH(CONCATENATE($A117,"_",$B117,"_",$C117),APOIO!$F:$F,0)))</f>
        <v/>
      </c>
      <c r="E117" s="31"/>
      <c r="F117" s="31"/>
      <c r="G117" s="33"/>
      <c r="H117" s="94"/>
      <c r="I117" s="32" t="str">
        <f>IF($A117="","",VLOOKUP($H117,APOIO!$L:$M,2,FALSE))</f>
        <v/>
      </c>
      <c r="J117" s="31"/>
      <c r="K117" s="32" t="str">
        <f>IF($A117="","",VLOOKUP($J117,APOIO!$H:$J,2,FALSE))</f>
        <v/>
      </c>
      <c r="L117" s="32" t="str">
        <f>IF($A117="","",VLOOKUP($J117,APOIO!$H:$J,3,FALSE))</f>
        <v/>
      </c>
      <c r="M117" s="31"/>
      <c r="N117" s="34"/>
      <c r="O117" s="32"/>
      <c r="P117" s="32"/>
      <c r="Q117" s="32"/>
      <c r="R117" s="32"/>
      <c r="S117" s="35"/>
      <c r="T117" s="91"/>
      <c r="U117" s="60"/>
      <c r="V117" s="36"/>
      <c r="W117" s="31"/>
      <c r="X117" s="59"/>
      <c r="Y117" s="59" t="str">
        <f>IFERROR(VLOOKUP($A117,APOIO!$A:$A,1,FALSE),"ERRO")</f>
        <v>ERRO</v>
      </c>
      <c r="Z117"/>
    </row>
    <row r="118" spans="1:26" ht="15" x14ac:dyDescent="0.25">
      <c r="A118" s="94"/>
      <c r="B118" s="32" t="str">
        <f>IF($A118="","",VLOOKUP($A118,APOIO!$A:$E,2,FALSE))</f>
        <v/>
      </c>
      <c r="C118" s="94"/>
      <c r="D118" s="32" t="str">
        <f>IF($A118="","",INDEX(APOIO!$D:$D,MATCH(CONCATENATE($A118,"_",$B118,"_",$C118),APOIO!$F:$F,0)))</f>
        <v/>
      </c>
      <c r="E118" s="31"/>
      <c r="F118" s="31"/>
      <c r="G118" s="33"/>
      <c r="H118" s="94"/>
      <c r="I118" s="32" t="str">
        <f>IF($A118="","",VLOOKUP($H118,APOIO!$L:$M,2,FALSE))</f>
        <v/>
      </c>
      <c r="J118" s="31"/>
      <c r="K118" s="32" t="str">
        <f>IF($A118="","",VLOOKUP($J118,APOIO!$H:$J,2,FALSE))</f>
        <v/>
      </c>
      <c r="L118" s="32" t="str">
        <f>IF($A118="","",VLOOKUP($J118,APOIO!$H:$J,3,FALSE))</f>
        <v/>
      </c>
      <c r="M118" s="31"/>
      <c r="N118" s="34"/>
      <c r="O118" s="32"/>
      <c r="P118" s="32"/>
      <c r="Q118" s="32"/>
      <c r="R118" s="32"/>
      <c r="S118" s="35"/>
      <c r="T118" s="91"/>
      <c r="U118" s="60"/>
      <c r="V118" s="36"/>
      <c r="W118" s="31"/>
      <c r="X118" s="59"/>
      <c r="Y118" s="59" t="str">
        <f>IFERROR(VLOOKUP($A118,APOIO!$A:$A,1,FALSE),"ERRO")</f>
        <v>ERRO</v>
      </c>
      <c r="Z118"/>
    </row>
    <row r="119" spans="1:26" ht="15" x14ac:dyDescent="0.25">
      <c r="A119" s="94"/>
      <c r="B119" s="32" t="str">
        <f>IF($A119="","",VLOOKUP($A119,APOIO!$A:$E,2,FALSE))</f>
        <v/>
      </c>
      <c r="C119" s="94"/>
      <c r="D119" s="32" t="str">
        <f>IF($A119="","",INDEX(APOIO!$D:$D,MATCH(CONCATENATE($A119,"_",$B119,"_",$C119),APOIO!$F:$F,0)))</f>
        <v/>
      </c>
      <c r="E119" s="31"/>
      <c r="F119" s="31"/>
      <c r="G119" s="33"/>
      <c r="H119" s="94"/>
      <c r="I119" s="32" t="str">
        <f>IF($A119="","",VLOOKUP($H119,APOIO!$L:$M,2,FALSE))</f>
        <v/>
      </c>
      <c r="J119" s="31"/>
      <c r="K119" s="32" t="str">
        <f>IF($A119="","",VLOOKUP($J119,APOIO!$H:$J,2,FALSE))</f>
        <v/>
      </c>
      <c r="L119" s="32" t="str">
        <f>IF($A119="","",VLOOKUP($J119,APOIO!$H:$J,3,FALSE))</f>
        <v/>
      </c>
      <c r="M119" s="31"/>
      <c r="N119" s="34"/>
      <c r="O119" s="32"/>
      <c r="P119" s="32"/>
      <c r="Q119" s="32"/>
      <c r="R119" s="32"/>
      <c r="S119" s="35"/>
      <c r="T119" s="91"/>
      <c r="U119" s="60"/>
      <c r="V119" s="36"/>
      <c r="W119" s="31"/>
      <c r="X119" s="59"/>
      <c r="Y119" s="59" t="str">
        <f>IFERROR(VLOOKUP($A119,APOIO!$A:$A,1,FALSE),"ERRO")</f>
        <v>ERRO</v>
      </c>
      <c r="Z119"/>
    </row>
    <row r="120" spans="1:26" ht="15" x14ac:dyDescent="0.25">
      <c r="A120" s="94"/>
      <c r="B120" s="32" t="str">
        <f>IF($A120="","",VLOOKUP($A120,APOIO!$A:$E,2,FALSE))</f>
        <v/>
      </c>
      <c r="C120" s="94"/>
      <c r="D120" s="32" t="str">
        <f>IF($A120="","",INDEX(APOIO!$D:$D,MATCH(CONCATENATE($A120,"_",$B120,"_",$C120),APOIO!$F:$F,0)))</f>
        <v/>
      </c>
      <c r="E120" s="31"/>
      <c r="F120" s="31"/>
      <c r="G120" s="33"/>
      <c r="H120" s="94"/>
      <c r="I120" s="32" t="str">
        <f>IF($A120="","",VLOOKUP($H120,APOIO!$L:$M,2,FALSE))</f>
        <v/>
      </c>
      <c r="J120" s="31"/>
      <c r="K120" s="32" t="str">
        <f>IF($A120="","",VLOOKUP($J120,APOIO!$H:$J,2,FALSE))</f>
        <v/>
      </c>
      <c r="L120" s="32" t="str">
        <f>IF($A120="","",VLOOKUP($J120,APOIO!$H:$J,3,FALSE))</f>
        <v/>
      </c>
      <c r="M120" s="31"/>
      <c r="N120" s="34"/>
      <c r="O120" s="32"/>
      <c r="P120" s="32"/>
      <c r="Q120" s="32"/>
      <c r="R120" s="32"/>
      <c r="S120" s="35"/>
      <c r="T120" s="91"/>
      <c r="U120" s="60"/>
      <c r="V120" s="36"/>
      <c r="W120" s="31"/>
      <c r="X120" s="59"/>
      <c r="Y120" s="59" t="str">
        <f>IFERROR(VLOOKUP($A120,APOIO!$A:$A,1,FALSE),"ERRO")</f>
        <v>ERRO</v>
      </c>
      <c r="Z120"/>
    </row>
    <row r="121" spans="1:26" ht="15" x14ac:dyDescent="0.25">
      <c r="A121" s="94"/>
      <c r="B121" s="32" t="str">
        <f>IF($A121="","",VLOOKUP($A121,APOIO!$A:$E,2,FALSE))</f>
        <v/>
      </c>
      <c r="C121" s="94"/>
      <c r="D121" s="32" t="str">
        <f>IF($A121="","",INDEX(APOIO!$D:$D,MATCH(CONCATENATE($A121,"_",$B121,"_",$C121),APOIO!$F:$F,0)))</f>
        <v/>
      </c>
      <c r="E121" s="31"/>
      <c r="F121" s="31"/>
      <c r="G121" s="33"/>
      <c r="H121" s="94"/>
      <c r="I121" s="32" t="str">
        <f>IF($A121="","",VLOOKUP($H121,APOIO!$L:$M,2,FALSE))</f>
        <v/>
      </c>
      <c r="J121" s="31"/>
      <c r="K121" s="32" t="str">
        <f>IF($A121="","",VLOOKUP($J121,APOIO!$H:$J,2,FALSE))</f>
        <v/>
      </c>
      <c r="L121" s="32" t="str">
        <f>IF($A121="","",VLOOKUP($J121,APOIO!$H:$J,3,FALSE))</f>
        <v/>
      </c>
      <c r="M121" s="31"/>
      <c r="N121" s="34"/>
      <c r="O121" s="32"/>
      <c r="P121" s="32"/>
      <c r="Q121" s="32"/>
      <c r="R121" s="32"/>
      <c r="S121" s="35"/>
      <c r="T121" s="91"/>
      <c r="U121" s="60"/>
      <c r="V121" s="36"/>
      <c r="W121" s="31"/>
      <c r="X121" s="59"/>
      <c r="Y121" s="59" t="str">
        <f>IFERROR(VLOOKUP($A121,APOIO!$A:$A,1,FALSE),"ERRO")</f>
        <v>ERRO</v>
      </c>
      <c r="Z121"/>
    </row>
    <row r="122" spans="1:26" ht="15" x14ac:dyDescent="0.25">
      <c r="A122" s="94"/>
      <c r="B122" s="32" t="str">
        <f>IF($A122="","",VLOOKUP($A122,APOIO!$A:$E,2,FALSE))</f>
        <v/>
      </c>
      <c r="C122" s="94"/>
      <c r="D122" s="32" t="str">
        <f>IF($A122="","",INDEX(APOIO!$D:$D,MATCH(CONCATENATE($A122,"_",$B122,"_",$C122),APOIO!$F:$F,0)))</f>
        <v/>
      </c>
      <c r="E122" s="31"/>
      <c r="F122" s="31"/>
      <c r="G122" s="33"/>
      <c r="H122" s="94"/>
      <c r="I122" s="32" t="str">
        <f>IF($A122="","",VLOOKUP($H122,APOIO!$L:$M,2,FALSE))</f>
        <v/>
      </c>
      <c r="J122" s="31"/>
      <c r="K122" s="32" t="str">
        <f>IF($A122="","",VLOOKUP($J122,APOIO!$H:$J,2,FALSE))</f>
        <v/>
      </c>
      <c r="L122" s="32" t="str">
        <f>IF($A122="","",VLOOKUP($J122,APOIO!$H:$J,3,FALSE))</f>
        <v/>
      </c>
      <c r="M122" s="31"/>
      <c r="N122" s="34"/>
      <c r="O122" s="32"/>
      <c r="P122" s="32"/>
      <c r="Q122" s="32"/>
      <c r="R122" s="32"/>
      <c r="S122" s="35"/>
      <c r="T122" s="91"/>
      <c r="U122" s="60"/>
      <c r="V122" s="36"/>
      <c r="W122" s="31"/>
      <c r="X122" s="59"/>
      <c r="Y122" s="59" t="str">
        <f>IFERROR(VLOOKUP($A122,APOIO!$A:$A,1,FALSE),"ERRO")</f>
        <v>ERRO</v>
      </c>
      <c r="Z122"/>
    </row>
    <row r="123" spans="1:26" ht="15" x14ac:dyDescent="0.25">
      <c r="A123" s="94"/>
      <c r="B123" s="32" t="str">
        <f>IF($A123="","",VLOOKUP($A123,APOIO!$A:$E,2,FALSE))</f>
        <v/>
      </c>
      <c r="C123" s="94"/>
      <c r="D123" s="32" t="str">
        <f>IF($A123="","",INDEX(APOIO!$D:$D,MATCH(CONCATENATE($A123,"_",$B123,"_",$C123),APOIO!$F:$F,0)))</f>
        <v/>
      </c>
      <c r="E123" s="31"/>
      <c r="F123" s="31"/>
      <c r="G123" s="33"/>
      <c r="H123" s="94"/>
      <c r="I123" s="32" t="str">
        <f>IF($A123="","",VLOOKUP($H123,APOIO!$L:$M,2,FALSE))</f>
        <v/>
      </c>
      <c r="J123" s="31"/>
      <c r="K123" s="32" t="str">
        <f>IF($A123="","",VLOOKUP($J123,APOIO!$H:$J,2,FALSE))</f>
        <v/>
      </c>
      <c r="L123" s="32" t="str">
        <f>IF($A123="","",VLOOKUP($J123,APOIO!$H:$J,3,FALSE))</f>
        <v/>
      </c>
      <c r="M123" s="31"/>
      <c r="N123" s="34"/>
      <c r="O123" s="32"/>
      <c r="P123" s="32"/>
      <c r="Q123" s="32"/>
      <c r="R123" s="32"/>
      <c r="S123" s="35"/>
      <c r="T123" s="91"/>
      <c r="U123" s="60"/>
      <c r="V123" s="36"/>
      <c r="W123" s="31"/>
      <c r="X123" s="59"/>
      <c r="Y123" s="59" t="str">
        <f>IFERROR(VLOOKUP($A123,APOIO!$A:$A,1,FALSE),"ERRO")</f>
        <v>ERRO</v>
      </c>
      <c r="Z123"/>
    </row>
    <row r="124" spans="1:26" ht="15" x14ac:dyDescent="0.25">
      <c r="A124" s="94"/>
      <c r="B124" s="32" t="str">
        <f>IF($A124="","",VLOOKUP($A124,APOIO!$A:$E,2,FALSE))</f>
        <v/>
      </c>
      <c r="C124" s="94"/>
      <c r="D124" s="32" t="str">
        <f>IF($A124="","",INDEX(APOIO!$D:$D,MATCH(CONCATENATE($A124,"_",$B124,"_",$C124),APOIO!$F:$F,0)))</f>
        <v/>
      </c>
      <c r="E124" s="31"/>
      <c r="F124" s="31"/>
      <c r="G124" s="33"/>
      <c r="H124" s="94"/>
      <c r="I124" s="32" t="str">
        <f>IF($A124="","",VLOOKUP($H124,APOIO!$L:$M,2,FALSE))</f>
        <v/>
      </c>
      <c r="J124" s="31"/>
      <c r="K124" s="32" t="str">
        <f>IF($A124="","",VLOOKUP($J124,APOIO!$H:$J,2,FALSE))</f>
        <v/>
      </c>
      <c r="L124" s="32" t="str">
        <f>IF($A124="","",VLOOKUP($J124,APOIO!$H:$J,3,FALSE))</f>
        <v/>
      </c>
      <c r="M124" s="31"/>
      <c r="N124" s="34"/>
      <c r="O124" s="32"/>
      <c r="P124" s="32"/>
      <c r="Q124" s="32"/>
      <c r="R124" s="32"/>
      <c r="S124" s="35"/>
      <c r="T124" s="91"/>
      <c r="U124" s="60"/>
      <c r="V124" s="36"/>
      <c r="W124" s="31"/>
      <c r="X124" s="59"/>
      <c r="Y124" s="59" t="str">
        <f>IFERROR(VLOOKUP($A124,APOIO!$A:$A,1,FALSE),"ERRO")</f>
        <v>ERRO</v>
      </c>
      <c r="Z124"/>
    </row>
    <row r="125" spans="1:26" ht="15" x14ac:dyDescent="0.25">
      <c r="A125" s="94"/>
      <c r="B125" s="32" t="str">
        <f>IF($A125="","",VLOOKUP($A125,APOIO!$A:$E,2,FALSE))</f>
        <v/>
      </c>
      <c r="C125" s="94"/>
      <c r="D125" s="32" t="str">
        <f>IF($A125="","",INDEX(APOIO!$D:$D,MATCH(CONCATENATE($A125,"_",$B125,"_",$C125),APOIO!$F:$F,0)))</f>
        <v/>
      </c>
      <c r="E125" s="31"/>
      <c r="F125" s="31"/>
      <c r="G125" s="33"/>
      <c r="H125" s="94"/>
      <c r="I125" s="32" t="str">
        <f>IF($A125="","",VLOOKUP($H125,APOIO!$L:$M,2,FALSE))</f>
        <v/>
      </c>
      <c r="J125" s="31"/>
      <c r="K125" s="32" t="str">
        <f>IF($A125="","",VLOOKUP($J125,APOIO!$H:$J,2,FALSE))</f>
        <v/>
      </c>
      <c r="L125" s="32" t="str">
        <f>IF($A125="","",VLOOKUP($J125,APOIO!$H:$J,3,FALSE))</f>
        <v/>
      </c>
      <c r="M125" s="31"/>
      <c r="N125" s="34"/>
      <c r="O125" s="32"/>
      <c r="P125" s="32"/>
      <c r="Q125" s="32"/>
      <c r="R125" s="32"/>
      <c r="S125" s="35"/>
      <c r="T125" s="91"/>
      <c r="U125" s="60"/>
      <c r="V125" s="36"/>
      <c r="W125" s="31"/>
      <c r="X125" s="59"/>
      <c r="Y125" s="59" t="str">
        <f>IFERROR(VLOOKUP($A125,APOIO!$A:$A,1,FALSE),"ERRO")</f>
        <v>ERRO</v>
      </c>
      <c r="Z125"/>
    </row>
    <row r="126" spans="1:26" ht="15" x14ac:dyDescent="0.25">
      <c r="A126" s="94"/>
      <c r="B126" s="32" t="str">
        <f>IF($A126="","",VLOOKUP($A126,APOIO!$A:$E,2,FALSE))</f>
        <v/>
      </c>
      <c r="C126" s="94"/>
      <c r="D126" s="32" t="str">
        <f>IF($A126="","",INDEX(APOIO!$D:$D,MATCH(CONCATENATE($A126,"_",$B126,"_",$C126),APOIO!$F:$F,0)))</f>
        <v/>
      </c>
      <c r="E126" s="31"/>
      <c r="F126" s="31"/>
      <c r="G126" s="33"/>
      <c r="H126" s="94"/>
      <c r="I126" s="32" t="str">
        <f>IF($A126="","",VLOOKUP($H126,APOIO!$L:$M,2,FALSE))</f>
        <v/>
      </c>
      <c r="J126" s="31"/>
      <c r="K126" s="32" t="str">
        <f>IF($A126="","",VLOOKUP($J126,APOIO!$H:$J,2,FALSE))</f>
        <v/>
      </c>
      <c r="L126" s="32" t="str">
        <f>IF($A126="","",VLOOKUP($J126,APOIO!$H:$J,3,FALSE))</f>
        <v/>
      </c>
      <c r="M126" s="31"/>
      <c r="N126" s="34"/>
      <c r="O126" s="32"/>
      <c r="P126" s="32"/>
      <c r="Q126" s="32"/>
      <c r="R126" s="32"/>
      <c r="S126" s="35"/>
      <c r="T126" s="91"/>
      <c r="U126" s="60"/>
      <c r="V126" s="36"/>
      <c r="W126" s="31"/>
      <c r="X126" s="59"/>
      <c r="Y126" s="59" t="str">
        <f>IFERROR(VLOOKUP($A126,APOIO!$A:$A,1,FALSE),"ERRO")</f>
        <v>ERRO</v>
      </c>
      <c r="Z126"/>
    </row>
    <row r="127" spans="1:26" ht="15" x14ac:dyDescent="0.25">
      <c r="A127" s="94"/>
      <c r="B127" s="32" t="str">
        <f>IF($A127="","",VLOOKUP($A127,APOIO!$A:$E,2,FALSE))</f>
        <v/>
      </c>
      <c r="C127" s="94"/>
      <c r="D127" s="32" t="str">
        <f>IF($A127="","",INDEX(APOIO!$D:$D,MATCH(CONCATENATE($A127,"_",$B127,"_",$C127),APOIO!$F:$F,0)))</f>
        <v/>
      </c>
      <c r="E127" s="31"/>
      <c r="F127" s="31"/>
      <c r="G127" s="33"/>
      <c r="H127" s="94"/>
      <c r="I127" s="32" t="str">
        <f>IF($A127="","",VLOOKUP($H127,APOIO!$L:$M,2,FALSE))</f>
        <v/>
      </c>
      <c r="J127" s="31"/>
      <c r="K127" s="32" t="str">
        <f>IF($A127="","",VLOOKUP($J127,APOIO!$H:$J,2,FALSE))</f>
        <v/>
      </c>
      <c r="L127" s="32" t="str">
        <f>IF($A127="","",VLOOKUP($J127,APOIO!$H:$J,3,FALSE))</f>
        <v/>
      </c>
      <c r="M127" s="31"/>
      <c r="N127" s="34"/>
      <c r="O127" s="32"/>
      <c r="P127" s="32"/>
      <c r="Q127" s="32"/>
      <c r="R127" s="32"/>
      <c r="S127" s="35"/>
      <c r="T127" s="91"/>
      <c r="U127" s="60"/>
      <c r="V127" s="36"/>
      <c r="W127" s="31"/>
      <c r="X127" s="59"/>
      <c r="Y127" s="59" t="str">
        <f>IFERROR(VLOOKUP($A127,APOIO!$A:$A,1,FALSE),"ERRO")</f>
        <v>ERRO</v>
      </c>
      <c r="Z127"/>
    </row>
    <row r="128" spans="1:26" ht="15" x14ac:dyDescent="0.25">
      <c r="A128" s="94"/>
      <c r="B128" s="32" t="str">
        <f>IF($A128="","",VLOOKUP($A128,APOIO!$A:$E,2,FALSE))</f>
        <v/>
      </c>
      <c r="C128" s="94"/>
      <c r="D128" s="32" t="str">
        <f>IF($A128="","",INDEX(APOIO!$D:$D,MATCH(CONCATENATE($A128,"_",$B128,"_",$C128),APOIO!$F:$F,0)))</f>
        <v/>
      </c>
      <c r="E128" s="31"/>
      <c r="F128" s="31"/>
      <c r="G128" s="33"/>
      <c r="H128" s="94"/>
      <c r="I128" s="32" t="str">
        <f>IF($A128="","",VLOOKUP($H128,APOIO!$L:$M,2,FALSE))</f>
        <v/>
      </c>
      <c r="J128" s="31"/>
      <c r="K128" s="32" t="str">
        <f>IF($A128="","",VLOOKUP($J128,APOIO!$H:$J,2,FALSE))</f>
        <v/>
      </c>
      <c r="L128" s="32" t="str">
        <f>IF($A128="","",VLOOKUP($J128,APOIO!$H:$J,3,FALSE))</f>
        <v/>
      </c>
      <c r="M128" s="31"/>
      <c r="N128" s="34"/>
      <c r="O128" s="32"/>
      <c r="P128" s="32"/>
      <c r="Q128" s="32"/>
      <c r="R128" s="32"/>
      <c r="S128" s="35"/>
      <c r="T128" s="91"/>
      <c r="U128" s="60"/>
      <c r="V128" s="36"/>
      <c r="W128" s="31"/>
      <c r="X128" s="59"/>
      <c r="Y128" s="59" t="str">
        <f>IFERROR(VLOOKUP($A128,APOIO!$A:$A,1,FALSE),"ERRO")</f>
        <v>ERRO</v>
      </c>
      <c r="Z128"/>
    </row>
    <row r="129" spans="1:26" ht="15" x14ac:dyDescent="0.25">
      <c r="A129" s="94"/>
      <c r="B129" s="32" t="str">
        <f>IF($A129="","",VLOOKUP($A129,APOIO!$A:$E,2,FALSE))</f>
        <v/>
      </c>
      <c r="C129" s="94"/>
      <c r="D129" s="32" t="str">
        <f>IF($A129="","",INDEX(APOIO!$D:$D,MATCH(CONCATENATE($A129,"_",$B129,"_",$C129),APOIO!$F:$F,0)))</f>
        <v/>
      </c>
      <c r="E129" s="31"/>
      <c r="F129" s="31"/>
      <c r="G129" s="33"/>
      <c r="H129" s="94"/>
      <c r="I129" s="32" t="str">
        <f>IF($A129="","",VLOOKUP($H129,APOIO!$L:$M,2,FALSE))</f>
        <v/>
      </c>
      <c r="J129" s="31"/>
      <c r="K129" s="32" t="str">
        <f>IF($A129="","",VLOOKUP($J129,APOIO!$H:$J,2,FALSE))</f>
        <v/>
      </c>
      <c r="L129" s="32" t="str">
        <f>IF($A129="","",VLOOKUP($J129,APOIO!$H:$J,3,FALSE))</f>
        <v/>
      </c>
      <c r="M129" s="31"/>
      <c r="N129" s="34"/>
      <c r="O129" s="32"/>
      <c r="P129" s="32"/>
      <c r="Q129" s="32"/>
      <c r="R129" s="32"/>
      <c r="S129" s="35"/>
      <c r="T129" s="91"/>
      <c r="U129" s="60"/>
      <c r="V129" s="36"/>
      <c r="W129" s="31"/>
      <c r="X129" s="59"/>
      <c r="Y129" s="59" t="str">
        <f>IFERROR(VLOOKUP($A129,APOIO!$A:$A,1,FALSE),"ERRO")</f>
        <v>ERRO</v>
      </c>
      <c r="Z129"/>
    </row>
    <row r="130" spans="1:26" ht="15" x14ac:dyDescent="0.25">
      <c r="A130" s="94"/>
      <c r="B130" s="32" t="str">
        <f>IF($A130="","",VLOOKUP($A130,APOIO!$A:$E,2,FALSE))</f>
        <v/>
      </c>
      <c r="C130" s="94"/>
      <c r="D130" s="32" t="str">
        <f>IF($A130="","",INDEX(APOIO!$D:$D,MATCH(CONCATENATE($A130,"_",$B130,"_",$C130),APOIO!$F:$F,0)))</f>
        <v/>
      </c>
      <c r="E130" s="31"/>
      <c r="F130" s="31"/>
      <c r="G130" s="33"/>
      <c r="H130" s="94"/>
      <c r="I130" s="32" t="str">
        <f>IF($A130="","",VLOOKUP($H130,APOIO!$L:$M,2,FALSE))</f>
        <v/>
      </c>
      <c r="J130" s="31"/>
      <c r="K130" s="32" t="str">
        <f>IF($A130="","",VLOOKUP($J130,APOIO!$H:$J,2,FALSE))</f>
        <v/>
      </c>
      <c r="L130" s="32" t="str">
        <f>IF($A130="","",VLOOKUP($J130,APOIO!$H:$J,3,FALSE))</f>
        <v/>
      </c>
      <c r="M130" s="31"/>
      <c r="N130" s="34"/>
      <c r="O130" s="32"/>
      <c r="P130" s="32"/>
      <c r="Q130" s="32"/>
      <c r="R130" s="32"/>
      <c r="S130" s="35"/>
      <c r="T130" s="91"/>
      <c r="U130" s="60"/>
      <c r="V130" s="36"/>
      <c r="W130" s="31"/>
      <c r="X130" s="59"/>
      <c r="Y130" s="59" t="str">
        <f>IFERROR(VLOOKUP($A130,APOIO!$A:$A,1,FALSE),"ERRO")</f>
        <v>ERRO</v>
      </c>
      <c r="Z130"/>
    </row>
    <row r="131" spans="1:26" ht="15" x14ac:dyDescent="0.25">
      <c r="A131" s="94"/>
      <c r="B131" s="32" t="str">
        <f>IF($A131="","",VLOOKUP($A131,APOIO!$A:$E,2,FALSE))</f>
        <v/>
      </c>
      <c r="C131" s="94"/>
      <c r="D131" s="32" t="str">
        <f>IF($A131="","",INDEX(APOIO!$D:$D,MATCH(CONCATENATE($A131,"_",$B131,"_",$C131),APOIO!$F:$F,0)))</f>
        <v/>
      </c>
      <c r="E131" s="31"/>
      <c r="F131" s="31"/>
      <c r="G131" s="33"/>
      <c r="H131" s="94"/>
      <c r="I131" s="32" t="str">
        <f>IF($A131="","",VLOOKUP($H131,APOIO!$L:$M,2,FALSE))</f>
        <v/>
      </c>
      <c r="J131" s="31"/>
      <c r="K131" s="32" t="str">
        <f>IF($A131="","",VLOOKUP($J131,APOIO!$H:$J,2,FALSE))</f>
        <v/>
      </c>
      <c r="L131" s="32" t="str">
        <f>IF($A131="","",VLOOKUP($J131,APOIO!$H:$J,3,FALSE))</f>
        <v/>
      </c>
      <c r="M131" s="31"/>
      <c r="N131" s="34"/>
      <c r="O131" s="32"/>
      <c r="P131" s="32"/>
      <c r="Q131" s="32"/>
      <c r="R131" s="32"/>
      <c r="S131" s="35"/>
      <c r="T131" s="91"/>
      <c r="U131" s="60"/>
      <c r="V131" s="36"/>
      <c r="W131" s="31"/>
      <c r="X131" s="59"/>
      <c r="Y131" s="59" t="str">
        <f>IFERROR(VLOOKUP($A131,APOIO!$A:$A,1,FALSE),"ERRO")</f>
        <v>ERRO</v>
      </c>
      <c r="Z131"/>
    </row>
    <row r="132" spans="1:26" ht="15" x14ac:dyDescent="0.25">
      <c r="A132" s="94"/>
      <c r="B132" s="32" t="str">
        <f>IF($A132="","",VLOOKUP($A132,APOIO!$A:$E,2,FALSE))</f>
        <v/>
      </c>
      <c r="C132" s="94"/>
      <c r="D132" s="32" t="str">
        <f>IF($A132="","",INDEX(APOIO!$D:$D,MATCH(CONCATENATE($A132,"_",$B132,"_",$C132),APOIO!$F:$F,0)))</f>
        <v/>
      </c>
      <c r="E132" s="31"/>
      <c r="F132" s="31"/>
      <c r="G132" s="33"/>
      <c r="H132" s="94"/>
      <c r="I132" s="32" t="str">
        <f>IF($A132="","",VLOOKUP($H132,APOIO!$L:$M,2,FALSE))</f>
        <v/>
      </c>
      <c r="J132" s="31"/>
      <c r="K132" s="32" t="str">
        <f>IF($A132="","",VLOOKUP($J132,APOIO!$H:$J,2,FALSE))</f>
        <v/>
      </c>
      <c r="L132" s="32" t="str">
        <f>IF($A132="","",VLOOKUP($J132,APOIO!$H:$J,3,FALSE))</f>
        <v/>
      </c>
      <c r="M132" s="31"/>
      <c r="N132" s="34"/>
      <c r="O132" s="32"/>
      <c r="P132" s="32"/>
      <c r="Q132" s="32"/>
      <c r="R132" s="32"/>
      <c r="S132" s="35"/>
      <c r="T132" s="91"/>
      <c r="U132" s="60"/>
      <c r="V132" s="36"/>
      <c r="W132" s="31"/>
      <c r="X132" s="59"/>
      <c r="Y132" s="59" t="str">
        <f>IFERROR(VLOOKUP($A132,APOIO!$A:$A,1,FALSE),"ERRO")</f>
        <v>ERRO</v>
      </c>
      <c r="Z132"/>
    </row>
    <row r="133" spans="1:26" ht="15" x14ac:dyDescent="0.25">
      <c r="A133" s="94"/>
      <c r="B133" s="32" t="str">
        <f>IF($A133="","",VLOOKUP($A133,APOIO!$A:$E,2,FALSE))</f>
        <v/>
      </c>
      <c r="C133" s="94"/>
      <c r="D133" s="32" t="str">
        <f>IF($A133="","",INDEX(APOIO!$D:$D,MATCH(CONCATENATE($A133,"_",$B133,"_",$C133),APOIO!$F:$F,0)))</f>
        <v/>
      </c>
      <c r="E133" s="31"/>
      <c r="F133" s="31"/>
      <c r="G133" s="33"/>
      <c r="H133" s="94"/>
      <c r="I133" s="32" t="str">
        <f>IF($A133="","",VLOOKUP($H133,APOIO!$L:$M,2,FALSE))</f>
        <v/>
      </c>
      <c r="J133" s="31"/>
      <c r="K133" s="32" t="str">
        <f>IF($A133="","",VLOOKUP($J133,APOIO!$H:$J,2,FALSE))</f>
        <v/>
      </c>
      <c r="L133" s="32" t="str">
        <f>IF($A133="","",VLOOKUP($J133,APOIO!$H:$J,3,FALSE))</f>
        <v/>
      </c>
      <c r="M133" s="31"/>
      <c r="N133" s="34"/>
      <c r="O133" s="32"/>
      <c r="P133" s="32"/>
      <c r="Q133" s="32"/>
      <c r="R133" s="32"/>
      <c r="S133" s="35"/>
      <c r="T133" s="91"/>
      <c r="U133" s="60"/>
      <c r="V133" s="36"/>
      <c r="W133" s="31"/>
      <c r="X133" s="59"/>
      <c r="Y133" s="59" t="str">
        <f>IFERROR(VLOOKUP($A133,APOIO!$A:$A,1,FALSE),"ERRO")</f>
        <v>ERRO</v>
      </c>
      <c r="Z133"/>
    </row>
    <row r="134" spans="1:26" ht="15" x14ac:dyDescent="0.25">
      <c r="A134" s="94"/>
      <c r="B134" s="32" t="str">
        <f>IF($A134="","",VLOOKUP($A134,APOIO!$A:$E,2,FALSE))</f>
        <v/>
      </c>
      <c r="C134" s="94"/>
      <c r="D134" s="32" t="str">
        <f>IF($A134="","",INDEX(APOIO!$D:$D,MATCH(CONCATENATE($A134,"_",$B134,"_",$C134),APOIO!$F:$F,0)))</f>
        <v/>
      </c>
      <c r="E134" s="31"/>
      <c r="F134" s="31"/>
      <c r="G134" s="33"/>
      <c r="H134" s="94"/>
      <c r="I134" s="32" t="str">
        <f>IF($A134="","",VLOOKUP($H134,APOIO!$L:$M,2,FALSE))</f>
        <v/>
      </c>
      <c r="J134" s="31"/>
      <c r="K134" s="32" t="str">
        <f>IF($A134="","",VLOOKUP($J134,APOIO!$H:$J,2,FALSE))</f>
        <v/>
      </c>
      <c r="L134" s="32" t="str">
        <f>IF($A134="","",VLOOKUP($J134,APOIO!$H:$J,3,FALSE))</f>
        <v/>
      </c>
      <c r="M134" s="31"/>
      <c r="N134" s="34"/>
      <c r="O134" s="32"/>
      <c r="P134" s="32"/>
      <c r="Q134" s="32"/>
      <c r="R134" s="32"/>
      <c r="S134" s="35"/>
      <c r="T134" s="91"/>
      <c r="U134" s="60"/>
      <c r="V134" s="36"/>
      <c r="W134" s="31"/>
      <c r="X134" s="59"/>
      <c r="Y134" s="59" t="str">
        <f>IFERROR(VLOOKUP($A134,APOIO!$A:$A,1,FALSE),"ERRO")</f>
        <v>ERRO</v>
      </c>
      <c r="Z134"/>
    </row>
    <row r="135" spans="1:26" ht="15" x14ac:dyDescent="0.25">
      <c r="A135" s="94"/>
      <c r="B135" s="32" t="str">
        <f>IF($A135="","",VLOOKUP($A135,APOIO!$A:$E,2,FALSE))</f>
        <v/>
      </c>
      <c r="C135" s="94"/>
      <c r="D135" s="32" t="str">
        <f>IF($A135="","",INDEX(APOIO!$D:$D,MATCH(CONCATENATE($A135,"_",$B135,"_",$C135),APOIO!$F:$F,0)))</f>
        <v/>
      </c>
      <c r="E135" s="31"/>
      <c r="F135" s="31"/>
      <c r="G135" s="33"/>
      <c r="H135" s="94"/>
      <c r="I135" s="32" t="str">
        <f>IF($A135="","",VLOOKUP($H135,APOIO!$L:$M,2,FALSE))</f>
        <v/>
      </c>
      <c r="J135" s="31"/>
      <c r="K135" s="32" t="str">
        <f>IF($A135="","",VLOOKUP($J135,APOIO!$H:$J,2,FALSE))</f>
        <v/>
      </c>
      <c r="L135" s="32" t="str">
        <f>IF($A135="","",VLOOKUP($J135,APOIO!$H:$J,3,FALSE))</f>
        <v/>
      </c>
      <c r="M135" s="31"/>
      <c r="N135" s="34"/>
      <c r="O135" s="32"/>
      <c r="P135" s="32"/>
      <c r="Q135" s="32"/>
      <c r="R135" s="32"/>
      <c r="S135" s="35"/>
      <c r="T135" s="91"/>
      <c r="U135" s="60"/>
      <c r="V135" s="36"/>
      <c r="W135" s="31"/>
      <c r="X135" s="59"/>
      <c r="Y135" s="59" t="str">
        <f>IFERROR(VLOOKUP($A135,APOIO!$A:$A,1,FALSE),"ERRO")</f>
        <v>ERRO</v>
      </c>
      <c r="Z135"/>
    </row>
    <row r="136" spans="1:26" ht="15" x14ac:dyDescent="0.25">
      <c r="A136" s="94"/>
      <c r="B136" s="32" t="str">
        <f>IF($A136="","",VLOOKUP($A136,APOIO!$A:$E,2,FALSE))</f>
        <v/>
      </c>
      <c r="C136" s="94"/>
      <c r="D136" s="32" t="str">
        <f>IF($A136="","",INDEX(APOIO!$D:$D,MATCH(CONCATENATE($A136,"_",$B136,"_",$C136),APOIO!$F:$F,0)))</f>
        <v/>
      </c>
      <c r="E136" s="31"/>
      <c r="F136" s="31"/>
      <c r="G136" s="33"/>
      <c r="H136" s="94"/>
      <c r="I136" s="32" t="str">
        <f>IF($A136="","",VLOOKUP($H136,APOIO!$L:$M,2,FALSE))</f>
        <v/>
      </c>
      <c r="J136" s="31"/>
      <c r="K136" s="32" t="str">
        <f>IF($A136="","",VLOOKUP($J136,APOIO!$H:$J,2,FALSE))</f>
        <v/>
      </c>
      <c r="L136" s="32" t="str">
        <f>IF($A136="","",VLOOKUP($J136,APOIO!$H:$J,3,FALSE))</f>
        <v/>
      </c>
      <c r="M136" s="31"/>
      <c r="N136" s="34"/>
      <c r="O136" s="32"/>
      <c r="P136" s="32"/>
      <c r="Q136" s="32"/>
      <c r="R136" s="32"/>
      <c r="S136" s="35"/>
      <c r="T136" s="91"/>
      <c r="U136" s="60"/>
      <c r="V136" s="36"/>
      <c r="W136" s="31"/>
      <c r="X136" s="59"/>
      <c r="Y136" s="59" t="str">
        <f>IFERROR(VLOOKUP($A136,APOIO!$A:$A,1,FALSE),"ERRO")</f>
        <v>ERRO</v>
      </c>
      <c r="Z136"/>
    </row>
    <row r="137" spans="1:26" ht="15" x14ac:dyDescent="0.25">
      <c r="A137" s="94"/>
      <c r="B137" s="32" t="str">
        <f>IF($A137="","",VLOOKUP($A137,APOIO!$A:$E,2,FALSE))</f>
        <v/>
      </c>
      <c r="C137" s="94"/>
      <c r="D137" s="32" t="str">
        <f>IF($A137="","",INDEX(APOIO!$D:$D,MATCH(CONCATENATE($A137,"_",$B137,"_",$C137),APOIO!$F:$F,0)))</f>
        <v/>
      </c>
      <c r="E137" s="31"/>
      <c r="F137" s="31"/>
      <c r="G137" s="33"/>
      <c r="H137" s="94"/>
      <c r="I137" s="32" t="str">
        <f>IF($A137="","",VLOOKUP($H137,APOIO!$L:$M,2,FALSE))</f>
        <v/>
      </c>
      <c r="J137" s="31"/>
      <c r="K137" s="32" t="str">
        <f>IF($A137="","",VLOOKUP($J137,APOIO!$H:$J,2,FALSE))</f>
        <v/>
      </c>
      <c r="L137" s="32" t="str">
        <f>IF($A137="","",VLOOKUP($J137,APOIO!$H:$J,3,FALSE))</f>
        <v/>
      </c>
      <c r="M137" s="31"/>
      <c r="N137" s="34"/>
      <c r="O137" s="32"/>
      <c r="P137" s="32"/>
      <c r="Q137" s="32"/>
      <c r="R137" s="32"/>
      <c r="S137" s="35"/>
      <c r="T137" s="91"/>
      <c r="U137" s="60"/>
      <c r="V137" s="36"/>
      <c r="W137" s="31"/>
      <c r="X137" s="59"/>
      <c r="Y137" s="59" t="str">
        <f>IFERROR(VLOOKUP($A137,APOIO!$A:$A,1,FALSE),"ERRO")</f>
        <v>ERRO</v>
      </c>
      <c r="Z137"/>
    </row>
    <row r="138" spans="1:26" ht="15" x14ac:dyDescent="0.25">
      <c r="A138" s="94"/>
      <c r="B138" s="32" t="str">
        <f>IF($A138="","",VLOOKUP($A138,APOIO!$A:$E,2,FALSE))</f>
        <v/>
      </c>
      <c r="C138" s="94"/>
      <c r="D138" s="32" t="str">
        <f>IF($A138="","",INDEX(APOIO!$D:$D,MATCH(CONCATENATE($A138,"_",$B138,"_",$C138),APOIO!$F:$F,0)))</f>
        <v/>
      </c>
      <c r="E138" s="31"/>
      <c r="F138" s="31"/>
      <c r="G138" s="33"/>
      <c r="H138" s="94"/>
      <c r="I138" s="32" t="str">
        <f>IF($A138="","",VLOOKUP($H138,APOIO!$L:$M,2,FALSE))</f>
        <v/>
      </c>
      <c r="J138" s="31"/>
      <c r="K138" s="32" t="str">
        <f>IF($A138="","",VLOOKUP($J138,APOIO!$H:$J,2,FALSE))</f>
        <v/>
      </c>
      <c r="L138" s="32" t="str">
        <f>IF($A138="","",VLOOKUP($J138,APOIO!$H:$J,3,FALSE))</f>
        <v/>
      </c>
      <c r="M138" s="31"/>
      <c r="N138" s="34"/>
      <c r="O138" s="32"/>
      <c r="P138" s="32"/>
      <c r="Q138" s="32"/>
      <c r="R138" s="32"/>
      <c r="S138" s="35"/>
      <c r="T138" s="91"/>
      <c r="U138" s="60"/>
      <c r="V138" s="36"/>
      <c r="W138" s="31"/>
      <c r="X138" s="59"/>
      <c r="Y138" s="59" t="str">
        <f>IFERROR(VLOOKUP($A138,APOIO!$A:$A,1,FALSE),"ERRO")</f>
        <v>ERRO</v>
      </c>
      <c r="Z138"/>
    </row>
    <row r="139" spans="1:26" ht="15" x14ac:dyDescent="0.25">
      <c r="A139" s="94"/>
      <c r="B139" s="32" t="str">
        <f>IF($A139="","",VLOOKUP($A139,APOIO!$A:$E,2,FALSE))</f>
        <v/>
      </c>
      <c r="C139" s="94"/>
      <c r="D139" s="32" t="str">
        <f>IF($A139="","",INDEX(APOIO!$D:$D,MATCH(CONCATENATE($A139,"_",$B139,"_",$C139),APOIO!$F:$F,0)))</f>
        <v/>
      </c>
      <c r="E139" s="31"/>
      <c r="F139" s="31"/>
      <c r="G139" s="33"/>
      <c r="H139" s="94"/>
      <c r="I139" s="32" t="str">
        <f>IF($A139="","",VLOOKUP($H139,APOIO!$L:$M,2,FALSE))</f>
        <v/>
      </c>
      <c r="J139" s="31"/>
      <c r="K139" s="32" t="str">
        <f>IF($A139="","",VLOOKUP($J139,APOIO!$H:$J,2,FALSE))</f>
        <v/>
      </c>
      <c r="L139" s="32" t="str">
        <f>IF($A139="","",VLOOKUP($J139,APOIO!$H:$J,3,FALSE))</f>
        <v/>
      </c>
      <c r="M139" s="31"/>
      <c r="N139" s="34"/>
      <c r="O139" s="32"/>
      <c r="P139" s="32"/>
      <c r="Q139" s="32"/>
      <c r="R139" s="32"/>
      <c r="S139" s="35"/>
      <c r="T139" s="91"/>
      <c r="U139" s="60"/>
      <c r="V139" s="36"/>
      <c r="W139" s="31"/>
      <c r="X139" s="59"/>
      <c r="Y139" s="59" t="str">
        <f>IFERROR(VLOOKUP($A139,APOIO!$A:$A,1,FALSE),"ERRO")</f>
        <v>ERRO</v>
      </c>
      <c r="Z139"/>
    </row>
    <row r="140" spans="1:26" ht="15" x14ac:dyDescent="0.25">
      <c r="A140" s="94"/>
      <c r="B140" s="32" t="str">
        <f>IF($A140="","",VLOOKUP($A140,APOIO!$A:$E,2,FALSE))</f>
        <v/>
      </c>
      <c r="C140" s="94"/>
      <c r="D140" s="32" t="str">
        <f>IF($A140="","",INDEX(APOIO!$D:$D,MATCH(CONCATENATE($A140,"_",$B140,"_",$C140),APOIO!$F:$F,0)))</f>
        <v/>
      </c>
      <c r="E140" s="31"/>
      <c r="F140" s="31"/>
      <c r="G140" s="33"/>
      <c r="H140" s="94"/>
      <c r="I140" s="32" t="str">
        <f>IF($A140="","",VLOOKUP($H140,APOIO!$L:$M,2,FALSE))</f>
        <v/>
      </c>
      <c r="J140" s="31"/>
      <c r="K140" s="32" t="str">
        <f>IF($A140="","",VLOOKUP($J140,APOIO!$H:$J,2,FALSE))</f>
        <v/>
      </c>
      <c r="L140" s="32" t="str">
        <f>IF($A140="","",VLOOKUP($J140,APOIO!$H:$J,3,FALSE))</f>
        <v/>
      </c>
      <c r="M140" s="31"/>
      <c r="N140" s="34"/>
      <c r="O140" s="32"/>
      <c r="P140" s="32"/>
      <c r="Q140" s="32"/>
      <c r="R140" s="32"/>
      <c r="S140" s="35"/>
      <c r="T140" s="91"/>
      <c r="U140" s="60"/>
      <c r="V140" s="36"/>
      <c r="W140" s="31"/>
      <c r="X140" s="59"/>
      <c r="Y140" s="59" t="str">
        <f>IFERROR(VLOOKUP($A140,APOIO!$A:$A,1,FALSE),"ERRO")</f>
        <v>ERRO</v>
      </c>
      <c r="Z140"/>
    </row>
    <row r="141" spans="1:26" ht="15" x14ac:dyDescent="0.25">
      <c r="A141" s="94"/>
      <c r="B141" s="32" t="str">
        <f>IF($A141="","",VLOOKUP($A141,APOIO!$A:$E,2,FALSE))</f>
        <v/>
      </c>
      <c r="C141" s="94"/>
      <c r="D141" s="32" t="str">
        <f>IF($A141="","",INDEX(APOIO!$D:$D,MATCH(CONCATENATE($A141,"_",$B141,"_",$C141),APOIO!$F:$F,0)))</f>
        <v/>
      </c>
      <c r="E141" s="31"/>
      <c r="F141" s="31"/>
      <c r="G141" s="33"/>
      <c r="H141" s="94"/>
      <c r="I141" s="32" t="str">
        <f>IF($A141="","",VLOOKUP($H141,APOIO!$L:$M,2,FALSE))</f>
        <v/>
      </c>
      <c r="J141" s="31"/>
      <c r="K141" s="32" t="str">
        <f>IF($A141="","",VLOOKUP($J141,APOIO!$H:$J,2,FALSE))</f>
        <v/>
      </c>
      <c r="L141" s="32" t="str">
        <f>IF($A141="","",VLOOKUP($J141,APOIO!$H:$J,3,FALSE))</f>
        <v/>
      </c>
      <c r="M141" s="31"/>
      <c r="N141" s="34"/>
      <c r="O141" s="32"/>
      <c r="P141" s="32"/>
      <c r="Q141" s="32"/>
      <c r="R141" s="32"/>
      <c r="S141" s="35"/>
      <c r="T141" s="91"/>
      <c r="U141" s="60"/>
      <c r="V141" s="36"/>
      <c r="W141" s="31"/>
      <c r="X141" s="59"/>
      <c r="Y141" s="59" t="str">
        <f>IFERROR(VLOOKUP($A141,APOIO!$A:$A,1,FALSE),"ERRO")</f>
        <v>ERRO</v>
      </c>
      <c r="Z141"/>
    </row>
    <row r="142" spans="1:26" ht="15" x14ac:dyDescent="0.25">
      <c r="A142" s="94"/>
      <c r="B142" s="32" t="str">
        <f>IF($A142="","",VLOOKUP($A142,APOIO!$A:$E,2,FALSE))</f>
        <v/>
      </c>
      <c r="C142" s="94"/>
      <c r="D142" s="32" t="str">
        <f>IF($A142="","",INDEX(APOIO!$D:$D,MATCH(CONCATENATE($A142,"_",$B142,"_",$C142),APOIO!$F:$F,0)))</f>
        <v/>
      </c>
      <c r="E142" s="31"/>
      <c r="F142" s="31"/>
      <c r="G142" s="33"/>
      <c r="H142" s="94"/>
      <c r="I142" s="32" t="str">
        <f>IF($A142="","",VLOOKUP($H142,APOIO!$L:$M,2,FALSE))</f>
        <v/>
      </c>
      <c r="J142" s="31"/>
      <c r="K142" s="32" t="str">
        <f>IF($A142="","",VLOOKUP($J142,APOIO!$H:$J,2,FALSE))</f>
        <v/>
      </c>
      <c r="L142" s="32" t="str">
        <f>IF($A142="","",VLOOKUP($J142,APOIO!$H:$J,3,FALSE))</f>
        <v/>
      </c>
      <c r="M142" s="31"/>
      <c r="N142" s="34"/>
      <c r="O142" s="32"/>
      <c r="P142" s="32"/>
      <c r="Q142" s="32"/>
      <c r="R142" s="32"/>
      <c r="S142" s="35"/>
      <c r="T142" s="91"/>
      <c r="U142" s="60"/>
      <c r="V142" s="36"/>
      <c r="W142" s="31"/>
      <c r="X142" s="59"/>
      <c r="Y142" s="59" t="str">
        <f>IFERROR(VLOOKUP($A142,APOIO!$A:$A,1,FALSE),"ERRO")</f>
        <v>ERRO</v>
      </c>
      <c r="Z142"/>
    </row>
    <row r="143" spans="1:26" ht="15" x14ac:dyDescent="0.25">
      <c r="A143" s="94"/>
      <c r="B143" s="32" t="str">
        <f>IF($A143="","",VLOOKUP($A143,APOIO!$A:$E,2,FALSE))</f>
        <v/>
      </c>
      <c r="C143" s="94"/>
      <c r="D143" s="32" t="str">
        <f>IF($A143="","",INDEX(APOIO!$D:$D,MATCH(CONCATENATE($A143,"_",$B143,"_",$C143),APOIO!$F:$F,0)))</f>
        <v/>
      </c>
      <c r="E143" s="31"/>
      <c r="F143" s="31"/>
      <c r="G143" s="33"/>
      <c r="H143" s="94"/>
      <c r="I143" s="32" t="str">
        <f>IF($A143="","",VLOOKUP($H143,APOIO!$L:$M,2,FALSE))</f>
        <v/>
      </c>
      <c r="J143" s="31"/>
      <c r="K143" s="32" t="str">
        <f>IF($A143="","",VLOOKUP($J143,APOIO!$H:$J,2,FALSE))</f>
        <v/>
      </c>
      <c r="L143" s="32" t="str">
        <f>IF($A143="","",VLOOKUP($J143,APOIO!$H:$J,3,FALSE))</f>
        <v/>
      </c>
      <c r="M143" s="31"/>
      <c r="N143" s="34"/>
      <c r="O143" s="32"/>
      <c r="P143" s="32"/>
      <c r="Q143" s="32"/>
      <c r="R143" s="32"/>
      <c r="S143" s="35"/>
      <c r="T143" s="91"/>
      <c r="U143" s="60"/>
      <c r="V143" s="36"/>
      <c r="W143" s="31"/>
      <c r="X143" s="59"/>
      <c r="Y143" s="59" t="str">
        <f>IFERROR(VLOOKUP($A143,APOIO!$A:$A,1,FALSE),"ERRO")</f>
        <v>ERRO</v>
      </c>
      <c r="Z143"/>
    </row>
    <row r="144" spans="1:26" ht="15" x14ac:dyDescent="0.25">
      <c r="A144" s="94"/>
      <c r="B144" s="32" t="str">
        <f>IF($A144="","",VLOOKUP($A144,APOIO!$A:$E,2,FALSE))</f>
        <v/>
      </c>
      <c r="C144" s="94"/>
      <c r="D144" s="32" t="str">
        <f>IF($A144="","",INDEX(APOIO!$D:$D,MATCH(CONCATENATE($A144,"_",$B144,"_",$C144),APOIO!$F:$F,0)))</f>
        <v/>
      </c>
      <c r="E144" s="31"/>
      <c r="F144" s="31"/>
      <c r="G144" s="33"/>
      <c r="H144" s="94"/>
      <c r="I144" s="32" t="str">
        <f>IF($A144="","",VLOOKUP($H144,APOIO!$L:$M,2,FALSE))</f>
        <v/>
      </c>
      <c r="J144" s="31"/>
      <c r="K144" s="32" t="str">
        <f>IF($A144="","",VLOOKUP($J144,APOIO!$H:$J,2,FALSE))</f>
        <v/>
      </c>
      <c r="L144" s="32" t="str">
        <f>IF($A144="","",VLOOKUP($J144,APOIO!$H:$J,3,FALSE))</f>
        <v/>
      </c>
      <c r="M144" s="31"/>
      <c r="N144" s="34"/>
      <c r="O144" s="32"/>
      <c r="P144" s="32"/>
      <c r="Q144" s="32"/>
      <c r="R144" s="32"/>
      <c r="S144" s="35"/>
      <c r="T144" s="91"/>
      <c r="U144" s="60"/>
      <c r="V144" s="36"/>
      <c r="W144" s="31"/>
      <c r="X144" s="59"/>
      <c r="Y144" s="59" t="str">
        <f>IFERROR(VLOOKUP($A144,APOIO!$A:$A,1,FALSE),"ERRO")</f>
        <v>ERRO</v>
      </c>
      <c r="Z144"/>
    </row>
    <row r="145" spans="1:26" ht="15" x14ac:dyDescent="0.25">
      <c r="A145" s="94"/>
      <c r="B145" s="32" t="str">
        <f>IF($A145="","",VLOOKUP($A145,APOIO!$A:$E,2,FALSE))</f>
        <v/>
      </c>
      <c r="C145" s="94"/>
      <c r="D145" s="32" t="str">
        <f>IF($A145="","",INDEX(APOIO!$D:$D,MATCH(CONCATENATE($A145,"_",$B145,"_",$C145),APOIO!$F:$F,0)))</f>
        <v/>
      </c>
      <c r="E145" s="31"/>
      <c r="F145" s="31"/>
      <c r="G145" s="33"/>
      <c r="H145" s="94"/>
      <c r="I145" s="32" t="str">
        <f>IF($A145="","",VLOOKUP($H145,APOIO!$L:$M,2,FALSE))</f>
        <v/>
      </c>
      <c r="J145" s="31"/>
      <c r="K145" s="32" t="str">
        <f>IF($A145="","",VLOOKUP($J145,APOIO!$H:$J,2,FALSE))</f>
        <v/>
      </c>
      <c r="L145" s="32" t="str">
        <f>IF($A145="","",VLOOKUP($J145,APOIO!$H:$J,3,FALSE))</f>
        <v/>
      </c>
      <c r="M145" s="31"/>
      <c r="N145" s="34"/>
      <c r="O145" s="32"/>
      <c r="P145" s="32"/>
      <c r="Q145" s="32"/>
      <c r="R145" s="32"/>
      <c r="S145" s="35"/>
      <c r="T145" s="91"/>
      <c r="U145" s="60"/>
      <c r="V145" s="36"/>
      <c r="W145" s="31"/>
      <c r="X145" s="59"/>
      <c r="Y145" s="59" t="str">
        <f>IFERROR(VLOOKUP($A145,APOIO!$A:$A,1,FALSE),"ERRO")</f>
        <v>ERRO</v>
      </c>
      <c r="Z145"/>
    </row>
    <row r="146" spans="1:26" ht="15" x14ac:dyDescent="0.25">
      <c r="A146" s="94"/>
      <c r="B146" s="32" t="str">
        <f>IF($A146="","",VLOOKUP($A146,APOIO!$A:$E,2,FALSE))</f>
        <v/>
      </c>
      <c r="C146" s="94"/>
      <c r="D146" s="32" t="str">
        <f>IF($A146="","",INDEX(APOIO!$D:$D,MATCH(CONCATENATE($A146,"_",$B146,"_",$C146),APOIO!$F:$F,0)))</f>
        <v/>
      </c>
      <c r="E146" s="31"/>
      <c r="F146" s="31"/>
      <c r="G146" s="33"/>
      <c r="H146" s="94"/>
      <c r="I146" s="32" t="str">
        <f>IF($A146="","",VLOOKUP($H146,APOIO!$L:$M,2,FALSE))</f>
        <v/>
      </c>
      <c r="J146" s="31"/>
      <c r="K146" s="32" t="str">
        <f>IF($A146="","",VLOOKUP($J146,APOIO!$H:$J,2,FALSE))</f>
        <v/>
      </c>
      <c r="L146" s="32" t="str">
        <f>IF($A146="","",VLOOKUP($J146,APOIO!$H:$J,3,FALSE))</f>
        <v/>
      </c>
      <c r="M146" s="31"/>
      <c r="N146" s="34"/>
      <c r="O146" s="32"/>
      <c r="P146" s="32"/>
      <c r="Q146" s="32"/>
      <c r="R146" s="32"/>
      <c r="S146" s="35"/>
      <c r="T146" s="91"/>
      <c r="U146" s="60"/>
      <c r="V146" s="36"/>
      <c r="W146" s="31"/>
      <c r="X146" s="59"/>
      <c r="Y146" s="59" t="str">
        <f>IFERROR(VLOOKUP($A146,APOIO!$A:$A,1,FALSE),"ERRO")</f>
        <v>ERRO</v>
      </c>
      <c r="Z146"/>
    </row>
    <row r="147" spans="1:26" ht="15" x14ac:dyDescent="0.25">
      <c r="A147" s="94"/>
      <c r="B147" s="32" t="str">
        <f>IF($A147="","",VLOOKUP($A147,APOIO!$A:$E,2,FALSE))</f>
        <v/>
      </c>
      <c r="C147" s="94"/>
      <c r="D147" s="32" t="str">
        <f>IF($A147="","",INDEX(APOIO!$D:$D,MATCH(CONCATENATE($A147,"_",$B147,"_",$C147),APOIO!$F:$F,0)))</f>
        <v/>
      </c>
      <c r="E147" s="31"/>
      <c r="F147" s="31"/>
      <c r="G147" s="33"/>
      <c r="H147" s="94"/>
      <c r="I147" s="32" t="str">
        <f>IF($A147="","",VLOOKUP($H147,APOIO!$L:$M,2,FALSE))</f>
        <v/>
      </c>
      <c r="J147" s="31"/>
      <c r="K147" s="32" t="str">
        <f>IF($A147="","",VLOOKUP($J147,APOIO!$H:$J,2,FALSE))</f>
        <v/>
      </c>
      <c r="L147" s="32" t="str">
        <f>IF($A147="","",VLOOKUP($J147,APOIO!$H:$J,3,FALSE))</f>
        <v/>
      </c>
      <c r="M147" s="31"/>
      <c r="N147" s="34"/>
      <c r="O147" s="32"/>
      <c r="P147" s="32"/>
      <c r="Q147" s="32"/>
      <c r="R147" s="32"/>
      <c r="S147" s="35"/>
      <c r="T147" s="91"/>
      <c r="U147" s="60"/>
      <c r="V147" s="36"/>
      <c r="W147" s="31"/>
      <c r="X147" s="59"/>
      <c r="Y147" s="59" t="str">
        <f>IFERROR(VLOOKUP($A147,APOIO!$A:$A,1,FALSE),"ERRO")</f>
        <v>ERRO</v>
      </c>
      <c r="Z147"/>
    </row>
    <row r="148" spans="1:26" ht="15" x14ac:dyDescent="0.25">
      <c r="A148" s="94"/>
      <c r="B148" s="32" t="str">
        <f>IF($A148="","",VLOOKUP($A148,APOIO!$A:$E,2,FALSE))</f>
        <v/>
      </c>
      <c r="C148" s="94"/>
      <c r="D148" s="32" t="str">
        <f>IF($A148="","",INDEX(APOIO!$D:$D,MATCH(CONCATENATE($A148,"_",$B148,"_",$C148),APOIO!$F:$F,0)))</f>
        <v/>
      </c>
      <c r="E148" s="31"/>
      <c r="F148" s="31"/>
      <c r="G148" s="33"/>
      <c r="H148" s="94"/>
      <c r="I148" s="32" t="str">
        <f>IF($A148="","",VLOOKUP($H148,APOIO!$L:$M,2,FALSE))</f>
        <v/>
      </c>
      <c r="J148" s="31"/>
      <c r="K148" s="32" t="str">
        <f>IF($A148="","",VLOOKUP($J148,APOIO!$H:$J,2,FALSE))</f>
        <v/>
      </c>
      <c r="L148" s="32" t="str">
        <f>IF($A148="","",VLOOKUP($J148,APOIO!$H:$J,3,FALSE))</f>
        <v/>
      </c>
      <c r="M148" s="31"/>
      <c r="N148" s="34"/>
      <c r="O148" s="32"/>
      <c r="P148" s="32"/>
      <c r="Q148" s="32"/>
      <c r="R148" s="32"/>
      <c r="S148" s="35"/>
      <c r="T148" s="91"/>
      <c r="U148" s="60"/>
      <c r="V148" s="36"/>
      <c r="W148" s="31"/>
      <c r="X148" s="59"/>
      <c r="Y148" s="59" t="str">
        <f>IFERROR(VLOOKUP($A148,APOIO!$A:$A,1,FALSE),"ERRO")</f>
        <v>ERRO</v>
      </c>
      <c r="Z148"/>
    </row>
    <row r="149" spans="1:26" ht="15" x14ac:dyDescent="0.25">
      <c r="A149" s="94"/>
      <c r="B149" s="32" t="str">
        <f>IF($A149="","",VLOOKUP($A149,APOIO!$A:$E,2,FALSE))</f>
        <v/>
      </c>
      <c r="C149" s="94"/>
      <c r="D149" s="32" t="str">
        <f>IF($A149="","",INDEX(APOIO!$D:$D,MATCH(CONCATENATE($A149,"_",$B149,"_",$C149),APOIO!$F:$F,0)))</f>
        <v/>
      </c>
      <c r="E149" s="31"/>
      <c r="F149" s="31"/>
      <c r="G149" s="33"/>
      <c r="H149" s="94"/>
      <c r="I149" s="32" t="str">
        <f>IF($A149="","",VLOOKUP($H149,APOIO!$L:$M,2,FALSE))</f>
        <v/>
      </c>
      <c r="J149" s="31"/>
      <c r="K149" s="32" t="str">
        <f>IF($A149="","",VLOOKUP($J149,APOIO!$H:$J,2,FALSE))</f>
        <v/>
      </c>
      <c r="L149" s="32" t="str">
        <f>IF($A149="","",VLOOKUP($J149,APOIO!$H:$J,3,FALSE))</f>
        <v/>
      </c>
      <c r="M149" s="31"/>
      <c r="N149" s="34"/>
      <c r="O149" s="32"/>
      <c r="P149" s="32"/>
      <c r="Q149" s="32"/>
      <c r="R149" s="32"/>
      <c r="S149" s="35"/>
      <c r="T149" s="91"/>
      <c r="U149" s="60"/>
      <c r="V149" s="36"/>
      <c r="W149" s="31"/>
      <c r="X149" s="59"/>
      <c r="Y149" s="59" t="str">
        <f>IFERROR(VLOOKUP($A149,APOIO!$A:$A,1,FALSE),"ERRO")</f>
        <v>ERRO</v>
      </c>
      <c r="Z149"/>
    </row>
    <row r="150" spans="1:26" ht="15" x14ac:dyDescent="0.25">
      <c r="A150" s="94"/>
      <c r="B150" s="32" t="str">
        <f>IF($A150="","",VLOOKUP($A150,APOIO!$A:$E,2,FALSE))</f>
        <v/>
      </c>
      <c r="C150" s="94"/>
      <c r="D150" s="32" t="str">
        <f>IF($A150="","",INDEX(APOIO!$D:$D,MATCH(CONCATENATE($A150,"_",$B150,"_",$C150),APOIO!$F:$F,0)))</f>
        <v/>
      </c>
      <c r="E150" s="31"/>
      <c r="F150" s="31"/>
      <c r="G150" s="33"/>
      <c r="H150" s="94"/>
      <c r="I150" s="32" t="str">
        <f>IF($A150="","",VLOOKUP($H150,APOIO!$L:$M,2,FALSE))</f>
        <v/>
      </c>
      <c r="J150" s="31"/>
      <c r="K150" s="32" t="str">
        <f>IF($A150="","",VLOOKUP($J150,APOIO!$H:$J,2,FALSE))</f>
        <v/>
      </c>
      <c r="L150" s="32" t="str">
        <f>IF($A150="","",VLOOKUP($J150,APOIO!$H:$J,3,FALSE))</f>
        <v/>
      </c>
      <c r="M150" s="31"/>
      <c r="N150" s="34"/>
      <c r="O150" s="32"/>
      <c r="P150" s="32"/>
      <c r="Q150" s="32"/>
      <c r="R150" s="32"/>
      <c r="S150" s="35"/>
      <c r="T150" s="91"/>
      <c r="U150" s="60"/>
      <c r="V150" s="36"/>
      <c r="W150" s="31"/>
      <c r="X150" s="59"/>
      <c r="Y150" s="59" t="str">
        <f>IFERROR(VLOOKUP($A150,APOIO!$A:$A,1,FALSE),"ERRO")</f>
        <v>ERRO</v>
      </c>
      <c r="Z150"/>
    </row>
    <row r="151" spans="1:26" ht="15" x14ac:dyDescent="0.25">
      <c r="A151" s="94"/>
      <c r="B151" s="32" t="str">
        <f>IF($A151="","",VLOOKUP($A151,APOIO!$A:$E,2,FALSE))</f>
        <v/>
      </c>
      <c r="C151" s="94"/>
      <c r="D151" s="32" t="str">
        <f>IF($A151="","",INDEX(APOIO!$D:$D,MATCH(CONCATENATE($A151,"_",$B151,"_",$C151),APOIO!$F:$F,0)))</f>
        <v/>
      </c>
      <c r="E151" s="31"/>
      <c r="F151" s="31"/>
      <c r="G151" s="33"/>
      <c r="H151" s="94"/>
      <c r="I151" s="32" t="str">
        <f>IF($A151="","",VLOOKUP($H151,APOIO!$L:$M,2,FALSE))</f>
        <v/>
      </c>
      <c r="J151" s="31"/>
      <c r="K151" s="32" t="str">
        <f>IF($A151="","",VLOOKUP($J151,APOIO!$H:$J,2,FALSE))</f>
        <v/>
      </c>
      <c r="L151" s="32" t="str">
        <f>IF($A151="","",VLOOKUP($J151,APOIO!$H:$J,3,FALSE))</f>
        <v/>
      </c>
      <c r="M151" s="31"/>
      <c r="N151" s="34"/>
      <c r="O151" s="32"/>
      <c r="P151" s="32"/>
      <c r="Q151" s="32"/>
      <c r="R151" s="32"/>
      <c r="S151" s="35"/>
      <c r="T151" s="91"/>
      <c r="U151" s="60"/>
      <c r="V151" s="36"/>
      <c r="W151" s="31"/>
      <c r="X151" s="59"/>
      <c r="Y151" s="59" t="str">
        <f>IFERROR(VLOOKUP($A151,APOIO!$A:$A,1,FALSE),"ERRO")</f>
        <v>ERRO</v>
      </c>
      <c r="Z151"/>
    </row>
    <row r="152" spans="1:26" ht="15" x14ac:dyDescent="0.25">
      <c r="A152" s="94"/>
      <c r="B152" s="32" t="str">
        <f>IF($A152="","",VLOOKUP($A152,APOIO!$A:$E,2,FALSE))</f>
        <v/>
      </c>
      <c r="C152" s="94"/>
      <c r="D152" s="32" t="str">
        <f>IF($A152="","",INDEX(APOIO!$D:$D,MATCH(CONCATENATE($A152,"_",$B152,"_",$C152),APOIO!$F:$F,0)))</f>
        <v/>
      </c>
      <c r="E152" s="31"/>
      <c r="F152" s="31"/>
      <c r="G152" s="33"/>
      <c r="H152" s="94"/>
      <c r="I152" s="32" t="str">
        <f>IF($A152="","",VLOOKUP($H152,APOIO!$L:$M,2,FALSE))</f>
        <v/>
      </c>
      <c r="J152" s="31"/>
      <c r="K152" s="32" t="str">
        <f>IF($A152="","",VLOOKUP($J152,APOIO!$H:$J,2,FALSE))</f>
        <v/>
      </c>
      <c r="L152" s="32" t="str">
        <f>IF($A152="","",VLOOKUP($J152,APOIO!$H:$J,3,FALSE))</f>
        <v/>
      </c>
      <c r="M152" s="31"/>
      <c r="N152" s="34"/>
      <c r="O152" s="32"/>
      <c r="P152" s="32"/>
      <c r="Q152" s="32"/>
      <c r="R152" s="32"/>
      <c r="S152" s="35"/>
      <c r="T152" s="91"/>
      <c r="U152" s="60"/>
      <c r="V152" s="36"/>
      <c r="W152" s="31"/>
      <c r="X152" s="59"/>
      <c r="Y152" s="59" t="str">
        <f>IFERROR(VLOOKUP($A152,APOIO!$A:$A,1,FALSE),"ERRO")</f>
        <v>ERRO</v>
      </c>
      <c r="Z152"/>
    </row>
    <row r="153" spans="1:26" ht="15" x14ac:dyDescent="0.25">
      <c r="A153" s="94"/>
      <c r="B153" s="32" t="str">
        <f>IF($A153="","",VLOOKUP($A153,APOIO!$A:$E,2,FALSE))</f>
        <v/>
      </c>
      <c r="C153" s="94"/>
      <c r="D153" s="32" t="str">
        <f>IF($A153="","",INDEX(APOIO!$D:$D,MATCH(CONCATENATE($A153,"_",$B153,"_",$C153),APOIO!$F:$F,0)))</f>
        <v/>
      </c>
      <c r="E153" s="31"/>
      <c r="F153" s="31"/>
      <c r="G153" s="33"/>
      <c r="H153" s="94"/>
      <c r="I153" s="32" t="str">
        <f>IF($A153="","",VLOOKUP($H153,APOIO!$L:$M,2,FALSE))</f>
        <v/>
      </c>
      <c r="J153" s="31"/>
      <c r="K153" s="32" t="str">
        <f>IF($A153="","",VLOOKUP($J153,APOIO!$H:$J,2,FALSE))</f>
        <v/>
      </c>
      <c r="L153" s="32" t="str">
        <f>IF($A153="","",VLOOKUP($J153,APOIO!$H:$J,3,FALSE))</f>
        <v/>
      </c>
      <c r="M153" s="31"/>
      <c r="N153" s="34"/>
      <c r="O153" s="32"/>
      <c r="P153" s="32"/>
      <c r="Q153" s="32"/>
      <c r="R153" s="32"/>
      <c r="S153" s="35"/>
      <c r="T153" s="91"/>
      <c r="U153" s="60"/>
      <c r="V153" s="36"/>
      <c r="W153" s="31"/>
      <c r="X153" s="59"/>
      <c r="Y153" s="59" t="str">
        <f>IFERROR(VLOOKUP($A153,APOIO!$A:$A,1,FALSE),"ERRO")</f>
        <v>ERRO</v>
      </c>
      <c r="Z153"/>
    </row>
    <row r="154" spans="1:26" ht="15" x14ac:dyDescent="0.25">
      <c r="A154" s="94"/>
      <c r="B154" s="32" t="str">
        <f>IF($A154="","",VLOOKUP($A154,APOIO!$A:$E,2,FALSE))</f>
        <v/>
      </c>
      <c r="C154" s="94"/>
      <c r="D154" s="32" t="str">
        <f>IF($A154="","",INDEX(APOIO!$D:$D,MATCH(CONCATENATE($A154,"_",$B154,"_",$C154),APOIO!$F:$F,0)))</f>
        <v/>
      </c>
      <c r="E154" s="31"/>
      <c r="F154" s="31"/>
      <c r="G154" s="33"/>
      <c r="H154" s="94"/>
      <c r="I154" s="32" t="str">
        <f>IF($A154="","",VLOOKUP($H154,APOIO!$L:$M,2,FALSE))</f>
        <v/>
      </c>
      <c r="J154" s="31"/>
      <c r="K154" s="32" t="str">
        <f>IF($A154="","",VLOOKUP($J154,APOIO!$H:$J,2,FALSE))</f>
        <v/>
      </c>
      <c r="L154" s="32" t="str">
        <f>IF($A154="","",VLOOKUP($J154,APOIO!$H:$J,3,FALSE))</f>
        <v/>
      </c>
      <c r="M154" s="31"/>
      <c r="N154" s="34"/>
      <c r="O154" s="32"/>
      <c r="P154" s="32"/>
      <c r="Q154" s="32"/>
      <c r="R154" s="32"/>
      <c r="S154" s="35"/>
      <c r="T154" s="91"/>
      <c r="U154" s="60"/>
      <c r="V154" s="36"/>
      <c r="W154" s="31"/>
      <c r="X154" s="59"/>
      <c r="Y154" s="59" t="str">
        <f>IFERROR(VLOOKUP($A154,APOIO!$A:$A,1,FALSE),"ERRO")</f>
        <v>ERRO</v>
      </c>
      <c r="Z154"/>
    </row>
    <row r="155" spans="1:26" ht="15" x14ac:dyDescent="0.25">
      <c r="A155" s="94"/>
      <c r="B155" s="32" t="str">
        <f>IF($A155="","",VLOOKUP($A155,APOIO!$A:$E,2,FALSE))</f>
        <v/>
      </c>
      <c r="C155" s="94"/>
      <c r="D155" s="32" t="str">
        <f>IF($A155="","",INDEX(APOIO!$D:$D,MATCH(CONCATENATE($A155,"_",$B155,"_",$C155),APOIO!$F:$F,0)))</f>
        <v/>
      </c>
      <c r="E155" s="31"/>
      <c r="F155" s="31"/>
      <c r="G155" s="33"/>
      <c r="H155" s="94"/>
      <c r="I155" s="32" t="str">
        <f>IF($A155="","",VLOOKUP($H155,APOIO!$L:$M,2,FALSE))</f>
        <v/>
      </c>
      <c r="J155" s="31"/>
      <c r="K155" s="32" t="str">
        <f>IF($A155="","",VLOOKUP($J155,APOIO!$H:$J,2,FALSE))</f>
        <v/>
      </c>
      <c r="L155" s="32" t="str">
        <f>IF($A155="","",VLOOKUP($J155,APOIO!$H:$J,3,FALSE))</f>
        <v/>
      </c>
      <c r="M155" s="31"/>
      <c r="N155" s="34"/>
      <c r="O155" s="32"/>
      <c r="P155" s="32"/>
      <c r="Q155" s="32"/>
      <c r="R155" s="32"/>
      <c r="S155" s="35"/>
      <c r="T155" s="91"/>
      <c r="U155" s="60"/>
      <c r="V155" s="36"/>
      <c r="W155" s="31"/>
      <c r="X155" s="59"/>
      <c r="Y155" s="59" t="str">
        <f>IFERROR(VLOOKUP($A155,APOIO!$A:$A,1,FALSE),"ERRO")</f>
        <v>ERRO</v>
      </c>
      <c r="Z155"/>
    </row>
    <row r="156" spans="1:26" ht="15" x14ac:dyDescent="0.25">
      <c r="A156" s="94"/>
      <c r="B156" s="32" t="str">
        <f>IF($A156="","",VLOOKUP($A156,APOIO!$A:$E,2,FALSE))</f>
        <v/>
      </c>
      <c r="C156" s="94"/>
      <c r="D156" s="32" t="str">
        <f>IF($A156="","",INDEX(APOIO!$D:$D,MATCH(CONCATENATE($A156,"_",$B156,"_",$C156),APOIO!$F:$F,0)))</f>
        <v/>
      </c>
      <c r="E156" s="31"/>
      <c r="F156" s="31"/>
      <c r="G156" s="33"/>
      <c r="H156" s="94"/>
      <c r="I156" s="32" t="str">
        <f>IF($A156="","",VLOOKUP($H156,APOIO!$L:$M,2,FALSE))</f>
        <v/>
      </c>
      <c r="J156" s="31"/>
      <c r="K156" s="32" t="str">
        <f>IF($A156="","",VLOOKUP($J156,APOIO!$H:$J,2,FALSE))</f>
        <v/>
      </c>
      <c r="L156" s="32" t="str">
        <f>IF($A156="","",VLOOKUP($J156,APOIO!$H:$J,3,FALSE))</f>
        <v/>
      </c>
      <c r="M156" s="31"/>
      <c r="N156" s="34"/>
      <c r="O156" s="32"/>
      <c r="P156" s="32"/>
      <c r="Q156" s="32"/>
      <c r="R156" s="32"/>
      <c r="S156" s="35"/>
      <c r="T156" s="91"/>
      <c r="U156" s="60"/>
      <c r="V156" s="36"/>
      <c r="W156" s="31"/>
      <c r="X156" s="59"/>
      <c r="Y156" s="59" t="str">
        <f>IFERROR(VLOOKUP($A156,APOIO!$A:$A,1,FALSE),"ERRO")</f>
        <v>ERRO</v>
      </c>
      <c r="Z156"/>
    </row>
    <row r="157" spans="1:26" ht="15" x14ac:dyDescent="0.25">
      <c r="A157" s="94"/>
      <c r="B157" s="32" t="str">
        <f>IF($A157="","",VLOOKUP($A157,APOIO!$A:$E,2,FALSE))</f>
        <v/>
      </c>
      <c r="C157" s="94"/>
      <c r="D157" s="32" t="str">
        <f>IF($A157="","",INDEX(APOIO!$D:$D,MATCH(CONCATENATE($A157,"_",$B157,"_",$C157),APOIO!$F:$F,0)))</f>
        <v/>
      </c>
      <c r="E157" s="31"/>
      <c r="F157" s="31"/>
      <c r="G157" s="33"/>
      <c r="H157" s="94"/>
      <c r="I157" s="32" t="str">
        <f>IF($A157="","",VLOOKUP($H157,APOIO!$L:$M,2,FALSE))</f>
        <v/>
      </c>
      <c r="J157" s="31"/>
      <c r="K157" s="32" t="str">
        <f>IF($A157="","",VLOOKUP($J157,APOIO!$H:$J,2,FALSE))</f>
        <v/>
      </c>
      <c r="L157" s="32" t="str">
        <f>IF($A157="","",VLOOKUP($J157,APOIO!$H:$J,3,FALSE))</f>
        <v/>
      </c>
      <c r="M157" s="31"/>
      <c r="N157" s="34"/>
      <c r="O157" s="32"/>
      <c r="P157" s="32"/>
      <c r="Q157" s="32"/>
      <c r="R157" s="32"/>
      <c r="S157" s="35"/>
      <c r="T157" s="91"/>
      <c r="U157" s="60"/>
      <c r="V157" s="36"/>
      <c r="W157" s="31"/>
      <c r="X157" s="59"/>
      <c r="Y157" s="59" t="str">
        <f>IFERROR(VLOOKUP($A157,APOIO!$A:$A,1,FALSE),"ERRO")</f>
        <v>ERRO</v>
      </c>
      <c r="Z157"/>
    </row>
    <row r="158" spans="1:26" ht="15" x14ac:dyDescent="0.25">
      <c r="A158" s="94"/>
      <c r="B158" s="32" t="str">
        <f>IF($A158="","",VLOOKUP($A158,APOIO!$A:$E,2,FALSE))</f>
        <v/>
      </c>
      <c r="C158" s="94"/>
      <c r="D158" s="32" t="str">
        <f>IF($A158="","",INDEX(APOIO!$D:$D,MATCH(CONCATENATE($A158,"_",$B158,"_",$C158),APOIO!$F:$F,0)))</f>
        <v/>
      </c>
      <c r="E158" s="31"/>
      <c r="F158" s="31"/>
      <c r="G158" s="33"/>
      <c r="H158" s="94"/>
      <c r="I158" s="32" t="str">
        <f>IF($A158="","",VLOOKUP($H158,APOIO!$L:$M,2,FALSE))</f>
        <v/>
      </c>
      <c r="J158" s="31"/>
      <c r="K158" s="32" t="str">
        <f>IF($A158="","",VLOOKUP($J158,APOIO!$H:$J,2,FALSE))</f>
        <v/>
      </c>
      <c r="L158" s="32" t="str">
        <f>IF($A158="","",VLOOKUP($J158,APOIO!$H:$J,3,FALSE))</f>
        <v/>
      </c>
      <c r="M158" s="31"/>
      <c r="N158" s="34"/>
      <c r="O158" s="32"/>
      <c r="P158" s="32"/>
      <c r="Q158" s="32"/>
      <c r="R158" s="32"/>
      <c r="S158" s="35"/>
      <c r="T158" s="91"/>
      <c r="U158" s="60"/>
      <c r="V158" s="36"/>
      <c r="W158" s="31"/>
      <c r="X158" s="59"/>
      <c r="Y158" s="59" t="str">
        <f>IFERROR(VLOOKUP($A158,APOIO!$A:$A,1,FALSE),"ERRO")</f>
        <v>ERRO</v>
      </c>
      <c r="Z158"/>
    </row>
    <row r="159" spans="1:26" ht="15" x14ac:dyDescent="0.25">
      <c r="A159" s="94"/>
      <c r="B159" s="32" t="str">
        <f>IF($A159="","",VLOOKUP($A159,APOIO!$A:$E,2,FALSE))</f>
        <v/>
      </c>
      <c r="C159" s="94"/>
      <c r="D159" s="32" t="str">
        <f>IF($A159="","",INDEX(APOIO!$D:$D,MATCH(CONCATENATE($A159,"_",$B159,"_",$C159),APOIO!$F:$F,0)))</f>
        <v/>
      </c>
      <c r="E159" s="31"/>
      <c r="F159" s="31"/>
      <c r="G159" s="33"/>
      <c r="H159" s="94"/>
      <c r="I159" s="32" t="str">
        <f>IF($A159="","",VLOOKUP($H159,APOIO!$L:$M,2,FALSE))</f>
        <v/>
      </c>
      <c r="J159" s="31"/>
      <c r="K159" s="32" t="str">
        <f>IF($A159="","",VLOOKUP($J159,APOIO!$H:$J,2,FALSE))</f>
        <v/>
      </c>
      <c r="L159" s="32" t="str">
        <f>IF($A159="","",VLOOKUP($J159,APOIO!$H:$J,3,FALSE))</f>
        <v/>
      </c>
      <c r="M159" s="31"/>
      <c r="N159" s="34"/>
      <c r="O159" s="32"/>
      <c r="P159" s="32"/>
      <c r="Q159" s="32"/>
      <c r="R159" s="32"/>
      <c r="S159" s="35"/>
      <c r="T159" s="91"/>
      <c r="U159" s="60"/>
      <c r="V159" s="36"/>
      <c r="W159" s="31"/>
      <c r="X159" s="59"/>
      <c r="Y159" s="59" t="str">
        <f>IFERROR(VLOOKUP($A159,APOIO!$A:$A,1,FALSE),"ERRO")</f>
        <v>ERRO</v>
      </c>
      <c r="Z159"/>
    </row>
    <row r="160" spans="1:26" ht="15" x14ac:dyDescent="0.25">
      <c r="A160" s="94"/>
      <c r="B160" s="32" t="str">
        <f>IF($A160="","",VLOOKUP($A160,APOIO!$A:$E,2,FALSE))</f>
        <v/>
      </c>
      <c r="C160" s="94"/>
      <c r="D160" s="32" t="str">
        <f>IF($A160="","",INDEX(APOIO!$D:$D,MATCH(CONCATENATE($A160,"_",$B160,"_",$C160),APOIO!$F:$F,0)))</f>
        <v/>
      </c>
      <c r="E160" s="31"/>
      <c r="F160" s="31"/>
      <c r="G160" s="33"/>
      <c r="H160" s="94"/>
      <c r="I160" s="32" t="str">
        <f>IF($A160="","",VLOOKUP($H160,APOIO!$L:$M,2,FALSE))</f>
        <v/>
      </c>
      <c r="J160" s="31"/>
      <c r="K160" s="32" t="str">
        <f>IF($A160="","",VLOOKUP($J160,APOIO!$H:$J,2,FALSE))</f>
        <v/>
      </c>
      <c r="L160" s="32" t="str">
        <f>IF($A160="","",VLOOKUP($J160,APOIO!$H:$J,3,FALSE))</f>
        <v/>
      </c>
      <c r="M160" s="31"/>
      <c r="N160" s="34"/>
      <c r="O160" s="32"/>
      <c r="P160" s="32"/>
      <c r="Q160" s="32"/>
      <c r="R160" s="32"/>
      <c r="S160" s="35"/>
      <c r="T160" s="91"/>
      <c r="U160" s="60"/>
      <c r="V160" s="36"/>
      <c r="W160" s="31"/>
      <c r="X160" s="59"/>
      <c r="Y160" s="59" t="str">
        <f>IFERROR(VLOOKUP($A160,APOIO!$A:$A,1,FALSE),"ERRO")</f>
        <v>ERRO</v>
      </c>
      <c r="Z160"/>
    </row>
    <row r="161" spans="1:26" ht="15" x14ac:dyDescent="0.25">
      <c r="A161" s="94"/>
      <c r="B161" s="32" t="str">
        <f>IF($A161="","",VLOOKUP($A161,APOIO!$A:$E,2,FALSE))</f>
        <v/>
      </c>
      <c r="C161" s="94"/>
      <c r="D161" s="32" t="str">
        <f>IF($A161="","",INDEX(APOIO!$D:$D,MATCH(CONCATENATE($A161,"_",$B161,"_",$C161),APOIO!$F:$F,0)))</f>
        <v/>
      </c>
      <c r="E161" s="31"/>
      <c r="F161" s="31"/>
      <c r="G161" s="33"/>
      <c r="H161" s="94"/>
      <c r="I161" s="32" t="str">
        <f>IF($A161="","",VLOOKUP($H161,APOIO!$L:$M,2,FALSE))</f>
        <v/>
      </c>
      <c r="J161" s="31"/>
      <c r="K161" s="32" t="str">
        <f>IF($A161="","",VLOOKUP($J161,APOIO!$H:$J,2,FALSE))</f>
        <v/>
      </c>
      <c r="L161" s="32" t="str">
        <f>IF($A161="","",VLOOKUP($J161,APOIO!$H:$J,3,FALSE))</f>
        <v/>
      </c>
      <c r="M161" s="31"/>
      <c r="N161" s="34"/>
      <c r="O161" s="32"/>
      <c r="P161" s="32"/>
      <c r="Q161" s="32"/>
      <c r="R161" s="32"/>
      <c r="S161" s="35"/>
      <c r="T161" s="91"/>
      <c r="U161" s="60"/>
      <c r="V161" s="36"/>
      <c r="W161" s="31"/>
      <c r="X161" s="59"/>
      <c r="Y161" s="59" t="str">
        <f>IFERROR(VLOOKUP($A161,APOIO!$A:$A,1,FALSE),"ERRO")</f>
        <v>ERRO</v>
      </c>
      <c r="Z161"/>
    </row>
    <row r="162" spans="1:26" ht="15" x14ac:dyDescent="0.25">
      <c r="A162" s="94"/>
      <c r="B162" s="32" t="str">
        <f>IF($A162="","",VLOOKUP($A162,APOIO!$A:$E,2,FALSE))</f>
        <v/>
      </c>
      <c r="C162" s="94"/>
      <c r="D162" s="32" t="str">
        <f>IF($A162="","",INDEX(APOIO!$D:$D,MATCH(CONCATENATE($A162,"_",$B162,"_",$C162),APOIO!$F:$F,0)))</f>
        <v/>
      </c>
      <c r="E162" s="31"/>
      <c r="F162" s="31"/>
      <c r="G162" s="33"/>
      <c r="H162" s="94"/>
      <c r="I162" s="32" t="str">
        <f>IF($A162="","",VLOOKUP($H162,APOIO!$L:$M,2,FALSE))</f>
        <v/>
      </c>
      <c r="J162" s="31"/>
      <c r="K162" s="32" t="str">
        <f>IF($A162="","",VLOOKUP($J162,APOIO!$H:$J,2,FALSE))</f>
        <v/>
      </c>
      <c r="L162" s="32" t="str">
        <f>IF($A162="","",VLOOKUP($J162,APOIO!$H:$J,3,FALSE))</f>
        <v/>
      </c>
      <c r="M162" s="31"/>
      <c r="N162" s="34"/>
      <c r="O162" s="32"/>
      <c r="P162" s="32"/>
      <c r="Q162" s="32"/>
      <c r="R162" s="32"/>
      <c r="S162" s="35"/>
      <c r="T162" s="91"/>
      <c r="U162" s="60"/>
      <c r="V162" s="36"/>
      <c r="W162" s="31"/>
      <c r="X162" s="59"/>
      <c r="Y162" s="59" t="str">
        <f>IFERROR(VLOOKUP($A162,APOIO!$A:$A,1,FALSE),"ERRO")</f>
        <v>ERRO</v>
      </c>
      <c r="Z162"/>
    </row>
    <row r="163" spans="1:26" ht="15" x14ac:dyDescent="0.25">
      <c r="A163" s="94"/>
      <c r="B163" s="32" t="str">
        <f>IF($A163="","",VLOOKUP($A163,APOIO!$A:$E,2,FALSE))</f>
        <v/>
      </c>
      <c r="C163" s="94"/>
      <c r="D163" s="32" t="str">
        <f>IF($A163="","",INDEX(APOIO!$D:$D,MATCH(CONCATENATE($A163,"_",$B163,"_",$C163),APOIO!$F:$F,0)))</f>
        <v/>
      </c>
      <c r="E163" s="31"/>
      <c r="F163" s="31"/>
      <c r="G163" s="33"/>
      <c r="H163" s="94"/>
      <c r="I163" s="32" t="str">
        <f>IF($A163="","",VLOOKUP($H163,APOIO!$L:$M,2,FALSE))</f>
        <v/>
      </c>
      <c r="J163" s="31"/>
      <c r="K163" s="32" t="str">
        <f>IF($A163="","",VLOOKUP($J163,APOIO!$H:$J,2,FALSE))</f>
        <v/>
      </c>
      <c r="L163" s="32" t="str">
        <f>IF($A163="","",VLOOKUP($J163,APOIO!$H:$J,3,FALSE))</f>
        <v/>
      </c>
      <c r="M163" s="31"/>
      <c r="N163" s="34"/>
      <c r="O163" s="32"/>
      <c r="P163" s="32"/>
      <c r="Q163" s="32"/>
      <c r="R163" s="32"/>
      <c r="S163" s="35"/>
      <c r="T163" s="91"/>
      <c r="U163" s="60"/>
      <c r="V163" s="36"/>
      <c r="W163" s="31"/>
      <c r="X163" s="59"/>
      <c r="Y163" s="59" t="str">
        <f>IFERROR(VLOOKUP($A163,APOIO!$A:$A,1,FALSE),"ERRO")</f>
        <v>ERRO</v>
      </c>
      <c r="Z163"/>
    </row>
    <row r="164" spans="1:26" ht="15" x14ac:dyDescent="0.25">
      <c r="A164" s="94"/>
      <c r="B164" s="32" t="str">
        <f>IF($A164="","",VLOOKUP($A164,APOIO!$A:$E,2,FALSE))</f>
        <v/>
      </c>
      <c r="C164" s="94"/>
      <c r="D164" s="32" t="str">
        <f>IF($A164="","",INDEX(APOIO!$D:$D,MATCH(CONCATENATE($A164,"_",$B164,"_",$C164),APOIO!$F:$F,0)))</f>
        <v/>
      </c>
      <c r="E164" s="31"/>
      <c r="F164" s="31"/>
      <c r="G164" s="33"/>
      <c r="H164" s="94"/>
      <c r="I164" s="32" t="str">
        <f>IF($A164="","",VLOOKUP($H164,APOIO!$L:$M,2,FALSE))</f>
        <v/>
      </c>
      <c r="J164" s="31"/>
      <c r="K164" s="32" t="str">
        <f>IF($A164="","",VLOOKUP($J164,APOIO!$H:$J,2,FALSE))</f>
        <v/>
      </c>
      <c r="L164" s="32" t="str">
        <f>IF($A164="","",VLOOKUP($J164,APOIO!$H:$J,3,FALSE))</f>
        <v/>
      </c>
      <c r="M164" s="31"/>
      <c r="N164" s="34"/>
      <c r="O164" s="32"/>
      <c r="P164" s="32"/>
      <c r="Q164" s="32"/>
      <c r="R164" s="32"/>
      <c r="S164" s="35"/>
      <c r="T164" s="91"/>
      <c r="U164" s="60"/>
      <c r="V164" s="36"/>
      <c r="W164" s="31"/>
      <c r="X164" s="59"/>
      <c r="Y164" s="59" t="str">
        <f>IFERROR(VLOOKUP($A164,APOIO!$A:$A,1,FALSE),"ERRO")</f>
        <v>ERRO</v>
      </c>
      <c r="Z164"/>
    </row>
    <row r="165" spans="1:26" ht="15" x14ac:dyDescent="0.25">
      <c r="A165" s="94"/>
      <c r="B165" s="32" t="str">
        <f>IF($A165="","",VLOOKUP($A165,APOIO!$A:$E,2,FALSE))</f>
        <v/>
      </c>
      <c r="C165" s="94"/>
      <c r="D165" s="32" t="str">
        <f>IF($A165="","",INDEX(APOIO!$D:$D,MATCH(CONCATENATE($A165,"_",$B165,"_",$C165),APOIO!$F:$F,0)))</f>
        <v/>
      </c>
      <c r="E165" s="31"/>
      <c r="F165" s="31"/>
      <c r="G165" s="33"/>
      <c r="H165" s="94"/>
      <c r="I165" s="32" t="str">
        <f>IF($A165="","",VLOOKUP($H165,APOIO!$L:$M,2,FALSE))</f>
        <v/>
      </c>
      <c r="J165" s="31"/>
      <c r="K165" s="32" t="str">
        <f>IF($A165="","",VLOOKUP($J165,APOIO!$H:$J,2,FALSE))</f>
        <v/>
      </c>
      <c r="L165" s="32" t="str">
        <f>IF($A165="","",VLOOKUP($J165,APOIO!$H:$J,3,FALSE))</f>
        <v/>
      </c>
      <c r="M165" s="31"/>
      <c r="N165" s="34"/>
      <c r="O165" s="32"/>
      <c r="P165" s="32"/>
      <c r="Q165" s="32"/>
      <c r="R165" s="32"/>
      <c r="S165" s="35"/>
      <c r="T165" s="91"/>
      <c r="U165" s="60"/>
      <c r="V165" s="36"/>
      <c r="W165" s="31"/>
      <c r="X165" s="59"/>
      <c r="Y165" s="59" t="str">
        <f>IFERROR(VLOOKUP($A165,APOIO!$A:$A,1,FALSE),"ERRO")</f>
        <v>ERRO</v>
      </c>
      <c r="Z165"/>
    </row>
    <row r="166" spans="1:26" ht="15" x14ac:dyDescent="0.25">
      <c r="A166" s="94"/>
      <c r="B166" s="32" t="str">
        <f>IF($A166="","",VLOOKUP($A166,APOIO!$A:$E,2,FALSE))</f>
        <v/>
      </c>
      <c r="C166" s="94"/>
      <c r="D166" s="32" t="str">
        <f>IF($A166="","",INDEX(APOIO!$D:$D,MATCH(CONCATENATE($A166,"_",$B166,"_",$C166),APOIO!$F:$F,0)))</f>
        <v/>
      </c>
      <c r="E166" s="31"/>
      <c r="F166" s="31"/>
      <c r="G166" s="33"/>
      <c r="H166" s="94"/>
      <c r="I166" s="32" t="str">
        <f>IF($A166="","",VLOOKUP($H166,APOIO!$L:$M,2,FALSE))</f>
        <v/>
      </c>
      <c r="J166" s="31"/>
      <c r="K166" s="32" t="str">
        <f>IF($A166="","",VLOOKUP($J166,APOIO!$H:$J,2,FALSE))</f>
        <v/>
      </c>
      <c r="L166" s="32" t="str">
        <f>IF($A166="","",VLOOKUP($J166,APOIO!$H:$J,3,FALSE))</f>
        <v/>
      </c>
      <c r="M166" s="31"/>
      <c r="N166" s="34"/>
      <c r="O166" s="32"/>
      <c r="P166" s="32"/>
      <c r="Q166" s="32"/>
      <c r="R166" s="32"/>
      <c r="S166" s="35"/>
      <c r="T166" s="91"/>
      <c r="U166" s="60"/>
      <c r="V166" s="36"/>
      <c r="W166" s="31"/>
      <c r="X166" s="59"/>
      <c r="Y166" s="59" t="str">
        <f>IFERROR(VLOOKUP($A166,APOIO!$A:$A,1,FALSE),"ERRO")</f>
        <v>ERRO</v>
      </c>
      <c r="Z166"/>
    </row>
    <row r="167" spans="1:26" ht="15" x14ac:dyDescent="0.25">
      <c r="A167" s="94"/>
      <c r="B167" s="32" t="str">
        <f>IF($A167="","",VLOOKUP($A167,APOIO!$A:$E,2,FALSE))</f>
        <v/>
      </c>
      <c r="C167" s="94"/>
      <c r="D167" s="32" t="str">
        <f>IF($A167="","",INDEX(APOIO!$D:$D,MATCH(CONCATENATE($A167,"_",$B167,"_",$C167),APOIO!$F:$F,0)))</f>
        <v/>
      </c>
      <c r="E167" s="31"/>
      <c r="F167" s="31"/>
      <c r="G167" s="33"/>
      <c r="H167" s="94"/>
      <c r="I167" s="32" t="str">
        <f>IF($A167="","",VLOOKUP($H167,APOIO!$L:$M,2,FALSE))</f>
        <v/>
      </c>
      <c r="J167" s="31"/>
      <c r="K167" s="32" t="str">
        <f>IF($A167="","",VLOOKUP($J167,APOIO!$H:$J,2,FALSE))</f>
        <v/>
      </c>
      <c r="L167" s="32" t="str">
        <f>IF($A167="","",VLOOKUP($J167,APOIO!$H:$J,3,FALSE))</f>
        <v/>
      </c>
      <c r="M167" s="31"/>
      <c r="N167" s="34"/>
      <c r="O167" s="32"/>
      <c r="P167" s="32"/>
      <c r="Q167" s="32"/>
      <c r="R167" s="32"/>
      <c r="S167" s="35"/>
      <c r="T167" s="91"/>
      <c r="U167" s="60"/>
      <c r="V167" s="36"/>
      <c r="W167" s="31"/>
      <c r="X167" s="59"/>
      <c r="Y167" s="59" t="str">
        <f>IFERROR(VLOOKUP($A167,APOIO!$A:$A,1,FALSE),"ERRO")</f>
        <v>ERRO</v>
      </c>
      <c r="Z167"/>
    </row>
    <row r="168" spans="1:26" ht="15" x14ac:dyDescent="0.25">
      <c r="A168" s="94"/>
      <c r="B168" s="32" t="str">
        <f>IF($A168="","",VLOOKUP($A168,APOIO!$A:$E,2,FALSE))</f>
        <v/>
      </c>
      <c r="C168" s="94"/>
      <c r="D168" s="32" t="str">
        <f>IF($A168="","",INDEX(APOIO!$D:$D,MATCH(CONCATENATE($A168,"_",$B168,"_",$C168),APOIO!$F:$F,0)))</f>
        <v/>
      </c>
      <c r="E168" s="31"/>
      <c r="F168" s="31"/>
      <c r="G168" s="33"/>
      <c r="H168" s="94"/>
      <c r="I168" s="32" t="str">
        <f>IF($A168="","",VLOOKUP($H168,APOIO!$L:$M,2,FALSE))</f>
        <v/>
      </c>
      <c r="J168" s="31"/>
      <c r="K168" s="32" t="str">
        <f>IF($A168="","",VLOOKUP($J168,APOIO!$H:$J,2,FALSE))</f>
        <v/>
      </c>
      <c r="L168" s="32" t="str">
        <f>IF($A168="","",VLOOKUP($J168,APOIO!$H:$J,3,FALSE))</f>
        <v/>
      </c>
      <c r="M168" s="31"/>
      <c r="N168" s="34"/>
      <c r="O168" s="32"/>
      <c r="P168" s="32"/>
      <c r="Q168" s="32"/>
      <c r="R168" s="32"/>
      <c r="S168" s="35"/>
      <c r="T168" s="91"/>
      <c r="U168" s="60"/>
      <c r="V168" s="36"/>
      <c r="W168" s="31"/>
      <c r="X168" s="59"/>
      <c r="Y168" s="59" t="str">
        <f>IFERROR(VLOOKUP($A168,APOIO!$A:$A,1,FALSE),"ERRO")</f>
        <v>ERRO</v>
      </c>
      <c r="Z168"/>
    </row>
    <row r="169" spans="1:26" ht="15" x14ac:dyDescent="0.25">
      <c r="A169" s="94"/>
      <c r="B169" s="32" t="str">
        <f>IF($A169="","",VLOOKUP($A169,APOIO!$A:$E,2,FALSE))</f>
        <v/>
      </c>
      <c r="C169" s="94"/>
      <c r="D169" s="32" t="str">
        <f>IF($A169="","",INDEX(APOIO!$D:$D,MATCH(CONCATENATE($A169,"_",$B169,"_",$C169),APOIO!$F:$F,0)))</f>
        <v/>
      </c>
      <c r="E169" s="31"/>
      <c r="F169" s="31"/>
      <c r="G169" s="33"/>
      <c r="H169" s="94"/>
      <c r="I169" s="32" t="str">
        <f>IF($A169="","",VLOOKUP($H169,APOIO!$L:$M,2,FALSE))</f>
        <v/>
      </c>
      <c r="J169" s="31"/>
      <c r="K169" s="32" t="str">
        <f>IF($A169="","",VLOOKUP($J169,APOIO!$H:$J,2,FALSE))</f>
        <v/>
      </c>
      <c r="L169" s="32" t="str">
        <f>IF($A169="","",VLOOKUP($J169,APOIO!$H:$J,3,FALSE))</f>
        <v/>
      </c>
      <c r="M169" s="31"/>
      <c r="N169" s="34"/>
      <c r="O169" s="32"/>
      <c r="P169" s="32"/>
      <c r="Q169" s="32"/>
      <c r="R169" s="32"/>
      <c r="S169" s="35"/>
      <c r="T169" s="91"/>
      <c r="U169" s="60"/>
      <c r="V169" s="36"/>
      <c r="W169" s="31"/>
      <c r="X169" s="59"/>
      <c r="Y169" s="59" t="str">
        <f>IFERROR(VLOOKUP($A169,APOIO!$A:$A,1,FALSE),"ERRO")</f>
        <v>ERRO</v>
      </c>
      <c r="Z169"/>
    </row>
    <row r="170" spans="1:26" ht="15" x14ac:dyDescent="0.25">
      <c r="A170" s="94"/>
      <c r="B170" s="32" t="str">
        <f>IF($A170="","",VLOOKUP($A170,APOIO!$A:$E,2,FALSE))</f>
        <v/>
      </c>
      <c r="C170" s="94"/>
      <c r="D170" s="32" t="str">
        <f>IF($A170="","",INDEX(APOIO!$D:$D,MATCH(CONCATENATE($A170,"_",$B170,"_",$C170),APOIO!$F:$F,0)))</f>
        <v/>
      </c>
      <c r="E170" s="31"/>
      <c r="F170" s="31"/>
      <c r="G170" s="33"/>
      <c r="H170" s="94"/>
      <c r="I170" s="32" t="str">
        <f>IF($A170="","",VLOOKUP($H170,APOIO!$L:$M,2,FALSE))</f>
        <v/>
      </c>
      <c r="J170" s="31"/>
      <c r="K170" s="32" t="str">
        <f>IF($A170="","",VLOOKUP($J170,APOIO!$H:$J,2,FALSE))</f>
        <v/>
      </c>
      <c r="L170" s="32" t="str">
        <f>IF($A170="","",VLOOKUP($J170,APOIO!$H:$J,3,FALSE))</f>
        <v/>
      </c>
      <c r="M170" s="31"/>
      <c r="N170" s="34"/>
      <c r="O170" s="32"/>
      <c r="P170" s="32"/>
      <c r="Q170" s="32"/>
      <c r="R170" s="32"/>
      <c r="S170" s="35"/>
      <c r="T170" s="91"/>
      <c r="U170" s="60"/>
      <c r="V170" s="36"/>
      <c r="W170" s="31"/>
      <c r="X170" s="59"/>
      <c r="Y170" s="59" t="str">
        <f>IFERROR(VLOOKUP($A170,APOIO!$A:$A,1,FALSE),"ERRO")</f>
        <v>ERRO</v>
      </c>
      <c r="Z170"/>
    </row>
    <row r="171" spans="1:26" ht="15" x14ac:dyDescent="0.25">
      <c r="A171" s="94"/>
      <c r="B171" s="32" t="str">
        <f>IF($A171="","",VLOOKUP($A171,APOIO!$A:$E,2,FALSE))</f>
        <v/>
      </c>
      <c r="C171" s="94"/>
      <c r="D171" s="32" t="str">
        <f>IF($A171="","",INDEX(APOIO!$D:$D,MATCH(CONCATENATE($A171,"_",$B171,"_",$C171),APOIO!$F:$F,0)))</f>
        <v/>
      </c>
      <c r="E171" s="31"/>
      <c r="F171" s="31"/>
      <c r="G171" s="33"/>
      <c r="H171" s="94"/>
      <c r="I171" s="32" t="str">
        <f>IF($A171="","",VLOOKUP($H171,APOIO!$L:$M,2,FALSE))</f>
        <v/>
      </c>
      <c r="J171" s="31"/>
      <c r="K171" s="32" t="str">
        <f>IF($A171="","",VLOOKUP($J171,APOIO!$H:$J,2,FALSE))</f>
        <v/>
      </c>
      <c r="L171" s="32" t="str">
        <f>IF($A171="","",VLOOKUP($J171,APOIO!$H:$J,3,FALSE))</f>
        <v/>
      </c>
      <c r="M171" s="31"/>
      <c r="N171" s="34"/>
      <c r="O171" s="32"/>
      <c r="P171" s="32"/>
      <c r="Q171" s="32"/>
      <c r="R171" s="32"/>
      <c r="S171" s="35"/>
      <c r="T171" s="91"/>
      <c r="U171" s="60"/>
      <c r="V171" s="36"/>
      <c r="W171" s="31"/>
      <c r="X171" s="59"/>
      <c r="Y171" s="59" t="str">
        <f>IFERROR(VLOOKUP($A171,APOIO!$A:$A,1,FALSE),"ERRO")</f>
        <v>ERRO</v>
      </c>
      <c r="Z171"/>
    </row>
    <row r="172" spans="1:26" ht="15" x14ac:dyDescent="0.25">
      <c r="A172" s="94"/>
      <c r="B172" s="32" t="str">
        <f>IF($A172="","",VLOOKUP($A172,APOIO!$A:$E,2,FALSE))</f>
        <v/>
      </c>
      <c r="C172" s="94"/>
      <c r="D172" s="32" t="str">
        <f>IF($A172="","",INDEX(APOIO!$D:$D,MATCH(CONCATENATE($A172,"_",$B172,"_",$C172),APOIO!$F:$F,0)))</f>
        <v/>
      </c>
      <c r="E172" s="31"/>
      <c r="F172" s="31"/>
      <c r="G172" s="33"/>
      <c r="H172" s="94"/>
      <c r="I172" s="32" t="str">
        <f>IF($A172="","",VLOOKUP($H172,APOIO!$L:$M,2,FALSE))</f>
        <v/>
      </c>
      <c r="J172" s="31"/>
      <c r="K172" s="32" t="str">
        <f>IF($A172="","",VLOOKUP($J172,APOIO!$H:$J,2,FALSE))</f>
        <v/>
      </c>
      <c r="L172" s="32" t="str">
        <f>IF($A172="","",VLOOKUP($J172,APOIO!$H:$J,3,FALSE))</f>
        <v/>
      </c>
      <c r="M172" s="31"/>
      <c r="N172" s="34"/>
      <c r="O172" s="32"/>
      <c r="P172" s="32"/>
      <c r="Q172" s="32"/>
      <c r="R172" s="32"/>
      <c r="S172" s="35"/>
      <c r="T172" s="91"/>
      <c r="U172" s="60"/>
      <c r="V172" s="36"/>
      <c r="W172" s="31"/>
      <c r="X172" s="59"/>
      <c r="Y172" s="59" t="str">
        <f>IFERROR(VLOOKUP($A172,APOIO!$A:$A,1,FALSE),"ERRO")</f>
        <v>ERRO</v>
      </c>
      <c r="Z172"/>
    </row>
    <row r="173" spans="1:26" ht="15" x14ac:dyDescent="0.25">
      <c r="A173" s="94"/>
      <c r="B173" s="32" t="str">
        <f>IF($A173="","",VLOOKUP($A173,APOIO!$A:$E,2,FALSE))</f>
        <v/>
      </c>
      <c r="C173" s="94"/>
      <c r="D173" s="32" t="str">
        <f>IF($A173="","",INDEX(APOIO!$D:$D,MATCH(CONCATENATE($A173,"_",$B173,"_",$C173),APOIO!$F:$F,0)))</f>
        <v/>
      </c>
      <c r="E173" s="31"/>
      <c r="F173" s="31"/>
      <c r="G173" s="33"/>
      <c r="H173" s="94"/>
      <c r="I173" s="32" t="str">
        <f>IF($A173="","",VLOOKUP($H173,APOIO!$L:$M,2,FALSE))</f>
        <v/>
      </c>
      <c r="J173" s="31"/>
      <c r="K173" s="32" t="str">
        <f>IF($A173="","",VLOOKUP($J173,APOIO!$H:$J,2,FALSE))</f>
        <v/>
      </c>
      <c r="L173" s="32" t="str">
        <f>IF($A173="","",VLOOKUP($J173,APOIO!$H:$J,3,FALSE))</f>
        <v/>
      </c>
      <c r="M173" s="31"/>
      <c r="N173" s="34"/>
      <c r="O173" s="32"/>
      <c r="P173" s="32"/>
      <c r="Q173" s="32"/>
      <c r="R173" s="32"/>
      <c r="S173" s="35"/>
      <c r="T173" s="91"/>
      <c r="U173" s="60"/>
      <c r="V173" s="36"/>
      <c r="W173" s="31"/>
      <c r="X173" s="59"/>
      <c r="Y173" s="59" t="str">
        <f>IFERROR(VLOOKUP($A173,APOIO!$A:$A,1,FALSE),"ERRO")</f>
        <v>ERRO</v>
      </c>
      <c r="Z173"/>
    </row>
    <row r="174" spans="1:26" ht="15" x14ac:dyDescent="0.25">
      <c r="A174" s="94"/>
      <c r="B174" s="32" t="str">
        <f>IF($A174="","",VLOOKUP($A174,APOIO!$A:$E,2,FALSE))</f>
        <v/>
      </c>
      <c r="C174" s="94"/>
      <c r="D174" s="32" t="str">
        <f>IF($A174="","",INDEX(APOIO!$D:$D,MATCH(CONCATENATE($A174,"_",$B174,"_",$C174),APOIO!$F:$F,0)))</f>
        <v/>
      </c>
      <c r="E174" s="31"/>
      <c r="F174" s="31"/>
      <c r="G174" s="33"/>
      <c r="H174" s="94"/>
      <c r="I174" s="32" t="str">
        <f>IF($A174="","",VLOOKUP($H174,APOIO!$L:$M,2,FALSE))</f>
        <v/>
      </c>
      <c r="J174" s="31"/>
      <c r="K174" s="32" t="str">
        <f>IF($A174="","",VLOOKUP($J174,APOIO!$H:$J,2,FALSE))</f>
        <v/>
      </c>
      <c r="L174" s="32" t="str">
        <f>IF($A174="","",VLOOKUP($J174,APOIO!$H:$J,3,FALSE))</f>
        <v/>
      </c>
      <c r="M174" s="31"/>
      <c r="N174" s="34"/>
      <c r="O174" s="32"/>
      <c r="P174" s="32"/>
      <c r="Q174" s="32"/>
      <c r="R174" s="32"/>
      <c r="S174" s="35"/>
      <c r="T174" s="91"/>
      <c r="U174" s="60"/>
      <c r="V174" s="36"/>
      <c r="W174" s="31"/>
      <c r="X174" s="59"/>
      <c r="Y174" s="59" t="str">
        <f>IFERROR(VLOOKUP($A174,APOIO!$A:$A,1,FALSE),"ERRO")</f>
        <v>ERRO</v>
      </c>
      <c r="Z174"/>
    </row>
    <row r="175" spans="1:26" ht="15" x14ac:dyDescent="0.25">
      <c r="A175" s="94"/>
      <c r="B175" s="32" t="str">
        <f>IF($A175="","",VLOOKUP($A175,APOIO!$A:$E,2,FALSE))</f>
        <v/>
      </c>
      <c r="C175" s="94"/>
      <c r="D175" s="32" t="str">
        <f>IF($A175="","",INDEX(APOIO!$D:$D,MATCH(CONCATENATE($A175,"_",$B175,"_",$C175),APOIO!$F:$F,0)))</f>
        <v/>
      </c>
      <c r="E175" s="31"/>
      <c r="F175" s="31"/>
      <c r="G175" s="33"/>
      <c r="H175" s="94"/>
      <c r="I175" s="32" t="str">
        <f>IF($A175="","",VLOOKUP($H175,APOIO!$L:$M,2,FALSE))</f>
        <v/>
      </c>
      <c r="J175" s="31"/>
      <c r="K175" s="32" t="str">
        <f>IF($A175="","",VLOOKUP($J175,APOIO!$H:$J,2,FALSE))</f>
        <v/>
      </c>
      <c r="L175" s="32" t="str">
        <f>IF($A175="","",VLOOKUP($J175,APOIO!$H:$J,3,FALSE))</f>
        <v/>
      </c>
      <c r="M175" s="31"/>
      <c r="N175" s="34"/>
      <c r="O175" s="32"/>
      <c r="P175" s="32"/>
      <c r="Q175" s="32"/>
      <c r="R175" s="32"/>
      <c r="S175" s="35"/>
      <c r="T175" s="91"/>
      <c r="U175" s="60"/>
      <c r="V175" s="36"/>
      <c r="W175" s="31"/>
      <c r="X175" s="59"/>
      <c r="Y175" s="59" t="str">
        <f>IFERROR(VLOOKUP($A175,APOIO!$A:$A,1,FALSE),"ERRO")</f>
        <v>ERRO</v>
      </c>
      <c r="Z175"/>
    </row>
    <row r="176" spans="1:26" ht="15" x14ac:dyDescent="0.25">
      <c r="A176" s="94"/>
      <c r="B176" s="32" t="str">
        <f>IF($A176="","",VLOOKUP($A176,APOIO!$A:$E,2,FALSE))</f>
        <v/>
      </c>
      <c r="C176" s="94"/>
      <c r="D176" s="32" t="str">
        <f>IF($A176="","",INDEX(APOIO!$D:$D,MATCH(CONCATENATE($A176,"_",$B176,"_",$C176),APOIO!$F:$F,0)))</f>
        <v/>
      </c>
      <c r="E176" s="31"/>
      <c r="F176" s="31"/>
      <c r="G176" s="33"/>
      <c r="H176" s="94"/>
      <c r="I176" s="32" t="str">
        <f>IF($A176="","",VLOOKUP($H176,APOIO!$L:$M,2,FALSE))</f>
        <v/>
      </c>
      <c r="J176" s="31"/>
      <c r="K176" s="32" t="str">
        <f>IF($A176="","",VLOOKUP($J176,APOIO!$H:$J,2,FALSE))</f>
        <v/>
      </c>
      <c r="L176" s="32" t="str">
        <f>IF($A176="","",VLOOKUP($J176,APOIO!$H:$J,3,FALSE))</f>
        <v/>
      </c>
      <c r="M176" s="31"/>
      <c r="N176" s="34"/>
      <c r="O176" s="32"/>
      <c r="P176" s="32"/>
      <c r="Q176" s="32"/>
      <c r="R176" s="32"/>
      <c r="S176" s="35"/>
      <c r="T176" s="91"/>
      <c r="U176" s="60"/>
      <c r="V176" s="36"/>
      <c r="W176" s="31"/>
      <c r="X176" s="59"/>
      <c r="Y176" s="59" t="str">
        <f>IFERROR(VLOOKUP($A176,APOIO!$A:$A,1,FALSE),"ERRO")</f>
        <v>ERRO</v>
      </c>
      <c r="Z176"/>
    </row>
    <row r="177" spans="1:26" ht="15" x14ac:dyDescent="0.25">
      <c r="A177" s="94"/>
      <c r="B177" s="32" t="str">
        <f>IF($A177="","",VLOOKUP($A177,APOIO!$A:$E,2,FALSE))</f>
        <v/>
      </c>
      <c r="C177" s="94"/>
      <c r="D177" s="32" t="str">
        <f>IF($A177="","",INDEX(APOIO!$D:$D,MATCH(CONCATENATE($A177,"_",$B177,"_",$C177),APOIO!$F:$F,0)))</f>
        <v/>
      </c>
      <c r="E177" s="31"/>
      <c r="F177" s="31"/>
      <c r="G177" s="33"/>
      <c r="H177" s="94"/>
      <c r="I177" s="32" t="str">
        <f>IF($A177="","",VLOOKUP($H177,APOIO!$L:$M,2,FALSE))</f>
        <v/>
      </c>
      <c r="J177" s="31"/>
      <c r="K177" s="32" t="str">
        <f>IF($A177="","",VLOOKUP($J177,APOIO!$H:$J,2,FALSE))</f>
        <v/>
      </c>
      <c r="L177" s="32" t="str">
        <f>IF($A177="","",VLOOKUP($J177,APOIO!$H:$J,3,FALSE))</f>
        <v/>
      </c>
      <c r="M177" s="31"/>
      <c r="N177" s="34"/>
      <c r="O177" s="32"/>
      <c r="P177" s="32"/>
      <c r="Q177" s="32"/>
      <c r="R177" s="32"/>
      <c r="S177" s="35"/>
      <c r="T177" s="91"/>
      <c r="U177" s="60"/>
      <c r="V177" s="36"/>
      <c r="W177" s="31"/>
      <c r="X177" s="59"/>
      <c r="Y177" s="59" t="str">
        <f>IFERROR(VLOOKUP($A177,APOIO!$A:$A,1,FALSE),"ERRO")</f>
        <v>ERRO</v>
      </c>
      <c r="Z177"/>
    </row>
    <row r="178" spans="1:26" ht="15" x14ac:dyDescent="0.25">
      <c r="A178" s="94"/>
      <c r="B178" s="32" t="str">
        <f>IF($A178="","",VLOOKUP($A178,APOIO!$A:$E,2,FALSE))</f>
        <v/>
      </c>
      <c r="C178" s="94"/>
      <c r="D178" s="32" t="str">
        <f>IF($A178="","",INDEX(APOIO!$D:$D,MATCH(CONCATENATE($A178,"_",$B178,"_",$C178),APOIO!$F:$F,0)))</f>
        <v/>
      </c>
      <c r="E178" s="31"/>
      <c r="F178" s="31"/>
      <c r="G178" s="33"/>
      <c r="H178" s="94"/>
      <c r="I178" s="32" t="str">
        <f>IF($A178="","",VLOOKUP($H178,APOIO!$L:$M,2,FALSE))</f>
        <v/>
      </c>
      <c r="J178" s="31"/>
      <c r="K178" s="32" t="str">
        <f>IF($A178="","",VLOOKUP($J178,APOIO!$H:$J,2,FALSE))</f>
        <v/>
      </c>
      <c r="L178" s="32" t="str">
        <f>IF($A178="","",VLOOKUP($J178,APOIO!$H:$J,3,FALSE))</f>
        <v/>
      </c>
      <c r="M178" s="31"/>
      <c r="N178" s="34"/>
      <c r="O178" s="32"/>
      <c r="P178" s="32"/>
      <c r="Q178" s="32"/>
      <c r="R178" s="32"/>
      <c r="S178" s="35"/>
      <c r="T178" s="91"/>
      <c r="U178" s="60"/>
      <c r="V178" s="36"/>
      <c r="W178" s="31"/>
      <c r="X178" s="59"/>
      <c r="Y178" s="59" t="str">
        <f>IFERROR(VLOOKUP($A178,APOIO!$A:$A,1,FALSE),"ERRO")</f>
        <v>ERRO</v>
      </c>
      <c r="Z178"/>
    </row>
    <row r="179" spans="1:26" ht="15" x14ac:dyDescent="0.25">
      <c r="A179" s="94"/>
      <c r="B179" s="32" t="str">
        <f>IF($A179="","",VLOOKUP($A179,APOIO!$A:$E,2,FALSE))</f>
        <v/>
      </c>
      <c r="C179" s="94"/>
      <c r="D179" s="32" t="str">
        <f>IF($A179="","",INDEX(APOIO!$D:$D,MATCH(CONCATENATE($A179,"_",$B179,"_",$C179),APOIO!$F:$F,0)))</f>
        <v/>
      </c>
      <c r="E179" s="31"/>
      <c r="F179" s="31"/>
      <c r="G179" s="33"/>
      <c r="H179" s="94"/>
      <c r="I179" s="32" t="str">
        <f>IF($A179="","",VLOOKUP($H179,APOIO!$L:$M,2,FALSE))</f>
        <v/>
      </c>
      <c r="J179" s="31"/>
      <c r="K179" s="32" t="str">
        <f>IF($A179="","",VLOOKUP($J179,APOIO!$H:$J,2,FALSE))</f>
        <v/>
      </c>
      <c r="L179" s="32" t="str">
        <f>IF($A179="","",VLOOKUP($J179,APOIO!$H:$J,3,FALSE))</f>
        <v/>
      </c>
      <c r="M179" s="31"/>
      <c r="N179" s="34"/>
      <c r="O179" s="32"/>
      <c r="P179" s="32"/>
      <c r="Q179" s="32"/>
      <c r="R179" s="32"/>
      <c r="S179" s="35"/>
      <c r="T179" s="91"/>
      <c r="U179" s="60"/>
      <c r="V179" s="36"/>
      <c r="W179" s="31"/>
      <c r="X179" s="59"/>
      <c r="Y179" s="59" t="str">
        <f>IFERROR(VLOOKUP($A179,APOIO!$A:$A,1,FALSE),"ERRO")</f>
        <v>ERRO</v>
      </c>
      <c r="Z179"/>
    </row>
    <row r="180" spans="1:26" ht="15" x14ac:dyDescent="0.25">
      <c r="A180" s="94"/>
      <c r="B180" s="32" t="str">
        <f>IF($A180="","",VLOOKUP($A180,APOIO!$A:$E,2,FALSE))</f>
        <v/>
      </c>
      <c r="C180" s="94"/>
      <c r="D180" s="32" t="str">
        <f>IF($A180="","",INDEX(APOIO!$D:$D,MATCH(CONCATENATE($A180,"_",$B180,"_",$C180),APOIO!$F:$F,0)))</f>
        <v/>
      </c>
      <c r="E180" s="31"/>
      <c r="F180" s="31"/>
      <c r="G180" s="33"/>
      <c r="H180" s="94"/>
      <c r="I180" s="32" t="str">
        <f>IF($A180="","",VLOOKUP($H180,APOIO!$L:$M,2,FALSE))</f>
        <v/>
      </c>
      <c r="J180" s="31"/>
      <c r="K180" s="32" t="str">
        <f>IF($A180="","",VLOOKUP($J180,APOIO!$H:$J,2,FALSE))</f>
        <v/>
      </c>
      <c r="L180" s="32" t="str">
        <f>IF($A180="","",VLOOKUP($J180,APOIO!$H:$J,3,FALSE))</f>
        <v/>
      </c>
      <c r="M180" s="31"/>
      <c r="N180" s="34"/>
      <c r="O180" s="32"/>
      <c r="P180" s="32"/>
      <c r="Q180" s="32"/>
      <c r="R180" s="32"/>
      <c r="S180" s="35"/>
      <c r="T180" s="91"/>
      <c r="U180" s="60"/>
      <c r="V180" s="36"/>
      <c r="W180" s="31"/>
      <c r="X180" s="59"/>
      <c r="Y180" s="59" t="str">
        <f>IFERROR(VLOOKUP($A180,APOIO!$A:$A,1,FALSE),"ERRO")</f>
        <v>ERRO</v>
      </c>
      <c r="Z180"/>
    </row>
    <row r="181" spans="1:26" ht="15" x14ac:dyDescent="0.25">
      <c r="A181" s="94"/>
      <c r="B181" s="32" t="str">
        <f>IF($A181="","",VLOOKUP($A181,APOIO!$A:$E,2,FALSE))</f>
        <v/>
      </c>
      <c r="C181" s="94"/>
      <c r="D181" s="32" t="str">
        <f>IF($A181="","",INDEX(APOIO!$D:$D,MATCH(CONCATENATE($A181,"_",$B181,"_",$C181),APOIO!$F:$F,0)))</f>
        <v/>
      </c>
      <c r="E181" s="31"/>
      <c r="F181" s="31"/>
      <c r="G181" s="33"/>
      <c r="H181" s="94"/>
      <c r="I181" s="32" t="str">
        <f>IF($A181="","",VLOOKUP($H181,APOIO!$L:$M,2,FALSE))</f>
        <v/>
      </c>
      <c r="J181" s="31"/>
      <c r="K181" s="32" t="str">
        <f>IF($A181="","",VLOOKUP($J181,APOIO!$H:$J,2,FALSE))</f>
        <v/>
      </c>
      <c r="L181" s="32" t="str">
        <f>IF($A181="","",VLOOKUP($J181,APOIO!$H:$J,3,FALSE))</f>
        <v/>
      </c>
      <c r="M181" s="31"/>
      <c r="N181" s="34"/>
      <c r="O181" s="32"/>
      <c r="P181" s="32"/>
      <c r="Q181" s="32"/>
      <c r="R181" s="32"/>
      <c r="S181" s="35"/>
      <c r="T181" s="91"/>
      <c r="U181" s="60"/>
      <c r="V181" s="36"/>
      <c r="W181" s="31"/>
      <c r="X181" s="59"/>
      <c r="Y181" s="59" t="str">
        <f>IFERROR(VLOOKUP($A181,APOIO!$A:$A,1,FALSE),"ERRO")</f>
        <v>ERRO</v>
      </c>
      <c r="Z181"/>
    </row>
    <row r="182" spans="1:26" ht="15" x14ac:dyDescent="0.25">
      <c r="A182" s="94"/>
      <c r="B182" s="32" t="str">
        <f>IF($A182="","",VLOOKUP($A182,APOIO!$A:$E,2,FALSE))</f>
        <v/>
      </c>
      <c r="C182" s="94"/>
      <c r="D182" s="32" t="str">
        <f>IF($A182="","",INDEX(APOIO!$D:$D,MATCH(CONCATENATE($A182,"_",$B182,"_",$C182),APOIO!$F:$F,0)))</f>
        <v/>
      </c>
      <c r="E182" s="31"/>
      <c r="F182" s="31"/>
      <c r="G182" s="33"/>
      <c r="H182" s="94"/>
      <c r="I182" s="32" t="str">
        <f>IF($A182="","",VLOOKUP($H182,APOIO!$L:$M,2,FALSE))</f>
        <v/>
      </c>
      <c r="J182" s="31"/>
      <c r="K182" s="32" t="str">
        <f>IF($A182="","",VLOOKUP($J182,APOIO!$H:$J,2,FALSE))</f>
        <v/>
      </c>
      <c r="L182" s="32" t="str">
        <f>IF($A182="","",VLOOKUP($J182,APOIO!$H:$J,3,FALSE))</f>
        <v/>
      </c>
      <c r="M182" s="31"/>
      <c r="N182" s="34"/>
      <c r="O182" s="32"/>
      <c r="P182" s="32"/>
      <c r="Q182" s="32"/>
      <c r="R182" s="32"/>
      <c r="S182" s="35"/>
      <c r="T182" s="91"/>
      <c r="U182" s="60"/>
      <c r="V182" s="36"/>
      <c r="W182" s="31"/>
      <c r="X182" s="59"/>
      <c r="Y182" s="59" t="str">
        <f>IFERROR(VLOOKUP($A182,APOIO!$A:$A,1,FALSE),"ERRO")</f>
        <v>ERRO</v>
      </c>
      <c r="Z182"/>
    </row>
    <row r="183" spans="1:26" ht="15" x14ac:dyDescent="0.25">
      <c r="A183" s="94"/>
      <c r="B183" s="32" t="str">
        <f>IF($A183="","",VLOOKUP($A183,APOIO!$A:$E,2,FALSE))</f>
        <v/>
      </c>
      <c r="C183" s="94"/>
      <c r="D183" s="32" t="str">
        <f>IF($A183="","",INDEX(APOIO!$D:$D,MATCH(CONCATENATE($A183,"_",$B183,"_",$C183),APOIO!$F:$F,0)))</f>
        <v/>
      </c>
      <c r="E183" s="31"/>
      <c r="F183" s="31"/>
      <c r="G183" s="33"/>
      <c r="H183" s="94"/>
      <c r="I183" s="32" t="str">
        <f>IF($A183="","",VLOOKUP($H183,APOIO!$L:$M,2,FALSE))</f>
        <v/>
      </c>
      <c r="J183" s="31"/>
      <c r="K183" s="32" t="str">
        <f>IF($A183="","",VLOOKUP($J183,APOIO!$H:$J,2,FALSE))</f>
        <v/>
      </c>
      <c r="L183" s="32" t="str">
        <f>IF($A183="","",VLOOKUP($J183,APOIO!$H:$J,3,FALSE))</f>
        <v/>
      </c>
      <c r="M183" s="31"/>
      <c r="N183" s="34"/>
      <c r="O183" s="32"/>
      <c r="P183" s="32"/>
      <c r="Q183" s="32"/>
      <c r="R183" s="32"/>
      <c r="S183" s="35"/>
      <c r="T183" s="91"/>
      <c r="U183" s="60"/>
      <c r="V183" s="36"/>
      <c r="W183" s="31"/>
      <c r="X183" s="59"/>
      <c r="Y183" s="59" t="str">
        <f>IFERROR(VLOOKUP($A183,APOIO!$A:$A,1,FALSE),"ERRO")</f>
        <v>ERRO</v>
      </c>
      <c r="Z183"/>
    </row>
    <row r="184" spans="1:26" ht="15" x14ac:dyDescent="0.25">
      <c r="A184" s="94"/>
      <c r="B184" s="32" t="str">
        <f>IF($A184="","",VLOOKUP($A184,APOIO!$A:$E,2,FALSE))</f>
        <v/>
      </c>
      <c r="C184" s="94"/>
      <c r="D184" s="32" t="str">
        <f>IF($A184="","",INDEX(APOIO!$D:$D,MATCH(CONCATENATE($A184,"_",$B184,"_",$C184),APOIO!$F:$F,0)))</f>
        <v/>
      </c>
      <c r="E184" s="31"/>
      <c r="F184" s="31"/>
      <c r="G184" s="33"/>
      <c r="H184" s="94"/>
      <c r="I184" s="32" t="str">
        <f>IF($A184="","",VLOOKUP($H184,APOIO!$L:$M,2,FALSE))</f>
        <v/>
      </c>
      <c r="J184" s="31"/>
      <c r="K184" s="32" t="str">
        <f>IF($A184="","",VLOOKUP($J184,APOIO!$H:$J,2,FALSE))</f>
        <v/>
      </c>
      <c r="L184" s="32" t="str">
        <f>IF($A184="","",VLOOKUP($J184,APOIO!$H:$J,3,FALSE))</f>
        <v/>
      </c>
      <c r="M184" s="31"/>
      <c r="N184" s="34"/>
      <c r="O184" s="32"/>
      <c r="P184" s="32"/>
      <c r="Q184" s="32"/>
      <c r="R184" s="32"/>
      <c r="S184" s="35"/>
      <c r="T184" s="91"/>
      <c r="U184" s="60"/>
      <c r="V184" s="36"/>
      <c r="W184" s="31"/>
      <c r="X184" s="59"/>
      <c r="Y184" s="59" t="str">
        <f>IFERROR(VLOOKUP($A184,APOIO!$A:$A,1,FALSE),"ERRO")</f>
        <v>ERRO</v>
      </c>
      <c r="Z184"/>
    </row>
    <row r="185" spans="1:26" ht="15" x14ac:dyDescent="0.25">
      <c r="A185" s="94"/>
      <c r="B185" s="32" t="str">
        <f>IF($A185="","",VLOOKUP($A185,APOIO!$A:$E,2,FALSE))</f>
        <v/>
      </c>
      <c r="C185" s="94"/>
      <c r="D185" s="32" t="str">
        <f>IF($A185="","",INDEX(APOIO!$D:$D,MATCH(CONCATENATE($A185,"_",$B185,"_",$C185),APOIO!$F:$F,0)))</f>
        <v/>
      </c>
      <c r="E185" s="31"/>
      <c r="F185" s="31"/>
      <c r="G185" s="33"/>
      <c r="H185" s="94"/>
      <c r="I185" s="32" t="str">
        <f>IF($A185="","",VLOOKUP($H185,APOIO!$L:$M,2,FALSE))</f>
        <v/>
      </c>
      <c r="J185" s="31"/>
      <c r="K185" s="32" t="str">
        <f>IF($A185="","",VLOOKUP($J185,APOIO!$H:$J,2,FALSE))</f>
        <v/>
      </c>
      <c r="L185" s="32" t="str">
        <f>IF($A185="","",VLOOKUP($J185,APOIO!$H:$J,3,FALSE))</f>
        <v/>
      </c>
      <c r="M185" s="31"/>
      <c r="N185" s="34"/>
      <c r="O185" s="32"/>
      <c r="P185" s="32"/>
      <c r="Q185" s="32"/>
      <c r="R185" s="32"/>
      <c r="S185" s="35"/>
      <c r="T185" s="91"/>
      <c r="U185" s="60"/>
      <c r="V185" s="36"/>
      <c r="W185" s="31"/>
      <c r="X185" s="59"/>
      <c r="Y185" s="59" t="str">
        <f>IFERROR(VLOOKUP($A185,APOIO!$A:$A,1,FALSE),"ERRO")</f>
        <v>ERRO</v>
      </c>
      <c r="Z185"/>
    </row>
    <row r="186" spans="1:26" ht="15" x14ac:dyDescent="0.25">
      <c r="A186" s="94"/>
      <c r="B186" s="32" t="str">
        <f>IF($A186="","",VLOOKUP($A186,APOIO!$A:$E,2,FALSE))</f>
        <v/>
      </c>
      <c r="C186" s="94"/>
      <c r="D186" s="32" t="str">
        <f>IF($A186="","",INDEX(APOIO!$D:$D,MATCH(CONCATENATE($A186,"_",$B186,"_",$C186),APOIO!$F:$F,0)))</f>
        <v/>
      </c>
      <c r="E186" s="31"/>
      <c r="F186" s="31"/>
      <c r="G186" s="33"/>
      <c r="H186" s="94"/>
      <c r="I186" s="32" t="str">
        <f>IF($A186="","",VLOOKUP($H186,APOIO!$L:$M,2,FALSE))</f>
        <v/>
      </c>
      <c r="J186" s="31"/>
      <c r="K186" s="32" t="str">
        <f>IF($A186="","",VLOOKUP($J186,APOIO!$H:$J,2,FALSE))</f>
        <v/>
      </c>
      <c r="L186" s="32" t="str">
        <f>IF($A186="","",VLOOKUP($J186,APOIO!$H:$J,3,FALSE))</f>
        <v/>
      </c>
      <c r="M186" s="31"/>
      <c r="N186" s="34"/>
      <c r="O186" s="32"/>
      <c r="P186" s="32"/>
      <c r="Q186" s="32"/>
      <c r="R186" s="32"/>
      <c r="S186" s="35"/>
      <c r="T186" s="91"/>
      <c r="U186" s="60"/>
      <c r="V186" s="36"/>
      <c r="W186" s="31"/>
      <c r="X186" s="59"/>
      <c r="Y186" s="59" t="str">
        <f>IFERROR(VLOOKUP($A186,APOIO!$A:$A,1,FALSE),"ERRO")</f>
        <v>ERRO</v>
      </c>
      <c r="Z186"/>
    </row>
    <row r="187" spans="1:26" ht="15" x14ac:dyDescent="0.25">
      <c r="A187" s="94"/>
      <c r="B187" s="32" t="str">
        <f>IF($A187="","",VLOOKUP($A187,APOIO!$A:$E,2,FALSE))</f>
        <v/>
      </c>
      <c r="C187" s="94"/>
      <c r="D187" s="32" t="str">
        <f>IF($A187="","",INDEX(APOIO!$D:$D,MATCH(CONCATENATE($A187,"_",$B187,"_",$C187),APOIO!$F:$F,0)))</f>
        <v/>
      </c>
      <c r="E187" s="31"/>
      <c r="F187" s="31"/>
      <c r="G187" s="33"/>
      <c r="H187" s="94"/>
      <c r="I187" s="32" t="str">
        <f>IF($A187="","",VLOOKUP($H187,APOIO!$L:$M,2,FALSE))</f>
        <v/>
      </c>
      <c r="J187" s="31"/>
      <c r="K187" s="32" t="str">
        <f>IF($A187="","",VLOOKUP($J187,APOIO!$H:$J,2,FALSE))</f>
        <v/>
      </c>
      <c r="L187" s="32" t="str">
        <f>IF($A187="","",VLOOKUP($J187,APOIO!$H:$J,3,FALSE))</f>
        <v/>
      </c>
      <c r="M187" s="31"/>
      <c r="N187" s="34"/>
      <c r="O187" s="32"/>
      <c r="P187" s="32"/>
      <c r="Q187" s="32"/>
      <c r="R187" s="32"/>
      <c r="S187" s="35"/>
      <c r="T187" s="91"/>
      <c r="U187" s="60"/>
      <c r="V187" s="36"/>
      <c r="W187" s="31"/>
      <c r="X187" s="59"/>
      <c r="Y187" s="59" t="str">
        <f>IFERROR(VLOOKUP($A187,APOIO!$A:$A,1,FALSE),"ERRO")</f>
        <v>ERRO</v>
      </c>
      <c r="Z187"/>
    </row>
    <row r="188" spans="1:26" ht="15" x14ac:dyDescent="0.25">
      <c r="A188" s="94"/>
      <c r="B188" s="32" t="str">
        <f>IF($A188="","",VLOOKUP($A188,APOIO!$A:$E,2,FALSE))</f>
        <v/>
      </c>
      <c r="C188" s="94"/>
      <c r="D188" s="32" t="str">
        <f>IF($A188="","",INDEX(APOIO!$D:$D,MATCH(CONCATENATE($A188,"_",$B188,"_",$C188),APOIO!$F:$F,0)))</f>
        <v/>
      </c>
      <c r="E188" s="31"/>
      <c r="F188" s="31"/>
      <c r="G188" s="33"/>
      <c r="H188" s="94"/>
      <c r="I188" s="32" t="str">
        <f>IF($A188="","",VLOOKUP($H188,APOIO!$L:$M,2,FALSE))</f>
        <v/>
      </c>
      <c r="J188" s="31"/>
      <c r="K188" s="32" t="str">
        <f>IF($A188="","",VLOOKUP($J188,APOIO!$H:$J,2,FALSE))</f>
        <v/>
      </c>
      <c r="L188" s="32" t="str">
        <f>IF($A188="","",VLOOKUP($J188,APOIO!$H:$J,3,FALSE))</f>
        <v/>
      </c>
      <c r="M188" s="31"/>
      <c r="N188" s="34"/>
      <c r="O188" s="32"/>
      <c r="P188" s="32"/>
      <c r="Q188" s="32"/>
      <c r="R188" s="32"/>
      <c r="S188" s="35"/>
      <c r="T188" s="91"/>
      <c r="U188" s="60"/>
      <c r="V188" s="36"/>
      <c r="W188" s="31"/>
      <c r="X188" s="59"/>
      <c r="Y188" s="59" t="str">
        <f>IFERROR(VLOOKUP($A188,APOIO!$A:$A,1,FALSE),"ERRO")</f>
        <v>ERRO</v>
      </c>
      <c r="Z188"/>
    </row>
    <row r="189" spans="1:26" ht="15" x14ac:dyDescent="0.25">
      <c r="A189" s="94"/>
      <c r="B189" s="32" t="str">
        <f>IF($A189="","",VLOOKUP($A189,APOIO!$A:$E,2,FALSE))</f>
        <v/>
      </c>
      <c r="C189" s="94"/>
      <c r="D189" s="32" t="str">
        <f>IF($A189="","",INDEX(APOIO!$D:$D,MATCH(CONCATENATE($A189,"_",$B189,"_",$C189),APOIO!$F:$F,0)))</f>
        <v/>
      </c>
      <c r="E189" s="31"/>
      <c r="F189" s="31"/>
      <c r="G189" s="33"/>
      <c r="H189" s="94"/>
      <c r="I189" s="32" t="str">
        <f>IF($A189="","",VLOOKUP($H189,APOIO!$L:$M,2,FALSE))</f>
        <v/>
      </c>
      <c r="J189" s="31"/>
      <c r="K189" s="32" t="str">
        <f>IF($A189="","",VLOOKUP($J189,APOIO!$H:$J,2,FALSE))</f>
        <v/>
      </c>
      <c r="L189" s="32" t="str">
        <f>IF($A189="","",VLOOKUP($J189,APOIO!$H:$J,3,FALSE))</f>
        <v/>
      </c>
      <c r="M189" s="31"/>
      <c r="N189" s="34"/>
      <c r="O189" s="32"/>
      <c r="P189" s="32"/>
      <c r="Q189" s="32"/>
      <c r="R189" s="32"/>
      <c r="S189" s="35"/>
      <c r="T189" s="91"/>
      <c r="U189" s="60"/>
      <c r="V189" s="36"/>
      <c r="W189" s="31"/>
      <c r="X189" s="59"/>
      <c r="Y189" s="59" t="str">
        <f>IFERROR(VLOOKUP($A189,APOIO!$A:$A,1,FALSE),"ERRO")</f>
        <v>ERRO</v>
      </c>
      <c r="Z189"/>
    </row>
    <row r="190" spans="1:26" ht="15" x14ac:dyDescent="0.25">
      <c r="A190" s="94"/>
      <c r="B190" s="32" t="str">
        <f>IF($A190="","",VLOOKUP($A190,APOIO!$A:$E,2,FALSE))</f>
        <v/>
      </c>
      <c r="C190" s="94"/>
      <c r="D190" s="32" t="str">
        <f>IF($A190="","",INDEX(APOIO!$D:$D,MATCH(CONCATENATE($A190,"_",$B190,"_",$C190),APOIO!$F:$F,0)))</f>
        <v/>
      </c>
      <c r="E190" s="31"/>
      <c r="F190" s="31"/>
      <c r="G190" s="33"/>
      <c r="H190" s="94"/>
      <c r="I190" s="32" t="str">
        <f>IF($A190="","",VLOOKUP($H190,APOIO!$L:$M,2,FALSE))</f>
        <v/>
      </c>
      <c r="J190" s="31"/>
      <c r="K190" s="32" t="str">
        <f>IF($A190="","",VLOOKUP($J190,APOIO!$H:$J,2,FALSE))</f>
        <v/>
      </c>
      <c r="L190" s="32" t="str">
        <f>IF($A190="","",VLOOKUP($J190,APOIO!$H:$J,3,FALSE))</f>
        <v/>
      </c>
      <c r="M190" s="31"/>
      <c r="N190" s="34"/>
      <c r="O190" s="32"/>
      <c r="P190" s="32"/>
      <c r="Q190" s="32"/>
      <c r="R190" s="32"/>
      <c r="S190" s="35"/>
      <c r="T190" s="91"/>
      <c r="U190" s="60"/>
      <c r="V190" s="36"/>
      <c r="W190" s="31"/>
      <c r="X190" s="59"/>
      <c r="Y190" s="59" t="str">
        <f>IFERROR(VLOOKUP($A190,APOIO!$A:$A,1,FALSE),"ERRO")</f>
        <v>ERRO</v>
      </c>
      <c r="Z190"/>
    </row>
    <row r="191" spans="1:26" ht="15" x14ac:dyDescent="0.25">
      <c r="A191" s="94"/>
      <c r="B191" s="32" t="str">
        <f>IF($A191="","",VLOOKUP($A191,APOIO!$A:$E,2,FALSE))</f>
        <v/>
      </c>
      <c r="C191" s="94"/>
      <c r="D191" s="32" t="str">
        <f>IF($A191="","",INDEX(APOIO!$D:$D,MATCH(CONCATENATE($A191,"_",$B191,"_",$C191),APOIO!$F:$F,0)))</f>
        <v/>
      </c>
      <c r="E191" s="31"/>
      <c r="F191" s="31"/>
      <c r="G191" s="33"/>
      <c r="H191" s="94"/>
      <c r="I191" s="32" t="str">
        <f>IF($A191="","",VLOOKUP($H191,APOIO!$L:$M,2,FALSE))</f>
        <v/>
      </c>
      <c r="J191" s="31"/>
      <c r="K191" s="32" t="str">
        <f>IF($A191="","",VLOOKUP($J191,APOIO!$H:$J,2,FALSE))</f>
        <v/>
      </c>
      <c r="L191" s="32" t="str">
        <f>IF($A191="","",VLOOKUP($J191,APOIO!$H:$J,3,FALSE))</f>
        <v/>
      </c>
      <c r="M191" s="31"/>
      <c r="N191" s="34"/>
      <c r="O191" s="32"/>
      <c r="P191" s="32"/>
      <c r="Q191" s="32"/>
      <c r="R191" s="32"/>
      <c r="S191" s="35"/>
      <c r="T191" s="91"/>
      <c r="U191" s="60"/>
      <c r="V191" s="36"/>
      <c r="W191" s="31"/>
      <c r="X191" s="59"/>
      <c r="Y191" s="59" t="str">
        <f>IFERROR(VLOOKUP($A191,APOIO!$A:$A,1,FALSE),"ERRO")</f>
        <v>ERRO</v>
      </c>
      <c r="Z191"/>
    </row>
    <row r="192" spans="1:26" ht="15" x14ac:dyDescent="0.25">
      <c r="A192" s="94"/>
      <c r="B192" s="32" t="str">
        <f>IF($A192="","",VLOOKUP($A192,APOIO!$A:$E,2,FALSE))</f>
        <v/>
      </c>
      <c r="C192" s="94"/>
      <c r="D192" s="32" t="str">
        <f>IF($A192="","",INDEX(APOIO!$D:$D,MATCH(CONCATENATE($A192,"_",$B192,"_",$C192),APOIO!$F:$F,0)))</f>
        <v/>
      </c>
      <c r="E192" s="31"/>
      <c r="F192" s="31"/>
      <c r="G192" s="33"/>
      <c r="H192" s="94"/>
      <c r="I192" s="32" t="str">
        <f>IF($A192="","",VLOOKUP($H192,APOIO!$L:$M,2,FALSE))</f>
        <v/>
      </c>
      <c r="J192" s="31"/>
      <c r="K192" s="32" t="str">
        <f>IF($A192="","",VLOOKUP($J192,APOIO!$H:$J,2,FALSE))</f>
        <v/>
      </c>
      <c r="L192" s="32" t="str">
        <f>IF($A192="","",VLOOKUP($J192,APOIO!$H:$J,3,FALSE))</f>
        <v/>
      </c>
      <c r="M192" s="31"/>
      <c r="N192" s="34"/>
      <c r="O192" s="32"/>
      <c r="P192" s="32"/>
      <c r="Q192" s="32"/>
      <c r="R192" s="32"/>
      <c r="S192" s="35"/>
      <c r="T192" s="91"/>
      <c r="U192" s="60"/>
      <c r="V192" s="36"/>
      <c r="W192" s="31"/>
      <c r="X192" s="59"/>
      <c r="Y192" s="59" t="str">
        <f>IFERROR(VLOOKUP($A192,APOIO!$A:$A,1,FALSE),"ERRO")</f>
        <v>ERRO</v>
      </c>
      <c r="Z192"/>
    </row>
    <row r="193" spans="1:26" ht="15" x14ac:dyDescent="0.25">
      <c r="A193" s="94"/>
      <c r="B193" s="32" t="str">
        <f>IF($A193="","",VLOOKUP($A193,APOIO!$A:$E,2,FALSE))</f>
        <v/>
      </c>
      <c r="C193" s="94"/>
      <c r="D193" s="32" t="str">
        <f>IF($A193="","",INDEX(APOIO!$D:$D,MATCH(CONCATENATE($A193,"_",$B193,"_",$C193),APOIO!$F:$F,0)))</f>
        <v/>
      </c>
      <c r="E193" s="31"/>
      <c r="F193" s="31"/>
      <c r="G193" s="33"/>
      <c r="H193" s="94"/>
      <c r="I193" s="32" t="str">
        <f>IF($A193="","",VLOOKUP($H193,APOIO!$L:$M,2,FALSE))</f>
        <v/>
      </c>
      <c r="J193" s="31"/>
      <c r="K193" s="32" t="str">
        <f>IF($A193="","",VLOOKUP($J193,APOIO!$H:$J,2,FALSE))</f>
        <v/>
      </c>
      <c r="L193" s="32" t="str">
        <f>IF($A193="","",VLOOKUP($J193,APOIO!$H:$J,3,FALSE))</f>
        <v/>
      </c>
      <c r="M193" s="31"/>
      <c r="N193" s="34"/>
      <c r="O193" s="32"/>
      <c r="P193" s="32"/>
      <c r="Q193" s="32"/>
      <c r="R193" s="32"/>
      <c r="S193" s="35"/>
      <c r="T193" s="91"/>
      <c r="U193" s="60"/>
      <c r="V193" s="36"/>
      <c r="W193" s="31"/>
      <c r="X193" s="59"/>
      <c r="Y193" s="59" t="str">
        <f>IFERROR(VLOOKUP($A193,APOIO!$A:$A,1,FALSE),"ERRO")</f>
        <v>ERRO</v>
      </c>
      <c r="Z193"/>
    </row>
    <row r="194" spans="1:26" ht="15" x14ac:dyDescent="0.25">
      <c r="A194" s="94"/>
      <c r="B194" s="32" t="str">
        <f>IF($A194="","",VLOOKUP($A194,APOIO!$A:$E,2,FALSE))</f>
        <v/>
      </c>
      <c r="C194" s="94"/>
      <c r="D194" s="32" t="str">
        <f>IF($A194="","",INDEX(APOIO!$D:$D,MATCH(CONCATENATE($A194,"_",$B194,"_",$C194),APOIO!$F:$F,0)))</f>
        <v/>
      </c>
      <c r="E194" s="31"/>
      <c r="F194" s="31"/>
      <c r="G194" s="33"/>
      <c r="H194" s="94"/>
      <c r="I194" s="32" t="str">
        <f>IF($A194="","",VLOOKUP($H194,APOIO!$L:$M,2,FALSE))</f>
        <v/>
      </c>
      <c r="J194" s="31"/>
      <c r="K194" s="32" t="str">
        <f>IF($A194="","",VLOOKUP($J194,APOIO!$H:$J,2,FALSE))</f>
        <v/>
      </c>
      <c r="L194" s="32" t="str">
        <f>IF($A194="","",VLOOKUP($J194,APOIO!$H:$J,3,FALSE))</f>
        <v/>
      </c>
      <c r="M194" s="31"/>
      <c r="N194" s="34"/>
      <c r="O194" s="32"/>
      <c r="P194" s="32"/>
      <c r="Q194" s="32"/>
      <c r="R194" s="32"/>
      <c r="S194" s="35"/>
      <c r="T194" s="91"/>
      <c r="U194" s="60"/>
      <c r="V194" s="36"/>
      <c r="W194" s="31"/>
      <c r="X194" s="59"/>
      <c r="Y194" s="59" t="str">
        <f>IFERROR(VLOOKUP($A194,APOIO!$A:$A,1,FALSE),"ERRO")</f>
        <v>ERRO</v>
      </c>
      <c r="Z194"/>
    </row>
    <row r="195" spans="1:26" ht="15" x14ac:dyDescent="0.25">
      <c r="A195" s="94"/>
      <c r="B195" s="32" t="str">
        <f>IF($A195="","",VLOOKUP($A195,APOIO!$A:$E,2,FALSE))</f>
        <v/>
      </c>
      <c r="C195" s="94"/>
      <c r="D195" s="32" t="str">
        <f>IF($A195="","",INDEX(APOIO!$D:$D,MATCH(CONCATENATE($A195,"_",$B195,"_",$C195),APOIO!$F:$F,0)))</f>
        <v/>
      </c>
      <c r="E195" s="31"/>
      <c r="F195" s="31"/>
      <c r="G195" s="33"/>
      <c r="H195" s="94"/>
      <c r="I195" s="32" t="str">
        <f>IF($A195="","",VLOOKUP($H195,APOIO!$L:$M,2,FALSE))</f>
        <v/>
      </c>
      <c r="J195" s="31"/>
      <c r="K195" s="32" t="str">
        <f>IF($A195="","",VLOOKUP($J195,APOIO!$H:$J,2,FALSE))</f>
        <v/>
      </c>
      <c r="L195" s="32" t="str">
        <f>IF($A195="","",VLOOKUP($J195,APOIO!$H:$J,3,FALSE))</f>
        <v/>
      </c>
      <c r="M195" s="31"/>
      <c r="N195" s="34"/>
      <c r="O195" s="32"/>
      <c r="P195" s="32"/>
      <c r="Q195" s="32"/>
      <c r="R195" s="32"/>
      <c r="S195" s="35"/>
      <c r="T195" s="91"/>
      <c r="U195" s="60"/>
      <c r="V195" s="36"/>
      <c r="W195" s="31"/>
      <c r="X195" s="59"/>
      <c r="Y195" s="59" t="str">
        <f>IFERROR(VLOOKUP($A195,APOIO!$A:$A,1,FALSE),"ERRO")</f>
        <v>ERRO</v>
      </c>
      <c r="Z195"/>
    </row>
    <row r="196" spans="1:26" ht="15" x14ac:dyDescent="0.25">
      <c r="A196" s="94"/>
      <c r="B196" s="32" t="str">
        <f>IF($A196="","",VLOOKUP($A196,APOIO!$A:$E,2,FALSE))</f>
        <v/>
      </c>
      <c r="C196" s="94"/>
      <c r="D196" s="32" t="str">
        <f>IF($A196="","",INDEX(APOIO!$D:$D,MATCH(CONCATENATE($A196,"_",$B196,"_",$C196),APOIO!$F:$F,0)))</f>
        <v/>
      </c>
      <c r="E196" s="31"/>
      <c r="F196" s="31"/>
      <c r="G196" s="33"/>
      <c r="H196" s="94"/>
      <c r="I196" s="32" t="str">
        <f>IF($A196="","",VLOOKUP($H196,APOIO!$L:$M,2,FALSE))</f>
        <v/>
      </c>
      <c r="J196" s="31"/>
      <c r="K196" s="32" t="str">
        <f>IF($A196="","",VLOOKUP($J196,APOIO!$H:$J,2,FALSE))</f>
        <v/>
      </c>
      <c r="L196" s="32" t="str">
        <f>IF($A196="","",VLOOKUP($J196,APOIO!$H:$J,3,FALSE))</f>
        <v/>
      </c>
      <c r="M196" s="31"/>
      <c r="N196" s="34"/>
      <c r="O196" s="32"/>
      <c r="P196" s="32"/>
      <c r="Q196" s="32"/>
      <c r="R196" s="32"/>
      <c r="S196" s="35"/>
      <c r="T196" s="91"/>
      <c r="U196" s="60"/>
      <c r="V196" s="36"/>
      <c r="W196" s="31"/>
      <c r="X196" s="59"/>
      <c r="Y196" s="59" t="str">
        <f>IFERROR(VLOOKUP($A196,APOIO!$A:$A,1,FALSE),"ERRO")</f>
        <v>ERRO</v>
      </c>
      <c r="Z196"/>
    </row>
    <row r="197" spans="1:26" ht="15" x14ac:dyDescent="0.25">
      <c r="A197" s="94"/>
      <c r="B197" s="32" t="str">
        <f>IF($A197="","",VLOOKUP($A197,APOIO!$A:$E,2,FALSE))</f>
        <v/>
      </c>
      <c r="C197" s="94"/>
      <c r="D197" s="32" t="str">
        <f>IF($A197="","",INDEX(APOIO!$D:$D,MATCH(CONCATENATE($A197,"_",$B197,"_",$C197),APOIO!$F:$F,0)))</f>
        <v/>
      </c>
      <c r="E197" s="31"/>
      <c r="F197" s="31"/>
      <c r="G197" s="33"/>
      <c r="H197" s="94"/>
      <c r="I197" s="32" t="str">
        <f>IF($A197="","",VLOOKUP($H197,APOIO!$L:$M,2,FALSE))</f>
        <v/>
      </c>
      <c r="J197" s="31"/>
      <c r="K197" s="32" t="str">
        <f>IF($A197="","",VLOOKUP($J197,APOIO!$H:$J,2,FALSE))</f>
        <v/>
      </c>
      <c r="L197" s="32" t="str">
        <f>IF($A197="","",VLOOKUP($J197,APOIO!$H:$J,3,FALSE))</f>
        <v/>
      </c>
      <c r="M197" s="31"/>
      <c r="N197" s="34"/>
      <c r="O197" s="32"/>
      <c r="P197" s="32"/>
      <c r="Q197" s="32"/>
      <c r="R197" s="32"/>
      <c r="S197" s="35"/>
      <c r="T197" s="91"/>
      <c r="U197" s="60"/>
      <c r="V197" s="36"/>
      <c r="W197" s="31"/>
      <c r="X197" s="59"/>
      <c r="Y197" s="59" t="str">
        <f>IFERROR(VLOOKUP($A197,APOIO!$A:$A,1,FALSE),"ERRO")</f>
        <v>ERRO</v>
      </c>
      <c r="Z197"/>
    </row>
    <row r="198" spans="1:26" ht="15" x14ac:dyDescent="0.25">
      <c r="A198" s="94"/>
      <c r="B198" s="32" t="str">
        <f>IF($A198="","",VLOOKUP($A198,APOIO!$A:$E,2,FALSE))</f>
        <v/>
      </c>
      <c r="C198" s="94"/>
      <c r="D198" s="32" t="str">
        <f>IF($A198="","",INDEX(APOIO!$D:$D,MATCH(CONCATENATE($A198,"_",$B198,"_",$C198),APOIO!$F:$F,0)))</f>
        <v/>
      </c>
      <c r="E198" s="31"/>
      <c r="F198" s="31"/>
      <c r="G198" s="33"/>
      <c r="H198" s="94"/>
      <c r="I198" s="32" t="str">
        <f>IF($A198="","",VLOOKUP($H198,APOIO!$L:$M,2,FALSE))</f>
        <v/>
      </c>
      <c r="J198" s="31"/>
      <c r="K198" s="32" t="str">
        <f>IF($A198="","",VLOOKUP($J198,APOIO!$H:$J,2,FALSE))</f>
        <v/>
      </c>
      <c r="L198" s="32" t="str">
        <f>IF($A198="","",VLOOKUP($J198,APOIO!$H:$J,3,FALSE))</f>
        <v/>
      </c>
      <c r="M198" s="31"/>
      <c r="N198" s="34"/>
      <c r="O198" s="32"/>
      <c r="P198" s="32"/>
      <c r="Q198" s="32"/>
      <c r="R198" s="32"/>
      <c r="S198" s="35"/>
      <c r="T198" s="91"/>
      <c r="U198" s="60"/>
      <c r="V198" s="36"/>
      <c r="W198" s="31"/>
      <c r="X198" s="59"/>
      <c r="Y198" s="59" t="str">
        <f>IFERROR(VLOOKUP($A198,APOIO!$A:$A,1,FALSE),"ERRO")</f>
        <v>ERRO</v>
      </c>
      <c r="Z198"/>
    </row>
    <row r="199" spans="1:26" ht="15" x14ac:dyDescent="0.25">
      <c r="A199" s="94"/>
      <c r="B199" s="32" t="str">
        <f>IF($A199="","",VLOOKUP($A199,APOIO!$A:$E,2,FALSE))</f>
        <v/>
      </c>
      <c r="C199" s="94"/>
      <c r="D199" s="32" t="str">
        <f>IF($A199="","",INDEX(APOIO!$D:$D,MATCH(CONCATENATE($A199,"_",$B199,"_",$C199),APOIO!$F:$F,0)))</f>
        <v/>
      </c>
      <c r="E199" s="31"/>
      <c r="F199" s="31"/>
      <c r="G199" s="33"/>
      <c r="H199" s="94"/>
      <c r="I199" s="32" t="str">
        <f>IF($A199="","",VLOOKUP($H199,APOIO!$L:$M,2,FALSE))</f>
        <v/>
      </c>
      <c r="J199" s="31"/>
      <c r="K199" s="32" t="str">
        <f>IF($A199="","",VLOOKUP($J199,APOIO!$H:$J,2,FALSE))</f>
        <v/>
      </c>
      <c r="L199" s="32" t="str">
        <f>IF($A199="","",VLOOKUP($J199,APOIO!$H:$J,3,FALSE))</f>
        <v/>
      </c>
      <c r="M199" s="31"/>
      <c r="N199" s="34"/>
      <c r="O199" s="32"/>
      <c r="P199" s="32"/>
      <c r="Q199" s="32"/>
      <c r="R199" s="32"/>
      <c r="S199" s="35"/>
      <c r="T199" s="91"/>
      <c r="U199" s="60"/>
      <c r="V199" s="36"/>
      <c r="W199" s="31"/>
      <c r="X199" s="59"/>
      <c r="Y199" s="59" t="str">
        <f>IFERROR(VLOOKUP($A199,APOIO!$A:$A,1,FALSE),"ERRO")</f>
        <v>ERRO</v>
      </c>
      <c r="Z199"/>
    </row>
    <row r="200" spans="1:26" ht="15" x14ac:dyDescent="0.25">
      <c r="A200" s="94"/>
      <c r="B200" s="32" t="str">
        <f>IF($A200="","",VLOOKUP($A200,APOIO!$A:$E,2,FALSE))</f>
        <v/>
      </c>
      <c r="C200" s="94"/>
      <c r="D200" s="32" t="str">
        <f>IF($A200="","",INDEX(APOIO!$D:$D,MATCH(CONCATENATE($A200,"_",$B200,"_",$C200),APOIO!$F:$F,0)))</f>
        <v/>
      </c>
      <c r="E200" s="31"/>
      <c r="F200" s="31"/>
      <c r="G200" s="33"/>
      <c r="H200" s="94"/>
      <c r="I200" s="32" t="str">
        <f>IF($A200="","",VLOOKUP($H200,APOIO!$L:$M,2,FALSE))</f>
        <v/>
      </c>
      <c r="J200" s="31"/>
      <c r="K200" s="32" t="str">
        <f>IF($A200="","",VLOOKUP($J200,APOIO!$H:$J,2,FALSE))</f>
        <v/>
      </c>
      <c r="L200" s="32" t="str">
        <f>IF($A200="","",VLOOKUP($J200,APOIO!$H:$J,3,FALSE))</f>
        <v/>
      </c>
      <c r="M200" s="31"/>
      <c r="N200" s="34"/>
      <c r="O200" s="32"/>
      <c r="P200" s="32"/>
      <c r="Q200" s="32"/>
      <c r="R200" s="32"/>
      <c r="S200" s="35"/>
      <c r="T200" s="91"/>
      <c r="U200" s="60"/>
      <c r="V200" s="36"/>
      <c r="W200" s="31"/>
      <c r="X200" s="59"/>
      <c r="Y200" s="59" t="str">
        <f>IFERROR(VLOOKUP($A200,APOIO!$A:$A,1,FALSE),"ERRO")</f>
        <v>ERRO</v>
      </c>
      <c r="Z200"/>
    </row>
    <row r="201" spans="1:26" ht="15" x14ac:dyDescent="0.25">
      <c r="A201" s="94"/>
      <c r="B201" s="32" t="str">
        <f>IF($A201="","",VLOOKUP($A201,APOIO!$A:$E,2,FALSE))</f>
        <v/>
      </c>
      <c r="C201" s="94"/>
      <c r="D201" s="32" t="str">
        <f>IF($A201="","",INDEX(APOIO!$D:$D,MATCH(CONCATENATE($A201,"_",$B201,"_",$C201),APOIO!$F:$F,0)))</f>
        <v/>
      </c>
      <c r="E201" s="31"/>
      <c r="F201" s="31"/>
      <c r="G201" s="33"/>
      <c r="H201" s="105"/>
      <c r="I201" s="32" t="str">
        <f>IF($A201="","",VLOOKUP($H201,APOIO!$L:$M,2,FALSE))</f>
        <v/>
      </c>
      <c r="J201" s="31"/>
      <c r="K201" s="32" t="str">
        <f>IF($A201="","",VLOOKUP($J201,APOIO!$H:$J,2,FALSE))</f>
        <v/>
      </c>
      <c r="L201" s="32" t="str">
        <f>IF($A201="","",VLOOKUP($J201,APOIO!$H:$J,3,FALSE))</f>
        <v/>
      </c>
      <c r="M201" s="31"/>
      <c r="N201" s="34"/>
      <c r="O201" s="32"/>
      <c r="P201" s="32"/>
      <c r="Q201" s="32"/>
      <c r="R201" s="32"/>
      <c r="S201" s="35"/>
      <c r="T201" s="91"/>
      <c r="U201" s="60"/>
      <c r="V201" s="36"/>
      <c r="W201" s="31"/>
      <c r="X201" s="59"/>
      <c r="Y201" s="59" t="str">
        <f>IFERROR(VLOOKUP($A201,APOIO!$A:$A,1,FALSE),"ERRO")</f>
        <v>ERRO</v>
      </c>
      <c r="Z201"/>
    </row>
    <row r="202" spans="1:26" ht="15" x14ac:dyDescent="0.25">
      <c r="A202" s="94"/>
      <c r="B202" s="32" t="str">
        <f>IF($A202="","",VLOOKUP($A202,APOIO!$A:$E,2,FALSE))</f>
        <v/>
      </c>
      <c r="C202" s="94"/>
      <c r="D202" s="32" t="str">
        <f>IF($A202="","",INDEX(APOIO!$D:$D,MATCH(CONCATENATE($A202,"_",$B202,"_",$C202),APOIO!$F:$F,0)))</f>
        <v/>
      </c>
      <c r="E202" s="31"/>
      <c r="F202" s="31"/>
      <c r="G202" s="33"/>
      <c r="H202" s="105"/>
      <c r="I202" s="32" t="str">
        <f>IF($A202="","",VLOOKUP($H202,APOIO!$L:$M,2,FALSE))</f>
        <v/>
      </c>
      <c r="J202" s="31"/>
      <c r="K202" s="32" t="str">
        <f>IF($A202="","",VLOOKUP($J202,APOIO!$H:$J,2,FALSE))</f>
        <v/>
      </c>
      <c r="L202" s="32" t="str">
        <f>IF($A202="","",VLOOKUP($J202,APOIO!$H:$J,3,FALSE))</f>
        <v/>
      </c>
      <c r="M202" s="31"/>
      <c r="N202" s="34"/>
      <c r="O202" s="32"/>
      <c r="P202" s="32"/>
      <c r="Q202" s="32"/>
      <c r="R202" s="32"/>
      <c r="S202" s="35"/>
      <c r="T202" s="91"/>
      <c r="U202" s="60"/>
      <c r="V202" s="36"/>
      <c r="W202" s="31"/>
      <c r="X202" s="59"/>
      <c r="Y202" s="59" t="str">
        <f>IFERROR(VLOOKUP($A202,APOIO!$A:$A,1,FALSE),"ERRO")</f>
        <v>ERRO</v>
      </c>
      <c r="Z202"/>
    </row>
    <row r="203" spans="1:26" ht="15" x14ac:dyDescent="0.25">
      <c r="A203" s="94"/>
      <c r="B203" s="32" t="str">
        <f>IF($A203="","",VLOOKUP($A203,APOIO!$A:$E,2,FALSE))</f>
        <v/>
      </c>
      <c r="C203" s="94"/>
      <c r="D203" s="32" t="str">
        <f>IF($A203="","",INDEX(APOIO!$D:$D,MATCH(CONCATENATE($A203,"_",$B203,"_",$C203),APOIO!$F:$F,0)))</f>
        <v/>
      </c>
      <c r="E203" s="31"/>
      <c r="F203" s="31"/>
      <c r="G203" s="33"/>
      <c r="H203" s="105"/>
      <c r="I203" s="32" t="str">
        <f>IF($A203="","",VLOOKUP($H203,APOIO!$L:$M,2,FALSE))</f>
        <v/>
      </c>
      <c r="J203" s="31"/>
      <c r="K203" s="32" t="str">
        <f>IF($A203="","",VLOOKUP($J203,APOIO!$H:$J,2,FALSE))</f>
        <v/>
      </c>
      <c r="L203" s="32" t="str">
        <f>IF($A203="","",VLOOKUP($J203,APOIO!$H:$J,3,FALSE))</f>
        <v/>
      </c>
      <c r="M203" s="31"/>
      <c r="N203" s="34"/>
      <c r="O203" s="32"/>
      <c r="P203" s="32"/>
      <c r="Q203" s="32"/>
      <c r="R203" s="32"/>
      <c r="S203" s="35"/>
      <c r="T203" s="91"/>
      <c r="U203" s="60"/>
      <c r="V203" s="36"/>
      <c r="W203" s="31"/>
      <c r="X203" s="59"/>
      <c r="Y203" s="59" t="str">
        <f>IFERROR(VLOOKUP($A203,APOIO!$A:$A,1,FALSE),"ERRO")</f>
        <v>ERRO</v>
      </c>
      <c r="Z203"/>
    </row>
    <row r="204" spans="1:26" ht="15" x14ac:dyDescent="0.25">
      <c r="A204" s="94"/>
      <c r="B204" s="32" t="str">
        <f>IF($A204="","",VLOOKUP($A204,APOIO!$A:$E,2,FALSE))</f>
        <v/>
      </c>
      <c r="C204" s="94"/>
      <c r="D204" s="32" t="str">
        <f>IF($A204="","",INDEX(APOIO!$D:$D,MATCH(CONCATENATE($A204,"_",$B204,"_",$C204),APOIO!$F:$F,0)))</f>
        <v/>
      </c>
      <c r="E204" s="31"/>
      <c r="F204" s="31"/>
      <c r="G204" s="33"/>
      <c r="H204" s="105"/>
      <c r="I204" s="32" t="str">
        <f>IF($A204="","",VLOOKUP($H204,APOIO!$L:$M,2,FALSE))</f>
        <v/>
      </c>
      <c r="J204" s="31"/>
      <c r="K204" s="32" t="str">
        <f>IF($A204="","",VLOOKUP($J204,APOIO!$H:$J,2,FALSE))</f>
        <v/>
      </c>
      <c r="L204" s="32" t="str">
        <f>IF($A204="","",VLOOKUP($J204,APOIO!$H:$J,3,FALSE))</f>
        <v/>
      </c>
      <c r="M204" s="31"/>
      <c r="N204" s="34"/>
      <c r="O204" s="32"/>
      <c r="P204" s="32"/>
      <c r="Q204" s="32"/>
      <c r="R204" s="32"/>
      <c r="S204" s="35"/>
      <c r="T204" s="91"/>
      <c r="U204" s="60"/>
      <c r="V204" s="36"/>
      <c r="W204" s="31"/>
      <c r="X204" s="59"/>
      <c r="Y204" s="59" t="str">
        <f>IFERROR(VLOOKUP($A204,APOIO!$A:$A,1,FALSE),"ERRO")</f>
        <v>ERRO</v>
      </c>
      <c r="Z204"/>
    </row>
    <row r="205" spans="1:26" ht="15" x14ac:dyDescent="0.25">
      <c r="A205" s="94"/>
      <c r="B205" s="32" t="str">
        <f>IF($A205="","",VLOOKUP($A205,APOIO!$A:$E,2,FALSE))</f>
        <v/>
      </c>
      <c r="C205" s="94"/>
      <c r="D205" s="32" t="str">
        <f>IF($A205="","",INDEX(APOIO!$D:$D,MATCH(CONCATENATE($A205,"_",$B205,"_",$C205),APOIO!$F:$F,0)))</f>
        <v/>
      </c>
      <c r="E205" s="31"/>
      <c r="F205" s="31"/>
      <c r="G205" s="33"/>
      <c r="H205" s="105"/>
      <c r="I205" s="32" t="str">
        <f>IF($A205="","",VLOOKUP($H205,APOIO!$L:$M,2,FALSE))</f>
        <v/>
      </c>
      <c r="J205" s="31"/>
      <c r="K205" s="32" t="str">
        <f>IF($A205="","",VLOOKUP($J205,APOIO!$H:$J,2,FALSE))</f>
        <v/>
      </c>
      <c r="L205" s="32" t="str">
        <f>IF($A205="","",VLOOKUP($J205,APOIO!$H:$J,3,FALSE))</f>
        <v/>
      </c>
      <c r="M205" s="31"/>
      <c r="N205" s="34"/>
      <c r="O205" s="32"/>
      <c r="P205" s="32"/>
      <c r="Q205" s="32"/>
      <c r="R205" s="32"/>
      <c r="S205" s="35"/>
      <c r="T205" s="91"/>
      <c r="U205" s="60"/>
      <c r="V205" s="36"/>
      <c r="W205" s="31"/>
      <c r="X205" s="59"/>
      <c r="Y205" s="59" t="str">
        <f>IFERROR(VLOOKUP($A205,APOIO!$A:$A,1,FALSE),"ERRO")</f>
        <v>ERRO</v>
      </c>
      <c r="Z205"/>
    </row>
    <row r="206" spans="1:26" ht="15" x14ac:dyDescent="0.25">
      <c r="A206" s="94"/>
      <c r="B206" s="32" t="str">
        <f>IF($A206="","",VLOOKUP($A206,APOIO!$A:$E,2,FALSE))</f>
        <v/>
      </c>
      <c r="C206" s="94"/>
      <c r="D206" s="32" t="str">
        <f>IF($A206="","",INDEX(APOIO!$D:$D,MATCH(CONCATENATE($A206,"_",$B206,"_",$C206),APOIO!$F:$F,0)))</f>
        <v/>
      </c>
      <c r="E206" s="31"/>
      <c r="F206" s="31"/>
      <c r="G206" s="33"/>
      <c r="H206" s="105"/>
      <c r="I206" s="32" t="str">
        <f>IF($A206="","",VLOOKUP($H206,APOIO!$L:$M,2,FALSE))</f>
        <v/>
      </c>
      <c r="J206" s="31"/>
      <c r="K206" s="32" t="str">
        <f>IF($A206="","",VLOOKUP($J206,APOIO!$H:$J,2,FALSE))</f>
        <v/>
      </c>
      <c r="L206" s="32" t="str">
        <f>IF($A206="","",VLOOKUP($J206,APOIO!$H:$J,3,FALSE))</f>
        <v/>
      </c>
      <c r="M206" s="31"/>
      <c r="N206" s="34"/>
      <c r="O206" s="32"/>
      <c r="P206" s="32"/>
      <c r="Q206" s="32"/>
      <c r="R206" s="32"/>
      <c r="S206" s="35"/>
      <c r="T206" s="91"/>
      <c r="U206" s="60"/>
      <c r="V206" s="36"/>
      <c r="W206" s="31"/>
      <c r="X206" s="59"/>
      <c r="Y206" s="59" t="str">
        <f>IFERROR(VLOOKUP($A206,APOIO!$A:$A,1,FALSE),"ERRO")</f>
        <v>ERRO</v>
      </c>
      <c r="Z206"/>
    </row>
    <row r="207" spans="1:26" ht="15" x14ac:dyDescent="0.25">
      <c r="A207" s="94"/>
      <c r="B207" s="32" t="str">
        <f>IF($A207="","",VLOOKUP($A207,APOIO!$A:$E,2,FALSE))</f>
        <v/>
      </c>
      <c r="C207" s="94"/>
      <c r="D207" s="32" t="str">
        <f>IF($A207="","",INDEX(APOIO!$D:$D,MATCH(CONCATENATE($A207,"_",$B207,"_",$C207),APOIO!$F:$F,0)))</f>
        <v/>
      </c>
      <c r="E207" s="31"/>
      <c r="F207" s="31"/>
      <c r="G207" s="33"/>
      <c r="H207" s="105"/>
      <c r="I207" s="32" t="str">
        <f>IF($A207="","",VLOOKUP($H207,APOIO!$L:$M,2,FALSE))</f>
        <v/>
      </c>
      <c r="J207" s="31"/>
      <c r="K207" s="32" t="str">
        <f>IF($A207="","",VLOOKUP($J207,APOIO!$H:$J,2,FALSE))</f>
        <v/>
      </c>
      <c r="L207" s="32" t="str">
        <f>IF($A207="","",VLOOKUP($J207,APOIO!$H:$J,3,FALSE))</f>
        <v/>
      </c>
      <c r="M207" s="31"/>
      <c r="N207" s="34"/>
      <c r="O207" s="32"/>
      <c r="P207" s="32"/>
      <c r="Q207" s="32"/>
      <c r="R207" s="32"/>
      <c r="S207" s="35"/>
      <c r="T207" s="91"/>
      <c r="U207" s="60"/>
      <c r="V207" s="36"/>
      <c r="W207" s="31"/>
      <c r="X207" s="59"/>
      <c r="Y207" s="59" t="str">
        <f>IFERROR(VLOOKUP($A207,APOIO!$A:$A,1,FALSE),"ERRO")</f>
        <v>ERRO</v>
      </c>
      <c r="Z207"/>
    </row>
    <row r="208" spans="1:26" ht="15" x14ac:dyDescent="0.25">
      <c r="A208" s="94"/>
      <c r="B208" s="32" t="str">
        <f>IF($A208="","",VLOOKUP($A208,APOIO!$A:$E,2,FALSE))</f>
        <v/>
      </c>
      <c r="C208" s="94"/>
      <c r="D208" s="32" t="str">
        <f>IF($A208="","",INDEX(APOIO!$D:$D,MATCH(CONCATENATE($A208,"_",$B208,"_",$C208),APOIO!$F:$F,0)))</f>
        <v/>
      </c>
      <c r="E208" s="31"/>
      <c r="F208" s="31"/>
      <c r="G208" s="33"/>
      <c r="H208" s="105"/>
      <c r="I208" s="32" t="str">
        <f>IF($A208="","",VLOOKUP($H208,APOIO!$L:$M,2,FALSE))</f>
        <v/>
      </c>
      <c r="J208" s="31"/>
      <c r="K208" s="32" t="str">
        <f>IF($A208="","",VLOOKUP($J208,APOIO!$H:$J,2,FALSE))</f>
        <v/>
      </c>
      <c r="L208" s="32" t="str">
        <f>IF($A208="","",VLOOKUP($J208,APOIO!$H:$J,3,FALSE))</f>
        <v/>
      </c>
      <c r="M208" s="31"/>
      <c r="N208" s="34"/>
      <c r="O208" s="32"/>
      <c r="P208" s="32"/>
      <c r="Q208" s="32"/>
      <c r="R208" s="32"/>
      <c r="S208" s="35"/>
      <c r="T208" s="91"/>
      <c r="U208" s="60"/>
      <c r="V208" s="36"/>
      <c r="W208" s="31"/>
      <c r="X208" s="59"/>
      <c r="Y208" s="59" t="str">
        <f>IFERROR(VLOOKUP($A208,APOIO!$A:$A,1,FALSE),"ERRO")</f>
        <v>ERRO</v>
      </c>
      <c r="Z208"/>
    </row>
    <row r="209" spans="1:26" ht="15" x14ac:dyDescent="0.25">
      <c r="A209" s="94"/>
      <c r="B209" s="32" t="str">
        <f>IF($A209="","",VLOOKUP($A209,APOIO!$A:$E,2,FALSE))</f>
        <v/>
      </c>
      <c r="C209" s="94"/>
      <c r="D209" s="32" t="str">
        <f>IF($A209="","",INDEX(APOIO!$D:$D,MATCH(CONCATENATE($A209,"_",$B209,"_",$C209),APOIO!$F:$F,0)))</f>
        <v/>
      </c>
      <c r="E209" s="31"/>
      <c r="F209" s="31"/>
      <c r="G209" s="33"/>
      <c r="H209" s="105"/>
      <c r="I209" s="32" t="str">
        <f>IF($A209="","",VLOOKUP($H209,APOIO!$L:$M,2,FALSE))</f>
        <v/>
      </c>
      <c r="J209" s="31"/>
      <c r="K209" s="32" t="str">
        <f>IF($A209="","",VLOOKUP($J209,APOIO!$H:$J,2,FALSE))</f>
        <v/>
      </c>
      <c r="L209" s="32" t="str">
        <f>IF($A209="","",VLOOKUP($J209,APOIO!$H:$J,3,FALSE))</f>
        <v/>
      </c>
      <c r="M209" s="31"/>
      <c r="N209" s="34"/>
      <c r="O209" s="32"/>
      <c r="P209" s="32"/>
      <c r="Q209" s="32"/>
      <c r="R209" s="32"/>
      <c r="S209" s="35"/>
      <c r="T209" s="91"/>
      <c r="U209" s="60"/>
      <c r="V209" s="36"/>
      <c r="W209" s="31"/>
      <c r="X209" s="59"/>
      <c r="Y209" s="59" t="str">
        <f>IFERROR(VLOOKUP($A209,APOIO!$A:$A,1,FALSE),"ERRO")</f>
        <v>ERRO</v>
      </c>
      <c r="Z209"/>
    </row>
    <row r="210" spans="1:26" ht="15" x14ac:dyDescent="0.25">
      <c r="A210" s="94"/>
      <c r="B210" s="32" t="str">
        <f>IF($A210="","",VLOOKUP($A210,APOIO!$A:$E,2,FALSE))</f>
        <v/>
      </c>
      <c r="C210" s="94"/>
      <c r="D210" s="32" t="str">
        <f>IF($A210="","",INDEX(APOIO!$D:$D,MATCH(CONCATENATE($A210,"_",$B210,"_",$C210),APOIO!$F:$F,0)))</f>
        <v/>
      </c>
      <c r="E210" s="31"/>
      <c r="F210" s="31"/>
      <c r="G210" s="33"/>
      <c r="H210" s="105"/>
      <c r="I210" s="32" t="str">
        <f>IF($A210="","",VLOOKUP($H210,APOIO!$L:$M,2,FALSE))</f>
        <v/>
      </c>
      <c r="J210" s="31"/>
      <c r="K210" s="32" t="str">
        <f>IF($A210="","",VLOOKUP($J210,APOIO!$H:$J,2,FALSE))</f>
        <v/>
      </c>
      <c r="L210" s="32" t="str">
        <f>IF($A210="","",VLOOKUP($J210,APOIO!$H:$J,3,FALSE))</f>
        <v/>
      </c>
      <c r="M210" s="31"/>
      <c r="N210" s="34"/>
      <c r="O210" s="32"/>
      <c r="P210" s="32"/>
      <c r="Q210" s="32"/>
      <c r="R210" s="32"/>
      <c r="S210" s="35"/>
      <c r="T210" s="91"/>
      <c r="U210" s="60"/>
      <c r="V210" s="36"/>
      <c r="W210" s="31"/>
      <c r="X210" s="59"/>
      <c r="Y210" s="59" t="str">
        <f>IFERROR(VLOOKUP($A210,APOIO!$A:$A,1,FALSE),"ERRO")</f>
        <v>ERRO</v>
      </c>
      <c r="Z210"/>
    </row>
    <row r="211" spans="1:26" ht="15" x14ac:dyDescent="0.25">
      <c r="A211" s="94"/>
      <c r="B211" s="32" t="str">
        <f>IF($A211="","",VLOOKUP($A211,APOIO!$A:$E,2,FALSE))</f>
        <v/>
      </c>
      <c r="C211" s="94"/>
      <c r="D211" s="32" t="str">
        <f>IF($A211="","",INDEX(APOIO!$D:$D,MATCH(CONCATENATE($A211,"_",$B211,"_",$C211),APOIO!$F:$F,0)))</f>
        <v/>
      </c>
      <c r="E211" s="31"/>
      <c r="F211" s="31"/>
      <c r="G211" s="33"/>
      <c r="H211" s="105"/>
      <c r="I211" s="32" t="str">
        <f>IF($A211="","",VLOOKUP($H211,APOIO!$L:$M,2,FALSE))</f>
        <v/>
      </c>
      <c r="J211" s="31"/>
      <c r="K211" s="32" t="str">
        <f>IF($A211="","",VLOOKUP($J211,APOIO!$H:$J,2,FALSE))</f>
        <v/>
      </c>
      <c r="L211" s="32" t="str">
        <f>IF($A211="","",VLOOKUP($J211,APOIO!$H:$J,3,FALSE))</f>
        <v/>
      </c>
      <c r="M211" s="31"/>
      <c r="N211" s="34"/>
      <c r="O211" s="32"/>
      <c r="P211" s="32"/>
      <c r="Q211" s="32"/>
      <c r="R211" s="32"/>
      <c r="S211" s="35"/>
      <c r="T211" s="91"/>
      <c r="U211" s="60"/>
      <c r="V211" s="36"/>
      <c r="W211" s="31"/>
      <c r="X211" s="59"/>
      <c r="Y211" s="59" t="str">
        <f>IFERROR(VLOOKUP($A211,APOIO!$A:$A,1,FALSE),"ERRO")</f>
        <v>ERRO</v>
      </c>
      <c r="Z211"/>
    </row>
    <row r="212" spans="1:26" ht="15" x14ac:dyDescent="0.25">
      <c r="A212" s="94"/>
      <c r="B212" s="32" t="str">
        <f>IF($A212="","",VLOOKUP($A212,APOIO!$A:$E,2,FALSE))</f>
        <v/>
      </c>
      <c r="C212" s="94"/>
      <c r="D212" s="32" t="str">
        <f>IF($A212="","",INDEX(APOIO!$D:$D,MATCH(CONCATENATE($A212,"_",$B212,"_",$C212),APOIO!$F:$F,0)))</f>
        <v/>
      </c>
      <c r="E212" s="31"/>
      <c r="F212" s="31"/>
      <c r="G212" s="33"/>
      <c r="H212" s="105"/>
      <c r="I212" s="32" t="str">
        <f>IF($A212="","",VLOOKUP($H212,APOIO!$L:$M,2,FALSE))</f>
        <v/>
      </c>
      <c r="J212" s="31"/>
      <c r="K212" s="32" t="str">
        <f>IF($A212="","",VLOOKUP($J212,APOIO!$H:$J,2,FALSE))</f>
        <v/>
      </c>
      <c r="L212" s="32" t="str">
        <f>IF($A212="","",VLOOKUP($J212,APOIO!$H:$J,3,FALSE))</f>
        <v/>
      </c>
      <c r="M212" s="31"/>
      <c r="N212" s="34"/>
      <c r="O212" s="32"/>
      <c r="P212" s="32"/>
      <c r="Q212" s="32"/>
      <c r="R212" s="32"/>
      <c r="S212" s="35"/>
      <c r="T212" s="91"/>
      <c r="U212" s="60"/>
      <c r="V212" s="36"/>
      <c r="W212" s="31"/>
      <c r="X212" s="59"/>
      <c r="Y212" s="59" t="str">
        <f>IFERROR(VLOOKUP($A212,APOIO!$A:$A,1,FALSE),"ERRO")</f>
        <v>ERRO</v>
      </c>
      <c r="Z212"/>
    </row>
    <row r="213" spans="1:26" ht="15" x14ac:dyDescent="0.25">
      <c r="A213" s="94"/>
      <c r="B213" s="32" t="str">
        <f>IF($A213="","",VLOOKUP($A213,APOIO!$A:$E,2,FALSE))</f>
        <v/>
      </c>
      <c r="C213" s="94"/>
      <c r="D213" s="32" t="str">
        <f>IF($A213="","",INDEX(APOIO!$D:$D,MATCH(CONCATENATE($A213,"_",$B213,"_",$C213),APOIO!$F:$F,0)))</f>
        <v/>
      </c>
      <c r="E213" s="31"/>
      <c r="F213" s="31"/>
      <c r="G213" s="33"/>
      <c r="H213" s="105"/>
      <c r="I213" s="32" t="str">
        <f>IF($A213="","",VLOOKUP($H213,APOIO!$L:$M,2,FALSE))</f>
        <v/>
      </c>
      <c r="J213" s="31"/>
      <c r="K213" s="32" t="str">
        <f>IF($A213="","",VLOOKUP($J213,APOIO!$H:$J,2,FALSE))</f>
        <v/>
      </c>
      <c r="L213" s="32" t="str">
        <f>IF($A213="","",VLOOKUP($J213,APOIO!$H:$J,3,FALSE))</f>
        <v/>
      </c>
      <c r="M213" s="31"/>
      <c r="N213" s="34"/>
      <c r="O213" s="32"/>
      <c r="P213" s="32"/>
      <c r="Q213" s="32"/>
      <c r="R213" s="32"/>
      <c r="S213" s="35"/>
      <c r="T213" s="91"/>
      <c r="U213" s="60"/>
      <c r="V213" s="36"/>
      <c r="W213" s="31"/>
      <c r="X213" s="59"/>
      <c r="Y213" s="59" t="str">
        <f>IFERROR(VLOOKUP($A213,APOIO!$A:$A,1,FALSE),"ERRO")</f>
        <v>ERRO</v>
      </c>
      <c r="Z213"/>
    </row>
    <row r="214" spans="1:26" ht="15" x14ac:dyDescent="0.25">
      <c r="A214" s="94"/>
      <c r="B214" s="32" t="str">
        <f>IF($A214="","",VLOOKUP($A214,APOIO!$A:$E,2,FALSE))</f>
        <v/>
      </c>
      <c r="C214" s="94"/>
      <c r="D214" s="32" t="str">
        <f>IF($A214="","",INDEX(APOIO!$D:$D,MATCH(CONCATENATE($A214,"_",$B214,"_",$C214),APOIO!$F:$F,0)))</f>
        <v/>
      </c>
      <c r="E214" s="31"/>
      <c r="F214" s="31"/>
      <c r="G214" s="33"/>
      <c r="H214" s="105"/>
      <c r="I214" s="32" t="str">
        <f>IF($A214="","",VLOOKUP($H214,APOIO!$L:$M,2,FALSE))</f>
        <v/>
      </c>
      <c r="J214" s="31"/>
      <c r="K214" s="32" t="str">
        <f>IF($A214="","",VLOOKUP($J214,APOIO!$H:$J,2,FALSE))</f>
        <v/>
      </c>
      <c r="L214" s="32" t="str">
        <f>IF($A214="","",VLOOKUP($J214,APOIO!$H:$J,3,FALSE))</f>
        <v/>
      </c>
      <c r="M214" s="31"/>
      <c r="N214" s="34"/>
      <c r="O214" s="32"/>
      <c r="P214" s="32"/>
      <c r="Q214" s="32"/>
      <c r="R214" s="32"/>
      <c r="S214" s="35"/>
      <c r="T214" s="91"/>
      <c r="U214" s="60"/>
      <c r="V214" s="36"/>
      <c r="W214" s="31"/>
      <c r="X214" s="59"/>
      <c r="Y214" s="59" t="str">
        <f>IFERROR(VLOOKUP($A214,APOIO!$A:$A,1,FALSE),"ERRO")</f>
        <v>ERRO</v>
      </c>
      <c r="Z214"/>
    </row>
    <row r="215" spans="1:26" ht="15" x14ac:dyDescent="0.25">
      <c r="A215" s="94"/>
      <c r="B215" s="32" t="str">
        <f>IF($A215="","",VLOOKUP($A215,APOIO!$A:$E,2,FALSE))</f>
        <v/>
      </c>
      <c r="C215" s="94"/>
      <c r="D215" s="32" t="str">
        <f>IF($A215="","",INDEX(APOIO!$D:$D,MATCH(CONCATENATE($A215,"_",$B215,"_",$C215),APOIO!$F:$F,0)))</f>
        <v/>
      </c>
      <c r="E215" s="31"/>
      <c r="F215" s="31"/>
      <c r="G215" s="33"/>
      <c r="H215" s="105"/>
      <c r="I215" s="32" t="str">
        <f>IF($A215="","",VLOOKUP($H215,APOIO!$L:$M,2,FALSE))</f>
        <v/>
      </c>
      <c r="J215" s="31"/>
      <c r="K215" s="32" t="str">
        <f>IF($A215="","",VLOOKUP($J215,APOIO!$H:$J,2,FALSE))</f>
        <v/>
      </c>
      <c r="L215" s="32" t="str">
        <f>IF($A215="","",VLOOKUP($J215,APOIO!$H:$J,3,FALSE))</f>
        <v/>
      </c>
      <c r="M215" s="31"/>
      <c r="N215" s="34"/>
      <c r="O215" s="32"/>
      <c r="P215" s="32"/>
      <c r="Q215" s="32"/>
      <c r="R215" s="32"/>
      <c r="S215" s="35"/>
      <c r="T215" s="91"/>
      <c r="U215" s="60"/>
      <c r="V215" s="36"/>
      <c r="W215" s="31"/>
      <c r="X215" s="59"/>
      <c r="Y215" s="59" t="str">
        <f>IFERROR(VLOOKUP($A215,APOIO!$A:$A,1,FALSE),"ERRO")</f>
        <v>ERRO</v>
      </c>
      <c r="Z215"/>
    </row>
    <row r="216" spans="1:26" ht="15" x14ac:dyDescent="0.25">
      <c r="A216" s="94"/>
      <c r="B216" s="32" t="str">
        <f>IF($A216="","",VLOOKUP($A216,APOIO!$A:$E,2,FALSE))</f>
        <v/>
      </c>
      <c r="C216" s="94"/>
      <c r="D216" s="32" t="str">
        <f>IF($A216="","",INDEX(APOIO!$D:$D,MATCH(CONCATENATE($A216,"_",$B216,"_",$C216),APOIO!$F:$F,0)))</f>
        <v/>
      </c>
      <c r="E216" s="31"/>
      <c r="F216" s="31"/>
      <c r="G216" s="33"/>
      <c r="H216" s="105"/>
      <c r="I216" s="32" t="str">
        <f>IF($A216="","",VLOOKUP($H216,APOIO!$L:$M,2,FALSE))</f>
        <v/>
      </c>
      <c r="J216" s="31"/>
      <c r="K216" s="32" t="str">
        <f>IF($A216="","",VLOOKUP($J216,APOIO!$H:$J,2,FALSE))</f>
        <v/>
      </c>
      <c r="L216" s="32" t="str">
        <f>IF($A216="","",VLOOKUP($J216,APOIO!$H:$J,3,FALSE))</f>
        <v/>
      </c>
      <c r="M216" s="31"/>
      <c r="N216" s="34"/>
      <c r="O216" s="32"/>
      <c r="P216" s="32"/>
      <c r="Q216" s="32"/>
      <c r="R216" s="32"/>
      <c r="S216" s="35"/>
      <c r="T216" s="91"/>
      <c r="U216" s="60"/>
      <c r="V216" s="36"/>
      <c r="W216" s="31"/>
      <c r="X216" s="59"/>
      <c r="Y216" s="59" t="str">
        <f>IFERROR(VLOOKUP($A216,APOIO!$A:$A,1,FALSE),"ERRO")</f>
        <v>ERRO</v>
      </c>
      <c r="Z216"/>
    </row>
    <row r="217" spans="1:26" ht="15" x14ac:dyDescent="0.25">
      <c r="A217" s="94"/>
      <c r="B217" s="32" t="str">
        <f>IF($A217="","",VLOOKUP($A217,APOIO!$A:$E,2,FALSE))</f>
        <v/>
      </c>
      <c r="C217" s="94"/>
      <c r="D217" s="32" t="str">
        <f>IF($A217="","",INDEX(APOIO!$D:$D,MATCH(CONCATENATE($A217,"_",$B217,"_",$C217),APOIO!$F:$F,0)))</f>
        <v/>
      </c>
      <c r="E217" s="31"/>
      <c r="F217" s="31"/>
      <c r="G217" s="33"/>
      <c r="H217" s="105"/>
      <c r="I217" s="32" t="str">
        <f>IF($A217="","",VLOOKUP($H217,APOIO!$L:$M,2,FALSE))</f>
        <v/>
      </c>
      <c r="J217" s="31"/>
      <c r="K217" s="32" t="str">
        <f>IF($A217="","",VLOOKUP($J217,APOIO!$H:$J,2,FALSE))</f>
        <v/>
      </c>
      <c r="L217" s="32" t="str">
        <f>IF($A217="","",VLOOKUP($J217,APOIO!$H:$J,3,FALSE))</f>
        <v/>
      </c>
      <c r="M217" s="31"/>
      <c r="N217" s="34"/>
      <c r="O217" s="32"/>
      <c r="P217" s="32"/>
      <c r="Q217" s="32"/>
      <c r="R217" s="32"/>
      <c r="S217" s="35"/>
      <c r="T217" s="91"/>
      <c r="U217" s="60"/>
      <c r="V217" s="36"/>
      <c r="W217" s="31"/>
      <c r="X217" s="59"/>
      <c r="Y217" s="59" t="str">
        <f>IFERROR(VLOOKUP($A217,APOIO!$A:$A,1,FALSE),"ERRO")</f>
        <v>ERRO</v>
      </c>
      <c r="Z217"/>
    </row>
    <row r="218" spans="1:26" ht="15" x14ac:dyDescent="0.25">
      <c r="A218" s="94"/>
      <c r="B218" s="32" t="str">
        <f>IF($A218="","",VLOOKUP($A218,APOIO!$A:$E,2,FALSE))</f>
        <v/>
      </c>
      <c r="C218" s="94"/>
      <c r="D218" s="32" t="str">
        <f>IF($A218="","",INDEX(APOIO!$D:$D,MATCH(CONCATENATE($A218,"_",$B218,"_",$C218),APOIO!$F:$F,0)))</f>
        <v/>
      </c>
      <c r="E218" s="31"/>
      <c r="F218" s="31"/>
      <c r="G218" s="33"/>
      <c r="H218" s="105"/>
      <c r="I218" s="32" t="str">
        <f>IF($A218="","",VLOOKUP($H218,APOIO!$L:$M,2,FALSE))</f>
        <v/>
      </c>
      <c r="J218" s="31"/>
      <c r="K218" s="32" t="str">
        <f>IF($A218="","",VLOOKUP($J218,APOIO!$H:$J,2,FALSE))</f>
        <v/>
      </c>
      <c r="L218" s="32" t="str">
        <f>IF($A218="","",VLOOKUP($J218,APOIO!$H:$J,3,FALSE))</f>
        <v/>
      </c>
      <c r="M218" s="31"/>
      <c r="N218" s="34"/>
      <c r="O218" s="32"/>
      <c r="P218" s="32"/>
      <c r="Q218" s="32"/>
      <c r="R218" s="32"/>
      <c r="S218" s="35"/>
      <c r="T218" s="91"/>
      <c r="U218" s="60"/>
      <c r="V218" s="36"/>
      <c r="W218" s="31"/>
      <c r="X218" s="59"/>
      <c r="Y218" s="59" t="str">
        <f>IFERROR(VLOOKUP($A218,APOIO!$A:$A,1,FALSE),"ERRO")</f>
        <v>ERRO</v>
      </c>
      <c r="Z218"/>
    </row>
    <row r="219" spans="1:26" ht="15" x14ac:dyDescent="0.25">
      <c r="A219" s="94"/>
      <c r="B219" s="32" t="str">
        <f>IF($A219="","",VLOOKUP($A219,APOIO!$A:$E,2,FALSE))</f>
        <v/>
      </c>
      <c r="C219" s="94"/>
      <c r="D219" s="32" t="str">
        <f>IF($A219="","",INDEX(APOIO!$D:$D,MATCH(CONCATENATE($A219,"_",$B219,"_",$C219),APOIO!$F:$F,0)))</f>
        <v/>
      </c>
      <c r="E219" s="31"/>
      <c r="F219" s="31"/>
      <c r="G219" s="33"/>
      <c r="H219" s="105"/>
      <c r="I219" s="32" t="str">
        <f>IF($A219="","",VLOOKUP($H219,APOIO!$L:$M,2,FALSE))</f>
        <v/>
      </c>
      <c r="J219" s="31"/>
      <c r="K219" s="32" t="str">
        <f>IF($A219="","",VLOOKUP($J219,APOIO!$H:$J,2,FALSE))</f>
        <v/>
      </c>
      <c r="L219" s="32" t="str">
        <f>IF($A219="","",VLOOKUP($J219,APOIO!$H:$J,3,FALSE))</f>
        <v/>
      </c>
      <c r="M219" s="31"/>
      <c r="N219" s="34"/>
      <c r="O219" s="32"/>
      <c r="P219" s="32"/>
      <c r="Q219" s="32"/>
      <c r="R219" s="32"/>
      <c r="S219" s="35"/>
      <c r="T219" s="91"/>
      <c r="U219" s="60"/>
      <c r="V219" s="36"/>
      <c r="W219" s="31"/>
      <c r="X219" s="59"/>
      <c r="Y219" s="59" t="str">
        <f>IFERROR(VLOOKUP($A219,APOIO!$A:$A,1,FALSE),"ERRO")</f>
        <v>ERRO</v>
      </c>
      <c r="Z219"/>
    </row>
    <row r="220" spans="1:26" ht="15" x14ac:dyDescent="0.25">
      <c r="A220" s="94"/>
      <c r="B220" s="32" t="str">
        <f>IF($A220="","",VLOOKUP($A220,APOIO!$A:$E,2,FALSE))</f>
        <v/>
      </c>
      <c r="C220" s="94"/>
      <c r="D220" s="32" t="str">
        <f>IF($A220="","",INDEX(APOIO!$D:$D,MATCH(CONCATENATE($A220,"_",$B220,"_",$C220),APOIO!$F:$F,0)))</f>
        <v/>
      </c>
      <c r="E220" s="31"/>
      <c r="F220" s="31"/>
      <c r="G220" s="33"/>
      <c r="H220" s="105"/>
      <c r="I220" s="32" t="str">
        <f>IF($A220="","",VLOOKUP($H220,APOIO!$L:$M,2,FALSE))</f>
        <v/>
      </c>
      <c r="J220" s="31"/>
      <c r="K220" s="32" t="str">
        <f>IF($A220="","",VLOOKUP($J220,APOIO!$H:$J,2,FALSE))</f>
        <v/>
      </c>
      <c r="L220" s="32" t="str">
        <f>IF($A220="","",VLOOKUP($J220,APOIO!$H:$J,3,FALSE))</f>
        <v/>
      </c>
      <c r="M220" s="31"/>
      <c r="N220" s="34"/>
      <c r="O220" s="32"/>
      <c r="P220" s="32"/>
      <c r="Q220" s="32"/>
      <c r="R220" s="32"/>
      <c r="S220" s="35"/>
      <c r="T220" s="91"/>
      <c r="U220" s="60"/>
      <c r="V220" s="36"/>
      <c r="W220" s="31"/>
      <c r="X220" s="59"/>
      <c r="Y220" s="59" t="str">
        <f>IFERROR(VLOOKUP($A220,APOIO!$A:$A,1,FALSE),"ERRO")</f>
        <v>ERRO</v>
      </c>
      <c r="Z220"/>
    </row>
    <row r="221" spans="1:26" ht="15" x14ac:dyDescent="0.25">
      <c r="A221" s="94"/>
      <c r="B221" s="32" t="str">
        <f>IF($A221="","",VLOOKUP($A221,APOIO!$A:$E,2,FALSE))</f>
        <v/>
      </c>
      <c r="C221" s="94"/>
      <c r="D221" s="32" t="str">
        <f>IF($A221="","",INDEX(APOIO!$D:$D,MATCH(CONCATENATE($A221,"_",$B221,"_",$C221),APOIO!$F:$F,0)))</f>
        <v/>
      </c>
      <c r="E221" s="31"/>
      <c r="F221" s="31"/>
      <c r="G221" s="33"/>
      <c r="H221" s="105"/>
      <c r="I221" s="32" t="str">
        <f>IF($A221="","",VLOOKUP($H221,APOIO!$L:$M,2,FALSE))</f>
        <v/>
      </c>
      <c r="J221" s="31"/>
      <c r="K221" s="32" t="str">
        <f>IF($A221="","",VLOOKUP($J221,APOIO!$H:$J,2,FALSE))</f>
        <v/>
      </c>
      <c r="L221" s="32" t="str">
        <f>IF($A221="","",VLOOKUP($J221,APOIO!$H:$J,3,FALSE))</f>
        <v/>
      </c>
      <c r="M221" s="31"/>
      <c r="N221" s="34"/>
      <c r="O221" s="32"/>
      <c r="P221" s="32"/>
      <c r="Q221" s="32"/>
      <c r="R221" s="32"/>
      <c r="S221" s="35"/>
      <c r="T221" s="91"/>
      <c r="U221" s="60"/>
      <c r="V221" s="36"/>
      <c r="W221" s="31"/>
      <c r="X221" s="59"/>
      <c r="Y221" s="59" t="str">
        <f>IFERROR(VLOOKUP($A221,APOIO!$A:$A,1,FALSE),"ERRO")</f>
        <v>ERRO</v>
      </c>
      <c r="Z221"/>
    </row>
    <row r="222" spans="1:26" ht="15" x14ac:dyDescent="0.25">
      <c r="A222" s="94"/>
      <c r="B222" s="32" t="str">
        <f>IF($A222="","",VLOOKUP($A222,APOIO!$A:$E,2,FALSE))</f>
        <v/>
      </c>
      <c r="C222" s="94"/>
      <c r="D222" s="32" t="str">
        <f>IF($A222="","",INDEX(APOIO!$D:$D,MATCH(CONCATENATE($A222,"_",$B222,"_",$C222),APOIO!$F:$F,0)))</f>
        <v/>
      </c>
      <c r="E222" s="31"/>
      <c r="F222" s="31"/>
      <c r="G222" s="33"/>
      <c r="H222" s="105"/>
      <c r="I222" s="32" t="str">
        <f>IF($A222="","",VLOOKUP($H222,APOIO!$L:$M,2,FALSE))</f>
        <v/>
      </c>
      <c r="J222" s="31"/>
      <c r="K222" s="32" t="str">
        <f>IF($A222="","",VLOOKUP($J222,APOIO!$H:$J,2,FALSE))</f>
        <v/>
      </c>
      <c r="L222" s="32" t="str">
        <f>IF($A222="","",VLOOKUP($J222,APOIO!$H:$J,3,FALSE))</f>
        <v/>
      </c>
      <c r="M222" s="31"/>
      <c r="N222" s="34"/>
      <c r="O222" s="32"/>
      <c r="P222" s="32"/>
      <c r="Q222" s="32"/>
      <c r="R222" s="32"/>
      <c r="S222" s="35"/>
      <c r="T222" s="91"/>
      <c r="U222" s="60"/>
      <c r="V222" s="36"/>
      <c r="W222" s="31"/>
      <c r="X222" s="59"/>
      <c r="Y222" s="59" t="str">
        <f>IFERROR(VLOOKUP($A222,APOIO!$A:$A,1,FALSE),"ERRO")</f>
        <v>ERRO</v>
      </c>
      <c r="Z222"/>
    </row>
    <row r="223" spans="1:26" ht="15" x14ac:dyDescent="0.25">
      <c r="A223" s="94"/>
      <c r="B223" s="32" t="str">
        <f>IF($A223="","",VLOOKUP($A223,APOIO!$A:$E,2,FALSE))</f>
        <v/>
      </c>
      <c r="C223" s="94"/>
      <c r="D223" s="32" t="str">
        <f>IF($A223="","",INDEX(APOIO!$D:$D,MATCH(CONCATENATE($A223,"_",$B223,"_",$C223),APOIO!$F:$F,0)))</f>
        <v/>
      </c>
      <c r="E223" s="31"/>
      <c r="F223" s="31"/>
      <c r="G223" s="33"/>
      <c r="H223" s="105"/>
      <c r="I223" s="32" t="str">
        <f>IF($A223="","",VLOOKUP($H223,APOIO!$L:$M,2,FALSE))</f>
        <v/>
      </c>
      <c r="J223" s="31"/>
      <c r="K223" s="32" t="str">
        <f>IF($A223="","",VLOOKUP($J223,APOIO!$H:$J,2,FALSE))</f>
        <v/>
      </c>
      <c r="L223" s="32" t="str">
        <f>IF($A223="","",VLOOKUP($J223,APOIO!$H:$J,3,FALSE))</f>
        <v/>
      </c>
      <c r="M223" s="31"/>
      <c r="N223" s="34"/>
      <c r="O223" s="32"/>
      <c r="P223" s="32"/>
      <c r="Q223" s="32"/>
      <c r="R223" s="32"/>
      <c r="S223" s="35"/>
      <c r="T223" s="91"/>
      <c r="U223" s="60"/>
      <c r="V223" s="36"/>
      <c r="W223" s="31"/>
      <c r="X223" s="59"/>
      <c r="Y223" s="59" t="str">
        <f>IFERROR(VLOOKUP($A223,APOIO!$A:$A,1,FALSE),"ERRO")</f>
        <v>ERRO</v>
      </c>
      <c r="Z223"/>
    </row>
    <row r="224" spans="1:26" ht="15" x14ac:dyDescent="0.25">
      <c r="A224" s="94"/>
      <c r="B224" s="32" t="str">
        <f>IF($A224="","",VLOOKUP($A224,APOIO!$A:$E,2,FALSE))</f>
        <v/>
      </c>
      <c r="C224" s="94"/>
      <c r="D224" s="32" t="str">
        <f>IF($A224="","",INDEX(APOIO!$D:$D,MATCH(CONCATENATE($A224,"_",$B224,"_",$C224),APOIO!$F:$F,0)))</f>
        <v/>
      </c>
      <c r="E224" s="31"/>
      <c r="F224" s="31"/>
      <c r="G224" s="33"/>
      <c r="H224" s="105"/>
      <c r="I224" s="32" t="str">
        <f>IF($A224="","",VLOOKUP($H224,APOIO!$L:$M,2,FALSE))</f>
        <v/>
      </c>
      <c r="J224" s="31"/>
      <c r="K224" s="32" t="str">
        <f>IF($A224="","",VLOOKUP($J224,APOIO!$H:$J,2,FALSE))</f>
        <v/>
      </c>
      <c r="L224" s="32" t="str">
        <f>IF($A224="","",VLOOKUP($J224,APOIO!$H:$J,3,FALSE))</f>
        <v/>
      </c>
      <c r="M224" s="31"/>
      <c r="N224" s="34"/>
      <c r="O224" s="32"/>
      <c r="P224" s="32"/>
      <c r="Q224" s="32"/>
      <c r="R224" s="32"/>
      <c r="S224" s="35"/>
      <c r="T224" s="91"/>
      <c r="U224" s="60"/>
      <c r="V224" s="36"/>
      <c r="W224" s="31"/>
      <c r="X224" s="59"/>
      <c r="Y224" s="59" t="str">
        <f>IFERROR(VLOOKUP($A224,APOIO!$A:$A,1,FALSE),"ERRO")</f>
        <v>ERRO</v>
      </c>
      <c r="Z224"/>
    </row>
    <row r="225" spans="1:26" ht="15" x14ac:dyDescent="0.25">
      <c r="A225" s="94"/>
      <c r="B225" s="32" t="str">
        <f>IF($A225="","",VLOOKUP($A225,APOIO!$A:$E,2,FALSE))</f>
        <v/>
      </c>
      <c r="C225" s="94"/>
      <c r="D225" s="32" t="str">
        <f>IF($A225="","",INDEX(APOIO!$D:$D,MATCH(CONCATENATE($A225,"_",$B225,"_",$C225),APOIO!$F:$F,0)))</f>
        <v/>
      </c>
      <c r="E225" s="31"/>
      <c r="F225" s="31"/>
      <c r="G225" s="33"/>
      <c r="H225" s="105"/>
      <c r="I225" s="32" t="str">
        <f>IF($A225="","",VLOOKUP($H225,APOIO!$L:$M,2,FALSE))</f>
        <v/>
      </c>
      <c r="J225" s="31"/>
      <c r="K225" s="32" t="str">
        <f>IF($A225="","",VLOOKUP($J225,APOIO!$H:$J,2,FALSE))</f>
        <v/>
      </c>
      <c r="L225" s="32" t="str">
        <f>IF($A225="","",VLOOKUP($J225,APOIO!$H:$J,3,FALSE))</f>
        <v/>
      </c>
      <c r="M225" s="31"/>
      <c r="N225" s="34"/>
      <c r="O225" s="32"/>
      <c r="P225" s="32"/>
      <c r="Q225" s="32"/>
      <c r="R225" s="32"/>
      <c r="S225" s="35"/>
      <c r="T225" s="91"/>
      <c r="U225" s="60"/>
      <c r="V225" s="36"/>
      <c r="W225" s="31"/>
      <c r="X225" s="59"/>
      <c r="Y225" s="59" t="str">
        <f>IFERROR(VLOOKUP($A225,APOIO!$A:$A,1,FALSE),"ERRO")</f>
        <v>ERRO</v>
      </c>
      <c r="Z225"/>
    </row>
    <row r="226" spans="1:26" ht="15" x14ac:dyDescent="0.25">
      <c r="A226" s="94"/>
      <c r="B226" s="32" t="str">
        <f>IF($A226="","",VLOOKUP($A226,APOIO!$A:$E,2,FALSE))</f>
        <v/>
      </c>
      <c r="C226" s="94"/>
      <c r="D226" s="32" t="str">
        <f>IF($A226="","",INDEX(APOIO!$D:$D,MATCH(CONCATENATE($A226,"_",$B226,"_",$C226),APOIO!$F:$F,0)))</f>
        <v/>
      </c>
      <c r="E226" s="31"/>
      <c r="F226" s="31"/>
      <c r="G226" s="33"/>
      <c r="H226" s="105"/>
      <c r="I226" s="32" t="str">
        <f>IF($A226="","",VLOOKUP($H226,APOIO!$L:$M,2,FALSE))</f>
        <v/>
      </c>
      <c r="J226" s="31"/>
      <c r="K226" s="32" t="str">
        <f>IF($A226="","",VLOOKUP($J226,APOIO!$H:$J,2,FALSE))</f>
        <v/>
      </c>
      <c r="L226" s="32" t="str">
        <f>IF($A226="","",VLOOKUP($J226,APOIO!$H:$J,3,FALSE))</f>
        <v/>
      </c>
      <c r="M226" s="31"/>
      <c r="N226" s="34"/>
      <c r="O226" s="32"/>
      <c r="P226" s="32"/>
      <c r="Q226" s="32"/>
      <c r="R226" s="32"/>
      <c r="S226" s="35"/>
      <c r="T226" s="91"/>
      <c r="U226" s="60"/>
      <c r="V226" s="36"/>
      <c r="W226" s="31"/>
      <c r="X226" s="59"/>
      <c r="Y226" s="59" t="str">
        <f>IFERROR(VLOOKUP($A226,APOIO!$A:$A,1,FALSE),"ERRO")</f>
        <v>ERRO</v>
      </c>
      <c r="Z226"/>
    </row>
    <row r="227" spans="1:26" ht="15" x14ac:dyDescent="0.25">
      <c r="A227" s="94"/>
      <c r="B227" s="32" t="str">
        <f>IF($A227="","",VLOOKUP($A227,APOIO!$A:$E,2,FALSE))</f>
        <v/>
      </c>
      <c r="C227" s="94"/>
      <c r="D227" s="32" t="str">
        <f>IF($A227="","",INDEX(APOIO!$D:$D,MATCH(CONCATENATE($A227,"_",$B227,"_",$C227),APOIO!$F:$F,0)))</f>
        <v/>
      </c>
      <c r="E227" s="31"/>
      <c r="F227" s="31"/>
      <c r="G227" s="33"/>
      <c r="H227" s="105"/>
      <c r="I227" s="32" t="str">
        <f>IF($A227="","",VLOOKUP($H227,APOIO!$L:$M,2,FALSE))</f>
        <v/>
      </c>
      <c r="J227" s="31"/>
      <c r="K227" s="32" t="str">
        <f>IF($A227="","",VLOOKUP($J227,APOIO!$H:$J,2,FALSE))</f>
        <v/>
      </c>
      <c r="L227" s="32" t="str">
        <f>IF($A227="","",VLOOKUP($J227,APOIO!$H:$J,3,FALSE))</f>
        <v/>
      </c>
      <c r="M227" s="31"/>
      <c r="N227" s="34"/>
      <c r="O227" s="32"/>
      <c r="P227" s="32"/>
      <c r="Q227" s="32"/>
      <c r="R227" s="32"/>
      <c r="S227" s="35"/>
      <c r="T227" s="91"/>
      <c r="U227" s="60"/>
      <c r="V227" s="36"/>
      <c r="W227" s="31"/>
      <c r="X227" s="59"/>
      <c r="Y227" s="59" t="str">
        <f>IFERROR(VLOOKUP($A227,APOIO!$A:$A,1,FALSE),"ERRO")</f>
        <v>ERRO</v>
      </c>
      <c r="Z227"/>
    </row>
    <row r="228" spans="1:26" ht="15" x14ac:dyDescent="0.25">
      <c r="A228" s="94"/>
      <c r="B228" s="32" t="str">
        <f>IF($A228="","",VLOOKUP($A228,APOIO!$A:$E,2,FALSE))</f>
        <v/>
      </c>
      <c r="C228" s="94"/>
      <c r="D228" s="32" t="str">
        <f>IF($A228="","",INDEX(APOIO!$D:$D,MATCH(CONCATENATE($A228,"_",$B228,"_",$C228),APOIO!$F:$F,0)))</f>
        <v/>
      </c>
      <c r="E228" s="31"/>
      <c r="F228" s="31"/>
      <c r="G228" s="33"/>
      <c r="H228" s="105"/>
      <c r="I228" s="32" t="str">
        <f>IF($A228="","",VLOOKUP($H228,APOIO!$L:$M,2,FALSE))</f>
        <v/>
      </c>
      <c r="J228" s="31"/>
      <c r="K228" s="32" t="str">
        <f>IF($A228="","",VLOOKUP($J228,APOIO!$H:$J,2,FALSE))</f>
        <v/>
      </c>
      <c r="L228" s="32" t="str">
        <f>IF($A228="","",VLOOKUP($J228,APOIO!$H:$J,3,FALSE))</f>
        <v/>
      </c>
      <c r="M228" s="31"/>
      <c r="N228" s="34"/>
      <c r="O228" s="32"/>
      <c r="P228" s="32"/>
      <c r="Q228" s="32"/>
      <c r="R228" s="32"/>
      <c r="S228" s="35"/>
      <c r="T228" s="91"/>
      <c r="U228" s="60"/>
      <c r="V228" s="36"/>
      <c r="W228" s="31"/>
      <c r="X228" s="59"/>
      <c r="Y228" s="59" t="str">
        <f>IFERROR(VLOOKUP($A228,APOIO!$A:$A,1,FALSE),"ERRO")</f>
        <v>ERRO</v>
      </c>
      <c r="Z228"/>
    </row>
    <row r="229" spans="1:26" ht="15" x14ac:dyDescent="0.25">
      <c r="A229" s="94"/>
      <c r="B229" s="32" t="str">
        <f>IF($A229="","",VLOOKUP($A229,APOIO!$A:$E,2,FALSE))</f>
        <v/>
      </c>
      <c r="C229" s="94"/>
      <c r="D229" s="32" t="str">
        <f>IF($A229="","",INDEX(APOIO!$D:$D,MATCH(CONCATENATE($A229,"_",$B229,"_",$C229),APOIO!$F:$F,0)))</f>
        <v/>
      </c>
      <c r="E229" s="31"/>
      <c r="F229" s="31"/>
      <c r="G229" s="33"/>
      <c r="H229" s="105"/>
      <c r="I229" s="32" t="str">
        <f>IF($A229="","",VLOOKUP($H229,APOIO!$L:$M,2,FALSE))</f>
        <v/>
      </c>
      <c r="J229" s="31"/>
      <c r="K229" s="32" t="str">
        <f>IF($A229="","",VLOOKUP($J229,APOIO!$H:$J,2,FALSE))</f>
        <v/>
      </c>
      <c r="L229" s="32" t="str">
        <f>IF($A229="","",VLOOKUP($J229,APOIO!$H:$J,3,FALSE))</f>
        <v/>
      </c>
      <c r="M229" s="31"/>
      <c r="N229" s="34"/>
      <c r="O229" s="32"/>
      <c r="P229" s="32"/>
      <c r="Q229" s="32"/>
      <c r="R229" s="32"/>
      <c r="S229" s="35"/>
      <c r="T229" s="91"/>
      <c r="U229" s="60"/>
      <c r="V229" s="36"/>
      <c r="W229" s="31"/>
      <c r="X229" s="59"/>
      <c r="Y229" s="59" t="str">
        <f>IFERROR(VLOOKUP($A229,APOIO!$A:$A,1,FALSE),"ERRO")</f>
        <v>ERRO</v>
      </c>
      <c r="Z229"/>
    </row>
    <row r="230" spans="1:26" ht="15" x14ac:dyDescent="0.25">
      <c r="A230" s="94"/>
      <c r="B230" s="32" t="str">
        <f>IF($A230="","",VLOOKUP($A230,APOIO!$A:$E,2,FALSE))</f>
        <v/>
      </c>
      <c r="C230" s="94"/>
      <c r="D230" s="32" t="str">
        <f>IF($A230="","",INDEX(APOIO!$D:$D,MATCH(CONCATENATE($A230,"_",$B230,"_",$C230),APOIO!$F:$F,0)))</f>
        <v/>
      </c>
      <c r="E230" s="31"/>
      <c r="F230" s="31"/>
      <c r="G230" s="33"/>
      <c r="H230" s="105"/>
      <c r="I230" s="32" t="str">
        <f>IF($A230="","",VLOOKUP($H230,APOIO!$L:$M,2,FALSE))</f>
        <v/>
      </c>
      <c r="J230" s="31"/>
      <c r="K230" s="32" t="str">
        <f>IF($A230="","",VLOOKUP($J230,APOIO!$H:$J,2,FALSE))</f>
        <v/>
      </c>
      <c r="L230" s="32" t="str">
        <f>IF($A230="","",VLOOKUP($J230,APOIO!$H:$J,3,FALSE))</f>
        <v/>
      </c>
      <c r="M230" s="31"/>
      <c r="N230" s="34"/>
      <c r="O230" s="32"/>
      <c r="P230" s="32"/>
      <c r="Q230" s="32"/>
      <c r="R230" s="32"/>
      <c r="S230" s="35"/>
      <c r="T230" s="91"/>
      <c r="U230" s="60"/>
      <c r="V230" s="36"/>
      <c r="W230" s="31"/>
      <c r="X230" s="59"/>
      <c r="Y230" s="59" t="str">
        <f>IFERROR(VLOOKUP($A230,APOIO!$A:$A,1,FALSE),"ERRO")</f>
        <v>ERRO</v>
      </c>
      <c r="Z230"/>
    </row>
    <row r="231" spans="1:26" ht="15" x14ac:dyDescent="0.25">
      <c r="A231" s="94"/>
      <c r="B231" s="32" t="str">
        <f>IF($A231="","",VLOOKUP($A231,APOIO!$A:$E,2,FALSE))</f>
        <v/>
      </c>
      <c r="C231" s="94"/>
      <c r="D231" s="32" t="str">
        <f>IF($A231="","",INDEX(APOIO!$D:$D,MATCH(CONCATENATE($A231,"_",$B231,"_",$C231),APOIO!$F:$F,0)))</f>
        <v/>
      </c>
      <c r="E231" s="31"/>
      <c r="F231" s="31"/>
      <c r="G231" s="33"/>
      <c r="H231" s="105"/>
      <c r="I231" s="32" t="str">
        <f>IF($A231="","",VLOOKUP($H231,APOIO!$L:$M,2,FALSE))</f>
        <v/>
      </c>
      <c r="J231" s="31"/>
      <c r="K231" s="32" t="str">
        <f>IF($A231="","",VLOOKUP($J231,APOIO!$H:$J,2,FALSE))</f>
        <v/>
      </c>
      <c r="L231" s="32" t="str">
        <f>IF($A231="","",VLOOKUP($J231,APOIO!$H:$J,3,FALSE))</f>
        <v/>
      </c>
      <c r="M231" s="31"/>
      <c r="N231" s="34"/>
      <c r="O231" s="32"/>
      <c r="P231" s="32"/>
      <c r="Q231" s="32"/>
      <c r="R231" s="32"/>
      <c r="S231" s="35"/>
      <c r="T231" s="91"/>
      <c r="U231" s="60"/>
      <c r="V231" s="36"/>
      <c r="W231" s="31"/>
      <c r="X231" s="59"/>
      <c r="Y231" s="59" t="str">
        <f>IFERROR(VLOOKUP($A231,APOIO!$A:$A,1,FALSE),"ERRO")</f>
        <v>ERRO</v>
      </c>
      <c r="Z231"/>
    </row>
    <row r="232" spans="1:26" ht="15" x14ac:dyDescent="0.25">
      <c r="A232" s="94"/>
      <c r="B232" s="32" t="str">
        <f>IF($A232="","",VLOOKUP($A232,APOIO!$A:$E,2,FALSE))</f>
        <v/>
      </c>
      <c r="C232" s="94"/>
      <c r="D232" s="32" t="str">
        <f>IF($A232="","",INDEX(APOIO!$D:$D,MATCH(CONCATENATE($A232,"_",$B232,"_",$C232),APOIO!$F:$F,0)))</f>
        <v/>
      </c>
      <c r="E232" s="31"/>
      <c r="F232" s="31"/>
      <c r="G232" s="33"/>
      <c r="H232" s="105"/>
      <c r="I232" s="32" t="str">
        <f>IF($A232="","",VLOOKUP($H232,APOIO!$L:$M,2,FALSE))</f>
        <v/>
      </c>
      <c r="J232" s="31"/>
      <c r="K232" s="32" t="str">
        <f>IF($A232="","",VLOOKUP($J232,APOIO!$H:$J,2,FALSE))</f>
        <v/>
      </c>
      <c r="L232" s="32" t="str">
        <f>IF($A232="","",VLOOKUP($J232,APOIO!$H:$J,3,FALSE))</f>
        <v/>
      </c>
      <c r="M232" s="31"/>
      <c r="N232" s="34"/>
      <c r="O232" s="32"/>
      <c r="P232" s="32"/>
      <c r="Q232" s="32"/>
      <c r="R232" s="32"/>
      <c r="S232" s="35"/>
      <c r="T232" s="91"/>
      <c r="U232" s="60"/>
      <c r="V232" s="36"/>
      <c r="W232" s="31"/>
      <c r="X232" s="59"/>
      <c r="Y232" s="59" t="str">
        <f>IFERROR(VLOOKUP($A232,APOIO!$A:$A,1,FALSE),"ERRO")</f>
        <v>ERRO</v>
      </c>
      <c r="Z232"/>
    </row>
    <row r="233" spans="1:26" ht="15" x14ac:dyDescent="0.25">
      <c r="A233" s="94"/>
      <c r="B233" s="32" t="str">
        <f>IF($A233="","",VLOOKUP($A233,APOIO!$A:$E,2,FALSE))</f>
        <v/>
      </c>
      <c r="C233" s="94"/>
      <c r="D233" s="32" t="str">
        <f>IF($A233="","",INDEX(APOIO!$D:$D,MATCH(CONCATENATE($A233,"_",$B233,"_",$C233),APOIO!$F:$F,0)))</f>
        <v/>
      </c>
      <c r="E233" s="31"/>
      <c r="F233" s="31"/>
      <c r="G233" s="33"/>
      <c r="H233" s="105"/>
      <c r="I233" s="32" t="str">
        <f>IF($A233="","",VLOOKUP($H233,APOIO!$L:$M,2,FALSE))</f>
        <v/>
      </c>
      <c r="J233" s="31"/>
      <c r="K233" s="32" t="str">
        <f>IF($A233="","",VLOOKUP($J233,APOIO!$H:$J,2,FALSE))</f>
        <v/>
      </c>
      <c r="L233" s="32" t="str">
        <f>IF($A233="","",VLOOKUP($J233,APOIO!$H:$J,3,FALSE))</f>
        <v/>
      </c>
      <c r="M233" s="31"/>
      <c r="N233" s="34"/>
      <c r="O233" s="32"/>
      <c r="P233" s="32"/>
      <c r="Q233" s="32"/>
      <c r="R233" s="32"/>
      <c r="S233" s="35"/>
      <c r="T233" s="91"/>
      <c r="U233" s="60"/>
      <c r="V233" s="36"/>
      <c r="W233" s="31"/>
      <c r="X233" s="59"/>
      <c r="Y233" s="59" t="str">
        <f>IFERROR(VLOOKUP($A233,APOIO!$A:$A,1,FALSE),"ERRO")</f>
        <v>ERRO</v>
      </c>
      <c r="Z233"/>
    </row>
    <row r="234" spans="1:26" ht="15" x14ac:dyDescent="0.25">
      <c r="A234" s="94"/>
      <c r="B234" s="32" t="str">
        <f>IF($A234="","",VLOOKUP($A234,APOIO!$A:$E,2,FALSE))</f>
        <v/>
      </c>
      <c r="C234" s="94"/>
      <c r="D234" s="32" t="str">
        <f>IF($A234="","",INDEX(APOIO!$D:$D,MATCH(CONCATENATE($A234,"_",$B234,"_",$C234),APOIO!$F:$F,0)))</f>
        <v/>
      </c>
      <c r="E234" s="31"/>
      <c r="F234" s="31"/>
      <c r="G234" s="33"/>
      <c r="H234" s="105"/>
      <c r="I234" s="32" t="str">
        <f>IF($A234="","",VLOOKUP($H234,APOIO!$L:$M,2,FALSE))</f>
        <v/>
      </c>
      <c r="J234" s="31"/>
      <c r="K234" s="32" t="str">
        <f>IF($A234="","",VLOOKUP($J234,APOIO!$H:$J,2,FALSE))</f>
        <v/>
      </c>
      <c r="L234" s="32" t="str">
        <f>IF($A234="","",VLOOKUP($J234,APOIO!$H:$J,3,FALSE))</f>
        <v/>
      </c>
      <c r="M234" s="31"/>
      <c r="N234" s="34"/>
      <c r="O234" s="32"/>
      <c r="P234" s="32"/>
      <c r="Q234" s="32"/>
      <c r="R234" s="32"/>
      <c r="S234" s="35"/>
      <c r="T234" s="91"/>
      <c r="U234" s="60"/>
      <c r="V234" s="36"/>
      <c r="W234" s="31"/>
      <c r="X234" s="59"/>
      <c r="Y234" s="59" t="str">
        <f>IFERROR(VLOOKUP($A234,APOIO!$A:$A,1,FALSE),"ERRO")</f>
        <v>ERRO</v>
      </c>
      <c r="Z234"/>
    </row>
    <row r="235" spans="1:26" ht="15" x14ac:dyDescent="0.25">
      <c r="A235" s="94"/>
      <c r="B235" s="32" t="str">
        <f>IF($A235="","",VLOOKUP($A235,APOIO!$A:$E,2,FALSE))</f>
        <v/>
      </c>
      <c r="C235" s="94"/>
      <c r="D235" s="32" t="str">
        <f>IF($A235="","",INDEX(APOIO!$D:$D,MATCH(CONCATENATE($A235,"_",$B235,"_",$C235),APOIO!$F:$F,0)))</f>
        <v/>
      </c>
      <c r="E235" s="31"/>
      <c r="F235" s="31"/>
      <c r="G235" s="33"/>
      <c r="H235" s="105"/>
      <c r="I235" s="32" t="str">
        <f>IF($A235="","",VLOOKUP($H235,APOIO!$L:$M,2,FALSE))</f>
        <v/>
      </c>
      <c r="J235" s="31"/>
      <c r="K235" s="32" t="str">
        <f>IF($A235="","",VLOOKUP($J235,APOIO!$H:$J,2,FALSE))</f>
        <v/>
      </c>
      <c r="L235" s="32" t="str">
        <f>IF($A235="","",VLOOKUP($J235,APOIO!$H:$J,3,FALSE))</f>
        <v/>
      </c>
      <c r="M235" s="31"/>
      <c r="N235" s="34"/>
      <c r="O235" s="32"/>
      <c r="P235" s="32"/>
      <c r="Q235" s="32"/>
      <c r="R235" s="32"/>
      <c r="S235" s="35"/>
      <c r="T235" s="91"/>
      <c r="U235" s="60"/>
      <c r="V235" s="36"/>
      <c r="W235" s="31"/>
      <c r="X235" s="59"/>
      <c r="Y235" s="59" t="str">
        <f>IFERROR(VLOOKUP($A235,APOIO!$A:$A,1,FALSE),"ERRO")</f>
        <v>ERRO</v>
      </c>
      <c r="Z235"/>
    </row>
    <row r="236" spans="1:26" ht="15" x14ac:dyDescent="0.25">
      <c r="A236" s="94"/>
      <c r="B236" s="32" t="str">
        <f>IF($A236="","",VLOOKUP($A236,APOIO!$A:$E,2,FALSE))</f>
        <v/>
      </c>
      <c r="C236" s="94"/>
      <c r="D236" s="32" t="str">
        <f>IF($A236="","",INDEX(APOIO!$D:$D,MATCH(CONCATENATE($A236,"_",$B236,"_",$C236),APOIO!$F:$F,0)))</f>
        <v/>
      </c>
      <c r="E236" s="31"/>
      <c r="F236" s="31"/>
      <c r="G236" s="33"/>
      <c r="H236" s="105"/>
      <c r="I236" s="32" t="str">
        <f>IF($A236="","",VLOOKUP($H236,APOIO!$L:$M,2,FALSE))</f>
        <v/>
      </c>
      <c r="J236" s="31"/>
      <c r="K236" s="32" t="str">
        <f>IF($A236="","",VLOOKUP($J236,APOIO!$H:$J,2,FALSE))</f>
        <v/>
      </c>
      <c r="L236" s="32" t="str">
        <f>IF($A236="","",VLOOKUP($J236,APOIO!$H:$J,3,FALSE))</f>
        <v/>
      </c>
      <c r="M236" s="31"/>
      <c r="N236" s="34"/>
      <c r="O236" s="32"/>
      <c r="P236" s="32"/>
      <c r="Q236" s="32"/>
      <c r="R236" s="32"/>
      <c r="S236" s="35"/>
      <c r="T236" s="91"/>
      <c r="U236" s="60"/>
      <c r="V236" s="36"/>
      <c r="W236" s="31"/>
      <c r="X236" s="59"/>
      <c r="Y236" s="59" t="str">
        <f>IFERROR(VLOOKUP($A236,APOIO!$A:$A,1,FALSE),"ERRO")</f>
        <v>ERRO</v>
      </c>
      <c r="Z236"/>
    </row>
    <row r="237" spans="1:26" ht="15" x14ac:dyDescent="0.25">
      <c r="A237" s="94"/>
      <c r="B237" s="32" t="str">
        <f>IF($A237="","",VLOOKUP($A237,APOIO!$A:$E,2,FALSE))</f>
        <v/>
      </c>
      <c r="C237" s="94"/>
      <c r="D237" s="32" t="str">
        <f>IF($A237="","",INDEX(APOIO!$D:$D,MATCH(CONCATENATE($A237,"_",$B237,"_",$C237),APOIO!$F:$F,0)))</f>
        <v/>
      </c>
      <c r="E237" s="31"/>
      <c r="F237" s="31"/>
      <c r="G237" s="33"/>
      <c r="H237" s="105"/>
      <c r="I237" s="32" t="str">
        <f>IF($A237="","",VLOOKUP($H237,APOIO!$L:$M,2,FALSE))</f>
        <v/>
      </c>
      <c r="J237" s="31"/>
      <c r="K237" s="32" t="str">
        <f>IF($A237="","",VLOOKUP($J237,APOIO!$H:$J,2,FALSE))</f>
        <v/>
      </c>
      <c r="L237" s="32" t="str">
        <f>IF($A237="","",VLOOKUP($J237,APOIO!$H:$J,3,FALSE))</f>
        <v/>
      </c>
      <c r="M237" s="31"/>
      <c r="N237" s="34"/>
      <c r="O237" s="32"/>
      <c r="P237" s="32"/>
      <c r="Q237" s="32"/>
      <c r="R237" s="32"/>
      <c r="S237" s="35"/>
      <c r="T237" s="91"/>
      <c r="U237" s="60"/>
      <c r="V237" s="36"/>
      <c r="W237" s="31"/>
      <c r="X237" s="59"/>
      <c r="Y237" s="59" t="str">
        <f>IFERROR(VLOOKUP($A237,APOIO!$A:$A,1,FALSE),"ERRO")</f>
        <v>ERRO</v>
      </c>
      <c r="Z237"/>
    </row>
    <row r="238" spans="1:26" ht="15" x14ac:dyDescent="0.25">
      <c r="A238" s="94"/>
      <c r="B238" s="32" t="str">
        <f>IF($A238="","",VLOOKUP($A238,APOIO!$A:$E,2,FALSE))</f>
        <v/>
      </c>
      <c r="C238" s="94"/>
      <c r="D238" s="32" t="str">
        <f>IF($A238="","",INDEX(APOIO!$D:$D,MATCH(CONCATENATE($A238,"_",$B238,"_",$C238),APOIO!$F:$F,0)))</f>
        <v/>
      </c>
      <c r="E238" s="31"/>
      <c r="F238" s="31"/>
      <c r="G238" s="33"/>
      <c r="H238" s="105"/>
      <c r="I238" s="32" t="str">
        <f>IF($A238="","",VLOOKUP($H238,APOIO!$L:$M,2,FALSE))</f>
        <v/>
      </c>
      <c r="J238" s="31"/>
      <c r="K238" s="32" t="str">
        <f>IF($A238="","",VLOOKUP($J238,APOIO!$H:$J,2,FALSE))</f>
        <v/>
      </c>
      <c r="L238" s="32" t="str">
        <f>IF($A238="","",VLOOKUP($J238,APOIO!$H:$J,3,FALSE))</f>
        <v/>
      </c>
      <c r="M238" s="31"/>
      <c r="N238" s="34"/>
      <c r="O238" s="32"/>
      <c r="P238" s="32"/>
      <c r="Q238" s="32"/>
      <c r="R238" s="32"/>
      <c r="S238" s="35"/>
      <c r="T238" s="91"/>
      <c r="U238" s="60"/>
      <c r="V238" s="36"/>
      <c r="W238" s="31"/>
      <c r="X238" s="59"/>
      <c r="Y238" s="59" t="str">
        <f>IFERROR(VLOOKUP($A238,APOIO!$A:$A,1,FALSE),"ERRO")</f>
        <v>ERRO</v>
      </c>
      <c r="Z238"/>
    </row>
    <row r="239" spans="1:26" ht="15" x14ac:dyDescent="0.25">
      <c r="A239" s="94"/>
      <c r="B239" s="32" t="str">
        <f>IF($A239="","",VLOOKUP($A239,APOIO!$A:$E,2,FALSE))</f>
        <v/>
      </c>
      <c r="C239" s="94"/>
      <c r="D239" s="32" t="str">
        <f>IF($A239="","",INDEX(APOIO!$D:$D,MATCH(CONCATENATE($A239,"_",$B239,"_",$C239),APOIO!$F:$F,0)))</f>
        <v/>
      </c>
      <c r="E239" s="31"/>
      <c r="F239" s="31"/>
      <c r="G239" s="33"/>
      <c r="H239" s="105"/>
      <c r="I239" s="32" t="str">
        <f>IF($A239="","",VLOOKUP($H239,APOIO!$L:$M,2,FALSE))</f>
        <v/>
      </c>
      <c r="J239" s="31"/>
      <c r="K239" s="32" t="str">
        <f>IF($A239="","",VLOOKUP($J239,APOIO!$H:$J,2,FALSE))</f>
        <v/>
      </c>
      <c r="L239" s="32" t="str">
        <f>IF($A239="","",VLOOKUP($J239,APOIO!$H:$J,3,FALSE))</f>
        <v/>
      </c>
      <c r="M239" s="31"/>
      <c r="N239" s="34"/>
      <c r="O239" s="32"/>
      <c r="P239" s="32"/>
      <c r="Q239" s="32"/>
      <c r="R239" s="32"/>
      <c r="S239" s="35"/>
      <c r="T239" s="91"/>
      <c r="U239" s="60"/>
      <c r="V239" s="36"/>
      <c r="W239" s="31"/>
      <c r="X239" s="59"/>
      <c r="Y239" s="59" t="str">
        <f>IFERROR(VLOOKUP($A239,APOIO!$A:$A,1,FALSE),"ERRO")</f>
        <v>ERRO</v>
      </c>
      <c r="Z239"/>
    </row>
    <row r="240" spans="1:26" ht="15" x14ac:dyDescent="0.25">
      <c r="A240" s="94"/>
      <c r="B240" s="32" t="str">
        <f>IF($A240="","",VLOOKUP($A240,APOIO!$A:$E,2,FALSE))</f>
        <v/>
      </c>
      <c r="C240" s="94"/>
      <c r="D240" s="32" t="str">
        <f>IF($A240="","",INDEX(APOIO!$D:$D,MATCH(CONCATENATE($A240,"_",$B240,"_",$C240),APOIO!$F:$F,0)))</f>
        <v/>
      </c>
      <c r="E240" s="31"/>
      <c r="F240" s="31"/>
      <c r="G240" s="33"/>
      <c r="H240" s="105"/>
      <c r="I240" s="32" t="str">
        <f>IF($A240="","",VLOOKUP($H240,APOIO!$L:$M,2,FALSE))</f>
        <v/>
      </c>
      <c r="J240" s="31"/>
      <c r="K240" s="32" t="str">
        <f>IF($A240="","",VLOOKUP($J240,APOIO!$H:$J,2,FALSE))</f>
        <v/>
      </c>
      <c r="L240" s="32" t="str">
        <f>IF($A240="","",VLOOKUP($J240,APOIO!$H:$J,3,FALSE))</f>
        <v/>
      </c>
      <c r="M240" s="31"/>
      <c r="N240" s="34"/>
      <c r="O240" s="32"/>
      <c r="P240" s="32"/>
      <c r="Q240" s="32"/>
      <c r="R240" s="32"/>
      <c r="S240" s="35"/>
      <c r="T240" s="91"/>
      <c r="U240" s="60"/>
      <c r="V240" s="36"/>
      <c r="W240" s="31"/>
      <c r="X240" s="59"/>
      <c r="Y240" s="59" t="str">
        <f>IFERROR(VLOOKUP($A240,APOIO!$A:$A,1,FALSE),"ERRO")</f>
        <v>ERRO</v>
      </c>
      <c r="Z240"/>
    </row>
    <row r="241" spans="1:26" ht="15" x14ac:dyDescent="0.25">
      <c r="A241" s="94"/>
      <c r="B241" s="32" t="str">
        <f>IF($A241="","",VLOOKUP($A241,APOIO!$A:$E,2,FALSE))</f>
        <v/>
      </c>
      <c r="C241" s="94"/>
      <c r="D241" s="32" t="str">
        <f>IF($A241="","",INDEX(APOIO!$D:$D,MATCH(CONCATENATE($A241,"_",$B241,"_",$C241),APOIO!$F:$F,0)))</f>
        <v/>
      </c>
      <c r="E241" s="31"/>
      <c r="F241" s="31"/>
      <c r="G241" s="33"/>
      <c r="H241" s="105"/>
      <c r="I241" s="32" t="str">
        <f>IF($A241="","",VLOOKUP($H241,APOIO!$L:$M,2,FALSE))</f>
        <v/>
      </c>
      <c r="J241" s="31"/>
      <c r="K241" s="32" t="str">
        <f>IF($A241="","",VLOOKUP($J241,APOIO!$H:$J,2,FALSE))</f>
        <v/>
      </c>
      <c r="L241" s="32" t="str">
        <f>IF($A241="","",VLOOKUP($J241,APOIO!$H:$J,3,FALSE))</f>
        <v/>
      </c>
      <c r="M241" s="31"/>
      <c r="N241" s="34"/>
      <c r="O241" s="32"/>
      <c r="P241" s="32"/>
      <c r="Q241" s="32"/>
      <c r="R241" s="32"/>
      <c r="S241" s="35"/>
      <c r="T241" s="91"/>
      <c r="U241" s="60"/>
      <c r="V241" s="36"/>
      <c r="W241" s="31"/>
      <c r="X241" s="59"/>
      <c r="Y241" s="59" t="str">
        <f>IFERROR(VLOOKUP($A241,APOIO!$A:$A,1,FALSE),"ERRO")</f>
        <v>ERRO</v>
      </c>
      <c r="Z241"/>
    </row>
    <row r="242" spans="1:26" ht="15" x14ac:dyDescent="0.25">
      <c r="A242" s="94"/>
      <c r="B242" s="32" t="str">
        <f>IF($A242="","",VLOOKUP($A242,APOIO!$A:$E,2,FALSE))</f>
        <v/>
      </c>
      <c r="C242" s="94"/>
      <c r="D242" s="32" t="str">
        <f>IF($A242="","",INDEX(APOIO!$D:$D,MATCH(CONCATENATE($A242,"_",$B242,"_",$C242),APOIO!$F:$F,0)))</f>
        <v/>
      </c>
      <c r="E242" s="31"/>
      <c r="F242" s="31"/>
      <c r="G242" s="33"/>
      <c r="H242" s="105"/>
      <c r="I242" s="32" t="str">
        <f>IF($A242="","",VLOOKUP($H242,APOIO!$L:$M,2,FALSE))</f>
        <v/>
      </c>
      <c r="J242" s="31"/>
      <c r="K242" s="32" t="str">
        <f>IF($A242="","",VLOOKUP($J242,APOIO!$H:$J,2,FALSE))</f>
        <v/>
      </c>
      <c r="L242" s="32" t="str">
        <f>IF($A242="","",VLOOKUP($J242,APOIO!$H:$J,3,FALSE))</f>
        <v/>
      </c>
      <c r="M242" s="31"/>
      <c r="N242" s="34"/>
      <c r="O242" s="32"/>
      <c r="P242" s="32"/>
      <c r="Q242" s="32"/>
      <c r="R242" s="32"/>
      <c r="S242" s="35"/>
      <c r="T242" s="91"/>
      <c r="U242" s="60"/>
      <c r="V242" s="36"/>
      <c r="W242" s="31"/>
      <c r="X242" s="59"/>
      <c r="Y242" s="59" t="str">
        <f>IFERROR(VLOOKUP($A242,APOIO!$A:$A,1,FALSE),"ERRO")</f>
        <v>ERRO</v>
      </c>
      <c r="Z242"/>
    </row>
    <row r="243" spans="1:26" ht="15" x14ac:dyDescent="0.25">
      <c r="A243" s="94"/>
      <c r="B243" s="32" t="str">
        <f>IF($A243="","",VLOOKUP($A243,APOIO!$A:$E,2,FALSE))</f>
        <v/>
      </c>
      <c r="C243" s="94"/>
      <c r="D243" s="32" t="str">
        <f>IF($A243="","",INDEX(APOIO!$D:$D,MATCH(CONCATENATE($A243,"_",$B243,"_",$C243),APOIO!$F:$F,0)))</f>
        <v/>
      </c>
      <c r="E243" s="31"/>
      <c r="F243" s="31"/>
      <c r="G243" s="33"/>
      <c r="H243" s="105"/>
      <c r="I243" s="32" t="str">
        <f>IF($A243="","",VLOOKUP($H243,APOIO!$L:$M,2,FALSE))</f>
        <v/>
      </c>
      <c r="J243" s="31"/>
      <c r="K243" s="32" t="str">
        <f>IF($A243="","",VLOOKUP($J243,APOIO!$H:$J,2,FALSE))</f>
        <v/>
      </c>
      <c r="L243" s="32" t="str">
        <f>IF($A243="","",VLOOKUP($J243,APOIO!$H:$J,3,FALSE))</f>
        <v/>
      </c>
      <c r="M243" s="31"/>
      <c r="N243" s="34"/>
      <c r="O243" s="32"/>
      <c r="P243" s="32"/>
      <c r="Q243" s="32"/>
      <c r="R243" s="32"/>
      <c r="S243" s="35"/>
      <c r="T243" s="91"/>
      <c r="U243" s="60"/>
      <c r="V243" s="36"/>
      <c r="W243" s="31"/>
      <c r="X243" s="59"/>
      <c r="Y243" s="59" t="str">
        <f>IFERROR(VLOOKUP($A243,APOIO!$A:$A,1,FALSE),"ERRO")</f>
        <v>ERRO</v>
      </c>
      <c r="Z243"/>
    </row>
    <row r="244" spans="1:26" ht="15" x14ac:dyDescent="0.25">
      <c r="A244" s="94"/>
      <c r="B244" s="32" t="str">
        <f>IF($A244="","",VLOOKUP($A244,APOIO!$A:$E,2,FALSE))</f>
        <v/>
      </c>
      <c r="C244" s="94"/>
      <c r="D244" s="32" t="str">
        <f>IF($A244="","",INDEX(APOIO!$D:$D,MATCH(CONCATENATE($A244,"_",$B244,"_",$C244),APOIO!$F:$F,0)))</f>
        <v/>
      </c>
      <c r="E244" s="31"/>
      <c r="F244" s="31"/>
      <c r="G244" s="33"/>
      <c r="H244" s="105"/>
      <c r="I244" s="32" t="str">
        <f>IF($A244="","",VLOOKUP($H244,APOIO!$L:$M,2,FALSE))</f>
        <v/>
      </c>
      <c r="J244" s="31"/>
      <c r="K244" s="32" t="str">
        <f>IF($A244="","",VLOOKUP($J244,APOIO!$H:$J,2,FALSE))</f>
        <v/>
      </c>
      <c r="L244" s="32" t="str">
        <f>IF($A244="","",VLOOKUP($J244,APOIO!$H:$J,3,FALSE))</f>
        <v/>
      </c>
      <c r="M244" s="31"/>
      <c r="N244" s="34"/>
      <c r="O244" s="32"/>
      <c r="P244" s="32"/>
      <c r="Q244" s="32"/>
      <c r="R244" s="32"/>
      <c r="S244" s="35"/>
      <c r="T244" s="91"/>
      <c r="U244" s="60"/>
      <c r="V244" s="36"/>
      <c r="W244" s="31"/>
      <c r="X244" s="59"/>
      <c r="Y244" s="59" t="str">
        <f>IFERROR(VLOOKUP($A244,APOIO!$A:$A,1,FALSE),"ERRO")</f>
        <v>ERRO</v>
      </c>
      <c r="Z244"/>
    </row>
    <row r="245" spans="1:26" ht="15" x14ac:dyDescent="0.25">
      <c r="A245" s="94"/>
      <c r="B245" s="32" t="str">
        <f>IF($A245="","",VLOOKUP($A245,APOIO!$A:$E,2,FALSE))</f>
        <v/>
      </c>
      <c r="C245" s="94"/>
      <c r="D245" s="32" t="str">
        <f>IF($A245="","",INDEX(APOIO!$D:$D,MATCH(CONCATENATE($A245,"_",$B245,"_",$C245),APOIO!$F:$F,0)))</f>
        <v/>
      </c>
      <c r="E245" s="31"/>
      <c r="F245" s="31"/>
      <c r="G245" s="33"/>
      <c r="H245" s="105"/>
      <c r="I245" s="32" t="str">
        <f>IF($A245="","",VLOOKUP($H245,APOIO!$L:$M,2,FALSE))</f>
        <v/>
      </c>
      <c r="J245" s="31"/>
      <c r="K245" s="32" t="str">
        <f>IF($A245="","",VLOOKUP($J245,APOIO!$H:$J,2,FALSE))</f>
        <v/>
      </c>
      <c r="L245" s="32" t="str">
        <f>IF($A245="","",VLOOKUP($J245,APOIO!$H:$J,3,FALSE))</f>
        <v/>
      </c>
      <c r="M245" s="31"/>
      <c r="N245" s="34"/>
      <c r="O245" s="32"/>
      <c r="P245" s="32"/>
      <c r="Q245" s="32"/>
      <c r="R245" s="32"/>
      <c r="S245" s="35"/>
      <c r="T245" s="91"/>
      <c r="U245" s="60"/>
      <c r="V245" s="36"/>
      <c r="W245" s="31"/>
      <c r="X245" s="59"/>
      <c r="Y245" s="59" t="str">
        <f>IFERROR(VLOOKUP($A245,APOIO!$A:$A,1,FALSE),"ERRO")</f>
        <v>ERRO</v>
      </c>
      <c r="Z245"/>
    </row>
    <row r="246" spans="1:26" ht="15" x14ac:dyDescent="0.25">
      <c r="A246" s="94"/>
      <c r="B246" s="32" t="str">
        <f>IF($A246="","",VLOOKUP($A246,APOIO!$A:$E,2,FALSE))</f>
        <v/>
      </c>
      <c r="C246" s="94"/>
      <c r="D246" s="32" t="str">
        <f>IF($A246="","",INDEX(APOIO!$D:$D,MATCH(CONCATENATE($A246,"_",$B246,"_",$C246),APOIO!$F:$F,0)))</f>
        <v/>
      </c>
      <c r="E246" s="31"/>
      <c r="F246" s="31"/>
      <c r="G246" s="33"/>
      <c r="H246" s="105"/>
      <c r="I246" s="32" t="str">
        <f>IF($A246="","",VLOOKUP($H246,APOIO!$L:$M,2,FALSE))</f>
        <v/>
      </c>
      <c r="J246" s="31"/>
      <c r="K246" s="32" t="str">
        <f>IF($A246="","",VLOOKUP($J246,APOIO!$H:$J,2,FALSE))</f>
        <v/>
      </c>
      <c r="L246" s="32" t="str">
        <f>IF($A246="","",VLOOKUP($J246,APOIO!$H:$J,3,FALSE))</f>
        <v/>
      </c>
      <c r="M246" s="31"/>
      <c r="N246" s="34"/>
      <c r="O246" s="32"/>
      <c r="P246" s="32"/>
      <c r="Q246" s="32"/>
      <c r="R246" s="32"/>
      <c r="S246" s="35"/>
      <c r="T246" s="91"/>
      <c r="U246" s="60"/>
      <c r="V246" s="36"/>
      <c r="W246" s="31"/>
      <c r="X246" s="59"/>
      <c r="Y246" s="59" t="str">
        <f>IFERROR(VLOOKUP($A246,APOIO!$A:$A,1,FALSE),"ERRO")</f>
        <v>ERRO</v>
      </c>
      <c r="Z246"/>
    </row>
    <row r="247" spans="1:26" ht="15" x14ac:dyDescent="0.25">
      <c r="A247" s="94"/>
      <c r="B247" s="32" t="str">
        <f>IF($A247="","",VLOOKUP($A247,APOIO!$A:$E,2,FALSE))</f>
        <v/>
      </c>
      <c r="C247" s="94"/>
      <c r="D247" s="32" t="str">
        <f>IF($A247="","",INDEX(APOIO!$D:$D,MATCH(CONCATENATE($A247,"_",$B247,"_",$C247),APOIO!$F:$F,0)))</f>
        <v/>
      </c>
      <c r="E247" s="31"/>
      <c r="F247" s="31"/>
      <c r="G247" s="33"/>
      <c r="H247" s="105"/>
      <c r="I247" s="32" t="str">
        <f>IF($A247="","",VLOOKUP($H247,APOIO!$L:$M,2,FALSE))</f>
        <v/>
      </c>
      <c r="J247" s="31"/>
      <c r="K247" s="32" t="str">
        <f>IF($A247="","",VLOOKUP($J247,APOIO!$H:$J,2,FALSE))</f>
        <v/>
      </c>
      <c r="L247" s="32" t="str">
        <f>IF($A247="","",VLOOKUP($J247,APOIO!$H:$J,3,FALSE))</f>
        <v/>
      </c>
      <c r="M247" s="31"/>
      <c r="N247" s="34"/>
      <c r="O247" s="32"/>
      <c r="P247" s="32"/>
      <c r="Q247" s="32"/>
      <c r="R247" s="32"/>
      <c r="S247" s="35"/>
      <c r="T247" s="91"/>
      <c r="U247" s="60"/>
      <c r="V247" s="36"/>
      <c r="W247" s="31"/>
      <c r="X247" s="59"/>
      <c r="Y247" s="59" t="str">
        <f>IFERROR(VLOOKUP($A247,APOIO!$A:$A,1,FALSE),"ERRO")</f>
        <v>ERRO</v>
      </c>
      <c r="Z247"/>
    </row>
    <row r="248" spans="1:26" ht="15" x14ac:dyDescent="0.25">
      <c r="A248" s="94"/>
      <c r="B248" s="32" t="str">
        <f>IF($A248="","",VLOOKUP($A248,APOIO!$A:$E,2,FALSE))</f>
        <v/>
      </c>
      <c r="C248" s="94"/>
      <c r="D248" s="32" t="str">
        <f>IF($A248="","",INDEX(APOIO!$D:$D,MATCH(CONCATENATE($A248,"_",$B248,"_",$C248),APOIO!$F:$F,0)))</f>
        <v/>
      </c>
      <c r="E248" s="31"/>
      <c r="F248" s="31"/>
      <c r="G248" s="33"/>
      <c r="H248" s="105"/>
      <c r="I248" s="32" t="str">
        <f>IF($A248="","",VLOOKUP($H248,APOIO!$L:$M,2,FALSE))</f>
        <v/>
      </c>
      <c r="J248" s="31"/>
      <c r="K248" s="32" t="str">
        <f>IF($A248="","",VLOOKUP($J248,APOIO!$H:$J,2,FALSE))</f>
        <v/>
      </c>
      <c r="L248" s="32" t="str">
        <f>IF($A248="","",VLOOKUP($J248,APOIO!$H:$J,3,FALSE))</f>
        <v/>
      </c>
      <c r="M248" s="31"/>
      <c r="N248" s="34"/>
      <c r="O248" s="32"/>
      <c r="P248" s="32"/>
      <c r="Q248" s="32"/>
      <c r="R248" s="32"/>
      <c r="S248" s="35"/>
      <c r="T248" s="91"/>
      <c r="U248" s="60"/>
      <c r="V248" s="36"/>
      <c r="W248" s="31"/>
      <c r="X248" s="59"/>
      <c r="Y248" s="59" t="str">
        <f>IFERROR(VLOOKUP($A248,APOIO!$A:$A,1,FALSE),"ERRO")</f>
        <v>ERRO</v>
      </c>
      <c r="Z248"/>
    </row>
    <row r="249" spans="1:26" ht="15" x14ac:dyDescent="0.25">
      <c r="A249" s="94"/>
      <c r="B249" s="32" t="str">
        <f>IF($A249="","",VLOOKUP($A249,APOIO!$A:$E,2,FALSE))</f>
        <v/>
      </c>
      <c r="C249" s="94"/>
      <c r="D249" s="32" t="str">
        <f>IF($A249="","",INDEX(APOIO!$D:$D,MATCH(CONCATENATE($A249,"_",$B249,"_",$C249),APOIO!$F:$F,0)))</f>
        <v/>
      </c>
      <c r="E249" s="31"/>
      <c r="F249" s="31"/>
      <c r="G249" s="33"/>
      <c r="H249" s="105"/>
      <c r="I249" s="32" t="str">
        <f>IF($A249="","",VLOOKUP($H249,APOIO!$L:$M,2,FALSE))</f>
        <v/>
      </c>
      <c r="J249" s="31"/>
      <c r="K249" s="32" t="str">
        <f>IF($A249="","",VLOOKUP($J249,APOIO!$H:$J,2,FALSE))</f>
        <v/>
      </c>
      <c r="L249" s="32" t="str">
        <f>IF($A249="","",VLOOKUP($J249,APOIO!$H:$J,3,FALSE))</f>
        <v/>
      </c>
      <c r="M249" s="31"/>
      <c r="N249" s="34"/>
      <c r="O249" s="32"/>
      <c r="P249" s="32"/>
      <c r="Q249" s="32"/>
      <c r="R249" s="32"/>
      <c r="S249" s="35"/>
      <c r="T249" s="91"/>
      <c r="U249" s="60"/>
      <c r="V249" s="36"/>
      <c r="W249" s="31"/>
      <c r="X249" s="59"/>
      <c r="Y249" s="59" t="str">
        <f>IFERROR(VLOOKUP($A249,APOIO!$A:$A,1,FALSE),"ERRO")</f>
        <v>ERRO</v>
      </c>
      <c r="Z249"/>
    </row>
    <row r="250" spans="1:26" ht="15" x14ac:dyDescent="0.25">
      <c r="A250" s="94"/>
      <c r="B250" s="32" t="str">
        <f>IF($A250="","",VLOOKUP($A250,APOIO!$A:$E,2,FALSE))</f>
        <v/>
      </c>
      <c r="C250" s="94"/>
      <c r="D250" s="32" t="str">
        <f>IF($A250="","",INDEX(APOIO!$D:$D,MATCH(CONCATENATE($A250,"_",$B250,"_",$C250),APOIO!$F:$F,0)))</f>
        <v/>
      </c>
      <c r="E250" s="31"/>
      <c r="F250" s="31"/>
      <c r="G250" s="33"/>
      <c r="H250" s="105"/>
      <c r="I250" s="32" t="str">
        <f>IF($A250="","",VLOOKUP($H250,APOIO!$L:$M,2,FALSE))</f>
        <v/>
      </c>
      <c r="J250" s="31"/>
      <c r="K250" s="32" t="str">
        <f>IF($A250="","",VLOOKUP($J250,APOIO!$H:$J,2,FALSE))</f>
        <v/>
      </c>
      <c r="L250" s="32" t="str">
        <f>IF($A250="","",VLOOKUP($J250,APOIO!$H:$J,3,FALSE))</f>
        <v/>
      </c>
      <c r="M250" s="31"/>
      <c r="N250" s="34"/>
      <c r="O250" s="32"/>
      <c r="P250" s="32"/>
      <c r="Q250" s="32"/>
      <c r="R250" s="32"/>
      <c r="S250" s="35"/>
      <c r="T250" s="91"/>
      <c r="U250" s="60"/>
      <c r="V250" s="36"/>
      <c r="W250" s="31"/>
      <c r="X250" s="59"/>
      <c r="Y250" s="59" t="str">
        <f>IFERROR(VLOOKUP($A250,APOIO!$A:$A,1,FALSE),"ERRO")</f>
        <v>ERRO</v>
      </c>
      <c r="Z250"/>
    </row>
    <row r="251" spans="1:26" ht="15" x14ac:dyDescent="0.25">
      <c r="A251" s="94"/>
      <c r="B251" s="32" t="str">
        <f>IF($A251="","",VLOOKUP($A251,APOIO!$A:$E,2,FALSE))</f>
        <v/>
      </c>
      <c r="C251" s="94"/>
      <c r="D251" s="32" t="str">
        <f>IF($A251="","",INDEX(APOIO!$D:$D,MATCH(CONCATENATE($A251,"_",$B251,"_",$C251),APOIO!$F:$F,0)))</f>
        <v/>
      </c>
      <c r="E251" s="31"/>
      <c r="F251" s="31"/>
      <c r="G251" s="33"/>
      <c r="H251" s="105"/>
      <c r="I251" s="32" t="str">
        <f>IF($A251="","",VLOOKUP($H251,APOIO!$L:$M,2,FALSE))</f>
        <v/>
      </c>
      <c r="J251" s="31"/>
      <c r="K251" s="32" t="str">
        <f>IF($A251="","",VLOOKUP($J251,APOIO!$H:$J,2,FALSE))</f>
        <v/>
      </c>
      <c r="L251" s="32" t="str">
        <f>IF($A251="","",VLOOKUP($J251,APOIO!$H:$J,3,FALSE))</f>
        <v/>
      </c>
      <c r="M251" s="31"/>
      <c r="N251" s="34"/>
      <c r="O251" s="32"/>
      <c r="P251" s="32"/>
      <c r="Q251" s="32"/>
      <c r="R251" s="32"/>
      <c r="S251" s="35"/>
      <c r="T251" s="91"/>
      <c r="U251" s="60"/>
      <c r="V251" s="36"/>
      <c r="W251" s="31"/>
      <c r="X251" s="59"/>
      <c r="Y251" s="59" t="str">
        <f>IFERROR(VLOOKUP($A251,APOIO!$A:$A,1,FALSE),"ERRO")</f>
        <v>ERRO</v>
      </c>
      <c r="Z251"/>
    </row>
    <row r="252" spans="1:26" ht="15" x14ac:dyDescent="0.25">
      <c r="A252" s="94"/>
      <c r="B252" s="32" t="str">
        <f>IF($A252="","",VLOOKUP($A252,APOIO!$A:$E,2,FALSE))</f>
        <v/>
      </c>
      <c r="C252" s="94"/>
      <c r="D252" s="32" t="str">
        <f>IF($A252="","",INDEX(APOIO!$D:$D,MATCH(CONCATENATE($A252,"_",$B252,"_",$C252),APOIO!$F:$F,0)))</f>
        <v/>
      </c>
      <c r="E252" s="31"/>
      <c r="F252" s="31"/>
      <c r="G252" s="33"/>
      <c r="H252" s="105"/>
      <c r="I252" s="32" t="str">
        <f>IF($A252="","",VLOOKUP($H252,APOIO!$L:$M,2,FALSE))</f>
        <v/>
      </c>
      <c r="J252" s="31"/>
      <c r="K252" s="32" t="str">
        <f>IF($A252="","",VLOOKUP($J252,APOIO!$H:$J,2,FALSE))</f>
        <v/>
      </c>
      <c r="L252" s="32" t="str">
        <f>IF($A252="","",VLOOKUP($J252,APOIO!$H:$J,3,FALSE))</f>
        <v/>
      </c>
      <c r="M252" s="31"/>
      <c r="N252" s="34"/>
      <c r="O252" s="32"/>
      <c r="P252" s="32"/>
      <c r="Q252" s="32"/>
      <c r="R252" s="32"/>
      <c r="S252" s="35"/>
      <c r="T252" s="91"/>
      <c r="U252" s="60"/>
      <c r="V252" s="36"/>
      <c r="W252" s="31"/>
      <c r="X252" s="59"/>
      <c r="Y252" s="59" t="str">
        <f>IFERROR(VLOOKUP($A252,APOIO!$A:$A,1,FALSE),"ERRO")</f>
        <v>ERRO</v>
      </c>
      <c r="Z252"/>
    </row>
    <row r="253" spans="1:26" ht="15" x14ac:dyDescent="0.25">
      <c r="A253" s="94"/>
      <c r="B253" s="32" t="str">
        <f>IF($A253="","",VLOOKUP($A253,APOIO!$A:$E,2,FALSE))</f>
        <v/>
      </c>
      <c r="C253" s="94"/>
      <c r="D253" s="32" t="str">
        <f>IF($A253="","",INDEX(APOIO!$D:$D,MATCH(CONCATENATE($A253,"_",$B253,"_",$C253),APOIO!$F:$F,0)))</f>
        <v/>
      </c>
      <c r="E253" s="31"/>
      <c r="F253" s="31"/>
      <c r="G253" s="33"/>
      <c r="H253" s="105"/>
      <c r="I253" s="32" t="str">
        <f>IF($A253="","",VLOOKUP($H253,APOIO!$L:$M,2,FALSE))</f>
        <v/>
      </c>
      <c r="J253" s="31"/>
      <c r="K253" s="32" t="str">
        <f>IF($A253="","",VLOOKUP($J253,APOIO!$H:$J,2,FALSE))</f>
        <v/>
      </c>
      <c r="L253" s="32" t="str">
        <f>IF($A253="","",VLOOKUP($J253,APOIO!$H:$J,3,FALSE))</f>
        <v/>
      </c>
      <c r="M253" s="31"/>
      <c r="N253" s="34"/>
      <c r="O253" s="32"/>
      <c r="P253" s="32"/>
      <c r="Q253" s="32"/>
      <c r="R253" s="32"/>
      <c r="S253" s="35"/>
      <c r="T253" s="91"/>
      <c r="U253" s="60"/>
      <c r="V253" s="36"/>
      <c r="W253" s="31"/>
      <c r="X253" s="59"/>
      <c r="Y253" s="59" t="str">
        <f>IFERROR(VLOOKUP($A253,APOIO!$A:$A,1,FALSE),"ERRO")</f>
        <v>ERRO</v>
      </c>
      <c r="Z253"/>
    </row>
    <row r="254" spans="1:26" ht="15" x14ac:dyDescent="0.25">
      <c r="A254" s="94"/>
      <c r="B254" s="32" t="str">
        <f>IF($A254="","",VLOOKUP($A254,APOIO!$A:$E,2,FALSE))</f>
        <v/>
      </c>
      <c r="C254" s="94"/>
      <c r="D254" s="32" t="str">
        <f>IF($A254="","",INDEX(APOIO!$D:$D,MATCH(CONCATENATE($A254,"_",$B254,"_",$C254),APOIO!$F:$F,0)))</f>
        <v/>
      </c>
      <c r="E254" s="31"/>
      <c r="F254" s="31"/>
      <c r="G254" s="33"/>
      <c r="H254" s="105"/>
      <c r="I254" s="32" t="str">
        <f>IF($A254="","",VLOOKUP($H254,APOIO!$L:$M,2,FALSE))</f>
        <v/>
      </c>
      <c r="J254" s="31"/>
      <c r="K254" s="32" t="str">
        <f>IF($A254="","",VLOOKUP($J254,APOIO!$H:$J,2,FALSE))</f>
        <v/>
      </c>
      <c r="L254" s="32" t="str">
        <f>IF($A254="","",VLOOKUP($J254,APOIO!$H:$J,3,FALSE))</f>
        <v/>
      </c>
      <c r="M254" s="31"/>
      <c r="N254" s="34"/>
      <c r="O254" s="32"/>
      <c r="P254" s="32"/>
      <c r="Q254" s="32"/>
      <c r="R254" s="32"/>
      <c r="S254" s="35"/>
      <c r="T254" s="91"/>
      <c r="U254" s="60"/>
      <c r="V254" s="36"/>
      <c r="W254" s="31"/>
      <c r="X254" s="59"/>
      <c r="Y254" s="59" t="str">
        <f>IFERROR(VLOOKUP($A254,APOIO!$A:$A,1,FALSE),"ERRO")</f>
        <v>ERRO</v>
      </c>
      <c r="Z254"/>
    </row>
    <row r="255" spans="1:26" ht="15" x14ac:dyDescent="0.25">
      <c r="A255" s="94"/>
      <c r="B255" s="32" t="str">
        <f>IF($A255="","",VLOOKUP($A255,APOIO!$A:$E,2,FALSE))</f>
        <v/>
      </c>
      <c r="C255" s="94"/>
      <c r="D255" s="32" t="str">
        <f>IF($A255="","",INDEX(APOIO!$D:$D,MATCH(CONCATENATE($A255,"_",$B255,"_",$C255),APOIO!$F:$F,0)))</f>
        <v/>
      </c>
      <c r="E255" s="31"/>
      <c r="F255" s="31"/>
      <c r="G255" s="33"/>
      <c r="H255" s="105"/>
      <c r="I255" s="32" t="str">
        <f>IF($A255="","",VLOOKUP($H255,APOIO!$L:$M,2,FALSE))</f>
        <v/>
      </c>
      <c r="J255" s="31"/>
      <c r="K255" s="32" t="str">
        <f>IF($A255="","",VLOOKUP($J255,APOIO!$H:$J,2,FALSE))</f>
        <v/>
      </c>
      <c r="L255" s="32" t="str">
        <f>IF($A255="","",VLOOKUP($J255,APOIO!$H:$J,3,FALSE))</f>
        <v/>
      </c>
      <c r="M255" s="31"/>
      <c r="N255" s="34"/>
      <c r="O255" s="32"/>
      <c r="P255" s="32"/>
      <c r="Q255" s="32"/>
      <c r="R255" s="32"/>
      <c r="S255" s="35"/>
      <c r="T255" s="91"/>
      <c r="U255" s="60"/>
      <c r="V255" s="36"/>
      <c r="W255" s="31"/>
      <c r="X255" s="59"/>
      <c r="Y255" s="59" t="str">
        <f>IFERROR(VLOOKUP($A255,APOIO!$A:$A,1,FALSE),"ERRO")</f>
        <v>ERRO</v>
      </c>
      <c r="Z255"/>
    </row>
    <row r="256" spans="1:26" ht="15" x14ac:dyDescent="0.25">
      <c r="A256" s="94"/>
      <c r="B256" s="32" t="str">
        <f>IF($A256="","",VLOOKUP($A256,APOIO!$A:$E,2,FALSE))</f>
        <v/>
      </c>
      <c r="C256" s="94"/>
      <c r="D256" s="32" t="str">
        <f>IF($A256="","",INDEX(APOIO!$D:$D,MATCH(CONCATENATE($A256,"_",$B256,"_",$C256),APOIO!$F:$F,0)))</f>
        <v/>
      </c>
      <c r="E256" s="31"/>
      <c r="F256" s="31"/>
      <c r="G256" s="33"/>
      <c r="H256" s="105"/>
      <c r="I256" s="32" t="str">
        <f>IF($A256="","",VLOOKUP($H256,APOIO!$L:$M,2,FALSE))</f>
        <v/>
      </c>
      <c r="J256" s="31"/>
      <c r="K256" s="32" t="str">
        <f>IF($A256="","",VLOOKUP($J256,APOIO!$H:$J,2,FALSE))</f>
        <v/>
      </c>
      <c r="L256" s="32" t="str">
        <f>IF($A256="","",VLOOKUP($J256,APOIO!$H:$J,3,FALSE))</f>
        <v/>
      </c>
      <c r="M256" s="31"/>
      <c r="N256" s="34"/>
      <c r="O256" s="32"/>
      <c r="P256" s="32"/>
      <c r="Q256" s="32"/>
      <c r="R256" s="32"/>
      <c r="S256" s="35"/>
      <c r="T256" s="91"/>
      <c r="U256" s="60"/>
      <c r="V256" s="36"/>
      <c r="W256" s="31"/>
      <c r="X256" s="59"/>
      <c r="Y256" s="59" t="str">
        <f>IFERROR(VLOOKUP($A256,APOIO!$A:$A,1,FALSE),"ERRO")</f>
        <v>ERRO</v>
      </c>
      <c r="Z256"/>
    </row>
    <row r="257" spans="1:26" ht="15" x14ac:dyDescent="0.25">
      <c r="A257" s="94"/>
      <c r="B257" s="32" t="str">
        <f>IF($A257="","",VLOOKUP($A257,APOIO!$A:$E,2,FALSE))</f>
        <v/>
      </c>
      <c r="C257" s="94"/>
      <c r="D257" s="32" t="str">
        <f>IF($A257="","",INDEX(APOIO!$D:$D,MATCH(CONCATENATE($A257,"_",$B257,"_",$C257),APOIO!$F:$F,0)))</f>
        <v/>
      </c>
      <c r="E257" s="31"/>
      <c r="F257" s="31"/>
      <c r="G257" s="33"/>
      <c r="H257" s="105"/>
      <c r="I257" s="32" t="str">
        <f>IF($A257="","",VLOOKUP($H257,APOIO!$L:$M,2,FALSE))</f>
        <v/>
      </c>
      <c r="J257" s="31"/>
      <c r="K257" s="32" t="str">
        <f>IF($A257="","",VLOOKUP($J257,APOIO!$H:$J,2,FALSE))</f>
        <v/>
      </c>
      <c r="L257" s="32" t="str">
        <f>IF($A257="","",VLOOKUP($J257,APOIO!$H:$J,3,FALSE))</f>
        <v/>
      </c>
      <c r="M257" s="31"/>
      <c r="N257" s="34"/>
      <c r="O257" s="32"/>
      <c r="P257" s="32"/>
      <c r="Q257" s="32"/>
      <c r="R257" s="32"/>
      <c r="S257" s="35"/>
      <c r="T257" s="91"/>
      <c r="U257" s="60"/>
      <c r="V257" s="36"/>
      <c r="W257" s="31"/>
      <c r="X257" s="59"/>
      <c r="Y257" s="59" t="str">
        <f>IFERROR(VLOOKUP($A257,APOIO!$A:$A,1,FALSE),"ERRO")</f>
        <v>ERRO</v>
      </c>
      <c r="Z257"/>
    </row>
    <row r="258" spans="1:26" ht="15" x14ac:dyDescent="0.25">
      <c r="A258" s="94"/>
      <c r="B258" s="32" t="str">
        <f>IF($A258="","",VLOOKUP($A258,APOIO!$A:$E,2,FALSE))</f>
        <v/>
      </c>
      <c r="C258" s="94"/>
      <c r="D258" s="32" t="str">
        <f>IF($A258="","",INDEX(APOIO!$D:$D,MATCH(CONCATENATE($A258,"_",$B258,"_",$C258),APOIO!$F:$F,0)))</f>
        <v/>
      </c>
      <c r="E258" s="31"/>
      <c r="F258" s="31"/>
      <c r="G258" s="33"/>
      <c r="H258" s="105"/>
      <c r="I258" s="32" t="str">
        <f>IF($A258="","",VLOOKUP($H258,APOIO!$L:$M,2,FALSE))</f>
        <v/>
      </c>
      <c r="J258" s="31"/>
      <c r="K258" s="32" t="str">
        <f>IF($A258="","",VLOOKUP($J258,APOIO!$H:$J,2,FALSE))</f>
        <v/>
      </c>
      <c r="L258" s="32" t="str">
        <f>IF($A258="","",VLOOKUP($J258,APOIO!$H:$J,3,FALSE))</f>
        <v/>
      </c>
      <c r="M258" s="31"/>
      <c r="N258" s="34"/>
      <c r="O258" s="32"/>
      <c r="P258" s="32"/>
      <c r="Q258" s="32"/>
      <c r="R258" s="32"/>
      <c r="S258" s="35"/>
      <c r="T258" s="91"/>
      <c r="U258" s="60"/>
      <c r="V258" s="36"/>
      <c r="W258" s="31"/>
      <c r="X258" s="59"/>
      <c r="Y258" s="59" t="str">
        <f>IFERROR(VLOOKUP($A258,APOIO!$A:$A,1,FALSE),"ERRO")</f>
        <v>ERRO</v>
      </c>
      <c r="Z258"/>
    </row>
    <row r="259" spans="1:26" ht="15" x14ac:dyDescent="0.25">
      <c r="A259" s="94"/>
      <c r="B259" s="32" t="str">
        <f>IF($A259="","",VLOOKUP($A259,APOIO!$A:$E,2,FALSE))</f>
        <v/>
      </c>
      <c r="C259" s="94"/>
      <c r="D259" s="32" t="str">
        <f>IF($A259="","",INDEX(APOIO!$D:$D,MATCH(CONCATENATE($A259,"_",$B259,"_",$C259),APOIO!$F:$F,0)))</f>
        <v/>
      </c>
      <c r="E259" s="31"/>
      <c r="F259" s="31"/>
      <c r="G259" s="33"/>
      <c r="H259" s="105"/>
      <c r="I259" s="32" t="str">
        <f>IF($A259="","",VLOOKUP($H259,APOIO!$L:$M,2,FALSE))</f>
        <v/>
      </c>
      <c r="J259" s="31"/>
      <c r="K259" s="32" t="str">
        <f>IF($A259="","",VLOOKUP($J259,APOIO!$H:$J,2,FALSE))</f>
        <v/>
      </c>
      <c r="L259" s="32" t="str">
        <f>IF($A259="","",VLOOKUP($J259,APOIO!$H:$J,3,FALSE))</f>
        <v/>
      </c>
      <c r="M259" s="31"/>
      <c r="N259" s="34"/>
      <c r="O259" s="32"/>
      <c r="P259" s="32"/>
      <c r="Q259" s="32"/>
      <c r="R259" s="32"/>
      <c r="S259" s="35"/>
      <c r="T259" s="91"/>
      <c r="U259" s="60"/>
      <c r="V259" s="36"/>
      <c r="W259" s="31"/>
      <c r="X259" s="59"/>
      <c r="Y259" s="59" t="str">
        <f>IFERROR(VLOOKUP($A259,APOIO!$A:$A,1,FALSE),"ERRO")</f>
        <v>ERRO</v>
      </c>
      <c r="Z259"/>
    </row>
    <row r="260" spans="1:26" ht="15" x14ac:dyDescent="0.25">
      <c r="A260" s="94"/>
      <c r="B260" s="32" t="str">
        <f>IF($A260="","",VLOOKUP($A260,APOIO!$A:$E,2,FALSE))</f>
        <v/>
      </c>
      <c r="C260" s="94"/>
      <c r="D260" s="32" t="str">
        <f>IF($A260="","",INDEX(APOIO!$D:$D,MATCH(CONCATENATE($A260,"_",$B260,"_",$C260),APOIO!$F:$F,0)))</f>
        <v/>
      </c>
      <c r="E260" s="31"/>
      <c r="F260" s="31"/>
      <c r="G260" s="33"/>
      <c r="H260" s="105"/>
      <c r="I260" s="32" t="str">
        <f>IF($A260="","",VLOOKUP($H260,APOIO!$L:$M,2,FALSE))</f>
        <v/>
      </c>
      <c r="J260" s="31"/>
      <c r="K260" s="32" t="str">
        <f>IF($A260="","",VLOOKUP($J260,APOIO!$H:$J,2,FALSE))</f>
        <v/>
      </c>
      <c r="L260" s="32" t="str">
        <f>IF($A260="","",VLOOKUP($J260,APOIO!$H:$J,3,FALSE))</f>
        <v/>
      </c>
      <c r="M260" s="31"/>
      <c r="N260" s="34"/>
      <c r="O260" s="32"/>
      <c r="P260" s="32"/>
      <c r="Q260" s="32"/>
      <c r="R260" s="32"/>
      <c r="S260" s="35"/>
      <c r="T260" s="91"/>
      <c r="U260" s="60"/>
      <c r="V260" s="36"/>
      <c r="W260" s="31"/>
      <c r="X260" s="59"/>
      <c r="Y260" s="59" t="str">
        <f>IFERROR(VLOOKUP($A260,APOIO!$A:$A,1,FALSE),"ERRO")</f>
        <v>ERRO</v>
      </c>
      <c r="Z260"/>
    </row>
    <row r="261" spans="1:26" ht="15" x14ac:dyDescent="0.25">
      <c r="A261" s="94"/>
      <c r="B261" s="32" t="str">
        <f>IF($A261="","",VLOOKUP($A261,APOIO!$A:$E,2,FALSE))</f>
        <v/>
      </c>
      <c r="C261" s="94"/>
      <c r="D261" s="32" t="str">
        <f>IF($A261="","",INDEX(APOIO!$D:$D,MATCH(CONCATENATE($A261,"_",$B261,"_",$C261),APOIO!$F:$F,0)))</f>
        <v/>
      </c>
      <c r="E261" s="31"/>
      <c r="F261" s="31"/>
      <c r="G261" s="33"/>
      <c r="H261" s="105"/>
      <c r="I261" s="32" t="str">
        <f>IF($A261="","",VLOOKUP($H261,APOIO!$L:$M,2,FALSE))</f>
        <v/>
      </c>
      <c r="J261" s="31"/>
      <c r="K261" s="32" t="str">
        <f>IF($A261="","",VLOOKUP($J261,APOIO!$H:$J,2,FALSE))</f>
        <v/>
      </c>
      <c r="L261" s="32" t="str">
        <f>IF($A261="","",VLOOKUP($J261,APOIO!$H:$J,3,FALSE))</f>
        <v/>
      </c>
      <c r="M261" s="31"/>
      <c r="N261" s="34"/>
      <c r="O261" s="32"/>
      <c r="P261" s="32"/>
      <c r="Q261" s="32"/>
      <c r="R261" s="32"/>
      <c r="S261" s="35"/>
      <c r="T261" s="91"/>
      <c r="U261" s="60"/>
      <c r="V261" s="36"/>
      <c r="W261" s="31"/>
      <c r="X261" s="59"/>
      <c r="Y261" s="59" t="str">
        <f>IFERROR(VLOOKUP($A261,APOIO!$A:$A,1,FALSE),"ERRO")</f>
        <v>ERRO</v>
      </c>
      <c r="Z261"/>
    </row>
    <row r="262" spans="1:26" ht="15" x14ac:dyDescent="0.25">
      <c r="A262" s="94"/>
      <c r="B262" s="32" t="str">
        <f>IF($A262="","",VLOOKUP($A262,APOIO!$A:$E,2,FALSE))</f>
        <v/>
      </c>
      <c r="C262" s="94"/>
      <c r="D262" s="32" t="str">
        <f>IF($A262="","",INDEX(APOIO!$D:$D,MATCH(CONCATENATE($A262,"_",$B262,"_",$C262),APOIO!$F:$F,0)))</f>
        <v/>
      </c>
      <c r="E262" s="31"/>
      <c r="F262" s="31"/>
      <c r="G262" s="33"/>
      <c r="H262" s="105"/>
      <c r="I262" s="32" t="str">
        <f>IF($A262="","",VLOOKUP($H262,APOIO!$L:$M,2,FALSE))</f>
        <v/>
      </c>
      <c r="J262" s="31"/>
      <c r="K262" s="32" t="str">
        <f>IF($A262="","",VLOOKUP($J262,APOIO!$H:$J,2,FALSE))</f>
        <v/>
      </c>
      <c r="L262" s="32" t="str">
        <f>IF($A262="","",VLOOKUP($J262,APOIO!$H:$J,3,FALSE))</f>
        <v/>
      </c>
      <c r="M262" s="31"/>
      <c r="N262" s="34"/>
      <c r="O262" s="32"/>
      <c r="P262" s="32"/>
      <c r="Q262" s="32"/>
      <c r="R262" s="32"/>
      <c r="S262" s="35"/>
      <c r="T262" s="91"/>
      <c r="U262" s="60"/>
      <c r="V262" s="36"/>
      <c r="W262" s="31"/>
      <c r="X262" s="59"/>
      <c r="Y262" s="59" t="str">
        <f>IFERROR(VLOOKUP($A262,APOIO!$A:$A,1,FALSE),"ERRO")</f>
        <v>ERRO</v>
      </c>
      <c r="Z262"/>
    </row>
    <row r="263" spans="1:26" ht="15" x14ac:dyDescent="0.25">
      <c r="A263" s="94"/>
      <c r="B263" s="32" t="str">
        <f>IF($A263="","",VLOOKUP($A263,APOIO!$A:$E,2,FALSE))</f>
        <v/>
      </c>
      <c r="C263" s="94"/>
      <c r="D263" s="32" t="str">
        <f>IF($A263="","",INDEX(APOIO!$D:$D,MATCH(CONCATENATE($A263,"_",$B263,"_",$C263),APOIO!$F:$F,0)))</f>
        <v/>
      </c>
      <c r="E263" s="31"/>
      <c r="F263" s="31"/>
      <c r="G263" s="33"/>
      <c r="H263" s="105"/>
      <c r="I263" s="32" t="str">
        <f>IF($A263="","",VLOOKUP($H263,APOIO!$L:$M,2,FALSE))</f>
        <v/>
      </c>
      <c r="J263" s="31"/>
      <c r="K263" s="32" t="str">
        <f>IF($A263="","",VLOOKUP($J263,APOIO!$H:$J,2,FALSE))</f>
        <v/>
      </c>
      <c r="L263" s="32" t="str">
        <f>IF($A263="","",VLOOKUP($J263,APOIO!$H:$J,3,FALSE))</f>
        <v/>
      </c>
      <c r="M263" s="31"/>
      <c r="N263" s="34"/>
      <c r="O263" s="32"/>
      <c r="P263" s="32"/>
      <c r="Q263" s="32"/>
      <c r="R263" s="32"/>
      <c r="S263" s="35"/>
      <c r="T263" s="91"/>
      <c r="U263" s="60"/>
      <c r="V263" s="36"/>
      <c r="W263" s="31"/>
      <c r="X263" s="59"/>
      <c r="Y263" s="59" t="str">
        <f>IFERROR(VLOOKUP($A263,APOIO!$A:$A,1,FALSE),"ERRO")</f>
        <v>ERRO</v>
      </c>
      <c r="Z263"/>
    </row>
    <row r="264" spans="1:26" ht="15" x14ac:dyDescent="0.25">
      <c r="A264" s="94"/>
      <c r="B264" s="32" t="str">
        <f>IF($A264="","",VLOOKUP($A264,APOIO!$A:$E,2,FALSE))</f>
        <v/>
      </c>
      <c r="C264" s="94"/>
      <c r="D264" s="32" t="str">
        <f>IF($A264="","",INDEX(APOIO!$D:$D,MATCH(CONCATENATE($A264,"_",$B264,"_",$C264),APOIO!$F:$F,0)))</f>
        <v/>
      </c>
      <c r="E264" s="31"/>
      <c r="F264" s="31"/>
      <c r="G264" s="33"/>
      <c r="H264" s="105"/>
      <c r="I264" s="32" t="str">
        <f>IF($A264="","",VLOOKUP($H264,APOIO!$L:$M,2,FALSE))</f>
        <v/>
      </c>
      <c r="J264" s="31"/>
      <c r="K264" s="32" t="str">
        <f>IF($A264="","",VLOOKUP($J264,APOIO!$H:$J,2,FALSE))</f>
        <v/>
      </c>
      <c r="L264" s="32" t="str">
        <f>IF($A264="","",VLOOKUP($J264,APOIO!$H:$J,3,FALSE))</f>
        <v/>
      </c>
      <c r="M264" s="31"/>
      <c r="N264" s="34"/>
      <c r="O264" s="32"/>
      <c r="P264" s="32"/>
      <c r="Q264" s="32"/>
      <c r="R264" s="32"/>
      <c r="S264" s="35"/>
      <c r="T264" s="91"/>
      <c r="U264" s="60"/>
      <c r="V264" s="36"/>
      <c r="W264" s="31"/>
      <c r="X264" s="59"/>
      <c r="Y264" s="59" t="str">
        <f>IFERROR(VLOOKUP($A264,APOIO!$A:$A,1,FALSE),"ERRO")</f>
        <v>ERRO</v>
      </c>
      <c r="Z264"/>
    </row>
    <row r="265" spans="1:26" ht="15" x14ac:dyDescent="0.25">
      <c r="A265" s="94"/>
      <c r="B265" s="32" t="str">
        <f>IF($A265="","",VLOOKUP($A265,APOIO!$A:$E,2,FALSE))</f>
        <v/>
      </c>
      <c r="C265" s="94"/>
      <c r="D265" s="32" t="str">
        <f>IF($A265="","",INDEX(APOIO!$D:$D,MATCH(CONCATENATE($A265,"_",$B265,"_",$C265),APOIO!$F:$F,0)))</f>
        <v/>
      </c>
      <c r="E265" s="31"/>
      <c r="F265" s="31"/>
      <c r="G265" s="33"/>
      <c r="H265" s="105"/>
      <c r="I265" s="32" t="str">
        <f>IF($A265="","",VLOOKUP($H265,APOIO!$L:$M,2,FALSE))</f>
        <v/>
      </c>
      <c r="J265" s="31"/>
      <c r="K265" s="32" t="str">
        <f>IF($A265="","",VLOOKUP($J265,APOIO!$H:$J,2,FALSE))</f>
        <v/>
      </c>
      <c r="L265" s="32" t="str">
        <f>IF($A265="","",VLOOKUP($J265,APOIO!$H:$J,3,FALSE))</f>
        <v/>
      </c>
      <c r="M265" s="31"/>
      <c r="N265" s="34"/>
      <c r="O265" s="32"/>
      <c r="P265" s="32"/>
      <c r="Q265" s="32"/>
      <c r="R265" s="32"/>
      <c r="S265" s="35"/>
      <c r="T265" s="91"/>
      <c r="U265" s="60"/>
      <c r="V265" s="36"/>
      <c r="W265" s="31"/>
      <c r="X265" s="59"/>
      <c r="Y265" s="59" t="str">
        <f>IFERROR(VLOOKUP($A265,APOIO!$A:$A,1,FALSE),"ERRO")</f>
        <v>ERRO</v>
      </c>
      <c r="Z265"/>
    </row>
    <row r="266" spans="1:26" ht="15" x14ac:dyDescent="0.25">
      <c r="A266" s="94"/>
      <c r="B266" s="32" t="str">
        <f>IF($A266="","",VLOOKUP($A266,APOIO!$A:$E,2,FALSE))</f>
        <v/>
      </c>
      <c r="C266" s="94"/>
      <c r="D266" s="32" t="str">
        <f>IF($A266="","",INDEX(APOIO!$D:$D,MATCH(CONCATENATE($A266,"_",$B266,"_",$C266),APOIO!$F:$F,0)))</f>
        <v/>
      </c>
      <c r="E266" s="31"/>
      <c r="F266" s="31"/>
      <c r="G266" s="33"/>
      <c r="H266" s="105"/>
      <c r="I266" s="32" t="str">
        <f>IF($A266="","",VLOOKUP($H266,APOIO!$L:$M,2,FALSE))</f>
        <v/>
      </c>
      <c r="J266" s="31"/>
      <c r="K266" s="32" t="str">
        <f>IF($A266="","",VLOOKUP($J266,APOIO!$H:$J,2,FALSE))</f>
        <v/>
      </c>
      <c r="L266" s="32" t="str">
        <f>IF($A266="","",VLOOKUP($J266,APOIO!$H:$J,3,FALSE))</f>
        <v/>
      </c>
      <c r="M266" s="31"/>
      <c r="N266" s="34"/>
      <c r="O266" s="32"/>
      <c r="P266" s="32"/>
      <c r="Q266" s="32"/>
      <c r="R266" s="32"/>
      <c r="S266" s="35"/>
      <c r="T266" s="91"/>
      <c r="U266" s="60"/>
      <c r="V266" s="36"/>
      <c r="W266" s="31"/>
      <c r="X266" s="59"/>
      <c r="Y266" s="59" t="str">
        <f>IFERROR(VLOOKUP($A266,APOIO!$A:$A,1,FALSE),"ERRO")</f>
        <v>ERRO</v>
      </c>
      <c r="Z266"/>
    </row>
    <row r="267" spans="1:26" ht="15" x14ac:dyDescent="0.25">
      <c r="A267" s="94"/>
      <c r="B267" s="32" t="str">
        <f>IF($A267="","",VLOOKUP($A267,APOIO!$A:$E,2,FALSE))</f>
        <v/>
      </c>
      <c r="C267" s="94"/>
      <c r="D267" s="32" t="str">
        <f>IF($A267="","",INDEX(APOIO!$D:$D,MATCH(CONCATENATE($A267,"_",$B267,"_",$C267),APOIO!$F:$F,0)))</f>
        <v/>
      </c>
      <c r="E267" s="31"/>
      <c r="F267" s="31"/>
      <c r="G267" s="33"/>
      <c r="H267" s="105"/>
      <c r="I267" s="32" t="str">
        <f>IF($A267="","",VLOOKUP($H267,APOIO!$L:$M,2,FALSE))</f>
        <v/>
      </c>
      <c r="J267" s="31"/>
      <c r="K267" s="32" t="str">
        <f>IF($A267="","",VLOOKUP($J267,APOIO!$H:$J,2,FALSE))</f>
        <v/>
      </c>
      <c r="L267" s="32" t="str">
        <f>IF($A267="","",VLOOKUP($J267,APOIO!$H:$J,3,FALSE))</f>
        <v/>
      </c>
      <c r="M267" s="31"/>
      <c r="N267" s="34"/>
      <c r="O267" s="32"/>
      <c r="P267" s="32"/>
      <c r="Q267" s="32"/>
      <c r="R267" s="32"/>
      <c r="S267" s="35"/>
      <c r="T267" s="91"/>
      <c r="U267" s="60"/>
      <c r="V267" s="36"/>
      <c r="W267" s="31"/>
      <c r="X267" s="59"/>
      <c r="Y267" s="59" t="str">
        <f>IFERROR(VLOOKUP($A267,APOIO!$A:$A,1,FALSE),"ERRO")</f>
        <v>ERRO</v>
      </c>
      <c r="Z267"/>
    </row>
    <row r="268" spans="1:26" ht="15" x14ac:dyDescent="0.25">
      <c r="A268" s="94"/>
      <c r="B268" s="32" t="str">
        <f>IF($A268="","",VLOOKUP($A268,APOIO!$A:$E,2,FALSE))</f>
        <v/>
      </c>
      <c r="C268" s="94"/>
      <c r="D268" s="32" t="str">
        <f>IF($A268="","",INDEX(APOIO!$D:$D,MATCH(CONCATENATE($A268,"_",$B268,"_",$C268),APOIO!$F:$F,0)))</f>
        <v/>
      </c>
      <c r="E268" s="31"/>
      <c r="F268" s="31"/>
      <c r="G268" s="33"/>
      <c r="H268" s="105"/>
      <c r="I268" s="32" t="str">
        <f>IF($A268="","",VLOOKUP($H268,APOIO!$L:$M,2,FALSE))</f>
        <v/>
      </c>
      <c r="J268" s="31"/>
      <c r="K268" s="32" t="str">
        <f>IF($A268="","",VLOOKUP($J268,APOIO!$H:$J,2,FALSE))</f>
        <v/>
      </c>
      <c r="L268" s="32" t="str">
        <f>IF($A268="","",VLOOKUP($J268,APOIO!$H:$J,3,FALSE))</f>
        <v/>
      </c>
      <c r="M268" s="31"/>
      <c r="N268" s="34"/>
      <c r="O268" s="32"/>
      <c r="P268" s="32"/>
      <c r="Q268" s="32"/>
      <c r="R268" s="32"/>
      <c r="S268" s="35"/>
      <c r="T268" s="91"/>
      <c r="U268" s="60"/>
      <c r="V268" s="36"/>
      <c r="W268" s="31"/>
      <c r="X268" s="59"/>
      <c r="Y268" s="59" t="str">
        <f>IFERROR(VLOOKUP($A268,APOIO!$A:$A,1,FALSE),"ERRO")</f>
        <v>ERRO</v>
      </c>
      <c r="Z268"/>
    </row>
    <row r="269" spans="1:26" ht="15" x14ac:dyDescent="0.25">
      <c r="A269" s="94"/>
      <c r="B269" s="32" t="str">
        <f>IF($A269="","",VLOOKUP($A269,APOIO!$A:$E,2,FALSE))</f>
        <v/>
      </c>
      <c r="C269" s="94"/>
      <c r="D269" s="32" t="str">
        <f>IF($A269="","",INDEX(APOIO!$D:$D,MATCH(CONCATENATE($A269,"_",$B269,"_",$C269),APOIO!$F:$F,0)))</f>
        <v/>
      </c>
      <c r="E269" s="31"/>
      <c r="F269" s="31"/>
      <c r="G269" s="33"/>
      <c r="H269" s="105"/>
      <c r="I269" s="32" t="str">
        <f>IF($A269="","",VLOOKUP($H269,APOIO!$L:$M,2,FALSE))</f>
        <v/>
      </c>
      <c r="J269" s="31"/>
      <c r="K269" s="32" t="str">
        <f>IF($A269="","",VLOOKUP($J269,APOIO!$H:$J,2,FALSE))</f>
        <v/>
      </c>
      <c r="L269" s="32" t="str">
        <f>IF($A269="","",VLOOKUP($J269,APOIO!$H:$J,3,FALSE))</f>
        <v/>
      </c>
      <c r="M269" s="31"/>
      <c r="N269" s="34"/>
      <c r="O269" s="32"/>
      <c r="P269" s="32"/>
      <c r="Q269" s="32"/>
      <c r="R269" s="32"/>
      <c r="S269" s="35"/>
      <c r="T269" s="91"/>
      <c r="U269" s="60"/>
      <c r="V269" s="36"/>
      <c r="W269" s="31"/>
      <c r="X269" s="59"/>
      <c r="Y269" s="59" t="str">
        <f>IFERROR(VLOOKUP($A269,APOIO!$A:$A,1,FALSE),"ERRO")</f>
        <v>ERRO</v>
      </c>
      <c r="Z269"/>
    </row>
    <row r="270" spans="1:26" ht="15" x14ac:dyDescent="0.25">
      <c r="A270" s="94"/>
      <c r="B270" s="32" t="str">
        <f>IF($A270="","",VLOOKUP($A270,APOIO!$A:$E,2,FALSE))</f>
        <v/>
      </c>
      <c r="C270" s="94"/>
      <c r="D270" s="32" t="str">
        <f>IF($A270="","",INDEX(APOIO!$D:$D,MATCH(CONCATENATE($A270,"_",$B270,"_",$C270),APOIO!$F:$F,0)))</f>
        <v/>
      </c>
      <c r="E270" s="31"/>
      <c r="F270" s="31"/>
      <c r="G270" s="33"/>
      <c r="H270" s="105"/>
      <c r="I270" s="32" t="str">
        <f>IF($A270="","",VLOOKUP($H270,APOIO!$L:$M,2,FALSE))</f>
        <v/>
      </c>
      <c r="J270" s="31"/>
      <c r="K270" s="32" t="str">
        <f>IF($A270="","",VLOOKUP($J270,APOIO!$H:$J,2,FALSE))</f>
        <v/>
      </c>
      <c r="L270" s="32" t="str">
        <f>IF($A270="","",VLOOKUP($J270,APOIO!$H:$J,3,FALSE))</f>
        <v/>
      </c>
      <c r="M270" s="31"/>
      <c r="N270" s="34"/>
      <c r="O270" s="32"/>
      <c r="P270" s="32"/>
      <c r="Q270" s="32"/>
      <c r="R270" s="32"/>
      <c r="S270" s="35"/>
      <c r="T270" s="91"/>
      <c r="U270" s="60"/>
      <c r="V270" s="36"/>
      <c r="W270" s="31"/>
      <c r="X270" s="59"/>
      <c r="Y270" s="59" t="str">
        <f>IFERROR(VLOOKUP($A270,APOIO!$A:$A,1,FALSE),"ERRO")</f>
        <v>ERRO</v>
      </c>
      <c r="Z270"/>
    </row>
    <row r="271" spans="1:26" ht="15" x14ac:dyDescent="0.25">
      <c r="A271" s="94"/>
      <c r="B271" s="32" t="str">
        <f>IF($A271="","",VLOOKUP($A271,APOIO!$A:$E,2,FALSE))</f>
        <v/>
      </c>
      <c r="C271" s="94"/>
      <c r="D271" s="32" t="str">
        <f>IF($A271="","",INDEX(APOIO!$D:$D,MATCH(CONCATENATE($A271,"_",$B271,"_",$C271),APOIO!$F:$F,0)))</f>
        <v/>
      </c>
      <c r="E271" s="31"/>
      <c r="F271" s="31"/>
      <c r="G271" s="33"/>
      <c r="H271" s="105"/>
      <c r="I271" s="32" t="str">
        <f>IF($A271="","",VLOOKUP($H271,APOIO!$L:$M,2,FALSE))</f>
        <v/>
      </c>
      <c r="J271" s="31"/>
      <c r="K271" s="32" t="str">
        <f>IF($A271="","",VLOOKUP($J271,APOIO!$H:$J,2,FALSE))</f>
        <v/>
      </c>
      <c r="L271" s="32" t="str">
        <f>IF($A271="","",VLOOKUP($J271,APOIO!$H:$J,3,FALSE))</f>
        <v/>
      </c>
      <c r="M271" s="31"/>
      <c r="N271" s="34"/>
      <c r="O271" s="32"/>
      <c r="P271" s="32"/>
      <c r="Q271" s="32"/>
      <c r="R271" s="32"/>
      <c r="S271" s="35"/>
      <c r="T271" s="91"/>
      <c r="U271" s="60"/>
      <c r="V271" s="36"/>
      <c r="W271" s="31"/>
      <c r="X271" s="59"/>
      <c r="Y271" s="59" t="str">
        <f>IFERROR(VLOOKUP($A271,APOIO!$A:$A,1,FALSE),"ERRO")</f>
        <v>ERRO</v>
      </c>
      <c r="Z271"/>
    </row>
    <row r="272" spans="1:26" ht="15" x14ac:dyDescent="0.25">
      <c r="A272" s="94"/>
      <c r="B272" s="32" t="str">
        <f>IF($A272="","",VLOOKUP($A272,APOIO!$A:$E,2,FALSE))</f>
        <v/>
      </c>
      <c r="C272" s="94"/>
      <c r="D272" s="32" t="str">
        <f>IF($A272="","",INDEX(APOIO!$D:$D,MATCH(CONCATENATE($A272,"_",$B272,"_",$C272),APOIO!$F:$F,0)))</f>
        <v/>
      </c>
      <c r="E272" s="31"/>
      <c r="F272" s="31"/>
      <c r="G272" s="33"/>
      <c r="H272" s="105"/>
      <c r="I272" s="32" t="str">
        <f>IF($A272="","",VLOOKUP($H272,APOIO!$L:$M,2,FALSE))</f>
        <v/>
      </c>
      <c r="J272" s="31"/>
      <c r="K272" s="32" t="str">
        <f>IF($A272="","",VLOOKUP($J272,APOIO!$H:$J,2,FALSE))</f>
        <v/>
      </c>
      <c r="L272" s="32" t="str">
        <f>IF($A272="","",VLOOKUP($J272,APOIO!$H:$J,3,FALSE))</f>
        <v/>
      </c>
      <c r="M272" s="31"/>
      <c r="N272" s="34"/>
      <c r="O272" s="32"/>
      <c r="P272" s="32"/>
      <c r="Q272" s="32"/>
      <c r="R272" s="32"/>
      <c r="S272" s="35"/>
      <c r="T272" s="91"/>
      <c r="U272" s="60"/>
      <c r="V272" s="36"/>
      <c r="W272" s="31"/>
      <c r="X272" s="59"/>
      <c r="Y272" s="59" t="str">
        <f>IFERROR(VLOOKUP($A272,APOIO!$A:$A,1,FALSE),"ERRO")</f>
        <v>ERRO</v>
      </c>
      <c r="Z272"/>
    </row>
    <row r="273" spans="1:26" ht="15" x14ac:dyDescent="0.25">
      <c r="A273" s="94"/>
      <c r="B273" s="32" t="str">
        <f>IF($A273="","",VLOOKUP($A273,APOIO!$A:$E,2,FALSE))</f>
        <v/>
      </c>
      <c r="C273" s="94"/>
      <c r="D273" s="32" t="str">
        <f>IF($A273="","",INDEX(APOIO!$D:$D,MATCH(CONCATENATE($A273,"_",$B273,"_",$C273),APOIO!$F:$F,0)))</f>
        <v/>
      </c>
      <c r="E273" s="31"/>
      <c r="F273" s="31"/>
      <c r="G273" s="33"/>
      <c r="H273" s="105"/>
      <c r="I273" s="32" t="str">
        <f>IF($A273="","",VLOOKUP($H273,APOIO!$L:$M,2,FALSE))</f>
        <v/>
      </c>
      <c r="J273" s="31"/>
      <c r="K273" s="32" t="str">
        <f>IF($A273="","",VLOOKUP($J273,APOIO!$H:$J,2,FALSE))</f>
        <v/>
      </c>
      <c r="L273" s="32" t="str">
        <f>IF($A273="","",VLOOKUP($J273,APOIO!$H:$J,3,FALSE))</f>
        <v/>
      </c>
      <c r="M273" s="31"/>
      <c r="N273" s="34"/>
      <c r="O273" s="32"/>
      <c r="P273" s="32"/>
      <c r="Q273" s="32"/>
      <c r="R273" s="32"/>
      <c r="S273" s="35"/>
      <c r="T273" s="91"/>
      <c r="U273" s="60"/>
      <c r="V273" s="36"/>
      <c r="W273" s="31"/>
      <c r="X273" s="59"/>
      <c r="Y273" s="59" t="str">
        <f>IFERROR(VLOOKUP($A273,APOIO!$A:$A,1,FALSE),"ERRO")</f>
        <v>ERRO</v>
      </c>
      <c r="Z273"/>
    </row>
    <row r="274" spans="1:26" ht="15" x14ac:dyDescent="0.25">
      <c r="A274" s="94"/>
      <c r="B274" s="32" t="str">
        <f>IF($A274="","",VLOOKUP($A274,APOIO!$A:$E,2,FALSE))</f>
        <v/>
      </c>
      <c r="C274" s="94"/>
      <c r="D274" s="32" t="str">
        <f>IF($A274="","",INDEX(APOIO!$D:$D,MATCH(CONCATENATE($A274,"_",$B274,"_",$C274),APOIO!$F:$F,0)))</f>
        <v/>
      </c>
      <c r="E274" s="31"/>
      <c r="F274" s="31"/>
      <c r="G274" s="33"/>
      <c r="H274" s="105"/>
      <c r="I274" s="32" t="str">
        <f>IF($A274="","",VLOOKUP($H274,APOIO!$L:$M,2,FALSE))</f>
        <v/>
      </c>
      <c r="J274" s="31"/>
      <c r="K274" s="32" t="str">
        <f>IF($A274="","",VLOOKUP($J274,APOIO!$H:$J,2,FALSE))</f>
        <v/>
      </c>
      <c r="L274" s="32" t="str">
        <f>IF($A274="","",VLOOKUP($J274,APOIO!$H:$J,3,FALSE))</f>
        <v/>
      </c>
      <c r="M274" s="31"/>
      <c r="N274" s="34"/>
      <c r="O274" s="32"/>
      <c r="P274" s="32"/>
      <c r="Q274" s="32"/>
      <c r="R274" s="32"/>
      <c r="S274" s="35"/>
      <c r="T274" s="91"/>
      <c r="U274" s="60"/>
      <c r="V274" s="36"/>
      <c r="W274" s="31"/>
      <c r="X274" s="59"/>
      <c r="Y274" s="59" t="str">
        <f>IFERROR(VLOOKUP($A274,APOIO!$A:$A,1,FALSE),"ERRO")</f>
        <v>ERRO</v>
      </c>
      <c r="Z274"/>
    </row>
    <row r="275" spans="1:26" ht="15" x14ac:dyDescent="0.25">
      <c r="A275" s="94"/>
      <c r="B275" s="32" t="str">
        <f>IF($A275="","",VLOOKUP($A275,APOIO!$A:$E,2,FALSE))</f>
        <v/>
      </c>
      <c r="C275" s="94"/>
      <c r="D275" s="32" t="str">
        <f>IF($A275="","",INDEX(APOIO!$D:$D,MATCH(CONCATENATE($A275,"_",$B275,"_",$C275),APOIO!$F:$F,0)))</f>
        <v/>
      </c>
      <c r="E275" s="31"/>
      <c r="F275" s="31"/>
      <c r="G275" s="33"/>
      <c r="H275" s="105"/>
      <c r="I275" s="32" t="str">
        <f>IF($A275="","",VLOOKUP($H275,APOIO!$L:$M,2,FALSE))</f>
        <v/>
      </c>
      <c r="J275" s="31"/>
      <c r="K275" s="32" t="str">
        <f>IF($A275="","",VLOOKUP($J275,APOIO!$H:$J,2,FALSE))</f>
        <v/>
      </c>
      <c r="L275" s="32" t="str">
        <f>IF($A275="","",VLOOKUP($J275,APOIO!$H:$J,3,FALSE))</f>
        <v/>
      </c>
      <c r="M275" s="31"/>
      <c r="N275" s="34"/>
      <c r="O275" s="32"/>
      <c r="P275" s="32"/>
      <c r="Q275" s="32"/>
      <c r="R275" s="32"/>
      <c r="S275" s="35"/>
      <c r="T275" s="91"/>
      <c r="U275" s="60"/>
      <c r="V275" s="36"/>
      <c r="W275" s="31"/>
      <c r="X275" s="59"/>
      <c r="Y275" s="59" t="str">
        <f>IFERROR(VLOOKUP($A275,APOIO!$A:$A,1,FALSE),"ERRO")</f>
        <v>ERRO</v>
      </c>
      <c r="Z275"/>
    </row>
    <row r="276" spans="1:26" ht="15" x14ac:dyDescent="0.25">
      <c r="A276" s="94"/>
      <c r="B276" s="32" t="str">
        <f>IF($A276="","",VLOOKUP($A276,APOIO!$A:$E,2,FALSE))</f>
        <v/>
      </c>
      <c r="C276" s="94"/>
      <c r="D276" s="32" t="str">
        <f>IF($A276="","",INDEX(APOIO!$D:$D,MATCH(CONCATENATE($A276,"_",$B276,"_",$C276),APOIO!$F:$F,0)))</f>
        <v/>
      </c>
      <c r="E276" s="31"/>
      <c r="F276" s="31"/>
      <c r="G276" s="33"/>
      <c r="H276" s="105"/>
      <c r="I276" s="32" t="str">
        <f>IF($A276="","",VLOOKUP($H276,APOIO!$L:$M,2,FALSE))</f>
        <v/>
      </c>
      <c r="J276" s="31"/>
      <c r="K276" s="32" t="str">
        <f>IF($A276="","",VLOOKUP($J276,APOIO!$H:$J,2,FALSE))</f>
        <v/>
      </c>
      <c r="L276" s="32" t="str">
        <f>IF($A276="","",VLOOKUP($J276,APOIO!$H:$J,3,FALSE))</f>
        <v/>
      </c>
      <c r="M276" s="31"/>
      <c r="N276" s="34"/>
      <c r="O276" s="32"/>
      <c r="P276" s="32"/>
      <c r="Q276" s="32"/>
      <c r="R276" s="32"/>
      <c r="S276" s="35"/>
      <c r="T276" s="91"/>
      <c r="U276" s="60"/>
      <c r="V276" s="36"/>
      <c r="W276" s="31"/>
      <c r="X276" s="59"/>
      <c r="Y276" s="59" t="str">
        <f>IFERROR(VLOOKUP($A276,APOIO!$A:$A,1,FALSE),"ERRO")</f>
        <v>ERRO</v>
      </c>
      <c r="Z276"/>
    </row>
    <row r="277" spans="1:26" ht="15" x14ac:dyDescent="0.25">
      <c r="A277" s="94"/>
      <c r="B277" s="32" t="str">
        <f>IF($A277="","",VLOOKUP($A277,APOIO!$A:$E,2,FALSE))</f>
        <v/>
      </c>
      <c r="C277" s="94"/>
      <c r="D277" s="32" t="str">
        <f>IF($A277="","",INDEX(APOIO!$D:$D,MATCH(CONCATENATE($A277,"_",$B277,"_",$C277),APOIO!$F:$F,0)))</f>
        <v/>
      </c>
      <c r="E277" s="31"/>
      <c r="F277" s="31"/>
      <c r="G277" s="33"/>
      <c r="H277" s="105"/>
      <c r="I277" s="32" t="str">
        <f>IF($A277="","",VLOOKUP($H277,APOIO!$L:$M,2,FALSE))</f>
        <v/>
      </c>
      <c r="J277" s="31"/>
      <c r="K277" s="32" t="str">
        <f>IF($A277="","",VLOOKUP($J277,APOIO!$H:$J,2,FALSE))</f>
        <v/>
      </c>
      <c r="L277" s="32" t="str">
        <f>IF($A277="","",VLOOKUP($J277,APOIO!$H:$J,3,FALSE))</f>
        <v/>
      </c>
      <c r="M277" s="31"/>
      <c r="N277" s="34"/>
      <c r="O277" s="32"/>
      <c r="P277" s="32"/>
      <c r="Q277" s="32"/>
      <c r="R277" s="32"/>
      <c r="S277" s="35"/>
      <c r="T277" s="91"/>
      <c r="U277" s="60"/>
      <c r="V277" s="36"/>
      <c r="W277" s="31"/>
      <c r="X277" s="59"/>
      <c r="Y277" s="59" t="str">
        <f>IFERROR(VLOOKUP($A277,APOIO!$A:$A,1,FALSE),"ERRO")</f>
        <v>ERRO</v>
      </c>
      <c r="Z277"/>
    </row>
    <row r="278" spans="1:26" ht="15" x14ac:dyDescent="0.25">
      <c r="A278" s="94"/>
      <c r="B278" s="32" t="str">
        <f>IF($A278="","",VLOOKUP($A278,APOIO!$A:$E,2,FALSE))</f>
        <v/>
      </c>
      <c r="C278" s="94"/>
      <c r="D278" s="32" t="str">
        <f>IF($A278="","",INDEX(APOIO!$D:$D,MATCH(CONCATENATE($A278,"_",$B278,"_",$C278),APOIO!$F:$F,0)))</f>
        <v/>
      </c>
      <c r="E278" s="31"/>
      <c r="F278" s="31"/>
      <c r="G278" s="33"/>
      <c r="H278" s="105"/>
      <c r="I278" s="32" t="str">
        <f>IF($A278="","",VLOOKUP($H278,APOIO!$L:$M,2,FALSE))</f>
        <v/>
      </c>
      <c r="J278" s="31"/>
      <c r="K278" s="32" t="str">
        <f>IF($A278="","",VLOOKUP($J278,APOIO!$H:$J,2,FALSE))</f>
        <v/>
      </c>
      <c r="L278" s="32" t="str">
        <f>IF($A278="","",VLOOKUP($J278,APOIO!$H:$J,3,FALSE))</f>
        <v/>
      </c>
      <c r="M278" s="31"/>
      <c r="N278" s="34"/>
      <c r="O278" s="32"/>
      <c r="P278" s="32"/>
      <c r="Q278" s="32"/>
      <c r="R278" s="32"/>
      <c r="S278" s="35"/>
      <c r="T278" s="91"/>
      <c r="U278" s="60"/>
      <c r="V278" s="36"/>
      <c r="W278" s="31"/>
      <c r="X278" s="59"/>
      <c r="Y278" s="59" t="str">
        <f>IFERROR(VLOOKUP($A278,APOIO!$A:$A,1,FALSE),"ERRO")</f>
        <v>ERRO</v>
      </c>
      <c r="Z278"/>
    </row>
    <row r="279" spans="1:26" ht="15" x14ac:dyDescent="0.25">
      <c r="A279" s="94"/>
      <c r="B279" s="32" t="str">
        <f>IF($A279="","",VLOOKUP($A279,APOIO!$A:$E,2,FALSE))</f>
        <v/>
      </c>
      <c r="C279" s="94"/>
      <c r="D279" s="32" t="str">
        <f>IF($A279="","",INDEX(APOIO!$D:$D,MATCH(CONCATENATE($A279,"_",$B279,"_",$C279),APOIO!$F:$F,0)))</f>
        <v/>
      </c>
      <c r="E279" s="31"/>
      <c r="F279" s="31"/>
      <c r="G279" s="33"/>
      <c r="H279" s="105"/>
      <c r="I279" s="32" t="str">
        <f>IF($A279="","",VLOOKUP($H279,APOIO!$L:$M,2,FALSE))</f>
        <v/>
      </c>
      <c r="J279" s="31"/>
      <c r="K279" s="32" t="str">
        <f>IF($A279="","",VLOOKUP($J279,APOIO!$H:$J,2,FALSE))</f>
        <v/>
      </c>
      <c r="L279" s="32" t="str">
        <f>IF($A279="","",VLOOKUP($J279,APOIO!$H:$J,3,FALSE))</f>
        <v/>
      </c>
      <c r="M279" s="31"/>
      <c r="N279" s="34"/>
      <c r="O279" s="32"/>
      <c r="P279" s="32"/>
      <c r="Q279" s="32"/>
      <c r="R279" s="32"/>
      <c r="S279" s="35"/>
      <c r="T279" s="91"/>
      <c r="U279" s="60"/>
      <c r="V279" s="36"/>
      <c r="W279" s="31"/>
      <c r="X279" s="59"/>
      <c r="Y279" s="59" t="str">
        <f>IFERROR(VLOOKUP($A279,APOIO!$A:$A,1,FALSE),"ERRO")</f>
        <v>ERRO</v>
      </c>
      <c r="Z279"/>
    </row>
    <row r="280" spans="1:26" ht="15" x14ac:dyDescent="0.25">
      <c r="A280" s="94"/>
      <c r="B280" s="32" t="str">
        <f>IF($A280="","",VLOOKUP($A280,APOIO!$A:$E,2,FALSE))</f>
        <v/>
      </c>
      <c r="C280" s="94"/>
      <c r="D280" s="32" t="str">
        <f>IF($A280="","",INDEX(APOIO!$D:$D,MATCH(CONCATENATE($A280,"_",$B280,"_",$C280),APOIO!$F:$F,0)))</f>
        <v/>
      </c>
      <c r="E280" s="31"/>
      <c r="F280" s="31"/>
      <c r="G280" s="33"/>
      <c r="H280" s="105"/>
      <c r="I280" s="32" t="str">
        <f>IF($A280="","",VLOOKUP($H280,APOIO!$L:$M,2,FALSE))</f>
        <v/>
      </c>
      <c r="J280" s="31"/>
      <c r="K280" s="32" t="str">
        <f>IF($A280="","",VLOOKUP($J280,APOIO!$H:$J,2,FALSE))</f>
        <v/>
      </c>
      <c r="L280" s="32" t="str">
        <f>IF($A280="","",VLOOKUP($J280,APOIO!$H:$J,3,FALSE))</f>
        <v/>
      </c>
      <c r="M280" s="31"/>
      <c r="N280" s="34"/>
      <c r="O280" s="32"/>
      <c r="P280" s="32"/>
      <c r="Q280" s="32"/>
      <c r="R280" s="32"/>
      <c r="S280" s="35"/>
      <c r="T280" s="91"/>
      <c r="U280" s="60"/>
      <c r="V280" s="36"/>
      <c r="W280" s="31"/>
      <c r="X280" s="59"/>
      <c r="Y280" s="59" t="str">
        <f>IFERROR(VLOOKUP($A280,APOIO!$A:$A,1,FALSE),"ERRO")</f>
        <v>ERRO</v>
      </c>
      <c r="Z280"/>
    </row>
    <row r="281" spans="1:26" ht="15" x14ac:dyDescent="0.25">
      <c r="A281" s="94"/>
      <c r="B281" s="32" t="str">
        <f>IF($A281="","",VLOOKUP($A281,APOIO!$A:$E,2,FALSE))</f>
        <v/>
      </c>
      <c r="C281" s="94"/>
      <c r="D281" s="32" t="str">
        <f>IF($A281="","",INDEX(APOIO!$D:$D,MATCH(CONCATENATE($A281,"_",$B281,"_",$C281),APOIO!$F:$F,0)))</f>
        <v/>
      </c>
      <c r="E281" s="31"/>
      <c r="F281" s="31"/>
      <c r="G281" s="33"/>
      <c r="H281" s="105"/>
      <c r="I281" s="32" t="str">
        <f>IF($A281="","",VLOOKUP($H281,APOIO!$L:$M,2,FALSE))</f>
        <v/>
      </c>
      <c r="J281" s="31"/>
      <c r="K281" s="32" t="str">
        <f>IF($A281="","",VLOOKUP($J281,APOIO!$H:$J,2,FALSE))</f>
        <v/>
      </c>
      <c r="L281" s="32" t="str">
        <f>IF($A281="","",VLOOKUP($J281,APOIO!$H:$J,3,FALSE))</f>
        <v/>
      </c>
      <c r="M281" s="31"/>
      <c r="N281" s="34"/>
      <c r="O281" s="32"/>
      <c r="P281" s="32"/>
      <c r="Q281" s="32"/>
      <c r="R281" s="32"/>
      <c r="S281" s="35"/>
      <c r="T281" s="91"/>
      <c r="U281" s="60"/>
      <c r="V281" s="36"/>
      <c r="W281" s="31"/>
      <c r="X281" s="59"/>
      <c r="Y281" s="59" t="str">
        <f>IFERROR(VLOOKUP($A281,APOIO!$A:$A,1,FALSE),"ERRO")</f>
        <v>ERRO</v>
      </c>
      <c r="Z281"/>
    </row>
    <row r="282" spans="1:26" ht="15" x14ac:dyDescent="0.25">
      <c r="A282" s="94"/>
      <c r="B282" s="32" t="str">
        <f>IF($A282="","",VLOOKUP($A282,APOIO!$A:$E,2,FALSE))</f>
        <v/>
      </c>
      <c r="C282" s="94"/>
      <c r="D282" s="32" t="str">
        <f>IF($A282="","",INDEX(APOIO!$D:$D,MATCH(CONCATENATE($A282,"_",$B282,"_",$C282),APOIO!$F:$F,0)))</f>
        <v/>
      </c>
      <c r="E282" s="31"/>
      <c r="F282" s="31"/>
      <c r="G282" s="33"/>
      <c r="H282" s="105"/>
      <c r="I282" s="32" t="str">
        <f>IF($A282="","",VLOOKUP($H282,APOIO!$L:$M,2,FALSE))</f>
        <v/>
      </c>
      <c r="J282" s="31"/>
      <c r="K282" s="32" t="str">
        <f>IF($A282="","",VLOOKUP($J282,APOIO!$H:$J,2,FALSE))</f>
        <v/>
      </c>
      <c r="L282" s="32" t="str">
        <f>IF($A282="","",VLOOKUP($J282,APOIO!$H:$J,3,FALSE))</f>
        <v/>
      </c>
      <c r="M282" s="31"/>
      <c r="N282" s="34"/>
      <c r="O282" s="32"/>
      <c r="P282" s="32"/>
      <c r="Q282" s="32"/>
      <c r="R282" s="32"/>
      <c r="S282" s="35"/>
      <c r="T282" s="91"/>
      <c r="U282" s="60"/>
      <c r="V282" s="36"/>
      <c r="W282" s="31"/>
      <c r="X282" s="59"/>
      <c r="Y282" s="59" t="str">
        <f>IFERROR(VLOOKUP($A282,APOIO!$A:$A,1,FALSE),"ERRO")</f>
        <v>ERRO</v>
      </c>
      <c r="Z282"/>
    </row>
    <row r="283" spans="1:26" ht="15" x14ac:dyDescent="0.25">
      <c r="A283" s="94"/>
      <c r="B283" s="32" t="str">
        <f>IF($A283="","",VLOOKUP($A283,APOIO!$A:$E,2,FALSE))</f>
        <v/>
      </c>
      <c r="C283" s="94"/>
      <c r="D283" s="32" t="str">
        <f>IF($A283="","",INDEX(APOIO!$D:$D,MATCH(CONCATENATE($A283,"_",$B283,"_",$C283),APOIO!$F:$F,0)))</f>
        <v/>
      </c>
      <c r="E283" s="31"/>
      <c r="F283" s="31"/>
      <c r="G283" s="33"/>
      <c r="H283" s="105"/>
      <c r="I283" s="32" t="str">
        <f>IF($A283="","",VLOOKUP($H283,APOIO!$L:$M,2,FALSE))</f>
        <v/>
      </c>
      <c r="J283" s="31"/>
      <c r="K283" s="32" t="str">
        <f>IF($A283="","",VLOOKUP($J283,APOIO!$H:$J,2,FALSE))</f>
        <v/>
      </c>
      <c r="L283" s="32" t="str">
        <f>IF($A283="","",VLOOKUP($J283,APOIO!$H:$J,3,FALSE))</f>
        <v/>
      </c>
      <c r="M283" s="31"/>
      <c r="N283" s="34"/>
      <c r="O283" s="32"/>
      <c r="P283" s="32"/>
      <c r="Q283" s="32"/>
      <c r="R283" s="32"/>
      <c r="S283" s="35"/>
      <c r="T283" s="91"/>
      <c r="U283" s="60"/>
      <c r="V283" s="36"/>
      <c r="W283" s="31"/>
      <c r="X283" s="59"/>
      <c r="Y283" s="59" t="str">
        <f>IFERROR(VLOOKUP($A283,APOIO!$A:$A,1,FALSE),"ERRO")</f>
        <v>ERRO</v>
      </c>
      <c r="Z283"/>
    </row>
    <row r="284" spans="1:26" ht="15" x14ac:dyDescent="0.25">
      <c r="A284" s="94"/>
      <c r="B284" s="32" t="str">
        <f>IF($A284="","",VLOOKUP($A284,APOIO!$A:$E,2,FALSE))</f>
        <v/>
      </c>
      <c r="C284" s="94"/>
      <c r="D284" s="32" t="str">
        <f>IF($A284="","",INDEX(APOIO!$D:$D,MATCH(CONCATENATE($A284,"_",$B284,"_",$C284),APOIO!$F:$F,0)))</f>
        <v/>
      </c>
      <c r="E284" s="31"/>
      <c r="F284" s="31"/>
      <c r="G284" s="33"/>
      <c r="H284" s="105"/>
      <c r="I284" s="32" t="str">
        <f>IF($A284="","",VLOOKUP($H284,APOIO!$L:$M,2,FALSE))</f>
        <v/>
      </c>
      <c r="J284" s="31"/>
      <c r="K284" s="32" t="str">
        <f>IF($A284="","",VLOOKUP($J284,APOIO!$H:$J,2,FALSE))</f>
        <v/>
      </c>
      <c r="L284" s="32" t="str">
        <f>IF($A284="","",VLOOKUP($J284,APOIO!$H:$J,3,FALSE))</f>
        <v/>
      </c>
      <c r="M284" s="31"/>
      <c r="N284" s="34"/>
      <c r="O284" s="32"/>
      <c r="P284" s="32"/>
      <c r="Q284" s="32"/>
      <c r="R284" s="32"/>
      <c r="S284" s="35"/>
      <c r="T284" s="91"/>
      <c r="U284" s="60"/>
      <c r="V284" s="36"/>
      <c r="W284" s="31"/>
      <c r="X284" s="59"/>
      <c r="Y284" s="59" t="str">
        <f>IFERROR(VLOOKUP($A284,APOIO!$A:$A,1,FALSE),"ERRO")</f>
        <v>ERRO</v>
      </c>
      <c r="Z284"/>
    </row>
    <row r="285" spans="1:26" ht="15" x14ac:dyDescent="0.25">
      <c r="A285" s="94"/>
      <c r="B285" s="32" t="str">
        <f>IF($A285="","",VLOOKUP($A285,APOIO!$A:$E,2,FALSE))</f>
        <v/>
      </c>
      <c r="C285" s="94"/>
      <c r="D285" s="32" t="str">
        <f>IF($A285="","",INDEX(APOIO!$D:$D,MATCH(CONCATENATE($A285,"_",$B285,"_",$C285),APOIO!$F:$F,0)))</f>
        <v/>
      </c>
      <c r="E285" s="31"/>
      <c r="F285" s="31"/>
      <c r="G285" s="33"/>
      <c r="H285" s="105"/>
      <c r="I285" s="32" t="str">
        <f>IF($A285="","",VLOOKUP($H285,APOIO!$L:$M,2,FALSE))</f>
        <v/>
      </c>
      <c r="J285" s="31"/>
      <c r="K285" s="32" t="str">
        <f>IF($A285="","",VLOOKUP($J285,APOIO!$H:$J,2,FALSE))</f>
        <v/>
      </c>
      <c r="L285" s="32" t="str">
        <f>IF($A285="","",VLOOKUP($J285,APOIO!$H:$J,3,FALSE))</f>
        <v/>
      </c>
      <c r="M285" s="31"/>
      <c r="N285" s="34"/>
      <c r="O285" s="32"/>
      <c r="P285" s="32"/>
      <c r="Q285" s="32"/>
      <c r="R285" s="32"/>
      <c r="S285" s="35"/>
      <c r="T285" s="91"/>
      <c r="U285" s="60"/>
      <c r="V285" s="36"/>
      <c r="W285" s="31"/>
      <c r="X285" s="59"/>
      <c r="Y285" s="59" t="str">
        <f>IFERROR(VLOOKUP($A285,APOIO!$A:$A,1,FALSE),"ERRO")</f>
        <v>ERRO</v>
      </c>
      <c r="Z285"/>
    </row>
    <row r="286" spans="1:26" ht="15" x14ac:dyDescent="0.25">
      <c r="A286" s="94"/>
      <c r="B286" s="32" t="str">
        <f>IF($A286="","",VLOOKUP($A286,APOIO!$A:$E,2,FALSE))</f>
        <v/>
      </c>
      <c r="C286" s="94"/>
      <c r="D286" s="32" t="str">
        <f>IF($A286="","",INDEX(APOIO!$D:$D,MATCH(CONCATENATE($A286,"_",$B286,"_",$C286),APOIO!$F:$F,0)))</f>
        <v/>
      </c>
      <c r="E286" s="31"/>
      <c r="F286" s="31"/>
      <c r="G286" s="33"/>
      <c r="H286" s="105"/>
      <c r="I286" s="32" t="str">
        <f>IF($A286="","",VLOOKUP($H286,APOIO!$L:$M,2,FALSE))</f>
        <v/>
      </c>
      <c r="J286" s="31"/>
      <c r="K286" s="32" t="str">
        <f>IF($A286="","",VLOOKUP($J286,APOIO!$H:$J,2,FALSE))</f>
        <v/>
      </c>
      <c r="L286" s="32" t="str">
        <f>IF($A286="","",VLOOKUP($J286,APOIO!$H:$J,3,FALSE))</f>
        <v/>
      </c>
      <c r="M286" s="31"/>
      <c r="N286" s="34"/>
      <c r="O286" s="32"/>
      <c r="P286" s="32"/>
      <c r="Q286" s="32"/>
      <c r="R286" s="32"/>
      <c r="S286" s="35"/>
      <c r="T286" s="91"/>
      <c r="U286" s="60"/>
      <c r="V286" s="36"/>
      <c r="W286" s="31"/>
      <c r="X286" s="59"/>
      <c r="Y286" s="59" t="str">
        <f>IFERROR(VLOOKUP($A286,APOIO!$A:$A,1,FALSE),"ERRO")</f>
        <v>ERRO</v>
      </c>
      <c r="Z286"/>
    </row>
    <row r="287" spans="1:26" ht="15" x14ac:dyDescent="0.25">
      <c r="A287" s="94"/>
      <c r="B287" s="32" t="str">
        <f>IF($A287="","",VLOOKUP($A287,APOIO!$A:$E,2,FALSE))</f>
        <v/>
      </c>
      <c r="C287" s="94"/>
      <c r="D287" s="32" t="str">
        <f>IF($A287="","",INDEX(APOIO!$D:$D,MATCH(CONCATENATE($A287,"_",$B287,"_",$C287),APOIO!$F:$F,0)))</f>
        <v/>
      </c>
      <c r="E287" s="31"/>
      <c r="F287" s="31"/>
      <c r="G287" s="33"/>
      <c r="H287" s="105"/>
      <c r="I287" s="32" t="str">
        <f>IF($A287="","",VLOOKUP($H287,APOIO!$L:$M,2,FALSE))</f>
        <v/>
      </c>
      <c r="J287" s="31"/>
      <c r="K287" s="32" t="str">
        <f>IF($A287="","",VLOOKUP($J287,APOIO!$H:$J,2,FALSE))</f>
        <v/>
      </c>
      <c r="L287" s="32" t="str">
        <f>IF($A287="","",VLOOKUP($J287,APOIO!$H:$J,3,FALSE))</f>
        <v/>
      </c>
      <c r="M287" s="31"/>
      <c r="N287" s="34"/>
      <c r="O287" s="32"/>
      <c r="P287" s="32"/>
      <c r="Q287" s="32"/>
      <c r="R287" s="32"/>
      <c r="S287" s="35"/>
      <c r="T287" s="91"/>
      <c r="U287" s="60"/>
      <c r="V287" s="36"/>
      <c r="W287" s="31"/>
      <c r="X287" s="59"/>
      <c r="Y287" s="59" t="str">
        <f>IFERROR(VLOOKUP($A287,APOIO!$A:$A,1,FALSE),"ERRO")</f>
        <v>ERRO</v>
      </c>
      <c r="Z287"/>
    </row>
    <row r="288" spans="1:26" ht="15" x14ac:dyDescent="0.25">
      <c r="A288" s="94"/>
      <c r="B288" s="32" t="str">
        <f>IF($A288="","",VLOOKUP($A288,APOIO!$A:$E,2,FALSE))</f>
        <v/>
      </c>
      <c r="C288" s="94"/>
      <c r="D288" s="32" t="str">
        <f>IF($A288="","",INDEX(APOIO!$D:$D,MATCH(CONCATENATE($A288,"_",$B288,"_",$C288),APOIO!$F:$F,0)))</f>
        <v/>
      </c>
      <c r="E288" s="31"/>
      <c r="F288" s="31"/>
      <c r="G288" s="33"/>
      <c r="H288" s="105"/>
      <c r="I288" s="32" t="str">
        <f>IF($A288="","",VLOOKUP($H288,APOIO!$L:$M,2,FALSE))</f>
        <v/>
      </c>
      <c r="J288" s="31"/>
      <c r="K288" s="32" t="str">
        <f>IF($A288="","",VLOOKUP($J288,APOIO!$H:$J,2,FALSE))</f>
        <v/>
      </c>
      <c r="L288" s="32" t="str">
        <f>IF($A288="","",VLOOKUP($J288,APOIO!$H:$J,3,FALSE))</f>
        <v/>
      </c>
      <c r="M288" s="31"/>
      <c r="N288" s="34"/>
      <c r="O288" s="32"/>
      <c r="P288" s="32"/>
      <c r="Q288" s="32"/>
      <c r="R288" s="32"/>
      <c r="S288" s="35"/>
      <c r="T288" s="91"/>
      <c r="U288" s="60"/>
      <c r="V288" s="36"/>
      <c r="W288" s="31"/>
      <c r="X288" s="59"/>
      <c r="Y288" s="59" t="str">
        <f>IFERROR(VLOOKUP($A288,APOIO!$A:$A,1,FALSE),"ERRO")</f>
        <v>ERRO</v>
      </c>
      <c r="Z288"/>
    </row>
    <row r="289" spans="1:26" ht="15" x14ac:dyDescent="0.25">
      <c r="A289" s="94"/>
      <c r="B289" s="32" t="str">
        <f>IF($A289="","",VLOOKUP($A289,APOIO!$A:$E,2,FALSE))</f>
        <v/>
      </c>
      <c r="C289" s="94"/>
      <c r="D289" s="32" t="str">
        <f>IF($A289="","",INDEX(APOIO!$D:$D,MATCH(CONCATENATE($A289,"_",$B289,"_",$C289),APOIO!$F:$F,0)))</f>
        <v/>
      </c>
      <c r="E289" s="31"/>
      <c r="F289" s="31"/>
      <c r="G289" s="33"/>
      <c r="H289" s="105"/>
      <c r="I289" s="32" t="str">
        <f>IF($A289="","",VLOOKUP($H289,APOIO!$L:$M,2,FALSE))</f>
        <v/>
      </c>
      <c r="J289" s="31"/>
      <c r="K289" s="32" t="str">
        <f>IF($A289="","",VLOOKUP($J289,APOIO!$H:$J,2,FALSE))</f>
        <v/>
      </c>
      <c r="L289" s="32" t="str">
        <f>IF($A289="","",VLOOKUP($J289,APOIO!$H:$J,3,FALSE))</f>
        <v/>
      </c>
      <c r="M289" s="31"/>
      <c r="N289" s="34"/>
      <c r="O289" s="32"/>
      <c r="P289" s="32"/>
      <c r="Q289" s="32"/>
      <c r="R289" s="32"/>
      <c r="S289" s="35"/>
      <c r="T289" s="91"/>
      <c r="U289" s="60"/>
      <c r="V289" s="36"/>
      <c r="W289" s="31"/>
      <c r="X289" s="59"/>
      <c r="Y289" s="59" t="str">
        <f>IFERROR(VLOOKUP($A289,APOIO!$A:$A,1,FALSE),"ERRO")</f>
        <v>ERRO</v>
      </c>
      <c r="Z289"/>
    </row>
    <row r="290" spans="1:26" ht="15" x14ac:dyDescent="0.25">
      <c r="A290" s="94"/>
      <c r="B290" s="32" t="str">
        <f>IF($A290="","",VLOOKUP($A290,APOIO!$A:$E,2,FALSE))</f>
        <v/>
      </c>
      <c r="C290" s="94"/>
      <c r="D290" s="32" t="str">
        <f>IF($A290="","",INDEX(APOIO!$D:$D,MATCH(CONCATENATE($A290,"_",$B290,"_",$C290),APOIO!$F:$F,0)))</f>
        <v/>
      </c>
      <c r="E290" s="31"/>
      <c r="F290" s="31"/>
      <c r="G290" s="33"/>
      <c r="H290" s="105"/>
      <c r="I290" s="32" t="str">
        <f>IF($A290="","",VLOOKUP($H290,APOIO!$L:$M,2,FALSE))</f>
        <v/>
      </c>
      <c r="J290" s="31"/>
      <c r="K290" s="32" t="str">
        <f>IF($A290="","",VLOOKUP($J290,APOIO!$H:$J,2,FALSE))</f>
        <v/>
      </c>
      <c r="L290" s="32" t="str">
        <f>IF($A290="","",VLOOKUP($J290,APOIO!$H:$J,3,FALSE))</f>
        <v/>
      </c>
      <c r="M290" s="31"/>
      <c r="N290" s="34"/>
      <c r="O290" s="32"/>
      <c r="P290" s="32"/>
      <c r="Q290" s="32"/>
      <c r="R290" s="32"/>
      <c r="S290" s="35"/>
      <c r="T290" s="91"/>
      <c r="U290" s="60"/>
      <c r="V290" s="36"/>
      <c r="W290" s="31"/>
      <c r="X290" s="59"/>
      <c r="Y290" s="59" t="str">
        <f>IFERROR(VLOOKUP($A290,APOIO!$A:$A,1,FALSE),"ERRO")</f>
        <v>ERRO</v>
      </c>
      <c r="Z290"/>
    </row>
    <row r="291" spans="1:26" ht="15" x14ac:dyDescent="0.25">
      <c r="A291" s="94"/>
      <c r="B291" s="32" t="str">
        <f>IF($A291="","",VLOOKUP($A291,APOIO!$A:$E,2,FALSE))</f>
        <v/>
      </c>
      <c r="C291" s="94"/>
      <c r="D291" s="32" t="str">
        <f>IF($A291="","",INDEX(APOIO!$D:$D,MATCH(CONCATENATE($A291,"_",$B291,"_",$C291),APOIO!$F:$F,0)))</f>
        <v/>
      </c>
      <c r="E291" s="31"/>
      <c r="F291" s="31"/>
      <c r="G291" s="33"/>
      <c r="H291" s="105"/>
      <c r="I291" s="32" t="str">
        <f>IF($A291="","",VLOOKUP($H291,APOIO!$L:$M,2,FALSE))</f>
        <v/>
      </c>
      <c r="J291" s="31"/>
      <c r="K291" s="32" t="str">
        <f>IF($A291="","",VLOOKUP($J291,APOIO!$H:$J,2,FALSE))</f>
        <v/>
      </c>
      <c r="L291" s="32" t="str">
        <f>IF($A291="","",VLOOKUP($J291,APOIO!$H:$J,3,FALSE))</f>
        <v/>
      </c>
      <c r="M291" s="31"/>
      <c r="N291" s="34"/>
      <c r="O291" s="32"/>
      <c r="P291" s="32"/>
      <c r="Q291" s="32"/>
      <c r="R291" s="32"/>
      <c r="S291" s="35"/>
      <c r="T291" s="91"/>
      <c r="U291" s="60"/>
      <c r="V291" s="36"/>
      <c r="W291" s="31"/>
      <c r="X291" s="59"/>
      <c r="Y291" s="59" t="str">
        <f>IFERROR(VLOOKUP($A291,APOIO!$A:$A,1,FALSE),"ERRO")</f>
        <v>ERRO</v>
      </c>
      <c r="Z291"/>
    </row>
    <row r="292" spans="1:26" ht="15" x14ac:dyDescent="0.25">
      <c r="A292" s="94"/>
      <c r="B292" s="32" t="str">
        <f>IF($A292="","",VLOOKUP($A292,APOIO!$A:$E,2,FALSE))</f>
        <v/>
      </c>
      <c r="C292" s="94"/>
      <c r="D292" s="32" t="str">
        <f>IF($A292="","",INDEX(APOIO!$D:$D,MATCH(CONCATENATE($A292,"_",$B292,"_",$C292),APOIO!$F:$F,0)))</f>
        <v/>
      </c>
      <c r="E292" s="31"/>
      <c r="F292" s="31"/>
      <c r="G292" s="33"/>
      <c r="H292" s="105"/>
      <c r="I292" s="32" t="str">
        <f>IF($A292="","",VLOOKUP($H292,APOIO!$L:$M,2,FALSE))</f>
        <v/>
      </c>
      <c r="J292" s="31"/>
      <c r="K292" s="32" t="str">
        <f>IF($A292="","",VLOOKUP($J292,APOIO!$H:$J,2,FALSE))</f>
        <v/>
      </c>
      <c r="L292" s="32" t="str">
        <f>IF($A292="","",VLOOKUP($J292,APOIO!$H:$J,3,FALSE))</f>
        <v/>
      </c>
      <c r="M292" s="31"/>
      <c r="N292" s="34"/>
      <c r="O292" s="32"/>
      <c r="P292" s="32"/>
      <c r="Q292" s="32"/>
      <c r="R292" s="32"/>
      <c r="S292" s="35"/>
      <c r="T292" s="91"/>
      <c r="U292" s="60"/>
      <c r="V292" s="36"/>
      <c r="W292" s="31"/>
      <c r="X292" s="59"/>
      <c r="Y292" s="59" t="str">
        <f>IFERROR(VLOOKUP($A292,APOIO!$A:$A,1,FALSE),"ERRO")</f>
        <v>ERRO</v>
      </c>
      <c r="Z292"/>
    </row>
    <row r="293" spans="1:26" ht="15" x14ac:dyDescent="0.25">
      <c r="A293" s="94"/>
      <c r="B293" s="32" t="str">
        <f>IF($A293="","",VLOOKUP($A293,APOIO!$A:$E,2,FALSE))</f>
        <v/>
      </c>
      <c r="C293" s="94"/>
      <c r="D293" s="32" t="str">
        <f>IF($A293="","",INDEX(APOIO!$D:$D,MATCH(CONCATENATE($A293,"_",$B293,"_",$C293),APOIO!$F:$F,0)))</f>
        <v/>
      </c>
      <c r="E293" s="31"/>
      <c r="F293" s="31"/>
      <c r="G293" s="33"/>
      <c r="H293" s="105"/>
      <c r="I293" s="32" t="str">
        <f>IF($A293="","",VLOOKUP($H293,APOIO!$L:$M,2,FALSE))</f>
        <v/>
      </c>
      <c r="J293" s="31"/>
      <c r="K293" s="32" t="str">
        <f>IF($A293="","",VLOOKUP($J293,APOIO!$H:$J,2,FALSE))</f>
        <v/>
      </c>
      <c r="L293" s="32" t="str">
        <f>IF($A293="","",VLOOKUP($J293,APOIO!$H:$J,3,FALSE))</f>
        <v/>
      </c>
      <c r="M293" s="31"/>
      <c r="N293" s="34"/>
      <c r="O293" s="32"/>
      <c r="P293" s="32"/>
      <c r="Q293" s="32"/>
      <c r="R293" s="32"/>
      <c r="S293" s="35"/>
      <c r="T293" s="91"/>
      <c r="U293" s="60"/>
      <c r="V293" s="36"/>
      <c r="W293" s="31"/>
      <c r="X293" s="59"/>
      <c r="Y293" s="59" t="str">
        <f>IFERROR(VLOOKUP($A293,APOIO!$A:$A,1,FALSE),"ERRO")</f>
        <v>ERRO</v>
      </c>
      <c r="Z293"/>
    </row>
    <row r="294" spans="1:26" ht="15" x14ac:dyDescent="0.25">
      <c r="A294" s="94"/>
      <c r="B294" s="32" t="str">
        <f>IF($A294="","",VLOOKUP($A294,APOIO!$A:$E,2,FALSE))</f>
        <v/>
      </c>
      <c r="C294" s="94"/>
      <c r="D294" s="32" t="str">
        <f>IF($A294="","",INDEX(APOIO!$D:$D,MATCH(CONCATENATE($A294,"_",$B294,"_",$C294),APOIO!$F:$F,0)))</f>
        <v/>
      </c>
      <c r="E294" s="31"/>
      <c r="F294" s="31"/>
      <c r="G294" s="33"/>
      <c r="H294" s="105"/>
      <c r="I294" s="32" t="str">
        <f>IF($A294="","",VLOOKUP($H294,APOIO!$L:$M,2,FALSE))</f>
        <v/>
      </c>
      <c r="J294" s="31"/>
      <c r="K294" s="32" t="str">
        <f>IF($A294="","",VLOOKUP($J294,APOIO!$H:$J,2,FALSE))</f>
        <v/>
      </c>
      <c r="L294" s="32" t="str">
        <f>IF($A294="","",VLOOKUP($J294,APOIO!$H:$J,3,FALSE))</f>
        <v/>
      </c>
      <c r="M294" s="31"/>
      <c r="N294" s="34"/>
      <c r="O294" s="32"/>
      <c r="P294" s="32"/>
      <c r="Q294" s="32"/>
      <c r="R294" s="32"/>
      <c r="S294" s="35"/>
      <c r="T294" s="91"/>
      <c r="U294" s="60"/>
      <c r="V294" s="36"/>
      <c r="W294" s="31"/>
      <c r="X294" s="59"/>
      <c r="Y294" s="59" t="str">
        <f>IFERROR(VLOOKUP($A294,APOIO!$A:$A,1,FALSE),"ERRO")</f>
        <v>ERRO</v>
      </c>
      <c r="Z294"/>
    </row>
    <row r="295" spans="1:26" ht="15" x14ac:dyDescent="0.25">
      <c r="A295" s="94"/>
      <c r="B295" s="32" t="str">
        <f>IF($A295="","",VLOOKUP($A295,APOIO!$A:$E,2,FALSE))</f>
        <v/>
      </c>
      <c r="C295" s="94"/>
      <c r="D295" s="32" t="str">
        <f>IF($A295="","",INDEX(APOIO!$D:$D,MATCH(CONCATENATE($A295,"_",$B295,"_",$C295),APOIO!$F:$F,0)))</f>
        <v/>
      </c>
      <c r="E295" s="31"/>
      <c r="F295" s="31"/>
      <c r="G295" s="33"/>
      <c r="H295" s="105"/>
      <c r="I295" s="32" t="str">
        <f>IF($A295="","",VLOOKUP($H295,APOIO!$L:$M,2,FALSE))</f>
        <v/>
      </c>
      <c r="J295" s="31"/>
      <c r="K295" s="32" t="str">
        <f>IF($A295="","",VLOOKUP($J295,APOIO!$H:$J,2,FALSE))</f>
        <v/>
      </c>
      <c r="L295" s="32" t="str">
        <f>IF($A295="","",VLOOKUP($J295,APOIO!$H:$J,3,FALSE))</f>
        <v/>
      </c>
      <c r="M295" s="31"/>
      <c r="N295" s="34"/>
      <c r="O295" s="32"/>
      <c r="P295" s="32"/>
      <c r="Q295" s="32"/>
      <c r="R295" s="32"/>
      <c r="S295" s="35"/>
      <c r="T295" s="91"/>
      <c r="U295" s="60"/>
      <c r="V295" s="36"/>
      <c r="W295" s="31"/>
      <c r="X295" s="59"/>
      <c r="Y295" s="59" t="str">
        <f>IFERROR(VLOOKUP($A295,APOIO!$A:$A,1,FALSE),"ERRO")</f>
        <v>ERRO</v>
      </c>
      <c r="Z295"/>
    </row>
    <row r="296" spans="1:26" ht="15" x14ac:dyDescent="0.25">
      <c r="A296" s="94"/>
      <c r="B296" s="32" t="str">
        <f>IF($A296="","",VLOOKUP($A296,APOIO!$A:$E,2,FALSE))</f>
        <v/>
      </c>
      <c r="C296" s="94"/>
      <c r="D296" s="32" t="str">
        <f>IF($A296="","",INDEX(APOIO!$D:$D,MATCH(CONCATENATE($A296,"_",$B296,"_",$C296),APOIO!$F:$F,0)))</f>
        <v/>
      </c>
      <c r="E296" s="31"/>
      <c r="F296" s="31"/>
      <c r="G296" s="33"/>
      <c r="H296" s="105"/>
      <c r="I296" s="32" t="str">
        <f>IF($A296="","",VLOOKUP($H296,APOIO!$L:$M,2,FALSE))</f>
        <v/>
      </c>
      <c r="J296" s="31"/>
      <c r="K296" s="32" t="str">
        <f>IF($A296="","",VLOOKUP($J296,APOIO!$H:$J,2,FALSE))</f>
        <v/>
      </c>
      <c r="L296" s="32" t="str">
        <f>IF($A296="","",VLOOKUP($J296,APOIO!$H:$J,3,FALSE))</f>
        <v/>
      </c>
      <c r="M296" s="31"/>
      <c r="N296" s="34"/>
      <c r="O296" s="32"/>
      <c r="P296" s="32"/>
      <c r="Q296" s="32"/>
      <c r="R296" s="32"/>
      <c r="S296" s="35"/>
      <c r="T296" s="91"/>
      <c r="U296" s="60"/>
      <c r="V296" s="36"/>
      <c r="W296" s="31"/>
      <c r="X296" s="59"/>
      <c r="Y296" s="59" t="str">
        <f>IFERROR(VLOOKUP($A296,APOIO!$A:$A,1,FALSE),"ERRO")</f>
        <v>ERRO</v>
      </c>
      <c r="Z296"/>
    </row>
    <row r="297" spans="1:26" ht="15" x14ac:dyDescent="0.25">
      <c r="A297" s="94"/>
      <c r="B297" s="32" t="str">
        <f>IF($A297="","",VLOOKUP($A297,APOIO!$A:$E,2,FALSE))</f>
        <v/>
      </c>
      <c r="C297" s="94"/>
      <c r="D297" s="32" t="str">
        <f>IF($A297="","",INDEX(APOIO!$D:$D,MATCH(CONCATENATE($A297,"_",$B297,"_",$C297),APOIO!$F:$F,0)))</f>
        <v/>
      </c>
      <c r="E297" s="31"/>
      <c r="F297" s="31"/>
      <c r="G297" s="33"/>
      <c r="H297" s="105"/>
      <c r="I297" s="32" t="str">
        <f>IF($A297="","",VLOOKUP($H297,APOIO!$L:$M,2,FALSE))</f>
        <v/>
      </c>
      <c r="J297" s="31"/>
      <c r="K297" s="32" t="str">
        <f>IF($A297="","",VLOOKUP($J297,APOIO!$H:$J,2,FALSE))</f>
        <v/>
      </c>
      <c r="L297" s="32" t="str">
        <f>IF($A297="","",VLOOKUP($J297,APOIO!$H:$J,3,FALSE))</f>
        <v/>
      </c>
      <c r="M297" s="31"/>
      <c r="N297" s="34"/>
      <c r="O297" s="32"/>
      <c r="P297" s="32"/>
      <c r="Q297" s="32"/>
      <c r="R297" s="32"/>
      <c r="S297" s="35"/>
      <c r="T297" s="91"/>
      <c r="U297" s="60"/>
      <c r="V297" s="36"/>
      <c r="W297" s="31"/>
      <c r="X297" s="59"/>
      <c r="Y297" s="59" t="str">
        <f>IFERROR(VLOOKUP($A297,APOIO!$A:$A,1,FALSE),"ERRO")</f>
        <v>ERRO</v>
      </c>
      <c r="Z297"/>
    </row>
    <row r="298" spans="1:26" ht="15" x14ac:dyDescent="0.25">
      <c r="A298" s="94"/>
      <c r="B298" s="32" t="str">
        <f>IF($A298="","",VLOOKUP($A298,APOIO!$A:$E,2,FALSE))</f>
        <v/>
      </c>
      <c r="C298" s="94"/>
      <c r="D298" s="32" t="str">
        <f>IF($A298="","",INDEX(APOIO!$D:$D,MATCH(CONCATENATE($A298,"_",$B298,"_",$C298),APOIO!$F:$F,0)))</f>
        <v/>
      </c>
      <c r="E298" s="31"/>
      <c r="F298" s="31"/>
      <c r="G298" s="33"/>
      <c r="H298" s="105"/>
      <c r="I298" s="32" t="str">
        <f>IF($A298="","",VLOOKUP($H298,APOIO!$L:$M,2,FALSE))</f>
        <v/>
      </c>
      <c r="J298" s="31"/>
      <c r="K298" s="32" t="str">
        <f>IF($A298="","",VLOOKUP($J298,APOIO!$H:$J,2,FALSE))</f>
        <v/>
      </c>
      <c r="L298" s="32" t="str">
        <f>IF($A298="","",VLOOKUP($J298,APOIO!$H:$J,3,FALSE))</f>
        <v/>
      </c>
      <c r="M298" s="31"/>
      <c r="N298" s="34"/>
      <c r="O298" s="32"/>
      <c r="P298" s="32"/>
      <c r="Q298" s="32"/>
      <c r="R298" s="32"/>
      <c r="S298" s="35"/>
      <c r="T298" s="91"/>
      <c r="U298" s="60"/>
      <c r="V298" s="36"/>
      <c r="W298" s="31"/>
      <c r="X298" s="59"/>
      <c r="Y298" s="59" t="str">
        <f>IFERROR(VLOOKUP($A298,APOIO!$A:$A,1,FALSE),"ERRO")</f>
        <v>ERRO</v>
      </c>
      <c r="Z298"/>
    </row>
    <row r="299" spans="1:26" ht="15" x14ac:dyDescent="0.25">
      <c r="A299" s="94"/>
      <c r="B299" s="32" t="str">
        <f>IF($A299="","",VLOOKUP($A299,APOIO!$A:$E,2,FALSE))</f>
        <v/>
      </c>
      <c r="C299" s="94"/>
      <c r="D299" s="32" t="str">
        <f>IF($A299="","",INDEX(APOIO!$D:$D,MATCH(CONCATENATE($A299,"_",$B299,"_",$C299),APOIO!$F:$F,0)))</f>
        <v/>
      </c>
      <c r="E299" s="31"/>
      <c r="F299" s="31"/>
      <c r="G299" s="33"/>
      <c r="H299" s="105"/>
      <c r="I299" s="32" t="str">
        <f>IF($A299="","",VLOOKUP($H299,APOIO!$L:$M,2,FALSE))</f>
        <v/>
      </c>
      <c r="J299" s="31"/>
      <c r="K299" s="32" t="str">
        <f>IF($A299="","",VLOOKUP($J299,APOIO!$H:$J,2,FALSE))</f>
        <v/>
      </c>
      <c r="L299" s="32" t="str">
        <f>IF($A299="","",VLOOKUP($J299,APOIO!$H:$J,3,FALSE))</f>
        <v/>
      </c>
      <c r="M299" s="31"/>
      <c r="N299" s="34"/>
      <c r="O299" s="32"/>
      <c r="P299" s="32"/>
      <c r="Q299" s="32"/>
      <c r="R299" s="32"/>
      <c r="S299" s="35"/>
      <c r="T299" s="91"/>
      <c r="U299" s="60"/>
      <c r="V299" s="36"/>
      <c r="W299" s="31"/>
      <c r="X299" s="59"/>
      <c r="Y299" s="59" t="str">
        <f>IFERROR(VLOOKUP($A299,APOIO!$A:$A,1,FALSE),"ERRO")</f>
        <v>ERRO</v>
      </c>
      <c r="Z299"/>
    </row>
    <row r="300" spans="1:26" ht="15" x14ac:dyDescent="0.25">
      <c r="A300" s="94"/>
      <c r="B300" s="32" t="str">
        <f>IF($A300="","",VLOOKUP($A300,APOIO!$A:$E,2,FALSE))</f>
        <v/>
      </c>
      <c r="C300" s="94"/>
      <c r="D300" s="32" t="str">
        <f>IF($A300="","",INDEX(APOIO!$D:$D,MATCH(CONCATENATE($A300,"_",$B300,"_",$C300),APOIO!$F:$F,0)))</f>
        <v/>
      </c>
      <c r="E300" s="31"/>
      <c r="F300" s="31"/>
      <c r="G300" s="33"/>
      <c r="H300" s="105"/>
      <c r="I300" s="32" t="str">
        <f>IF($A300="","",VLOOKUP($H300,APOIO!$L:$M,2,FALSE))</f>
        <v/>
      </c>
      <c r="J300" s="31"/>
      <c r="K300" s="32" t="str">
        <f>IF($A300="","",VLOOKUP($J300,APOIO!$H:$J,2,FALSE))</f>
        <v/>
      </c>
      <c r="L300" s="32" t="str">
        <f>IF($A300="","",VLOOKUP($J300,APOIO!$H:$J,3,FALSE))</f>
        <v/>
      </c>
      <c r="M300" s="31"/>
      <c r="N300" s="34"/>
      <c r="O300" s="32"/>
      <c r="P300" s="32"/>
      <c r="Q300" s="32"/>
      <c r="R300" s="32"/>
      <c r="S300" s="35"/>
      <c r="T300" s="91"/>
      <c r="U300" s="60"/>
      <c r="V300" s="36"/>
      <c r="W300" s="31"/>
      <c r="X300" s="59"/>
      <c r="Y300" s="59" t="str">
        <f>IFERROR(VLOOKUP($A300,APOIO!$A:$A,1,FALSE),"ERRO")</f>
        <v>ERRO</v>
      </c>
      <c r="Z300"/>
    </row>
    <row r="301" spans="1:26" ht="15" x14ac:dyDescent="0.25">
      <c r="A301" s="94"/>
      <c r="B301" s="32" t="str">
        <f>IF($A301="","",VLOOKUP($A301,APOIO!$A:$E,2,FALSE))</f>
        <v/>
      </c>
      <c r="C301" s="94"/>
      <c r="D301" s="32" t="str">
        <f>IF($A301="","",INDEX(APOIO!$D:$D,MATCH(CONCATENATE($A301,"_",$B301,"_",$C301),APOIO!$F:$F,0)))</f>
        <v/>
      </c>
      <c r="E301" s="31"/>
      <c r="F301" s="31"/>
      <c r="G301" s="33"/>
      <c r="H301" s="105"/>
      <c r="I301" s="32" t="str">
        <f>IF($A301="","",VLOOKUP($H301,APOIO!$L:$M,2,FALSE))</f>
        <v/>
      </c>
      <c r="J301" s="31"/>
      <c r="K301" s="32" t="str">
        <f>IF($A301="","",VLOOKUP($J301,APOIO!$H:$J,2,FALSE))</f>
        <v/>
      </c>
      <c r="L301" s="32" t="str">
        <f>IF($A301="","",VLOOKUP($J301,APOIO!$H:$J,3,FALSE))</f>
        <v/>
      </c>
      <c r="M301" s="31"/>
      <c r="N301" s="34"/>
      <c r="O301" s="32"/>
      <c r="P301" s="32"/>
      <c r="Q301" s="32"/>
      <c r="R301" s="32"/>
      <c r="S301" s="35"/>
      <c r="T301" s="91"/>
      <c r="U301" s="60"/>
      <c r="V301" s="36"/>
      <c r="W301" s="31"/>
      <c r="X301" s="59"/>
      <c r="Y301" s="59" t="str">
        <f>IFERROR(VLOOKUP($A301,APOIO!$A:$A,1,FALSE),"ERRO")</f>
        <v>ERRO</v>
      </c>
      <c r="Z301"/>
    </row>
    <row r="302" spans="1:26" ht="15" x14ac:dyDescent="0.25">
      <c r="A302" s="94"/>
      <c r="B302" s="32" t="str">
        <f>IF($A302="","",VLOOKUP($A302,APOIO!$A:$E,2,FALSE))</f>
        <v/>
      </c>
      <c r="C302" s="94"/>
      <c r="D302" s="32" t="str">
        <f>IF($A302="","",INDEX(APOIO!$D:$D,MATCH(CONCATENATE($A302,"_",$B302,"_",$C302),APOIO!$F:$F,0)))</f>
        <v/>
      </c>
      <c r="E302" s="31"/>
      <c r="F302" s="31"/>
      <c r="G302" s="33"/>
      <c r="H302" s="105"/>
      <c r="I302" s="32" t="str">
        <f>IF($A302="","",VLOOKUP($H302,APOIO!$L:$M,2,FALSE))</f>
        <v/>
      </c>
      <c r="J302" s="31"/>
      <c r="K302" s="32" t="str">
        <f>IF($A302="","",VLOOKUP($J302,APOIO!$H:$J,2,FALSE))</f>
        <v/>
      </c>
      <c r="L302" s="32" t="str">
        <f>IF($A302="","",VLOOKUP($J302,APOIO!$H:$J,3,FALSE))</f>
        <v/>
      </c>
      <c r="M302" s="31"/>
      <c r="N302" s="34"/>
      <c r="O302" s="32"/>
      <c r="P302" s="32"/>
      <c r="Q302" s="32"/>
      <c r="R302" s="32"/>
      <c r="S302" s="35"/>
      <c r="T302" s="91"/>
      <c r="U302" s="60"/>
      <c r="V302" s="36"/>
      <c r="W302" s="31"/>
      <c r="X302" s="59"/>
      <c r="Y302" s="59" t="str">
        <f>IFERROR(VLOOKUP($A302,APOIO!$A:$A,1,FALSE),"ERRO")</f>
        <v>ERRO</v>
      </c>
      <c r="Z302"/>
    </row>
    <row r="303" spans="1:26" ht="15" x14ac:dyDescent="0.25">
      <c r="A303" s="94"/>
      <c r="B303" s="32" t="str">
        <f>IF($A303="","",VLOOKUP($A303,APOIO!$A:$E,2,FALSE))</f>
        <v/>
      </c>
      <c r="C303" s="94"/>
      <c r="D303" s="32" t="str">
        <f>IF($A303="","",INDEX(APOIO!$D:$D,MATCH(CONCATENATE($A303,"_",$B303,"_",$C303),APOIO!$F:$F,0)))</f>
        <v/>
      </c>
      <c r="E303" s="31"/>
      <c r="F303" s="31"/>
      <c r="G303" s="33"/>
      <c r="H303" s="105"/>
      <c r="I303" s="32" t="str">
        <f>IF($A303="","",VLOOKUP($H303,APOIO!$L:$M,2,FALSE))</f>
        <v/>
      </c>
      <c r="J303" s="31"/>
      <c r="K303" s="32" t="str">
        <f>IF($A303="","",VLOOKUP($J303,APOIO!$H:$J,2,FALSE))</f>
        <v/>
      </c>
      <c r="L303" s="32" t="str">
        <f>IF($A303="","",VLOOKUP($J303,APOIO!$H:$J,3,FALSE))</f>
        <v/>
      </c>
      <c r="M303" s="31"/>
      <c r="N303" s="34"/>
      <c r="O303" s="32"/>
      <c r="P303" s="32"/>
      <c r="Q303" s="32"/>
      <c r="R303" s="32"/>
      <c r="S303" s="35"/>
      <c r="T303" s="91"/>
      <c r="U303" s="60"/>
      <c r="V303" s="36"/>
      <c r="W303" s="31"/>
      <c r="X303" s="59"/>
      <c r="Y303" s="59" t="str">
        <f>IFERROR(VLOOKUP($A303,APOIO!$A:$A,1,FALSE),"ERRO")</f>
        <v>ERRO</v>
      </c>
      <c r="Z303"/>
    </row>
    <row r="304" spans="1:26" ht="15" x14ac:dyDescent="0.25">
      <c r="A304" s="94"/>
      <c r="B304" s="32" t="str">
        <f>IF($A304="","",VLOOKUP($A304,APOIO!$A:$E,2,FALSE))</f>
        <v/>
      </c>
      <c r="C304" s="94"/>
      <c r="D304" s="32" t="str">
        <f>IF($A304="","",INDEX(APOIO!$D:$D,MATCH(CONCATENATE($A304,"_",$B304,"_",$C304),APOIO!$F:$F,0)))</f>
        <v/>
      </c>
      <c r="E304" s="31"/>
      <c r="F304" s="31"/>
      <c r="G304" s="33"/>
      <c r="H304" s="105"/>
      <c r="I304" s="32" t="str">
        <f>IF($A304="","",VLOOKUP($H304,APOIO!$L:$M,2,FALSE))</f>
        <v/>
      </c>
      <c r="J304" s="31"/>
      <c r="K304" s="32" t="str">
        <f>IF($A304="","",VLOOKUP($J304,APOIO!$H:$J,2,FALSE))</f>
        <v/>
      </c>
      <c r="L304" s="32" t="str">
        <f>IF($A304="","",VLOOKUP($J304,APOIO!$H:$J,3,FALSE))</f>
        <v/>
      </c>
      <c r="M304" s="31"/>
      <c r="N304" s="34"/>
      <c r="O304" s="32"/>
      <c r="P304" s="32"/>
      <c r="Q304" s="32"/>
      <c r="R304" s="32"/>
      <c r="S304" s="35"/>
      <c r="T304" s="91"/>
      <c r="U304" s="60"/>
      <c r="V304" s="36"/>
      <c r="W304" s="31"/>
      <c r="X304" s="59"/>
      <c r="Y304" s="59" t="str">
        <f>IFERROR(VLOOKUP($A304,APOIO!$A:$A,1,FALSE),"ERRO")</f>
        <v>ERRO</v>
      </c>
      <c r="Z304"/>
    </row>
    <row r="305" spans="1:26" ht="15" x14ac:dyDescent="0.25">
      <c r="A305" s="94"/>
      <c r="B305" s="32" t="str">
        <f>IF($A305="","",VLOOKUP($A305,APOIO!$A:$E,2,FALSE))</f>
        <v/>
      </c>
      <c r="C305" s="94"/>
      <c r="D305" s="32" t="str">
        <f>IF($A305="","",INDEX(APOIO!$D:$D,MATCH(CONCATENATE($A305,"_",$B305,"_",$C305),APOIO!$F:$F,0)))</f>
        <v/>
      </c>
      <c r="E305" s="31"/>
      <c r="F305" s="31"/>
      <c r="G305" s="33"/>
      <c r="H305" s="105"/>
      <c r="I305" s="32" t="str">
        <f>IF($A305="","",VLOOKUP($H305,APOIO!$L:$M,2,FALSE))</f>
        <v/>
      </c>
      <c r="J305" s="31"/>
      <c r="K305" s="32" t="str">
        <f>IF($A305="","",VLOOKUP($J305,APOIO!$H:$J,2,FALSE))</f>
        <v/>
      </c>
      <c r="L305" s="32" t="str">
        <f>IF($A305="","",VLOOKUP($J305,APOIO!$H:$J,3,FALSE))</f>
        <v/>
      </c>
      <c r="M305" s="31"/>
      <c r="N305" s="34"/>
      <c r="O305" s="32"/>
      <c r="P305" s="32"/>
      <c r="Q305" s="32"/>
      <c r="R305" s="32"/>
      <c r="S305" s="35"/>
      <c r="T305" s="91"/>
      <c r="U305" s="60"/>
      <c r="V305" s="36"/>
      <c r="W305" s="31"/>
      <c r="X305" s="59"/>
      <c r="Y305" s="59" t="str">
        <f>IFERROR(VLOOKUP($A305,APOIO!$A:$A,1,FALSE),"ERRO")</f>
        <v>ERRO</v>
      </c>
      <c r="Z305"/>
    </row>
    <row r="306" spans="1:26" ht="15" x14ac:dyDescent="0.25">
      <c r="A306" s="94"/>
      <c r="B306" s="32" t="str">
        <f>IF($A306="","",VLOOKUP($A306,APOIO!$A:$E,2,FALSE))</f>
        <v/>
      </c>
      <c r="C306" s="94"/>
      <c r="D306" s="32" t="str">
        <f>IF($A306="","",INDEX(APOIO!$D:$D,MATCH(CONCATENATE($A306,"_",$B306,"_",$C306),APOIO!$F:$F,0)))</f>
        <v/>
      </c>
      <c r="E306" s="31"/>
      <c r="F306" s="31"/>
      <c r="G306" s="33"/>
      <c r="H306" s="105"/>
      <c r="I306" s="32" t="str">
        <f>IF($A306="","",VLOOKUP($H306,APOIO!$L:$M,2,FALSE))</f>
        <v/>
      </c>
      <c r="J306" s="31"/>
      <c r="K306" s="32" t="str">
        <f>IF($A306="","",VLOOKUP($J306,APOIO!$H:$J,2,FALSE))</f>
        <v/>
      </c>
      <c r="L306" s="32" t="str">
        <f>IF($A306="","",VLOOKUP($J306,APOIO!$H:$J,3,FALSE))</f>
        <v/>
      </c>
      <c r="M306" s="31"/>
      <c r="N306" s="34"/>
      <c r="O306" s="32"/>
      <c r="P306" s="32"/>
      <c r="Q306" s="32"/>
      <c r="R306" s="32"/>
      <c r="S306" s="35"/>
      <c r="T306" s="91"/>
      <c r="U306" s="60"/>
      <c r="V306" s="36"/>
      <c r="W306" s="31"/>
      <c r="X306" s="59"/>
      <c r="Y306" s="59" t="str">
        <f>IFERROR(VLOOKUP($A306,APOIO!$A:$A,1,FALSE),"ERRO")</f>
        <v>ERRO</v>
      </c>
      <c r="Z306"/>
    </row>
    <row r="307" spans="1:26" ht="15" x14ac:dyDescent="0.25">
      <c r="A307" s="94"/>
      <c r="B307" s="32" t="str">
        <f>IF($A307="","",VLOOKUP($A307,APOIO!$A:$E,2,FALSE))</f>
        <v/>
      </c>
      <c r="C307" s="94"/>
      <c r="D307" s="32" t="str">
        <f>IF($A307="","",INDEX(APOIO!$D:$D,MATCH(CONCATENATE($A307,"_",$B307,"_",$C307),APOIO!$F:$F,0)))</f>
        <v/>
      </c>
      <c r="E307" s="31"/>
      <c r="F307" s="31"/>
      <c r="G307" s="33"/>
      <c r="H307" s="105"/>
      <c r="I307" s="32" t="str">
        <f>IF($A307="","",VLOOKUP($H307,APOIO!$L:$M,2,FALSE))</f>
        <v/>
      </c>
      <c r="J307" s="31"/>
      <c r="K307" s="32" t="str">
        <f>IF($A307="","",VLOOKUP($J307,APOIO!$H:$J,2,FALSE))</f>
        <v/>
      </c>
      <c r="L307" s="32" t="str">
        <f>IF($A307="","",VLOOKUP($J307,APOIO!$H:$J,3,FALSE))</f>
        <v/>
      </c>
      <c r="M307" s="31"/>
      <c r="N307" s="34"/>
      <c r="O307" s="32"/>
      <c r="P307" s="32"/>
      <c r="Q307" s="32"/>
      <c r="R307" s="32"/>
      <c r="S307" s="35"/>
      <c r="T307" s="91"/>
      <c r="U307" s="60"/>
      <c r="V307" s="36"/>
      <c r="W307" s="31"/>
      <c r="X307" s="59"/>
      <c r="Y307" s="59" t="str">
        <f>IFERROR(VLOOKUP($A307,APOIO!$A:$A,1,FALSE),"ERRO")</f>
        <v>ERRO</v>
      </c>
      <c r="Z307"/>
    </row>
    <row r="308" spans="1:26" ht="15" x14ac:dyDescent="0.25">
      <c r="A308" s="94"/>
      <c r="B308" s="32" t="str">
        <f>IF($A308="","",VLOOKUP($A308,APOIO!$A:$E,2,FALSE))</f>
        <v/>
      </c>
      <c r="C308" s="94"/>
      <c r="D308" s="32" t="str">
        <f>IF($A308="","",INDEX(APOIO!$D:$D,MATCH(CONCATENATE($A308,"_",$B308,"_",$C308),APOIO!$F:$F,0)))</f>
        <v/>
      </c>
      <c r="E308" s="31"/>
      <c r="F308" s="31"/>
      <c r="G308" s="33"/>
      <c r="H308" s="105"/>
      <c r="I308" s="32" t="str">
        <f>IF($A308="","",VLOOKUP($H308,APOIO!$L:$M,2,FALSE))</f>
        <v/>
      </c>
      <c r="J308" s="31"/>
      <c r="K308" s="32" t="str">
        <f>IF($A308="","",VLOOKUP($J308,APOIO!$H:$J,2,FALSE))</f>
        <v/>
      </c>
      <c r="L308" s="32" t="str">
        <f>IF($A308="","",VLOOKUP($J308,APOIO!$H:$J,3,FALSE))</f>
        <v/>
      </c>
      <c r="M308" s="31"/>
      <c r="N308" s="34"/>
      <c r="O308" s="32"/>
      <c r="P308" s="32"/>
      <c r="Q308" s="32"/>
      <c r="R308" s="32"/>
      <c r="S308" s="35"/>
      <c r="T308" s="91"/>
      <c r="U308" s="60"/>
      <c r="V308" s="36"/>
      <c r="W308" s="31"/>
      <c r="X308" s="59"/>
      <c r="Y308" s="59" t="str">
        <f>IFERROR(VLOOKUP($A308,APOIO!$A:$A,1,FALSE),"ERRO")</f>
        <v>ERRO</v>
      </c>
      <c r="Z308"/>
    </row>
    <row r="309" spans="1:26" ht="15" x14ac:dyDescent="0.25">
      <c r="A309" s="94"/>
      <c r="B309" s="32" t="str">
        <f>IF($A309="","",VLOOKUP($A309,APOIO!$A:$E,2,FALSE))</f>
        <v/>
      </c>
      <c r="C309" s="94"/>
      <c r="D309" s="32" t="str">
        <f>IF($A309="","",INDEX(APOIO!$D:$D,MATCH(CONCATENATE($A309,"_",$B309,"_",$C309),APOIO!$F:$F,0)))</f>
        <v/>
      </c>
      <c r="E309" s="31"/>
      <c r="F309" s="31"/>
      <c r="G309" s="33"/>
      <c r="H309" s="105"/>
      <c r="I309" s="32" t="str">
        <f>IF($A309="","",VLOOKUP($H309,APOIO!$L:$M,2,FALSE))</f>
        <v/>
      </c>
      <c r="J309" s="31"/>
      <c r="K309" s="32" t="str">
        <f>IF($A309="","",VLOOKUP($J309,APOIO!$H:$J,2,FALSE))</f>
        <v/>
      </c>
      <c r="L309" s="32" t="str">
        <f>IF($A309="","",VLOOKUP($J309,APOIO!$H:$J,3,FALSE))</f>
        <v/>
      </c>
      <c r="M309" s="31"/>
      <c r="N309" s="34"/>
      <c r="O309" s="32"/>
      <c r="P309" s="32"/>
      <c r="Q309" s="32"/>
      <c r="R309" s="32"/>
      <c r="S309" s="35"/>
      <c r="T309" s="91"/>
      <c r="U309" s="60"/>
      <c r="V309" s="36"/>
      <c r="W309" s="31"/>
      <c r="X309" s="59"/>
      <c r="Y309" s="59" t="str">
        <f>IFERROR(VLOOKUP($A309,APOIO!$A:$A,1,FALSE),"ERRO")</f>
        <v>ERRO</v>
      </c>
      <c r="Z309"/>
    </row>
    <row r="310" spans="1:26" ht="15" x14ac:dyDescent="0.25">
      <c r="A310" s="94"/>
      <c r="B310" s="32" t="str">
        <f>IF($A310="","",VLOOKUP($A310,APOIO!$A:$E,2,FALSE))</f>
        <v/>
      </c>
      <c r="C310" s="94"/>
      <c r="D310" s="32" t="str">
        <f>IF($A310="","",INDEX(APOIO!$D:$D,MATCH(CONCATENATE($A310,"_",$B310,"_",$C310),APOIO!$F:$F,0)))</f>
        <v/>
      </c>
      <c r="E310" s="31"/>
      <c r="F310" s="31"/>
      <c r="G310" s="33"/>
      <c r="H310" s="105"/>
      <c r="I310" s="32" t="str">
        <f>IF($A310="","",VLOOKUP($H310,APOIO!$L:$M,2,FALSE))</f>
        <v/>
      </c>
      <c r="J310" s="31"/>
      <c r="K310" s="32" t="str">
        <f>IF($A310="","",VLOOKUP($J310,APOIO!$H:$J,2,FALSE))</f>
        <v/>
      </c>
      <c r="L310" s="32" t="str">
        <f>IF($A310="","",VLOOKUP($J310,APOIO!$H:$J,3,FALSE))</f>
        <v/>
      </c>
      <c r="M310" s="31"/>
      <c r="N310" s="34"/>
      <c r="O310" s="32"/>
      <c r="P310" s="32"/>
      <c r="Q310" s="32"/>
      <c r="R310" s="32"/>
      <c r="S310" s="35"/>
      <c r="T310" s="91"/>
      <c r="U310" s="60"/>
      <c r="V310" s="36"/>
      <c r="W310" s="31"/>
      <c r="X310" s="59"/>
      <c r="Y310" s="59" t="str">
        <f>IFERROR(VLOOKUP($A310,APOIO!$A:$A,1,FALSE),"ERRO")</f>
        <v>ERRO</v>
      </c>
      <c r="Z310"/>
    </row>
    <row r="311" spans="1:26" ht="15" x14ac:dyDescent="0.25">
      <c r="A311" s="94"/>
      <c r="B311" s="32" t="str">
        <f>IF($A311="","",VLOOKUP($A311,APOIO!$A:$E,2,FALSE))</f>
        <v/>
      </c>
      <c r="C311" s="94"/>
      <c r="D311" s="32" t="str">
        <f>IF($A311="","",INDEX(APOIO!$D:$D,MATCH(CONCATENATE($A311,"_",$B311,"_",$C311),APOIO!$F:$F,0)))</f>
        <v/>
      </c>
      <c r="E311" s="31"/>
      <c r="F311" s="31"/>
      <c r="G311" s="33"/>
      <c r="H311" s="105"/>
      <c r="I311" s="32" t="str">
        <f>IF($A311="","",VLOOKUP($H311,APOIO!$L:$M,2,FALSE))</f>
        <v/>
      </c>
      <c r="J311" s="31"/>
      <c r="K311" s="32" t="str">
        <f>IF($A311="","",VLOOKUP($J311,APOIO!$H:$J,2,FALSE))</f>
        <v/>
      </c>
      <c r="L311" s="32" t="str">
        <f>IF($A311="","",VLOOKUP($J311,APOIO!$H:$J,3,FALSE))</f>
        <v/>
      </c>
      <c r="M311" s="31"/>
      <c r="N311" s="34"/>
      <c r="O311" s="32"/>
      <c r="P311" s="32"/>
      <c r="Q311" s="32"/>
      <c r="R311" s="32"/>
      <c r="S311" s="35"/>
      <c r="T311" s="91"/>
      <c r="U311" s="60"/>
      <c r="V311" s="36"/>
      <c r="W311" s="31"/>
      <c r="X311" s="59"/>
      <c r="Y311" s="59" t="str">
        <f>IFERROR(VLOOKUP($A311,APOIO!$A:$A,1,FALSE),"ERRO")</f>
        <v>ERRO</v>
      </c>
      <c r="Z311"/>
    </row>
    <row r="312" spans="1:26" ht="15" x14ac:dyDescent="0.25">
      <c r="A312" s="94"/>
      <c r="B312" s="32" t="str">
        <f>IF($A312="","",VLOOKUP($A312,APOIO!$A:$E,2,FALSE))</f>
        <v/>
      </c>
      <c r="C312" s="94"/>
      <c r="D312" s="32" t="str">
        <f>IF($A312="","",INDEX(APOIO!$D:$D,MATCH(CONCATENATE($A312,"_",$B312,"_",$C312),APOIO!$F:$F,0)))</f>
        <v/>
      </c>
      <c r="E312" s="31"/>
      <c r="F312" s="31"/>
      <c r="G312" s="33"/>
      <c r="H312" s="105"/>
      <c r="I312" s="32" t="str">
        <f>IF($A312="","",VLOOKUP($H312,APOIO!$L:$M,2,FALSE))</f>
        <v/>
      </c>
      <c r="J312" s="31"/>
      <c r="K312" s="32" t="str">
        <f>IF($A312="","",VLOOKUP($J312,APOIO!$H:$J,2,FALSE))</f>
        <v/>
      </c>
      <c r="L312" s="32" t="str">
        <f>IF($A312="","",VLOOKUP($J312,APOIO!$H:$J,3,FALSE))</f>
        <v/>
      </c>
      <c r="M312" s="31"/>
      <c r="N312" s="34"/>
      <c r="O312" s="32"/>
      <c r="P312" s="32"/>
      <c r="Q312" s="32"/>
      <c r="R312" s="32"/>
      <c r="S312" s="35"/>
      <c r="T312" s="91"/>
      <c r="U312" s="60"/>
      <c r="V312" s="36"/>
      <c r="W312" s="31"/>
      <c r="X312" s="59"/>
      <c r="Y312" s="59" t="str">
        <f>IFERROR(VLOOKUP($A312,APOIO!$A:$A,1,FALSE),"ERRO")</f>
        <v>ERRO</v>
      </c>
      <c r="Z312"/>
    </row>
    <row r="313" spans="1:26" ht="15" x14ac:dyDescent="0.25">
      <c r="A313" s="94"/>
      <c r="B313" s="32" t="str">
        <f>IF($A313="","",VLOOKUP($A313,APOIO!$A:$E,2,FALSE))</f>
        <v/>
      </c>
      <c r="C313" s="94"/>
      <c r="D313" s="32" t="str">
        <f>IF($A313="","",INDEX(APOIO!$D:$D,MATCH(CONCATENATE($A313,"_",$B313,"_",$C313),APOIO!$F:$F,0)))</f>
        <v/>
      </c>
      <c r="E313" s="31"/>
      <c r="F313" s="31"/>
      <c r="G313" s="33"/>
      <c r="H313" s="105"/>
      <c r="I313" s="32" t="str">
        <f>IF($A313="","",VLOOKUP($H313,APOIO!$L:$M,2,FALSE))</f>
        <v/>
      </c>
      <c r="J313" s="31"/>
      <c r="K313" s="32" t="str">
        <f>IF($A313="","",VLOOKUP($J313,APOIO!$H:$J,2,FALSE))</f>
        <v/>
      </c>
      <c r="L313" s="32" t="str">
        <f>IF($A313="","",VLOOKUP($J313,APOIO!$H:$J,3,FALSE))</f>
        <v/>
      </c>
      <c r="M313" s="31"/>
      <c r="N313" s="34"/>
      <c r="O313" s="32"/>
      <c r="P313" s="32"/>
      <c r="Q313" s="32"/>
      <c r="R313" s="32"/>
      <c r="S313" s="35"/>
      <c r="T313" s="91"/>
      <c r="U313" s="60"/>
      <c r="V313" s="36"/>
      <c r="W313" s="31"/>
      <c r="X313" s="59"/>
      <c r="Y313" s="59" t="str">
        <f>IFERROR(VLOOKUP($A313,APOIO!$A:$A,1,FALSE),"ERRO")</f>
        <v>ERRO</v>
      </c>
      <c r="Z313"/>
    </row>
    <row r="314" spans="1:26" ht="15" x14ac:dyDescent="0.25">
      <c r="A314" s="94"/>
      <c r="B314" s="32" t="str">
        <f>IF($A314="","",VLOOKUP($A314,APOIO!$A:$E,2,FALSE))</f>
        <v/>
      </c>
      <c r="C314" s="94"/>
      <c r="D314" s="32" t="str">
        <f>IF($A314="","",INDEX(APOIO!$D:$D,MATCH(CONCATENATE($A314,"_",$B314,"_",$C314),APOIO!$F:$F,0)))</f>
        <v/>
      </c>
      <c r="E314" s="31"/>
      <c r="F314" s="31"/>
      <c r="G314" s="33"/>
      <c r="H314" s="105"/>
      <c r="I314" s="32" t="str">
        <f>IF($A314="","",VLOOKUP($H314,APOIO!$L:$M,2,FALSE))</f>
        <v/>
      </c>
      <c r="J314" s="31"/>
      <c r="K314" s="32" t="str">
        <f>IF($A314="","",VLOOKUP($J314,APOIO!$H:$J,2,FALSE))</f>
        <v/>
      </c>
      <c r="L314" s="32" t="str">
        <f>IF($A314="","",VLOOKUP($J314,APOIO!$H:$J,3,FALSE))</f>
        <v/>
      </c>
      <c r="M314" s="31"/>
      <c r="N314" s="34"/>
      <c r="O314" s="32"/>
      <c r="P314" s="32"/>
      <c r="Q314" s="32"/>
      <c r="R314" s="32"/>
      <c r="S314" s="35"/>
      <c r="T314" s="91"/>
      <c r="U314" s="60"/>
      <c r="V314" s="36"/>
      <c r="W314" s="31"/>
      <c r="X314" s="59"/>
      <c r="Y314" s="59" t="str">
        <f>IFERROR(VLOOKUP($A314,APOIO!$A:$A,1,FALSE),"ERRO")</f>
        <v>ERRO</v>
      </c>
      <c r="Z314"/>
    </row>
    <row r="315" spans="1:26" ht="15" x14ac:dyDescent="0.25">
      <c r="A315" s="94"/>
      <c r="B315" s="32" t="str">
        <f>IF($A315="","",VLOOKUP($A315,APOIO!$A:$E,2,FALSE))</f>
        <v/>
      </c>
      <c r="C315" s="94"/>
      <c r="D315" s="32" t="str">
        <f>IF($A315="","",INDEX(APOIO!$D:$D,MATCH(CONCATENATE($A315,"_",$B315,"_",$C315),APOIO!$F:$F,0)))</f>
        <v/>
      </c>
      <c r="E315" s="31"/>
      <c r="F315" s="31"/>
      <c r="G315" s="33"/>
      <c r="H315" s="105"/>
      <c r="I315" s="32" t="str">
        <f>IF($A315="","",VLOOKUP($H315,APOIO!$L:$M,2,FALSE))</f>
        <v/>
      </c>
      <c r="J315" s="31"/>
      <c r="K315" s="32" t="str">
        <f>IF($A315="","",VLOOKUP($J315,APOIO!$H:$J,2,FALSE))</f>
        <v/>
      </c>
      <c r="L315" s="32" t="str">
        <f>IF($A315="","",VLOOKUP($J315,APOIO!$H:$J,3,FALSE))</f>
        <v/>
      </c>
      <c r="M315" s="31"/>
      <c r="N315" s="34"/>
      <c r="O315" s="32"/>
      <c r="P315" s="32"/>
      <c r="Q315" s="32"/>
      <c r="R315" s="32"/>
      <c r="S315" s="35"/>
      <c r="T315" s="91"/>
      <c r="U315" s="60"/>
      <c r="V315" s="36"/>
      <c r="W315" s="31"/>
      <c r="X315" s="59"/>
      <c r="Y315" s="59" t="str">
        <f>IFERROR(VLOOKUP($A315,APOIO!$A:$A,1,FALSE),"ERRO")</f>
        <v>ERRO</v>
      </c>
      <c r="Z315"/>
    </row>
    <row r="316" spans="1:26" ht="15" x14ac:dyDescent="0.25">
      <c r="A316" s="94"/>
      <c r="B316" s="32" t="str">
        <f>IF($A316="","",VLOOKUP($A316,APOIO!$A:$E,2,FALSE))</f>
        <v/>
      </c>
      <c r="C316" s="94"/>
      <c r="D316" s="32" t="str">
        <f>IF($A316="","",INDEX(APOIO!$D:$D,MATCH(CONCATENATE($A316,"_",$B316,"_",$C316),APOIO!$F:$F,0)))</f>
        <v/>
      </c>
      <c r="E316" s="31"/>
      <c r="F316" s="31"/>
      <c r="G316" s="33"/>
      <c r="H316" s="105"/>
      <c r="I316" s="32" t="str">
        <f>IF($A316="","",VLOOKUP($H316,APOIO!$L:$M,2,FALSE))</f>
        <v/>
      </c>
      <c r="J316" s="31"/>
      <c r="K316" s="32" t="str">
        <f>IF($A316="","",VLOOKUP($J316,APOIO!$H:$J,2,FALSE))</f>
        <v/>
      </c>
      <c r="L316" s="32" t="str">
        <f>IF($A316="","",VLOOKUP($J316,APOIO!$H:$J,3,FALSE))</f>
        <v/>
      </c>
      <c r="M316" s="31"/>
      <c r="N316" s="34"/>
      <c r="O316" s="32"/>
      <c r="P316" s="32"/>
      <c r="Q316" s="32"/>
      <c r="R316" s="32"/>
      <c r="S316" s="35"/>
      <c r="T316" s="91"/>
      <c r="U316" s="60"/>
      <c r="V316" s="36"/>
      <c r="W316" s="31"/>
      <c r="X316" s="59"/>
      <c r="Y316" s="59" t="str">
        <f>IFERROR(VLOOKUP($A316,APOIO!$A:$A,1,FALSE),"ERRO")</f>
        <v>ERRO</v>
      </c>
      <c r="Z316"/>
    </row>
    <row r="317" spans="1:26" ht="15" x14ac:dyDescent="0.25">
      <c r="A317" s="94"/>
      <c r="B317" s="32" t="str">
        <f>IF($A317="","",VLOOKUP($A317,APOIO!$A:$E,2,FALSE))</f>
        <v/>
      </c>
      <c r="C317" s="94"/>
      <c r="D317" s="32" t="str">
        <f>IF($A317="","",INDEX(APOIO!$D:$D,MATCH(CONCATENATE($A317,"_",$B317,"_",$C317),APOIO!$F:$F,0)))</f>
        <v/>
      </c>
      <c r="E317" s="31"/>
      <c r="F317" s="31"/>
      <c r="G317" s="33"/>
      <c r="H317" s="105"/>
      <c r="I317" s="32" t="str">
        <f>IF($A317="","",VLOOKUP($H317,APOIO!$L:$M,2,FALSE))</f>
        <v/>
      </c>
      <c r="J317" s="31"/>
      <c r="K317" s="32" t="str">
        <f>IF($A317="","",VLOOKUP($J317,APOIO!$H:$J,2,FALSE))</f>
        <v/>
      </c>
      <c r="L317" s="32" t="str">
        <f>IF($A317="","",VLOOKUP($J317,APOIO!$H:$J,3,FALSE))</f>
        <v/>
      </c>
      <c r="M317" s="31"/>
      <c r="N317" s="34"/>
      <c r="O317" s="32"/>
      <c r="P317" s="32"/>
      <c r="Q317" s="32"/>
      <c r="R317" s="32"/>
      <c r="S317" s="35"/>
      <c r="T317" s="91"/>
      <c r="U317" s="60"/>
      <c r="V317" s="36"/>
      <c r="W317" s="31"/>
      <c r="X317" s="59"/>
      <c r="Y317" s="59" t="str">
        <f>IFERROR(VLOOKUP($A317,APOIO!$A:$A,1,FALSE),"ERRO")</f>
        <v>ERRO</v>
      </c>
      <c r="Z317"/>
    </row>
    <row r="318" spans="1:26" ht="15" x14ac:dyDescent="0.25">
      <c r="A318" s="94"/>
      <c r="B318" s="32" t="str">
        <f>IF($A318="","",VLOOKUP($A318,APOIO!$A:$E,2,FALSE))</f>
        <v/>
      </c>
      <c r="C318" s="94"/>
      <c r="D318" s="32" t="str">
        <f>IF($A318="","",INDEX(APOIO!$D:$D,MATCH(CONCATENATE($A318,"_",$B318,"_",$C318),APOIO!$F:$F,0)))</f>
        <v/>
      </c>
      <c r="E318" s="31"/>
      <c r="F318" s="31"/>
      <c r="G318" s="33"/>
      <c r="H318" s="105"/>
      <c r="I318" s="32" t="str">
        <f>IF($A318="","",VLOOKUP($H318,APOIO!$L:$M,2,FALSE))</f>
        <v/>
      </c>
      <c r="J318" s="31"/>
      <c r="K318" s="32" t="str">
        <f>IF($A318="","",VLOOKUP($J318,APOIO!$H:$J,2,FALSE))</f>
        <v/>
      </c>
      <c r="L318" s="32" t="str">
        <f>IF($A318="","",VLOOKUP($J318,APOIO!$H:$J,3,FALSE))</f>
        <v/>
      </c>
      <c r="M318" s="31"/>
      <c r="N318" s="34"/>
      <c r="O318" s="32"/>
      <c r="P318" s="32"/>
      <c r="Q318" s="32"/>
      <c r="R318" s="32"/>
      <c r="S318" s="35"/>
      <c r="T318" s="91"/>
      <c r="U318" s="60"/>
      <c r="V318" s="36"/>
      <c r="W318" s="31"/>
      <c r="X318" s="59"/>
      <c r="Y318" s="59" t="str">
        <f>IFERROR(VLOOKUP($A318,APOIO!$A:$A,1,FALSE),"ERRO")</f>
        <v>ERRO</v>
      </c>
      <c r="Z318"/>
    </row>
    <row r="319" spans="1:26" ht="15" x14ac:dyDescent="0.25">
      <c r="A319" s="94"/>
      <c r="B319" s="32" t="str">
        <f>IF($A319="","",VLOOKUP($A319,APOIO!$A:$E,2,FALSE))</f>
        <v/>
      </c>
      <c r="C319" s="94"/>
      <c r="D319" s="32" t="str">
        <f>IF($A319="","",INDEX(APOIO!$D:$D,MATCH(CONCATENATE($A319,"_",$B319,"_",$C319),APOIO!$F:$F,0)))</f>
        <v/>
      </c>
      <c r="E319" s="31"/>
      <c r="F319" s="31"/>
      <c r="G319" s="33"/>
      <c r="H319" s="105"/>
      <c r="I319" s="32" t="str">
        <f>IF($A319="","",VLOOKUP($H319,APOIO!$L:$M,2,FALSE))</f>
        <v/>
      </c>
      <c r="J319" s="31"/>
      <c r="K319" s="32" t="str">
        <f>IF($A319="","",VLOOKUP($J319,APOIO!$H:$J,2,FALSE))</f>
        <v/>
      </c>
      <c r="L319" s="32" t="str">
        <f>IF($A319="","",VLOOKUP($J319,APOIO!$H:$J,3,FALSE))</f>
        <v/>
      </c>
      <c r="M319" s="31"/>
      <c r="N319" s="34"/>
      <c r="O319" s="32"/>
      <c r="P319" s="32"/>
      <c r="Q319" s="32"/>
      <c r="R319" s="32"/>
      <c r="S319" s="35"/>
      <c r="T319" s="91"/>
      <c r="U319" s="60"/>
      <c r="V319" s="36"/>
      <c r="W319" s="31"/>
      <c r="X319" s="59"/>
      <c r="Y319" s="59" t="str">
        <f>IFERROR(VLOOKUP($A319,APOIO!$A:$A,1,FALSE),"ERRO")</f>
        <v>ERRO</v>
      </c>
      <c r="Z319"/>
    </row>
    <row r="320" spans="1:26" ht="15" x14ac:dyDescent="0.25">
      <c r="A320" s="94"/>
      <c r="B320" s="32" t="str">
        <f>IF($A320="","",VLOOKUP($A320,APOIO!$A:$E,2,FALSE))</f>
        <v/>
      </c>
      <c r="C320" s="94"/>
      <c r="D320" s="32" t="str">
        <f>IF($A320="","",INDEX(APOIO!$D:$D,MATCH(CONCATENATE($A320,"_",$B320,"_",$C320),APOIO!$F:$F,0)))</f>
        <v/>
      </c>
      <c r="E320" s="31"/>
      <c r="F320" s="31"/>
      <c r="G320" s="33"/>
      <c r="H320" s="105"/>
      <c r="I320" s="32" t="str">
        <f>IF($A320="","",VLOOKUP($H320,APOIO!$L:$M,2,FALSE))</f>
        <v/>
      </c>
      <c r="J320" s="31"/>
      <c r="K320" s="32" t="str">
        <f>IF($A320="","",VLOOKUP($J320,APOIO!$H:$J,2,FALSE))</f>
        <v/>
      </c>
      <c r="L320" s="32" t="str">
        <f>IF($A320="","",VLOOKUP($J320,APOIO!$H:$J,3,FALSE))</f>
        <v/>
      </c>
      <c r="M320" s="31"/>
      <c r="N320" s="34"/>
      <c r="O320" s="32"/>
      <c r="P320" s="32"/>
      <c r="Q320" s="32"/>
      <c r="R320" s="32"/>
      <c r="S320" s="35"/>
      <c r="T320" s="91"/>
      <c r="U320" s="60"/>
      <c r="V320" s="36"/>
      <c r="W320" s="31"/>
      <c r="X320" s="59"/>
      <c r="Y320" s="59" t="str">
        <f>IFERROR(VLOOKUP($A320,APOIO!$A:$A,1,FALSE),"ERRO")</f>
        <v>ERRO</v>
      </c>
      <c r="Z320"/>
    </row>
    <row r="321" spans="1:26" ht="15" x14ac:dyDescent="0.25">
      <c r="A321" s="94"/>
      <c r="B321" s="32" t="str">
        <f>IF($A321="","",VLOOKUP($A321,APOIO!$A:$E,2,FALSE))</f>
        <v/>
      </c>
      <c r="C321" s="94"/>
      <c r="D321" s="32" t="str">
        <f>IF($A321="","",INDEX(APOIO!$D:$D,MATCH(CONCATENATE($A321,"_",$B321,"_",$C321),APOIO!$F:$F,0)))</f>
        <v/>
      </c>
      <c r="E321" s="31"/>
      <c r="F321" s="31"/>
      <c r="G321" s="33"/>
      <c r="H321" s="105"/>
      <c r="I321" s="32" t="str">
        <f>IF($A321="","",VLOOKUP($H321,APOIO!$L:$M,2,FALSE))</f>
        <v/>
      </c>
      <c r="J321" s="31"/>
      <c r="K321" s="32" t="str">
        <f>IF($A321="","",VLOOKUP($J321,APOIO!$H:$J,2,FALSE))</f>
        <v/>
      </c>
      <c r="L321" s="32" t="str">
        <f>IF($A321="","",VLOOKUP($J321,APOIO!$H:$J,3,FALSE))</f>
        <v/>
      </c>
      <c r="M321" s="31"/>
      <c r="N321" s="34"/>
      <c r="O321" s="32"/>
      <c r="P321" s="32"/>
      <c r="Q321" s="32"/>
      <c r="R321" s="32"/>
      <c r="S321" s="35"/>
      <c r="T321" s="91"/>
      <c r="U321" s="60"/>
      <c r="V321" s="36"/>
      <c r="W321" s="31"/>
      <c r="X321" s="59"/>
      <c r="Y321" s="59" t="str">
        <f>IFERROR(VLOOKUP($A321,APOIO!$A:$A,1,FALSE),"ERRO")</f>
        <v>ERRO</v>
      </c>
      <c r="Z321"/>
    </row>
    <row r="322" spans="1:26" ht="15" x14ac:dyDescent="0.25">
      <c r="A322" s="94"/>
      <c r="B322" s="32" t="str">
        <f>IF($A322="","",VLOOKUP($A322,APOIO!$A:$E,2,FALSE))</f>
        <v/>
      </c>
      <c r="C322" s="94"/>
      <c r="D322" s="32" t="str">
        <f>IF($A322="","",INDEX(APOIO!$D:$D,MATCH(CONCATENATE($A322,"_",$B322,"_",$C322),APOIO!$F:$F,0)))</f>
        <v/>
      </c>
      <c r="E322" s="31"/>
      <c r="F322" s="31"/>
      <c r="G322" s="33"/>
      <c r="H322" s="105"/>
      <c r="I322" s="32" t="str">
        <f>IF($A322="","",VLOOKUP($H322,APOIO!$L:$M,2,FALSE))</f>
        <v/>
      </c>
      <c r="J322" s="31"/>
      <c r="K322" s="32" t="str">
        <f>IF($A322="","",VLOOKUP($J322,APOIO!$H:$J,2,FALSE))</f>
        <v/>
      </c>
      <c r="L322" s="32" t="str">
        <f>IF($A322="","",VLOOKUP($J322,APOIO!$H:$J,3,FALSE))</f>
        <v/>
      </c>
      <c r="M322" s="31"/>
      <c r="N322" s="34"/>
      <c r="O322" s="32"/>
      <c r="P322" s="32"/>
      <c r="Q322" s="32"/>
      <c r="R322" s="32"/>
      <c r="S322" s="35"/>
      <c r="T322" s="91"/>
      <c r="U322" s="60"/>
      <c r="V322" s="36"/>
      <c r="W322" s="31"/>
      <c r="X322" s="59"/>
      <c r="Y322" s="59" t="str">
        <f>IFERROR(VLOOKUP($A322,APOIO!$A:$A,1,FALSE),"ERRO")</f>
        <v>ERRO</v>
      </c>
      <c r="Z322"/>
    </row>
    <row r="323" spans="1:26" ht="15" x14ac:dyDescent="0.25">
      <c r="A323" s="94"/>
      <c r="B323" s="32" t="str">
        <f>IF($A323="","",VLOOKUP($A323,APOIO!$A:$E,2,FALSE))</f>
        <v/>
      </c>
      <c r="C323" s="94"/>
      <c r="D323" s="32" t="str">
        <f>IF($A323="","",INDEX(APOIO!$D:$D,MATCH(CONCATENATE($A323,"_",$B323,"_",$C323),APOIO!$F:$F,0)))</f>
        <v/>
      </c>
      <c r="E323" s="31"/>
      <c r="F323" s="31"/>
      <c r="G323" s="33"/>
      <c r="H323" s="105"/>
      <c r="I323" s="32" t="str">
        <f>IF($A323="","",VLOOKUP($H323,APOIO!$L:$M,2,FALSE))</f>
        <v/>
      </c>
      <c r="J323" s="31"/>
      <c r="K323" s="32" t="str">
        <f>IF($A323="","",VLOOKUP($J323,APOIO!$H:$J,2,FALSE))</f>
        <v/>
      </c>
      <c r="L323" s="32" t="str">
        <f>IF($A323="","",VLOOKUP($J323,APOIO!$H:$J,3,FALSE))</f>
        <v/>
      </c>
      <c r="M323" s="31"/>
      <c r="N323" s="34"/>
      <c r="O323" s="32"/>
      <c r="P323" s="32"/>
      <c r="Q323" s="32"/>
      <c r="R323" s="32"/>
      <c r="S323" s="35"/>
      <c r="T323" s="91"/>
      <c r="U323" s="60"/>
      <c r="V323" s="36"/>
      <c r="W323" s="31"/>
      <c r="X323" s="59"/>
      <c r="Y323" s="59" t="str">
        <f>IFERROR(VLOOKUP($A323,APOIO!$A:$A,1,FALSE),"ERRO")</f>
        <v>ERRO</v>
      </c>
      <c r="Z323"/>
    </row>
    <row r="324" spans="1:26" ht="15" x14ac:dyDescent="0.25">
      <c r="A324" s="94"/>
      <c r="B324" s="32" t="str">
        <f>IF($A324="","",VLOOKUP($A324,APOIO!$A:$E,2,FALSE))</f>
        <v/>
      </c>
      <c r="C324" s="94"/>
      <c r="D324" s="32" t="str">
        <f>IF($A324="","",INDEX(APOIO!$D:$D,MATCH(CONCATENATE($A324,"_",$B324,"_",$C324),APOIO!$F:$F,0)))</f>
        <v/>
      </c>
      <c r="E324" s="31"/>
      <c r="F324" s="31"/>
      <c r="G324" s="33"/>
      <c r="H324" s="105"/>
      <c r="I324" s="32" t="str">
        <f>IF($A324="","",VLOOKUP($H324,APOIO!$L:$M,2,FALSE))</f>
        <v/>
      </c>
      <c r="J324" s="31"/>
      <c r="K324" s="32" t="str">
        <f>IF($A324="","",VLOOKUP($J324,APOIO!$H:$J,2,FALSE))</f>
        <v/>
      </c>
      <c r="L324" s="32" t="str">
        <f>IF($A324="","",VLOOKUP($J324,APOIO!$H:$J,3,FALSE))</f>
        <v/>
      </c>
      <c r="M324" s="31"/>
      <c r="N324" s="34"/>
      <c r="O324" s="32"/>
      <c r="P324" s="32"/>
      <c r="Q324" s="32"/>
      <c r="R324" s="32"/>
      <c r="S324" s="35"/>
      <c r="T324" s="91"/>
      <c r="U324" s="60"/>
      <c r="V324" s="36"/>
      <c r="W324" s="31"/>
      <c r="X324" s="59"/>
      <c r="Y324" s="59" t="str">
        <f>IFERROR(VLOOKUP($A324,APOIO!$A:$A,1,FALSE),"ERRO")</f>
        <v>ERRO</v>
      </c>
      <c r="Z324"/>
    </row>
    <row r="325" spans="1:26" ht="15" x14ac:dyDescent="0.25">
      <c r="A325" s="94"/>
      <c r="B325" s="32" t="str">
        <f>IF($A325="","",VLOOKUP($A325,APOIO!$A:$E,2,FALSE))</f>
        <v/>
      </c>
      <c r="C325" s="94"/>
      <c r="D325" s="32" t="str">
        <f>IF($A325="","",INDEX(APOIO!$D:$D,MATCH(CONCATENATE($A325,"_",$B325,"_",$C325),APOIO!$F:$F,0)))</f>
        <v/>
      </c>
      <c r="E325" s="31"/>
      <c r="F325" s="31"/>
      <c r="G325" s="33"/>
      <c r="H325" s="105"/>
      <c r="I325" s="32" t="str">
        <f>IF($A325="","",VLOOKUP($H325,APOIO!$L:$M,2,FALSE))</f>
        <v/>
      </c>
      <c r="J325" s="31"/>
      <c r="K325" s="32" t="str">
        <f>IF($A325="","",VLOOKUP($J325,APOIO!$H:$J,2,FALSE))</f>
        <v/>
      </c>
      <c r="L325" s="32" t="str">
        <f>IF($A325="","",VLOOKUP($J325,APOIO!$H:$J,3,FALSE))</f>
        <v/>
      </c>
      <c r="M325" s="31"/>
      <c r="N325" s="34"/>
      <c r="O325" s="32"/>
      <c r="P325" s="32"/>
      <c r="Q325" s="32"/>
      <c r="R325" s="32"/>
      <c r="S325" s="35"/>
      <c r="T325" s="91"/>
      <c r="U325" s="60"/>
      <c r="V325" s="36"/>
      <c r="W325" s="31"/>
      <c r="X325" s="59"/>
      <c r="Y325" s="59" t="str">
        <f>IFERROR(VLOOKUP($A325,APOIO!$A:$A,1,FALSE),"ERRO")</f>
        <v>ERRO</v>
      </c>
      <c r="Z325"/>
    </row>
    <row r="326" spans="1:26" ht="15" x14ac:dyDescent="0.25">
      <c r="A326" s="94"/>
      <c r="B326" s="32" t="str">
        <f>IF($A326="","",VLOOKUP($A326,APOIO!$A:$E,2,FALSE))</f>
        <v/>
      </c>
      <c r="C326" s="94"/>
      <c r="D326" s="32" t="str">
        <f>IF($A326="","",INDEX(APOIO!$D:$D,MATCH(CONCATENATE($A326,"_",$B326,"_",$C326),APOIO!$F:$F,0)))</f>
        <v/>
      </c>
      <c r="E326" s="31"/>
      <c r="F326" s="31"/>
      <c r="G326" s="33"/>
      <c r="H326" s="105"/>
      <c r="I326" s="32" t="str">
        <f>IF($A326="","",VLOOKUP($H326,APOIO!$L:$M,2,FALSE))</f>
        <v/>
      </c>
      <c r="J326" s="31"/>
      <c r="K326" s="32" t="str">
        <f>IF($A326="","",VLOOKUP($J326,APOIO!$H:$J,2,FALSE))</f>
        <v/>
      </c>
      <c r="L326" s="32" t="str">
        <f>IF($A326="","",VLOOKUP($J326,APOIO!$H:$J,3,FALSE))</f>
        <v/>
      </c>
      <c r="M326" s="31"/>
      <c r="N326" s="34"/>
      <c r="O326" s="32"/>
      <c r="P326" s="32"/>
      <c r="Q326" s="32"/>
      <c r="R326" s="32"/>
      <c r="S326" s="35"/>
      <c r="T326" s="91"/>
      <c r="U326" s="60"/>
      <c r="V326" s="36"/>
      <c r="W326" s="31"/>
      <c r="X326" s="59"/>
      <c r="Y326" s="59" t="str">
        <f>IFERROR(VLOOKUP($A326,APOIO!$A:$A,1,FALSE),"ERRO")</f>
        <v>ERRO</v>
      </c>
      <c r="Z326"/>
    </row>
    <row r="327" spans="1:26" ht="15" x14ac:dyDescent="0.25">
      <c r="A327" s="94"/>
      <c r="B327" s="32" t="str">
        <f>IF($A327="","",VLOOKUP($A327,APOIO!$A:$E,2,FALSE))</f>
        <v/>
      </c>
      <c r="C327" s="94"/>
      <c r="D327" s="32" t="str">
        <f>IF($A327="","",INDEX(APOIO!$D:$D,MATCH(CONCATENATE($A327,"_",$B327,"_",$C327),APOIO!$F:$F,0)))</f>
        <v/>
      </c>
      <c r="E327" s="31"/>
      <c r="F327" s="31"/>
      <c r="G327" s="33"/>
      <c r="H327" s="105"/>
      <c r="I327" s="32" t="str">
        <f>IF($A327="","",VLOOKUP($H327,APOIO!$L:$M,2,FALSE))</f>
        <v/>
      </c>
      <c r="J327" s="31"/>
      <c r="K327" s="32" t="str">
        <f>IF($A327="","",VLOOKUP($J327,APOIO!$H:$J,2,FALSE))</f>
        <v/>
      </c>
      <c r="L327" s="32" t="str">
        <f>IF($A327="","",VLOOKUP($J327,APOIO!$H:$J,3,FALSE))</f>
        <v/>
      </c>
      <c r="M327" s="31"/>
      <c r="N327" s="34"/>
      <c r="O327" s="32"/>
      <c r="P327" s="32"/>
      <c r="Q327" s="32"/>
      <c r="R327" s="32"/>
      <c r="S327" s="35"/>
      <c r="T327" s="91"/>
      <c r="U327" s="60"/>
      <c r="V327" s="36"/>
      <c r="W327" s="31"/>
      <c r="X327" s="59"/>
      <c r="Y327" s="59" t="str">
        <f>IFERROR(VLOOKUP($A327,APOIO!$A:$A,1,FALSE),"ERRO")</f>
        <v>ERRO</v>
      </c>
      <c r="Z327"/>
    </row>
    <row r="328" spans="1:26" ht="15" x14ac:dyDescent="0.25">
      <c r="A328" s="94"/>
      <c r="B328" s="32" t="str">
        <f>IF($A328="","",VLOOKUP($A328,APOIO!$A:$E,2,FALSE))</f>
        <v/>
      </c>
      <c r="C328" s="94"/>
      <c r="D328" s="32" t="str">
        <f>IF($A328="","",INDEX(APOIO!$D:$D,MATCH(CONCATENATE($A328,"_",$B328,"_",$C328),APOIO!$F:$F,0)))</f>
        <v/>
      </c>
      <c r="E328" s="31"/>
      <c r="F328" s="31"/>
      <c r="G328" s="33"/>
      <c r="H328" s="105"/>
      <c r="I328" s="32" t="str">
        <f>IF($A328="","",VLOOKUP($H328,APOIO!$L:$M,2,FALSE))</f>
        <v/>
      </c>
      <c r="J328" s="31"/>
      <c r="K328" s="32" t="str">
        <f>IF($A328="","",VLOOKUP($J328,APOIO!$H:$J,2,FALSE))</f>
        <v/>
      </c>
      <c r="L328" s="32" t="str">
        <f>IF($A328="","",VLOOKUP($J328,APOIO!$H:$J,3,FALSE))</f>
        <v/>
      </c>
      <c r="M328" s="31"/>
      <c r="N328" s="34"/>
      <c r="O328" s="32"/>
      <c r="P328" s="32"/>
      <c r="Q328" s="32"/>
      <c r="R328" s="32"/>
      <c r="S328" s="35"/>
      <c r="T328" s="91"/>
      <c r="U328" s="60"/>
      <c r="V328" s="36"/>
      <c r="W328" s="31"/>
      <c r="X328" s="59"/>
      <c r="Y328" s="59" t="str">
        <f>IFERROR(VLOOKUP($A328,APOIO!$A:$A,1,FALSE),"ERRO")</f>
        <v>ERRO</v>
      </c>
      <c r="Z328"/>
    </row>
    <row r="329" spans="1:26" ht="15" x14ac:dyDescent="0.25">
      <c r="A329" s="94"/>
      <c r="B329" s="32" t="str">
        <f>IF($A329="","",VLOOKUP($A329,APOIO!$A:$E,2,FALSE))</f>
        <v/>
      </c>
      <c r="C329" s="94"/>
      <c r="D329" s="32" t="str">
        <f>IF($A329="","",INDEX(APOIO!$D:$D,MATCH(CONCATENATE($A329,"_",$B329,"_",$C329),APOIO!$F:$F,0)))</f>
        <v/>
      </c>
      <c r="E329" s="31"/>
      <c r="F329" s="31"/>
      <c r="G329" s="33"/>
      <c r="H329" s="105"/>
      <c r="I329" s="32" t="str">
        <f>IF($A329="","",VLOOKUP($H329,APOIO!$L:$M,2,FALSE))</f>
        <v/>
      </c>
      <c r="J329" s="31"/>
      <c r="K329" s="32" t="str">
        <f>IF($A329="","",VLOOKUP($J329,APOIO!$H:$J,2,FALSE))</f>
        <v/>
      </c>
      <c r="L329" s="32" t="str">
        <f>IF($A329="","",VLOOKUP($J329,APOIO!$H:$J,3,FALSE))</f>
        <v/>
      </c>
      <c r="M329" s="31"/>
      <c r="N329" s="34"/>
      <c r="O329" s="32"/>
      <c r="P329" s="32"/>
      <c r="Q329" s="32"/>
      <c r="R329" s="32"/>
      <c r="S329" s="35"/>
      <c r="T329" s="91"/>
      <c r="U329" s="60"/>
      <c r="V329" s="36"/>
      <c r="W329" s="31"/>
      <c r="X329" s="59"/>
      <c r="Y329" s="59" t="str">
        <f>IFERROR(VLOOKUP($A329,APOIO!$A:$A,1,FALSE),"ERRO")</f>
        <v>ERRO</v>
      </c>
      <c r="Z329"/>
    </row>
    <row r="330" spans="1:26" ht="15" x14ac:dyDescent="0.25">
      <c r="A330" s="94"/>
      <c r="B330" s="32" t="str">
        <f>IF($A330="","",VLOOKUP($A330,APOIO!$A:$E,2,FALSE))</f>
        <v/>
      </c>
      <c r="C330" s="94"/>
      <c r="D330" s="32" t="str">
        <f>IF($A330="","",INDEX(APOIO!$D:$D,MATCH(CONCATENATE($A330,"_",$B330,"_",$C330),APOIO!$F:$F,0)))</f>
        <v/>
      </c>
      <c r="E330" s="31"/>
      <c r="F330" s="31"/>
      <c r="G330" s="33"/>
      <c r="H330" s="105"/>
      <c r="I330" s="32" t="str">
        <f>IF($A330="","",VLOOKUP($H330,APOIO!$L:$M,2,FALSE))</f>
        <v/>
      </c>
      <c r="J330" s="31"/>
      <c r="K330" s="32" t="str">
        <f>IF($A330="","",VLOOKUP($J330,APOIO!$H:$J,2,FALSE))</f>
        <v/>
      </c>
      <c r="L330" s="32" t="str">
        <f>IF($A330="","",VLOOKUP($J330,APOIO!$H:$J,3,FALSE))</f>
        <v/>
      </c>
      <c r="M330" s="31"/>
      <c r="N330" s="34"/>
      <c r="O330" s="32"/>
      <c r="P330" s="32"/>
      <c r="Q330" s="32"/>
      <c r="R330" s="32"/>
      <c r="S330" s="35"/>
      <c r="T330" s="91"/>
      <c r="U330" s="60"/>
      <c r="V330" s="36"/>
      <c r="W330" s="31"/>
      <c r="X330" s="59"/>
      <c r="Y330" s="59" t="str">
        <f>IFERROR(VLOOKUP($A330,APOIO!$A:$A,1,FALSE),"ERRO")</f>
        <v>ERRO</v>
      </c>
      <c r="Z330"/>
    </row>
    <row r="331" spans="1:26" ht="15" x14ac:dyDescent="0.25">
      <c r="A331" s="94"/>
      <c r="B331" s="32" t="str">
        <f>IF($A331="","",VLOOKUP($A331,APOIO!$A:$E,2,FALSE))</f>
        <v/>
      </c>
      <c r="C331" s="94"/>
      <c r="D331" s="32" t="str">
        <f>IF($A331="","",INDEX(APOIO!$D:$D,MATCH(CONCATENATE($A331,"_",$B331,"_",$C331),APOIO!$F:$F,0)))</f>
        <v/>
      </c>
      <c r="E331" s="31"/>
      <c r="F331" s="31"/>
      <c r="G331" s="33"/>
      <c r="H331" s="105"/>
      <c r="I331" s="32" t="str">
        <f>IF($A331="","",VLOOKUP($H331,APOIO!$L:$M,2,FALSE))</f>
        <v/>
      </c>
      <c r="J331" s="31"/>
      <c r="K331" s="32" t="str">
        <f>IF($A331="","",VLOOKUP($J331,APOIO!$H:$J,2,FALSE))</f>
        <v/>
      </c>
      <c r="L331" s="32" t="str">
        <f>IF($A331="","",VLOOKUP($J331,APOIO!$H:$J,3,FALSE))</f>
        <v/>
      </c>
      <c r="M331" s="31"/>
      <c r="N331" s="34"/>
      <c r="O331" s="32"/>
      <c r="P331" s="32"/>
      <c r="Q331" s="32"/>
      <c r="R331" s="32"/>
      <c r="S331" s="35"/>
      <c r="T331" s="91"/>
      <c r="U331" s="60"/>
      <c r="V331" s="36"/>
      <c r="W331" s="31"/>
      <c r="X331" s="59"/>
      <c r="Y331" s="59" t="str">
        <f>IFERROR(VLOOKUP($A331,APOIO!$A:$A,1,FALSE),"ERRO")</f>
        <v>ERRO</v>
      </c>
      <c r="Z331"/>
    </row>
    <row r="332" spans="1:26" ht="15" x14ac:dyDescent="0.25">
      <c r="A332" s="94"/>
      <c r="B332" s="32" t="str">
        <f>IF($A332="","",VLOOKUP($A332,APOIO!$A:$E,2,FALSE))</f>
        <v/>
      </c>
      <c r="C332" s="94"/>
      <c r="D332" s="32" t="str">
        <f>IF($A332="","",INDEX(APOIO!$D:$D,MATCH(CONCATENATE($A332,"_",$B332,"_",$C332),APOIO!$F:$F,0)))</f>
        <v/>
      </c>
      <c r="E332" s="31"/>
      <c r="F332" s="31"/>
      <c r="G332" s="33"/>
      <c r="H332" s="105"/>
      <c r="I332" s="32" t="str">
        <f>IF($A332="","",VLOOKUP($H332,APOIO!$L:$M,2,FALSE))</f>
        <v/>
      </c>
      <c r="J332" s="31"/>
      <c r="K332" s="32" t="str">
        <f>IF($A332="","",VLOOKUP($J332,APOIO!$H:$J,2,FALSE))</f>
        <v/>
      </c>
      <c r="L332" s="32" t="str">
        <f>IF($A332="","",VLOOKUP($J332,APOIO!$H:$J,3,FALSE))</f>
        <v/>
      </c>
      <c r="M332" s="31"/>
      <c r="N332" s="34"/>
      <c r="O332" s="32"/>
      <c r="P332" s="32"/>
      <c r="Q332" s="32"/>
      <c r="R332" s="32"/>
      <c r="S332" s="35"/>
      <c r="T332" s="91"/>
      <c r="U332" s="60"/>
      <c r="V332" s="36"/>
      <c r="W332" s="31"/>
      <c r="X332" s="59"/>
      <c r="Y332" s="59" t="str">
        <f>IFERROR(VLOOKUP($A332,APOIO!$A:$A,1,FALSE),"ERRO")</f>
        <v>ERRO</v>
      </c>
      <c r="Z332"/>
    </row>
    <row r="333" spans="1:26" ht="15" x14ac:dyDescent="0.25">
      <c r="A333" s="94"/>
      <c r="B333" s="32" t="str">
        <f>IF($A333="","",VLOOKUP($A333,APOIO!$A:$E,2,FALSE))</f>
        <v/>
      </c>
      <c r="C333" s="94"/>
      <c r="D333" s="32" t="str">
        <f>IF($A333="","",INDEX(APOIO!$D:$D,MATCH(CONCATENATE($A333,"_",$B333,"_",$C333),APOIO!$F:$F,0)))</f>
        <v/>
      </c>
      <c r="E333" s="31"/>
      <c r="F333" s="31"/>
      <c r="G333" s="33"/>
      <c r="H333" s="105"/>
      <c r="I333" s="32" t="str">
        <f>IF($A333="","",VLOOKUP($H333,APOIO!$L:$M,2,FALSE))</f>
        <v/>
      </c>
      <c r="J333" s="31"/>
      <c r="K333" s="32" t="str">
        <f>IF($A333="","",VLOOKUP($J333,APOIO!$H:$J,2,FALSE))</f>
        <v/>
      </c>
      <c r="L333" s="32" t="str">
        <f>IF($A333="","",VLOOKUP($J333,APOIO!$H:$J,3,FALSE))</f>
        <v/>
      </c>
      <c r="M333" s="31"/>
      <c r="N333" s="34"/>
      <c r="O333" s="32"/>
      <c r="P333" s="32"/>
      <c r="Q333" s="32"/>
      <c r="R333" s="32"/>
      <c r="S333" s="35"/>
      <c r="T333" s="91"/>
      <c r="U333" s="60"/>
      <c r="V333" s="36"/>
      <c r="W333" s="31"/>
      <c r="X333" s="59"/>
      <c r="Y333" s="59" t="str">
        <f>IFERROR(VLOOKUP($A333,APOIO!$A:$A,1,FALSE),"ERRO")</f>
        <v>ERRO</v>
      </c>
      <c r="Z333"/>
    </row>
    <row r="334" spans="1:26" ht="15" x14ac:dyDescent="0.25">
      <c r="A334" s="94"/>
      <c r="B334" s="32" t="str">
        <f>IF($A334="","",VLOOKUP($A334,APOIO!$A:$E,2,FALSE))</f>
        <v/>
      </c>
      <c r="C334" s="94"/>
      <c r="D334" s="32" t="str">
        <f>IF($A334="","",INDEX(APOIO!$D:$D,MATCH(CONCATENATE($A334,"_",$B334,"_",$C334),APOIO!$F:$F,0)))</f>
        <v/>
      </c>
      <c r="E334" s="31"/>
      <c r="F334" s="31"/>
      <c r="G334" s="33"/>
      <c r="H334" s="105"/>
      <c r="I334" s="32" t="str">
        <f>IF($A334="","",VLOOKUP($H334,APOIO!$L:$M,2,FALSE))</f>
        <v/>
      </c>
      <c r="J334" s="31"/>
      <c r="K334" s="32" t="str">
        <f>IF($A334="","",VLOOKUP($J334,APOIO!$H:$J,2,FALSE))</f>
        <v/>
      </c>
      <c r="L334" s="32" t="str">
        <f>IF($A334="","",VLOOKUP($J334,APOIO!$H:$J,3,FALSE))</f>
        <v/>
      </c>
      <c r="M334" s="31"/>
      <c r="N334" s="34"/>
      <c r="O334" s="32"/>
      <c r="P334" s="32"/>
      <c r="Q334" s="32"/>
      <c r="R334" s="32"/>
      <c r="S334" s="35"/>
      <c r="T334" s="91"/>
      <c r="U334" s="60"/>
      <c r="V334" s="36"/>
      <c r="W334" s="31"/>
      <c r="X334" s="59"/>
      <c r="Y334" s="59" t="str">
        <f>IFERROR(VLOOKUP($A334,APOIO!$A:$A,1,FALSE),"ERRO")</f>
        <v>ERRO</v>
      </c>
      <c r="Z334"/>
    </row>
    <row r="335" spans="1:26" ht="15" x14ac:dyDescent="0.25">
      <c r="A335" s="94"/>
      <c r="B335" s="32" t="str">
        <f>IF($A335="","",VLOOKUP($A335,APOIO!$A:$E,2,FALSE))</f>
        <v/>
      </c>
      <c r="C335" s="94"/>
      <c r="D335" s="32" t="str">
        <f>IF($A335="","",INDEX(APOIO!$D:$D,MATCH(CONCATENATE($A335,"_",$B335,"_",$C335),APOIO!$F:$F,0)))</f>
        <v/>
      </c>
      <c r="E335" s="31"/>
      <c r="F335" s="31"/>
      <c r="G335" s="33"/>
      <c r="H335" s="105"/>
      <c r="I335" s="32" t="str">
        <f>IF($A335="","",VLOOKUP($H335,APOIO!$L:$M,2,FALSE))</f>
        <v/>
      </c>
      <c r="J335" s="31"/>
      <c r="K335" s="32" t="str">
        <f>IF($A335="","",VLOOKUP($J335,APOIO!$H:$J,2,FALSE))</f>
        <v/>
      </c>
      <c r="L335" s="32" t="str">
        <f>IF($A335="","",VLOOKUP($J335,APOIO!$H:$J,3,FALSE))</f>
        <v/>
      </c>
      <c r="M335" s="31"/>
      <c r="N335" s="34"/>
      <c r="O335" s="32"/>
      <c r="P335" s="32"/>
      <c r="Q335" s="32"/>
      <c r="R335" s="32"/>
      <c r="S335" s="35"/>
      <c r="T335" s="91"/>
      <c r="U335" s="60"/>
      <c r="V335" s="36"/>
      <c r="W335" s="31"/>
      <c r="X335" s="59"/>
      <c r="Y335" s="59" t="str">
        <f>IFERROR(VLOOKUP($A335,APOIO!$A:$A,1,FALSE),"ERRO")</f>
        <v>ERRO</v>
      </c>
      <c r="Z335"/>
    </row>
    <row r="336" spans="1:26" ht="15" x14ac:dyDescent="0.25">
      <c r="A336" s="94"/>
      <c r="B336" s="32" t="str">
        <f>IF($A336="","",VLOOKUP($A336,APOIO!$A:$E,2,FALSE))</f>
        <v/>
      </c>
      <c r="C336" s="94"/>
      <c r="D336" s="32" t="str">
        <f>IF($A336="","",INDEX(APOIO!$D:$D,MATCH(CONCATENATE($A336,"_",$B336,"_",$C336),APOIO!$F:$F,0)))</f>
        <v/>
      </c>
      <c r="E336" s="31"/>
      <c r="F336" s="31"/>
      <c r="G336" s="33"/>
      <c r="H336" s="105"/>
      <c r="I336" s="32" t="str">
        <f>IF($A336="","",VLOOKUP($H336,APOIO!$L:$M,2,FALSE))</f>
        <v/>
      </c>
      <c r="J336" s="31"/>
      <c r="K336" s="32" t="str">
        <f>IF($A336="","",VLOOKUP($J336,APOIO!$H:$J,2,FALSE))</f>
        <v/>
      </c>
      <c r="L336" s="32" t="str">
        <f>IF($A336="","",VLOOKUP($J336,APOIO!$H:$J,3,FALSE))</f>
        <v/>
      </c>
      <c r="M336" s="31"/>
      <c r="N336" s="34"/>
      <c r="O336" s="32"/>
      <c r="P336" s="32"/>
      <c r="Q336" s="32"/>
      <c r="R336" s="32"/>
      <c r="S336" s="35"/>
      <c r="T336" s="91"/>
      <c r="U336" s="60"/>
      <c r="V336" s="36"/>
      <c r="W336" s="31"/>
      <c r="X336" s="59"/>
      <c r="Y336" s="59" t="str">
        <f>IFERROR(VLOOKUP($A336,APOIO!$A:$A,1,FALSE),"ERRO")</f>
        <v>ERRO</v>
      </c>
      <c r="Z336"/>
    </row>
    <row r="337" spans="1:26" ht="15" x14ac:dyDescent="0.25">
      <c r="A337" s="94"/>
      <c r="B337" s="32" t="str">
        <f>IF($A337="","",VLOOKUP($A337,APOIO!$A:$E,2,FALSE))</f>
        <v/>
      </c>
      <c r="C337" s="94"/>
      <c r="D337" s="32" t="str">
        <f>IF($A337="","",INDEX(APOIO!$D:$D,MATCH(CONCATENATE($A337,"_",$B337,"_",$C337),APOIO!$F:$F,0)))</f>
        <v/>
      </c>
      <c r="E337" s="31"/>
      <c r="F337" s="31"/>
      <c r="G337" s="33"/>
      <c r="H337" s="105"/>
      <c r="I337" s="32" t="str">
        <f>IF($A337="","",VLOOKUP($H337,APOIO!$L:$M,2,FALSE))</f>
        <v/>
      </c>
      <c r="J337" s="31"/>
      <c r="K337" s="32" t="str">
        <f>IF($A337="","",VLOOKUP($J337,APOIO!$H:$J,2,FALSE))</f>
        <v/>
      </c>
      <c r="L337" s="32" t="str">
        <f>IF($A337="","",VLOOKUP($J337,APOIO!$H:$J,3,FALSE))</f>
        <v/>
      </c>
      <c r="M337" s="31"/>
      <c r="N337" s="34"/>
      <c r="O337" s="32"/>
      <c r="P337" s="32"/>
      <c r="Q337" s="32"/>
      <c r="R337" s="32"/>
      <c r="S337" s="35"/>
      <c r="T337" s="91"/>
      <c r="U337" s="60"/>
      <c r="V337" s="36"/>
      <c r="W337" s="31"/>
      <c r="X337" s="59"/>
      <c r="Y337" s="59" t="str">
        <f>IFERROR(VLOOKUP($A337,APOIO!$A:$A,1,FALSE),"ERRO")</f>
        <v>ERRO</v>
      </c>
      <c r="Z337"/>
    </row>
    <row r="338" spans="1:26" ht="15" x14ac:dyDescent="0.25">
      <c r="A338" s="94"/>
      <c r="B338" s="32" t="str">
        <f>IF($A338="","",VLOOKUP($A338,APOIO!$A:$E,2,FALSE))</f>
        <v/>
      </c>
      <c r="C338" s="94"/>
      <c r="D338" s="32" t="str">
        <f>IF($A338="","",INDEX(APOIO!$D:$D,MATCH(CONCATENATE($A338,"_",$B338,"_",$C338),APOIO!$F:$F,0)))</f>
        <v/>
      </c>
      <c r="E338" s="31"/>
      <c r="F338" s="31"/>
      <c r="G338" s="33"/>
      <c r="H338" s="105"/>
      <c r="I338" s="32" t="str">
        <f>IF($A338="","",VLOOKUP($H338,APOIO!$L:$M,2,FALSE))</f>
        <v/>
      </c>
      <c r="J338" s="31"/>
      <c r="K338" s="32" t="str">
        <f>IF($A338="","",VLOOKUP($J338,APOIO!$H:$J,2,FALSE))</f>
        <v/>
      </c>
      <c r="L338" s="32" t="str">
        <f>IF($A338="","",VLOOKUP($J338,APOIO!$H:$J,3,FALSE))</f>
        <v/>
      </c>
      <c r="M338" s="31"/>
      <c r="N338" s="34"/>
      <c r="O338" s="32"/>
      <c r="P338" s="32"/>
      <c r="Q338" s="32"/>
      <c r="R338" s="32"/>
      <c r="S338" s="35"/>
      <c r="T338" s="91"/>
      <c r="U338" s="60"/>
      <c r="V338" s="36"/>
      <c r="W338" s="31"/>
      <c r="X338" s="59"/>
      <c r="Y338" s="59" t="str">
        <f>IFERROR(VLOOKUP($A338,APOIO!$A:$A,1,FALSE),"ERRO")</f>
        <v>ERRO</v>
      </c>
      <c r="Z338"/>
    </row>
    <row r="339" spans="1:26" ht="15" x14ac:dyDescent="0.25">
      <c r="A339" s="94"/>
      <c r="B339" s="32" t="str">
        <f>IF($A339="","",VLOOKUP($A339,APOIO!$A:$E,2,FALSE))</f>
        <v/>
      </c>
      <c r="C339" s="94"/>
      <c r="D339" s="32" t="str">
        <f>IF($A339="","",INDEX(APOIO!$D:$D,MATCH(CONCATENATE($A339,"_",$B339,"_",$C339),APOIO!$F:$F,0)))</f>
        <v/>
      </c>
      <c r="E339" s="31"/>
      <c r="F339" s="31"/>
      <c r="G339" s="33"/>
      <c r="H339" s="105"/>
      <c r="I339" s="32" t="str">
        <f>IF($A339="","",VLOOKUP($H339,APOIO!$L:$M,2,FALSE))</f>
        <v/>
      </c>
      <c r="J339" s="31"/>
      <c r="K339" s="32" t="str">
        <f>IF($A339="","",VLOOKUP($J339,APOIO!$H:$J,2,FALSE))</f>
        <v/>
      </c>
      <c r="L339" s="32" t="str">
        <f>IF($A339="","",VLOOKUP($J339,APOIO!$H:$J,3,FALSE))</f>
        <v/>
      </c>
      <c r="M339" s="31"/>
      <c r="N339" s="34"/>
      <c r="O339" s="32"/>
      <c r="P339" s="32"/>
      <c r="Q339" s="32"/>
      <c r="R339" s="32"/>
      <c r="S339" s="35"/>
      <c r="T339" s="91"/>
      <c r="U339" s="60"/>
      <c r="V339" s="36"/>
      <c r="W339" s="31"/>
      <c r="X339" s="59"/>
      <c r="Y339" s="59" t="str">
        <f>IFERROR(VLOOKUP($A339,APOIO!$A:$A,1,FALSE),"ERRO")</f>
        <v>ERRO</v>
      </c>
      <c r="Z339"/>
    </row>
    <row r="340" spans="1:26" ht="15" x14ac:dyDescent="0.25">
      <c r="A340" s="94"/>
      <c r="B340" s="32" t="str">
        <f>IF($A340="","",VLOOKUP($A340,APOIO!$A:$E,2,FALSE))</f>
        <v/>
      </c>
      <c r="C340" s="94"/>
      <c r="D340" s="32" t="str">
        <f>IF($A340="","",INDEX(APOIO!$D:$D,MATCH(CONCATENATE($A340,"_",$B340,"_",$C340),APOIO!$F:$F,0)))</f>
        <v/>
      </c>
      <c r="E340" s="31"/>
      <c r="F340" s="31"/>
      <c r="G340" s="33"/>
      <c r="H340" s="105"/>
      <c r="I340" s="32" t="str">
        <f>IF($A340="","",VLOOKUP($H340,APOIO!$L:$M,2,FALSE))</f>
        <v/>
      </c>
      <c r="J340" s="31"/>
      <c r="K340" s="32" t="str">
        <f>IF($A340="","",VLOOKUP($J340,APOIO!$H:$J,2,FALSE))</f>
        <v/>
      </c>
      <c r="L340" s="32" t="str">
        <f>IF($A340="","",VLOOKUP($J340,APOIO!$H:$J,3,FALSE))</f>
        <v/>
      </c>
      <c r="M340" s="31"/>
      <c r="N340" s="34"/>
      <c r="O340" s="32"/>
      <c r="P340" s="32"/>
      <c r="Q340" s="32"/>
      <c r="R340" s="32"/>
      <c r="S340" s="35"/>
      <c r="T340" s="91"/>
      <c r="U340" s="60"/>
      <c r="V340" s="36"/>
      <c r="W340" s="31"/>
      <c r="X340" s="59"/>
      <c r="Y340" s="59" t="str">
        <f>IFERROR(VLOOKUP($A340,APOIO!$A:$A,1,FALSE),"ERRO")</f>
        <v>ERRO</v>
      </c>
      <c r="Z340"/>
    </row>
    <row r="341" spans="1:26" ht="15" x14ac:dyDescent="0.25">
      <c r="A341" s="94"/>
      <c r="B341" s="32" t="str">
        <f>IF($A341="","",VLOOKUP($A341,APOIO!$A:$E,2,FALSE))</f>
        <v/>
      </c>
      <c r="C341" s="94"/>
      <c r="D341" s="32" t="str">
        <f>IF($A341="","",INDEX(APOIO!$D:$D,MATCH(CONCATENATE($A341,"_",$B341,"_",$C341),APOIO!$F:$F,0)))</f>
        <v/>
      </c>
      <c r="E341" s="31"/>
      <c r="F341" s="31"/>
      <c r="G341" s="33"/>
      <c r="H341" s="105"/>
      <c r="I341" s="32" t="str">
        <f>IF($A341="","",VLOOKUP($H341,APOIO!$L:$M,2,FALSE))</f>
        <v/>
      </c>
      <c r="J341" s="31"/>
      <c r="K341" s="32" t="str">
        <f>IF($A341="","",VLOOKUP($J341,APOIO!$H:$J,2,FALSE))</f>
        <v/>
      </c>
      <c r="L341" s="32" t="str">
        <f>IF($A341="","",VLOOKUP($J341,APOIO!$H:$J,3,FALSE))</f>
        <v/>
      </c>
      <c r="M341" s="31"/>
      <c r="N341" s="34"/>
      <c r="O341" s="32"/>
      <c r="P341" s="32"/>
      <c r="Q341" s="32"/>
      <c r="R341" s="32"/>
      <c r="S341" s="35"/>
      <c r="T341" s="91"/>
      <c r="U341" s="60"/>
      <c r="V341" s="36"/>
      <c r="W341" s="31"/>
      <c r="X341" s="59"/>
      <c r="Y341" s="59" t="str">
        <f>IFERROR(VLOOKUP($A341,APOIO!$A:$A,1,FALSE),"ERRO")</f>
        <v>ERRO</v>
      </c>
      <c r="Z341"/>
    </row>
    <row r="342" spans="1:26" ht="15" x14ac:dyDescent="0.25">
      <c r="A342" s="94"/>
      <c r="B342" s="32" t="str">
        <f>IF($A342="","",VLOOKUP($A342,APOIO!$A:$E,2,FALSE))</f>
        <v/>
      </c>
      <c r="C342" s="94"/>
      <c r="D342" s="32" t="str">
        <f>IF($A342="","",INDEX(APOIO!$D:$D,MATCH(CONCATENATE($A342,"_",$B342,"_",$C342),APOIO!$F:$F,0)))</f>
        <v/>
      </c>
      <c r="E342" s="31"/>
      <c r="F342" s="31"/>
      <c r="G342" s="33"/>
      <c r="H342" s="105"/>
      <c r="I342" s="32" t="str">
        <f>IF($A342="","",VLOOKUP($H342,APOIO!$L:$M,2,FALSE))</f>
        <v/>
      </c>
      <c r="J342" s="31"/>
      <c r="K342" s="32" t="str">
        <f>IF($A342="","",VLOOKUP($J342,APOIO!$H:$J,2,FALSE))</f>
        <v/>
      </c>
      <c r="L342" s="32" t="str">
        <f>IF($A342="","",VLOOKUP($J342,APOIO!$H:$J,3,FALSE))</f>
        <v/>
      </c>
      <c r="M342" s="31"/>
      <c r="N342" s="34"/>
      <c r="O342" s="32"/>
      <c r="P342" s="32"/>
      <c r="Q342" s="32"/>
      <c r="R342" s="32"/>
      <c r="S342" s="35"/>
      <c r="T342" s="91"/>
      <c r="U342" s="60"/>
      <c r="V342" s="36"/>
      <c r="W342" s="31"/>
      <c r="X342" s="59"/>
      <c r="Y342" s="59" t="str">
        <f>IFERROR(VLOOKUP($A342,APOIO!$A:$A,1,FALSE),"ERRO")</f>
        <v>ERRO</v>
      </c>
      <c r="Z342"/>
    </row>
    <row r="343" spans="1:26" ht="15" x14ac:dyDescent="0.25">
      <c r="A343" s="94"/>
      <c r="B343" s="32" t="str">
        <f>IF($A343="","",VLOOKUP($A343,APOIO!$A:$E,2,FALSE))</f>
        <v/>
      </c>
      <c r="C343" s="94"/>
      <c r="D343" s="32" t="str">
        <f>IF($A343="","",INDEX(APOIO!$D:$D,MATCH(CONCATENATE($A343,"_",$B343,"_",$C343),APOIO!$F:$F,0)))</f>
        <v/>
      </c>
      <c r="E343" s="31"/>
      <c r="F343" s="31"/>
      <c r="G343" s="33"/>
      <c r="H343" s="105"/>
      <c r="I343" s="32" t="str">
        <f>IF($A343="","",VLOOKUP($H343,APOIO!$L:$M,2,FALSE))</f>
        <v/>
      </c>
      <c r="J343" s="31"/>
      <c r="K343" s="32" t="str">
        <f>IF($A343="","",VLOOKUP($J343,APOIO!$H:$J,2,FALSE))</f>
        <v/>
      </c>
      <c r="L343" s="32" t="str">
        <f>IF($A343="","",VLOOKUP($J343,APOIO!$H:$J,3,FALSE))</f>
        <v/>
      </c>
      <c r="M343" s="31"/>
      <c r="N343" s="34"/>
      <c r="O343" s="32"/>
      <c r="P343" s="32"/>
      <c r="Q343" s="32"/>
      <c r="R343" s="32"/>
      <c r="S343" s="35"/>
      <c r="T343" s="91"/>
      <c r="U343" s="60"/>
      <c r="V343" s="36"/>
      <c r="W343" s="31"/>
      <c r="X343" s="59"/>
      <c r="Y343" s="59" t="str">
        <f>IFERROR(VLOOKUP($A343,APOIO!$A:$A,1,FALSE),"ERRO")</f>
        <v>ERRO</v>
      </c>
      <c r="Z343"/>
    </row>
    <row r="344" spans="1:26" ht="15" x14ac:dyDescent="0.25">
      <c r="A344" s="94"/>
      <c r="B344" s="32" t="str">
        <f>IF($A344="","",VLOOKUP($A344,APOIO!$A:$E,2,FALSE))</f>
        <v/>
      </c>
      <c r="C344" s="94"/>
      <c r="D344" s="32" t="str">
        <f>IF($A344="","",INDEX(APOIO!$D:$D,MATCH(CONCATENATE($A344,"_",$B344,"_",$C344),APOIO!$F:$F,0)))</f>
        <v/>
      </c>
      <c r="E344" s="31"/>
      <c r="F344" s="31"/>
      <c r="G344" s="33"/>
      <c r="H344" s="105"/>
      <c r="I344" s="32" t="str">
        <f>IF($A344="","",VLOOKUP($H344,APOIO!$L:$M,2,FALSE))</f>
        <v/>
      </c>
      <c r="J344" s="31"/>
      <c r="K344" s="32" t="str">
        <f>IF($A344="","",VLOOKUP($J344,APOIO!$H:$J,2,FALSE))</f>
        <v/>
      </c>
      <c r="L344" s="32" t="str">
        <f>IF($A344="","",VLOOKUP($J344,APOIO!$H:$J,3,FALSE))</f>
        <v/>
      </c>
      <c r="M344" s="31"/>
      <c r="N344" s="34"/>
      <c r="O344" s="32"/>
      <c r="P344" s="32"/>
      <c r="Q344" s="32"/>
      <c r="R344" s="32"/>
      <c r="S344" s="35"/>
      <c r="T344" s="91"/>
      <c r="U344" s="60"/>
      <c r="V344" s="36"/>
      <c r="W344" s="31"/>
      <c r="X344" s="59"/>
      <c r="Y344" s="59" t="str">
        <f>IFERROR(VLOOKUP($A344,APOIO!$A:$A,1,FALSE),"ERRO")</f>
        <v>ERRO</v>
      </c>
      <c r="Z344"/>
    </row>
    <row r="345" spans="1:26" ht="15" x14ac:dyDescent="0.25">
      <c r="A345" s="94"/>
      <c r="B345" s="32" t="str">
        <f>IF($A345="","",VLOOKUP($A345,APOIO!$A:$E,2,FALSE))</f>
        <v/>
      </c>
      <c r="C345" s="94"/>
      <c r="D345" s="32" t="str">
        <f>IF($A345="","",INDEX(APOIO!$D:$D,MATCH(CONCATENATE($A345,"_",$B345,"_",$C345),APOIO!$F:$F,0)))</f>
        <v/>
      </c>
      <c r="E345" s="31"/>
      <c r="F345" s="31"/>
      <c r="G345" s="33"/>
      <c r="H345" s="105"/>
      <c r="I345" s="32" t="str">
        <f>IF($A345="","",VLOOKUP($H345,APOIO!$L:$M,2,FALSE))</f>
        <v/>
      </c>
      <c r="J345" s="31"/>
      <c r="K345" s="32" t="str">
        <f>IF($A345="","",VLOOKUP($J345,APOIO!$H:$J,2,FALSE))</f>
        <v/>
      </c>
      <c r="L345" s="32" t="str">
        <f>IF($A345="","",VLOOKUP($J345,APOIO!$H:$J,3,FALSE))</f>
        <v/>
      </c>
      <c r="M345" s="31"/>
      <c r="N345" s="34"/>
      <c r="O345" s="32"/>
      <c r="P345" s="32"/>
      <c r="Q345" s="32"/>
      <c r="R345" s="32"/>
      <c r="S345" s="35"/>
      <c r="T345" s="91"/>
      <c r="U345" s="60"/>
      <c r="V345" s="36"/>
      <c r="W345" s="31"/>
      <c r="X345" s="59"/>
      <c r="Y345" s="59" t="str">
        <f>IFERROR(VLOOKUP($A345,APOIO!$A:$A,1,FALSE),"ERRO")</f>
        <v>ERRO</v>
      </c>
      <c r="Z345"/>
    </row>
    <row r="346" spans="1:26" ht="15" x14ac:dyDescent="0.25">
      <c r="A346" s="94"/>
      <c r="B346" s="32" t="str">
        <f>IF($A346="","",VLOOKUP($A346,APOIO!$A:$E,2,FALSE))</f>
        <v/>
      </c>
      <c r="C346" s="94"/>
      <c r="D346" s="32" t="str">
        <f>IF($A346="","",INDEX(APOIO!$D:$D,MATCH(CONCATENATE($A346,"_",$B346,"_",$C346),APOIO!$F:$F,0)))</f>
        <v/>
      </c>
      <c r="E346" s="31"/>
      <c r="F346" s="31"/>
      <c r="G346" s="33"/>
      <c r="H346" s="105"/>
      <c r="I346" s="32" t="str">
        <f>IF($A346="","",VLOOKUP($H346,APOIO!$L:$M,2,FALSE))</f>
        <v/>
      </c>
      <c r="J346" s="31"/>
      <c r="K346" s="32" t="str">
        <f>IF($A346="","",VLOOKUP($J346,APOIO!$H:$J,2,FALSE))</f>
        <v/>
      </c>
      <c r="L346" s="32" t="str">
        <f>IF($A346="","",VLOOKUP($J346,APOIO!$H:$J,3,FALSE))</f>
        <v/>
      </c>
      <c r="M346" s="31"/>
      <c r="N346" s="34"/>
      <c r="O346" s="32"/>
      <c r="P346" s="32"/>
      <c r="Q346" s="32"/>
      <c r="R346" s="32"/>
      <c r="S346" s="35"/>
      <c r="T346" s="91"/>
      <c r="U346" s="60"/>
      <c r="V346" s="36"/>
      <c r="W346" s="31"/>
      <c r="X346" s="59"/>
      <c r="Y346" s="59" t="str">
        <f>IFERROR(VLOOKUP($A346,APOIO!$A:$A,1,FALSE),"ERRO")</f>
        <v>ERRO</v>
      </c>
      <c r="Z346"/>
    </row>
    <row r="347" spans="1:26" ht="15" x14ac:dyDescent="0.25">
      <c r="A347" s="94"/>
      <c r="B347" s="32" t="str">
        <f>IF($A347="","",VLOOKUP($A347,APOIO!$A:$E,2,FALSE))</f>
        <v/>
      </c>
      <c r="C347" s="94"/>
      <c r="D347" s="32" t="str">
        <f>IF($A347="","",INDEX(APOIO!$D:$D,MATCH(CONCATENATE($A347,"_",$B347,"_",$C347),APOIO!$F:$F,0)))</f>
        <v/>
      </c>
      <c r="E347" s="31"/>
      <c r="F347" s="31"/>
      <c r="G347" s="33"/>
      <c r="H347" s="105"/>
      <c r="I347" s="32" t="str">
        <f>IF($A347="","",VLOOKUP($H347,APOIO!$L:$M,2,FALSE))</f>
        <v/>
      </c>
      <c r="J347" s="31"/>
      <c r="K347" s="32" t="str">
        <f>IF($A347="","",VLOOKUP($J347,APOIO!$H:$J,2,FALSE))</f>
        <v/>
      </c>
      <c r="L347" s="32" t="str">
        <f>IF($A347="","",VLOOKUP($J347,APOIO!$H:$J,3,FALSE))</f>
        <v/>
      </c>
      <c r="M347" s="31"/>
      <c r="N347" s="34"/>
      <c r="O347" s="32"/>
      <c r="P347" s="32"/>
      <c r="Q347" s="32"/>
      <c r="R347" s="32"/>
      <c r="S347" s="35"/>
      <c r="T347" s="91"/>
      <c r="U347" s="60"/>
      <c r="V347" s="36"/>
      <c r="W347" s="31"/>
      <c r="X347" s="59"/>
      <c r="Y347" s="59" t="str">
        <f>IFERROR(VLOOKUP($A347,APOIO!$A:$A,1,FALSE),"ERRO")</f>
        <v>ERRO</v>
      </c>
      <c r="Z347"/>
    </row>
    <row r="348" spans="1:26" ht="15" x14ac:dyDescent="0.25">
      <c r="A348" s="94"/>
      <c r="B348" s="32" t="str">
        <f>IF($A348="","",VLOOKUP($A348,APOIO!$A:$E,2,FALSE))</f>
        <v/>
      </c>
      <c r="C348" s="94"/>
      <c r="D348" s="32" t="str">
        <f>IF($A348="","",INDEX(APOIO!$D:$D,MATCH(CONCATENATE($A348,"_",$B348,"_",$C348),APOIO!$F:$F,0)))</f>
        <v/>
      </c>
      <c r="E348" s="31"/>
      <c r="F348" s="31"/>
      <c r="G348" s="33"/>
      <c r="H348" s="105"/>
      <c r="I348" s="32" t="str">
        <f>IF($A348="","",VLOOKUP($H348,APOIO!$L:$M,2,FALSE))</f>
        <v/>
      </c>
      <c r="J348" s="31"/>
      <c r="K348" s="32" t="str">
        <f>IF($A348="","",VLOOKUP($J348,APOIO!$H:$J,2,FALSE))</f>
        <v/>
      </c>
      <c r="L348" s="32" t="str">
        <f>IF($A348="","",VLOOKUP($J348,APOIO!$H:$J,3,FALSE))</f>
        <v/>
      </c>
      <c r="M348" s="31"/>
      <c r="N348" s="34"/>
      <c r="O348" s="32"/>
      <c r="P348" s="32"/>
      <c r="Q348" s="32"/>
      <c r="R348" s="32"/>
      <c r="S348" s="35"/>
      <c r="T348" s="91"/>
      <c r="U348" s="60"/>
      <c r="V348" s="36"/>
      <c r="W348" s="31"/>
      <c r="X348" s="59"/>
      <c r="Y348" s="59" t="str">
        <f>IFERROR(VLOOKUP($A348,APOIO!$A:$A,1,FALSE),"ERRO")</f>
        <v>ERRO</v>
      </c>
      <c r="Z348"/>
    </row>
    <row r="349" spans="1:26" ht="15" x14ac:dyDescent="0.25">
      <c r="A349" s="94"/>
      <c r="B349" s="32" t="str">
        <f>IF($A349="","",VLOOKUP($A349,APOIO!$A:$E,2,FALSE))</f>
        <v/>
      </c>
      <c r="C349" s="94"/>
      <c r="D349" s="32" t="str">
        <f>IF($A349="","",INDEX(APOIO!$D:$D,MATCH(CONCATENATE($A349,"_",$B349,"_",$C349),APOIO!$F:$F,0)))</f>
        <v/>
      </c>
      <c r="E349" s="31"/>
      <c r="F349" s="31"/>
      <c r="G349" s="33"/>
      <c r="H349" s="105"/>
      <c r="I349" s="32" t="str">
        <f>IF($A349="","",VLOOKUP($H349,APOIO!$L:$M,2,FALSE))</f>
        <v/>
      </c>
      <c r="J349" s="31"/>
      <c r="K349" s="32" t="str">
        <f>IF($A349="","",VLOOKUP($J349,APOIO!$H:$J,2,FALSE))</f>
        <v/>
      </c>
      <c r="L349" s="32" t="str">
        <f>IF($A349="","",VLOOKUP($J349,APOIO!$H:$J,3,FALSE))</f>
        <v/>
      </c>
      <c r="M349" s="31"/>
      <c r="N349" s="34"/>
      <c r="O349" s="32"/>
      <c r="P349" s="32"/>
      <c r="Q349" s="32"/>
      <c r="R349" s="32"/>
      <c r="S349" s="35"/>
      <c r="T349" s="91"/>
      <c r="U349" s="60"/>
      <c r="V349" s="36"/>
      <c r="W349" s="31"/>
      <c r="X349" s="59"/>
      <c r="Y349" s="59" t="str">
        <f>IFERROR(VLOOKUP($A349,APOIO!$A:$A,1,FALSE),"ERRO")</f>
        <v>ERRO</v>
      </c>
      <c r="Z349"/>
    </row>
    <row r="350" spans="1:26" ht="15" x14ac:dyDescent="0.25">
      <c r="A350" s="94"/>
      <c r="B350" s="32" t="str">
        <f>IF($A350="","",VLOOKUP($A350,APOIO!$A:$E,2,FALSE))</f>
        <v/>
      </c>
      <c r="C350" s="94"/>
      <c r="D350" s="32" t="str">
        <f>IF($A350="","",INDEX(APOIO!$D:$D,MATCH(CONCATENATE($A350,"_",$B350,"_",$C350),APOIO!$F:$F,0)))</f>
        <v/>
      </c>
      <c r="E350" s="31"/>
      <c r="F350" s="31"/>
      <c r="G350" s="33"/>
      <c r="H350" s="105"/>
      <c r="I350" s="32" t="str">
        <f>IF($A350="","",VLOOKUP($H350,APOIO!$L:$M,2,FALSE))</f>
        <v/>
      </c>
      <c r="J350" s="31"/>
      <c r="K350" s="32" t="str">
        <f>IF($A350="","",VLOOKUP($J350,APOIO!$H:$J,2,FALSE))</f>
        <v/>
      </c>
      <c r="L350" s="32" t="str">
        <f>IF($A350="","",VLOOKUP($J350,APOIO!$H:$J,3,FALSE))</f>
        <v/>
      </c>
      <c r="M350" s="31"/>
      <c r="N350" s="34"/>
      <c r="O350" s="32"/>
      <c r="P350" s="32"/>
      <c r="Q350" s="32"/>
      <c r="R350" s="32"/>
      <c r="S350" s="35"/>
      <c r="T350" s="91"/>
      <c r="U350" s="60"/>
      <c r="V350" s="36"/>
      <c r="W350" s="31"/>
      <c r="X350" s="59"/>
      <c r="Y350" s="59" t="str">
        <f>IFERROR(VLOOKUP($A350,APOIO!$A:$A,1,FALSE),"ERRO")</f>
        <v>ERRO</v>
      </c>
      <c r="Z350"/>
    </row>
    <row r="351" spans="1:26" ht="15" x14ac:dyDescent="0.25">
      <c r="A351" s="94"/>
      <c r="B351" s="32" t="str">
        <f>IF($A351="","",VLOOKUP($A351,APOIO!$A:$E,2,FALSE))</f>
        <v/>
      </c>
      <c r="C351" s="94"/>
      <c r="D351" s="32" t="str">
        <f>IF($A351="","",INDEX(APOIO!$D:$D,MATCH(CONCATENATE($A351,"_",$B351,"_",$C351),APOIO!$F:$F,0)))</f>
        <v/>
      </c>
      <c r="E351" s="31"/>
      <c r="F351" s="31"/>
      <c r="G351" s="33"/>
      <c r="H351" s="105"/>
      <c r="I351" s="32" t="str">
        <f>IF($A351="","",VLOOKUP($H351,APOIO!$L:$M,2,FALSE))</f>
        <v/>
      </c>
      <c r="J351" s="31"/>
      <c r="K351" s="32" t="str">
        <f>IF($A351="","",VLOOKUP($J351,APOIO!$H:$J,2,FALSE))</f>
        <v/>
      </c>
      <c r="L351" s="32" t="str">
        <f>IF($A351="","",VLOOKUP($J351,APOIO!$H:$J,3,FALSE))</f>
        <v/>
      </c>
      <c r="M351" s="31"/>
      <c r="N351" s="34"/>
      <c r="O351" s="32"/>
      <c r="P351" s="32"/>
      <c r="Q351" s="32"/>
      <c r="R351" s="32"/>
      <c r="S351" s="35"/>
      <c r="T351" s="91"/>
      <c r="U351" s="60"/>
      <c r="V351" s="36"/>
      <c r="W351" s="31"/>
      <c r="X351" s="59"/>
      <c r="Y351" s="59" t="str">
        <f>IFERROR(VLOOKUP($A351,APOIO!$A:$A,1,FALSE),"ERRO")</f>
        <v>ERRO</v>
      </c>
      <c r="Z351"/>
    </row>
    <row r="352" spans="1:26" ht="15" x14ac:dyDescent="0.25">
      <c r="A352" s="94"/>
      <c r="B352" s="32" t="str">
        <f>IF($A352="","",VLOOKUP($A352,APOIO!$A:$E,2,FALSE))</f>
        <v/>
      </c>
      <c r="C352" s="94"/>
      <c r="D352" s="32" t="str">
        <f>IF($A352="","",INDEX(APOIO!$D:$D,MATCH(CONCATENATE($A352,"_",$B352,"_",$C352),APOIO!$F:$F,0)))</f>
        <v/>
      </c>
      <c r="E352" s="31"/>
      <c r="F352" s="31"/>
      <c r="G352" s="33"/>
      <c r="H352" s="105"/>
      <c r="I352" s="32" t="str">
        <f>IF($A352="","",VLOOKUP($H352,APOIO!$L:$M,2,FALSE))</f>
        <v/>
      </c>
      <c r="J352" s="31"/>
      <c r="K352" s="32" t="str">
        <f>IF($A352="","",VLOOKUP($J352,APOIO!$H:$J,2,FALSE))</f>
        <v/>
      </c>
      <c r="L352" s="32" t="str">
        <f>IF($A352="","",VLOOKUP($J352,APOIO!$H:$J,3,FALSE))</f>
        <v/>
      </c>
      <c r="M352" s="31"/>
      <c r="N352" s="34"/>
      <c r="O352" s="32"/>
      <c r="P352" s="32"/>
      <c r="Q352" s="32"/>
      <c r="R352" s="32"/>
      <c r="S352" s="35"/>
      <c r="T352" s="91"/>
      <c r="U352" s="60"/>
      <c r="V352" s="36"/>
      <c r="W352" s="31"/>
      <c r="X352" s="59"/>
      <c r="Y352" s="59" t="str">
        <f>IFERROR(VLOOKUP($A352,APOIO!$A:$A,1,FALSE),"ERRO")</f>
        <v>ERRO</v>
      </c>
      <c r="Z352"/>
    </row>
    <row r="353" spans="1:26" ht="15" x14ac:dyDescent="0.25">
      <c r="A353" s="94"/>
      <c r="B353" s="32" t="str">
        <f>IF($A353="","",VLOOKUP($A353,APOIO!$A:$E,2,FALSE))</f>
        <v/>
      </c>
      <c r="C353" s="94"/>
      <c r="D353" s="32" t="str">
        <f>IF($A353="","",INDEX(APOIO!$D:$D,MATCH(CONCATENATE($A353,"_",$B353,"_",$C353),APOIO!$F:$F,0)))</f>
        <v/>
      </c>
      <c r="E353" s="31"/>
      <c r="F353" s="31"/>
      <c r="G353" s="33"/>
      <c r="H353" s="105"/>
      <c r="I353" s="32" t="str">
        <f>IF($A353="","",VLOOKUP($H353,APOIO!$L:$M,2,FALSE))</f>
        <v/>
      </c>
      <c r="J353" s="31"/>
      <c r="K353" s="32" t="str">
        <f>IF($A353="","",VLOOKUP($J353,APOIO!$H:$J,2,FALSE))</f>
        <v/>
      </c>
      <c r="L353" s="32" t="str">
        <f>IF($A353="","",VLOOKUP($J353,APOIO!$H:$J,3,FALSE))</f>
        <v/>
      </c>
      <c r="M353" s="31"/>
      <c r="N353" s="34"/>
      <c r="O353" s="32"/>
      <c r="P353" s="32"/>
      <c r="Q353" s="32"/>
      <c r="R353" s="32"/>
      <c r="S353" s="35"/>
      <c r="T353" s="91"/>
      <c r="U353" s="60"/>
      <c r="V353" s="36"/>
      <c r="W353" s="31"/>
      <c r="X353" s="59"/>
      <c r="Y353" s="59" t="str">
        <f>IFERROR(VLOOKUP($A353,APOIO!$A:$A,1,FALSE),"ERRO")</f>
        <v>ERRO</v>
      </c>
      <c r="Z353"/>
    </row>
    <row r="354" spans="1:26" ht="15" x14ac:dyDescent="0.25">
      <c r="A354" s="94"/>
      <c r="B354" s="32" t="str">
        <f>IF($A354="","",VLOOKUP($A354,APOIO!$A:$E,2,FALSE))</f>
        <v/>
      </c>
      <c r="C354" s="94"/>
      <c r="D354" s="32" t="str">
        <f>IF($A354="","",INDEX(APOIO!$D:$D,MATCH(CONCATENATE($A354,"_",$B354,"_",$C354),APOIO!$F:$F,0)))</f>
        <v/>
      </c>
      <c r="E354" s="31"/>
      <c r="F354" s="31"/>
      <c r="G354" s="33"/>
      <c r="H354" s="105"/>
      <c r="I354" s="32" t="str">
        <f>IF($A354="","",VLOOKUP($H354,APOIO!$L:$M,2,FALSE))</f>
        <v/>
      </c>
      <c r="J354" s="31"/>
      <c r="K354" s="32" t="str">
        <f>IF($A354="","",VLOOKUP($J354,APOIO!$H:$J,2,FALSE))</f>
        <v/>
      </c>
      <c r="L354" s="32" t="str">
        <f>IF($A354="","",VLOOKUP($J354,APOIO!$H:$J,3,FALSE))</f>
        <v/>
      </c>
      <c r="M354" s="31"/>
      <c r="N354" s="34"/>
      <c r="O354" s="32"/>
      <c r="P354" s="32"/>
      <c r="Q354" s="32"/>
      <c r="R354" s="32"/>
      <c r="S354" s="35"/>
      <c r="T354" s="91"/>
      <c r="U354" s="60"/>
      <c r="V354" s="36"/>
      <c r="W354" s="31"/>
      <c r="X354" s="59"/>
      <c r="Y354" s="59" t="str">
        <f>IFERROR(VLOOKUP($A354,APOIO!$A:$A,1,FALSE),"ERRO")</f>
        <v>ERRO</v>
      </c>
      <c r="Z354"/>
    </row>
    <row r="355" spans="1:26" ht="15" x14ac:dyDescent="0.25">
      <c r="A355" s="94"/>
      <c r="B355" s="32" t="str">
        <f>IF($A355="","",VLOOKUP($A355,APOIO!$A:$E,2,FALSE))</f>
        <v/>
      </c>
      <c r="C355" s="94"/>
      <c r="D355" s="32" t="str">
        <f>IF($A355="","",INDEX(APOIO!$D:$D,MATCH(CONCATENATE($A355,"_",$B355,"_",$C355),APOIO!$F:$F,0)))</f>
        <v/>
      </c>
      <c r="E355" s="31"/>
      <c r="F355" s="31"/>
      <c r="G355" s="33"/>
      <c r="H355" s="105"/>
      <c r="I355" s="32" t="str">
        <f>IF($A355="","",VLOOKUP($H355,APOIO!$L:$M,2,FALSE))</f>
        <v/>
      </c>
      <c r="J355" s="31"/>
      <c r="K355" s="32" t="str">
        <f>IF($A355="","",VLOOKUP($J355,APOIO!$H:$J,2,FALSE))</f>
        <v/>
      </c>
      <c r="L355" s="32" t="str">
        <f>IF($A355="","",VLOOKUP($J355,APOIO!$H:$J,3,FALSE))</f>
        <v/>
      </c>
      <c r="M355" s="31"/>
      <c r="N355" s="34"/>
      <c r="O355" s="32"/>
      <c r="P355" s="32"/>
      <c r="Q355" s="32"/>
      <c r="R355" s="32"/>
      <c r="S355" s="35"/>
      <c r="T355" s="91"/>
      <c r="U355" s="60"/>
      <c r="V355" s="36"/>
      <c r="W355" s="31"/>
      <c r="X355" s="59"/>
      <c r="Y355" s="59" t="str">
        <f>IFERROR(VLOOKUP($A355,APOIO!$A:$A,1,FALSE),"ERRO")</f>
        <v>ERRO</v>
      </c>
      <c r="Z355"/>
    </row>
    <row r="356" spans="1:26" ht="15" x14ac:dyDescent="0.25">
      <c r="A356" s="94"/>
      <c r="B356" s="32" t="str">
        <f>IF($A356="","",VLOOKUP($A356,APOIO!$A:$E,2,FALSE))</f>
        <v/>
      </c>
      <c r="C356" s="94"/>
      <c r="D356" s="32" t="str">
        <f>IF($A356="","",INDEX(APOIO!$D:$D,MATCH(CONCATENATE($A356,"_",$B356,"_",$C356),APOIO!$F:$F,0)))</f>
        <v/>
      </c>
      <c r="E356" s="31"/>
      <c r="F356" s="31"/>
      <c r="G356" s="33"/>
      <c r="H356" s="105"/>
      <c r="I356" s="32" t="str">
        <f>IF($A356="","",VLOOKUP($H356,APOIO!$L:$M,2,FALSE))</f>
        <v/>
      </c>
      <c r="J356" s="31"/>
      <c r="K356" s="32" t="str">
        <f>IF($A356="","",VLOOKUP($J356,APOIO!$H:$J,2,FALSE))</f>
        <v/>
      </c>
      <c r="L356" s="32" t="str">
        <f>IF($A356="","",VLOOKUP($J356,APOIO!$H:$J,3,FALSE))</f>
        <v/>
      </c>
      <c r="M356" s="31"/>
      <c r="N356" s="34"/>
      <c r="O356" s="32"/>
      <c r="P356" s="32"/>
      <c r="Q356" s="32"/>
      <c r="R356" s="32"/>
      <c r="S356" s="35"/>
      <c r="T356" s="91"/>
      <c r="U356" s="60"/>
      <c r="V356" s="36"/>
      <c r="W356" s="31"/>
      <c r="X356" s="59"/>
      <c r="Y356" s="59" t="str">
        <f>IFERROR(VLOOKUP($A356,APOIO!$A:$A,1,FALSE),"ERRO")</f>
        <v>ERRO</v>
      </c>
      <c r="Z356"/>
    </row>
    <row r="357" spans="1:26" ht="15" x14ac:dyDescent="0.25">
      <c r="A357" s="94"/>
      <c r="B357" s="32" t="str">
        <f>IF($A357="","",VLOOKUP($A357,APOIO!$A:$E,2,FALSE))</f>
        <v/>
      </c>
      <c r="C357" s="94"/>
      <c r="D357" s="32" t="str">
        <f>IF($A357="","",INDEX(APOIO!$D:$D,MATCH(CONCATENATE($A357,"_",$B357,"_",$C357),APOIO!$F:$F,0)))</f>
        <v/>
      </c>
      <c r="E357" s="31"/>
      <c r="F357" s="31"/>
      <c r="G357" s="33"/>
      <c r="H357" s="105"/>
      <c r="I357" s="32" t="str">
        <f>IF($A357="","",VLOOKUP($H357,APOIO!$L:$M,2,FALSE))</f>
        <v/>
      </c>
      <c r="J357" s="31"/>
      <c r="K357" s="32" t="str">
        <f>IF($A357="","",VLOOKUP($J357,APOIO!$H:$J,2,FALSE))</f>
        <v/>
      </c>
      <c r="L357" s="32" t="str">
        <f>IF($A357="","",VLOOKUP($J357,APOIO!$H:$J,3,FALSE))</f>
        <v/>
      </c>
      <c r="M357" s="31"/>
      <c r="N357" s="34"/>
      <c r="O357" s="32"/>
      <c r="P357" s="32"/>
      <c r="Q357" s="32"/>
      <c r="R357" s="32"/>
      <c r="S357" s="35"/>
      <c r="T357" s="91"/>
      <c r="U357" s="60"/>
      <c r="V357" s="36"/>
      <c r="W357" s="31"/>
      <c r="X357" s="59"/>
      <c r="Y357" s="59" t="str">
        <f>IFERROR(VLOOKUP($A357,APOIO!$A:$A,1,FALSE),"ERRO")</f>
        <v>ERRO</v>
      </c>
      <c r="Z357"/>
    </row>
    <row r="358" spans="1:26" ht="15" x14ac:dyDescent="0.25">
      <c r="A358" s="94"/>
      <c r="B358" s="32" t="str">
        <f>IF($A358="","",VLOOKUP($A358,APOIO!$A:$E,2,FALSE))</f>
        <v/>
      </c>
      <c r="C358" s="94"/>
      <c r="D358" s="32" t="str">
        <f>IF($A358="","",INDEX(APOIO!$D:$D,MATCH(CONCATENATE($A358,"_",$B358,"_",$C358),APOIO!$F:$F,0)))</f>
        <v/>
      </c>
      <c r="E358" s="31"/>
      <c r="F358" s="31"/>
      <c r="G358" s="33"/>
      <c r="H358" s="105"/>
      <c r="I358" s="32" t="str">
        <f>IF($A358="","",VLOOKUP($H358,APOIO!$L:$M,2,FALSE))</f>
        <v/>
      </c>
      <c r="J358" s="31"/>
      <c r="K358" s="32" t="str">
        <f>IF($A358="","",VLOOKUP($J358,APOIO!$H:$J,2,FALSE))</f>
        <v/>
      </c>
      <c r="L358" s="32" t="str">
        <f>IF($A358="","",VLOOKUP($J358,APOIO!$H:$J,3,FALSE))</f>
        <v/>
      </c>
      <c r="M358" s="31"/>
      <c r="N358" s="34"/>
      <c r="O358" s="32"/>
      <c r="P358" s="32"/>
      <c r="Q358" s="32"/>
      <c r="R358" s="32"/>
      <c r="S358" s="35"/>
      <c r="T358" s="91"/>
      <c r="U358" s="60"/>
      <c r="V358" s="36"/>
      <c r="W358" s="31"/>
      <c r="X358" s="59"/>
      <c r="Y358" s="59" t="str">
        <f>IFERROR(VLOOKUP($A358,APOIO!$A:$A,1,FALSE),"ERRO")</f>
        <v>ERRO</v>
      </c>
      <c r="Z358"/>
    </row>
    <row r="359" spans="1:26" ht="15" x14ac:dyDescent="0.25">
      <c r="A359" s="94"/>
      <c r="B359" s="32" t="str">
        <f>IF($A359="","",VLOOKUP($A359,APOIO!$A:$E,2,FALSE))</f>
        <v/>
      </c>
      <c r="C359" s="94"/>
      <c r="D359" s="32" t="str">
        <f>IF($A359="","",INDEX(APOIO!$D:$D,MATCH(CONCATENATE($A359,"_",$B359,"_",$C359),APOIO!$F:$F,0)))</f>
        <v/>
      </c>
      <c r="E359" s="31"/>
      <c r="F359" s="31"/>
      <c r="G359" s="33"/>
      <c r="H359" s="105"/>
      <c r="I359" s="32" t="str">
        <f>IF($A359="","",VLOOKUP($H359,APOIO!$L:$M,2,FALSE))</f>
        <v/>
      </c>
      <c r="J359" s="31"/>
      <c r="K359" s="32" t="str">
        <f>IF($A359="","",VLOOKUP($J359,APOIO!$H:$J,2,FALSE))</f>
        <v/>
      </c>
      <c r="L359" s="32" t="str">
        <f>IF($A359="","",VLOOKUP($J359,APOIO!$H:$J,3,FALSE))</f>
        <v/>
      </c>
      <c r="M359" s="31"/>
      <c r="N359" s="34"/>
      <c r="O359" s="32"/>
      <c r="P359" s="32"/>
      <c r="Q359" s="32"/>
      <c r="R359" s="32"/>
      <c r="S359" s="35"/>
      <c r="T359" s="91"/>
      <c r="U359" s="60"/>
      <c r="V359" s="36"/>
      <c r="W359" s="31"/>
      <c r="X359" s="59"/>
      <c r="Y359" s="59" t="str">
        <f>IFERROR(VLOOKUP($A359,APOIO!$A:$A,1,FALSE),"ERRO")</f>
        <v>ERRO</v>
      </c>
      <c r="Z359"/>
    </row>
    <row r="360" spans="1:26" ht="15" x14ac:dyDescent="0.25">
      <c r="A360" s="94"/>
      <c r="B360" s="32" t="str">
        <f>IF($A360="","",VLOOKUP($A360,APOIO!$A:$E,2,FALSE))</f>
        <v/>
      </c>
      <c r="C360" s="94"/>
      <c r="D360" s="32" t="str">
        <f>IF($A360="","",INDEX(APOIO!$D:$D,MATCH(CONCATENATE($A360,"_",$B360,"_",$C360),APOIO!$F:$F,0)))</f>
        <v/>
      </c>
      <c r="E360" s="31"/>
      <c r="F360" s="31"/>
      <c r="G360" s="33"/>
      <c r="H360" s="105"/>
      <c r="I360" s="32" t="str">
        <f>IF($A360="","",VLOOKUP($H360,APOIO!$L:$M,2,FALSE))</f>
        <v/>
      </c>
      <c r="J360" s="31"/>
      <c r="K360" s="32" t="str">
        <f>IF($A360="","",VLOOKUP($J360,APOIO!$H:$J,2,FALSE))</f>
        <v/>
      </c>
      <c r="L360" s="32" t="str">
        <f>IF($A360="","",VLOOKUP($J360,APOIO!$H:$J,3,FALSE))</f>
        <v/>
      </c>
      <c r="M360" s="31"/>
      <c r="N360" s="34"/>
      <c r="O360" s="32"/>
      <c r="P360" s="32"/>
      <c r="Q360" s="32"/>
      <c r="R360" s="32"/>
      <c r="S360" s="35"/>
      <c r="T360" s="91"/>
      <c r="U360" s="60"/>
      <c r="V360" s="36"/>
      <c r="W360" s="31"/>
      <c r="X360" s="59"/>
      <c r="Y360" s="59" t="str">
        <f>IFERROR(VLOOKUP($A360,APOIO!$A:$A,1,FALSE),"ERRO")</f>
        <v>ERRO</v>
      </c>
      <c r="Z360"/>
    </row>
    <row r="361" spans="1:26" ht="15" x14ac:dyDescent="0.25">
      <c r="A361" s="94"/>
      <c r="B361" s="32" t="str">
        <f>IF($A361="","",VLOOKUP($A361,APOIO!$A:$E,2,FALSE))</f>
        <v/>
      </c>
      <c r="C361" s="94"/>
      <c r="D361" s="32" t="str">
        <f>IF($A361="","",INDEX(APOIO!$D:$D,MATCH(CONCATENATE($A361,"_",$B361,"_",$C361),APOIO!$F:$F,0)))</f>
        <v/>
      </c>
      <c r="E361" s="31"/>
      <c r="F361" s="31"/>
      <c r="G361" s="33"/>
      <c r="H361" s="105"/>
      <c r="I361" s="32" t="str">
        <f>IF($A361="","",VLOOKUP($H361,APOIO!$L:$M,2,FALSE))</f>
        <v/>
      </c>
      <c r="J361" s="31"/>
      <c r="K361" s="32" t="str">
        <f>IF($A361="","",VLOOKUP($J361,APOIO!$H:$J,2,FALSE))</f>
        <v/>
      </c>
      <c r="L361" s="32" t="str">
        <f>IF($A361="","",VLOOKUP($J361,APOIO!$H:$J,3,FALSE))</f>
        <v/>
      </c>
      <c r="M361" s="31"/>
      <c r="N361" s="34"/>
      <c r="O361" s="32"/>
      <c r="P361" s="32"/>
      <c r="Q361" s="32"/>
      <c r="R361" s="32"/>
      <c r="S361" s="35"/>
      <c r="T361" s="91"/>
      <c r="U361" s="60"/>
      <c r="V361" s="36"/>
      <c r="W361" s="31"/>
      <c r="X361" s="59"/>
      <c r="Y361" s="59" t="str">
        <f>IFERROR(VLOOKUP($A361,APOIO!$A:$A,1,FALSE),"ERRO")</f>
        <v>ERRO</v>
      </c>
      <c r="Z361"/>
    </row>
    <row r="362" spans="1:26" ht="15" x14ac:dyDescent="0.25">
      <c r="A362" s="94"/>
      <c r="B362" s="32" t="str">
        <f>IF($A362="","",VLOOKUP($A362,APOIO!$A:$E,2,FALSE))</f>
        <v/>
      </c>
      <c r="C362" s="94"/>
      <c r="D362" s="32" t="str">
        <f>IF($A362="","",INDEX(APOIO!$D:$D,MATCH(CONCATENATE($A362,"_",$B362,"_",$C362),APOIO!$F:$F,0)))</f>
        <v/>
      </c>
      <c r="E362" s="31"/>
      <c r="F362" s="31"/>
      <c r="G362" s="33"/>
      <c r="H362" s="105"/>
      <c r="I362" s="32" t="str">
        <f>IF($A362="","",VLOOKUP($H362,APOIO!$L:$M,2,FALSE))</f>
        <v/>
      </c>
      <c r="J362" s="31"/>
      <c r="K362" s="32" t="str">
        <f>IF($A362="","",VLOOKUP($J362,APOIO!$H:$J,2,FALSE))</f>
        <v/>
      </c>
      <c r="L362" s="32" t="str">
        <f>IF($A362="","",VLOOKUP($J362,APOIO!$H:$J,3,FALSE))</f>
        <v/>
      </c>
      <c r="M362" s="31"/>
      <c r="N362" s="34"/>
      <c r="O362" s="32"/>
      <c r="P362" s="32"/>
      <c r="Q362" s="32"/>
      <c r="R362" s="32"/>
      <c r="S362" s="35"/>
      <c r="T362" s="91"/>
      <c r="U362" s="60"/>
      <c r="V362" s="36"/>
      <c r="W362" s="31"/>
      <c r="X362" s="59"/>
      <c r="Y362" s="59" t="str">
        <f>IFERROR(VLOOKUP($A362,APOIO!$A:$A,1,FALSE),"ERRO")</f>
        <v>ERRO</v>
      </c>
      <c r="Z362"/>
    </row>
    <row r="363" spans="1:26" ht="15" x14ac:dyDescent="0.25">
      <c r="A363" s="94"/>
      <c r="B363" s="32" t="str">
        <f>IF($A363="","",VLOOKUP($A363,APOIO!$A:$E,2,FALSE))</f>
        <v/>
      </c>
      <c r="C363" s="94"/>
      <c r="D363" s="32" t="str">
        <f>IF($A363="","",INDEX(APOIO!$D:$D,MATCH(CONCATENATE($A363,"_",$B363,"_",$C363),APOIO!$F:$F,0)))</f>
        <v/>
      </c>
      <c r="E363" s="31"/>
      <c r="F363" s="31"/>
      <c r="G363" s="33"/>
      <c r="H363" s="105"/>
      <c r="I363" s="32" t="str">
        <f>IF($A363="","",VLOOKUP($H363,APOIO!$L:$M,2,FALSE))</f>
        <v/>
      </c>
      <c r="J363" s="31"/>
      <c r="K363" s="32" t="str">
        <f>IF($A363="","",VLOOKUP($J363,APOIO!$H:$J,2,FALSE))</f>
        <v/>
      </c>
      <c r="L363" s="32" t="str">
        <f>IF($A363="","",VLOOKUP($J363,APOIO!$H:$J,3,FALSE))</f>
        <v/>
      </c>
      <c r="M363" s="31"/>
      <c r="N363" s="34"/>
      <c r="O363" s="32"/>
      <c r="P363" s="32"/>
      <c r="Q363" s="32"/>
      <c r="R363" s="32"/>
      <c r="S363" s="35"/>
      <c r="T363" s="91"/>
      <c r="U363" s="60"/>
      <c r="V363" s="36"/>
      <c r="W363" s="31"/>
      <c r="X363" s="59"/>
      <c r="Y363" s="59" t="str">
        <f>IFERROR(VLOOKUP($A363,APOIO!$A:$A,1,FALSE),"ERRO")</f>
        <v>ERRO</v>
      </c>
      <c r="Z363"/>
    </row>
    <row r="364" spans="1:26" ht="15" x14ac:dyDescent="0.25">
      <c r="A364" s="94"/>
      <c r="B364" s="32" t="str">
        <f>IF($A364="","",VLOOKUP($A364,APOIO!$A:$E,2,FALSE))</f>
        <v/>
      </c>
      <c r="C364" s="94"/>
      <c r="D364" s="32" t="str">
        <f>IF($A364="","",INDEX(APOIO!$D:$D,MATCH(CONCATENATE($A364,"_",$B364,"_",$C364),APOIO!$F:$F,0)))</f>
        <v/>
      </c>
      <c r="E364" s="31"/>
      <c r="F364" s="31"/>
      <c r="G364" s="33"/>
      <c r="H364" s="105"/>
      <c r="I364" s="32" t="str">
        <f>IF($A364="","",VLOOKUP($H364,APOIO!$L:$M,2,FALSE))</f>
        <v/>
      </c>
      <c r="J364" s="31"/>
      <c r="K364" s="32" t="str">
        <f>IF($A364="","",VLOOKUP($J364,APOIO!$H:$J,2,FALSE))</f>
        <v/>
      </c>
      <c r="L364" s="32" t="str">
        <f>IF($A364="","",VLOOKUP($J364,APOIO!$H:$J,3,FALSE))</f>
        <v/>
      </c>
      <c r="M364" s="31"/>
      <c r="N364" s="34"/>
      <c r="O364" s="32"/>
      <c r="P364" s="32"/>
      <c r="Q364" s="32"/>
      <c r="R364" s="32"/>
      <c r="S364" s="35"/>
      <c r="T364" s="91"/>
      <c r="U364" s="60"/>
      <c r="V364" s="36"/>
      <c r="W364" s="31"/>
      <c r="X364" s="59"/>
      <c r="Y364" s="59" t="str">
        <f>IFERROR(VLOOKUP($A364,APOIO!$A:$A,1,FALSE),"ERRO")</f>
        <v>ERRO</v>
      </c>
      <c r="Z364"/>
    </row>
    <row r="365" spans="1:26" ht="15" x14ac:dyDescent="0.25">
      <c r="A365" s="94"/>
      <c r="B365" s="32" t="str">
        <f>IF($A365="","",VLOOKUP($A365,APOIO!$A:$E,2,FALSE))</f>
        <v/>
      </c>
      <c r="C365" s="94"/>
      <c r="D365" s="32" t="str">
        <f>IF($A365="","",INDEX(APOIO!$D:$D,MATCH(CONCATENATE($A365,"_",$B365,"_",$C365),APOIO!$F:$F,0)))</f>
        <v/>
      </c>
      <c r="E365" s="31"/>
      <c r="F365" s="31"/>
      <c r="G365" s="33"/>
      <c r="H365" s="105"/>
      <c r="I365" s="32" t="str">
        <f>IF($A365="","",VLOOKUP($H365,APOIO!$L:$M,2,FALSE))</f>
        <v/>
      </c>
      <c r="J365" s="31"/>
      <c r="K365" s="32" t="str">
        <f>IF($A365="","",VLOOKUP($J365,APOIO!$H:$J,2,FALSE))</f>
        <v/>
      </c>
      <c r="L365" s="32" t="str">
        <f>IF($A365="","",VLOOKUP($J365,APOIO!$H:$J,3,FALSE))</f>
        <v/>
      </c>
      <c r="M365" s="31"/>
      <c r="N365" s="34"/>
      <c r="O365" s="32"/>
      <c r="P365" s="32"/>
      <c r="Q365" s="32"/>
      <c r="R365" s="32"/>
      <c r="S365" s="35"/>
      <c r="T365" s="91"/>
      <c r="U365" s="60"/>
      <c r="V365" s="36"/>
      <c r="W365" s="31"/>
      <c r="X365" s="59"/>
      <c r="Y365" s="59" t="str">
        <f>IFERROR(VLOOKUP($A365,APOIO!$A:$A,1,FALSE),"ERRO")</f>
        <v>ERRO</v>
      </c>
      <c r="Z365"/>
    </row>
    <row r="366" spans="1:26" ht="15" x14ac:dyDescent="0.25">
      <c r="A366" s="94"/>
      <c r="B366" s="32" t="str">
        <f>IF($A366="","",VLOOKUP($A366,APOIO!$A:$E,2,FALSE))</f>
        <v/>
      </c>
      <c r="C366" s="94"/>
      <c r="D366" s="32" t="str">
        <f>IF($A366="","",INDEX(APOIO!$D:$D,MATCH(CONCATENATE($A366,"_",$B366,"_",$C366),APOIO!$F:$F,0)))</f>
        <v/>
      </c>
      <c r="E366" s="31"/>
      <c r="F366" s="31"/>
      <c r="G366" s="33"/>
      <c r="H366" s="105"/>
      <c r="I366" s="32" t="str">
        <f>IF($A366="","",VLOOKUP($H366,APOIO!$L:$M,2,FALSE))</f>
        <v/>
      </c>
      <c r="J366" s="31"/>
      <c r="K366" s="32" t="str">
        <f>IF($A366="","",VLOOKUP($J366,APOIO!$H:$J,2,FALSE))</f>
        <v/>
      </c>
      <c r="L366" s="32" t="str">
        <f>IF($A366="","",VLOOKUP($J366,APOIO!$H:$J,3,FALSE))</f>
        <v/>
      </c>
      <c r="M366" s="31"/>
      <c r="N366" s="34"/>
      <c r="O366" s="32"/>
      <c r="P366" s="32"/>
      <c r="Q366" s="32"/>
      <c r="R366" s="32"/>
      <c r="S366" s="35"/>
      <c r="T366" s="91"/>
      <c r="U366" s="60"/>
      <c r="V366" s="36"/>
      <c r="W366" s="31"/>
      <c r="X366" s="59"/>
      <c r="Y366" s="59" t="str">
        <f>IFERROR(VLOOKUP($A366,APOIO!$A:$A,1,FALSE),"ERRO")</f>
        <v>ERRO</v>
      </c>
      <c r="Z366"/>
    </row>
    <row r="367" spans="1:26" ht="15" x14ac:dyDescent="0.25">
      <c r="A367" s="94"/>
      <c r="B367" s="32" t="str">
        <f>IF($A367="","",VLOOKUP($A367,APOIO!$A:$E,2,FALSE))</f>
        <v/>
      </c>
      <c r="C367" s="94"/>
      <c r="D367" s="32" t="str">
        <f>IF($A367="","",INDEX(APOIO!$D:$D,MATCH(CONCATENATE($A367,"_",$B367,"_",$C367),APOIO!$F:$F,0)))</f>
        <v/>
      </c>
      <c r="E367" s="31"/>
      <c r="F367" s="31"/>
      <c r="G367" s="33"/>
      <c r="H367" s="105"/>
      <c r="I367" s="32" t="str">
        <f>IF($A367="","",VLOOKUP($H367,APOIO!$L:$M,2,FALSE))</f>
        <v/>
      </c>
      <c r="J367" s="31"/>
      <c r="K367" s="32" t="str">
        <f>IF($A367="","",VLOOKUP($J367,APOIO!$H:$J,2,FALSE))</f>
        <v/>
      </c>
      <c r="L367" s="32" t="str">
        <f>IF($A367="","",VLOOKUP($J367,APOIO!$H:$J,3,FALSE))</f>
        <v/>
      </c>
      <c r="M367" s="31"/>
      <c r="N367" s="34"/>
      <c r="O367" s="32"/>
      <c r="P367" s="32"/>
      <c r="Q367" s="32"/>
      <c r="R367" s="32"/>
      <c r="S367" s="35"/>
      <c r="T367" s="91"/>
      <c r="U367" s="60"/>
      <c r="V367" s="36"/>
      <c r="W367" s="31"/>
      <c r="X367" s="59"/>
      <c r="Y367" s="59" t="str">
        <f>IFERROR(VLOOKUP($A367,APOIO!$A:$A,1,FALSE),"ERRO")</f>
        <v>ERRO</v>
      </c>
      <c r="Z367"/>
    </row>
    <row r="368" spans="1:26" ht="15" x14ac:dyDescent="0.25">
      <c r="A368" s="94"/>
      <c r="B368" s="32" t="str">
        <f>IF($A368="","",VLOOKUP($A368,APOIO!$A:$E,2,FALSE))</f>
        <v/>
      </c>
      <c r="C368" s="94"/>
      <c r="D368" s="32" t="str">
        <f>IF($A368="","",INDEX(APOIO!$D:$D,MATCH(CONCATENATE($A368,"_",$B368,"_",$C368),APOIO!$F:$F,0)))</f>
        <v/>
      </c>
      <c r="E368" s="31"/>
      <c r="F368" s="31"/>
      <c r="G368" s="33"/>
      <c r="H368" s="105"/>
      <c r="I368" s="32" t="str">
        <f>IF($A368="","",VLOOKUP($H368,APOIO!$L:$M,2,FALSE))</f>
        <v/>
      </c>
      <c r="J368" s="31"/>
      <c r="K368" s="32" t="str">
        <f>IF($A368="","",VLOOKUP($J368,APOIO!$H:$J,2,FALSE))</f>
        <v/>
      </c>
      <c r="L368" s="32" t="str">
        <f>IF($A368="","",VLOOKUP($J368,APOIO!$H:$J,3,FALSE))</f>
        <v/>
      </c>
      <c r="M368" s="31"/>
      <c r="N368" s="34"/>
      <c r="O368" s="32"/>
      <c r="P368" s="32"/>
      <c r="Q368" s="32"/>
      <c r="R368" s="32"/>
      <c r="S368" s="35"/>
      <c r="T368" s="91"/>
      <c r="U368" s="60"/>
      <c r="V368" s="36"/>
      <c r="W368" s="31"/>
      <c r="X368" s="59"/>
      <c r="Y368" s="59" t="str">
        <f>IFERROR(VLOOKUP($A368,APOIO!$A:$A,1,FALSE),"ERRO")</f>
        <v>ERRO</v>
      </c>
      <c r="Z368"/>
    </row>
    <row r="369" spans="1:26" ht="15" x14ac:dyDescent="0.25">
      <c r="A369" s="94"/>
      <c r="B369" s="32" t="str">
        <f>IF($A369="","",VLOOKUP($A369,APOIO!$A:$E,2,FALSE))</f>
        <v/>
      </c>
      <c r="C369" s="94"/>
      <c r="D369" s="32" t="str">
        <f>IF($A369="","",INDEX(APOIO!$D:$D,MATCH(CONCATENATE($A369,"_",$B369,"_",$C369),APOIO!$F:$F,0)))</f>
        <v/>
      </c>
      <c r="E369" s="31"/>
      <c r="F369" s="31"/>
      <c r="G369" s="33"/>
      <c r="H369" s="105"/>
      <c r="I369" s="32" t="str">
        <f>IF($A369="","",VLOOKUP($H369,APOIO!$L:$M,2,FALSE))</f>
        <v/>
      </c>
      <c r="J369" s="31"/>
      <c r="K369" s="32" t="str">
        <f>IF($A369="","",VLOOKUP($J369,APOIO!$H:$J,2,FALSE))</f>
        <v/>
      </c>
      <c r="L369" s="32" t="str">
        <f>IF($A369="","",VLOOKUP($J369,APOIO!$H:$J,3,FALSE))</f>
        <v/>
      </c>
      <c r="M369" s="31"/>
      <c r="N369" s="34"/>
      <c r="O369" s="32"/>
      <c r="P369" s="32"/>
      <c r="Q369" s="32"/>
      <c r="R369" s="32"/>
      <c r="S369" s="35"/>
      <c r="T369" s="91"/>
      <c r="U369" s="60"/>
      <c r="V369" s="36"/>
      <c r="W369" s="31"/>
      <c r="X369" s="59"/>
      <c r="Y369" s="59" t="str">
        <f>IFERROR(VLOOKUP($A369,APOIO!$A:$A,1,FALSE),"ERRO")</f>
        <v>ERRO</v>
      </c>
      <c r="Z369"/>
    </row>
    <row r="370" spans="1:26" ht="15" x14ac:dyDescent="0.25">
      <c r="A370" s="94"/>
      <c r="B370" s="32" t="str">
        <f>IF($A370="","",VLOOKUP($A370,APOIO!$A:$E,2,FALSE))</f>
        <v/>
      </c>
      <c r="C370" s="94"/>
      <c r="D370" s="32" t="str">
        <f>IF($A370="","",INDEX(APOIO!$D:$D,MATCH(CONCATENATE($A370,"_",$B370,"_",$C370),APOIO!$F:$F,0)))</f>
        <v/>
      </c>
      <c r="E370" s="31"/>
      <c r="F370" s="31"/>
      <c r="G370" s="33"/>
      <c r="H370" s="105"/>
      <c r="I370" s="32" t="str">
        <f>IF($A370="","",VLOOKUP($H370,APOIO!$L:$M,2,FALSE))</f>
        <v/>
      </c>
      <c r="J370" s="31"/>
      <c r="K370" s="32" t="str">
        <f>IF($A370="","",VLOOKUP($J370,APOIO!$H:$J,2,FALSE))</f>
        <v/>
      </c>
      <c r="L370" s="32" t="str">
        <f>IF($A370="","",VLOOKUP($J370,APOIO!$H:$J,3,FALSE))</f>
        <v/>
      </c>
      <c r="M370" s="31"/>
      <c r="N370" s="34"/>
      <c r="O370" s="32"/>
      <c r="P370" s="32"/>
      <c r="Q370" s="32"/>
      <c r="R370" s="32"/>
      <c r="S370" s="35"/>
      <c r="T370" s="91"/>
      <c r="U370" s="60"/>
      <c r="V370" s="36"/>
      <c r="W370" s="31"/>
      <c r="X370" s="59"/>
      <c r="Y370" s="59" t="str">
        <f>IFERROR(VLOOKUP($A370,APOIO!$A:$A,1,FALSE),"ERRO")</f>
        <v>ERRO</v>
      </c>
      <c r="Z370"/>
    </row>
    <row r="371" spans="1:26" ht="15" x14ac:dyDescent="0.25">
      <c r="A371" s="94"/>
      <c r="B371" s="32" t="str">
        <f>IF($A371="","",VLOOKUP($A371,APOIO!$A:$E,2,FALSE))</f>
        <v/>
      </c>
      <c r="C371" s="94"/>
      <c r="D371" s="32" t="str">
        <f>IF($A371="","",INDEX(APOIO!$D:$D,MATCH(CONCATENATE($A371,"_",$B371,"_",$C371),APOIO!$F:$F,0)))</f>
        <v/>
      </c>
      <c r="E371" s="31"/>
      <c r="F371" s="31"/>
      <c r="G371" s="33"/>
      <c r="H371" s="105"/>
      <c r="I371" s="32" t="str">
        <f>IF($A371="","",VLOOKUP($H371,APOIO!$L:$M,2,FALSE))</f>
        <v/>
      </c>
      <c r="J371" s="31"/>
      <c r="K371" s="32" t="str">
        <f>IF($A371="","",VLOOKUP($J371,APOIO!$H:$J,2,FALSE))</f>
        <v/>
      </c>
      <c r="L371" s="32" t="str">
        <f>IF($A371="","",VLOOKUP($J371,APOIO!$H:$J,3,FALSE))</f>
        <v/>
      </c>
      <c r="M371" s="31"/>
      <c r="N371" s="34"/>
      <c r="O371" s="32"/>
      <c r="P371" s="32"/>
      <c r="Q371" s="32"/>
      <c r="R371" s="32"/>
      <c r="S371" s="35"/>
      <c r="T371" s="91"/>
      <c r="U371" s="60"/>
      <c r="V371" s="36"/>
      <c r="W371" s="31"/>
      <c r="X371" s="59"/>
      <c r="Y371" s="59" t="str">
        <f>IFERROR(VLOOKUP($A371,APOIO!$A:$A,1,FALSE),"ERRO")</f>
        <v>ERRO</v>
      </c>
      <c r="Z371"/>
    </row>
    <row r="372" spans="1:26" ht="15" x14ac:dyDescent="0.25">
      <c r="A372" s="94"/>
      <c r="B372" s="32" t="str">
        <f>IF($A372="","",VLOOKUP($A372,APOIO!$A:$E,2,FALSE))</f>
        <v/>
      </c>
      <c r="C372" s="94"/>
      <c r="D372" s="32" t="str">
        <f>IF($A372="","",INDEX(APOIO!$D:$D,MATCH(CONCATENATE($A372,"_",$B372,"_",$C372),APOIO!$F:$F,0)))</f>
        <v/>
      </c>
      <c r="E372" s="31"/>
      <c r="F372" s="31"/>
      <c r="G372" s="33"/>
      <c r="H372" s="105"/>
      <c r="I372" s="32" t="str">
        <f>IF($A372="","",VLOOKUP($H372,APOIO!$L:$M,2,FALSE))</f>
        <v/>
      </c>
      <c r="J372" s="31"/>
      <c r="K372" s="32" t="str">
        <f>IF($A372="","",VLOOKUP($J372,APOIO!$H:$J,2,FALSE))</f>
        <v/>
      </c>
      <c r="L372" s="32" t="str">
        <f>IF($A372="","",VLOOKUP($J372,APOIO!$H:$J,3,FALSE))</f>
        <v/>
      </c>
      <c r="M372" s="31"/>
      <c r="N372" s="34"/>
      <c r="O372" s="32"/>
      <c r="P372" s="32"/>
      <c r="Q372" s="32"/>
      <c r="R372" s="32"/>
      <c r="S372" s="35"/>
      <c r="T372" s="91"/>
      <c r="U372" s="60"/>
      <c r="V372" s="36"/>
      <c r="W372" s="31"/>
      <c r="X372" s="59"/>
      <c r="Y372" s="59" t="str">
        <f>IFERROR(VLOOKUP($A372,APOIO!$A:$A,1,FALSE),"ERRO")</f>
        <v>ERRO</v>
      </c>
      <c r="Z372"/>
    </row>
    <row r="373" spans="1:26" ht="15" x14ac:dyDescent="0.25">
      <c r="A373" s="94"/>
      <c r="B373" s="32" t="str">
        <f>IF($A373="","",VLOOKUP($A373,APOIO!$A:$E,2,FALSE))</f>
        <v/>
      </c>
      <c r="C373" s="94"/>
      <c r="D373" s="32" t="str">
        <f>IF($A373="","",INDEX(APOIO!$D:$D,MATCH(CONCATENATE($A373,"_",$B373,"_",$C373),APOIO!$F:$F,0)))</f>
        <v/>
      </c>
      <c r="E373" s="31"/>
      <c r="F373" s="31"/>
      <c r="G373" s="33"/>
      <c r="H373" s="105"/>
      <c r="I373" s="32" t="str">
        <f>IF($A373="","",VLOOKUP($H373,APOIO!$L:$M,2,FALSE))</f>
        <v/>
      </c>
      <c r="J373" s="31"/>
      <c r="K373" s="32" t="str">
        <f>IF($A373="","",VLOOKUP($J373,APOIO!$H:$J,2,FALSE))</f>
        <v/>
      </c>
      <c r="L373" s="32" t="str">
        <f>IF($A373="","",VLOOKUP($J373,APOIO!$H:$J,3,FALSE))</f>
        <v/>
      </c>
      <c r="M373" s="31"/>
      <c r="N373" s="34"/>
      <c r="O373" s="32"/>
      <c r="P373" s="32"/>
      <c r="Q373" s="32"/>
      <c r="R373" s="32"/>
      <c r="S373" s="35"/>
      <c r="T373" s="91"/>
      <c r="U373" s="60"/>
      <c r="V373" s="36"/>
      <c r="W373" s="31"/>
      <c r="X373" s="59"/>
      <c r="Y373" s="59" t="str">
        <f>IFERROR(VLOOKUP($A373,APOIO!$A:$A,1,FALSE),"ERRO")</f>
        <v>ERRO</v>
      </c>
      <c r="Z373"/>
    </row>
    <row r="374" spans="1:26" ht="15" x14ac:dyDescent="0.25">
      <c r="A374" s="94"/>
      <c r="B374" s="32" t="str">
        <f>IF($A374="","",VLOOKUP($A374,APOIO!$A:$E,2,FALSE))</f>
        <v/>
      </c>
      <c r="C374" s="94"/>
      <c r="D374" s="32" t="str">
        <f>IF($A374="","",INDEX(APOIO!$D:$D,MATCH(CONCATENATE($A374,"_",$B374,"_",$C374),APOIO!$F:$F,0)))</f>
        <v/>
      </c>
      <c r="E374" s="31"/>
      <c r="F374" s="31"/>
      <c r="G374" s="33"/>
      <c r="H374" s="105"/>
      <c r="I374" s="32" t="str">
        <f>IF($A374="","",VLOOKUP($H374,APOIO!$L:$M,2,FALSE))</f>
        <v/>
      </c>
      <c r="J374" s="31"/>
      <c r="K374" s="32" t="str">
        <f>IF($A374="","",VLOOKUP($J374,APOIO!$H:$J,2,FALSE))</f>
        <v/>
      </c>
      <c r="L374" s="32" t="str">
        <f>IF($A374="","",VLOOKUP($J374,APOIO!$H:$J,3,FALSE))</f>
        <v/>
      </c>
      <c r="M374" s="31"/>
      <c r="N374" s="34"/>
      <c r="O374" s="32"/>
      <c r="P374" s="32"/>
      <c r="Q374" s="32"/>
      <c r="R374" s="32"/>
      <c r="S374" s="35"/>
      <c r="T374" s="91"/>
      <c r="U374" s="60"/>
      <c r="V374" s="36"/>
      <c r="W374" s="31"/>
      <c r="X374" s="59"/>
      <c r="Y374" s="59" t="str">
        <f>IFERROR(VLOOKUP($A374,APOIO!$A:$A,1,FALSE),"ERRO")</f>
        <v>ERRO</v>
      </c>
      <c r="Z374"/>
    </row>
    <row r="375" spans="1:26" ht="15" x14ac:dyDescent="0.25">
      <c r="A375" s="94"/>
      <c r="B375" s="32" t="str">
        <f>IF($A375="","",VLOOKUP($A375,APOIO!$A:$E,2,FALSE))</f>
        <v/>
      </c>
      <c r="C375" s="94"/>
      <c r="D375" s="32" t="str">
        <f>IF($A375="","",INDEX(APOIO!$D:$D,MATCH(CONCATENATE($A375,"_",$B375,"_",$C375),APOIO!$F:$F,0)))</f>
        <v/>
      </c>
      <c r="E375" s="31"/>
      <c r="F375" s="31"/>
      <c r="G375" s="33"/>
      <c r="H375" s="105"/>
      <c r="I375" s="32" t="str">
        <f>IF($A375="","",VLOOKUP($H375,APOIO!$L:$M,2,FALSE))</f>
        <v/>
      </c>
      <c r="J375" s="31"/>
      <c r="K375" s="32" t="str">
        <f>IF($A375="","",VLOOKUP($J375,APOIO!$H:$J,2,FALSE))</f>
        <v/>
      </c>
      <c r="L375" s="32" t="str">
        <f>IF($A375="","",VLOOKUP($J375,APOIO!$H:$J,3,FALSE))</f>
        <v/>
      </c>
      <c r="M375" s="31"/>
      <c r="N375" s="34"/>
      <c r="O375" s="32"/>
      <c r="P375" s="32"/>
      <c r="Q375" s="32"/>
      <c r="R375" s="32"/>
      <c r="S375" s="35"/>
      <c r="T375" s="91"/>
      <c r="U375" s="60"/>
      <c r="V375" s="36"/>
      <c r="W375" s="31"/>
      <c r="X375" s="59"/>
      <c r="Y375" s="59" t="str">
        <f>IFERROR(VLOOKUP($A375,APOIO!$A:$A,1,FALSE),"ERRO")</f>
        <v>ERRO</v>
      </c>
      <c r="Z375"/>
    </row>
    <row r="376" spans="1:26" ht="15" x14ac:dyDescent="0.25">
      <c r="A376" s="94"/>
      <c r="B376" s="32" t="str">
        <f>IF($A376="","",VLOOKUP($A376,APOIO!$A:$E,2,FALSE))</f>
        <v/>
      </c>
      <c r="C376" s="94"/>
      <c r="D376" s="32" t="str">
        <f>IF($A376="","",INDEX(APOIO!$D:$D,MATCH(CONCATENATE($A376,"_",$B376,"_",$C376),APOIO!$F:$F,0)))</f>
        <v/>
      </c>
      <c r="E376" s="31"/>
      <c r="F376" s="31"/>
      <c r="G376" s="33"/>
      <c r="H376" s="105"/>
      <c r="I376" s="32" t="str">
        <f>IF($A376="","",VLOOKUP($H376,APOIO!$L:$M,2,FALSE))</f>
        <v/>
      </c>
      <c r="J376" s="31"/>
      <c r="K376" s="32" t="str">
        <f>IF($A376="","",VLOOKUP($J376,APOIO!$H:$J,2,FALSE))</f>
        <v/>
      </c>
      <c r="L376" s="32" t="str">
        <f>IF($A376="","",VLOOKUP($J376,APOIO!$H:$J,3,FALSE))</f>
        <v/>
      </c>
      <c r="M376" s="31"/>
      <c r="N376" s="34"/>
      <c r="O376" s="32"/>
      <c r="P376" s="32"/>
      <c r="Q376" s="32"/>
      <c r="R376" s="32"/>
      <c r="S376" s="35"/>
      <c r="T376" s="91"/>
      <c r="U376" s="60"/>
      <c r="V376" s="36"/>
      <c r="W376" s="31"/>
      <c r="X376" s="59"/>
      <c r="Y376" s="59" t="str">
        <f>IFERROR(VLOOKUP($A376,APOIO!$A:$A,1,FALSE),"ERRO")</f>
        <v>ERRO</v>
      </c>
      <c r="Z376"/>
    </row>
    <row r="377" spans="1:26" ht="15" x14ac:dyDescent="0.25">
      <c r="A377" s="94"/>
      <c r="B377" s="32" t="str">
        <f>IF($A377="","",VLOOKUP($A377,APOIO!$A:$E,2,FALSE))</f>
        <v/>
      </c>
      <c r="C377" s="94"/>
      <c r="D377" s="32" t="str">
        <f>IF($A377="","",INDEX(APOIO!$D:$D,MATCH(CONCATENATE($A377,"_",$B377,"_",$C377),APOIO!$F:$F,0)))</f>
        <v/>
      </c>
      <c r="E377" s="31"/>
      <c r="F377" s="31"/>
      <c r="G377" s="33"/>
      <c r="H377" s="105"/>
      <c r="I377" s="32" t="str">
        <f>IF($A377="","",VLOOKUP($H377,APOIO!$L:$M,2,FALSE))</f>
        <v/>
      </c>
      <c r="J377" s="31"/>
      <c r="K377" s="32" t="str">
        <f>IF($A377="","",VLOOKUP($J377,APOIO!$H:$J,2,FALSE))</f>
        <v/>
      </c>
      <c r="L377" s="32" t="str">
        <f>IF($A377="","",VLOOKUP($J377,APOIO!$H:$J,3,FALSE))</f>
        <v/>
      </c>
      <c r="M377" s="31"/>
      <c r="N377" s="34"/>
      <c r="O377" s="32"/>
      <c r="P377" s="32"/>
      <c r="Q377" s="32"/>
      <c r="R377" s="32"/>
      <c r="S377" s="35"/>
      <c r="T377" s="91"/>
      <c r="U377" s="60"/>
      <c r="V377" s="36"/>
      <c r="W377" s="31"/>
      <c r="X377" s="59"/>
      <c r="Y377" s="59" t="str">
        <f>IFERROR(VLOOKUP($A377,APOIO!$A:$A,1,FALSE),"ERRO")</f>
        <v>ERRO</v>
      </c>
      <c r="Z377"/>
    </row>
    <row r="378" spans="1:26" ht="15" x14ac:dyDescent="0.25">
      <c r="A378" s="94"/>
      <c r="B378" s="32" t="str">
        <f>IF($A378="","",VLOOKUP($A378,APOIO!$A:$E,2,FALSE))</f>
        <v/>
      </c>
      <c r="C378" s="94"/>
      <c r="D378" s="32" t="str">
        <f>IF($A378="","",INDEX(APOIO!$D:$D,MATCH(CONCATENATE($A378,"_",$B378,"_",$C378),APOIO!$F:$F,0)))</f>
        <v/>
      </c>
      <c r="E378" s="31"/>
      <c r="F378" s="31"/>
      <c r="G378" s="33"/>
      <c r="H378" s="105"/>
      <c r="I378" s="32" t="str">
        <f>IF($A378="","",VLOOKUP($H378,APOIO!$L:$M,2,FALSE))</f>
        <v/>
      </c>
      <c r="J378" s="31"/>
      <c r="K378" s="32" t="str">
        <f>IF($A378="","",VLOOKUP($J378,APOIO!$H:$J,2,FALSE))</f>
        <v/>
      </c>
      <c r="L378" s="32" t="str">
        <f>IF($A378="","",VLOOKUP($J378,APOIO!$H:$J,3,FALSE))</f>
        <v/>
      </c>
      <c r="M378" s="31"/>
      <c r="N378" s="34"/>
      <c r="O378" s="32"/>
      <c r="P378" s="32"/>
      <c r="Q378" s="32"/>
      <c r="R378" s="32"/>
      <c r="S378" s="35"/>
      <c r="T378" s="91"/>
      <c r="U378" s="60"/>
      <c r="V378" s="36"/>
      <c r="W378" s="31"/>
      <c r="X378" s="59"/>
      <c r="Y378" s="59" t="str">
        <f>IFERROR(VLOOKUP($A378,APOIO!$A:$A,1,FALSE),"ERRO")</f>
        <v>ERRO</v>
      </c>
      <c r="Z378"/>
    </row>
    <row r="379" spans="1:26" ht="15" x14ac:dyDescent="0.25">
      <c r="A379" s="94"/>
      <c r="B379" s="32" t="str">
        <f>IF($A379="","",VLOOKUP($A379,APOIO!$A:$E,2,FALSE))</f>
        <v/>
      </c>
      <c r="C379" s="94"/>
      <c r="D379" s="32" t="str">
        <f>IF($A379="","",INDEX(APOIO!$D:$D,MATCH(CONCATENATE($A379,"_",$B379,"_",$C379),APOIO!$F:$F,0)))</f>
        <v/>
      </c>
      <c r="E379" s="31"/>
      <c r="F379" s="31"/>
      <c r="G379" s="33"/>
      <c r="H379" s="105"/>
      <c r="I379" s="32" t="str">
        <f>IF($A379="","",VLOOKUP($H379,APOIO!$L:$M,2,FALSE))</f>
        <v/>
      </c>
      <c r="J379" s="31"/>
      <c r="K379" s="32" t="str">
        <f>IF($A379="","",VLOOKUP($J379,APOIO!$H:$J,2,FALSE))</f>
        <v/>
      </c>
      <c r="L379" s="32" t="str">
        <f>IF($A379="","",VLOOKUP($J379,APOIO!$H:$J,3,FALSE))</f>
        <v/>
      </c>
      <c r="M379" s="31"/>
      <c r="N379" s="34"/>
      <c r="O379" s="32"/>
      <c r="P379" s="32"/>
      <c r="Q379" s="32"/>
      <c r="R379" s="32"/>
      <c r="S379" s="35"/>
      <c r="T379" s="91"/>
      <c r="U379" s="60"/>
      <c r="V379" s="36"/>
      <c r="W379" s="31"/>
      <c r="X379" s="59"/>
      <c r="Y379" s="59" t="str">
        <f>IFERROR(VLOOKUP($A379,APOIO!$A:$A,1,FALSE),"ERRO")</f>
        <v>ERRO</v>
      </c>
      <c r="Z379"/>
    </row>
    <row r="380" spans="1:26" ht="15" x14ac:dyDescent="0.25">
      <c r="A380" s="94"/>
      <c r="B380" s="32" t="str">
        <f>IF($A380="","",VLOOKUP($A380,APOIO!$A:$E,2,FALSE))</f>
        <v/>
      </c>
      <c r="C380" s="94"/>
      <c r="D380" s="32" t="str">
        <f>IF($A380="","",INDEX(APOIO!$D:$D,MATCH(CONCATENATE($A380,"_",$B380,"_",$C380),APOIO!$F:$F,0)))</f>
        <v/>
      </c>
      <c r="E380" s="31"/>
      <c r="F380" s="31"/>
      <c r="G380" s="33"/>
      <c r="H380" s="105"/>
      <c r="I380" s="32" t="str">
        <f>IF($A380="","",VLOOKUP($H380,APOIO!$L:$M,2,FALSE))</f>
        <v/>
      </c>
      <c r="J380" s="31"/>
      <c r="K380" s="32" t="str">
        <f>IF($A380="","",VLOOKUP($J380,APOIO!$H:$J,2,FALSE))</f>
        <v/>
      </c>
      <c r="L380" s="32" t="str">
        <f>IF($A380="","",VLOOKUP($J380,APOIO!$H:$J,3,FALSE))</f>
        <v/>
      </c>
      <c r="M380" s="31"/>
      <c r="N380" s="34"/>
      <c r="O380" s="32"/>
      <c r="P380" s="32"/>
      <c r="Q380" s="32"/>
      <c r="R380" s="32"/>
      <c r="S380" s="35"/>
      <c r="T380" s="91"/>
      <c r="U380" s="60"/>
      <c r="V380" s="36"/>
      <c r="W380" s="31"/>
      <c r="X380" s="59"/>
      <c r="Y380" s="59" t="str">
        <f>IFERROR(VLOOKUP($A380,APOIO!$A:$A,1,FALSE),"ERRO")</f>
        <v>ERRO</v>
      </c>
      <c r="Z380"/>
    </row>
    <row r="381" spans="1:26" ht="15" x14ac:dyDescent="0.25">
      <c r="A381" s="94"/>
      <c r="B381" s="32" t="str">
        <f>IF($A381="","",VLOOKUP($A381,APOIO!$A:$E,2,FALSE))</f>
        <v/>
      </c>
      <c r="C381" s="94"/>
      <c r="D381" s="32" t="str">
        <f>IF($A381="","",INDEX(APOIO!$D:$D,MATCH(CONCATENATE($A381,"_",$B381,"_",$C381),APOIO!$F:$F,0)))</f>
        <v/>
      </c>
      <c r="E381" s="31"/>
      <c r="F381" s="31"/>
      <c r="G381" s="33"/>
      <c r="H381" s="105"/>
      <c r="I381" s="32" t="str">
        <f>IF($A381="","",VLOOKUP($H381,APOIO!$L:$M,2,FALSE))</f>
        <v/>
      </c>
      <c r="J381" s="31"/>
      <c r="K381" s="32" t="str">
        <f>IF($A381="","",VLOOKUP($J381,APOIO!$H:$J,2,FALSE))</f>
        <v/>
      </c>
      <c r="L381" s="32" t="str">
        <f>IF($A381="","",VLOOKUP($J381,APOIO!$H:$J,3,FALSE))</f>
        <v/>
      </c>
      <c r="M381" s="31"/>
      <c r="N381" s="34"/>
      <c r="O381" s="32"/>
      <c r="P381" s="32"/>
      <c r="Q381" s="32"/>
      <c r="R381" s="32"/>
      <c r="S381" s="35"/>
      <c r="T381" s="91"/>
      <c r="U381" s="60"/>
      <c r="V381" s="36"/>
      <c r="W381" s="31"/>
      <c r="X381" s="59"/>
      <c r="Y381" s="59" t="str">
        <f>IFERROR(VLOOKUP($A381,APOIO!$A:$A,1,FALSE),"ERRO")</f>
        <v>ERRO</v>
      </c>
      <c r="Z381"/>
    </row>
    <row r="382" spans="1:26" ht="15" x14ac:dyDescent="0.25">
      <c r="A382" s="94"/>
      <c r="B382" s="32" t="str">
        <f>IF($A382="","",VLOOKUP($A382,APOIO!$A:$E,2,FALSE))</f>
        <v/>
      </c>
      <c r="C382" s="94"/>
      <c r="D382" s="32" t="str">
        <f>IF($A382="","",INDEX(APOIO!$D:$D,MATCH(CONCATENATE($A382,"_",$B382,"_",$C382),APOIO!$F:$F,0)))</f>
        <v/>
      </c>
      <c r="E382" s="31"/>
      <c r="F382" s="31"/>
      <c r="G382" s="33"/>
      <c r="H382" s="105"/>
      <c r="I382" s="32" t="str">
        <f>IF($A382="","",VLOOKUP($H382,APOIO!$L:$M,2,FALSE))</f>
        <v/>
      </c>
      <c r="J382" s="31"/>
      <c r="K382" s="32" t="str">
        <f>IF($A382="","",VLOOKUP($J382,APOIO!$H:$J,2,FALSE))</f>
        <v/>
      </c>
      <c r="L382" s="32" t="str">
        <f>IF($A382="","",VLOOKUP($J382,APOIO!$H:$J,3,FALSE))</f>
        <v/>
      </c>
      <c r="M382" s="31"/>
      <c r="N382" s="34"/>
      <c r="O382" s="32"/>
      <c r="P382" s="32"/>
      <c r="Q382" s="32"/>
      <c r="R382" s="32"/>
      <c r="S382" s="35"/>
      <c r="T382" s="91"/>
      <c r="U382" s="60"/>
      <c r="V382" s="36"/>
      <c r="W382" s="31"/>
      <c r="X382" s="59"/>
      <c r="Y382" s="59" t="str">
        <f>IFERROR(VLOOKUP($A382,APOIO!$A:$A,1,FALSE),"ERRO")</f>
        <v>ERRO</v>
      </c>
      <c r="Z382"/>
    </row>
    <row r="383" spans="1:26" ht="15" x14ac:dyDescent="0.25">
      <c r="A383" s="94"/>
      <c r="B383" s="32" t="str">
        <f>IF($A383="","",VLOOKUP($A383,APOIO!$A:$E,2,FALSE))</f>
        <v/>
      </c>
      <c r="C383" s="94"/>
      <c r="D383" s="32" t="str">
        <f>IF($A383="","",INDEX(APOIO!$D:$D,MATCH(CONCATENATE($A383,"_",$B383,"_",$C383),APOIO!$F:$F,0)))</f>
        <v/>
      </c>
      <c r="E383" s="31"/>
      <c r="F383" s="31"/>
      <c r="G383" s="33"/>
      <c r="H383" s="105"/>
      <c r="I383" s="32" t="str">
        <f>IF($A383="","",VLOOKUP($H383,APOIO!$L:$M,2,FALSE))</f>
        <v/>
      </c>
      <c r="J383" s="31"/>
      <c r="K383" s="32" t="str">
        <f>IF($A383="","",VLOOKUP($J383,APOIO!$H:$J,2,FALSE))</f>
        <v/>
      </c>
      <c r="L383" s="32" t="str">
        <f>IF($A383="","",VLOOKUP($J383,APOIO!$H:$J,3,FALSE))</f>
        <v/>
      </c>
      <c r="M383" s="31"/>
      <c r="N383" s="34"/>
      <c r="O383" s="32"/>
      <c r="P383" s="32"/>
      <c r="Q383" s="32"/>
      <c r="R383" s="32"/>
      <c r="S383" s="35"/>
      <c r="T383" s="91"/>
      <c r="U383" s="60"/>
      <c r="V383" s="36"/>
      <c r="W383" s="31"/>
      <c r="X383" s="59"/>
      <c r="Y383" s="59" t="str">
        <f>IFERROR(VLOOKUP($A383,APOIO!$A:$A,1,FALSE),"ERRO")</f>
        <v>ERRO</v>
      </c>
      <c r="Z383"/>
    </row>
    <row r="384" spans="1:26" ht="15" x14ac:dyDescent="0.25">
      <c r="A384" s="94"/>
      <c r="B384" s="32" t="str">
        <f>IF($A384="","",VLOOKUP($A384,APOIO!$A:$E,2,FALSE))</f>
        <v/>
      </c>
      <c r="C384" s="94"/>
      <c r="D384" s="32" t="str">
        <f>IF($A384="","",INDEX(APOIO!$D:$D,MATCH(CONCATENATE($A384,"_",$B384,"_",$C384),APOIO!$F:$F,0)))</f>
        <v/>
      </c>
      <c r="E384" s="31"/>
      <c r="F384" s="31"/>
      <c r="G384" s="33"/>
      <c r="H384" s="105"/>
      <c r="I384" s="32" t="str">
        <f>IF($A384="","",VLOOKUP($H384,APOIO!$L:$M,2,FALSE))</f>
        <v/>
      </c>
      <c r="J384" s="31"/>
      <c r="K384" s="32" t="str">
        <f>IF($A384="","",VLOOKUP($J384,APOIO!$H:$J,2,FALSE))</f>
        <v/>
      </c>
      <c r="L384" s="32" t="str">
        <f>IF($A384="","",VLOOKUP($J384,APOIO!$H:$J,3,FALSE))</f>
        <v/>
      </c>
      <c r="M384" s="31"/>
      <c r="N384" s="34"/>
      <c r="O384" s="32"/>
      <c r="P384" s="32"/>
      <c r="Q384" s="32"/>
      <c r="R384" s="32"/>
      <c r="S384" s="35"/>
      <c r="T384" s="91"/>
      <c r="U384" s="60"/>
      <c r="V384" s="36"/>
      <c r="W384" s="31"/>
      <c r="X384" s="59"/>
      <c r="Y384" s="59" t="str">
        <f>IFERROR(VLOOKUP($A384,APOIO!$A:$A,1,FALSE),"ERRO")</f>
        <v>ERRO</v>
      </c>
      <c r="Z384"/>
    </row>
    <row r="385" spans="1:26" ht="15" x14ac:dyDescent="0.25">
      <c r="A385" s="94"/>
      <c r="B385" s="32" t="str">
        <f>IF($A385="","",VLOOKUP($A385,APOIO!$A:$E,2,FALSE))</f>
        <v/>
      </c>
      <c r="C385" s="94"/>
      <c r="D385" s="32" t="str">
        <f>IF($A385="","",INDEX(APOIO!$D:$D,MATCH(CONCATENATE($A385,"_",$B385,"_",$C385),APOIO!$F:$F,0)))</f>
        <v/>
      </c>
      <c r="E385" s="31"/>
      <c r="F385" s="31"/>
      <c r="G385" s="33"/>
      <c r="H385" s="105"/>
      <c r="I385" s="32" t="str">
        <f>IF($A385="","",VLOOKUP($H385,APOIO!$L:$M,2,FALSE))</f>
        <v/>
      </c>
      <c r="J385" s="31"/>
      <c r="K385" s="32" t="str">
        <f>IF($A385="","",VLOOKUP($J385,APOIO!$H:$J,2,FALSE))</f>
        <v/>
      </c>
      <c r="L385" s="32" t="str">
        <f>IF($A385="","",VLOOKUP($J385,APOIO!$H:$J,3,FALSE))</f>
        <v/>
      </c>
      <c r="M385" s="31"/>
      <c r="N385" s="34"/>
      <c r="O385" s="32"/>
      <c r="P385" s="32"/>
      <c r="Q385" s="32"/>
      <c r="R385" s="32"/>
      <c r="S385" s="35"/>
      <c r="T385" s="91"/>
      <c r="U385" s="60"/>
      <c r="V385" s="36"/>
      <c r="W385" s="31"/>
      <c r="X385" s="59"/>
      <c r="Y385" s="59" t="str">
        <f>IFERROR(VLOOKUP($A385,APOIO!$A:$A,1,FALSE),"ERRO")</f>
        <v>ERRO</v>
      </c>
      <c r="Z385"/>
    </row>
    <row r="386" spans="1:26" ht="15" x14ac:dyDescent="0.25">
      <c r="A386" s="94"/>
      <c r="B386" s="32" t="str">
        <f>IF($A386="","",VLOOKUP($A386,APOIO!$A:$E,2,FALSE))</f>
        <v/>
      </c>
      <c r="C386" s="94"/>
      <c r="D386" s="32" t="str">
        <f>IF($A386="","",INDEX(APOIO!$D:$D,MATCH(CONCATENATE($A386,"_",$B386,"_",$C386),APOIO!$F:$F,0)))</f>
        <v/>
      </c>
      <c r="E386" s="31"/>
      <c r="F386" s="31"/>
      <c r="G386" s="33"/>
      <c r="H386" s="105"/>
      <c r="I386" s="32" t="str">
        <f>IF($A386="","",VLOOKUP($H386,APOIO!$L:$M,2,FALSE))</f>
        <v/>
      </c>
      <c r="J386" s="31"/>
      <c r="K386" s="32" t="str">
        <f>IF($A386="","",VLOOKUP($J386,APOIO!$H:$J,2,FALSE))</f>
        <v/>
      </c>
      <c r="L386" s="32" t="str">
        <f>IF($A386="","",VLOOKUP($J386,APOIO!$H:$J,3,FALSE))</f>
        <v/>
      </c>
      <c r="M386" s="31"/>
      <c r="N386" s="34"/>
      <c r="O386" s="32"/>
      <c r="P386" s="32"/>
      <c r="Q386" s="32"/>
      <c r="R386" s="32"/>
      <c r="S386" s="35"/>
      <c r="T386" s="91"/>
      <c r="U386" s="60"/>
      <c r="V386" s="36"/>
      <c r="W386" s="31"/>
      <c r="X386" s="59"/>
      <c r="Y386" s="59" t="str">
        <f>IFERROR(VLOOKUP($A386,APOIO!$A:$A,1,FALSE),"ERRO")</f>
        <v>ERRO</v>
      </c>
      <c r="Z386"/>
    </row>
    <row r="387" spans="1:26" ht="15" x14ac:dyDescent="0.25">
      <c r="A387" s="94"/>
      <c r="B387" s="32" t="str">
        <f>IF($A387="","",VLOOKUP($A387,APOIO!$A:$E,2,FALSE))</f>
        <v/>
      </c>
      <c r="C387" s="94"/>
      <c r="D387" s="32" t="str">
        <f>IF($A387="","",INDEX(APOIO!$D:$D,MATCH(CONCATENATE($A387,"_",$B387,"_",$C387),APOIO!$F:$F,0)))</f>
        <v/>
      </c>
      <c r="E387" s="31"/>
      <c r="F387" s="31"/>
      <c r="G387" s="33"/>
      <c r="H387" s="105"/>
      <c r="I387" s="32" t="str">
        <f>IF($A387="","",VLOOKUP($H387,APOIO!$L:$M,2,FALSE))</f>
        <v/>
      </c>
      <c r="J387" s="31"/>
      <c r="K387" s="32" t="str">
        <f>IF($A387="","",VLOOKUP($J387,APOIO!$H:$J,2,FALSE))</f>
        <v/>
      </c>
      <c r="L387" s="32" t="str">
        <f>IF($A387="","",VLOOKUP($J387,APOIO!$H:$J,3,FALSE))</f>
        <v/>
      </c>
      <c r="M387" s="31"/>
      <c r="N387" s="34"/>
      <c r="O387" s="32"/>
      <c r="P387" s="32"/>
      <c r="Q387" s="32"/>
      <c r="R387" s="32"/>
      <c r="S387" s="35"/>
      <c r="T387" s="91"/>
      <c r="U387" s="60"/>
      <c r="V387" s="36"/>
      <c r="W387" s="31"/>
      <c r="X387" s="59"/>
      <c r="Y387" s="59" t="str">
        <f>IFERROR(VLOOKUP($A387,APOIO!$A:$A,1,FALSE),"ERRO")</f>
        <v>ERRO</v>
      </c>
      <c r="Z387"/>
    </row>
    <row r="388" spans="1:26" ht="15" x14ac:dyDescent="0.25">
      <c r="A388" s="94"/>
      <c r="B388" s="32" t="str">
        <f>IF($A388="","",VLOOKUP($A388,APOIO!$A:$E,2,FALSE))</f>
        <v/>
      </c>
      <c r="C388" s="94"/>
      <c r="D388" s="32" t="str">
        <f>IF($A388="","",INDEX(APOIO!$D:$D,MATCH(CONCATENATE($A388,"_",$B388,"_",$C388),APOIO!$F:$F,0)))</f>
        <v/>
      </c>
      <c r="E388" s="31"/>
      <c r="F388" s="31"/>
      <c r="G388" s="33"/>
      <c r="H388" s="105"/>
      <c r="I388" s="32" t="str">
        <f>IF($A388="","",VLOOKUP($H388,APOIO!$L:$M,2,FALSE))</f>
        <v/>
      </c>
      <c r="J388" s="31"/>
      <c r="K388" s="32" t="str">
        <f>IF($A388="","",VLOOKUP($J388,APOIO!$H:$J,2,FALSE))</f>
        <v/>
      </c>
      <c r="L388" s="32" t="str">
        <f>IF($A388="","",VLOOKUP($J388,APOIO!$H:$J,3,FALSE))</f>
        <v/>
      </c>
      <c r="M388" s="31"/>
      <c r="N388" s="34"/>
      <c r="O388" s="32"/>
      <c r="P388" s="32"/>
      <c r="Q388" s="32"/>
      <c r="R388" s="32"/>
      <c r="S388" s="35"/>
      <c r="T388" s="91"/>
      <c r="U388" s="60"/>
      <c r="V388" s="36"/>
      <c r="W388" s="31"/>
      <c r="X388" s="59"/>
      <c r="Y388" s="59" t="str">
        <f>IFERROR(VLOOKUP($A388,APOIO!$A:$A,1,FALSE),"ERRO")</f>
        <v>ERRO</v>
      </c>
      <c r="Z388"/>
    </row>
    <row r="389" spans="1:26" ht="15" x14ac:dyDescent="0.25">
      <c r="A389" s="94"/>
      <c r="B389" s="32" t="str">
        <f>IF($A389="","",VLOOKUP($A389,APOIO!$A:$E,2,FALSE))</f>
        <v/>
      </c>
      <c r="C389" s="94"/>
      <c r="D389" s="32" t="str">
        <f>IF($A389="","",INDEX(APOIO!$D:$D,MATCH(CONCATENATE($A389,"_",$B389,"_",$C389),APOIO!$F:$F,0)))</f>
        <v/>
      </c>
      <c r="E389" s="31"/>
      <c r="F389" s="31"/>
      <c r="G389" s="33"/>
      <c r="H389" s="105"/>
      <c r="I389" s="32" t="str">
        <f>IF($A389="","",VLOOKUP($H389,APOIO!$L:$M,2,FALSE))</f>
        <v/>
      </c>
      <c r="J389" s="31"/>
      <c r="K389" s="32" t="str">
        <f>IF($A389="","",VLOOKUP($J389,APOIO!$H:$J,2,FALSE))</f>
        <v/>
      </c>
      <c r="L389" s="32" t="str">
        <f>IF($A389="","",VLOOKUP($J389,APOIO!$H:$J,3,FALSE))</f>
        <v/>
      </c>
      <c r="M389" s="31"/>
      <c r="N389" s="34"/>
      <c r="O389" s="32"/>
      <c r="P389" s="32"/>
      <c r="Q389" s="32"/>
      <c r="R389" s="32"/>
      <c r="S389" s="35"/>
      <c r="T389" s="91"/>
      <c r="U389" s="60"/>
      <c r="V389" s="36"/>
      <c r="W389" s="31"/>
      <c r="X389" s="59"/>
      <c r="Y389" s="59" t="str">
        <f>IFERROR(VLOOKUP($A389,APOIO!$A:$A,1,FALSE),"ERRO")</f>
        <v>ERRO</v>
      </c>
      <c r="Z389"/>
    </row>
    <row r="390" spans="1:26" ht="15" x14ac:dyDescent="0.25">
      <c r="A390" s="94"/>
      <c r="B390" s="32" t="str">
        <f>IF($A390="","",VLOOKUP($A390,APOIO!$A:$E,2,FALSE))</f>
        <v/>
      </c>
      <c r="C390" s="94"/>
      <c r="D390" s="32" t="str">
        <f>IF($A390="","",INDEX(APOIO!$D:$D,MATCH(CONCATENATE($A390,"_",$B390,"_",$C390),APOIO!$F:$F,0)))</f>
        <v/>
      </c>
      <c r="E390" s="31"/>
      <c r="F390" s="31"/>
      <c r="G390" s="33"/>
      <c r="H390" s="105"/>
      <c r="I390" s="32" t="str">
        <f>IF($A390="","",VLOOKUP($H390,APOIO!$L:$M,2,FALSE))</f>
        <v/>
      </c>
      <c r="J390" s="31"/>
      <c r="K390" s="32" t="str">
        <f>IF($A390="","",VLOOKUP($J390,APOIO!$H:$J,2,FALSE))</f>
        <v/>
      </c>
      <c r="L390" s="32" t="str">
        <f>IF($A390="","",VLOOKUP($J390,APOIO!$H:$J,3,FALSE))</f>
        <v/>
      </c>
      <c r="M390" s="31"/>
      <c r="N390" s="34"/>
      <c r="O390" s="32"/>
      <c r="P390" s="32"/>
      <c r="Q390" s="32"/>
      <c r="R390" s="32"/>
      <c r="S390" s="35"/>
      <c r="T390" s="91"/>
      <c r="U390" s="60"/>
      <c r="V390" s="36"/>
      <c r="W390" s="31"/>
      <c r="X390" s="59"/>
      <c r="Y390" s="59" t="str">
        <f>IFERROR(VLOOKUP($A390,APOIO!$A:$A,1,FALSE),"ERRO")</f>
        <v>ERRO</v>
      </c>
      <c r="Z390"/>
    </row>
    <row r="391" spans="1:26" ht="15" x14ac:dyDescent="0.25">
      <c r="A391" s="94"/>
      <c r="B391" s="32" t="str">
        <f>IF($A391="","",VLOOKUP($A391,APOIO!$A:$E,2,FALSE))</f>
        <v/>
      </c>
      <c r="C391" s="94"/>
      <c r="D391" s="32" t="str">
        <f>IF($A391="","",INDEX(APOIO!$D:$D,MATCH(CONCATENATE($A391,"_",$B391,"_",$C391),APOIO!$F:$F,0)))</f>
        <v/>
      </c>
      <c r="E391" s="31"/>
      <c r="F391" s="31"/>
      <c r="G391" s="33"/>
      <c r="H391" s="105"/>
      <c r="I391" s="32" t="str">
        <f>IF($A391="","",VLOOKUP($H391,APOIO!$L:$M,2,FALSE))</f>
        <v/>
      </c>
      <c r="J391" s="31"/>
      <c r="K391" s="32" t="str">
        <f>IF($A391="","",VLOOKUP($J391,APOIO!$H:$J,2,FALSE))</f>
        <v/>
      </c>
      <c r="L391" s="32" t="str">
        <f>IF($A391="","",VLOOKUP($J391,APOIO!$H:$J,3,FALSE))</f>
        <v/>
      </c>
      <c r="M391" s="31"/>
      <c r="N391" s="34"/>
      <c r="O391" s="32"/>
      <c r="P391" s="32"/>
      <c r="Q391" s="32"/>
      <c r="R391" s="32"/>
      <c r="S391" s="35"/>
      <c r="T391" s="91"/>
      <c r="U391" s="60"/>
      <c r="V391" s="36"/>
      <c r="W391" s="31"/>
      <c r="X391" s="59"/>
      <c r="Y391" s="59" t="str">
        <f>IFERROR(VLOOKUP($A391,APOIO!$A:$A,1,FALSE),"ERRO")</f>
        <v>ERRO</v>
      </c>
      <c r="Z391"/>
    </row>
    <row r="392" spans="1:26" ht="15" x14ac:dyDescent="0.25">
      <c r="A392" s="94"/>
      <c r="B392" s="32" t="str">
        <f>IF($A392="","",VLOOKUP($A392,APOIO!$A:$E,2,FALSE))</f>
        <v/>
      </c>
      <c r="C392" s="94"/>
      <c r="D392" s="32" t="str">
        <f>IF($A392="","",INDEX(APOIO!$D:$D,MATCH(CONCATENATE($A392,"_",$B392,"_",$C392),APOIO!$F:$F,0)))</f>
        <v/>
      </c>
      <c r="E392" s="31"/>
      <c r="F392" s="31"/>
      <c r="G392" s="33"/>
      <c r="H392" s="105"/>
      <c r="I392" s="32" t="str">
        <f>IF($A392="","",VLOOKUP($H392,APOIO!$L:$M,2,FALSE))</f>
        <v/>
      </c>
      <c r="J392" s="31"/>
      <c r="K392" s="32" t="str">
        <f>IF($A392="","",VLOOKUP($J392,APOIO!$H:$J,2,FALSE))</f>
        <v/>
      </c>
      <c r="L392" s="32" t="str">
        <f>IF($A392="","",VLOOKUP($J392,APOIO!$H:$J,3,FALSE))</f>
        <v/>
      </c>
      <c r="M392" s="31"/>
      <c r="N392" s="34"/>
      <c r="O392" s="32"/>
      <c r="P392" s="32"/>
      <c r="Q392" s="32"/>
      <c r="R392" s="32"/>
      <c r="S392" s="35"/>
      <c r="T392" s="91"/>
      <c r="U392" s="60"/>
      <c r="V392" s="36"/>
      <c r="W392" s="31"/>
      <c r="X392" s="59"/>
      <c r="Y392" s="59" t="str">
        <f>IFERROR(VLOOKUP($A392,APOIO!$A:$A,1,FALSE),"ERRO")</f>
        <v>ERRO</v>
      </c>
      <c r="Z392"/>
    </row>
    <row r="393" spans="1:26" ht="15" x14ac:dyDescent="0.25">
      <c r="A393" s="94"/>
      <c r="B393" s="32" t="str">
        <f>IF($A393="","",VLOOKUP($A393,APOIO!$A:$E,2,FALSE))</f>
        <v/>
      </c>
      <c r="C393" s="94"/>
      <c r="D393" s="32" t="str">
        <f>IF($A393="","",INDEX(APOIO!$D:$D,MATCH(CONCATENATE($A393,"_",$B393,"_",$C393),APOIO!$F:$F,0)))</f>
        <v/>
      </c>
      <c r="E393" s="31"/>
      <c r="F393" s="31"/>
      <c r="G393" s="33"/>
      <c r="H393" s="105"/>
      <c r="I393" s="32" t="str">
        <f>IF($A393="","",VLOOKUP($H393,APOIO!$L:$M,2,FALSE))</f>
        <v/>
      </c>
      <c r="J393" s="31"/>
      <c r="K393" s="32" t="str">
        <f>IF($A393="","",VLOOKUP($J393,APOIO!$H:$J,2,FALSE))</f>
        <v/>
      </c>
      <c r="L393" s="32" t="str">
        <f>IF($A393="","",VLOOKUP($J393,APOIO!$H:$J,3,FALSE))</f>
        <v/>
      </c>
      <c r="M393" s="31"/>
      <c r="N393" s="34"/>
      <c r="O393" s="32"/>
      <c r="P393" s="32"/>
      <c r="Q393" s="32"/>
      <c r="R393" s="32"/>
      <c r="S393" s="35"/>
      <c r="T393" s="91"/>
      <c r="U393" s="60"/>
      <c r="V393" s="36"/>
      <c r="W393" s="31"/>
      <c r="X393" s="59"/>
      <c r="Y393" s="59" t="str">
        <f>IFERROR(VLOOKUP($A393,APOIO!$A:$A,1,FALSE),"ERRO")</f>
        <v>ERRO</v>
      </c>
      <c r="Z393"/>
    </row>
    <row r="394" spans="1:26" ht="15" x14ac:dyDescent="0.25">
      <c r="A394" s="94"/>
      <c r="B394" s="32" t="str">
        <f>IF($A394="","",VLOOKUP($A394,APOIO!$A:$E,2,FALSE))</f>
        <v/>
      </c>
      <c r="C394" s="94"/>
      <c r="D394" s="32" t="str">
        <f>IF($A394="","",INDEX(APOIO!$D:$D,MATCH(CONCATENATE($A394,"_",$B394,"_",$C394),APOIO!$F:$F,0)))</f>
        <v/>
      </c>
      <c r="E394" s="31"/>
      <c r="F394" s="31"/>
      <c r="G394" s="33"/>
      <c r="H394" s="105"/>
      <c r="I394" s="32" t="str">
        <f>IF($A394="","",VLOOKUP($H394,APOIO!$L:$M,2,FALSE))</f>
        <v/>
      </c>
      <c r="J394" s="31"/>
      <c r="K394" s="32" t="str">
        <f>IF($A394="","",VLOOKUP($J394,APOIO!$H:$J,2,FALSE))</f>
        <v/>
      </c>
      <c r="L394" s="32" t="str">
        <f>IF($A394="","",VLOOKUP($J394,APOIO!$H:$J,3,FALSE))</f>
        <v/>
      </c>
      <c r="M394" s="31"/>
      <c r="N394" s="34"/>
      <c r="O394" s="32"/>
      <c r="P394" s="32"/>
      <c r="Q394" s="32"/>
      <c r="R394" s="32"/>
      <c r="S394" s="35"/>
      <c r="T394" s="91"/>
      <c r="U394" s="60"/>
      <c r="V394" s="36"/>
      <c r="W394" s="31"/>
      <c r="X394" s="59"/>
      <c r="Y394" s="59" t="str">
        <f>IFERROR(VLOOKUP($A394,APOIO!$A:$A,1,FALSE),"ERRO")</f>
        <v>ERRO</v>
      </c>
      <c r="Z394"/>
    </row>
    <row r="395" spans="1:26" ht="15" x14ac:dyDescent="0.25">
      <c r="A395" s="94"/>
      <c r="B395" s="32" t="str">
        <f>IF($A395="","",VLOOKUP($A395,APOIO!$A:$E,2,FALSE))</f>
        <v/>
      </c>
      <c r="C395" s="94"/>
      <c r="D395" s="32" t="str">
        <f>IF($A395="","",INDEX(APOIO!$D:$D,MATCH(CONCATENATE($A395,"_",$B395,"_",$C395),APOIO!$F:$F,0)))</f>
        <v/>
      </c>
      <c r="E395" s="31"/>
      <c r="F395" s="31"/>
      <c r="G395" s="33"/>
      <c r="H395" s="105"/>
      <c r="I395" s="32" t="str">
        <f>IF($A395="","",VLOOKUP($H395,APOIO!$L:$M,2,FALSE))</f>
        <v/>
      </c>
      <c r="J395" s="31"/>
      <c r="K395" s="32" t="str">
        <f>IF($A395="","",VLOOKUP($J395,APOIO!$H:$J,2,FALSE))</f>
        <v/>
      </c>
      <c r="L395" s="32" t="str">
        <f>IF($A395="","",VLOOKUP($J395,APOIO!$H:$J,3,FALSE))</f>
        <v/>
      </c>
      <c r="M395" s="31"/>
      <c r="N395" s="34"/>
      <c r="O395" s="32"/>
      <c r="P395" s="32"/>
      <c r="Q395" s="32"/>
      <c r="R395" s="32"/>
      <c r="S395" s="35"/>
      <c r="T395" s="91"/>
      <c r="U395" s="60"/>
      <c r="V395" s="36"/>
      <c r="W395" s="31"/>
      <c r="X395" s="59"/>
      <c r="Y395" s="59" t="str">
        <f>IFERROR(VLOOKUP($A395,APOIO!$A:$A,1,FALSE),"ERRO")</f>
        <v>ERRO</v>
      </c>
      <c r="Z395"/>
    </row>
    <row r="396" spans="1:26" ht="15" x14ac:dyDescent="0.25">
      <c r="A396" s="94"/>
      <c r="B396" s="32" t="str">
        <f>IF($A396="","",VLOOKUP($A396,APOIO!$A:$E,2,FALSE))</f>
        <v/>
      </c>
      <c r="C396" s="94"/>
      <c r="D396" s="32" t="str">
        <f>IF($A396="","",INDEX(APOIO!$D:$D,MATCH(CONCATENATE($A396,"_",$B396,"_",$C396),APOIO!$F:$F,0)))</f>
        <v/>
      </c>
      <c r="E396" s="31"/>
      <c r="F396" s="31"/>
      <c r="G396" s="33"/>
      <c r="H396" s="105"/>
      <c r="I396" s="32" t="str">
        <f>IF($A396="","",VLOOKUP($H396,APOIO!$L:$M,2,FALSE))</f>
        <v/>
      </c>
      <c r="J396" s="31"/>
      <c r="K396" s="32" t="str">
        <f>IF($A396="","",VLOOKUP($J396,APOIO!$H:$J,2,FALSE))</f>
        <v/>
      </c>
      <c r="L396" s="32" t="str">
        <f>IF($A396="","",VLOOKUP($J396,APOIO!$H:$J,3,FALSE))</f>
        <v/>
      </c>
      <c r="M396" s="31"/>
      <c r="N396" s="34"/>
      <c r="O396" s="32"/>
      <c r="P396" s="32"/>
      <c r="Q396" s="32"/>
      <c r="R396" s="32"/>
      <c r="S396" s="35"/>
      <c r="T396" s="91"/>
      <c r="U396" s="60"/>
      <c r="V396" s="36"/>
      <c r="W396" s="31"/>
      <c r="X396" s="59"/>
      <c r="Y396" s="59" t="str">
        <f>IFERROR(VLOOKUP($A396,APOIO!$A:$A,1,FALSE),"ERRO")</f>
        <v>ERRO</v>
      </c>
      <c r="Z396"/>
    </row>
    <row r="397" spans="1:26" ht="15" x14ac:dyDescent="0.25">
      <c r="A397" s="94"/>
      <c r="B397" s="32" t="str">
        <f>IF($A397="","",VLOOKUP($A397,APOIO!$A:$E,2,FALSE))</f>
        <v/>
      </c>
      <c r="C397" s="94"/>
      <c r="D397" s="32" t="str">
        <f>IF($A397="","",INDEX(APOIO!$D:$D,MATCH(CONCATENATE($A397,"_",$B397,"_",$C397),APOIO!$F:$F,0)))</f>
        <v/>
      </c>
      <c r="E397" s="31"/>
      <c r="F397" s="31"/>
      <c r="G397" s="33"/>
      <c r="H397" s="105"/>
      <c r="I397" s="32" t="str">
        <f>IF($A397="","",VLOOKUP($H397,APOIO!$L:$M,2,FALSE))</f>
        <v/>
      </c>
      <c r="J397" s="31"/>
      <c r="K397" s="32" t="str">
        <f>IF($A397="","",VLOOKUP($J397,APOIO!$H:$J,2,FALSE))</f>
        <v/>
      </c>
      <c r="L397" s="32" t="str">
        <f>IF($A397="","",VLOOKUP($J397,APOIO!$H:$J,3,FALSE))</f>
        <v/>
      </c>
      <c r="M397" s="31"/>
      <c r="N397" s="34"/>
      <c r="O397" s="32"/>
      <c r="P397" s="32"/>
      <c r="Q397" s="32"/>
      <c r="R397" s="32"/>
      <c r="S397" s="35"/>
      <c r="T397" s="91"/>
      <c r="U397" s="60"/>
      <c r="V397" s="36"/>
      <c r="W397" s="31"/>
      <c r="X397" s="59"/>
      <c r="Y397" s="59" t="str">
        <f>IFERROR(VLOOKUP($A397,APOIO!$A:$A,1,FALSE),"ERRO")</f>
        <v>ERRO</v>
      </c>
      <c r="Z397"/>
    </row>
    <row r="398" spans="1:26" ht="15" x14ac:dyDescent="0.25">
      <c r="A398" s="94"/>
      <c r="B398" s="32" t="str">
        <f>IF($A398="","",VLOOKUP($A398,APOIO!$A:$E,2,FALSE))</f>
        <v/>
      </c>
      <c r="C398" s="94"/>
      <c r="D398" s="32" t="str">
        <f>IF($A398="","",INDEX(APOIO!$D:$D,MATCH(CONCATENATE($A398,"_",$B398,"_",$C398),APOIO!$F:$F,0)))</f>
        <v/>
      </c>
      <c r="E398" s="31"/>
      <c r="F398" s="31"/>
      <c r="G398" s="33"/>
      <c r="H398" s="105"/>
      <c r="I398" s="32" t="str">
        <f>IF($A398="","",VLOOKUP($H398,APOIO!$L:$M,2,FALSE))</f>
        <v/>
      </c>
      <c r="J398" s="31"/>
      <c r="K398" s="32" t="str">
        <f>IF($A398="","",VLOOKUP($J398,APOIO!$H:$J,2,FALSE))</f>
        <v/>
      </c>
      <c r="L398" s="32" t="str">
        <f>IF($A398="","",VLOOKUP($J398,APOIO!$H:$J,3,FALSE))</f>
        <v/>
      </c>
      <c r="M398" s="31"/>
      <c r="N398" s="34"/>
      <c r="O398" s="32"/>
      <c r="P398" s="32"/>
      <c r="Q398" s="32"/>
      <c r="R398" s="32"/>
      <c r="S398" s="35"/>
      <c r="T398" s="91"/>
      <c r="U398" s="60"/>
      <c r="V398" s="36"/>
      <c r="W398" s="31"/>
      <c r="X398" s="59"/>
      <c r="Y398" s="59" t="str">
        <f>IFERROR(VLOOKUP($A398,APOIO!$A:$A,1,FALSE),"ERRO")</f>
        <v>ERRO</v>
      </c>
      <c r="Z398"/>
    </row>
    <row r="399" spans="1:26" ht="15" x14ac:dyDescent="0.25">
      <c r="A399" s="94"/>
      <c r="B399" s="32" t="str">
        <f>IF($A399="","",VLOOKUP($A399,APOIO!$A:$E,2,FALSE))</f>
        <v/>
      </c>
      <c r="C399" s="94"/>
      <c r="D399" s="32" t="str">
        <f>IF($A399="","",INDEX(APOIO!$D:$D,MATCH(CONCATENATE($A399,"_",$B399,"_",$C399),APOIO!$F:$F,0)))</f>
        <v/>
      </c>
      <c r="E399" s="31"/>
      <c r="F399" s="31"/>
      <c r="G399" s="33"/>
      <c r="H399" s="105"/>
      <c r="I399" s="32" t="str">
        <f>IF($A399="","",VLOOKUP($H399,APOIO!$L:$M,2,FALSE))</f>
        <v/>
      </c>
      <c r="J399" s="31"/>
      <c r="K399" s="32" t="str">
        <f>IF($A399="","",VLOOKUP($J399,APOIO!$H:$J,2,FALSE))</f>
        <v/>
      </c>
      <c r="L399" s="32" t="str">
        <f>IF($A399="","",VLOOKUP($J399,APOIO!$H:$J,3,FALSE))</f>
        <v/>
      </c>
      <c r="M399" s="31"/>
      <c r="N399" s="34"/>
      <c r="O399" s="32"/>
      <c r="P399" s="32"/>
      <c r="Q399" s="32"/>
      <c r="R399" s="32"/>
      <c r="S399" s="35"/>
      <c r="T399" s="91"/>
      <c r="U399" s="60"/>
      <c r="V399" s="36"/>
      <c r="W399" s="31"/>
      <c r="X399" s="59"/>
      <c r="Y399" s="59" t="str">
        <f>IFERROR(VLOOKUP($A399,APOIO!$A:$A,1,FALSE),"ERRO")</f>
        <v>ERRO</v>
      </c>
      <c r="Z399"/>
    </row>
    <row r="400" spans="1:26" ht="15" x14ac:dyDescent="0.25">
      <c r="A400" s="94"/>
      <c r="B400" s="32" t="str">
        <f>IF($A400="","",VLOOKUP($A400,APOIO!$A:$E,2,FALSE))</f>
        <v/>
      </c>
      <c r="C400" s="94"/>
      <c r="D400" s="32" t="str">
        <f>IF($A400="","",INDEX(APOIO!$D:$D,MATCH(CONCATENATE($A400,"_",$B400,"_",$C400),APOIO!$F:$F,0)))</f>
        <v/>
      </c>
      <c r="E400" s="31"/>
      <c r="F400" s="31"/>
      <c r="G400" s="33"/>
      <c r="H400" s="105"/>
      <c r="I400" s="32" t="str">
        <f>IF($A400="","",VLOOKUP($H400,APOIO!$L:$M,2,FALSE))</f>
        <v/>
      </c>
      <c r="J400" s="31"/>
      <c r="K400" s="32" t="str">
        <f>IF($A400="","",VLOOKUP($J400,APOIO!$H:$J,2,FALSE))</f>
        <v/>
      </c>
      <c r="L400" s="32" t="str">
        <f>IF($A400="","",VLOOKUP($J400,APOIO!$H:$J,3,FALSE))</f>
        <v/>
      </c>
      <c r="M400" s="31"/>
      <c r="N400" s="34"/>
      <c r="O400" s="32"/>
      <c r="P400" s="32"/>
      <c r="Q400" s="32"/>
      <c r="R400" s="32"/>
      <c r="S400" s="35"/>
      <c r="T400" s="91"/>
      <c r="U400" s="60"/>
      <c r="V400" s="36"/>
      <c r="W400" s="31"/>
      <c r="X400" s="59"/>
      <c r="Y400" s="59" t="str">
        <f>IFERROR(VLOOKUP($A400,APOIO!$A:$A,1,FALSE),"ERRO")</f>
        <v>ERRO</v>
      </c>
      <c r="Z400"/>
    </row>
    <row r="401" spans="1:26" ht="15" x14ac:dyDescent="0.25">
      <c r="A401" s="94"/>
      <c r="B401" s="32" t="str">
        <f>IF($A401="","",VLOOKUP($A401,APOIO!$A:$E,2,FALSE))</f>
        <v/>
      </c>
      <c r="C401" s="94"/>
      <c r="D401" s="32" t="str">
        <f>IF($A401="","",INDEX(APOIO!$D:$D,MATCH(CONCATENATE($A401,"_",$B401,"_",$C401),APOIO!$F:$F,0)))</f>
        <v/>
      </c>
      <c r="E401" s="31"/>
      <c r="F401" s="31"/>
      <c r="G401" s="33"/>
      <c r="H401" s="105"/>
      <c r="I401" s="32" t="str">
        <f>IF($A401="","",VLOOKUP($H401,APOIO!$L:$M,2,FALSE))</f>
        <v/>
      </c>
      <c r="J401" s="31"/>
      <c r="K401" s="32" t="str">
        <f>IF($A401="","",VLOOKUP($J401,APOIO!$H:$J,2,FALSE))</f>
        <v/>
      </c>
      <c r="L401" s="32" t="str">
        <f>IF($A401="","",VLOOKUP($J401,APOIO!$H:$J,3,FALSE))</f>
        <v/>
      </c>
      <c r="M401" s="31"/>
      <c r="N401" s="34"/>
      <c r="O401" s="32"/>
      <c r="P401" s="32"/>
      <c r="Q401" s="32"/>
      <c r="R401" s="32"/>
      <c r="S401" s="35"/>
      <c r="T401" s="91"/>
      <c r="U401" s="60"/>
      <c r="V401" s="36"/>
      <c r="W401" s="31"/>
      <c r="X401" s="59"/>
      <c r="Y401" s="59" t="str">
        <f>IFERROR(VLOOKUP($A401,APOIO!$A:$A,1,FALSE),"ERRO")</f>
        <v>ERRO</v>
      </c>
      <c r="Z401"/>
    </row>
    <row r="402" spans="1:26" ht="15" x14ac:dyDescent="0.25">
      <c r="A402" s="94"/>
      <c r="B402" s="32" t="str">
        <f>IF($A402="","",VLOOKUP($A402,APOIO!$A:$E,2,FALSE))</f>
        <v/>
      </c>
      <c r="C402" s="94"/>
      <c r="D402" s="32" t="str">
        <f>IF($A402="","",INDEX(APOIO!$D:$D,MATCH(CONCATENATE($A402,"_",$B402,"_",$C402),APOIO!$F:$F,0)))</f>
        <v/>
      </c>
      <c r="E402" s="31"/>
      <c r="F402" s="31"/>
      <c r="G402" s="33"/>
      <c r="H402" s="105"/>
      <c r="I402" s="32" t="str">
        <f>IF($A402="","",VLOOKUP($H402,APOIO!$L:$M,2,FALSE))</f>
        <v/>
      </c>
      <c r="J402" s="31"/>
      <c r="K402" s="32" t="str">
        <f>IF($A402="","",VLOOKUP($J402,APOIO!$H:$J,2,FALSE))</f>
        <v/>
      </c>
      <c r="L402" s="32" t="str">
        <f>IF($A402="","",VLOOKUP($J402,APOIO!$H:$J,3,FALSE))</f>
        <v/>
      </c>
      <c r="M402" s="31"/>
      <c r="N402" s="34"/>
      <c r="O402" s="32"/>
      <c r="P402" s="32"/>
      <c r="Q402" s="32"/>
      <c r="R402" s="32"/>
      <c r="S402" s="35"/>
      <c r="T402" s="91"/>
      <c r="U402" s="60"/>
      <c r="V402" s="36"/>
      <c r="W402" s="31"/>
      <c r="X402" s="59"/>
      <c r="Y402" s="59" t="str">
        <f>IFERROR(VLOOKUP($A402,APOIO!$A:$A,1,FALSE),"ERRO")</f>
        <v>ERRO</v>
      </c>
      <c r="Z402"/>
    </row>
    <row r="403" spans="1:26" ht="15" x14ac:dyDescent="0.25">
      <c r="A403" s="94"/>
      <c r="B403" s="32" t="str">
        <f>IF($A403="","",VLOOKUP($A403,APOIO!$A:$E,2,FALSE))</f>
        <v/>
      </c>
      <c r="C403" s="94"/>
      <c r="D403" s="32" t="str">
        <f>IF($A403="","",INDEX(APOIO!$D:$D,MATCH(CONCATENATE($A403,"_",$B403,"_",$C403),APOIO!$F:$F,0)))</f>
        <v/>
      </c>
      <c r="E403" s="31"/>
      <c r="F403" s="31"/>
      <c r="G403" s="33"/>
      <c r="H403" s="105"/>
      <c r="I403" s="32" t="str">
        <f>IF($A403="","",VLOOKUP($H403,APOIO!$L:$M,2,FALSE))</f>
        <v/>
      </c>
      <c r="J403" s="31"/>
      <c r="K403" s="32" t="str">
        <f>IF($A403="","",VLOOKUP($J403,APOIO!$H:$J,2,FALSE))</f>
        <v/>
      </c>
      <c r="L403" s="32" t="str">
        <f>IF($A403="","",VLOOKUP($J403,APOIO!$H:$J,3,FALSE))</f>
        <v/>
      </c>
      <c r="M403" s="31"/>
      <c r="N403" s="34"/>
      <c r="O403" s="32"/>
      <c r="P403" s="32"/>
      <c r="Q403" s="32"/>
      <c r="R403" s="32"/>
      <c r="S403" s="35"/>
      <c r="T403" s="91"/>
      <c r="U403" s="60"/>
      <c r="V403" s="36"/>
      <c r="W403" s="31"/>
      <c r="X403" s="59"/>
      <c r="Y403" s="59" t="str">
        <f>IFERROR(VLOOKUP($A403,APOIO!$A:$A,1,FALSE),"ERRO")</f>
        <v>ERRO</v>
      </c>
      <c r="Z403"/>
    </row>
    <row r="404" spans="1:26" ht="15" x14ac:dyDescent="0.25">
      <c r="A404" s="94"/>
      <c r="B404" s="32" t="str">
        <f>IF($A404="","",VLOOKUP($A404,APOIO!$A:$E,2,FALSE))</f>
        <v/>
      </c>
      <c r="C404" s="94"/>
      <c r="D404" s="32" t="str">
        <f>IF($A404="","",INDEX(APOIO!$D:$D,MATCH(CONCATENATE($A404,"_",$B404,"_",$C404),APOIO!$F:$F,0)))</f>
        <v/>
      </c>
      <c r="E404" s="31"/>
      <c r="F404" s="31"/>
      <c r="G404" s="33"/>
      <c r="H404" s="105"/>
      <c r="I404" s="32" t="str">
        <f>IF($A404="","",VLOOKUP($H404,APOIO!$L:$M,2,FALSE))</f>
        <v/>
      </c>
      <c r="J404" s="31"/>
      <c r="K404" s="32" t="str">
        <f>IF($A404="","",VLOOKUP($J404,APOIO!$H:$J,2,FALSE))</f>
        <v/>
      </c>
      <c r="L404" s="32" t="str">
        <f>IF($A404="","",VLOOKUP($J404,APOIO!$H:$J,3,FALSE))</f>
        <v/>
      </c>
      <c r="M404" s="31"/>
      <c r="N404" s="34"/>
      <c r="O404" s="32"/>
      <c r="P404" s="32"/>
      <c r="Q404" s="32"/>
      <c r="R404" s="32"/>
      <c r="S404" s="35"/>
      <c r="T404" s="91"/>
      <c r="U404" s="60"/>
      <c r="V404" s="36"/>
      <c r="W404" s="31"/>
      <c r="X404" s="59"/>
      <c r="Y404" s="59" t="str">
        <f>IFERROR(VLOOKUP($A404,APOIO!$A:$A,1,FALSE),"ERRO")</f>
        <v>ERRO</v>
      </c>
      <c r="Z404"/>
    </row>
    <row r="405" spans="1:26" ht="15" x14ac:dyDescent="0.25">
      <c r="A405" s="94"/>
      <c r="B405" s="32" t="str">
        <f>IF($A405="","",VLOOKUP($A405,APOIO!$A:$E,2,FALSE))</f>
        <v/>
      </c>
      <c r="C405" s="94"/>
      <c r="D405" s="32" t="str">
        <f>IF($A405="","",INDEX(APOIO!$D:$D,MATCH(CONCATENATE($A405,"_",$B405,"_",$C405),APOIO!$F:$F,0)))</f>
        <v/>
      </c>
      <c r="E405" s="31"/>
      <c r="F405" s="31"/>
      <c r="G405" s="33"/>
      <c r="H405" s="105"/>
      <c r="I405" s="32" t="str">
        <f>IF($A405="","",VLOOKUP($H405,APOIO!$L:$M,2,FALSE))</f>
        <v/>
      </c>
      <c r="J405" s="31"/>
      <c r="K405" s="32" t="str">
        <f>IF($A405="","",VLOOKUP($J405,APOIO!$H:$J,2,FALSE))</f>
        <v/>
      </c>
      <c r="L405" s="32" t="str">
        <f>IF($A405="","",VLOOKUP($J405,APOIO!$H:$J,3,FALSE))</f>
        <v/>
      </c>
      <c r="M405" s="31"/>
      <c r="N405" s="34"/>
      <c r="O405" s="32"/>
      <c r="P405" s="32"/>
      <c r="Q405" s="32"/>
      <c r="R405" s="32"/>
      <c r="S405" s="35"/>
      <c r="T405" s="91"/>
      <c r="U405" s="60"/>
      <c r="V405" s="36"/>
      <c r="W405" s="31"/>
      <c r="X405" s="59"/>
      <c r="Y405" s="59" t="str">
        <f>IFERROR(VLOOKUP($A405,APOIO!$A:$A,1,FALSE),"ERRO")</f>
        <v>ERRO</v>
      </c>
      <c r="Z405"/>
    </row>
    <row r="406" spans="1:26" ht="15" x14ac:dyDescent="0.25">
      <c r="A406" s="94"/>
      <c r="B406" s="32" t="str">
        <f>IF($A406="","",VLOOKUP($A406,APOIO!$A:$E,2,FALSE))</f>
        <v/>
      </c>
      <c r="C406" s="94"/>
      <c r="D406" s="32" t="str">
        <f>IF($A406="","",INDEX(APOIO!$D:$D,MATCH(CONCATENATE($A406,"_",$B406,"_",$C406),APOIO!$F:$F,0)))</f>
        <v/>
      </c>
      <c r="E406" s="31"/>
      <c r="F406" s="31"/>
      <c r="G406" s="33"/>
      <c r="H406" s="105"/>
      <c r="I406" s="32" t="str">
        <f>IF($A406="","",VLOOKUP($H406,APOIO!$L:$M,2,FALSE))</f>
        <v/>
      </c>
      <c r="J406" s="31"/>
      <c r="K406" s="32" t="str">
        <f>IF($A406="","",VLOOKUP($J406,APOIO!$H:$J,2,FALSE))</f>
        <v/>
      </c>
      <c r="L406" s="32" t="str">
        <f>IF($A406="","",VLOOKUP($J406,APOIO!$H:$J,3,FALSE))</f>
        <v/>
      </c>
      <c r="M406" s="31"/>
      <c r="N406" s="34"/>
      <c r="O406" s="32"/>
      <c r="P406" s="32"/>
      <c r="Q406" s="32"/>
      <c r="R406" s="32"/>
      <c r="S406" s="35"/>
      <c r="T406" s="91"/>
      <c r="U406" s="60"/>
      <c r="V406" s="36"/>
      <c r="W406" s="31"/>
      <c r="X406" s="59"/>
      <c r="Y406" s="59" t="str">
        <f>IFERROR(VLOOKUP($A406,APOIO!$A:$A,1,FALSE),"ERRO")</f>
        <v>ERRO</v>
      </c>
      <c r="Z406"/>
    </row>
    <row r="407" spans="1:26" ht="15" x14ac:dyDescent="0.25">
      <c r="A407" s="94"/>
      <c r="B407" s="32" t="str">
        <f>IF($A407="","",VLOOKUP($A407,APOIO!$A:$E,2,FALSE))</f>
        <v/>
      </c>
      <c r="C407" s="94"/>
      <c r="D407" s="32" t="str">
        <f>IF($A407="","",INDEX(APOIO!$D:$D,MATCH(CONCATENATE($A407,"_",$B407,"_",$C407),APOIO!$F:$F,0)))</f>
        <v/>
      </c>
      <c r="E407" s="31"/>
      <c r="F407" s="31"/>
      <c r="G407" s="33"/>
      <c r="H407" s="105"/>
      <c r="I407" s="32" t="str">
        <f>IF($A407="","",VLOOKUP($H407,APOIO!$L:$M,2,FALSE))</f>
        <v/>
      </c>
      <c r="J407" s="31"/>
      <c r="K407" s="32" t="str">
        <f>IF($A407="","",VLOOKUP($J407,APOIO!$H:$J,2,FALSE))</f>
        <v/>
      </c>
      <c r="L407" s="32" t="str">
        <f>IF($A407="","",VLOOKUP($J407,APOIO!$H:$J,3,FALSE))</f>
        <v/>
      </c>
      <c r="M407" s="31"/>
      <c r="N407" s="34"/>
      <c r="O407" s="32"/>
      <c r="P407" s="32"/>
      <c r="Q407" s="32"/>
      <c r="R407" s="32"/>
      <c r="S407" s="35"/>
      <c r="T407" s="91"/>
      <c r="U407" s="60"/>
      <c r="V407" s="36"/>
      <c r="W407" s="31"/>
      <c r="X407" s="59"/>
      <c r="Y407" s="59" t="str">
        <f>IFERROR(VLOOKUP($A407,APOIO!$A:$A,1,FALSE),"ERRO")</f>
        <v>ERRO</v>
      </c>
      <c r="Z407"/>
    </row>
    <row r="408" spans="1:26" ht="15" x14ac:dyDescent="0.25">
      <c r="A408" s="94"/>
      <c r="B408" s="32" t="str">
        <f>IF($A408="","",VLOOKUP($A408,APOIO!$A:$E,2,FALSE))</f>
        <v/>
      </c>
      <c r="C408" s="94"/>
      <c r="D408" s="32" t="str">
        <f>IF($A408="","",INDEX(APOIO!$D:$D,MATCH(CONCATENATE($A408,"_",$B408,"_",$C408),APOIO!$F:$F,0)))</f>
        <v/>
      </c>
      <c r="E408" s="31"/>
      <c r="F408" s="31"/>
      <c r="G408" s="33"/>
      <c r="H408" s="105"/>
      <c r="I408" s="32" t="str">
        <f>IF($A408="","",VLOOKUP($H408,APOIO!$L:$M,2,FALSE))</f>
        <v/>
      </c>
      <c r="J408" s="31"/>
      <c r="K408" s="32" t="str">
        <f>IF($A408="","",VLOOKUP($J408,APOIO!$H:$J,2,FALSE))</f>
        <v/>
      </c>
      <c r="L408" s="32" t="str">
        <f>IF($A408="","",VLOOKUP($J408,APOIO!$H:$J,3,FALSE))</f>
        <v/>
      </c>
      <c r="M408" s="31"/>
      <c r="N408" s="34"/>
      <c r="O408" s="32"/>
      <c r="P408" s="32"/>
      <c r="Q408" s="32"/>
      <c r="R408" s="32"/>
      <c r="S408" s="35"/>
      <c r="T408" s="91"/>
      <c r="U408" s="60"/>
      <c r="V408" s="36"/>
      <c r="W408" s="31"/>
      <c r="X408" s="59"/>
      <c r="Y408" s="59" t="str">
        <f>IFERROR(VLOOKUP($A408,APOIO!$A:$A,1,FALSE),"ERRO")</f>
        <v>ERRO</v>
      </c>
      <c r="Z408"/>
    </row>
    <row r="409" spans="1:26" ht="15" x14ac:dyDescent="0.25">
      <c r="A409" s="94"/>
      <c r="B409" s="32" t="str">
        <f>IF($A409="","",VLOOKUP($A409,APOIO!$A:$E,2,FALSE))</f>
        <v/>
      </c>
      <c r="C409" s="94"/>
      <c r="D409" s="32" t="str">
        <f>IF($A409="","",INDEX(APOIO!$D:$D,MATCH(CONCATENATE($A409,"_",$B409,"_",$C409),APOIO!$F:$F,0)))</f>
        <v/>
      </c>
      <c r="E409" s="31"/>
      <c r="F409" s="31"/>
      <c r="G409" s="33"/>
      <c r="H409" s="105"/>
      <c r="I409" s="32" t="str">
        <f>IF($A409="","",VLOOKUP($H409,APOIO!$L:$M,2,FALSE))</f>
        <v/>
      </c>
      <c r="J409" s="31"/>
      <c r="K409" s="32" t="str">
        <f>IF($A409="","",VLOOKUP($J409,APOIO!$H:$J,2,FALSE))</f>
        <v/>
      </c>
      <c r="L409" s="32" t="str">
        <f>IF($A409="","",VLOOKUP($J409,APOIO!$H:$J,3,FALSE))</f>
        <v/>
      </c>
      <c r="M409" s="31"/>
      <c r="N409" s="34"/>
      <c r="O409" s="32"/>
      <c r="P409" s="32"/>
      <c r="Q409" s="32"/>
      <c r="R409" s="32"/>
      <c r="S409" s="35"/>
      <c r="T409" s="91"/>
      <c r="U409" s="60"/>
      <c r="V409" s="36"/>
      <c r="W409" s="31"/>
      <c r="X409" s="59"/>
      <c r="Y409" s="59" t="str">
        <f>IFERROR(VLOOKUP($A409,APOIO!$A:$A,1,FALSE),"ERRO")</f>
        <v>ERRO</v>
      </c>
      <c r="Z409"/>
    </row>
    <row r="410" spans="1:26" ht="15" x14ac:dyDescent="0.25">
      <c r="A410" s="94"/>
      <c r="B410" s="32" t="str">
        <f>IF($A410="","",VLOOKUP($A410,APOIO!$A:$E,2,FALSE))</f>
        <v/>
      </c>
      <c r="C410" s="94"/>
      <c r="D410" s="32" t="str">
        <f>IF($A410="","",INDEX(APOIO!$D:$D,MATCH(CONCATENATE($A410,"_",$B410,"_",$C410),APOIO!$F:$F,0)))</f>
        <v/>
      </c>
      <c r="E410" s="31"/>
      <c r="F410" s="31"/>
      <c r="G410" s="33"/>
      <c r="H410" s="105"/>
      <c r="I410" s="32" t="str">
        <f>IF($A410="","",VLOOKUP($H410,APOIO!$L:$M,2,FALSE))</f>
        <v/>
      </c>
      <c r="J410" s="31"/>
      <c r="K410" s="32" t="str">
        <f>IF($A410="","",VLOOKUP($J410,APOIO!$H:$J,2,FALSE))</f>
        <v/>
      </c>
      <c r="L410" s="32" t="str">
        <f>IF($A410="","",VLOOKUP($J410,APOIO!$H:$J,3,FALSE))</f>
        <v/>
      </c>
      <c r="M410" s="31"/>
      <c r="N410" s="34"/>
      <c r="O410" s="32"/>
      <c r="P410" s="32"/>
      <c r="Q410" s="32"/>
      <c r="R410" s="32"/>
      <c r="S410" s="35"/>
      <c r="T410" s="91"/>
      <c r="U410" s="60"/>
      <c r="V410" s="36"/>
      <c r="W410" s="31"/>
      <c r="X410" s="59"/>
      <c r="Y410" s="59" t="str">
        <f>IFERROR(VLOOKUP($A410,APOIO!$A:$A,1,FALSE),"ERRO")</f>
        <v>ERRO</v>
      </c>
      <c r="Z410"/>
    </row>
    <row r="411" spans="1:26" ht="15" x14ac:dyDescent="0.25">
      <c r="A411" s="94"/>
      <c r="B411" s="32" t="str">
        <f>IF($A411="","",VLOOKUP($A411,APOIO!$A:$E,2,FALSE))</f>
        <v/>
      </c>
      <c r="C411" s="94"/>
      <c r="D411" s="32" t="str">
        <f>IF($A411="","",INDEX(APOIO!$D:$D,MATCH(CONCATENATE($A411,"_",$B411,"_",$C411),APOIO!$F:$F,0)))</f>
        <v/>
      </c>
      <c r="E411" s="31"/>
      <c r="F411" s="31"/>
      <c r="G411" s="33"/>
      <c r="H411" s="105"/>
      <c r="I411" s="32" t="str">
        <f>IF($A411="","",VLOOKUP($H411,APOIO!$L:$M,2,FALSE))</f>
        <v/>
      </c>
      <c r="J411" s="31"/>
      <c r="K411" s="32" t="str">
        <f>IF($A411="","",VLOOKUP($J411,APOIO!$H:$J,2,FALSE))</f>
        <v/>
      </c>
      <c r="L411" s="32" t="str">
        <f>IF($A411="","",VLOOKUP($J411,APOIO!$H:$J,3,FALSE))</f>
        <v/>
      </c>
      <c r="M411" s="31"/>
      <c r="N411" s="34"/>
      <c r="O411" s="32"/>
      <c r="P411" s="32"/>
      <c r="Q411" s="32"/>
      <c r="R411" s="32"/>
      <c r="S411" s="35"/>
      <c r="T411" s="91"/>
      <c r="U411" s="60"/>
      <c r="V411" s="36"/>
      <c r="W411" s="31"/>
      <c r="X411" s="59"/>
      <c r="Y411" s="59" t="str">
        <f>IFERROR(VLOOKUP($A411,APOIO!$A:$A,1,FALSE),"ERRO")</f>
        <v>ERRO</v>
      </c>
      <c r="Z411"/>
    </row>
    <row r="412" spans="1:26" ht="15" x14ac:dyDescent="0.25">
      <c r="A412" s="94"/>
      <c r="B412" s="32" t="str">
        <f>IF($A412="","",VLOOKUP($A412,APOIO!$A:$E,2,FALSE))</f>
        <v/>
      </c>
      <c r="C412" s="94"/>
      <c r="D412" s="32" t="str">
        <f>IF($A412="","",INDEX(APOIO!$D:$D,MATCH(CONCATENATE($A412,"_",$B412,"_",$C412),APOIO!$F:$F,0)))</f>
        <v/>
      </c>
      <c r="E412" s="31"/>
      <c r="F412" s="31"/>
      <c r="G412" s="33"/>
      <c r="H412" s="105"/>
      <c r="I412" s="32" t="str">
        <f>IF($A412="","",VLOOKUP($H412,APOIO!$L:$M,2,FALSE))</f>
        <v/>
      </c>
      <c r="J412" s="31"/>
      <c r="K412" s="32" t="str">
        <f>IF($A412="","",VLOOKUP($J412,APOIO!$H:$J,2,FALSE))</f>
        <v/>
      </c>
      <c r="L412" s="32" t="str">
        <f>IF($A412="","",VLOOKUP($J412,APOIO!$H:$J,3,FALSE))</f>
        <v/>
      </c>
      <c r="M412" s="31"/>
      <c r="N412" s="34"/>
      <c r="O412" s="32"/>
      <c r="P412" s="32"/>
      <c r="Q412" s="32"/>
      <c r="R412" s="32"/>
      <c r="S412" s="35"/>
      <c r="T412" s="91"/>
      <c r="U412" s="60"/>
      <c r="V412" s="36"/>
      <c r="W412" s="31"/>
      <c r="X412" s="59"/>
      <c r="Y412" s="59" t="str">
        <f>IFERROR(VLOOKUP($A412,APOIO!$A:$A,1,FALSE),"ERRO")</f>
        <v>ERRO</v>
      </c>
      <c r="Z412"/>
    </row>
    <row r="413" spans="1:26" ht="15" x14ac:dyDescent="0.25">
      <c r="A413" s="94"/>
      <c r="B413" s="32" t="str">
        <f>IF($A413="","",VLOOKUP($A413,APOIO!$A:$E,2,FALSE))</f>
        <v/>
      </c>
      <c r="C413" s="94"/>
      <c r="D413" s="32" t="str">
        <f>IF($A413="","",INDEX(APOIO!$D:$D,MATCH(CONCATENATE($A413,"_",$B413,"_",$C413),APOIO!$F:$F,0)))</f>
        <v/>
      </c>
      <c r="E413" s="31"/>
      <c r="F413" s="31"/>
      <c r="G413" s="33"/>
      <c r="H413" s="105"/>
      <c r="I413" s="32" t="str">
        <f>IF($A413="","",VLOOKUP($H413,APOIO!$L:$M,2,FALSE))</f>
        <v/>
      </c>
      <c r="J413" s="31"/>
      <c r="K413" s="32" t="str">
        <f>IF($A413="","",VLOOKUP($J413,APOIO!$H:$J,2,FALSE))</f>
        <v/>
      </c>
      <c r="L413" s="32" t="str">
        <f>IF($A413="","",VLOOKUP($J413,APOIO!$H:$J,3,FALSE))</f>
        <v/>
      </c>
      <c r="M413" s="31"/>
      <c r="N413" s="34"/>
      <c r="O413" s="32"/>
      <c r="P413" s="32"/>
      <c r="Q413" s="32"/>
      <c r="R413" s="32"/>
      <c r="S413" s="35"/>
      <c r="T413" s="91"/>
      <c r="U413" s="60"/>
      <c r="V413" s="36"/>
      <c r="W413" s="31"/>
      <c r="X413" s="59"/>
      <c r="Y413" s="59" t="str">
        <f>IFERROR(VLOOKUP($A413,APOIO!$A:$A,1,FALSE),"ERRO")</f>
        <v>ERRO</v>
      </c>
      <c r="Z413"/>
    </row>
    <row r="414" spans="1:26" ht="15" x14ac:dyDescent="0.25">
      <c r="A414" s="94"/>
      <c r="B414" s="32" t="str">
        <f>IF($A414="","",VLOOKUP($A414,APOIO!$A:$E,2,FALSE))</f>
        <v/>
      </c>
      <c r="C414" s="94"/>
      <c r="D414" s="32" t="str">
        <f>IF($A414="","",INDEX(APOIO!$D:$D,MATCH(CONCATENATE($A414,"_",$B414,"_",$C414),APOIO!$F:$F,0)))</f>
        <v/>
      </c>
      <c r="E414" s="31"/>
      <c r="F414" s="31"/>
      <c r="G414" s="33"/>
      <c r="H414" s="105"/>
      <c r="I414" s="32" t="str">
        <f>IF($A414="","",VLOOKUP($H414,APOIO!$L:$M,2,FALSE))</f>
        <v/>
      </c>
      <c r="J414" s="31"/>
      <c r="K414" s="32" t="str">
        <f>IF($A414="","",VLOOKUP($J414,APOIO!$H:$J,2,FALSE))</f>
        <v/>
      </c>
      <c r="L414" s="32" t="str">
        <f>IF($A414="","",VLOOKUP($J414,APOIO!$H:$J,3,FALSE))</f>
        <v/>
      </c>
      <c r="M414" s="31"/>
      <c r="N414" s="34"/>
      <c r="O414" s="32"/>
      <c r="P414" s="32"/>
      <c r="Q414" s="32"/>
      <c r="R414" s="32"/>
      <c r="S414" s="35"/>
      <c r="T414" s="91"/>
      <c r="U414" s="60"/>
      <c r="V414" s="36"/>
      <c r="W414" s="31"/>
      <c r="X414" s="59"/>
      <c r="Y414" s="59" t="str">
        <f>IFERROR(VLOOKUP($A414,APOIO!$A:$A,1,FALSE),"ERRO")</f>
        <v>ERRO</v>
      </c>
      <c r="Z414"/>
    </row>
    <row r="415" spans="1:26" ht="15" x14ac:dyDescent="0.25">
      <c r="A415" s="94"/>
      <c r="B415" s="32" t="str">
        <f>IF($A415="","",VLOOKUP($A415,APOIO!$A:$E,2,FALSE))</f>
        <v/>
      </c>
      <c r="C415" s="94"/>
      <c r="D415" s="32" t="str">
        <f>IF($A415="","",INDEX(APOIO!$D:$D,MATCH(CONCATENATE($A415,"_",$B415,"_",$C415),APOIO!$F:$F,0)))</f>
        <v/>
      </c>
      <c r="E415" s="31"/>
      <c r="F415" s="31"/>
      <c r="G415" s="33"/>
      <c r="H415" s="105"/>
      <c r="I415" s="32" t="str">
        <f>IF($A415="","",VLOOKUP($H415,APOIO!$L:$M,2,FALSE))</f>
        <v/>
      </c>
      <c r="J415" s="31"/>
      <c r="K415" s="32" t="str">
        <f>IF($A415="","",VLOOKUP($J415,APOIO!$H:$J,2,FALSE))</f>
        <v/>
      </c>
      <c r="L415" s="32" t="str">
        <f>IF($A415="","",VLOOKUP($J415,APOIO!$H:$J,3,FALSE))</f>
        <v/>
      </c>
      <c r="M415" s="31"/>
      <c r="N415" s="34"/>
      <c r="O415" s="32"/>
      <c r="P415" s="32"/>
      <c r="Q415" s="32"/>
      <c r="R415" s="32"/>
      <c r="S415" s="35"/>
      <c r="T415" s="91"/>
      <c r="U415" s="60"/>
      <c r="V415" s="36"/>
      <c r="W415" s="31"/>
      <c r="X415" s="59"/>
      <c r="Y415" s="59" t="str">
        <f>IFERROR(VLOOKUP($A415,APOIO!$A:$A,1,FALSE),"ERRO")</f>
        <v>ERRO</v>
      </c>
      <c r="Z415"/>
    </row>
    <row r="416" spans="1:26" ht="15" x14ac:dyDescent="0.25">
      <c r="A416" s="94"/>
      <c r="B416" s="32" t="str">
        <f>IF($A416="","",VLOOKUP($A416,APOIO!$A:$E,2,FALSE))</f>
        <v/>
      </c>
      <c r="C416" s="94"/>
      <c r="D416" s="32" t="str">
        <f>IF($A416="","",INDEX(APOIO!$D:$D,MATCH(CONCATENATE($A416,"_",$B416,"_",$C416),APOIO!$F:$F,0)))</f>
        <v/>
      </c>
      <c r="E416" s="31"/>
      <c r="F416" s="31"/>
      <c r="G416" s="33"/>
      <c r="H416" s="105"/>
      <c r="I416" s="32" t="str">
        <f>IF($A416="","",VLOOKUP($H416,APOIO!$L:$M,2,FALSE))</f>
        <v/>
      </c>
      <c r="J416" s="31"/>
      <c r="K416" s="32" t="str">
        <f>IF($A416="","",VLOOKUP($J416,APOIO!$H:$J,2,FALSE))</f>
        <v/>
      </c>
      <c r="L416" s="32" t="str">
        <f>IF($A416="","",VLOOKUP($J416,APOIO!$H:$J,3,FALSE))</f>
        <v/>
      </c>
      <c r="M416" s="31"/>
      <c r="N416" s="34"/>
      <c r="O416" s="32"/>
      <c r="P416" s="32"/>
      <c r="Q416" s="32"/>
      <c r="R416" s="32"/>
      <c r="S416" s="35"/>
      <c r="T416" s="91"/>
      <c r="U416" s="60"/>
      <c r="V416" s="36"/>
      <c r="W416" s="31"/>
      <c r="X416" s="59"/>
      <c r="Y416" s="59" t="str">
        <f>IFERROR(VLOOKUP($A416,APOIO!$A:$A,1,FALSE),"ERRO")</f>
        <v>ERRO</v>
      </c>
      <c r="Z416"/>
    </row>
    <row r="417" spans="1:26" ht="15" x14ac:dyDescent="0.25">
      <c r="A417" s="94"/>
      <c r="B417" s="32" t="str">
        <f>IF($A417="","",VLOOKUP($A417,APOIO!$A:$E,2,FALSE))</f>
        <v/>
      </c>
      <c r="C417" s="94"/>
      <c r="D417" s="32" t="str">
        <f>IF($A417="","",INDEX(APOIO!$D:$D,MATCH(CONCATENATE($A417,"_",$B417,"_",$C417),APOIO!$F:$F,0)))</f>
        <v/>
      </c>
      <c r="E417" s="31"/>
      <c r="F417" s="31"/>
      <c r="G417" s="33"/>
      <c r="H417" s="105"/>
      <c r="I417" s="32" t="str">
        <f>IF($A417="","",VLOOKUP($H417,APOIO!$L:$M,2,FALSE))</f>
        <v/>
      </c>
      <c r="J417" s="31"/>
      <c r="K417" s="32" t="str">
        <f>IF($A417="","",VLOOKUP($J417,APOIO!$H:$J,2,FALSE))</f>
        <v/>
      </c>
      <c r="L417" s="32" t="str">
        <f>IF($A417="","",VLOOKUP($J417,APOIO!$H:$J,3,FALSE))</f>
        <v/>
      </c>
      <c r="M417" s="31"/>
      <c r="N417" s="34"/>
      <c r="O417" s="32"/>
      <c r="P417" s="32"/>
      <c r="Q417" s="32"/>
      <c r="R417" s="32"/>
      <c r="S417" s="35"/>
      <c r="T417" s="91"/>
      <c r="U417" s="60"/>
      <c r="V417" s="36"/>
      <c r="W417" s="31"/>
      <c r="X417" s="59"/>
      <c r="Y417" s="59" t="str">
        <f>IFERROR(VLOOKUP($A417,APOIO!$A:$A,1,FALSE),"ERRO")</f>
        <v>ERRO</v>
      </c>
      <c r="Z417"/>
    </row>
    <row r="418" spans="1:26" ht="15" x14ac:dyDescent="0.25">
      <c r="A418" s="94"/>
      <c r="B418" s="32" t="str">
        <f>IF($A418="","",VLOOKUP($A418,APOIO!$A:$E,2,FALSE))</f>
        <v/>
      </c>
      <c r="C418" s="94"/>
      <c r="D418" s="32" t="str">
        <f>IF($A418="","",INDEX(APOIO!$D:$D,MATCH(CONCATENATE($A418,"_",$B418,"_",$C418),APOIO!$F:$F,0)))</f>
        <v/>
      </c>
      <c r="E418" s="31"/>
      <c r="F418" s="31"/>
      <c r="G418" s="33"/>
      <c r="H418" s="105"/>
      <c r="I418" s="32" t="str">
        <f>IF($A418="","",VLOOKUP($H418,APOIO!$L:$M,2,FALSE))</f>
        <v/>
      </c>
      <c r="J418" s="31"/>
      <c r="K418" s="32" t="str">
        <f>IF($A418="","",VLOOKUP($J418,APOIO!$H:$J,2,FALSE))</f>
        <v/>
      </c>
      <c r="L418" s="32" t="str">
        <f>IF($A418="","",VLOOKUP($J418,APOIO!$H:$J,3,FALSE))</f>
        <v/>
      </c>
      <c r="M418" s="31"/>
      <c r="N418" s="34"/>
      <c r="O418" s="32"/>
      <c r="P418" s="32"/>
      <c r="Q418" s="32"/>
      <c r="R418" s="32"/>
      <c r="S418" s="35"/>
      <c r="T418" s="91"/>
      <c r="U418" s="60"/>
      <c r="V418" s="36"/>
      <c r="W418" s="31"/>
      <c r="X418" s="59"/>
      <c r="Y418" s="59" t="str">
        <f>IFERROR(VLOOKUP($A418,APOIO!$A:$A,1,FALSE),"ERRO")</f>
        <v>ERRO</v>
      </c>
      <c r="Z418"/>
    </row>
    <row r="419" spans="1:26" ht="15" x14ac:dyDescent="0.25">
      <c r="A419" s="94"/>
      <c r="B419" s="32" t="str">
        <f>IF($A419="","",VLOOKUP($A419,APOIO!$A:$E,2,FALSE))</f>
        <v/>
      </c>
      <c r="C419" s="94"/>
      <c r="D419" s="32" t="str">
        <f>IF($A419="","",INDEX(APOIO!$D:$D,MATCH(CONCATENATE($A419,"_",$B419,"_",$C419),APOIO!$F:$F,0)))</f>
        <v/>
      </c>
      <c r="E419" s="31"/>
      <c r="F419" s="31"/>
      <c r="G419" s="33"/>
      <c r="H419" s="105"/>
      <c r="I419" s="32" t="str">
        <f>IF($A419="","",VLOOKUP($H419,APOIO!$L:$M,2,FALSE))</f>
        <v/>
      </c>
      <c r="J419" s="31"/>
      <c r="K419" s="32" t="str">
        <f>IF($A419="","",VLOOKUP($J419,APOIO!$H:$J,2,FALSE))</f>
        <v/>
      </c>
      <c r="L419" s="32" t="str">
        <f>IF($A419="","",VLOOKUP($J419,APOIO!$H:$J,3,FALSE))</f>
        <v/>
      </c>
      <c r="M419" s="31"/>
      <c r="N419" s="34"/>
      <c r="O419" s="32"/>
      <c r="P419" s="32"/>
      <c r="Q419" s="32"/>
      <c r="R419" s="32"/>
      <c r="S419" s="35"/>
      <c r="T419" s="91"/>
      <c r="U419" s="60"/>
      <c r="V419" s="36"/>
      <c r="W419" s="31"/>
      <c r="X419" s="59"/>
      <c r="Y419" s="59" t="str">
        <f>IFERROR(VLOOKUP($A419,APOIO!$A:$A,1,FALSE),"ERRO")</f>
        <v>ERRO</v>
      </c>
      <c r="Z419"/>
    </row>
    <row r="420" spans="1:26" ht="15" x14ac:dyDescent="0.25">
      <c r="A420" s="94"/>
      <c r="B420" s="32" t="str">
        <f>IF($A420="","",VLOOKUP($A420,APOIO!$A:$E,2,FALSE))</f>
        <v/>
      </c>
      <c r="C420" s="94"/>
      <c r="D420" s="32" t="str">
        <f>IF($A420="","",INDEX(APOIO!$D:$D,MATCH(CONCATENATE($A420,"_",$B420,"_",$C420),APOIO!$F:$F,0)))</f>
        <v/>
      </c>
      <c r="E420" s="31"/>
      <c r="F420" s="31"/>
      <c r="G420" s="33"/>
      <c r="H420" s="105"/>
      <c r="I420" s="32" t="str">
        <f>IF($A420="","",VLOOKUP($H420,APOIO!$L:$M,2,FALSE))</f>
        <v/>
      </c>
      <c r="J420" s="31"/>
      <c r="K420" s="32" t="str">
        <f>IF($A420="","",VLOOKUP($J420,APOIO!$H:$J,2,FALSE))</f>
        <v/>
      </c>
      <c r="L420" s="32" t="str">
        <f>IF($A420="","",VLOOKUP($J420,APOIO!$H:$J,3,FALSE))</f>
        <v/>
      </c>
      <c r="M420" s="31"/>
      <c r="N420" s="34"/>
      <c r="O420" s="32"/>
      <c r="P420" s="32"/>
      <c r="Q420" s="32"/>
      <c r="R420" s="32"/>
      <c r="S420" s="35"/>
      <c r="T420" s="91"/>
      <c r="U420" s="60"/>
      <c r="V420" s="36"/>
      <c r="W420" s="31"/>
      <c r="X420" s="59"/>
      <c r="Y420" s="59" t="str">
        <f>IFERROR(VLOOKUP($A420,APOIO!$A:$A,1,FALSE),"ERRO")</f>
        <v>ERRO</v>
      </c>
      <c r="Z420"/>
    </row>
    <row r="421" spans="1:26" ht="15" x14ac:dyDescent="0.25">
      <c r="A421" s="94"/>
      <c r="B421" s="32" t="str">
        <f>IF($A421="","",VLOOKUP($A421,APOIO!$A:$E,2,FALSE))</f>
        <v/>
      </c>
      <c r="C421" s="94"/>
      <c r="D421" s="32" t="str">
        <f>IF($A421="","",INDEX(APOIO!$D:$D,MATCH(CONCATENATE($A421,"_",$B421,"_",$C421),APOIO!$F:$F,0)))</f>
        <v/>
      </c>
      <c r="E421" s="31"/>
      <c r="F421" s="31"/>
      <c r="G421" s="33"/>
      <c r="H421" s="105"/>
      <c r="I421" s="32" t="str">
        <f>IF($A421="","",VLOOKUP($H421,APOIO!$L:$M,2,FALSE))</f>
        <v/>
      </c>
      <c r="J421" s="31"/>
      <c r="K421" s="32" t="str">
        <f>IF($A421="","",VLOOKUP($J421,APOIO!$H:$J,2,FALSE))</f>
        <v/>
      </c>
      <c r="L421" s="32" t="str">
        <f>IF($A421="","",VLOOKUP($J421,APOIO!$H:$J,3,FALSE))</f>
        <v/>
      </c>
      <c r="M421" s="31"/>
      <c r="N421" s="34"/>
      <c r="O421" s="32"/>
      <c r="P421" s="32"/>
      <c r="Q421" s="32"/>
      <c r="R421" s="32"/>
      <c r="S421" s="35"/>
      <c r="T421" s="91"/>
      <c r="U421" s="60"/>
      <c r="V421" s="36"/>
      <c r="W421" s="31"/>
      <c r="X421" s="59"/>
      <c r="Y421" s="59" t="str">
        <f>IFERROR(VLOOKUP($A421,APOIO!$A:$A,1,FALSE),"ERRO")</f>
        <v>ERRO</v>
      </c>
      <c r="Z421"/>
    </row>
    <row r="422" spans="1:26" ht="15" x14ac:dyDescent="0.25">
      <c r="A422" s="94"/>
      <c r="B422" s="32" t="str">
        <f>IF($A422="","",VLOOKUP($A422,APOIO!$A:$E,2,FALSE))</f>
        <v/>
      </c>
      <c r="C422" s="94"/>
      <c r="D422" s="32" t="str">
        <f>IF($A422="","",INDEX(APOIO!$D:$D,MATCH(CONCATENATE($A422,"_",$B422,"_",$C422),APOIO!$F:$F,0)))</f>
        <v/>
      </c>
      <c r="E422" s="31"/>
      <c r="F422" s="31"/>
      <c r="G422" s="33"/>
      <c r="H422" s="105"/>
      <c r="I422" s="32" t="str">
        <f>IF($A422="","",VLOOKUP($H422,APOIO!$L:$M,2,FALSE))</f>
        <v/>
      </c>
      <c r="J422" s="31"/>
      <c r="K422" s="32" t="str">
        <f>IF($A422="","",VLOOKUP($J422,APOIO!$H:$J,2,FALSE))</f>
        <v/>
      </c>
      <c r="L422" s="32" t="str">
        <f>IF($A422="","",VLOOKUP($J422,APOIO!$H:$J,3,FALSE))</f>
        <v/>
      </c>
      <c r="M422" s="31"/>
      <c r="N422" s="34"/>
      <c r="O422" s="32"/>
      <c r="P422" s="32"/>
      <c r="Q422" s="32"/>
      <c r="R422" s="32"/>
      <c r="S422" s="35"/>
      <c r="T422" s="91"/>
      <c r="U422" s="60"/>
      <c r="V422" s="36"/>
      <c r="W422" s="31"/>
      <c r="X422" s="59"/>
      <c r="Y422" s="59" t="str">
        <f>IFERROR(VLOOKUP($A422,APOIO!$A:$A,1,FALSE),"ERRO")</f>
        <v>ERRO</v>
      </c>
      <c r="Z422"/>
    </row>
    <row r="423" spans="1:26" ht="15" x14ac:dyDescent="0.25">
      <c r="A423" s="94"/>
      <c r="B423" s="32" t="str">
        <f>IF($A423="","",VLOOKUP($A423,APOIO!$A:$E,2,FALSE))</f>
        <v/>
      </c>
      <c r="C423" s="94"/>
      <c r="D423" s="32" t="str">
        <f>IF($A423="","",INDEX(APOIO!$D:$D,MATCH(CONCATENATE($A423,"_",$B423,"_",$C423),APOIO!$F:$F,0)))</f>
        <v/>
      </c>
      <c r="E423" s="31"/>
      <c r="F423" s="31"/>
      <c r="G423" s="33"/>
      <c r="H423" s="105"/>
      <c r="I423" s="32" t="str">
        <f>IF($A423="","",VLOOKUP($H423,APOIO!$L:$M,2,FALSE))</f>
        <v/>
      </c>
      <c r="J423" s="31"/>
      <c r="K423" s="32" t="str">
        <f>IF($A423="","",VLOOKUP($J423,APOIO!$H:$J,2,FALSE))</f>
        <v/>
      </c>
      <c r="L423" s="32" t="str">
        <f>IF($A423="","",VLOOKUP($J423,APOIO!$H:$J,3,FALSE))</f>
        <v/>
      </c>
      <c r="M423" s="31"/>
      <c r="N423" s="34"/>
      <c r="O423" s="32"/>
      <c r="P423" s="32"/>
      <c r="Q423" s="32"/>
      <c r="R423" s="32"/>
      <c r="S423" s="35"/>
      <c r="T423" s="91"/>
      <c r="U423" s="60"/>
      <c r="V423" s="36"/>
      <c r="W423" s="31"/>
      <c r="X423" s="59"/>
      <c r="Y423" s="59" t="str">
        <f>IFERROR(VLOOKUP($A423,APOIO!$A:$A,1,FALSE),"ERRO")</f>
        <v>ERRO</v>
      </c>
      <c r="Z423"/>
    </row>
    <row r="424" spans="1:26" ht="15" x14ac:dyDescent="0.25">
      <c r="A424" s="94"/>
      <c r="B424" s="32" t="str">
        <f>IF($A424="","",VLOOKUP($A424,APOIO!$A:$E,2,FALSE))</f>
        <v/>
      </c>
      <c r="C424" s="94"/>
      <c r="D424" s="32" t="str">
        <f>IF($A424="","",INDEX(APOIO!$D:$D,MATCH(CONCATENATE($A424,"_",$B424,"_",$C424),APOIO!$F:$F,0)))</f>
        <v/>
      </c>
      <c r="E424" s="31"/>
      <c r="F424" s="31"/>
      <c r="G424" s="33"/>
      <c r="H424" s="105"/>
      <c r="I424" s="32" t="str">
        <f>IF($A424="","",VLOOKUP($H424,APOIO!$L:$M,2,FALSE))</f>
        <v/>
      </c>
      <c r="J424" s="31"/>
      <c r="K424" s="32" t="str">
        <f>IF($A424="","",VLOOKUP($J424,APOIO!$H:$J,2,FALSE))</f>
        <v/>
      </c>
      <c r="L424" s="32" t="str">
        <f>IF($A424="","",VLOOKUP($J424,APOIO!$H:$J,3,FALSE))</f>
        <v/>
      </c>
      <c r="M424" s="31"/>
      <c r="N424" s="34"/>
      <c r="O424" s="32"/>
      <c r="P424" s="32"/>
      <c r="Q424" s="32"/>
      <c r="R424" s="32"/>
      <c r="S424" s="35"/>
      <c r="T424" s="91"/>
      <c r="U424" s="60"/>
      <c r="V424" s="36"/>
      <c r="W424" s="31"/>
      <c r="X424" s="59"/>
      <c r="Y424" s="59" t="str">
        <f>IFERROR(VLOOKUP($A424,APOIO!$A:$A,1,FALSE),"ERRO")</f>
        <v>ERRO</v>
      </c>
      <c r="Z424"/>
    </row>
    <row r="425" spans="1:26" ht="15" x14ac:dyDescent="0.25">
      <c r="A425" s="94"/>
      <c r="B425" s="32" t="str">
        <f>IF($A425="","",VLOOKUP($A425,APOIO!$A:$E,2,FALSE))</f>
        <v/>
      </c>
      <c r="C425" s="94"/>
      <c r="D425" s="32" t="str">
        <f>IF($A425="","",INDEX(APOIO!$D:$D,MATCH(CONCATENATE($A425,"_",$B425,"_",$C425),APOIO!$F:$F,0)))</f>
        <v/>
      </c>
      <c r="E425" s="31"/>
      <c r="F425" s="31"/>
      <c r="G425" s="33"/>
      <c r="H425" s="105"/>
      <c r="I425" s="32" t="str">
        <f>IF($A425="","",VLOOKUP($H425,APOIO!$L:$M,2,FALSE))</f>
        <v/>
      </c>
      <c r="J425" s="31"/>
      <c r="K425" s="32" t="str">
        <f>IF($A425="","",VLOOKUP($J425,APOIO!$H:$J,2,FALSE))</f>
        <v/>
      </c>
      <c r="L425" s="32" t="str">
        <f>IF($A425="","",VLOOKUP($J425,APOIO!$H:$J,3,FALSE))</f>
        <v/>
      </c>
      <c r="M425" s="31"/>
      <c r="N425" s="34"/>
      <c r="O425" s="32"/>
      <c r="P425" s="32"/>
      <c r="Q425" s="32"/>
      <c r="R425" s="32"/>
      <c r="S425" s="35"/>
      <c r="T425" s="91"/>
      <c r="U425" s="60"/>
      <c r="V425" s="36"/>
      <c r="W425" s="31"/>
      <c r="X425" s="59"/>
      <c r="Y425" s="59" t="str">
        <f>IFERROR(VLOOKUP($A425,APOIO!$A:$A,1,FALSE),"ERRO")</f>
        <v>ERRO</v>
      </c>
      <c r="Z425"/>
    </row>
    <row r="426" spans="1:26" ht="15" x14ac:dyDescent="0.25">
      <c r="A426" s="94"/>
      <c r="B426" s="32" t="str">
        <f>IF($A426="","",VLOOKUP($A426,APOIO!$A:$E,2,FALSE))</f>
        <v/>
      </c>
      <c r="C426" s="94"/>
      <c r="D426" s="32" t="str">
        <f>IF($A426="","",INDEX(APOIO!$D:$D,MATCH(CONCATENATE($A426,"_",$B426,"_",$C426),APOIO!$F:$F,0)))</f>
        <v/>
      </c>
      <c r="E426" s="31"/>
      <c r="F426" s="31"/>
      <c r="G426" s="33"/>
      <c r="H426" s="105"/>
      <c r="I426" s="32" t="str">
        <f>IF($A426="","",VLOOKUP($H426,APOIO!$L:$M,2,FALSE))</f>
        <v/>
      </c>
      <c r="J426" s="31"/>
      <c r="K426" s="32" t="str">
        <f>IF($A426="","",VLOOKUP($J426,APOIO!$H:$J,2,FALSE))</f>
        <v/>
      </c>
      <c r="L426" s="32" t="str">
        <f>IF($A426="","",VLOOKUP($J426,APOIO!$H:$J,3,FALSE))</f>
        <v/>
      </c>
      <c r="M426" s="31"/>
      <c r="N426" s="34"/>
      <c r="O426" s="32"/>
      <c r="P426" s="32"/>
      <c r="Q426" s="32"/>
      <c r="R426" s="32"/>
      <c r="S426" s="35"/>
      <c r="T426" s="91"/>
      <c r="U426" s="60"/>
      <c r="V426" s="36"/>
      <c r="W426" s="31"/>
      <c r="X426" s="59"/>
      <c r="Y426" s="59" t="str">
        <f>IFERROR(VLOOKUP($A426,APOIO!$A:$A,1,FALSE),"ERRO")</f>
        <v>ERRO</v>
      </c>
      <c r="Z426"/>
    </row>
    <row r="427" spans="1:26" ht="15" x14ac:dyDescent="0.25">
      <c r="A427" s="94"/>
      <c r="B427" s="32" t="str">
        <f>IF($A427="","",VLOOKUP($A427,APOIO!$A:$E,2,FALSE))</f>
        <v/>
      </c>
      <c r="C427" s="94"/>
      <c r="D427" s="32" t="str">
        <f>IF($A427="","",INDEX(APOIO!$D:$D,MATCH(CONCATENATE($A427,"_",$B427,"_",$C427),APOIO!$F:$F,0)))</f>
        <v/>
      </c>
      <c r="E427" s="31"/>
      <c r="F427" s="31"/>
      <c r="G427" s="33"/>
      <c r="H427" s="105"/>
      <c r="I427" s="32" t="str">
        <f>IF($A427="","",VLOOKUP($H427,APOIO!$L:$M,2,FALSE))</f>
        <v/>
      </c>
      <c r="J427" s="31"/>
      <c r="K427" s="32" t="str">
        <f>IF($A427="","",VLOOKUP($J427,APOIO!$H:$J,2,FALSE))</f>
        <v/>
      </c>
      <c r="L427" s="32" t="str">
        <f>IF($A427="","",VLOOKUP($J427,APOIO!$H:$J,3,FALSE))</f>
        <v/>
      </c>
      <c r="M427" s="31"/>
      <c r="N427" s="34"/>
      <c r="O427" s="32"/>
      <c r="P427" s="32"/>
      <c r="Q427" s="32"/>
      <c r="R427" s="32"/>
      <c r="S427" s="35"/>
      <c r="T427" s="91"/>
      <c r="U427" s="60"/>
      <c r="V427" s="36"/>
      <c r="W427" s="31"/>
      <c r="X427" s="59"/>
      <c r="Y427" s="59" t="str">
        <f>IFERROR(VLOOKUP($A427,APOIO!$A:$A,1,FALSE),"ERRO")</f>
        <v>ERRO</v>
      </c>
      <c r="Z427"/>
    </row>
    <row r="428" spans="1:26" ht="15" x14ac:dyDescent="0.25">
      <c r="A428" s="94"/>
      <c r="B428" s="32" t="str">
        <f>IF($A428="","",VLOOKUP($A428,APOIO!$A:$E,2,FALSE))</f>
        <v/>
      </c>
      <c r="C428" s="94"/>
      <c r="D428" s="32" t="str">
        <f>IF($A428="","",INDEX(APOIO!$D:$D,MATCH(CONCATENATE($A428,"_",$B428,"_",$C428),APOIO!$F:$F,0)))</f>
        <v/>
      </c>
      <c r="E428" s="31"/>
      <c r="F428" s="31"/>
      <c r="G428" s="33"/>
      <c r="H428" s="105"/>
      <c r="I428" s="32" t="str">
        <f>IF($A428="","",VLOOKUP($H428,APOIO!$L:$M,2,FALSE))</f>
        <v/>
      </c>
      <c r="J428" s="31"/>
      <c r="K428" s="32" t="str">
        <f>IF($A428="","",VLOOKUP($J428,APOIO!$H:$J,2,FALSE))</f>
        <v/>
      </c>
      <c r="L428" s="32" t="str">
        <f>IF($A428="","",VLOOKUP($J428,APOIO!$H:$J,3,FALSE))</f>
        <v/>
      </c>
      <c r="M428" s="31"/>
      <c r="N428" s="34"/>
      <c r="O428" s="32"/>
      <c r="P428" s="32"/>
      <c r="Q428" s="32"/>
      <c r="R428" s="32"/>
      <c r="S428" s="35"/>
      <c r="T428" s="91"/>
      <c r="U428" s="60"/>
      <c r="V428" s="36"/>
      <c r="W428" s="31"/>
      <c r="X428" s="59"/>
      <c r="Y428" s="59" t="str">
        <f>IFERROR(VLOOKUP($A428,APOIO!$A:$A,1,FALSE),"ERRO")</f>
        <v>ERRO</v>
      </c>
      <c r="Z428"/>
    </row>
    <row r="429" spans="1:26" ht="15" x14ac:dyDescent="0.25">
      <c r="A429" s="94"/>
      <c r="B429" s="32" t="str">
        <f>IF($A429="","",VLOOKUP($A429,APOIO!$A:$E,2,FALSE))</f>
        <v/>
      </c>
      <c r="C429" s="94"/>
      <c r="D429" s="32" t="str">
        <f>IF($A429="","",INDEX(APOIO!$D:$D,MATCH(CONCATENATE($A429,"_",$B429,"_",$C429),APOIO!$F:$F,0)))</f>
        <v/>
      </c>
      <c r="E429" s="31"/>
      <c r="F429" s="31"/>
      <c r="G429" s="33"/>
      <c r="H429" s="105"/>
      <c r="I429" s="32" t="str">
        <f>IF($A429="","",VLOOKUP($H429,APOIO!$L:$M,2,FALSE))</f>
        <v/>
      </c>
      <c r="J429" s="31"/>
      <c r="K429" s="32" t="str">
        <f>IF($A429="","",VLOOKUP($J429,APOIO!$H:$J,2,FALSE))</f>
        <v/>
      </c>
      <c r="L429" s="32" t="str">
        <f>IF($A429="","",VLOOKUP($J429,APOIO!$H:$J,3,FALSE))</f>
        <v/>
      </c>
      <c r="M429" s="31"/>
      <c r="N429" s="34"/>
      <c r="O429" s="32"/>
      <c r="P429" s="32"/>
      <c r="Q429" s="32"/>
      <c r="R429" s="32"/>
      <c r="S429" s="35"/>
      <c r="T429" s="91"/>
      <c r="U429" s="60"/>
      <c r="V429" s="36"/>
      <c r="W429" s="31"/>
      <c r="X429" s="59"/>
      <c r="Y429" s="59" t="str">
        <f>IFERROR(VLOOKUP($A429,APOIO!$A:$A,1,FALSE),"ERRO")</f>
        <v>ERRO</v>
      </c>
      <c r="Z429"/>
    </row>
    <row r="430" spans="1:26" ht="15" x14ac:dyDescent="0.25">
      <c r="A430" s="94"/>
      <c r="B430" s="32" t="str">
        <f>IF($A430="","",VLOOKUP($A430,APOIO!$A:$E,2,FALSE))</f>
        <v/>
      </c>
      <c r="C430" s="94"/>
      <c r="D430" s="32" t="str">
        <f>IF($A430="","",INDEX(APOIO!$D:$D,MATCH(CONCATENATE($A430,"_",$B430,"_",$C430),APOIO!$F:$F,0)))</f>
        <v/>
      </c>
      <c r="E430" s="31"/>
      <c r="F430" s="31"/>
      <c r="G430" s="33"/>
      <c r="H430" s="105"/>
      <c r="I430" s="32" t="str">
        <f>IF($A430="","",VLOOKUP($H430,APOIO!$L:$M,2,FALSE))</f>
        <v/>
      </c>
      <c r="J430" s="31"/>
      <c r="K430" s="32" t="str">
        <f>IF($A430="","",VLOOKUP($J430,APOIO!$H:$J,2,FALSE))</f>
        <v/>
      </c>
      <c r="L430" s="32" t="str">
        <f>IF($A430="","",VLOOKUP($J430,APOIO!$H:$J,3,FALSE))</f>
        <v/>
      </c>
      <c r="M430" s="31"/>
      <c r="N430" s="34"/>
      <c r="O430" s="32"/>
      <c r="P430" s="32"/>
      <c r="Q430" s="32"/>
      <c r="R430" s="32"/>
      <c r="S430" s="35"/>
      <c r="T430" s="91"/>
      <c r="U430" s="60"/>
      <c r="V430" s="36"/>
      <c r="W430" s="31"/>
      <c r="X430" s="59"/>
      <c r="Y430" s="59" t="str">
        <f>IFERROR(VLOOKUP($A430,APOIO!$A:$A,1,FALSE),"ERRO")</f>
        <v>ERRO</v>
      </c>
      <c r="Z430"/>
    </row>
    <row r="431" spans="1:26" ht="15" x14ac:dyDescent="0.25">
      <c r="A431" s="94"/>
      <c r="B431" s="32" t="str">
        <f>IF($A431="","",VLOOKUP($A431,APOIO!$A:$E,2,FALSE))</f>
        <v/>
      </c>
      <c r="C431" s="94"/>
      <c r="D431" s="32" t="str">
        <f>IF($A431="","",INDEX(APOIO!$D:$D,MATCH(CONCATENATE($A431,"_",$B431,"_",$C431),APOIO!$F:$F,0)))</f>
        <v/>
      </c>
      <c r="E431" s="31"/>
      <c r="F431" s="31"/>
      <c r="G431" s="33"/>
      <c r="H431" s="105"/>
      <c r="I431" s="32" t="str">
        <f>IF($A431="","",VLOOKUP($H431,APOIO!$L:$M,2,FALSE))</f>
        <v/>
      </c>
      <c r="J431" s="31"/>
      <c r="K431" s="32" t="str">
        <f>IF($A431="","",VLOOKUP($J431,APOIO!$H:$J,2,FALSE))</f>
        <v/>
      </c>
      <c r="L431" s="32" t="str">
        <f>IF($A431="","",VLOOKUP($J431,APOIO!$H:$J,3,FALSE))</f>
        <v/>
      </c>
      <c r="M431" s="31"/>
      <c r="N431" s="34"/>
      <c r="O431" s="32"/>
      <c r="P431" s="32"/>
      <c r="Q431" s="32"/>
      <c r="R431" s="32"/>
      <c r="S431" s="35"/>
      <c r="T431" s="91"/>
      <c r="U431" s="60"/>
      <c r="V431" s="36"/>
      <c r="W431" s="31"/>
      <c r="X431" s="59"/>
      <c r="Y431" s="59" t="str">
        <f>IFERROR(VLOOKUP($A431,APOIO!$A:$A,1,FALSE),"ERRO")</f>
        <v>ERRO</v>
      </c>
      <c r="Z431"/>
    </row>
    <row r="432" spans="1:26" ht="15" x14ac:dyDescent="0.25">
      <c r="A432" s="94"/>
      <c r="B432" s="32" t="str">
        <f>IF($A432="","",VLOOKUP($A432,APOIO!$A:$E,2,FALSE))</f>
        <v/>
      </c>
      <c r="C432" s="94"/>
      <c r="D432" s="32" t="str">
        <f>IF($A432="","",INDEX(APOIO!$D:$D,MATCH(CONCATENATE($A432,"_",$B432,"_",$C432),APOIO!$F:$F,0)))</f>
        <v/>
      </c>
      <c r="E432" s="31"/>
      <c r="F432" s="31"/>
      <c r="G432" s="33"/>
      <c r="H432" s="105"/>
      <c r="I432" s="32" t="str">
        <f>IF($A432="","",VLOOKUP($H432,APOIO!$L:$M,2,FALSE))</f>
        <v/>
      </c>
      <c r="J432" s="31"/>
      <c r="K432" s="32" t="str">
        <f>IF($A432="","",VLOOKUP($J432,APOIO!$H:$J,2,FALSE))</f>
        <v/>
      </c>
      <c r="L432" s="32" t="str">
        <f>IF($A432="","",VLOOKUP($J432,APOIO!$H:$J,3,FALSE))</f>
        <v/>
      </c>
      <c r="M432" s="31"/>
      <c r="N432" s="34"/>
      <c r="O432" s="32"/>
      <c r="P432" s="32"/>
      <c r="Q432" s="32"/>
      <c r="R432" s="32"/>
      <c r="S432" s="35"/>
      <c r="T432" s="91"/>
      <c r="U432" s="60"/>
      <c r="V432" s="36"/>
      <c r="W432" s="31"/>
      <c r="X432" s="59"/>
      <c r="Y432" s="59" t="str">
        <f>IFERROR(VLOOKUP($A432,APOIO!$A:$A,1,FALSE),"ERRO")</f>
        <v>ERRO</v>
      </c>
      <c r="Z432"/>
    </row>
    <row r="433" spans="1:26" ht="15" x14ac:dyDescent="0.25">
      <c r="A433" s="94"/>
      <c r="B433" s="32" t="str">
        <f>IF($A433="","",VLOOKUP($A433,APOIO!$A:$E,2,FALSE))</f>
        <v/>
      </c>
      <c r="C433" s="94"/>
      <c r="D433" s="32" t="str">
        <f>IF($A433="","",INDEX(APOIO!$D:$D,MATCH(CONCATENATE($A433,"_",$B433,"_",$C433),APOIO!$F:$F,0)))</f>
        <v/>
      </c>
      <c r="E433" s="31"/>
      <c r="F433" s="31"/>
      <c r="G433" s="33"/>
      <c r="H433" s="105"/>
      <c r="I433" s="32" t="str">
        <f>IF($A433="","",VLOOKUP($H433,APOIO!$L:$M,2,FALSE))</f>
        <v/>
      </c>
      <c r="J433" s="31"/>
      <c r="K433" s="32" t="str">
        <f>IF($A433="","",VLOOKUP($J433,APOIO!$H:$J,2,FALSE))</f>
        <v/>
      </c>
      <c r="L433" s="32" t="str">
        <f>IF($A433="","",VLOOKUP($J433,APOIO!$H:$J,3,FALSE))</f>
        <v/>
      </c>
      <c r="M433" s="31"/>
      <c r="N433" s="34"/>
      <c r="O433" s="32"/>
      <c r="P433" s="32"/>
      <c r="Q433" s="32"/>
      <c r="R433" s="32"/>
      <c r="S433" s="35"/>
      <c r="T433" s="91"/>
      <c r="U433" s="60"/>
      <c r="V433" s="36"/>
      <c r="W433" s="31"/>
      <c r="X433" s="59"/>
      <c r="Y433" s="59" t="str">
        <f>IFERROR(VLOOKUP($A433,APOIO!$A:$A,1,FALSE),"ERRO")</f>
        <v>ERRO</v>
      </c>
      <c r="Z433"/>
    </row>
    <row r="434" spans="1:26" ht="15" x14ac:dyDescent="0.25">
      <c r="A434" s="94"/>
      <c r="B434" s="32" t="str">
        <f>IF($A434="","",VLOOKUP($A434,APOIO!$A:$E,2,FALSE))</f>
        <v/>
      </c>
      <c r="C434" s="94"/>
      <c r="D434" s="32" t="str">
        <f>IF($A434="","",INDEX(APOIO!$D:$D,MATCH(CONCATENATE($A434,"_",$B434,"_",$C434),APOIO!$F:$F,0)))</f>
        <v/>
      </c>
      <c r="E434" s="31"/>
      <c r="F434" s="31"/>
      <c r="G434" s="33"/>
      <c r="H434" s="105"/>
      <c r="I434" s="32" t="str">
        <f>IF($A434="","",VLOOKUP($H434,APOIO!$L:$M,2,FALSE))</f>
        <v/>
      </c>
      <c r="J434" s="31"/>
      <c r="K434" s="32" t="str">
        <f>IF($A434="","",VLOOKUP($J434,APOIO!$H:$J,2,FALSE))</f>
        <v/>
      </c>
      <c r="L434" s="32" t="str">
        <f>IF($A434="","",VLOOKUP($J434,APOIO!$H:$J,3,FALSE))</f>
        <v/>
      </c>
      <c r="M434" s="31"/>
      <c r="N434" s="34"/>
      <c r="O434" s="32"/>
      <c r="P434" s="32"/>
      <c r="Q434" s="32"/>
      <c r="R434" s="32"/>
      <c r="S434" s="35"/>
      <c r="T434" s="91"/>
      <c r="U434" s="60"/>
      <c r="V434" s="36"/>
      <c r="W434" s="31"/>
      <c r="X434" s="59"/>
      <c r="Y434" s="59" t="str">
        <f>IFERROR(VLOOKUP($A434,APOIO!$A:$A,1,FALSE),"ERRO")</f>
        <v>ERRO</v>
      </c>
      <c r="Z434"/>
    </row>
    <row r="435" spans="1:26" ht="15" x14ac:dyDescent="0.25">
      <c r="A435" s="94"/>
      <c r="B435" s="32" t="str">
        <f>IF($A435="","",VLOOKUP($A435,APOIO!$A:$E,2,FALSE))</f>
        <v/>
      </c>
      <c r="C435" s="94"/>
      <c r="D435" s="32" t="str">
        <f>IF($A435="","",INDEX(APOIO!$D:$D,MATCH(CONCATENATE($A435,"_",$B435,"_",$C435),APOIO!$F:$F,0)))</f>
        <v/>
      </c>
      <c r="E435" s="31"/>
      <c r="F435" s="31"/>
      <c r="G435" s="33"/>
      <c r="H435" s="105"/>
      <c r="I435" s="32" t="str">
        <f>IF($A435="","",VLOOKUP($H435,APOIO!$L:$M,2,FALSE))</f>
        <v/>
      </c>
      <c r="J435" s="31"/>
      <c r="K435" s="32" t="str">
        <f>IF($A435="","",VLOOKUP($J435,APOIO!$H:$J,2,FALSE))</f>
        <v/>
      </c>
      <c r="L435" s="32" t="str">
        <f>IF($A435="","",VLOOKUP($J435,APOIO!$H:$J,3,FALSE))</f>
        <v/>
      </c>
      <c r="M435" s="31"/>
      <c r="N435" s="34"/>
      <c r="O435" s="32"/>
      <c r="P435" s="32"/>
      <c r="Q435" s="32"/>
      <c r="R435" s="32"/>
      <c r="S435" s="35"/>
      <c r="T435" s="91"/>
      <c r="U435" s="60"/>
      <c r="V435" s="36"/>
      <c r="W435" s="31"/>
      <c r="X435" s="59"/>
      <c r="Y435" s="59" t="str">
        <f>IFERROR(VLOOKUP($A435,APOIO!$A:$A,1,FALSE),"ERRO")</f>
        <v>ERRO</v>
      </c>
      <c r="Z435"/>
    </row>
    <row r="436" spans="1:26" ht="15" x14ac:dyDescent="0.25">
      <c r="A436" s="94"/>
      <c r="B436" s="32" t="str">
        <f>IF($A436="","",VLOOKUP($A436,APOIO!$A:$E,2,FALSE))</f>
        <v/>
      </c>
      <c r="C436" s="94"/>
      <c r="D436" s="32" t="str">
        <f>IF($A436="","",INDEX(APOIO!$D:$D,MATCH(CONCATENATE($A436,"_",$B436,"_",$C436),APOIO!$F:$F,0)))</f>
        <v/>
      </c>
      <c r="E436" s="31"/>
      <c r="F436" s="31"/>
      <c r="G436" s="33"/>
      <c r="H436" s="105"/>
      <c r="I436" s="32" t="str">
        <f>IF($A436="","",VLOOKUP($H436,APOIO!$L:$M,2,FALSE))</f>
        <v/>
      </c>
      <c r="J436" s="31"/>
      <c r="K436" s="32" t="str">
        <f>IF($A436="","",VLOOKUP($J436,APOIO!$H:$J,2,FALSE))</f>
        <v/>
      </c>
      <c r="L436" s="32" t="str">
        <f>IF($A436="","",VLOOKUP($J436,APOIO!$H:$J,3,FALSE))</f>
        <v/>
      </c>
      <c r="M436" s="31"/>
      <c r="N436" s="34"/>
      <c r="O436" s="32"/>
      <c r="P436" s="32"/>
      <c r="Q436" s="32"/>
      <c r="R436" s="32"/>
      <c r="S436" s="35"/>
      <c r="T436" s="91"/>
      <c r="U436" s="60"/>
      <c r="V436" s="36"/>
      <c r="W436" s="31"/>
      <c r="X436" s="59"/>
      <c r="Y436" s="59" t="str">
        <f>IFERROR(VLOOKUP($A436,APOIO!$A:$A,1,FALSE),"ERRO")</f>
        <v>ERRO</v>
      </c>
      <c r="Z436"/>
    </row>
    <row r="437" spans="1:26" ht="15" x14ac:dyDescent="0.25">
      <c r="A437" s="94"/>
      <c r="B437" s="32" t="str">
        <f>IF($A437="","",VLOOKUP($A437,APOIO!$A:$E,2,FALSE))</f>
        <v/>
      </c>
      <c r="C437" s="94"/>
      <c r="D437" s="32" t="str">
        <f>IF($A437="","",INDEX(APOIO!$D:$D,MATCH(CONCATENATE($A437,"_",$B437,"_",$C437),APOIO!$F:$F,0)))</f>
        <v/>
      </c>
      <c r="E437" s="31"/>
      <c r="F437" s="31"/>
      <c r="G437" s="33"/>
      <c r="H437" s="105"/>
      <c r="I437" s="32" t="str">
        <f>IF($A437="","",VLOOKUP($H437,APOIO!$L:$M,2,FALSE))</f>
        <v/>
      </c>
      <c r="J437" s="31"/>
      <c r="K437" s="32" t="str">
        <f>IF($A437="","",VLOOKUP($J437,APOIO!$H:$J,2,FALSE))</f>
        <v/>
      </c>
      <c r="L437" s="32" t="str">
        <f>IF($A437="","",VLOOKUP($J437,APOIO!$H:$J,3,FALSE))</f>
        <v/>
      </c>
      <c r="M437" s="31"/>
      <c r="N437" s="34"/>
      <c r="O437" s="32"/>
      <c r="P437" s="32"/>
      <c r="Q437" s="32"/>
      <c r="R437" s="32"/>
      <c r="S437" s="35"/>
      <c r="T437" s="91"/>
      <c r="U437" s="60"/>
      <c r="V437" s="36"/>
      <c r="W437" s="31"/>
      <c r="X437" s="59"/>
      <c r="Y437" s="59" t="str">
        <f>IFERROR(VLOOKUP($A437,APOIO!$A:$A,1,FALSE),"ERRO")</f>
        <v>ERRO</v>
      </c>
      <c r="Z437"/>
    </row>
    <row r="438" spans="1:26" ht="15" x14ac:dyDescent="0.25">
      <c r="A438" s="94"/>
      <c r="B438" s="32" t="str">
        <f>IF($A438="","",VLOOKUP($A438,APOIO!$A:$E,2,FALSE))</f>
        <v/>
      </c>
      <c r="C438" s="94"/>
      <c r="D438" s="32" t="str">
        <f>IF($A438="","",INDEX(APOIO!$D:$D,MATCH(CONCATENATE($A438,"_",$B438,"_",$C438),APOIO!$F:$F,0)))</f>
        <v/>
      </c>
      <c r="E438" s="31"/>
      <c r="F438" s="31"/>
      <c r="G438" s="33"/>
      <c r="H438" s="105"/>
      <c r="I438" s="32" t="str">
        <f>IF($A438="","",VLOOKUP($H438,APOIO!$L:$M,2,FALSE))</f>
        <v/>
      </c>
      <c r="J438" s="31"/>
      <c r="K438" s="32" t="str">
        <f>IF($A438="","",VLOOKUP($J438,APOIO!$H:$J,2,FALSE))</f>
        <v/>
      </c>
      <c r="L438" s="32" t="str">
        <f>IF($A438="","",VLOOKUP($J438,APOIO!$H:$J,3,FALSE))</f>
        <v/>
      </c>
      <c r="M438" s="31"/>
      <c r="N438" s="34"/>
      <c r="O438" s="32"/>
      <c r="P438" s="32"/>
      <c r="Q438" s="32"/>
      <c r="R438" s="32"/>
      <c r="S438" s="35"/>
      <c r="T438" s="91"/>
      <c r="U438" s="60"/>
      <c r="V438" s="36"/>
      <c r="W438" s="31"/>
      <c r="X438" s="59"/>
      <c r="Y438" s="59" t="str">
        <f>IFERROR(VLOOKUP($A438,APOIO!$A:$A,1,FALSE),"ERRO")</f>
        <v>ERRO</v>
      </c>
      <c r="Z438"/>
    </row>
    <row r="439" spans="1:26" ht="15" x14ac:dyDescent="0.25">
      <c r="A439" s="94"/>
      <c r="B439" s="32" t="str">
        <f>IF($A439="","",VLOOKUP($A439,APOIO!$A:$E,2,FALSE))</f>
        <v/>
      </c>
      <c r="C439" s="94"/>
      <c r="D439" s="32" t="str">
        <f>IF($A439="","",INDEX(APOIO!$D:$D,MATCH(CONCATENATE($A439,"_",$B439,"_",$C439),APOIO!$F:$F,0)))</f>
        <v/>
      </c>
      <c r="E439" s="31"/>
      <c r="F439" s="31"/>
      <c r="G439" s="33"/>
      <c r="H439" s="105"/>
      <c r="I439" s="32" t="str">
        <f>IF($A439="","",VLOOKUP($H439,APOIO!$L:$M,2,FALSE))</f>
        <v/>
      </c>
      <c r="J439" s="31"/>
      <c r="K439" s="32" t="str">
        <f>IF($A439="","",VLOOKUP($J439,APOIO!$H:$J,2,FALSE))</f>
        <v/>
      </c>
      <c r="L439" s="32" t="str">
        <f>IF($A439="","",VLOOKUP($J439,APOIO!$H:$J,3,FALSE))</f>
        <v/>
      </c>
      <c r="M439" s="31"/>
      <c r="N439" s="34"/>
      <c r="O439" s="32"/>
      <c r="P439" s="32"/>
      <c r="Q439" s="32"/>
      <c r="R439" s="32"/>
      <c r="S439" s="35"/>
      <c r="T439" s="91"/>
      <c r="U439" s="60"/>
      <c r="V439" s="36"/>
      <c r="W439" s="31"/>
      <c r="X439" s="59"/>
      <c r="Y439" s="59" t="str">
        <f>IFERROR(VLOOKUP($A439,APOIO!$A:$A,1,FALSE),"ERRO")</f>
        <v>ERRO</v>
      </c>
      <c r="Z439"/>
    </row>
    <row r="440" spans="1:26" ht="15" x14ac:dyDescent="0.25">
      <c r="A440" s="94"/>
      <c r="B440" s="32" t="str">
        <f>IF($A440="","",VLOOKUP($A440,APOIO!$A:$E,2,FALSE))</f>
        <v/>
      </c>
      <c r="C440" s="94"/>
      <c r="D440" s="32" t="str">
        <f>IF($A440="","",INDEX(APOIO!$D:$D,MATCH(CONCATENATE($A440,"_",$B440,"_",$C440),APOIO!$F:$F,0)))</f>
        <v/>
      </c>
      <c r="E440" s="31"/>
      <c r="F440" s="31"/>
      <c r="G440" s="33"/>
      <c r="H440" s="105"/>
      <c r="I440" s="32" t="str">
        <f>IF($A440="","",VLOOKUP($H440,APOIO!$L:$M,2,FALSE))</f>
        <v/>
      </c>
      <c r="J440" s="31"/>
      <c r="K440" s="32" t="str">
        <f>IF($A440="","",VLOOKUP($J440,APOIO!$H:$J,2,FALSE))</f>
        <v/>
      </c>
      <c r="L440" s="32" t="str">
        <f>IF($A440="","",VLOOKUP($J440,APOIO!$H:$J,3,FALSE))</f>
        <v/>
      </c>
      <c r="M440" s="31"/>
      <c r="N440" s="34"/>
      <c r="O440" s="32"/>
      <c r="P440" s="32"/>
      <c r="Q440" s="32"/>
      <c r="R440" s="32"/>
      <c r="S440" s="35"/>
      <c r="T440" s="91"/>
      <c r="U440" s="60"/>
      <c r="V440" s="36"/>
      <c r="W440" s="31"/>
      <c r="X440" s="59"/>
      <c r="Y440" s="59" t="str">
        <f>IFERROR(VLOOKUP($A440,APOIO!$A:$A,1,FALSE),"ERRO")</f>
        <v>ERRO</v>
      </c>
      <c r="Z440"/>
    </row>
    <row r="441" spans="1:26" ht="15" x14ac:dyDescent="0.25">
      <c r="A441" s="94"/>
      <c r="B441" s="32" t="str">
        <f>IF($A441="","",VLOOKUP($A441,APOIO!$A:$E,2,FALSE))</f>
        <v/>
      </c>
      <c r="C441" s="94"/>
      <c r="D441" s="32" t="str">
        <f>IF($A441="","",INDEX(APOIO!$D:$D,MATCH(CONCATENATE($A441,"_",$B441,"_",$C441),APOIO!$F:$F,0)))</f>
        <v/>
      </c>
      <c r="E441" s="31"/>
      <c r="F441" s="31"/>
      <c r="G441" s="33"/>
      <c r="H441" s="105"/>
      <c r="I441" s="32" t="str">
        <f>IF($A441="","",VLOOKUP($H441,APOIO!$L:$M,2,FALSE))</f>
        <v/>
      </c>
      <c r="J441" s="31"/>
      <c r="K441" s="32" t="str">
        <f>IF($A441="","",VLOOKUP($J441,APOIO!$H:$J,2,FALSE))</f>
        <v/>
      </c>
      <c r="L441" s="32" t="str">
        <f>IF($A441="","",VLOOKUP($J441,APOIO!$H:$J,3,FALSE))</f>
        <v/>
      </c>
      <c r="M441" s="31"/>
      <c r="N441" s="34"/>
      <c r="O441" s="32"/>
      <c r="P441" s="32"/>
      <c r="Q441" s="32"/>
      <c r="R441" s="32"/>
      <c r="S441" s="35"/>
      <c r="T441" s="91"/>
      <c r="U441" s="60"/>
      <c r="V441" s="36"/>
      <c r="W441" s="31"/>
      <c r="X441" s="59"/>
      <c r="Y441" s="59" t="str">
        <f>IFERROR(VLOOKUP($A441,APOIO!$A:$A,1,FALSE),"ERRO")</f>
        <v>ERRO</v>
      </c>
      <c r="Z441"/>
    </row>
    <row r="442" spans="1:26" ht="15" x14ac:dyDescent="0.25">
      <c r="A442" s="94"/>
      <c r="B442" s="32" t="str">
        <f>IF($A442="","",VLOOKUP($A442,APOIO!$A:$E,2,FALSE))</f>
        <v/>
      </c>
      <c r="C442" s="94"/>
      <c r="D442" s="32" t="str">
        <f>IF($A442="","",INDEX(APOIO!$D:$D,MATCH(CONCATENATE($A442,"_",$B442,"_",$C442),APOIO!$F:$F,0)))</f>
        <v/>
      </c>
      <c r="E442" s="31"/>
      <c r="F442" s="31"/>
      <c r="G442" s="33"/>
      <c r="H442" s="105"/>
      <c r="I442" s="32" t="str">
        <f>IF($A442="","",VLOOKUP($H442,APOIO!$L:$M,2,FALSE))</f>
        <v/>
      </c>
      <c r="J442" s="31"/>
      <c r="K442" s="32" t="str">
        <f>IF($A442="","",VLOOKUP($J442,APOIO!$H:$J,2,FALSE))</f>
        <v/>
      </c>
      <c r="L442" s="32" t="str">
        <f>IF($A442="","",VLOOKUP($J442,APOIO!$H:$J,3,FALSE))</f>
        <v/>
      </c>
      <c r="M442" s="31"/>
      <c r="N442" s="34"/>
      <c r="O442" s="32"/>
      <c r="P442" s="32"/>
      <c r="Q442" s="32"/>
      <c r="R442" s="32"/>
      <c r="S442" s="35"/>
      <c r="T442" s="91"/>
      <c r="U442" s="60"/>
      <c r="V442" s="36"/>
      <c r="W442" s="31"/>
      <c r="X442" s="59"/>
      <c r="Y442" s="59" t="str">
        <f>IFERROR(VLOOKUP($A442,APOIO!$A:$A,1,FALSE),"ERRO")</f>
        <v>ERRO</v>
      </c>
      <c r="Z442"/>
    </row>
    <row r="443" spans="1:26" ht="15" x14ac:dyDescent="0.25">
      <c r="A443" s="94"/>
      <c r="B443" s="32" t="str">
        <f>IF($A443="","",VLOOKUP($A443,APOIO!$A:$E,2,FALSE))</f>
        <v/>
      </c>
      <c r="C443" s="94"/>
      <c r="D443" s="32" t="str">
        <f>IF($A443="","",INDEX(APOIO!$D:$D,MATCH(CONCATENATE($A443,"_",$B443,"_",$C443),APOIO!$F:$F,0)))</f>
        <v/>
      </c>
      <c r="E443" s="31"/>
      <c r="F443" s="31"/>
      <c r="G443" s="33"/>
      <c r="H443" s="105"/>
      <c r="I443" s="32" t="str">
        <f>IF($A443="","",VLOOKUP($H443,APOIO!$L:$M,2,FALSE))</f>
        <v/>
      </c>
      <c r="J443" s="31"/>
      <c r="K443" s="32" t="str">
        <f>IF($A443="","",VLOOKUP($J443,APOIO!$H:$J,2,FALSE))</f>
        <v/>
      </c>
      <c r="L443" s="32" t="str">
        <f>IF($A443="","",VLOOKUP($J443,APOIO!$H:$J,3,FALSE))</f>
        <v/>
      </c>
      <c r="M443" s="31"/>
      <c r="N443" s="34"/>
      <c r="O443" s="32"/>
      <c r="P443" s="32"/>
      <c r="Q443" s="32"/>
      <c r="R443" s="32"/>
      <c r="S443" s="35"/>
      <c r="T443" s="91"/>
      <c r="U443" s="60"/>
      <c r="V443" s="36"/>
      <c r="W443" s="31"/>
      <c r="X443" s="59"/>
      <c r="Y443" s="59" t="str">
        <f>IFERROR(VLOOKUP($A443,APOIO!$A:$A,1,FALSE),"ERRO")</f>
        <v>ERRO</v>
      </c>
      <c r="Z443"/>
    </row>
    <row r="444" spans="1:26" ht="15" x14ac:dyDescent="0.25">
      <c r="A444" s="94"/>
      <c r="B444" s="32" t="str">
        <f>IF($A444="","",VLOOKUP($A444,APOIO!$A:$E,2,FALSE))</f>
        <v/>
      </c>
      <c r="C444" s="94"/>
      <c r="D444" s="32" t="str">
        <f>IF($A444="","",INDEX(APOIO!$D:$D,MATCH(CONCATENATE($A444,"_",$B444,"_",$C444),APOIO!$F:$F,0)))</f>
        <v/>
      </c>
      <c r="E444" s="31"/>
      <c r="F444" s="31"/>
      <c r="G444" s="33"/>
      <c r="H444" s="105"/>
      <c r="I444" s="32" t="str">
        <f>IF($A444="","",VLOOKUP($H444,APOIO!$L:$M,2,FALSE))</f>
        <v/>
      </c>
      <c r="J444" s="31"/>
      <c r="K444" s="32" t="str">
        <f>IF($A444="","",VLOOKUP($J444,APOIO!$H:$J,2,FALSE))</f>
        <v/>
      </c>
      <c r="L444" s="32" t="str">
        <f>IF($A444="","",VLOOKUP($J444,APOIO!$H:$J,3,FALSE))</f>
        <v/>
      </c>
      <c r="M444" s="31"/>
      <c r="N444" s="34"/>
      <c r="O444" s="32"/>
      <c r="P444" s="32"/>
      <c r="Q444" s="32"/>
      <c r="R444" s="32"/>
      <c r="S444" s="35"/>
      <c r="T444" s="91"/>
      <c r="U444" s="60"/>
      <c r="V444" s="36"/>
      <c r="W444" s="31"/>
      <c r="X444" s="59"/>
      <c r="Y444" s="59" t="str">
        <f>IFERROR(VLOOKUP($A444,APOIO!$A:$A,1,FALSE),"ERRO")</f>
        <v>ERRO</v>
      </c>
      <c r="Z444"/>
    </row>
    <row r="445" spans="1:26" ht="15" x14ac:dyDescent="0.25">
      <c r="A445" s="94"/>
      <c r="B445" s="32" t="str">
        <f>IF($A445="","",VLOOKUP($A445,APOIO!$A:$E,2,FALSE))</f>
        <v/>
      </c>
      <c r="C445" s="94"/>
      <c r="D445" s="32" t="str">
        <f>IF($A445="","",INDEX(APOIO!$D:$D,MATCH(CONCATENATE($A445,"_",$B445,"_",$C445),APOIO!$F:$F,0)))</f>
        <v/>
      </c>
      <c r="E445" s="31"/>
      <c r="F445" s="31"/>
      <c r="G445" s="33"/>
      <c r="H445" s="105"/>
      <c r="I445" s="32" t="str">
        <f>IF($A445="","",VLOOKUP($H445,APOIO!$L:$M,2,FALSE))</f>
        <v/>
      </c>
      <c r="J445" s="31"/>
      <c r="K445" s="32" t="str">
        <f>IF($A445="","",VLOOKUP($J445,APOIO!$H:$J,2,FALSE))</f>
        <v/>
      </c>
      <c r="L445" s="32" t="str">
        <f>IF($A445="","",VLOOKUP($J445,APOIO!$H:$J,3,FALSE))</f>
        <v/>
      </c>
      <c r="M445" s="31"/>
      <c r="N445" s="34"/>
      <c r="O445" s="32"/>
      <c r="P445" s="32"/>
      <c r="Q445" s="32"/>
      <c r="R445" s="32"/>
      <c r="S445" s="35"/>
      <c r="T445" s="91"/>
      <c r="U445" s="60"/>
      <c r="V445" s="36"/>
      <c r="W445" s="31"/>
      <c r="X445" s="59"/>
      <c r="Y445" s="59" t="str">
        <f>IFERROR(VLOOKUP($A445,APOIO!$A:$A,1,FALSE),"ERRO")</f>
        <v>ERRO</v>
      </c>
      <c r="Z445"/>
    </row>
    <row r="446" spans="1:26" ht="15" x14ac:dyDescent="0.25">
      <c r="A446" s="94"/>
      <c r="B446" s="32" t="str">
        <f>IF($A446="","",VLOOKUP($A446,APOIO!$A:$E,2,FALSE))</f>
        <v/>
      </c>
      <c r="C446" s="94"/>
      <c r="D446" s="32" t="str">
        <f>IF($A446="","",INDEX(APOIO!$D:$D,MATCH(CONCATENATE($A446,"_",$B446,"_",$C446),APOIO!$F:$F,0)))</f>
        <v/>
      </c>
      <c r="E446" s="31"/>
      <c r="F446" s="31"/>
      <c r="G446" s="33"/>
      <c r="H446" s="105"/>
      <c r="I446" s="32" t="str">
        <f>IF($A446="","",VLOOKUP($H446,APOIO!$L:$M,2,FALSE))</f>
        <v/>
      </c>
      <c r="J446" s="31"/>
      <c r="K446" s="32" t="str">
        <f>IF($A446="","",VLOOKUP($J446,APOIO!$H:$J,2,FALSE))</f>
        <v/>
      </c>
      <c r="L446" s="32" t="str">
        <f>IF($A446="","",VLOOKUP($J446,APOIO!$H:$J,3,FALSE))</f>
        <v/>
      </c>
      <c r="M446" s="31"/>
      <c r="N446" s="34"/>
      <c r="O446" s="32"/>
      <c r="P446" s="32"/>
      <c r="Q446" s="32"/>
      <c r="R446" s="32"/>
      <c r="S446" s="35"/>
      <c r="T446" s="91"/>
      <c r="U446" s="60"/>
      <c r="V446" s="36"/>
      <c r="W446" s="31"/>
      <c r="X446" s="59"/>
      <c r="Y446" s="59" t="str">
        <f>IFERROR(VLOOKUP($A446,APOIO!$A:$A,1,FALSE),"ERRO")</f>
        <v>ERRO</v>
      </c>
      <c r="Z446"/>
    </row>
    <row r="447" spans="1:26" ht="15" x14ac:dyDescent="0.25">
      <c r="A447" s="94"/>
      <c r="B447" s="32" t="str">
        <f>IF($A447="","",VLOOKUP($A447,APOIO!$A:$E,2,FALSE))</f>
        <v/>
      </c>
      <c r="C447" s="94"/>
      <c r="D447" s="32" t="str">
        <f>IF($A447="","",INDEX(APOIO!$D:$D,MATCH(CONCATENATE($A447,"_",$B447,"_",$C447),APOIO!$F:$F,0)))</f>
        <v/>
      </c>
      <c r="E447" s="31"/>
      <c r="F447" s="31"/>
      <c r="G447" s="33"/>
      <c r="H447" s="105"/>
      <c r="I447" s="32" t="str">
        <f>IF($A447="","",VLOOKUP($H447,APOIO!$L:$M,2,FALSE))</f>
        <v/>
      </c>
      <c r="J447" s="31"/>
      <c r="K447" s="32" t="str">
        <f>IF($A447="","",VLOOKUP($J447,APOIO!$H:$J,2,FALSE))</f>
        <v/>
      </c>
      <c r="L447" s="32" t="str">
        <f>IF($A447="","",VLOOKUP($J447,APOIO!$H:$J,3,FALSE))</f>
        <v/>
      </c>
      <c r="M447" s="31"/>
      <c r="N447" s="34"/>
      <c r="O447" s="32"/>
      <c r="P447" s="32"/>
      <c r="Q447" s="32"/>
      <c r="R447" s="32"/>
      <c r="S447" s="35"/>
      <c r="T447" s="91"/>
      <c r="U447" s="60"/>
      <c r="V447" s="36"/>
      <c r="W447" s="31"/>
      <c r="X447" s="59"/>
      <c r="Y447" s="59" t="str">
        <f>IFERROR(VLOOKUP($A447,APOIO!$A:$A,1,FALSE),"ERRO")</f>
        <v>ERRO</v>
      </c>
      <c r="Z447"/>
    </row>
    <row r="448" spans="1:26" ht="15" x14ac:dyDescent="0.25">
      <c r="A448" s="94"/>
      <c r="B448" s="32" t="str">
        <f>IF($A448="","",VLOOKUP($A448,APOIO!$A:$E,2,FALSE))</f>
        <v/>
      </c>
      <c r="C448" s="94"/>
      <c r="D448" s="32" t="str">
        <f>IF($A448="","",INDEX(APOIO!$D:$D,MATCH(CONCATENATE($A448,"_",$B448,"_",$C448),APOIO!$F:$F,0)))</f>
        <v/>
      </c>
      <c r="E448" s="31"/>
      <c r="F448" s="31"/>
      <c r="G448" s="33"/>
      <c r="H448" s="105"/>
      <c r="I448" s="32" t="str">
        <f>IF($A448="","",VLOOKUP($H448,APOIO!$L:$M,2,FALSE))</f>
        <v/>
      </c>
      <c r="J448" s="31"/>
      <c r="K448" s="32" t="str">
        <f>IF($A448="","",VLOOKUP($J448,APOIO!$H:$J,2,FALSE))</f>
        <v/>
      </c>
      <c r="L448" s="32" t="str">
        <f>IF($A448="","",VLOOKUP($J448,APOIO!$H:$J,3,FALSE))</f>
        <v/>
      </c>
      <c r="M448" s="31"/>
      <c r="N448" s="34"/>
      <c r="O448" s="32"/>
      <c r="P448" s="32"/>
      <c r="Q448" s="32"/>
      <c r="R448" s="32"/>
      <c r="S448" s="35"/>
      <c r="T448" s="91"/>
      <c r="U448" s="60"/>
      <c r="V448" s="36"/>
      <c r="W448" s="31"/>
      <c r="X448" s="59"/>
      <c r="Y448" s="59" t="str">
        <f>IFERROR(VLOOKUP($A448,APOIO!$A:$A,1,FALSE),"ERRO")</f>
        <v>ERRO</v>
      </c>
      <c r="Z448"/>
    </row>
    <row r="449" spans="1:26" ht="15" x14ac:dyDescent="0.25">
      <c r="A449" s="94"/>
      <c r="B449" s="32" t="str">
        <f>IF($A449="","",VLOOKUP($A449,APOIO!$A:$E,2,FALSE))</f>
        <v/>
      </c>
      <c r="C449" s="94"/>
      <c r="D449" s="32" t="str">
        <f>IF($A449="","",INDEX(APOIO!$D:$D,MATCH(CONCATENATE($A449,"_",$B449,"_",$C449),APOIO!$F:$F,0)))</f>
        <v/>
      </c>
      <c r="E449" s="31"/>
      <c r="F449" s="31"/>
      <c r="G449" s="33"/>
      <c r="H449" s="105"/>
      <c r="I449" s="32" t="str">
        <f>IF($A449="","",VLOOKUP($H449,APOIO!$L:$M,2,FALSE))</f>
        <v/>
      </c>
      <c r="J449" s="31"/>
      <c r="K449" s="32" t="str">
        <f>IF($A449="","",VLOOKUP($J449,APOIO!$H:$J,2,FALSE))</f>
        <v/>
      </c>
      <c r="L449" s="32" t="str">
        <f>IF($A449="","",VLOOKUP($J449,APOIO!$H:$J,3,FALSE))</f>
        <v/>
      </c>
      <c r="M449" s="31"/>
      <c r="N449" s="34"/>
      <c r="O449" s="32"/>
      <c r="P449" s="32"/>
      <c r="Q449" s="32"/>
      <c r="R449" s="32"/>
      <c r="S449" s="35"/>
      <c r="T449" s="91"/>
      <c r="U449" s="60"/>
      <c r="V449" s="36"/>
      <c r="W449" s="31"/>
      <c r="X449" s="59"/>
      <c r="Y449" s="59" t="str">
        <f>IFERROR(VLOOKUP($A449,APOIO!$A:$A,1,FALSE),"ERRO")</f>
        <v>ERRO</v>
      </c>
      <c r="Z449"/>
    </row>
    <row r="450" spans="1:26" ht="15" x14ac:dyDescent="0.25">
      <c r="A450" s="94"/>
      <c r="B450" s="32" t="str">
        <f>IF($A450="","",VLOOKUP($A450,APOIO!$A:$E,2,FALSE))</f>
        <v/>
      </c>
      <c r="C450" s="94"/>
      <c r="D450" s="32" t="str">
        <f>IF($A450="","",INDEX(APOIO!$D:$D,MATCH(CONCATENATE($A450,"_",$B450,"_",$C450),APOIO!$F:$F,0)))</f>
        <v/>
      </c>
      <c r="E450" s="31"/>
      <c r="F450" s="31"/>
      <c r="G450" s="33"/>
      <c r="H450" s="105"/>
      <c r="I450" s="32" t="str">
        <f>IF($A450="","",VLOOKUP($H450,APOIO!$L:$M,2,FALSE))</f>
        <v/>
      </c>
      <c r="J450" s="31"/>
      <c r="K450" s="32" t="str">
        <f>IF($A450="","",VLOOKUP($J450,APOIO!$H:$J,2,FALSE))</f>
        <v/>
      </c>
      <c r="L450" s="32" t="str">
        <f>IF($A450="","",VLOOKUP($J450,APOIO!$H:$J,3,FALSE))</f>
        <v/>
      </c>
      <c r="M450" s="31"/>
      <c r="N450" s="34"/>
      <c r="O450" s="32"/>
      <c r="P450" s="32"/>
      <c r="Q450" s="32"/>
      <c r="R450" s="32"/>
      <c r="S450" s="35"/>
      <c r="T450" s="91"/>
      <c r="U450" s="60"/>
      <c r="V450" s="36"/>
      <c r="W450" s="31"/>
      <c r="X450" s="59"/>
      <c r="Y450" s="59" t="str">
        <f>IFERROR(VLOOKUP($A450,APOIO!$A:$A,1,FALSE),"ERRO")</f>
        <v>ERRO</v>
      </c>
      <c r="Z450"/>
    </row>
    <row r="451" spans="1:26" ht="15" x14ac:dyDescent="0.25">
      <c r="A451" s="94"/>
      <c r="B451" s="32" t="str">
        <f>IF($A451="","",VLOOKUP($A451,APOIO!$A:$E,2,FALSE))</f>
        <v/>
      </c>
      <c r="C451" s="94"/>
      <c r="D451" s="32" t="str">
        <f>IF($A451="","",INDEX(APOIO!$D:$D,MATCH(CONCATENATE($A451,"_",$B451,"_",$C451),APOIO!$F:$F,0)))</f>
        <v/>
      </c>
      <c r="E451" s="31"/>
      <c r="F451" s="31"/>
      <c r="G451" s="33"/>
      <c r="H451" s="105"/>
      <c r="I451" s="32" t="str">
        <f>IF($A451="","",VLOOKUP($H451,APOIO!$L:$M,2,FALSE))</f>
        <v/>
      </c>
      <c r="J451" s="31"/>
      <c r="K451" s="32" t="str">
        <f>IF($A451="","",VLOOKUP($J451,APOIO!$H:$J,2,FALSE))</f>
        <v/>
      </c>
      <c r="L451" s="32" t="str">
        <f>IF($A451="","",VLOOKUP($J451,APOIO!$H:$J,3,FALSE))</f>
        <v/>
      </c>
      <c r="M451" s="31"/>
      <c r="N451" s="34"/>
      <c r="O451" s="32"/>
      <c r="P451" s="32"/>
      <c r="Q451" s="32"/>
      <c r="R451" s="32"/>
      <c r="S451" s="35"/>
      <c r="T451" s="91"/>
      <c r="U451" s="60"/>
      <c r="V451" s="36"/>
      <c r="W451" s="31"/>
      <c r="X451" s="59"/>
      <c r="Y451" s="59" t="str">
        <f>IFERROR(VLOOKUP($A451,APOIO!$A:$A,1,FALSE),"ERRO")</f>
        <v>ERRO</v>
      </c>
      <c r="Z451"/>
    </row>
    <row r="452" spans="1:26" ht="15" x14ac:dyDescent="0.25">
      <c r="A452" s="94"/>
      <c r="B452" s="32" t="str">
        <f>IF($A452="","",VLOOKUP($A452,APOIO!$A:$E,2,FALSE))</f>
        <v/>
      </c>
      <c r="C452" s="94"/>
      <c r="D452" s="32" t="str">
        <f>IF($A452="","",INDEX(APOIO!$D:$D,MATCH(CONCATENATE($A452,"_",$B452,"_",$C452),APOIO!$F:$F,0)))</f>
        <v/>
      </c>
      <c r="E452" s="31"/>
      <c r="F452" s="31"/>
      <c r="G452" s="33"/>
      <c r="H452" s="105"/>
      <c r="I452" s="32" t="str">
        <f>IF($A452="","",VLOOKUP($H452,APOIO!$L:$M,2,FALSE))</f>
        <v/>
      </c>
      <c r="J452" s="31"/>
      <c r="K452" s="32" t="str">
        <f>IF($A452="","",VLOOKUP($J452,APOIO!$H:$J,2,FALSE))</f>
        <v/>
      </c>
      <c r="L452" s="32" t="str">
        <f>IF($A452="","",VLOOKUP($J452,APOIO!$H:$J,3,FALSE))</f>
        <v/>
      </c>
      <c r="M452" s="31"/>
      <c r="N452" s="34"/>
      <c r="O452" s="32"/>
      <c r="P452" s="32"/>
      <c r="Q452" s="32"/>
      <c r="R452" s="32"/>
      <c r="S452" s="35"/>
      <c r="T452" s="91"/>
      <c r="U452" s="60"/>
      <c r="V452" s="36"/>
      <c r="W452" s="31"/>
      <c r="X452" s="59"/>
      <c r="Y452" s="59" t="str">
        <f>IFERROR(VLOOKUP($A452,APOIO!$A:$A,1,FALSE),"ERRO")</f>
        <v>ERRO</v>
      </c>
      <c r="Z452"/>
    </row>
    <row r="453" spans="1:26" ht="15" x14ac:dyDescent="0.25">
      <c r="A453" s="94"/>
      <c r="B453" s="32" t="str">
        <f>IF($A453="","",VLOOKUP($A453,APOIO!$A:$E,2,FALSE))</f>
        <v/>
      </c>
      <c r="C453" s="94"/>
      <c r="D453" s="32" t="str">
        <f>IF($A453="","",INDEX(APOIO!$D:$D,MATCH(CONCATENATE($A453,"_",$B453,"_",$C453),APOIO!$F:$F,0)))</f>
        <v/>
      </c>
      <c r="E453" s="31"/>
      <c r="F453" s="31"/>
      <c r="G453" s="33"/>
      <c r="H453" s="105"/>
      <c r="I453" s="32" t="str">
        <f>IF($A453="","",VLOOKUP($H453,APOIO!$L:$M,2,FALSE))</f>
        <v/>
      </c>
      <c r="J453" s="31"/>
      <c r="K453" s="32" t="str">
        <f>IF($A453="","",VLOOKUP($J453,APOIO!$H:$J,2,FALSE))</f>
        <v/>
      </c>
      <c r="L453" s="32" t="str">
        <f>IF($A453="","",VLOOKUP($J453,APOIO!$H:$J,3,FALSE))</f>
        <v/>
      </c>
      <c r="M453" s="31"/>
      <c r="N453" s="34"/>
      <c r="O453" s="32"/>
      <c r="P453" s="32"/>
      <c r="Q453" s="32"/>
      <c r="R453" s="32"/>
      <c r="S453" s="35"/>
      <c r="T453" s="91"/>
      <c r="U453" s="60"/>
      <c r="V453" s="36"/>
      <c r="W453" s="31"/>
      <c r="X453" s="59"/>
      <c r="Y453" s="59" t="str">
        <f>IFERROR(VLOOKUP($A453,APOIO!$A:$A,1,FALSE),"ERRO")</f>
        <v>ERRO</v>
      </c>
      <c r="Z453"/>
    </row>
    <row r="454" spans="1:26" ht="15" x14ac:dyDescent="0.25">
      <c r="A454" s="94"/>
      <c r="B454" s="32" t="str">
        <f>IF($A454="","",VLOOKUP($A454,APOIO!$A:$E,2,FALSE))</f>
        <v/>
      </c>
      <c r="C454" s="94"/>
      <c r="D454" s="32" t="str">
        <f>IF($A454="","",INDEX(APOIO!$D:$D,MATCH(CONCATENATE($A454,"_",$B454,"_",$C454),APOIO!$F:$F,0)))</f>
        <v/>
      </c>
      <c r="E454" s="31"/>
      <c r="F454" s="31"/>
      <c r="G454" s="33"/>
      <c r="H454" s="105"/>
      <c r="I454" s="32" t="str">
        <f>IF($A454="","",VLOOKUP($H454,APOIO!$L:$M,2,FALSE))</f>
        <v/>
      </c>
      <c r="J454" s="31"/>
      <c r="K454" s="32" t="str">
        <f>IF($A454="","",VLOOKUP($J454,APOIO!$H:$J,2,FALSE))</f>
        <v/>
      </c>
      <c r="L454" s="32" t="str">
        <f>IF($A454="","",VLOOKUP($J454,APOIO!$H:$J,3,FALSE))</f>
        <v/>
      </c>
      <c r="M454" s="31"/>
      <c r="N454" s="34"/>
      <c r="O454" s="32"/>
      <c r="P454" s="32"/>
      <c r="Q454" s="32"/>
      <c r="R454" s="32"/>
      <c r="S454" s="35"/>
      <c r="T454" s="91"/>
      <c r="U454" s="60"/>
      <c r="V454" s="36"/>
      <c r="W454" s="31"/>
      <c r="X454" s="59"/>
      <c r="Y454" s="59" t="str">
        <f>IFERROR(VLOOKUP($A454,APOIO!$A:$A,1,FALSE),"ERRO")</f>
        <v>ERRO</v>
      </c>
      <c r="Z454"/>
    </row>
    <row r="455" spans="1:26" ht="15" x14ac:dyDescent="0.25">
      <c r="A455" s="94"/>
      <c r="B455" s="32" t="str">
        <f>IF($A455="","",VLOOKUP($A455,APOIO!$A:$E,2,FALSE))</f>
        <v/>
      </c>
      <c r="C455" s="94"/>
      <c r="D455" s="32" t="str">
        <f>IF($A455="","",INDEX(APOIO!$D:$D,MATCH(CONCATENATE($A455,"_",$B455,"_",$C455),APOIO!$F:$F,0)))</f>
        <v/>
      </c>
      <c r="E455" s="31"/>
      <c r="F455" s="31"/>
      <c r="G455" s="33"/>
      <c r="H455" s="105"/>
      <c r="I455" s="32" t="str">
        <f>IF($A455="","",VLOOKUP($H455,APOIO!$L:$M,2,FALSE))</f>
        <v/>
      </c>
      <c r="J455" s="31"/>
      <c r="K455" s="32" t="str">
        <f>IF($A455="","",VLOOKUP($J455,APOIO!$H:$J,2,FALSE))</f>
        <v/>
      </c>
      <c r="L455" s="32" t="str">
        <f>IF($A455="","",VLOOKUP($J455,APOIO!$H:$J,3,FALSE))</f>
        <v/>
      </c>
      <c r="M455" s="31"/>
      <c r="N455" s="34"/>
      <c r="O455" s="32"/>
      <c r="P455" s="32"/>
      <c r="Q455" s="32"/>
      <c r="R455" s="32"/>
      <c r="S455" s="35"/>
      <c r="T455" s="91"/>
      <c r="U455" s="60"/>
      <c r="V455" s="36"/>
      <c r="W455" s="31"/>
      <c r="X455" s="59"/>
      <c r="Y455" s="59" t="str">
        <f>IFERROR(VLOOKUP($A455,APOIO!$A:$A,1,FALSE),"ERRO")</f>
        <v>ERRO</v>
      </c>
      <c r="Z455"/>
    </row>
    <row r="456" spans="1:26" ht="15" x14ac:dyDescent="0.25">
      <c r="A456" s="94"/>
      <c r="B456" s="32" t="str">
        <f>IF($A456="","",VLOOKUP($A456,APOIO!$A:$E,2,FALSE))</f>
        <v/>
      </c>
      <c r="C456" s="94"/>
      <c r="D456" s="32" t="str">
        <f>IF($A456="","",INDEX(APOIO!$D:$D,MATCH(CONCATENATE($A456,"_",$B456,"_",$C456),APOIO!$F:$F,0)))</f>
        <v/>
      </c>
      <c r="E456" s="31"/>
      <c r="F456" s="31"/>
      <c r="G456" s="33"/>
      <c r="H456" s="105"/>
      <c r="I456" s="32" t="str">
        <f>IF($A456="","",VLOOKUP($H456,APOIO!$L:$M,2,FALSE))</f>
        <v/>
      </c>
      <c r="J456" s="31"/>
      <c r="K456" s="32" t="str">
        <f>IF($A456="","",VLOOKUP($J456,APOIO!$H:$J,2,FALSE))</f>
        <v/>
      </c>
      <c r="L456" s="32" t="str">
        <f>IF($A456="","",VLOOKUP($J456,APOIO!$H:$J,3,FALSE))</f>
        <v/>
      </c>
      <c r="M456" s="31"/>
      <c r="N456" s="34"/>
      <c r="O456" s="32"/>
      <c r="P456" s="32"/>
      <c r="Q456" s="32"/>
      <c r="R456" s="32"/>
      <c r="S456" s="35"/>
      <c r="T456" s="91"/>
      <c r="U456" s="60"/>
      <c r="V456" s="36"/>
      <c r="W456" s="31"/>
      <c r="X456" s="59"/>
      <c r="Y456" s="59" t="str">
        <f>IFERROR(VLOOKUP($A456,APOIO!$A:$A,1,FALSE),"ERRO")</f>
        <v>ERRO</v>
      </c>
      <c r="Z456"/>
    </row>
    <row r="457" spans="1:26" ht="15" x14ac:dyDescent="0.25">
      <c r="A457" s="94"/>
      <c r="B457" s="32" t="str">
        <f>IF($A457="","",VLOOKUP($A457,APOIO!$A:$E,2,FALSE))</f>
        <v/>
      </c>
      <c r="C457" s="94"/>
      <c r="D457" s="32" t="str">
        <f>IF($A457="","",INDEX(APOIO!$D:$D,MATCH(CONCATENATE($A457,"_",$B457,"_",$C457),APOIO!$F:$F,0)))</f>
        <v/>
      </c>
      <c r="E457" s="31"/>
      <c r="F457" s="31"/>
      <c r="G457" s="33"/>
      <c r="H457" s="105"/>
      <c r="I457" s="32" t="str">
        <f>IF($A457="","",VLOOKUP($H457,APOIO!$L:$M,2,FALSE))</f>
        <v/>
      </c>
      <c r="J457" s="31"/>
      <c r="K457" s="32" t="str">
        <f>IF($A457="","",VLOOKUP($J457,APOIO!$H:$J,2,FALSE))</f>
        <v/>
      </c>
      <c r="L457" s="32" t="str">
        <f>IF($A457="","",VLOOKUP($J457,APOIO!$H:$J,3,FALSE))</f>
        <v/>
      </c>
      <c r="M457" s="31"/>
      <c r="N457" s="34"/>
      <c r="O457" s="32"/>
      <c r="P457" s="32"/>
      <c r="Q457" s="32"/>
      <c r="R457" s="32"/>
      <c r="S457" s="35"/>
      <c r="T457" s="91"/>
      <c r="U457" s="60"/>
      <c r="V457" s="36"/>
      <c r="W457" s="31"/>
      <c r="X457" s="59"/>
      <c r="Y457" s="59" t="str">
        <f>IFERROR(VLOOKUP($A457,APOIO!$A:$A,1,FALSE),"ERRO")</f>
        <v>ERRO</v>
      </c>
      <c r="Z457"/>
    </row>
    <row r="458" spans="1:26" ht="15" x14ac:dyDescent="0.25">
      <c r="A458" s="94"/>
      <c r="B458" s="32" t="str">
        <f>IF($A458="","",VLOOKUP($A458,APOIO!$A:$E,2,FALSE))</f>
        <v/>
      </c>
      <c r="C458" s="94"/>
      <c r="D458" s="32" t="str">
        <f>IF($A458="","",INDEX(APOIO!$D:$D,MATCH(CONCATENATE($A458,"_",$B458,"_",$C458),APOIO!$F:$F,0)))</f>
        <v/>
      </c>
      <c r="E458" s="31"/>
      <c r="F458" s="31"/>
      <c r="G458" s="33"/>
      <c r="H458" s="105"/>
      <c r="I458" s="32" t="str">
        <f>IF($A458="","",VLOOKUP($H458,APOIO!$L:$M,2,FALSE))</f>
        <v/>
      </c>
      <c r="J458" s="31"/>
      <c r="K458" s="32" t="str">
        <f>IF($A458="","",VLOOKUP($J458,APOIO!$H:$J,2,FALSE))</f>
        <v/>
      </c>
      <c r="L458" s="32" t="str">
        <f>IF($A458="","",VLOOKUP($J458,APOIO!$H:$J,3,FALSE))</f>
        <v/>
      </c>
      <c r="M458" s="31"/>
      <c r="N458" s="34"/>
      <c r="O458" s="32"/>
      <c r="P458" s="32"/>
      <c r="Q458" s="32"/>
      <c r="R458" s="32"/>
      <c r="S458" s="35"/>
      <c r="T458" s="91"/>
      <c r="U458" s="60"/>
      <c r="V458" s="36"/>
      <c r="W458" s="31"/>
      <c r="X458" s="59"/>
      <c r="Y458" s="59" t="str">
        <f>IFERROR(VLOOKUP($A458,APOIO!$A:$A,1,FALSE),"ERRO")</f>
        <v>ERRO</v>
      </c>
      <c r="Z458"/>
    </row>
    <row r="459" spans="1:26" ht="15" x14ac:dyDescent="0.25">
      <c r="A459" s="94"/>
      <c r="B459" s="32" t="str">
        <f>IF($A459="","",VLOOKUP($A459,APOIO!$A:$E,2,FALSE))</f>
        <v/>
      </c>
      <c r="C459" s="94"/>
      <c r="D459" s="32" t="str">
        <f>IF($A459="","",INDEX(APOIO!$D:$D,MATCH(CONCATENATE($A459,"_",$B459,"_",$C459),APOIO!$F:$F,0)))</f>
        <v/>
      </c>
      <c r="E459" s="31"/>
      <c r="F459" s="31"/>
      <c r="G459" s="33"/>
      <c r="H459" s="105"/>
      <c r="I459" s="32" t="str">
        <f>IF($A459="","",VLOOKUP($H459,APOIO!$L:$M,2,FALSE))</f>
        <v/>
      </c>
      <c r="J459" s="31"/>
      <c r="K459" s="32" t="str">
        <f>IF($A459="","",VLOOKUP($J459,APOIO!$H:$J,2,FALSE))</f>
        <v/>
      </c>
      <c r="L459" s="32" t="str">
        <f>IF($A459="","",VLOOKUP($J459,APOIO!$H:$J,3,FALSE))</f>
        <v/>
      </c>
      <c r="M459" s="31"/>
      <c r="N459" s="34"/>
      <c r="O459" s="32"/>
      <c r="P459" s="32"/>
      <c r="Q459" s="32"/>
      <c r="R459" s="32"/>
      <c r="S459" s="35"/>
      <c r="T459" s="91"/>
      <c r="U459" s="60"/>
      <c r="V459" s="36"/>
      <c r="W459" s="31"/>
      <c r="X459" s="59"/>
      <c r="Y459" s="59" t="str">
        <f>IFERROR(VLOOKUP($A459,APOIO!$A:$A,1,FALSE),"ERRO")</f>
        <v>ERRO</v>
      </c>
      <c r="Z459"/>
    </row>
    <row r="460" spans="1:26" ht="15" x14ac:dyDescent="0.25">
      <c r="A460" s="94"/>
      <c r="B460" s="32" t="str">
        <f>IF($A460="","",VLOOKUP($A460,APOIO!$A:$E,2,FALSE))</f>
        <v/>
      </c>
      <c r="C460" s="94"/>
      <c r="D460" s="32" t="str">
        <f>IF($A460="","",INDEX(APOIO!$D:$D,MATCH(CONCATENATE($A460,"_",$B460,"_",$C460),APOIO!$F:$F,0)))</f>
        <v/>
      </c>
      <c r="E460" s="31"/>
      <c r="F460" s="31"/>
      <c r="G460" s="33"/>
      <c r="H460" s="105"/>
      <c r="I460" s="32" t="str">
        <f>IF($A460="","",VLOOKUP($H460,APOIO!$L:$M,2,FALSE))</f>
        <v/>
      </c>
      <c r="J460" s="31"/>
      <c r="K460" s="32" t="str">
        <f>IF($A460="","",VLOOKUP($J460,APOIO!$H:$J,2,FALSE))</f>
        <v/>
      </c>
      <c r="L460" s="32" t="str">
        <f>IF($A460="","",VLOOKUP($J460,APOIO!$H:$J,3,FALSE))</f>
        <v/>
      </c>
      <c r="M460" s="31"/>
      <c r="N460" s="34"/>
      <c r="O460" s="32"/>
      <c r="P460" s="32"/>
      <c r="Q460" s="32"/>
      <c r="R460" s="32"/>
      <c r="S460" s="35"/>
      <c r="T460" s="91"/>
      <c r="U460" s="60"/>
      <c r="V460" s="36"/>
      <c r="W460" s="31"/>
      <c r="X460" s="59"/>
      <c r="Y460" s="59" t="str">
        <f>IFERROR(VLOOKUP($A460,APOIO!$A:$A,1,FALSE),"ERRO")</f>
        <v>ERRO</v>
      </c>
      <c r="Z460"/>
    </row>
    <row r="461" spans="1:26" ht="15" x14ac:dyDescent="0.25">
      <c r="A461" s="94"/>
      <c r="B461" s="32" t="str">
        <f>IF($A461="","",VLOOKUP($A461,APOIO!$A:$E,2,FALSE))</f>
        <v/>
      </c>
      <c r="C461" s="94"/>
      <c r="D461" s="32" t="str">
        <f>IF($A461="","",INDEX(APOIO!$D:$D,MATCH(CONCATENATE($A461,"_",$B461,"_",$C461),APOIO!$F:$F,0)))</f>
        <v/>
      </c>
      <c r="E461" s="31"/>
      <c r="F461" s="31"/>
      <c r="G461" s="33"/>
      <c r="H461" s="105"/>
      <c r="I461" s="32" t="str">
        <f>IF($A461="","",VLOOKUP($H461,APOIO!$L:$M,2,FALSE))</f>
        <v/>
      </c>
      <c r="J461" s="31"/>
      <c r="K461" s="32" t="str">
        <f>IF($A461="","",VLOOKUP($J461,APOIO!$H:$J,2,FALSE))</f>
        <v/>
      </c>
      <c r="L461" s="32" t="str">
        <f>IF($A461="","",VLOOKUP($J461,APOIO!$H:$J,3,FALSE))</f>
        <v/>
      </c>
      <c r="M461" s="31"/>
      <c r="N461" s="34"/>
      <c r="O461" s="32"/>
      <c r="P461" s="32"/>
      <c r="Q461" s="32"/>
      <c r="R461" s="32"/>
      <c r="S461" s="35"/>
      <c r="T461" s="91"/>
      <c r="U461" s="60"/>
      <c r="V461" s="36"/>
      <c r="W461" s="31"/>
      <c r="X461" s="59"/>
      <c r="Y461" s="59" t="str">
        <f>IFERROR(VLOOKUP($A461,APOIO!$A:$A,1,FALSE),"ERRO")</f>
        <v>ERRO</v>
      </c>
      <c r="Z461"/>
    </row>
    <row r="462" spans="1:26" ht="15" x14ac:dyDescent="0.25">
      <c r="A462" s="94"/>
      <c r="B462" s="32" t="str">
        <f>IF($A462="","",VLOOKUP($A462,APOIO!$A:$E,2,FALSE))</f>
        <v/>
      </c>
      <c r="C462" s="94"/>
      <c r="D462" s="32" t="str">
        <f>IF($A462="","",INDEX(APOIO!$D:$D,MATCH(CONCATENATE($A462,"_",$B462,"_",$C462),APOIO!$F:$F,0)))</f>
        <v/>
      </c>
      <c r="E462" s="31"/>
      <c r="F462" s="31"/>
      <c r="G462" s="33"/>
      <c r="H462" s="105"/>
      <c r="I462" s="32" t="str">
        <f>IF($A462="","",VLOOKUP($H462,APOIO!$L:$M,2,FALSE))</f>
        <v/>
      </c>
      <c r="J462" s="31"/>
      <c r="K462" s="32" t="str">
        <f>IF($A462="","",VLOOKUP($J462,APOIO!$H:$J,2,FALSE))</f>
        <v/>
      </c>
      <c r="L462" s="32" t="str">
        <f>IF($A462="","",VLOOKUP($J462,APOIO!$H:$J,3,FALSE))</f>
        <v/>
      </c>
      <c r="M462" s="31"/>
      <c r="N462" s="34"/>
      <c r="O462" s="32"/>
      <c r="P462" s="32"/>
      <c r="Q462" s="32"/>
      <c r="R462" s="32"/>
      <c r="S462" s="35"/>
      <c r="T462" s="91"/>
      <c r="U462" s="60"/>
      <c r="V462" s="36"/>
      <c r="W462" s="31"/>
      <c r="X462" s="59"/>
      <c r="Y462" s="59" t="str">
        <f>IFERROR(VLOOKUP($A462,APOIO!$A:$A,1,FALSE),"ERRO")</f>
        <v>ERRO</v>
      </c>
      <c r="Z462"/>
    </row>
    <row r="463" spans="1:26" ht="15" x14ac:dyDescent="0.25">
      <c r="A463" s="94"/>
      <c r="B463" s="32" t="str">
        <f>IF($A463="","",VLOOKUP($A463,APOIO!$A:$E,2,FALSE))</f>
        <v/>
      </c>
      <c r="C463" s="94"/>
      <c r="D463" s="32" t="str">
        <f>IF($A463="","",INDEX(APOIO!$D:$D,MATCH(CONCATENATE($A463,"_",$B463,"_",$C463),APOIO!$F:$F,0)))</f>
        <v/>
      </c>
      <c r="E463" s="31"/>
      <c r="F463" s="31"/>
      <c r="G463" s="33"/>
      <c r="H463" s="105"/>
      <c r="I463" s="32" t="str">
        <f>IF($A463="","",VLOOKUP($H463,APOIO!$L:$M,2,FALSE))</f>
        <v/>
      </c>
      <c r="J463" s="31"/>
      <c r="K463" s="32" t="str">
        <f>IF($A463="","",VLOOKUP($J463,APOIO!$H:$J,2,FALSE))</f>
        <v/>
      </c>
      <c r="L463" s="32" t="str">
        <f>IF($A463="","",VLOOKUP($J463,APOIO!$H:$J,3,FALSE))</f>
        <v/>
      </c>
      <c r="M463" s="31"/>
      <c r="N463" s="34"/>
      <c r="O463" s="32"/>
      <c r="P463" s="32"/>
      <c r="Q463" s="32"/>
      <c r="R463" s="32"/>
      <c r="S463" s="35"/>
      <c r="T463" s="91"/>
      <c r="U463" s="60"/>
      <c r="V463" s="36"/>
      <c r="W463" s="31"/>
      <c r="X463" s="59"/>
      <c r="Y463" s="59" t="str">
        <f>IFERROR(VLOOKUP($A463,APOIO!$A:$A,1,FALSE),"ERRO")</f>
        <v>ERRO</v>
      </c>
      <c r="Z463"/>
    </row>
    <row r="464" spans="1:26" ht="15" x14ac:dyDescent="0.25">
      <c r="A464" s="94"/>
      <c r="B464" s="32" t="str">
        <f>IF($A464="","",VLOOKUP($A464,APOIO!$A:$E,2,FALSE))</f>
        <v/>
      </c>
      <c r="C464" s="94"/>
      <c r="D464" s="32" t="str">
        <f>IF($A464="","",INDEX(APOIO!$D:$D,MATCH(CONCATENATE($A464,"_",$B464,"_",$C464),APOIO!$F:$F,0)))</f>
        <v/>
      </c>
      <c r="E464" s="31"/>
      <c r="F464" s="31"/>
      <c r="G464" s="33"/>
      <c r="H464" s="105"/>
      <c r="I464" s="32" t="str">
        <f>IF($A464="","",VLOOKUP($H464,APOIO!$L:$M,2,FALSE))</f>
        <v/>
      </c>
      <c r="J464" s="31"/>
      <c r="K464" s="32" t="str">
        <f>IF($A464="","",VLOOKUP($J464,APOIO!$H:$J,2,FALSE))</f>
        <v/>
      </c>
      <c r="L464" s="32" t="str">
        <f>IF($A464="","",VLOOKUP($J464,APOIO!$H:$J,3,FALSE))</f>
        <v/>
      </c>
      <c r="M464" s="31"/>
      <c r="N464" s="34"/>
      <c r="O464" s="32"/>
      <c r="P464" s="32"/>
      <c r="Q464" s="32"/>
      <c r="R464" s="32"/>
      <c r="S464" s="35"/>
      <c r="T464" s="91"/>
      <c r="U464" s="60"/>
      <c r="V464" s="36"/>
      <c r="W464" s="31"/>
      <c r="X464" s="59"/>
      <c r="Y464" s="59" t="str">
        <f>IFERROR(VLOOKUP($A464,APOIO!$A:$A,1,FALSE),"ERRO")</f>
        <v>ERRO</v>
      </c>
      <c r="Z464"/>
    </row>
    <row r="465" spans="1:26" ht="15" x14ac:dyDescent="0.25">
      <c r="A465" s="94"/>
      <c r="B465" s="32" t="str">
        <f>IF($A465="","",VLOOKUP($A465,APOIO!$A:$E,2,FALSE))</f>
        <v/>
      </c>
      <c r="C465" s="94"/>
      <c r="D465" s="32" t="str">
        <f>IF($A465="","",INDEX(APOIO!$D:$D,MATCH(CONCATENATE($A465,"_",$B465,"_",$C465),APOIO!$F:$F,0)))</f>
        <v/>
      </c>
      <c r="E465" s="31"/>
      <c r="F465" s="31"/>
      <c r="G465" s="33"/>
      <c r="H465" s="105"/>
      <c r="I465" s="32" t="str">
        <f>IF($A465="","",VLOOKUP($H465,APOIO!$L:$M,2,FALSE))</f>
        <v/>
      </c>
      <c r="J465" s="31"/>
      <c r="K465" s="32" t="str">
        <f>IF($A465="","",VLOOKUP($J465,APOIO!$H:$J,2,FALSE))</f>
        <v/>
      </c>
      <c r="L465" s="32" t="str">
        <f>IF($A465="","",VLOOKUP($J465,APOIO!$H:$J,3,FALSE))</f>
        <v/>
      </c>
      <c r="M465" s="31"/>
      <c r="N465" s="34"/>
      <c r="O465" s="32"/>
      <c r="P465" s="32"/>
      <c r="Q465" s="32"/>
      <c r="R465" s="32"/>
      <c r="S465" s="35"/>
      <c r="T465" s="91"/>
      <c r="U465" s="60"/>
      <c r="V465" s="36"/>
      <c r="W465" s="31"/>
      <c r="X465" s="59"/>
      <c r="Y465" s="59" t="str">
        <f>IFERROR(VLOOKUP($A465,APOIO!$A:$A,1,FALSE),"ERRO")</f>
        <v>ERRO</v>
      </c>
      <c r="Z465"/>
    </row>
    <row r="466" spans="1:26" ht="15" x14ac:dyDescent="0.25">
      <c r="A466" s="94"/>
      <c r="B466" s="32" t="str">
        <f>IF($A466="","",VLOOKUP($A466,APOIO!$A:$E,2,FALSE))</f>
        <v/>
      </c>
      <c r="C466" s="94"/>
      <c r="D466" s="32" t="str">
        <f>IF($A466="","",INDEX(APOIO!$D:$D,MATCH(CONCATENATE($A466,"_",$B466,"_",$C466),APOIO!$F:$F,0)))</f>
        <v/>
      </c>
      <c r="E466" s="31"/>
      <c r="F466" s="31"/>
      <c r="G466" s="33"/>
      <c r="H466" s="105"/>
      <c r="I466" s="32" t="str">
        <f>IF($A466="","",VLOOKUP($H466,APOIO!$L:$M,2,FALSE))</f>
        <v/>
      </c>
      <c r="J466" s="31"/>
      <c r="K466" s="32" t="str">
        <f>IF($A466="","",VLOOKUP($J466,APOIO!$H:$J,2,FALSE))</f>
        <v/>
      </c>
      <c r="L466" s="32" t="str">
        <f>IF($A466="","",VLOOKUP($J466,APOIO!$H:$J,3,FALSE))</f>
        <v/>
      </c>
      <c r="M466" s="31"/>
      <c r="N466" s="34"/>
      <c r="O466" s="32"/>
      <c r="P466" s="32"/>
      <c r="Q466" s="32"/>
      <c r="R466" s="32"/>
      <c r="S466" s="35"/>
      <c r="T466" s="91"/>
      <c r="U466" s="60"/>
      <c r="V466" s="36"/>
      <c r="W466" s="31"/>
      <c r="X466" s="59"/>
      <c r="Y466" s="59" t="str">
        <f>IFERROR(VLOOKUP($A466,APOIO!$A:$A,1,FALSE),"ERRO")</f>
        <v>ERRO</v>
      </c>
      <c r="Z466"/>
    </row>
    <row r="467" spans="1:26" ht="15" x14ac:dyDescent="0.25">
      <c r="A467" s="94"/>
      <c r="B467" s="32" t="str">
        <f>IF($A467="","",VLOOKUP($A467,APOIO!$A:$E,2,FALSE))</f>
        <v/>
      </c>
      <c r="C467" s="94"/>
      <c r="D467" s="32" t="str">
        <f>IF($A467="","",INDEX(APOIO!$D:$D,MATCH(CONCATENATE($A467,"_",$B467,"_",$C467),APOIO!$F:$F,0)))</f>
        <v/>
      </c>
      <c r="E467" s="31"/>
      <c r="F467" s="31"/>
      <c r="G467" s="33"/>
      <c r="H467" s="105"/>
      <c r="I467" s="32" t="str">
        <f>IF($A467="","",VLOOKUP($H467,APOIO!$L:$M,2,FALSE))</f>
        <v/>
      </c>
      <c r="J467" s="31"/>
      <c r="K467" s="32" t="str">
        <f>IF($A467="","",VLOOKUP($J467,APOIO!$H:$J,2,FALSE))</f>
        <v/>
      </c>
      <c r="L467" s="32" t="str">
        <f>IF($A467="","",VLOOKUP($J467,APOIO!$H:$J,3,FALSE))</f>
        <v/>
      </c>
      <c r="M467" s="31"/>
      <c r="N467" s="34"/>
      <c r="O467" s="32"/>
      <c r="P467" s="32"/>
      <c r="Q467" s="32"/>
      <c r="R467" s="32"/>
      <c r="S467" s="35"/>
      <c r="T467" s="91"/>
      <c r="U467" s="60"/>
      <c r="V467" s="36"/>
      <c r="W467" s="31"/>
      <c r="X467" s="59"/>
      <c r="Y467" s="59" t="str">
        <f>IFERROR(VLOOKUP($A467,APOIO!$A:$A,1,FALSE),"ERRO")</f>
        <v>ERRO</v>
      </c>
      <c r="Z467"/>
    </row>
    <row r="468" spans="1:26" ht="15" x14ac:dyDescent="0.25">
      <c r="A468" s="94"/>
      <c r="B468" s="32" t="str">
        <f>IF($A468="","",VLOOKUP($A468,APOIO!$A:$E,2,FALSE))</f>
        <v/>
      </c>
      <c r="C468" s="94"/>
      <c r="D468" s="32" t="str">
        <f>IF($A468="","",INDEX(APOIO!$D:$D,MATCH(CONCATENATE($A468,"_",$B468,"_",$C468),APOIO!$F:$F,0)))</f>
        <v/>
      </c>
      <c r="E468" s="31"/>
      <c r="F468" s="31"/>
      <c r="G468" s="33"/>
      <c r="H468" s="105"/>
      <c r="I468" s="32" t="str">
        <f>IF($A468="","",VLOOKUP($H468,APOIO!$L:$M,2,FALSE))</f>
        <v/>
      </c>
      <c r="J468" s="31"/>
      <c r="K468" s="32" t="str">
        <f>IF($A468="","",VLOOKUP($J468,APOIO!$H:$J,2,FALSE))</f>
        <v/>
      </c>
      <c r="L468" s="32" t="str">
        <f>IF($A468="","",VLOOKUP($J468,APOIO!$H:$J,3,FALSE))</f>
        <v/>
      </c>
      <c r="M468" s="31"/>
      <c r="N468" s="34"/>
      <c r="O468" s="32"/>
      <c r="P468" s="32"/>
      <c r="Q468" s="32"/>
      <c r="R468" s="32"/>
      <c r="S468" s="35"/>
      <c r="T468" s="91"/>
      <c r="U468" s="60"/>
      <c r="V468" s="36"/>
      <c r="W468" s="31"/>
      <c r="X468" s="59"/>
      <c r="Y468" s="59" t="str">
        <f>IFERROR(VLOOKUP($A468,APOIO!$A:$A,1,FALSE),"ERRO")</f>
        <v>ERRO</v>
      </c>
      <c r="Z468"/>
    </row>
    <row r="469" spans="1:26" ht="15" x14ac:dyDescent="0.25">
      <c r="A469" s="94"/>
      <c r="B469" s="32" t="str">
        <f>IF($A469="","",VLOOKUP($A469,APOIO!$A:$E,2,FALSE))</f>
        <v/>
      </c>
      <c r="C469" s="94"/>
      <c r="D469" s="32" t="str">
        <f>IF($A469="","",INDEX(APOIO!$D:$D,MATCH(CONCATENATE($A469,"_",$B469,"_",$C469),APOIO!$F:$F,0)))</f>
        <v/>
      </c>
      <c r="E469" s="31"/>
      <c r="F469" s="31"/>
      <c r="G469" s="33"/>
      <c r="H469" s="105"/>
      <c r="I469" s="32" t="str">
        <f>IF($A469="","",VLOOKUP($H469,APOIO!$L:$M,2,FALSE))</f>
        <v/>
      </c>
      <c r="J469" s="31"/>
      <c r="K469" s="32" t="str">
        <f>IF($A469="","",VLOOKUP($J469,APOIO!$H:$J,2,FALSE))</f>
        <v/>
      </c>
      <c r="L469" s="32" t="str">
        <f>IF($A469="","",VLOOKUP($J469,APOIO!$H:$J,3,FALSE))</f>
        <v/>
      </c>
      <c r="M469" s="31"/>
      <c r="N469" s="34"/>
      <c r="O469" s="32"/>
      <c r="P469" s="32"/>
      <c r="Q469" s="32"/>
      <c r="R469" s="32"/>
      <c r="S469" s="35"/>
      <c r="T469" s="91"/>
      <c r="U469" s="60"/>
      <c r="V469" s="36"/>
      <c r="W469" s="31"/>
      <c r="X469" s="59"/>
      <c r="Y469" s="59" t="str">
        <f>IFERROR(VLOOKUP($A469,APOIO!$A:$A,1,FALSE),"ERRO")</f>
        <v>ERRO</v>
      </c>
      <c r="Z469"/>
    </row>
    <row r="470" spans="1:26" ht="15" x14ac:dyDescent="0.25">
      <c r="A470" s="94"/>
      <c r="B470" s="32" t="str">
        <f>IF($A470="","",VLOOKUP($A470,APOIO!$A:$E,2,FALSE))</f>
        <v/>
      </c>
      <c r="C470" s="94"/>
      <c r="D470" s="32" t="str">
        <f>IF($A470="","",INDEX(APOIO!$D:$D,MATCH(CONCATENATE($A470,"_",$B470,"_",$C470),APOIO!$F:$F,0)))</f>
        <v/>
      </c>
      <c r="E470" s="31"/>
      <c r="F470" s="31"/>
      <c r="G470" s="33"/>
      <c r="H470" s="105"/>
      <c r="I470" s="32" t="str">
        <f>IF($A470="","",VLOOKUP($H470,APOIO!$L:$M,2,FALSE))</f>
        <v/>
      </c>
      <c r="J470" s="31"/>
      <c r="K470" s="32" t="str">
        <f>IF($A470="","",VLOOKUP($J470,APOIO!$H:$J,2,FALSE))</f>
        <v/>
      </c>
      <c r="L470" s="32" t="str">
        <f>IF($A470="","",VLOOKUP($J470,APOIO!$H:$J,3,FALSE))</f>
        <v/>
      </c>
      <c r="M470" s="31"/>
      <c r="N470" s="34"/>
      <c r="O470" s="32"/>
      <c r="P470" s="32"/>
      <c r="Q470" s="32"/>
      <c r="R470" s="32"/>
      <c r="S470" s="35"/>
      <c r="T470" s="91"/>
      <c r="U470" s="60"/>
      <c r="V470" s="36"/>
      <c r="W470" s="31"/>
      <c r="X470" s="59"/>
      <c r="Y470" s="59" t="str">
        <f>IFERROR(VLOOKUP($A470,APOIO!$A:$A,1,FALSE),"ERRO")</f>
        <v>ERRO</v>
      </c>
      <c r="Z470"/>
    </row>
    <row r="471" spans="1:26" ht="15" x14ac:dyDescent="0.25">
      <c r="A471" s="94"/>
      <c r="B471" s="32" t="str">
        <f>IF($A471="","",VLOOKUP($A471,APOIO!$A:$E,2,FALSE))</f>
        <v/>
      </c>
      <c r="C471" s="94"/>
      <c r="D471" s="32" t="str">
        <f>IF($A471="","",INDEX(APOIO!$D:$D,MATCH(CONCATENATE($A471,"_",$B471,"_",$C471),APOIO!$F:$F,0)))</f>
        <v/>
      </c>
      <c r="E471" s="31"/>
      <c r="F471" s="31"/>
      <c r="G471" s="33"/>
      <c r="H471" s="105"/>
      <c r="I471" s="32" t="str">
        <f>IF($A471="","",VLOOKUP($H471,APOIO!$L:$M,2,FALSE))</f>
        <v/>
      </c>
      <c r="J471" s="31"/>
      <c r="K471" s="32" t="str">
        <f>IF($A471="","",VLOOKUP($J471,APOIO!$H:$J,2,FALSE))</f>
        <v/>
      </c>
      <c r="L471" s="32" t="str">
        <f>IF($A471="","",VLOOKUP($J471,APOIO!$H:$J,3,FALSE))</f>
        <v/>
      </c>
      <c r="M471" s="31"/>
      <c r="N471" s="34"/>
      <c r="O471" s="32"/>
      <c r="P471" s="32"/>
      <c r="Q471" s="32"/>
      <c r="R471" s="32"/>
      <c r="S471" s="35"/>
      <c r="T471" s="91"/>
      <c r="U471" s="60"/>
      <c r="V471" s="36"/>
      <c r="W471" s="31"/>
      <c r="X471" s="59"/>
      <c r="Y471" s="59" t="str">
        <f>IFERROR(VLOOKUP($A471,APOIO!$A:$A,1,FALSE),"ERRO")</f>
        <v>ERRO</v>
      </c>
      <c r="Z471"/>
    </row>
    <row r="472" spans="1:26" ht="15" x14ac:dyDescent="0.25">
      <c r="A472" s="94"/>
      <c r="B472" s="32" t="str">
        <f>IF($A472="","",VLOOKUP($A472,APOIO!$A:$E,2,FALSE))</f>
        <v/>
      </c>
      <c r="C472" s="94"/>
      <c r="D472" s="32" t="str">
        <f>IF($A472="","",INDEX(APOIO!$D:$D,MATCH(CONCATENATE($A472,"_",$B472,"_",$C472),APOIO!$F:$F,0)))</f>
        <v/>
      </c>
      <c r="E472" s="31"/>
      <c r="F472" s="31"/>
      <c r="G472" s="33"/>
      <c r="H472" s="105"/>
      <c r="I472" s="32" t="str">
        <f>IF($A472="","",VLOOKUP($H472,APOIO!$L:$M,2,FALSE))</f>
        <v/>
      </c>
      <c r="J472" s="31"/>
      <c r="K472" s="32" t="str">
        <f>IF($A472="","",VLOOKUP($J472,APOIO!$H:$J,2,FALSE))</f>
        <v/>
      </c>
      <c r="L472" s="32" t="str">
        <f>IF($A472="","",VLOOKUP($J472,APOIO!$H:$J,3,FALSE))</f>
        <v/>
      </c>
      <c r="M472" s="31"/>
      <c r="N472" s="34"/>
      <c r="O472" s="32"/>
      <c r="P472" s="32"/>
      <c r="Q472" s="32"/>
      <c r="R472" s="32"/>
      <c r="S472" s="35"/>
      <c r="T472" s="91"/>
      <c r="U472" s="60"/>
      <c r="V472" s="36"/>
      <c r="W472" s="31"/>
      <c r="X472" s="59"/>
      <c r="Y472" s="59" t="str">
        <f>IFERROR(VLOOKUP($A472,APOIO!$A:$A,1,FALSE),"ERRO")</f>
        <v>ERRO</v>
      </c>
      <c r="Z472"/>
    </row>
    <row r="473" spans="1:26" ht="15" x14ac:dyDescent="0.25">
      <c r="A473" s="94"/>
      <c r="B473" s="32" t="str">
        <f>IF($A473="","",VLOOKUP($A473,APOIO!$A:$E,2,FALSE))</f>
        <v/>
      </c>
      <c r="C473" s="94"/>
      <c r="D473" s="32" t="str">
        <f>IF($A473="","",INDEX(APOIO!$D:$D,MATCH(CONCATENATE($A473,"_",$B473,"_",$C473),APOIO!$F:$F,0)))</f>
        <v/>
      </c>
      <c r="E473" s="31"/>
      <c r="F473" s="31"/>
      <c r="G473" s="33"/>
      <c r="H473" s="105"/>
      <c r="I473" s="32" t="str">
        <f>IF($A473="","",VLOOKUP($H473,APOIO!$L:$M,2,FALSE))</f>
        <v/>
      </c>
      <c r="J473" s="31"/>
      <c r="K473" s="32" t="str">
        <f>IF($A473="","",VLOOKUP($J473,APOIO!$H:$J,2,FALSE))</f>
        <v/>
      </c>
      <c r="L473" s="32" t="str">
        <f>IF($A473="","",VLOOKUP($J473,APOIO!$H:$J,3,FALSE))</f>
        <v/>
      </c>
      <c r="M473" s="31"/>
      <c r="N473" s="34"/>
      <c r="O473" s="32"/>
      <c r="P473" s="32"/>
      <c r="Q473" s="32"/>
      <c r="R473" s="32"/>
      <c r="S473" s="35"/>
      <c r="T473" s="91"/>
      <c r="U473" s="60"/>
      <c r="V473" s="36"/>
      <c r="W473" s="31"/>
      <c r="X473" s="59"/>
      <c r="Y473" s="59" t="str">
        <f>IFERROR(VLOOKUP($A473,APOIO!$A:$A,1,FALSE),"ERRO")</f>
        <v>ERRO</v>
      </c>
      <c r="Z473"/>
    </row>
    <row r="474" spans="1:26" ht="15" x14ac:dyDescent="0.25">
      <c r="A474" s="94"/>
      <c r="B474" s="32" t="str">
        <f>IF($A474="","",VLOOKUP($A474,APOIO!$A:$E,2,FALSE))</f>
        <v/>
      </c>
      <c r="C474" s="94"/>
      <c r="D474" s="32" t="str">
        <f>IF($A474="","",INDEX(APOIO!$D:$D,MATCH(CONCATENATE($A474,"_",$B474,"_",$C474),APOIO!$F:$F,0)))</f>
        <v/>
      </c>
      <c r="E474" s="31"/>
      <c r="F474" s="31"/>
      <c r="G474" s="33"/>
      <c r="H474" s="105"/>
      <c r="I474" s="32" t="str">
        <f>IF($A474="","",VLOOKUP($H474,APOIO!$L:$M,2,FALSE))</f>
        <v/>
      </c>
      <c r="J474" s="31"/>
      <c r="K474" s="32" t="str">
        <f>IF($A474="","",VLOOKUP($J474,APOIO!$H:$J,2,FALSE))</f>
        <v/>
      </c>
      <c r="L474" s="32" t="str">
        <f>IF($A474="","",VLOOKUP($J474,APOIO!$H:$J,3,FALSE))</f>
        <v/>
      </c>
      <c r="M474" s="31"/>
      <c r="N474" s="34"/>
      <c r="O474" s="32"/>
      <c r="P474" s="32"/>
      <c r="Q474" s="32"/>
      <c r="R474" s="32"/>
      <c r="S474" s="35"/>
      <c r="T474" s="91"/>
      <c r="U474" s="60"/>
      <c r="V474" s="36"/>
      <c r="W474" s="31"/>
      <c r="X474" s="59"/>
      <c r="Y474" s="59" t="str">
        <f>IFERROR(VLOOKUP($A474,APOIO!$A:$A,1,FALSE),"ERRO")</f>
        <v>ERRO</v>
      </c>
      <c r="Z474"/>
    </row>
    <row r="475" spans="1:26" ht="15" x14ac:dyDescent="0.25">
      <c r="A475" s="94"/>
      <c r="B475" s="32" t="str">
        <f>IF($A475="","",VLOOKUP($A475,APOIO!$A:$E,2,FALSE))</f>
        <v/>
      </c>
      <c r="C475" s="94"/>
      <c r="D475" s="32" t="str">
        <f>IF($A475="","",INDEX(APOIO!$D:$D,MATCH(CONCATENATE($A475,"_",$B475,"_",$C475),APOIO!$F:$F,0)))</f>
        <v/>
      </c>
      <c r="E475" s="31"/>
      <c r="F475" s="31"/>
      <c r="G475" s="33"/>
      <c r="H475" s="105"/>
      <c r="I475" s="32" t="str">
        <f>IF($A475="","",VLOOKUP($H475,APOIO!$L:$M,2,FALSE))</f>
        <v/>
      </c>
      <c r="J475" s="31"/>
      <c r="K475" s="32" t="str">
        <f>IF($A475="","",VLOOKUP($J475,APOIO!$H:$J,2,FALSE))</f>
        <v/>
      </c>
      <c r="L475" s="32" t="str">
        <f>IF($A475="","",VLOOKUP($J475,APOIO!$H:$J,3,FALSE))</f>
        <v/>
      </c>
      <c r="M475" s="31"/>
      <c r="N475" s="34"/>
      <c r="O475" s="32"/>
      <c r="P475" s="32"/>
      <c r="Q475" s="32"/>
      <c r="R475" s="32"/>
      <c r="S475" s="35"/>
      <c r="T475" s="91"/>
      <c r="U475" s="60"/>
      <c r="V475" s="36"/>
      <c r="W475" s="31"/>
      <c r="X475" s="59"/>
      <c r="Y475" s="59" t="str">
        <f>IFERROR(VLOOKUP($A475,APOIO!$A:$A,1,FALSE),"ERRO")</f>
        <v>ERRO</v>
      </c>
      <c r="Z475"/>
    </row>
    <row r="476" spans="1:26" ht="15" x14ac:dyDescent="0.25">
      <c r="A476" s="94"/>
      <c r="B476" s="32" t="str">
        <f>IF($A476="","",VLOOKUP($A476,APOIO!$A:$E,2,FALSE))</f>
        <v/>
      </c>
      <c r="C476" s="94"/>
      <c r="D476" s="32" t="str">
        <f>IF($A476="","",INDEX(APOIO!$D:$D,MATCH(CONCATENATE($A476,"_",$B476,"_",$C476),APOIO!$F:$F,0)))</f>
        <v/>
      </c>
      <c r="E476" s="31"/>
      <c r="F476" s="31"/>
      <c r="G476" s="33"/>
      <c r="H476" s="105"/>
      <c r="I476" s="32" t="str">
        <f>IF($A476="","",VLOOKUP($H476,APOIO!$L:$M,2,FALSE))</f>
        <v/>
      </c>
      <c r="J476" s="31"/>
      <c r="K476" s="32" t="str">
        <f>IF($A476="","",VLOOKUP($J476,APOIO!$H:$J,2,FALSE))</f>
        <v/>
      </c>
      <c r="L476" s="32" t="str">
        <f>IF($A476="","",VLOOKUP($J476,APOIO!$H:$J,3,FALSE))</f>
        <v/>
      </c>
      <c r="M476" s="31"/>
      <c r="N476" s="34"/>
      <c r="O476" s="32"/>
      <c r="P476" s="32"/>
      <c r="Q476" s="32"/>
      <c r="R476" s="32"/>
      <c r="S476" s="35"/>
      <c r="T476" s="91"/>
      <c r="U476" s="60"/>
      <c r="V476" s="36"/>
      <c r="W476" s="31"/>
      <c r="X476" s="59"/>
      <c r="Y476" s="59" t="str">
        <f>IFERROR(VLOOKUP($A476,APOIO!$A:$A,1,FALSE),"ERRO")</f>
        <v>ERRO</v>
      </c>
      <c r="Z476"/>
    </row>
    <row r="477" spans="1:26" ht="15" x14ac:dyDescent="0.25">
      <c r="A477" s="94"/>
      <c r="B477" s="32" t="str">
        <f>IF($A477="","",VLOOKUP($A477,APOIO!$A:$E,2,FALSE))</f>
        <v/>
      </c>
      <c r="C477" s="94"/>
      <c r="D477" s="32" t="str">
        <f>IF($A477="","",INDEX(APOIO!$D:$D,MATCH(CONCATENATE($A477,"_",$B477,"_",$C477),APOIO!$F:$F,0)))</f>
        <v/>
      </c>
      <c r="E477" s="31"/>
      <c r="F477" s="31"/>
      <c r="G477" s="33"/>
      <c r="H477" s="105"/>
      <c r="I477" s="32" t="str">
        <f>IF($A477="","",VLOOKUP($H477,APOIO!$L:$M,2,FALSE))</f>
        <v/>
      </c>
      <c r="J477" s="31"/>
      <c r="K477" s="32" t="str">
        <f>IF($A477="","",VLOOKUP($J477,APOIO!$H:$J,2,FALSE))</f>
        <v/>
      </c>
      <c r="L477" s="32" t="str">
        <f>IF($A477="","",VLOOKUP($J477,APOIO!$H:$J,3,FALSE))</f>
        <v/>
      </c>
      <c r="M477" s="31"/>
      <c r="N477" s="34"/>
      <c r="O477" s="32"/>
      <c r="P477" s="32"/>
      <c r="Q477" s="32"/>
      <c r="R477" s="32"/>
      <c r="S477" s="35"/>
      <c r="T477" s="91"/>
      <c r="U477" s="60"/>
      <c r="V477" s="36"/>
      <c r="W477" s="31"/>
      <c r="X477" s="59"/>
      <c r="Y477" s="59" t="str">
        <f>IFERROR(VLOOKUP($A477,APOIO!$A:$A,1,FALSE),"ERRO")</f>
        <v>ERRO</v>
      </c>
      <c r="Z477"/>
    </row>
    <row r="478" spans="1:26" ht="15" x14ac:dyDescent="0.25">
      <c r="A478" s="94"/>
      <c r="B478" s="32" t="str">
        <f>IF($A478="","",VLOOKUP($A478,APOIO!$A:$E,2,FALSE))</f>
        <v/>
      </c>
      <c r="C478" s="94"/>
      <c r="D478" s="32" t="str">
        <f>IF($A478="","",INDEX(APOIO!$D:$D,MATCH(CONCATENATE($A478,"_",$B478,"_",$C478),APOIO!$F:$F,0)))</f>
        <v/>
      </c>
      <c r="E478" s="31"/>
      <c r="F478" s="31"/>
      <c r="G478" s="33"/>
      <c r="H478" s="105"/>
      <c r="I478" s="32" t="str">
        <f>IF($A478="","",VLOOKUP($H478,APOIO!$L:$M,2,FALSE))</f>
        <v/>
      </c>
      <c r="J478" s="31"/>
      <c r="K478" s="32" t="str">
        <f>IF($A478="","",VLOOKUP($J478,APOIO!$H:$J,2,FALSE))</f>
        <v/>
      </c>
      <c r="L478" s="32" t="str">
        <f>IF($A478="","",VLOOKUP($J478,APOIO!$H:$J,3,FALSE))</f>
        <v/>
      </c>
      <c r="M478" s="31"/>
      <c r="N478" s="34"/>
      <c r="O478" s="32"/>
      <c r="P478" s="32"/>
      <c r="Q478" s="32"/>
      <c r="R478" s="32"/>
      <c r="S478" s="35"/>
      <c r="T478" s="91"/>
      <c r="U478" s="60"/>
      <c r="V478" s="36"/>
      <c r="W478" s="31"/>
      <c r="X478" s="59"/>
      <c r="Y478" s="59" t="str">
        <f>IFERROR(VLOOKUP($A478,APOIO!$A:$A,1,FALSE),"ERRO")</f>
        <v>ERRO</v>
      </c>
      <c r="Z478"/>
    </row>
    <row r="479" spans="1:26" ht="15" x14ac:dyDescent="0.25">
      <c r="A479" s="94"/>
      <c r="B479" s="32" t="str">
        <f>IF($A479="","",VLOOKUP($A479,APOIO!$A:$E,2,FALSE))</f>
        <v/>
      </c>
      <c r="C479" s="94"/>
      <c r="D479" s="32" t="str">
        <f>IF($A479="","",INDEX(APOIO!$D:$D,MATCH(CONCATENATE($A479,"_",$B479,"_",$C479),APOIO!$F:$F,0)))</f>
        <v/>
      </c>
      <c r="E479" s="31"/>
      <c r="F479" s="31"/>
      <c r="G479" s="33"/>
      <c r="H479" s="105"/>
      <c r="I479" s="32" t="str">
        <f>IF($A479="","",VLOOKUP($H479,APOIO!$L:$M,2,FALSE))</f>
        <v/>
      </c>
      <c r="J479" s="31"/>
      <c r="K479" s="32" t="str">
        <f>IF($A479="","",VLOOKUP($J479,APOIO!$H:$J,2,FALSE))</f>
        <v/>
      </c>
      <c r="L479" s="32" t="str">
        <f>IF($A479="","",VLOOKUP($J479,APOIO!$H:$J,3,FALSE))</f>
        <v/>
      </c>
      <c r="M479" s="31"/>
      <c r="N479" s="34"/>
      <c r="O479" s="32"/>
      <c r="P479" s="32"/>
      <c r="Q479" s="32"/>
      <c r="R479" s="32"/>
      <c r="S479" s="35"/>
      <c r="T479" s="91"/>
      <c r="U479" s="60"/>
      <c r="V479" s="36"/>
      <c r="W479" s="31"/>
      <c r="X479" s="59"/>
      <c r="Y479" s="59" t="str">
        <f>IFERROR(VLOOKUP($A479,APOIO!$A:$A,1,FALSE),"ERRO")</f>
        <v>ERRO</v>
      </c>
      <c r="Z479"/>
    </row>
    <row r="480" spans="1:26" ht="15" x14ac:dyDescent="0.25">
      <c r="A480" s="94"/>
      <c r="B480" s="32" t="str">
        <f>IF($A480="","",VLOOKUP($A480,APOIO!$A:$E,2,FALSE))</f>
        <v/>
      </c>
      <c r="C480" s="94"/>
      <c r="D480" s="32" t="str">
        <f>IF($A480="","",INDEX(APOIO!$D:$D,MATCH(CONCATENATE($A480,"_",$B480,"_",$C480),APOIO!$F:$F,0)))</f>
        <v/>
      </c>
      <c r="E480" s="31"/>
      <c r="F480" s="31"/>
      <c r="G480" s="33"/>
      <c r="H480" s="105"/>
      <c r="I480" s="32" t="str">
        <f>IF($A480="","",VLOOKUP($H480,APOIO!$L:$M,2,FALSE))</f>
        <v/>
      </c>
      <c r="J480" s="31"/>
      <c r="K480" s="32" t="str">
        <f>IF($A480="","",VLOOKUP($J480,APOIO!$H:$J,2,FALSE))</f>
        <v/>
      </c>
      <c r="L480" s="32" t="str">
        <f>IF($A480="","",VLOOKUP($J480,APOIO!$H:$J,3,FALSE))</f>
        <v/>
      </c>
      <c r="M480" s="31"/>
      <c r="N480" s="34"/>
      <c r="O480" s="32"/>
      <c r="P480" s="32"/>
      <c r="Q480" s="32"/>
      <c r="R480" s="32"/>
      <c r="S480" s="35"/>
      <c r="T480" s="91"/>
      <c r="U480" s="60"/>
      <c r="V480" s="36"/>
      <c r="W480" s="31"/>
      <c r="X480" s="59"/>
      <c r="Y480" s="59" t="str">
        <f>IFERROR(VLOOKUP($A480,APOIO!$A:$A,1,FALSE),"ERRO")</f>
        <v>ERRO</v>
      </c>
      <c r="Z480"/>
    </row>
    <row r="481" spans="1:26" ht="15" x14ac:dyDescent="0.25">
      <c r="A481" s="94"/>
      <c r="B481" s="32" t="str">
        <f>IF($A481="","",VLOOKUP($A481,APOIO!$A:$E,2,FALSE))</f>
        <v/>
      </c>
      <c r="C481" s="94"/>
      <c r="D481" s="32" t="str">
        <f>IF($A481="","",INDEX(APOIO!$D:$D,MATCH(CONCATENATE($A481,"_",$B481,"_",$C481),APOIO!$F:$F,0)))</f>
        <v/>
      </c>
      <c r="E481" s="31"/>
      <c r="F481" s="31"/>
      <c r="G481" s="33"/>
      <c r="H481" s="105"/>
      <c r="I481" s="32" t="str">
        <f>IF($A481="","",VLOOKUP($H481,APOIO!$L:$M,2,FALSE))</f>
        <v/>
      </c>
      <c r="J481" s="31"/>
      <c r="K481" s="32" t="str">
        <f>IF($A481="","",VLOOKUP($J481,APOIO!$H:$J,2,FALSE))</f>
        <v/>
      </c>
      <c r="L481" s="32" t="str">
        <f>IF($A481="","",VLOOKUP($J481,APOIO!$H:$J,3,FALSE))</f>
        <v/>
      </c>
      <c r="M481" s="31"/>
      <c r="N481" s="34"/>
      <c r="O481" s="32"/>
      <c r="P481" s="32"/>
      <c r="Q481" s="32"/>
      <c r="R481" s="32"/>
      <c r="S481" s="35"/>
      <c r="T481" s="91"/>
      <c r="U481" s="60"/>
      <c r="V481" s="36"/>
      <c r="W481" s="31"/>
      <c r="X481" s="59"/>
      <c r="Y481" s="59" t="str">
        <f>IFERROR(VLOOKUP($A481,APOIO!$A:$A,1,FALSE),"ERRO")</f>
        <v>ERRO</v>
      </c>
      <c r="Z481"/>
    </row>
    <row r="482" spans="1:26" ht="15" x14ac:dyDescent="0.25">
      <c r="A482" s="94"/>
      <c r="B482" s="32" t="str">
        <f>IF($A482="","",VLOOKUP($A482,APOIO!$A:$E,2,FALSE))</f>
        <v/>
      </c>
      <c r="C482" s="94"/>
      <c r="D482" s="32" t="str">
        <f>IF($A482="","",INDEX(APOIO!$D:$D,MATCH(CONCATENATE($A482,"_",$B482,"_",$C482),APOIO!$F:$F,0)))</f>
        <v/>
      </c>
      <c r="E482" s="31"/>
      <c r="F482" s="31"/>
      <c r="G482" s="33"/>
      <c r="H482" s="105"/>
      <c r="I482" s="32" t="str">
        <f>IF($A482="","",VLOOKUP($H482,APOIO!$L:$M,2,FALSE))</f>
        <v/>
      </c>
      <c r="J482" s="31"/>
      <c r="K482" s="32" t="str">
        <f>IF($A482="","",VLOOKUP($J482,APOIO!$H:$J,2,FALSE))</f>
        <v/>
      </c>
      <c r="L482" s="32" t="str">
        <f>IF($A482="","",VLOOKUP($J482,APOIO!$H:$J,3,FALSE))</f>
        <v/>
      </c>
      <c r="M482" s="31"/>
      <c r="N482" s="34"/>
      <c r="O482" s="32"/>
      <c r="P482" s="32"/>
      <c r="Q482" s="32"/>
      <c r="R482" s="32"/>
      <c r="S482" s="35"/>
      <c r="T482" s="91"/>
      <c r="U482" s="60"/>
      <c r="V482" s="36"/>
      <c r="W482" s="31"/>
      <c r="X482" s="59"/>
      <c r="Y482" s="59" t="str">
        <f>IFERROR(VLOOKUP($A482,APOIO!$A:$A,1,FALSE),"ERRO")</f>
        <v>ERRO</v>
      </c>
      <c r="Z482"/>
    </row>
    <row r="483" spans="1:26" ht="15" x14ac:dyDescent="0.25">
      <c r="A483" s="94"/>
      <c r="B483" s="32" t="str">
        <f>IF($A483="","",VLOOKUP($A483,APOIO!$A:$E,2,FALSE))</f>
        <v/>
      </c>
      <c r="C483" s="94"/>
      <c r="D483" s="32" t="str">
        <f>IF($A483="","",INDEX(APOIO!$D:$D,MATCH(CONCATENATE($A483,"_",$B483,"_",$C483),APOIO!$F:$F,0)))</f>
        <v/>
      </c>
      <c r="E483" s="31"/>
      <c r="F483" s="31"/>
      <c r="G483" s="33"/>
      <c r="H483" s="105"/>
      <c r="I483" s="32" t="str">
        <f>IF($A483="","",VLOOKUP($H483,APOIO!$L:$M,2,FALSE))</f>
        <v/>
      </c>
      <c r="J483" s="31"/>
      <c r="K483" s="32" t="str">
        <f>IF($A483="","",VLOOKUP($J483,APOIO!$H:$J,2,FALSE))</f>
        <v/>
      </c>
      <c r="L483" s="32" t="str">
        <f>IF($A483="","",VLOOKUP($J483,APOIO!$H:$J,3,FALSE))</f>
        <v/>
      </c>
      <c r="M483" s="31"/>
      <c r="N483" s="34"/>
      <c r="O483" s="32"/>
      <c r="P483" s="32"/>
      <c r="Q483" s="32"/>
      <c r="R483" s="32"/>
      <c r="S483" s="35"/>
      <c r="T483" s="91"/>
      <c r="U483" s="60"/>
      <c r="V483" s="36"/>
      <c r="W483" s="31"/>
      <c r="X483" s="59"/>
      <c r="Y483" s="59" t="str">
        <f>IFERROR(VLOOKUP($A483,APOIO!$A:$A,1,FALSE),"ERRO")</f>
        <v>ERRO</v>
      </c>
      <c r="Z483"/>
    </row>
    <row r="484" spans="1:26" ht="15" x14ac:dyDescent="0.25">
      <c r="A484" s="94"/>
      <c r="B484" s="32" t="str">
        <f>IF($A484="","",VLOOKUP($A484,APOIO!$A:$E,2,FALSE))</f>
        <v/>
      </c>
      <c r="C484" s="94"/>
      <c r="D484" s="32" t="str">
        <f>IF($A484="","",INDEX(APOIO!$D:$D,MATCH(CONCATENATE($A484,"_",$B484,"_",$C484),APOIO!$F:$F,0)))</f>
        <v/>
      </c>
      <c r="E484" s="31"/>
      <c r="F484" s="31"/>
      <c r="G484" s="33"/>
      <c r="H484" s="105"/>
      <c r="I484" s="32" t="str">
        <f>IF($A484="","",VLOOKUP($H484,APOIO!$L:$M,2,FALSE))</f>
        <v/>
      </c>
      <c r="J484" s="31"/>
      <c r="K484" s="32" t="str">
        <f>IF($A484="","",VLOOKUP($J484,APOIO!$H:$J,2,FALSE))</f>
        <v/>
      </c>
      <c r="L484" s="32" t="str">
        <f>IF($A484="","",VLOOKUP($J484,APOIO!$H:$J,3,FALSE))</f>
        <v/>
      </c>
      <c r="M484" s="31"/>
      <c r="N484" s="34"/>
      <c r="O484" s="32"/>
      <c r="P484" s="32"/>
      <c r="Q484" s="32"/>
      <c r="R484" s="32"/>
      <c r="S484" s="35"/>
      <c r="T484" s="91"/>
      <c r="U484" s="60"/>
      <c r="V484" s="36"/>
      <c r="W484" s="31"/>
      <c r="X484" s="59"/>
      <c r="Y484" s="59" t="str">
        <f>IFERROR(VLOOKUP($A484,APOIO!$A:$A,1,FALSE),"ERRO")</f>
        <v>ERRO</v>
      </c>
      <c r="Z484"/>
    </row>
    <row r="485" spans="1:26" ht="15" x14ac:dyDescent="0.25">
      <c r="A485" s="94"/>
      <c r="B485" s="32" t="str">
        <f>IF($A485="","",VLOOKUP($A485,APOIO!$A:$E,2,FALSE))</f>
        <v/>
      </c>
      <c r="C485" s="94"/>
      <c r="D485" s="32" t="str">
        <f>IF($A485="","",INDEX(APOIO!$D:$D,MATCH(CONCATENATE($A485,"_",$B485,"_",$C485),APOIO!$F:$F,0)))</f>
        <v/>
      </c>
      <c r="E485" s="31"/>
      <c r="F485" s="31"/>
      <c r="G485" s="33"/>
      <c r="H485" s="105"/>
      <c r="I485" s="32" t="str">
        <f>IF($A485="","",VLOOKUP($H485,APOIO!$L:$M,2,FALSE))</f>
        <v/>
      </c>
      <c r="J485" s="31"/>
      <c r="K485" s="32" t="str">
        <f>IF($A485="","",VLOOKUP($J485,APOIO!$H:$J,2,FALSE))</f>
        <v/>
      </c>
      <c r="L485" s="32" t="str">
        <f>IF($A485="","",VLOOKUP($J485,APOIO!$H:$J,3,FALSE))</f>
        <v/>
      </c>
      <c r="M485" s="31"/>
      <c r="N485" s="34"/>
      <c r="O485" s="32"/>
      <c r="P485" s="32"/>
      <c r="Q485" s="32"/>
      <c r="R485" s="32"/>
      <c r="S485" s="35"/>
      <c r="T485" s="91"/>
      <c r="U485" s="60"/>
      <c r="V485" s="36"/>
      <c r="W485" s="31"/>
      <c r="X485" s="59"/>
      <c r="Y485" s="59" t="str">
        <f>IFERROR(VLOOKUP($A485,APOIO!$A:$A,1,FALSE),"ERRO")</f>
        <v>ERRO</v>
      </c>
      <c r="Z485"/>
    </row>
    <row r="486" spans="1:26" ht="15" x14ac:dyDescent="0.25">
      <c r="A486" s="94"/>
      <c r="B486" s="32" t="str">
        <f>IF($A486="","",VLOOKUP($A486,APOIO!$A:$E,2,FALSE))</f>
        <v/>
      </c>
      <c r="C486" s="94"/>
      <c r="D486" s="32" t="str">
        <f>IF($A486="","",INDEX(APOIO!$D:$D,MATCH(CONCATENATE($A486,"_",$B486,"_",$C486),APOIO!$F:$F,0)))</f>
        <v/>
      </c>
      <c r="E486" s="31"/>
      <c r="F486" s="31"/>
      <c r="G486" s="33"/>
      <c r="H486" s="105"/>
      <c r="I486" s="32" t="str">
        <f>IF($A486="","",VLOOKUP($H486,APOIO!$L:$M,2,FALSE))</f>
        <v/>
      </c>
      <c r="J486" s="31"/>
      <c r="K486" s="32" t="str">
        <f>IF($A486="","",VLOOKUP($J486,APOIO!$H:$J,2,FALSE))</f>
        <v/>
      </c>
      <c r="L486" s="32" t="str">
        <f>IF($A486="","",VLOOKUP($J486,APOIO!$H:$J,3,FALSE))</f>
        <v/>
      </c>
      <c r="M486" s="31"/>
      <c r="N486" s="34"/>
      <c r="O486" s="32"/>
      <c r="P486" s="32"/>
      <c r="Q486" s="32"/>
      <c r="R486" s="32"/>
      <c r="S486" s="35"/>
      <c r="T486" s="91"/>
      <c r="U486" s="60"/>
      <c r="V486" s="36"/>
      <c r="W486" s="31"/>
      <c r="X486" s="59"/>
      <c r="Y486" s="59" t="str">
        <f>IFERROR(VLOOKUP($A486,APOIO!$A:$A,1,FALSE),"ERRO")</f>
        <v>ERRO</v>
      </c>
      <c r="Z486"/>
    </row>
    <row r="487" spans="1:26" ht="15" x14ac:dyDescent="0.25">
      <c r="A487" s="94"/>
      <c r="B487" s="32" t="str">
        <f>IF($A487="","",VLOOKUP($A487,APOIO!$A:$E,2,FALSE))</f>
        <v/>
      </c>
      <c r="C487" s="94"/>
      <c r="D487" s="32" t="str">
        <f>IF($A487="","",INDEX(APOIO!$D:$D,MATCH(CONCATENATE($A487,"_",$B487,"_",$C487),APOIO!$F:$F,0)))</f>
        <v/>
      </c>
      <c r="E487" s="31"/>
      <c r="F487" s="31"/>
      <c r="G487" s="33"/>
      <c r="H487" s="105"/>
      <c r="I487" s="32" t="str">
        <f>IF($A487="","",VLOOKUP($H487,APOIO!$L:$M,2,FALSE))</f>
        <v/>
      </c>
      <c r="J487" s="31"/>
      <c r="K487" s="32" t="str">
        <f>IF($A487="","",VLOOKUP($J487,APOIO!$H:$J,2,FALSE))</f>
        <v/>
      </c>
      <c r="L487" s="32" t="str">
        <f>IF($A487="","",VLOOKUP($J487,APOIO!$H:$J,3,FALSE))</f>
        <v/>
      </c>
      <c r="M487" s="31"/>
      <c r="N487" s="34"/>
      <c r="O487" s="32"/>
      <c r="P487" s="32"/>
      <c r="Q487" s="32"/>
      <c r="R487" s="32"/>
      <c r="S487" s="35"/>
      <c r="T487" s="91"/>
      <c r="U487" s="60"/>
      <c r="V487" s="36"/>
      <c r="W487" s="31"/>
      <c r="X487" s="59"/>
      <c r="Y487" s="59" t="str">
        <f>IFERROR(VLOOKUP($A487,APOIO!$A:$A,1,FALSE),"ERRO")</f>
        <v>ERRO</v>
      </c>
      <c r="Z487"/>
    </row>
    <row r="488" spans="1:26" ht="15" x14ac:dyDescent="0.25">
      <c r="A488" s="94"/>
      <c r="B488" s="32" t="str">
        <f>IF($A488="","",VLOOKUP($A488,APOIO!$A:$E,2,FALSE))</f>
        <v/>
      </c>
      <c r="C488" s="94"/>
      <c r="D488" s="32" t="str">
        <f>IF($A488="","",INDEX(APOIO!$D:$D,MATCH(CONCATENATE($A488,"_",$B488,"_",$C488),APOIO!$F:$F,0)))</f>
        <v/>
      </c>
      <c r="E488" s="31"/>
      <c r="F488" s="31"/>
      <c r="G488" s="33"/>
      <c r="H488" s="105"/>
      <c r="I488" s="32" t="str">
        <f>IF($A488="","",VLOOKUP($H488,APOIO!$L:$M,2,FALSE))</f>
        <v/>
      </c>
      <c r="J488" s="31"/>
      <c r="K488" s="32" t="str">
        <f>IF($A488="","",VLOOKUP($J488,APOIO!$H:$J,2,FALSE))</f>
        <v/>
      </c>
      <c r="L488" s="32" t="str">
        <f>IF($A488="","",VLOOKUP($J488,APOIO!$H:$J,3,FALSE))</f>
        <v/>
      </c>
      <c r="M488" s="31"/>
      <c r="N488" s="34"/>
      <c r="O488" s="32"/>
      <c r="P488" s="32"/>
      <c r="Q488" s="32"/>
      <c r="R488" s="32"/>
      <c r="S488" s="35"/>
      <c r="T488" s="91"/>
      <c r="U488" s="60"/>
      <c r="V488" s="36"/>
      <c r="W488" s="31"/>
      <c r="X488" s="59"/>
      <c r="Y488" s="59" t="str">
        <f>IFERROR(VLOOKUP($A488,APOIO!$A:$A,1,FALSE),"ERRO")</f>
        <v>ERRO</v>
      </c>
      <c r="Z488"/>
    </row>
    <row r="489" spans="1:26" ht="15" x14ac:dyDescent="0.25">
      <c r="A489" s="94"/>
      <c r="B489" s="32" t="str">
        <f>IF($A489="","",VLOOKUP($A489,APOIO!$A:$E,2,FALSE))</f>
        <v/>
      </c>
      <c r="C489" s="94"/>
      <c r="D489" s="32" t="str">
        <f>IF($A489="","",INDEX(APOIO!$D:$D,MATCH(CONCATENATE($A489,"_",$B489,"_",$C489),APOIO!$F:$F,0)))</f>
        <v/>
      </c>
      <c r="E489" s="31"/>
      <c r="F489" s="31"/>
      <c r="G489" s="33"/>
      <c r="H489" s="105"/>
      <c r="I489" s="32" t="str">
        <f>IF($A489="","",VLOOKUP($H489,APOIO!$L:$M,2,FALSE))</f>
        <v/>
      </c>
      <c r="J489" s="31"/>
      <c r="K489" s="32" t="str">
        <f>IF($A489="","",VLOOKUP($J489,APOIO!$H:$J,2,FALSE))</f>
        <v/>
      </c>
      <c r="L489" s="32" t="str">
        <f>IF($A489="","",VLOOKUP($J489,APOIO!$H:$J,3,FALSE))</f>
        <v/>
      </c>
      <c r="M489" s="31"/>
      <c r="N489" s="34"/>
      <c r="O489" s="32"/>
      <c r="P489" s="32"/>
      <c r="Q489" s="32"/>
      <c r="R489" s="32"/>
      <c r="S489" s="35"/>
      <c r="T489" s="91"/>
      <c r="U489" s="60"/>
      <c r="V489" s="36"/>
      <c r="W489" s="31"/>
      <c r="X489" s="59"/>
      <c r="Y489" s="59" t="str">
        <f>IFERROR(VLOOKUP($A489,APOIO!$A:$A,1,FALSE),"ERRO")</f>
        <v>ERRO</v>
      </c>
      <c r="Z489"/>
    </row>
    <row r="490" spans="1:26" ht="15" x14ac:dyDescent="0.25">
      <c r="A490" s="94"/>
      <c r="B490" s="32" t="str">
        <f>IF($A490="","",VLOOKUP($A490,APOIO!$A:$E,2,FALSE))</f>
        <v/>
      </c>
      <c r="C490" s="94"/>
      <c r="D490" s="32" t="str">
        <f>IF($A490="","",INDEX(APOIO!$D:$D,MATCH(CONCATENATE($A490,"_",$B490,"_",$C490),APOIO!$F:$F,0)))</f>
        <v/>
      </c>
      <c r="E490" s="31"/>
      <c r="F490" s="31"/>
      <c r="G490" s="33"/>
      <c r="H490" s="105"/>
      <c r="I490" s="32" t="str">
        <f>IF($A490="","",VLOOKUP($H490,APOIO!$L:$M,2,FALSE))</f>
        <v/>
      </c>
      <c r="J490" s="31"/>
      <c r="K490" s="32" t="str">
        <f>IF($A490="","",VLOOKUP($J490,APOIO!$H:$J,2,FALSE))</f>
        <v/>
      </c>
      <c r="L490" s="32" t="str">
        <f>IF($A490="","",VLOOKUP($J490,APOIO!$H:$J,3,FALSE))</f>
        <v/>
      </c>
      <c r="M490" s="31"/>
      <c r="N490" s="34"/>
      <c r="O490" s="32"/>
      <c r="P490" s="32"/>
      <c r="Q490" s="32"/>
      <c r="R490" s="32"/>
      <c r="S490" s="35"/>
      <c r="T490" s="91"/>
      <c r="U490" s="60"/>
      <c r="V490" s="36"/>
      <c r="W490" s="31"/>
      <c r="X490" s="59"/>
      <c r="Y490" s="59" t="str">
        <f>IFERROR(VLOOKUP($A490,APOIO!$A:$A,1,FALSE),"ERRO")</f>
        <v>ERRO</v>
      </c>
      <c r="Z490"/>
    </row>
    <row r="491" spans="1:26" ht="15" x14ac:dyDescent="0.25">
      <c r="A491" s="94"/>
      <c r="B491" s="32" t="str">
        <f>IF($A491="","",VLOOKUP($A491,APOIO!$A:$E,2,FALSE))</f>
        <v/>
      </c>
      <c r="C491" s="94"/>
      <c r="D491" s="32" t="str">
        <f>IF($A491="","",INDEX(APOIO!$D:$D,MATCH(CONCATENATE($A491,"_",$B491,"_",$C491),APOIO!$F:$F,0)))</f>
        <v/>
      </c>
      <c r="E491" s="31"/>
      <c r="F491" s="31"/>
      <c r="G491" s="33"/>
      <c r="H491" s="105"/>
      <c r="I491" s="32" t="str">
        <f>IF($A491="","",VLOOKUP($H491,APOIO!$L:$M,2,FALSE))</f>
        <v/>
      </c>
      <c r="J491" s="31"/>
      <c r="K491" s="32" t="str">
        <f>IF($A491="","",VLOOKUP($J491,APOIO!$H:$J,2,FALSE))</f>
        <v/>
      </c>
      <c r="L491" s="32" t="str">
        <f>IF($A491="","",VLOOKUP($J491,APOIO!$H:$J,3,FALSE))</f>
        <v/>
      </c>
      <c r="M491" s="31"/>
      <c r="N491" s="34"/>
      <c r="O491" s="32"/>
      <c r="P491" s="32"/>
      <c r="Q491" s="32"/>
      <c r="R491" s="32"/>
      <c r="S491" s="35"/>
      <c r="T491" s="91"/>
      <c r="U491" s="60"/>
      <c r="V491" s="36"/>
      <c r="W491" s="31"/>
      <c r="X491" s="59"/>
      <c r="Y491" s="59" t="str">
        <f>IFERROR(VLOOKUP($A491,APOIO!$A:$A,1,FALSE),"ERRO")</f>
        <v>ERRO</v>
      </c>
      <c r="Z491"/>
    </row>
    <row r="492" spans="1:26" ht="15" x14ac:dyDescent="0.25">
      <c r="A492" s="94"/>
      <c r="B492" s="32" t="str">
        <f>IF($A492="","",VLOOKUP($A492,APOIO!$A:$E,2,FALSE))</f>
        <v/>
      </c>
      <c r="C492" s="94"/>
      <c r="D492" s="32" t="str">
        <f>IF($A492="","",INDEX(APOIO!$D:$D,MATCH(CONCATENATE($A492,"_",$B492,"_",$C492),APOIO!$F:$F,0)))</f>
        <v/>
      </c>
      <c r="E492" s="31"/>
      <c r="F492" s="31"/>
      <c r="G492" s="33"/>
      <c r="H492" s="105"/>
      <c r="I492" s="32" t="str">
        <f>IF($A492="","",VLOOKUP($H492,APOIO!$L:$M,2,FALSE))</f>
        <v/>
      </c>
      <c r="J492" s="31"/>
      <c r="K492" s="32" t="str">
        <f>IF($A492="","",VLOOKUP($J492,APOIO!$H:$J,2,FALSE))</f>
        <v/>
      </c>
      <c r="L492" s="32" t="str">
        <f>IF($A492="","",VLOOKUP($J492,APOIO!$H:$J,3,FALSE))</f>
        <v/>
      </c>
      <c r="M492" s="31"/>
      <c r="N492" s="34"/>
      <c r="O492" s="32"/>
      <c r="P492" s="32"/>
      <c r="Q492" s="32"/>
      <c r="R492" s="32"/>
      <c r="S492" s="35"/>
      <c r="T492" s="91"/>
      <c r="U492" s="60"/>
      <c r="V492" s="36"/>
      <c r="W492" s="31"/>
      <c r="X492" s="59"/>
      <c r="Y492" s="59" t="str">
        <f>IFERROR(VLOOKUP($A492,APOIO!$A:$A,1,FALSE),"ERRO")</f>
        <v>ERRO</v>
      </c>
      <c r="Z492"/>
    </row>
    <row r="493" spans="1:26" ht="15" x14ac:dyDescent="0.25">
      <c r="A493" s="94"/>
      <c r="B493" s="32" t="str">
        <f>IF($A493="","",VLOOKUP($A493,APOIO!$A:$E,2,FALSE))</f>
        <v/>
      </c>
      <c r="C493" s="94"/>
      <c r="D493" s="32" t="str">
        <f>IF($A493="","",INDEX(APOIO!$D:$D,MATCH(CONCATENATE($A493,"_",$B493,"_",$C493),APOIO!$F:$F,0)))</f>
        <v/>
      </c>
      <c r="E493" s="31"/>
      <c r="F493" s="31"/>
      <c r="G493" s="33"/>
      <c r="H493" s="105"/>
      <c r="I493" s="32" t="str">
        <f>IF($A493="","",VLOOKUP($H493,APOIO!$L:$M,2,FALSE))</f>
        <v/>
      </c>
      <c r="J493" s="31"/>
      <c r="K493" s="32" t="str">
        <f>IF($A493="","",VLOOKUP($J493,APOIO!$H:$J,2,FALSE))</f>
        <v/>
      </c>
      <c r="L493" s="32" t="str">
        <f>IF($A493="","",VLOOKUP($J493,APOIO!$H:$J,3,FALSE))</f>
        <v/>
      </c>
      <c r="M493" s="31"/>
      <c r="N493" s="34"/>
      <c r="O493" s="32"/>
      <c r="P493" s="32"/>
      <c r="Q493" s="32"/>
      <c r="R493" s="32"/>
      <c r="S493" s="35"/>
      <c r="T493" s="91"/>
      <c r="U493" s="60"/>
      <c r="V493" s="36"/>
      <c r="W493" s="31"/>
      <c r="X493" s="59"/>
      <c r="Y493" s="59" t="str">
        <f>IFERROR(VLOOKUP($A493,APOIO!$A:$A,1,FALSE),"ERRO")</f>
        <v>ERRO</v>
      </c>
      <c r="Z493"/>
    </row>
    <row r="494" spans="1:26" ht="15" x14ac:dyDescent="0.25">
      <c r="A494" s="94"/>
      <c r="B494" s="32" t="str">
        <f>IF($A494="","",VLOOKUP($A494,APOIO!$A:$E,2,FALSE))</f>
        <v/>
      </c>
      <c r="C494" s="94"/>
      <c r="D494" s="32" t="str">
        <f>IF($A494="","",INDEX(APOIO!$D:$D,MATCH(CONCATENATE($A494,"_",$B494,"_",$C494),APOIO!$F:$F,0)))</f>
        <v/>
      </c>
      <c r="E494" s="31"/>
      <c r="F494" s="31"/>
      <c r="G494" s="33"/>
      <c r="H494" s="105"/>
      <c r="I494" s="32" t="str">
        <f>IF($A494="","",VLOOKUP($H494,APOIO!$L:$M,2,FALSE))</f>
        <v/>
      </c>
      <c r="J494" s="31"/>
      <c r="K494" s="32" t="str">
        <f>IF($A494="","",VLOOKUP($J494,APOIO!$H:$J,2,FALSE))</f>
        <v/>
      </c>
      <c r="L494" s="32" t="str">
        <f>IF($A494="","",VLOOKUP($J494,APOIO!$H:$J,3,FALSE))</f>
        <v/>
      </c>
      <c r="M494" s="31"/>
      <c r="N494" s="34"/>
      <c r="O494" s="32"/>
      <c r="P494" s="32"/>
      <c r="Q494" s="32"/>
      <c r="R494" s="32"/>
      <c r="S494" s="35"/>
      <c r="T494" s="91"/>
      <c r="U494" s="60"/>
      <c r="V494" s="36"/>
      <c r="W494" s="31"/>
      <c r="X494" s="59"/>
      <c r="Y494" s="59" t="str">
        <f>IFERROR(VLOOKUP($A494,APOIO!$A:$A,1,FALSE),"ERRO")</f>
        <v>ERRO</v>
      </c>
      <c r="Z494"/>
    </row>
    <row r="495" spans="1:26" ht="15" x14ac:dyDescent="0.25">
      <c r="A495" s="94"/>
      <c r="B495" s="32" t="str">
        <f>IF($A495="","",VLOOKUP($A495,APOIO!$A:$E,2,FALSE))</f>
        <v/>
      </c>
      <c r="C495" s="94"/>
      <c r="D495" s="32" t="str">
        <f>IF($A495="","",INDEX(APOIO!$D:$D,MATCH(CONCATENATE($A495,"_",$B495,"_",$C495),APOIO!$F:$F,0)))</f>
        <v/>
      </c>
      <c r="E495" s="31"/>
      <c r="F495" s="31"/>
      <c r="G495" s="33"/>
      <c r="H495" s="105"/>
      <c r="I495" s="32" t="str">
        <f>IF($A495="","",VLOOKUP($H495,APOIO!$L:$M,2,FALSE))</f>
        <v/>
      </c>
      <c r="J495" s="31"/>
      <c r="K495" s="32" t="str">
        <f>IF($A495="","",VLOOKUP($J495,APOIO!$H:$J,2,FALSE))</f>
        <v/>
      </c>
      <c r="L495" s="32" t="str">
        <f>IF($A495="","",VLOOKUP($J495,APOIO!$H:$J,3,FALSE))</f>
        <v/>
      </c>
      <c r="M495" s="31"/>
      <c r="N495" s="34"/>
      <c r="O495" s="32"/>
      <c r="P495" s="32"/>
      <c r="Q495" s="32"/>
      <c r="R495" s="32"/>
      <c r="S495" s="35"/>
      <c r="T495" s="91"/>
      <c r="U495" s="60"/>
      <c r="V495" s="36"/>
      <c r="W495" s="31"/>
      <c r="X495" s="59"/>
      <c r="Y495" s="59" t="str">
        <f>IFERROR(VLOOKUP($A495,APOIO!$A:$A,1,FALSE),"ERRO")</f>
        <v>ERRO</v>
      </c>
      <c r="Z495"/>
    </row>
    <row r="496" spans="1:26" ht="15" x14ac:dyDescent="0.25">
      <c r="A496" s="94"/>
      <c r="B496" s="32" t="str">
        <f>IF($A496="","",VLOOKUP($A496,APOIO!$A:$E,2,FALSE))</f>
        <v/>
      </c>
      <c r="C496" s="94"/>
      <c r="D496" s="32" t="str">
        <f>IF($A496="","",INDEX(APOIO!$D:$D,MATCH(CONCATENATE($A496,"_",$B496,"_",$C496),APOIO!$F:$F,0)))</f>
        <v/>
      </c>
      <c r="E496" s="31"/>
      <c r="F496" s="31"/>
      <c r="G496" s="33"/>
      <c r="H496" s="105"/>
      <c r="I496" s="32" t="str">
        <f>IF($A496="","",VLOOKUP($H496,APOIO!$L:$M,2,FALSE))</f>
        <v/>
      </c>
      <c r="J496" s="31"/>
      <c r="K496" s="32" t="str">
        <f>IF($A496="","",VLOOKUP($J496,APOIO!$H:$J,2,FALSE))</f>
        <v/>
      </c>
      <c r="L496" s="32" t="str">
        <f>IF($A496="","",VLOOKUP($J496,APOIO!$H:$J,3,FALSE))</f>
        <v/>
      </c>
      <c r="M496" s="31"/>
      <c r="N496" s="34"/>
      <c r="O496" s="32"/>
      <c r="P496" s="32"/>
      <c r="Q496" s="32"/>
      <c r="R496" s="32"/>
      <c r="S496" s="35"/>
      <c r="T496" s="91"/>
      <c r="U496" s="60"/>
      <c r="V496" s="36"/>
      <c r="W496" s="31"/>
      <c r="X496" s="59"/>
      <c r="Y496" s="59" t="str">
        <f>IFERROR(VLOOKUP($A496,APOIO!$A:$A,1,FALSE),"ERRO")</f>
        <v>ERRO</v>
      </c>
      <c r="Z496"/>
    </row>
    <row r="497" spans="1:26" ht="15" x14ac:dyDescent="0.25">
      <c r="A497" s="94"/>
      <c r="B497" s="32" t="str">
        <f>IF($A497="","",VLOOKUP($A497,APOIO!$A:$E,2,FALSE))</f>
        <v/>
      </c>
      <c r="C497" s="94"/>
      <c r="D497" s="32" t="str">
        <f>IF($A497="","",INDEX(APOIO!$D:$D,MATCH(CONCATENATE($A497,"_",$B497,"_",$C497),APOIO!$F:$F,0)))</f>
        <v/>
      </c>
      <c r="E497" s="31"/>
      <c r="F497" s="31"/>
      <c r="G497" s="33"/>
      <c r="H497" s="105"/>
      <c r="I497" s="32" t="str">
        <f>IF($A497="","",VLOOKUP($H497,APOIO!$L:$M,2,FALSE))</f>
        <v/>
      </c>
      <c r="J497" s="31"/>
      <c r="K497" s="32" t="str">
        <f>IF($A497="","",VLOOKUP($J497,APOIO!$H:$J,2,FALSE))</f>
        <v/>
      </c>
      <c r="L497" s="32" t="str">
        <f>IF($A497="","",VLOOKUP($J497,APOIO!$H:$J,3,FALSE))</f>
        <v/>
      </c>
      <c r="M497" s="31"/>
      <c r="N497" s="34"/>
      <c r="O497" s="32"/>
      <c r="P497" s="32"/>
      <c r="Q497" s="32"/>
      <c r="R497" s="32"/>
      <c r="S497" s="35"/>
      <c r="T497" s="91"/>
      <c r="U497" s="60"/>
      <c r="V497" s="36"/>
      <c r="W497" s="31"/>
      <c r="X497" s="59"/>
      <c r="Y497" s="59" t="str">
        <f>IFERROR(VLOOKUP($A497,APOIO!$A:$A,1,FALSE),"ERRO")</f>
        <v>ERRO</v>
      </c>
      <c r="Z497"/>
    </row>
    <row r="498" spans="1:26" ht="15" x14ac:dyDescent="0.25">
      <c r="A498" s="94"/>
      <c r="B498" s="32" t="str">
        <f>IF($A498="","",VLOOKUP($A498,APOIO!$A:$E,2,FALSE))</f>
        <v/>
      </c>
      <c r="C498" s="94"/>
      <c r="D498" s="32" t="str">
        <f>IF($A498="","",INDEX(APOIO!$D:$D,MATCH(CONCATENATE($A498,"_",$B498,"_",$C498),APOIO!$F:$F,0)))</f>
        <v/>
      </c>
      <c r="E498" s="31"/>
      <c r="F498" s="31"/>
      <c r="G498" s="33"/>
      <c r="H498" s="105"/>
      <c r="I498" s="32" t="str">
        <f>IF($A498="","",VLOOKUP($H498,APOIO!$L:$M,2,FALSE))</f>
        <v/>
      </c>
      <c r="J498" s="31"/>
      <c r="K498" s="32" t="str">
        <f>IF($A498="","",VLOOKUP($J498,APOIO!$H:$J,2,FALSE))</f>
        <v/>
      </c>
      <c r="L498" s="32" t="str">
        <f>IF($A498="","",VLOOKUP($J498,APOIO!$H:$J,3,FALSE))</f>
        <v/>
      </c>
      <c r="M498" s="31"/>
      <c r="N498" s="34"/>
      <c r="O498" s="32"/>
      <c r="P498" s="32"/>
      <c r="Q498" s="32"/>
      <c r="R498" s="32"/>
      <c r="S498" s="35"/>
      <c r="T498" s="91"/>
      <c r="U498" s="60"/>
      <c r="V498" s="36"/>
      <c r="W498" s="31"/>
      <c r="X498" s="59"/>
      <c r="Y498" s="59" t="str">
        <f>IFERROR(VLOOKUP($A498,APOIO!$A:$A,1,FALSE),"ERRO")</f>
        <v>ERRO</v>
      </c>
      <c r="Z498"/>
    </row>
    <row r="499" spans="1:26" ht="15" x14ac:dyDescent="0.25">
      <c r="A499" s="94"/>
      <c r="B499" s="32" t="str">
        <f>IF($A499="","",VLOOKUP($A499,APOIO!$A:$E,2,FALSE))</f>
        <v/>
      </c>
      <c r="C499" s="94"/>
      <c r="D499" s="32" t="str">
        <f>IF($A499="","",INDEX(APOIO!$D:$D,MATCH(CONCATENATE($A499,"_",$B499,"_",$C499),APOIO!$F:$F,0)))</f>
        <v/>
      </c>
      <c r="E499" s="31"/>
      <c r="F499" s="31"/>
      <c r="G499" s="33"/>
      <c r="H499" s="105"/>
      <c r="I499" s="32" t="str">
        <f>IF($A499="","",VLOOKUP($H499,APOIO!$L:$M,2,FALSE))</f>
        <v/>
      </c>
      <c r="J499" s="31"/>
      <c r="K499" s="32" t="str">
        <f>IF($A499="","",VLOOKUP($J499,APOIO!$H:$J,2,FALSE))</f>
        <v/>
      </c>
      <c r="L499" s="32" t="str">
        <f>IF($A499="","",VLOOKUP($J499,APOIO!$H:$J,3,FALSE))</f>
        <v/>
      </c>
      <c r="M499" s="31"/>
      <c r="N499" s="34"/>
      <c r="O499" s="32"/>
      <c r="P499" s="32"/>
      <c r="Q499" s="32"/>
      <c r="R499" s="32"/>
      <c r="S499" s="35"/>
      <c r="T499" s="91"/>
      <c r="U499" s="60"/>
      <c r="V499" s="36"/>
      <c r="W499" s="31"/>
      <c r="X499" s="59"/>
      <c r="Y499" s="59" t="str">
        <f>IFERROR(VLOOKUP($A499,APOIO!$A:$A,1,FALSE),"ERRO")</f>
        <v>ERRO</v>
      </c>
      <c r="Z499"/>
    </row>
    <row r="500" spans="1:26" ht="15" x14ac:dyDescent="0.25">
      <c r="A500" s="94"/>
      <c r="B500" s="32" t="str">
        <f>IF($A500="","",VLOOKUP($A500,APOIO!$A:$E,2,FALSE))</f>
        <v/>
      </c>
      <c r="C500" s="94"/>
      <c r="D500" s="32" t="str">
        <f>IF($A500="","",INDEX(APOIO!$D:$D,MATCH(CONCATENATE($A500,"_",$B500,"_",$C500),APOIO!$F:$F,0)))</f>
        <v/>
      </c>
      <c r="E500" s="31"/>
      <c r="F500" s="31"/>
      <c r="G500" s="33"/>
      <c r="H500" s="105"/>
      <c r="I500" s="32" t="str">
        <f>IF($A500="","",VLOOKUP($H500,APOIO!$L:$M,2,FALSE))</f>
        <v/>
      </c>
      <c r="J500" s="31"/>
      <c r="K500" s="32" t="str">
        <f>IF($A500="","",VLOOKUP($J500,APOIO!$H:$J,2,FALSE))</f>
        <v/>
      </c>
      <c r="L500" s="32" t="str">
        <f>IF($A500="","",VLOOKUP($J500,APOIO!$H:$J,3,FALSE))</f>
        <v/>
      </c>
      <c r="M500" s="31"/>
      <c r="N500" s="34"/>
      <c r="O500" s="32"/>
      <c r="P500" s="32"/>
      <c r="Q500" s="32"/>
      <c r="R500" s="32"/>
      <c r="S500" s="35"/>
      <c r="T500" s="91"/>
      <c r="U500" s="60"/>
      <c r="V500" s="36"/>
      <c r="W500" s="31"/>
      <c r="X500" s="59"/>
      <c r="Y500" s="59" t="str">
        <f>IFERROR(VLOOKUP($A500,APOIO!$A:$A,1,FALSE),"ERRO")</f>
        <v>ERRO</v>
      </c>
      <c r="Z500"/>
    </row>
    <row r="501" spans="1:26" ht="15" x14ac:dyDescent="0.25">
      <c r="A501" s="94"/>
      <c r="B501" s="32" t="str">
        <f>IF($A501="","",VLOOKUP($A501,APOIO!$A:$E,2,FALSE))</f>
        <v/>
      </c>
      <c r="C501" s="94"/>
      <c r="D501" s="32" t="str">
        <f>IF($A501="","",INDEX(APOIO!$D:$D,MATCH(CONCATENATE($A501,"_",$B501,"_",$C501),APOIO!$F:$F,0)))</f>
        <v/>
      </c>
      <c r="E501" s="31"/>
      <c r="F501" s="31"/>
      <c r="G501" s="33"/>
      <c r="H501" s="105"/>
      <c r="I501" s="32" t="str">
        <f>IF($A501="","",VLOOKUP($H501,APOIO!$L:$M,2,FALSE))</f>
        <v/>
      </c>
      <c r="J501" s="31"/>
      <c r="K501" s="32" t="str">
        <f>IF($A501="","",VLOOKUP($J501,APOIO!$H:$J,2,FALSE))</f>
        <v/>
      </c>
      <c r="L501" s="32" t="str">
        <f>IF($A501="","",VLOOKUP($J501,APOIO!$H:$J,3,FALSE))</f>
        <v/>
      </c>
      <c r="M501" s="31"/>
      <c r="N501" s="34"/>
      <c r="O501" s="32"/>
      <c r="P501" s="32"/>
      <c r="Q501" s="32"/>
      <c r="R501" s="32"/>
      <c r="S501" s="35"/>
      <c r="T501" s="91"/>
      <c r="U501" s="60"/>
      <c r="V501" s="36"/>
      <c r="W501" s="31"/>
      <c r="X501" s="59"/>
      <c r="Y501" s="59" t="str">
        <f>IFERROR(VLOOKUP($A501,APOIO!$A:$A,1,FALSE),"ERRO")</f>
        <v>ERRO</v>
      </c>
      <c r="Z501"/>
    </row>
    <row r="502" spans="1:26" ht="15" x14ac:dyDescent="0.25">
      <c r="A502" s="94"/>
      <c r="B502" s="32" t="str">
        <f>IF($A502="","",VLOOKUP($A502,APOIO!$A:$E,2,FALSE))</f>
        <v/>
      </c>
      <c r="C502" s="94"/>
      <c r="D502" s="32" t="str">
        <f>IF($A502="","",INDEX(APOIO!$D:$D,MATCH(CONCATENATE($A502,"_",$B502,"_",$C502),APOIO!$F:$F,0)))</f>
        <v/>
      </c>
      <c r="E502" s="31"/>
      <c r="F502" s="31"/>
      <c r="G502" s="33"/>
      <c r="H502" s="105"/>
      <c r="I502" s="32" t="str">
        <f>IF($A502="","",VLOOKUP($H502,APOIO!$L:$M,2,FALSE))</f>
        <v/>
      </c>
      <c r="J502" s="31"/>
      <c r="K502" s="32" t="str">
        <f>IF($A502="","",VLOOKUP($J502,APOIO!$H:$J,2,FALSE))</f>
        <v/>
      </c>
      <c r="L502" s="32" t="str">
        <f>IF($A502="","",VLOOKUP($J502,APOIO!$H:$J,3,FALSE))</f>
        <v/>
      </c>
      <c r="M502" s="31"/>
      <c r="N502" s="34"/>
      <c r="O502" s="32"/>
      <c r="P502" s="32"/>
      <c r="Q502" s="32"/>
      <c r="R502" s="32"/>
      <c r="S502" s="35"/>
      <c r="T502" s="91"/>
      <c r="U502" s="60"/>
      <c r="V502" s="36"/>
      <c r="W502" s="31"/>
      <c r="X502" s="59"/>
      <c r="Y502" s="59" t="str">
        <f>IFERROR(VLOOKUP($A502,APOIO!$A:$A,1,FALSE),"ERRO")</f>
        <v>ERRO</v>
      </c>
      <c r="Z502"/>
    </row>
    <row r="503" spans="1:26" ht="15" x14ac:dyDescent="0.25">
      <c r="A503" s="94"/>
      <c r="B503" s="32" t="str">
        <f>IF($A503="","",VLOOKUP($A503,APOIO!$A:$E,2,FALSE))</f>
        <v/>
      </c>
      <c r="C503" s="94"/>
      <c r="D503" s="32" t="str">
        <f>IF($A503="","",INDEX(APOIO!$D:$D,MATCH(CONCATENATE($A503,"_",$B503,"_",$C503),APOIO!$F:$F,0)))</f>
        <v/>
      </c>
      <c r="E503" s="31"/>
      <c r="F503" s="31"/>
      <c r="G503" s="33"/>
      <c r="H503" s="105"/>
      <c r="I503" s="32" t="str">
        <f>IF($A503="","",VLOOKUP($H503,APOIO!$L:$M,2,FALSE))</f>
        <v/>
      </c>
      <c r="J503" s="31"/>
      <c r="K503" s="32" t="str">
        <f>IF($A503="","",VLOOKUP($J503,APOIO!$H:$J,2,FALSE))</f>
        <v/>
      </c>
      <c r="L503" s="32" t="str">
        <f>IF($A503="","",VLOOKUP($J503,APOIO!$H:$J,3,FALSE))</f>
        <v/>
      </c>
      <c r="M503" s="31"/>
      <c r="N503" s="34"/>
      <c r="O503" s="32"/>
      <c r="P503" s="32"/>
      <c r="Q503" s="32"/>
      <c r="R503" s="32"/>
      <c r="S503" s="35"/>
      <c r="T503" s="91"/>
      <c r="U503" s="60"/>
      <c r="V503" s="36"/>
      <c r="W503" s="31"/>
      <c r="X503" s="59"/>
      <c r="Y503" s="59" t="str">
        <f>IFERROR(VLOOKUP($A503,APOIO!$A:$A,1,FALSE),"ERRO")</f>
        <v>ERRO</v>
      </c>
      <c r="Z503"/>
    </row>
    <row r="504" spans="1:26" ht="15" x14ac:dyDescent="0.25">
      <c r="A504" s="94"/>
      <c r="B504" s="32" t="str">
        <f>IF($A504="","",VLOOKUP($A504,APOIO!$A:$E,2,FALSE))</f>
        <v/>
      </c>
      <c r="C504" s="94"/>
      <c r="D504" s="32" t="str">
        <f>IF($A504="","",INDEX(APOIO!$D:$D,MATCH(CONCATENATE($A504,"_",$B504,"_",$C504),APOIO!$F:$F,0)))</f>
        <v/>
      </c>
      <c r="E504" s="31"/>
      <c r="F504" s="31"/>
      <c r="G504" s="33"/>
      <c r="H504" s="105"/>
      <c r="I504" s="32" t="str">
        <f>IF($A504="","",VLOOKUP($H504,APOIO!$L:$M,2,FALSE))</f>
        <v/>
      </c>
      <c r="J504" s="31"/>
      <c r="K504" s="32" t="str">
        <f>IF($A504="","",VLOOKUP($J504,APOIO!$H:$J,2,FALSE))</f>
        <v/>
      </c>
      <c r="L504" s="32" t="str">
        <f>IF($A504="","",VLOOKUP($J504,APOIO!$H:$J,3,FALSE))</f>
        <v/>
      </c>
      <c r="M504" s="31"/>
      <c r="N504" s="34"/>
      <c r="O504" s="32"/>
      <c r="P504" s="32"/>
      <c r="Q504" s="32"/>
      <c r="R504" s="32"/>
      <c r="S504" s="35"/>
      <c r="T504" s="91"/>
      <c r="U504" s="60"/>
      <c r="V504" s="36"/>
      <c r="W504" s="31"/>
      <c r="X504" s="59"/>
      <c r="Y504" s="59" t="str">
        <f>IFERROR(VLOOKUP($A504,APOIO!$A:$A,1,FALSE),"ERRO")</f>
        <v>ERRO</v>
      </c>
      <c r="Z504"/>
    </row>
    <row r="505" spans="1:26" ht="15" x14ac:dyDescent="0.25">
      <c r="A505" s="94"/>
      <c r="B505" s="32" t="str">
        <f>IF($A505="","",VLOOKUP($A505,APOIO!$A:$E,2,FALSE))</f>
        <v/>
      </c>
      <c r="C505" s="94"/>
      <c r="D505" s="32" t="str">
        <f>IF($A505="","",INDEX(APOIO!$D:$D,MATCH(CONCATENATE($A505,"_",$B505,"_",$C505),APOIO!$F:$F,0)))</f>
        <v/>
      </c>
      <c r="E505" s="31"/>
      <c r="F505" s="31"/>
      <c r="G505" s="33"/>
      <c r="H505" s="105"/>
      <c r="I505" s="32" t="str">
        <f>IF($A505="","",VLOOKUP($H505,APOIO!$L:$M,2,FALSE))</f>
        <v/>
      </c>
      <c r="J505" s="31"/>
      <c r="K505" s="32" t="str">
        <f>IF($A505="","",VLOOKUP($J505,APOIO!$H:$J,2,FALSE))</f>
        <v/>
      </c>
      <c r="L505" s="32" t="str">
        <f>IF($A505="","",VLOOKUP($J505,APOIO!$H:$J,3,FALSE))</f>
        <v/>
      </c>
      <c r="M505" s="31"/>
      <c r="N505" s="34"/>
      <c r="O505" s="32"/>
      <c r="P505" s="32"/>
      <c r="Q505" s="32"/>
      <c r="R505" s="32"/>
      <c r="S505" s="35"/>
      <c r="T505" s="91"/>
      <c r="U505" s="60"/>
      <c r="V505" s="36"/>
      <c r="W505" s="31"/>
      <c r="X505" s="59"/>
      <c r="Y505" s="59" t="str">
        <f>IFERROR(VLOOKUP($A505,APOIO!$A:$A,1,FALSE),"ERRO")</f>
        <v>ERRO</v>
      </c>
      <c r="Z505"/>
    </row>
    <row r="506" spans="1:26" ht="15" x14ac:dyDescent="0.25">
      <c r="A506" s="94"/>
      <c r="B506" s="32" t="str">
        <f>IF($A506="","",VLOOKUP($A506,APOIO!$A:$E,2,FALSE))</f>
        <v/>
      </c>
      <c r="C506" s="94"/>
      <c r="D506" s="32" t="str">
        <f>IF($A506="","",INDEX(APOIO!$D:$D,MATCH(CONCATENATE($A506,"_",$B506,"_",$C506),APOIO!$F:$F,0)))</f>
        <v/>
      </c>
      <c r="E506" s="31"/>
      <c r="F506" s="31"/>
      <c r="G506" s="33"/>
      <c r="H506" s="105"/>
      <c r="I506" s="32" t="str">
        <f>IF($A506="","",VLOOKUP($H506,APOIO!$L:$M,2,FALSE))</f>
        <v/>
      </c>
      <c r="J506" s="31"/>
      <c r="K506" s="32" t="str">
        <f>IF($A506="","",VLOOKUP($J506,APOIO!$H:$J,2,FALSE))</f>
        <v/>
      </c>
      <c r="L506" s="32" t="str">
        <f>IF($A506="","",VLOOKUP($J506,APOIO!$H:$J,3,FALSE))</f>
        <v/>
      </c>
      <c r="M506" s="31"/>
      <c r="N506" s="34"/>
      <c r="O506" s="32"/>
      <c r="P506" s="32"/>
      <c r="Q506" s="32"/>
      <c r="R506" s="32"/>
      <c r="S506" s="35"/>
      <c r="T506" s="91"/>
      <c r="U506" s="60"/>
      <c r="V506" s="36"/>
      <c r="W506" s="31"/>
      <c r="X506" s="59"/>
      <c r="Y506" s="59" t="str">
        <f>IFERROR(VLOOKUP($A506,APOIO!$A:$A,1,FALSE),"ERRO")</f>
        <v>ERRO</v>
      </c>
      <c r="Z506"/>
    </row>
    <row r="507" spans="1:26" ht="15" x14ac:dyDescent="0.25">
      <c r="A507" s="94"/>
      <c r="B507" s="32" t="str">
        <f>IF($A507="","",VLOOKUP($A507,APOIO!$A:$E,2,FALSE))</f>
        <v/>
      </c>
      <c r="C507" s="94"/>
      <c r="D507" s="32" t="str">
        <f>IF($A507="","",INDEX(APOIO!$D:$D,MATCH(CONCATENATE($A507,"_",$B507,"_",$C507),APOIO!$F:$F,0)))</f>
        <v/>
      </c>
      <c r="E507" s="31"/>
      <c r="F507" s="31"/>
      <c r="G507" s="33"/>
      <c r="H507" s="105"/>
      <c r="I507" s="32" t="str">
        <f>IF($A507="","",VLOOKUP($H507,APOIO!$L:$M,2,FALSE))</f>
        <v/>
      </c>
      <c r="J507" s="31"/>
      <c r="K507" s="32" t="str">
        <f>IF($A507="","",VLOOKUP($J507,APOIO!$H:$J,2,FALSE))</f>
        <v/>
      </c>
      <c r="L507" s="32" t="str">
        <f>IF($A507="","",VLOOKUP($J507,APOIO!$H:$J,3,FALSE))</f>
        <v/>
      </c>
      <c r="M507" s="31"/>
      <c r="N507" s="34"/>
      <c r="O507" s="32"/>
      <c r="P507" s="32"/>
      <c r="Q507" s="32"/>
      <c r="R507" s="32"/>
      <c r="S507" s="35"/>
      <c r="T507" s="91"/>
      <c r="U507" s="60"/>
      <c r="V507" s="36"/>
      <c r="W507" s="31"/>
      <c r="X507" s="59"/>
      <c r="Y507" s="59" t="str">
        <f>IFERROR(VLOOKUP($A507,APOIO!$A:$A,1,FALSE),"ERRO")</f>
        <v>ERRO</v>
      </c>
      <c r="Z507"/>
    </row>
    <row r="508" spans="1:26" ht="15" x14ac:dyDescent="0.25">
      <c r="A508" s="94"/>
      <c r="B508" s="32" t="str">
        <f>IF($A508="","",VLOOKUP($A508,APOIO!$A:$E,2,FALSE))</f>
        <v/>
      </c>
      <c r="C508" s="94"/>
      <c r="D508" s="32" t="str">
        <f>IF($A508="","",INDEX(APOIO!$D:$D,MATCH(CONCATENATE($A508,"_",$B508,"_",$C508),APOIO!$F:$F,0)))</f>
        <v/>
      </c>
      <c r="E508" s="31"/>
      <c r="F508" s="31"/>
      <c r="G508" s="33"/>
      <c r="H508" s="105"/>
      <c r="I508" s="32" t="str">
        <f>IF($A508="","",VLOOKUP($H508,APOIO!$L:$M,2,FALSE))</f>
        <v/>
      </c>
      <c r="J508" s="31"/>
      <c r="K508" s="32" t="str">
        <f>IF($A508="","",VLOOKUP($J508,APOIO!$H:$J,2,FALSE))</f>
        <v/>
      </c>
      <c r="L508" s="32" t="str">
        <f>IF($A508="","",VLOOKUP($J508,APOIO!$H:$J,3,FALSE))</f>
        <v/>
      </c>
      <c r="M508" s="31"/>
      <c r="N508" s="34"/>
      <c r="O508" s="32"/>
      <c r="P508" s="32"/>
      <c r="Q508" s="32"/>
      <c r="R508" s="32"/>
      <c r="S508" s="35"/>
      <c r="T508" s="91"/>
      <c r="U508" s="60"/>
      <c r="V508" s="36"/>
      <c r="W508" s="31"/>
      <c r="X508" s="59"/>
      <c r="Y508" s="59" t="str">
        <f>IFERROR(VLOOKUP($A508,APOIO!$A:$A,1,FALSE),"ERRO")</f>
        <v>ERRO</v>
      </c>
      <c r="Z508"/>
    </row>
    <row r="509" spans="1:26" ht="15" x14ac:dyDescent="0.25">
      <c r="A509" s="94"/>
      <c r="B509" s="32" t="str">
        <f>IF($A509="","",VLOOKUP($A509,APOIO!$A:$E,2,FALSE))</f>
        <v/>
      </c>
      <c r="C509" s="94"/>
      <c r="D509" s="32" t="str">
        <f>IF($A509="","",INDEX(APOIO!$D:$D,MATCH(CONCATENATE($A509,"_",$B509,"_",$C509),APOIO!$F:$F,0)))</f>
        <v/>
      </c>
      <c r="E509" s="31"/>
      <c r="F509" s="31"/>
      <c r="G509" s="33"/>
      <c r="H509" s="105"/>
      <c r="I509" s="32" t="str">
        <f>IF($A509="","",VLOOKUP($H509,APOIO!$L:$M,2,FALSE))</f>
        <v/>
      </c>
      <c r="J509" s="31"/>
      <c r="K509" s="32" t="str">
        <f>IF($A509="","",VLOOKUP($J509,APOIO!$H:$J,2,FALSE))</f>
        <v/>
      </c>
      <c r="L509" s="32" t="str">
        <f>IF($A509="","",VLOOKUP($J509,APOIO!$H:$J,3,FALSE))</f>
        <v/>
      </c>
      <c r="M509" s="31"/>
      <c r="N509" s="34"/>
      <c r="O509" s="32"/>
      <c r="P509" s="32"/>
      <c r="Q509" s="32"/>
      <c r="R509" s="32"/>
      <c r="S509" s="35"/>
      <c r="T509" s="91"/>
      <c r="U509" s="60"/>
      <c r="V509" s="36"/>
      <c r="W509" s="31"/>
      <c r="X509" s="59"/>
      <c r="Y509" s="59" t="str">
        <f>IFERROR(VLOOKUP($A509,APOIO!$A:$A,1,FALSE),"ERRO")</f>
        <v>ERRO</v>
      </c>
      <c r="Z509"/>
    </row>
    <row r="510" spans="1:26" ht="15" x14ac:dyDescent="0.25">
      <c r="A510" s="94"/>
      <c r="B510" s="32" t="str">
        <f>IF($A510="","",VLOOKUP($A510,APOIO!$A:$E,2,FALSE))</f>
        <v/>
      </c>
      <c r="C510" s="94"/>
      <c r="D510" s="32" t="str">
        <f>IF($A510="","",INDEX(APOIO!$D:$D,MATCH(CONCATENATE($A510,"_",$B510,"_",$C510),APOIO!$F:$F,0)))</f>
        <v/>
      </c>
      <c r="E510" s="31"/>
      <c r="F510" s="31"/>
      <c r="G510" s="33"/>
      <c r="H510" s="105"/>
      <c r="I510" s="32" t="str">
        <f>IF($A510="","",VLOOKUP($H510,APOIO!$L:$M,2,FALSE))</f>
        <v/>
      </c>
      <c r="J510" s="31"/>
      <c r="K510" s="32" t="str">
        <f>IF($A510="","",VLOOKUP($J510,APOIO!$H:$J,2,FALSE))</f>
        <v/>
      </c>
      <c r="L510" s="32" t="str">
        <f>IF($A510="","",VLOOKUP($J510,APOIO!$H:$J,3,FALSE))</f>
        <v/>
      </c>
      <c r="M510" s="31"/>
      <c r="N510" s="34"/>
      <c r="O510" s="32"/>
      <c r="P510" s="32"/>
      <c r="Q510" s="32"/>
      <c r="R510" s="32"/>
      <c r="S510" s="35"/>
      <c r="T510" s="91"/>
      <c r="U510" s="60"/>
      <c r="V510" s="36"/>
      <c r="W510" s="31"/>
      <c r="X510" s="59"/>
      <c r="Y510" s="59" t="str">
        <f>IFERROR(VLOOKUP($A510,APOIO!$A:$A,1,FALSE),"ERRO")</f>
        <v>ERRO</v>
      </c>
      <c r="Z510"/>
    </row>
    <row r="511" spans="1:26" ht="15" x14ac:dyDescent="0.25">
      <c r="A511" s="94"/>
      <c r="B511" s="32" t="str">
        <f>IF($A511="","",VLOOKUP($A511,APOIO!$A:$E,2,FALSE))</f>
        <v/>
      </c>
      <c r="C511" s="94"/>
      <c r="D511" s="32" t="str">
        <f>IF($A511="","",INDEX(APOIO!$D:$D,MATCH(CONCATENATE($A511,"_",$B511,"_",$C511),APOIO!$F:$F,0)))</f>
        <v/>
      </c>
      <c r="E511" s="31"/>
      <c r="F511" s="31"/>
      <c r="G511" s="33"/>
      <c r="H511" s="105"/>
      <c r="I511" s="32" t="str">
        <f>IF($A511="","",VLOOKUP($H511,APOIO!$L:$M,2,FALSE))</f>
        <v/>
      </c>
      <c r="J511" s="31"/>
      <c r="K511" s="32" t="str">
        <f>IF($A511="","",VLOOKUP($J511,APOIO!$H:$J,2,FALSE))</f>
        <v/>
      </c>
      <c r="L511" s="32" t="str">
        <f>IF($A511="","",VLOOKUP($J511,APOIO!$H:$J,3,FALSE))</f>
        <v/>
      </c>
      <c r="M511" s="31"/>
      <c r="N511" s="34"/>
      <c r="O511" s="32"/>
      <c r="P511" s="32"/>
      <c r="Q511" s="32"/>
      <c r="R511" s="32"/>
      <c r="S511" s="35"/>
      <c r="T511" s="91"/>
      <c r="U511" s="60"/>
      <c r="V511" s="36"/>
      <c r="W511" s="31"/>
      <c r="X511" s="59"/>
      <c r="Y511" s="59" t="str">
        <f>IFERROR(VLOOKUP($A511,APOIO!$A:$A,1,FALSE),"ERRO")</f>
        <v>ERRO</v>
      </c>
      <c r="Z511"/>
    </row>
    <row r="512" spans="1:26" ht="15" x14ac:dyDescent="0.25">
      <c r="A512" s="94"/>
      <c r="B512" s="32" t="str">
        <f>IF($A512="","",VLOOKUP($A512,APOIO!$A:$E,2,FALSE))</f>
        <v/>
      </c>
      <c r="C512" s="94"/>
      <c r="D512" s="32" t="str">
        <f>IF($A512="","",INDEX(APOIO!$D:$D,MATCH(CONCATENATE($A512,"_",$B512,"_",$C512),APOIO!$F:$F,0)))</f>
        <v/>
      </c>
      <c r="E512" s="31"/>
      <c r="F512" s="31"/>
      <c r="G512" s="33"/>
      <c r="H512" s="105"/>
      <c r="I512" s="32" t="str">
        <f>IF($A512="","",VLOOKUP($H512,APOIO!$L:$M,2,FALSE))</f>
        <v/>
      </c>
      <c r="J512" s="31"/>
      <c r="K512" s="32" t="str">
        <f>IF($A512="","",VLOOKUP($J512,APOIO!$H:$J,2,FALSE))</f>
        <v/>
      </c>
      <c r="L512" s="32" t="str">
        <f>IF($A512="","",VLOOKUP($J512,APOIO!$H:$J,3,FALSE))</f>
        <v/>
      </c>
      <c r="M512" s="31"/>
      <c r="N512" s="34"/>
      <c r="O512" s="32"/>
      <c r="P512" s="32"/>
      <c r="Q512" s="32"/>
      <c r="R512" s="32"/>
      <c r="S512" s="35"/>
      <c r="T512" s="91"/>
      <c r="U512" s="60"/>
      <c r="V512" s="36"/>
      <c r="W512" s="31"/>
      <c r="X512" s="59"/>
      <c r="Y512" s="59" t="str">
        <f>IFERROR(VLOOKUP($A512,APOIO!$A:$A,1,FALSE),"ERRO")</f>
        <v>ERRO</v>
      </c>
      <c r="Z512"/>
    </row>
    <row r="513" spans="1:26" ht="15" x14ac:dyDescent="0.25">
      <c r="A513" s="94"/>
      <c r="B513" s="32" t="str">
        <f>IF($A513="","",VLOOKUP($A513,APOIO!$A:$E,2,FALSE))</f>
        <v/>
      </c>
      <c r="C513" s="94"/>
      <c r="D513" s="32" t="str">
        <f>IF($A513="","",INDEX(APOIO!$D:$D,MATCH(CONCATENATE($A513,"_",$B513,"_",$C513),APOIO!$F:$F,0)))</f>
        <v/>
      </c>
      <c r="E513" s="31"/>
      <c r="F513" s="31"/>
      <c r="G513" s="33"/>
      <c r="H513" s="105"/>
      <c r="I513" s="32" t="str">
        <f>IF($A513="","",VLOOKUP($H513,APOIO!$L:$M,2,FALSE))</f>
        <v/>
      </c>
      <c r="J513" s="31"/>
      <c r="K513" s="32" t="str">
        <f>IF($A513="","",VLOOKUP($J513,APOIO!$H:$J,2,FALSE))</f>
        <v/>
      </c>
      <c r="L513" s="32" t="str">
        <f>IF($A513="","",VLOOKUP($J513,APOIO!$H:$J,3,FALSE))</f>
        <v/>
      </c>
      <c r="M513" s="31"/>
      <c r="N513" s="34"/>
      <c r="O513" s="32"/>
      <c r="P513" s="32"/>
      <c r="Q513" s="32"/>
      <c r="R513" s="32"/>
      <c r="S513" s="35"/>
      <c r="T513" s="91"/>
      <c r="U513" s="60"/>
      <c r="V513" s="36"/>
      <c r="W513" s="31"/>
      <c r="X513" s="59"/>
      <c r="Y513" s="59" t="str">
        <f>IFERROR(VLOOKUP($A513,APOIO!$A:$A,1,FALSE),"ERRO")</f>
        <v>ERRO</v>
      </c>
      <c r="Z513"/>
    </row>
    <row r="514" spans="1:26" ht="15" x14ac:dyDescent="0.25">
      <c r="A514" s="94"/>
      <c r="B514" s="32" t="str">
        <f>IF($A514="","",VLOOKUP($A514,APOIO!$A:$E,2,FALSE))</f>
        <v/>
      </c>
      <c r="C514" s="94"/>
      <c r="D514" s="32" t="str">
        <f>IF($A514="","",INDEX(APOIO!$D:$D,MATCH(CONCATENATE($A514,"_",$B514,"_",$C514),APOIO!$F:$F,0)))</f>
        <v/>
      </c>
      <c r="E514" s="31"/>
      <c r="F514" s="31"/>
      <c r="G514" s="33"/>
      <c r="H514" s="105"/>
      <c r="I514" s="32" t="str">
        <f>IF($A514="","",VLOOKUP($H514,APOIO!$L:$M,2,FALSE))</f>
        <v/>
      </c>
      <c r="J514" s="31"/>
      <c r="K514" s="32" t="str">
        <f>IF($A514="","",VLOOKUP($J514,APOIO!$H:$J,2,FALSE))</f>
        <v/>
      </c>
      <c r="L514" s="32" t="str">
        <f>IF($A514="","",VLOOKUP($J514,APOIO!$H:$J,3,FALSE))</f>
        <v/>
      </c>
      <c r="M514" s="31"/>
      <c r="N514" s="34"/>
      <c r="O514" s="32"/>
      <c r="P514" s="32"/>
      <c r="Q514" s="32"/>
      <c r="R514" s="32"/>
      <c r="S514" s="35"/>
      <c r="T514" s="91"/>
      <c r="U514" s="60"/>
      <c r="V514" s="36"/>
      <c r="W514" s="31"/>
      <c r="X514" s="59"/>
      <c r="Y514" s="59" t="str">
        <f>IFERROR(VLOOKUP($A514,APOIO!$A:$A,1,FALSE),"ERRO")</f>
        <v>ERRO</v>
      </c>
      <c r="Z514"/>
    </row>
    <row r="515" spans="1:26" ht="15" x14ac:dyDescent="0.25">
      <c r="A515" s="94"/>
      <c r="B515" s="32" t="str">
        <f>IF($A515="","",VLOOKUP($A515,APOIO!$A:$E,2,FALSE))</f>
        <v/>
      </c>
      <c r="C515" s="94"/>
      <c r="D515" s="32" t="str">
        <f>IF($A515="","",INDEX(APOIO!$D:$D,MATCH(CONCATENATE($A515,"_",$B515,"_",$C515),APOIO!$F:$F,0)))</f>
        <v/>
      </c>
      <c r="E515" s="31"/>
      <c r="F515" s="31"/>
      <c r="G515" s="33"/>
      <c r="H515" s="105"/>
      <c r="I515" s="32" t="str">
        <f>IF($A515="","",VLOOKUP($H515,APOIO!$L:$M,2,FALSE))</f>
        <v/>
      </c>
      <c r="J515" s="31"/>
      <c r="K515" s="32" t="str">
        <f>IF($A515="","",VLOOKUP($J515,APOIO!$H:$J,2,FALSE))</f>
        <v/>
      </c>
      <c r="L515" s="32" t="str">
        <f>IF($A515="","",VLOOKUP($J515,APOIO!$H:$J,3,FALSE))</f>
        <v/>
      </c>
      <c r="M515" s="31"/>
      <c r="N515" s="34"/>
      <c r="O515" s="32"/>
      <c r="P515" s="32"/>
      <c r="Q515" s="32"/>
      <c r="R515" s="32"/>
      <c r="S515" s="35"/>
      <c r="T515" s="91"/>
      <c r="U515" s="60"/>
      <c r="V515" s="36"/>
      <c r="W515" s="31"/>
      <c r="X515" s="59"/>
      <c r="Y515" s="59" t="str">
        <f>IFERROR(VLOOKUP($A515,APOIO!$A:$A,1,FALSE),"ERRO")</f>
        <v>ERRO</v>
      </c>
      <c r="Z515"/>
    </row>
    <row r="516" spans="1:26" ht="15" x14ac:dyDescent="0.25">
      <c r="A516" s="94"/>
      <c r="B516" s="32" t="str">
        <f>IF($A516="","",VLOOKUP($A516,APOIO!$A:$E,2,FALSE))</f>
        <v/>
      </c>
      <c r="C516" s="94"/>
      <c r="D516" s="32" t="str">
        <f>IF($A516="","",INDEX(APOIO!$D:$D,MATCH(CONCATENATE($A516,"_",$B516,"_",$C516),APOIO!$F:$F,0)))</f>
        <v/>
      </c>
      <c r="E516" s="31"/>
      <c r="F516" s="31"/>
      <c r="G516" s="33"/>
      <c r="H516" s="105"/>
      <c r="I516" s="32" t="str">
        <f>IF($A516="","",VLOOKUP($H516,APOIO!$L:$M,2,FALSE))</f>
        <v/>
      </c>
      <c r="J516" s="31"/>
      <c r="K516" s="32" t="str">
        <f>IF($A516="","",VLOOKUP($J516,APOIO!$H:$J,2,FALSE))</f>
        <v/>
      </c>
      <c r="L516" s="32" t="str">
        <f>IF($A516="","",VLOOKUP($J516,APOIO!$H:$J,3,FALSE))</f>
        <v/>
      </c>
      <c r="M516" s="31"/>
      <c r="N516" s="34"/>
      <c r="O516" s="32"/>
      <c r="P516" s="32"/>
      <c r="Q516" s="32"/>
      <c r="R516" s="32"/>
      <c r="S516" s="35"/>
      <c r="T516" s="91"/>
      <c r="U516" s="60"/>
      <c r="V516" s="36"/>
      <c r="W516" s="31"/>
      <c r="X516" s="59"/>
      <c r="Y516" s="59" t="str">
        <f>IFERROR(VLOOKUP($A516,APOIO!$A:$A,1,FALSE),"ERRO")</f>
        <v>ERRO</v>
      </c>
      <c r="Z516"/>
    </row>
    <row r="517" spans="1:26" ht="15" x14ac:dyDescent="0.25">
      <c r="A517" s="94"/>
      <c r="B517" s="32" t="str">
        <f>IF($A517="","",VLOOKUP($A517,APOIO!$A:$E,2,FALSE))</f>
        <v/>
      </c>
      <c r="C517" s="94"/>
      <c r="D517" s="32" t="str">
        <f>IF($A517="","",INDEX(APOIO!$D:$D,MATCH(CONCATENATE($A517,"_",$B517,"_",$C517),APOIO!$F:$F,0)))</f>
        <v/>
      </c>
      <c r="E517" s="31"/>
      <c r="F517" s="31"/>
      <c r="G517" s="33"/>
      <c r="H517" s="105"/>
      <c r="I517" s="32" t="str">
        <f>IF($A517="","",VLOOKUP($H517,APOIO!$L:$M,2,FALSE))</f>
        <v/>
      </c>
      <c r="J517" s="31"/>
      <c r="K517" s="32" t="str">
        <f>IF($A517="","",VLOOKUP($J517,APOIO!$H:$J,2,FALSE))</f>
        <v/>
      </c>
      <c r="L517" s="32" t="str">
        <f>IF($A517="","",VLOOKUP($J517,APOIO!$H:$J,3,FALSE))</f>
        <v/>
      </c>
      <c r="M517" s="31"/>
      <c r="N517" s="34"/>
      <c r="O517" s="32"/>
      <c r="P517" s="32"/>
      <c r="Q517" s="32"/>
      <c r="R517" s="32"/>
      <c r="S517" s="35"/>
      <c r="T517" s="91"/>
      <c r="U517" s="60"/>
      <c r="V517" s="36"/>
      <c r="W517" s="31"/>
      <c r="X517" s="59"/>
      <c r="Y517" s="59" t="str">
        <f>IFERROR(VLOOKUP($A517,APOIO!$A:$A,1,FALSE),"ERRO")</f>
        <v>ERRO</v>
      </c>
      <c r="Z517"/>
    </row>
    <row r="518" spans="1:26" ht="15" x14ac:dyDescent="0.25">
      <c r="A518" s="94"/>
      <c r="B518" s="32" t="str">
        <f>IF($A518="","",VLOOKUP($A518,APOIO!$A:$E,2,FALSE))</f>
        <v/>
      </c>
      <c r="C518" s="94"/>
      <c r="D518" s="32" t="str">
        <f>IF($A518="","",INDEX(APOIO!$D:$D,MATCH(CONCATENATE($A518,"_",$B518,"_",$C518),APOIO!$F:$F,0)))</f>
        <v/>
      </c>
      <c r="E518" s="31"/>
      <c r="F518" s="31"/>
      <c r="G518" s="33"/>
      <c r="H518" s="105"/>
      <c r="I518" s="32" t="str">
        <f>IF($A518="","",VLOOKUP($H518,APOIO!$L:$M,2,FALSE))</f>
        <v/>
      </c>
      <c r="J518" s="31"/>
      <c r="K518" s="32" t="str">
        <f>IF($A518="","",VLOOKUP($J518,APOIO!$H:$J,2,FALSE))</f>
        <v/>
      </c>
      <c r="L518" s="32" t="str">
        <f>IF($A518="","",VLOOKUP($J518,APOIO!$H:$J,3,FALSE))</f>
        <v/>
      </c>
      <c r="M518" s="31"/>
      <c r="N518" s="34"/>
      <c r="O518" s="32"/>
      <c r="P518" s="32"/>
      <c r="Q518" s="32"/>
      <c r="R518" s="32"/>
      <c r="S518" s="35"/>
      <c r="T518" s="91"/>
      <c r="U518" s="60"/>
      <c r="V518" s="36"/>
      <c r="W518" s="31"/>
      <c r="X518" s="59"/>
      <c r="Y518" s="59" t="str">
        <f>IFERROR(VLOOKUP($A518,APOIO!$A:$A,1,FALSE),"ERRO")</f>
        <v>ERRO</v>
      </c>
      <c r="Z518"/>
    </row>
    <row r="519" spans="1:26" ht="15" x14ac:dyDescent="0.25">
      <c r="A519" s="94"/>
      <c r="B519" s="32" t="str">
        <f>IF($A519="","",VLOOKUP($A519,APOIO!$A:$E,2,FALSE))</f>
        <v/>
      </c>
      <c r="C519" s="94"/>
      <c r="D519" s="32" t="str">
        <f>IF($A519="","",INDEX(APOIO!$D:$D,MATCH(CONCATENATE($A519,"_",$B519,"_",$C519),APOIO!$F:$F,0)))</f>
        <v/>
      </c>
      <c r="E519" s="31"/>
      <c r="F519" s="31"/>
      <c r="G519" s="33"/>
      <c r="H519" s="105"/>
      <c r="I519" s="32" t="str">
        <f>IF($A519="","",VLOOKUP($H519,APOIO!$L:$M,2,FALSE))</f>
        <v/>
      </c>
      <c r="J519" s="31"/>
      <c r="K519" s="32" t="str">
        <f>IF($A519="","",VLOOKUP($J519,APOIO!$H:$J,2,FALSE))</f>
        <v/>
      </c>
      <c r="L519" s="32" t="str">
        <f>IF($A519="","",VLOOKUP($J519,APOIO!$H:$J,3,FALSE))</f>
        <v/>
      </c>
      <c r="M519" s="31"/>
      <c r="N519" s="34"/>
      <c r="O519" s="32"/>
      <c r="P519" s="32"/>
      <c r="Q519" s="32"/>
      <c r="R519" s="32"/>
      <c r="S519" s="35"/>
      <c r="T519" s="91"/>
      <c r="U519" s="60"/>
      <c r="V519" s="36"/>
      <c r="W519" s="31"/>
      <c r="X519" s="59"/>
      <c r="Y519" s="59" t="str">
        <f>IFERROR(VLOOKUP($A519,APOIO!$A:$A,1,FALSE),"ERRO")</f>
        <v>ERRO</v>
      </c>
      <c r="Z519"/>
    </row>
    <row r="520" spans="1:26" ht="15" x14ac:dyDescent="0.25">
      <c r="A520" s="94"/>
      <c r="B520" s="32" t="str">
        <f>IF($A520="","",VLOOKUP($A520,APOIO!$A:$E,2,FALSE))</f>
        <v/>
      </c>
      <c r="C520" s="94"/>
      <c r="D520" s="32" t="str">
        <f>IF($A520="","",INDEX(APOIO!$D:$D,MATCH(CONCATENATE($A520,"_",$B520,"_",$C520),APOIO!$F:$F,0)))</f>
        <v/>
      </c>
      <c r="E520" s="31"/>
      <c r="F520" s="31"/>
      <c r="G520" s="33"/>
      <c r="H520" s="105"/>
      <c r="I520" s="32" t="str">
        <f>IF($A520="","",VLOOKUP($H520,APOIO!$L:$M,2,FALSE))</f>
        <v/>
      </c>
      <c r="J520" s="31"/>
      <c r="K520" s="32" t="str">
        <f>IF($A520="","",VLOOKUP($J520,APOIO!$H:$J,2,FALSE))</f>
        <v/>
      </c>
      <c r="L520" s="32" t="str">
        <f>IF($A520="","",VLOOKUP($J520,APOIO!$H:$J,3,FALSE))</f>
        <v/>
      </c>
      <c r="M520" s="31"/>
      <c r="N520" s="34"/>
      <c r="O520" s="32"/>
      <c r="P520" s="32"/>
      <c r="Q520" s="32"/>
      <c r="R520" s="32"/>
      <c r="S520" s="35"/>
      <c r="T520" s="91"/>
      <c r="U520" s="60"/>
      <c r="V520" s="36"/>
      <c r="W520" s="31"/>
      <c r="X520" s="59"/>
      <c r="Y520" s="59" t="str">
        <f>IFERROR(VLOOKUP($A520,APOIO!$A:$A,1,FALSE),"ERRO")</f>
        <v>ERRO</v>
      </c>
      <c r="Z520"/>
    </row>
    <row r="521" spans="1:26" ht="15" x14ac:dyDescent="0.25">
      <c r="A521" s="94"/>
      <c r="B521" s="32" t="str">
        <f>IF($A521="","",VLOOKUP($A521,APOIO!$A:$E,2,FALSE))</f>
        <v/>
      </c>
      <c r="C521" s="94"/>
      <c r="D521" s="32" t="str">
        <f>IF($A521="","",INDEX(APOIO!$D:$D,MATCH(CONCATENATE($A521,"_",$B521,"_",$C521),APOIO!$F:$F,0)))</f>
        <v/>
      </c>
      <c r="E521" s="31"/>
      <c r="F521" s="31"/>
      <c r="G521" s="33"/>
      <c r="H521" s="105"/>
      <c r="I521" s="32" t="str">
        <f>IF($A521="","",VLOOKUP($H521,APOIO!$L:$M,2,FALSE))</f>
        <v/>
      </c>
      <c r="J521" s="31"/>
      <c r="K521" s="32" t="str">
        <f>IF($A521="","",VLOOKUP($J521,APOIO!$H:$J,2,FALSE))</f>
        <v/>
      </c>
      <c r="L521" s="32" t="str">
        <f>IF($A521="","",VLOOKUP($J521,APOIO!$H:$J,3,FALSE))</f>
        <v/>
      </c>
      <c r="M521" s="31"/>
      <c r="N521" s="34"/>
      <c r="O521" s="32"/>
      <c r="P521" s="32"/>
      <c r="Q521" s="32"/>
      <c r="R521" s="32"/>
      <c r="S521" s="35"/>
      <c r="T521" s="91"/>
      <c r="U521" s="60"/>
      <c r="V521" s="36"/>
      <c r="W521" s="31"/>
      <c r="X521" s="59"/>
      <c r="Y521" s="59" t="str">
        <f>IFERROR(VLOOKUP($A521,APOIO!$A:$A,1,FALSE),"ERRO")</f>
        <v>ERRO</v>
      </c>
      <c r="Z521"/>
    </row>
    <row r="522" spans="1:26" ht="15" x14ac:dyDescent="0.25">
      <c r="A522" s="94"/>
      <c r="B522" s="32" t="str">
        <f>IF($A522="","",VLOOKUP($A522,APOIO!$A:$E,2,FALSE))</f>
        <v/>
      </c>
      <c r="C522" s="94"/>
      <c r="D522" s="32" t="str">
        <f>IF($A522="","",INDEX(APOIO!$D:$D,MATCH(CONCATENATE($A522,"_",$B522,"_",$C522),APOIO!$F:$F,0)))</f>
        <v/>
      </c>
      <c r="E522" s="31"/>
      <c r="F522" s="31"/>
      <c r="G522" s="33"/>
      <c r="H522" s="105"/>
      <c r="I522" s="32" t="str">
        <f>IF($A522="","",VLOOKUP($H522,APOIO!$L:$M,2,FALSE))</f>
        <v/>
      </c>
      <c r="J522" s="31"/>
      <c r="K522" s="32" t="str">
        <f>IF($A522="","",VLOOKUP($J522,APOIO!$H:$J,2,FALSE))</f>
        <v/>
      </c>
      <c r="L522" s="32" t="str">
        <f>IF($A522="","",VLOOKUP($J522,APOIO!$H:$J,3,FALSE))</f>
        <v/>
      </c>
      <c r="M522" s="31"/>
      <c r="N522" s="34"/>
      <c r="O522" s="32"/>
      <c r="P522" s="32"/>
      <c r="Q522" s="32"/>
      <c r="R522" s="32"/>
      <c r="S522" s="35"/>
      <c r="T522" s="91"/>
      <c r="U522" s="60"/>
      <c r="V522" s="36"/>
      <c r="W522" s="31"/>
      <c r="X522" s="59"/>
      <c r="Y522" s="59" t="str">
        <f>IFERROR(VLOOKUP($A522,APOIO!$A:$A,1,FALSE),"ERRO")</f>
        <v>ERRO</v>
      </c>
      <c r="Z522"/>
    </row>
    <row r="523" spans="1:26" ht="15" x14ac:dyDescent="0.25">
      <c r="A523" s="94"/>
      <c r="B523" s="32" t="str">
        <f>IF($A523="","",VLOOKUP($A523,APOIO!$A:$E,2,FALSE))</f>
        <v/>
      </c>
      <c r="C523" s="94"/>
      <c r="D523" s="32" t="str">
        <f>IF($A523="","",INDEX(APOIO!$D:$D,MATCH(CONCATENATE($A523,"_",$B523,"_",$C523),APOIO!$F:$F,0)))</f>
        <v/>
      </c>
      <c r="E523" s="31"/>
      <c r="F523" s="31"/>
      <c r="G523" s="33"/>
      <c r="H523" s="105"/>
      <c r="I523" s="32" t="str">
        <f>IF($A523="","",VLOOKUP($H523,APOIO!$L:$M,2,FALSE))</f>
        <v/>
      </c>
      <c r="J523" s="31"/>
      <c r="K523" s="32" t="str">
        <f>IF($A523="","",VLOOKUP($J523,APOIO!$H:$J,2,FALSE))</f>
        <v/>
      </c>
      <c r="L523" s="32" t="str">
        <f>IF($A523="","",VLOOKUP($J523,APOIO!$H:$J,3,FALSE))</f>
        <v/>
      </c>
      <c r="M523" s="31"/>
      <c r="N523" s="34"/>
      <c r="O523" s="32"/>
      <c r="P523" s="32"/>
      <c r="Q523" s="32"/>
      <c r="R523" s="32"/>
      <c r="S523" s="35"/>
      <c r="T523" s="91"/>
      <c r="U523" s="60"/>
      <c r="V523" s="36"/>
      <c r="W523" s="31"/>
      <c r="X523" s="59"/>
      <c r="Y523" s="59" t="str">
        <f>IFERROR(VLOOKUP($A523,APOIO!$A:$A,1,FALSE),"ERRO")</f>
        <v>ERRO</v>
      </c>
      <c r="Z523"/>
    </row>
    <row r="524" spans="1:26" ht="15" x14ac:dyDescent="0.25">
      <c r="A524" s="94"/>
      <c r="B524" s="32" t="str">
        <f>IF($A524="","",VLOOKUP($A524,APOIO!$A:$E,2,FALSE))</f>
        <v/>
      </c>
      <c r="C524" s="94"/>
      <c r="D524" s="32" t="str">
        <f>IF($A524="","",INDEX(APOIO!$D:$D,MATCH(CONCATENATE($A524,"_",$B524,"_",$C524),APOIO!$F:$F,0)))</f>
        <v/>
      </c>
      <c r="E524" s="31"/>
      <c r="F524" s="31"/>
      <c r="G524" s="33"/>
      <c r="H524" s="105"/>
      <c r="I524" s="32" t="str">
        <f>IF($A524="","",VLOOKUP($H524,APOIO!$L:$M,2,FALSE))</f>
        <v/>
      </c>
      <c r="J524" s="31"/>
      <c r="K524" s="32" t="str">
        <f>IF($A524="","",VLOOKUP($J524,APOIO!$H:$J,2,FALSE))</f>
        <v/>
      </c>
      <c r="L524" s="32" t="str">
        <f>IF($A524="","",VLOOKUP($J524,APOIO!$H:$J,3,FALSE))</f>
        <v/>
      </c>
      <c r="M524" s="31"/>
      <c r="N524" s="34"/>
      <c r="O524" s="32"/>
      <c r="P524" s="32"/>
      <c r="Q524" s="32"/>
      <c r="R524" s="32"/>
      <c r="S524" s="35"/>
      <c r="T524" s="91"/>
      <c r="U524" s="60"/>
      <c r="V524" s="36"/>
      <c r="W524" s="31"/>
      <c r="X524" s="59"/>
      <c r="Y524" s="59" t="str">
        <f>IFERROR(VLOOKUP($A524,APOIO!$A:$A,1,FALSE),"ERRO")</f>
        <v>ERRO</v>
      </c>
      <c r="Z524"/>
    </row>
    <row r="525" spans="1:26" ht="15" x14ac:dyDescent="0.25">
      <c r="A525" s="94"/>
      <c r="B525" s="32" t="str">
        <f>IF($A525="","",VLOOKUP($A525,APOIO!$A:$E,2,FALSE))</f>
        <v/>
      </c>
      <c r="C525" s="94"/>
      <c r="D525" s="32" t="str">
        <f>IF($A525="","",INDEX(APOIO!$D:$D,MATCH(CONCATENATE($A525,"_",$B525,"_",$C525),APOIO!$F:$F,0)))</f>
        <v/>
      </c>
      <c r="E525" s="31"/>
      <c r="F525" s="31"/>
      <c r="G525" s="33"/>
      <c r="H525" s="105"/>
      <c r="I525" s="32" t="str">
        <f>IF($A525="","",VLOOKUP($H525,APOIO!$L:$M,2,FALSE))</f>
        <v/>
      </c>
      <c r="J525" s="31"/>
      <c r="K525" s="32" t="str">
        <f>IF($A525="","",VLOOKUP($J525,APOIO!$H:$J,2,FALSE))</f>
        <v/>
      </c>
      <c r="L525" s="32" t="str">
        <f>IF($A525="","",VLOOKUP($J525,APOIO!$H:$J,3,FALSE))</f>
        <v/>
      </c>
      <c r="M525" s="31"/>
      <c r="N525" s="34"/>
      <c r="O525" s="32"/>
      <c r="P525" s="32"/>
      <c r="Q525" s="32"/>
      <c r="R525" s="32"/>
      <c r="S525" s="35"/>
      <c r="T525" s="91"/>
      <c r="U525" s="60"/>
      <c r="V525" s="36"/>
      <c r="W525" s="31"/>
      <c r="X525" s="59"/>
      <c r="Y525" s="59" t="str">
        <f>IFERROR(VLOOKUP($A525,APOIO!$A:$A,1,FALSE),"ERRO")</f>
        <v>ERRO</v>
      </c>
      <c r="Z525"/>
    </row>
    <row r="526" spans="1:26" ht="15" x14ac:dyDescent="0.25">
      <c r="A526" s="94"/>
      <c r="B526" s="32" t="str">
        <f>IF($A526="","",VLOOKUP($A526,APOIO!$A:$E,2,FALSE))</f>
        <v/>
      </c>
      <c r="C526" s="94"/>
      <c r="D526" s="32" t="str">
        <f>IF($A526="","",INDEX(APOIO!$D:$D,MATCH(CONCATENATE($A526,"_",$B526,"_",$C526),APOIO!$F:$F,0)))</f>
        <v/>
      </c>
      <c r="E526" s="31"/>
      <c r="F526" s="31"/>
      <c r="G526" s="33"/>
      <c r="H526" s="105"/>
      <c r="I526" s="32" t="str">
        <f>IF($A526="","",VLOOKUP($H526,APOIO!$L:$M,2,FALSE))</f>
        <v/>
      </c>
      <c r="J526" s="31"/>
      <c r="K526" s="32" t="str">
        <f>IF($A526="","",VLOOKUP($J526,APOIO!$H:$J,2,FALSE))</f>
        <v/>
      </c>
      <c r="L526" s="32" t="str">
        <f>IF($A526="","",VLOOKUP($J526,APOIO!$H:$J,3,FALSE))</f>
        <v/>
      </c>
      <c r="M526" s="31"/>
      <c r="N526" s="34"/>
      <c r="O526" s="32"/>
      <c r="P526" s="32"/>
      <c r="Q526" s="32"/>
      <c r="R526" s="32"/>
      <c r="S526" s="35"/>
      <c r="T526" s="91"/>
      <c r="U526" s="60"/>
      <c r="V526" s="36"/>
      <c r="W526" s="31"/>
      <c r="X526" s="59"/>
      <c r="Y526" s="59" t="str">
        <f>IFERROR(VLOOKUP($A526,APOIO!$A:$A,1,FALSE),"ERRO")</f>
        <v>ERRO</v>
      </c>
      <c r="Z526"/>
    </row>
    <row r="527" spans="1:26" ht="15" x14ac:dyDescent="0.25">
      <c r="A527" s="94"/>
      <c r="B527" s="32" t="str">
        <f>IF($A527="","",VLOOKUP($A527,APOIO!$A:$E,2,FALSE))</f>
        <v/>
      </c>
      <c r="C527" s="94"/>
      <c r="D527" s="32" t="str">
        <f>IF($A527="","",INDEX(APOIO!$D:$D,MATCH(CONCATENATE($A527,"_",$B527,"_",$C527),APOIO!$F:$F,0)))</f>
        <v/>
      </c>
      <c r="E527" s="31"/>
      <c r="F527" s="31"/>
      <c r="G527" s="33"/>
      <c r="H527" s="105"/>
      <c r="I527" s="32" t="str">
        <f>IF($A527="","",VLOOKUP($H527,APOIO!$L:$M,2,FALSE))</f>
        <v/>
      </c>
      <c r="J527" s="31"/>
      <c r="K527" s="32" t="str">
        <f>IF($A527="","",VLOOKUP($J527,APOIO!$H:$J,2,FALSE))</f>
        <v/>
      </c>
      <c r="L527" s="32" t="str">
        <f>IF($A527="","",VLOOKUP($J527,APOIO!$H:$J,3,FALSE))</f>
        <v/>
      </c>
      <c r="M527" s="31"/>
      <c r="N527" s="34"/>
      <c r="O527" s="32"/>
      <c r="P527" s="32"/>
      <c r="Q527" s="32"/>
      <c r="R527" s="32"/>
      <c r="S527" s="35"/>
      <c r="T527" s="91"/>
      <c r="U527" s="60"/>
      <c r="V527" s="36"/>
      <c r="W527" s="31"/>
      <c r="X527" s="59"/>
      <c r="Y527" s="59" t="str">
        <f>IFERROR(VLOOKUP($A527,APOIO!$A:$A,1,FALSE),"ERRO")</f>
        <v>ERRO</v>
      </c>
      <c r="Z527"/>
    </row>
    <row r="528" spans="1:26" ht="15" x14ac:dyDescent="0.25">
      <c r="A528" s="94"/>
      <c r="B528" s="32" t="str">
        <f>IF($A528="","",VLOOKUP($A528,APOIO!$A:$E,2,FALSE))</f>
        <v/>
      </c>
      <c r="C528" s="94"/>
      <c r="D528" s="32" t="str">
        <f>IF($A528="","",INDEX(APOIO!$D:$D,MATCH(CONCATENATE($A528,"_",$B528,"_",$C528),APOIO!$F:$F,0)))</f>
        <v/>
      </c>
      <c r="E528" s="31"/>
      <c r="F528" s="31"/>
      <c r="G528" s="33"/>
      <c r="H528" s="105"/>
      <c r="I528" s="32" t="str">
        <f>IF($A528="","",VLOOKUP($H528,APOIO!$L:$M,2,FALSE))</f>
        <v/>
      </c>
      <c r="J528" s="31"/>
      <c r="K528" s="32" t="str">
        <f>IF($A528="","",VLOOKUP($J528,APOIO!$H:$J,2,FALSE))</f>
        <v/>
      </c>
      <c r="L528" s="32" t="str">
        <f>IF($A528="","",VLOOKUP($J528,APOIO!$H:$J,3,FALSE))</f>
        <v/>
      </c>
      <c r="M528" s="31"/>
      <c r="N528" s="34"/>
      <c r="O528" s="32"/>
      <c r="P528" s="32"/>
      <c r="Q528" s="32"/>
      <c r="R528" s="32"/>
      <c r="S528" s="35"/>
      <c r="T528" s="91"/>
      <c r="U528" s="60"/>
      <c r="V528" s="36"/>
      <c r="W528" s="31"/>
      <c r="X528" s="59"/>
      <c r="Y528" s="59" t="str">
        <f>IFERROR(VLOOKUP($A528,APOIO!$A:$A,1,FALSE),"ERRO")</f>
        <v>ERRO</v>
      </c>
      <c r="Z528"/>
    </row>
    <row r="529" spans="1:26" ht="15" x14ac:dyDescent="0.25">
      <c r="A529" s="94"/>
      <c r="B529" s="32" t="str">
        <f>IF($A529="","",VLOOKUP($A529,APOIO!$A:$E,2,FALSE))</f>
        <v/>
      </c>
      <c r="C529" s="94"/>
      <c r="D529" s="32" t="str">
        <f>IF($A529="","",INDEX(APOIO!$D:$D,MATCH(CONCATENATE($A529,"_",$B529,"_",$C529),APOIO!$F:$F,0)))</f>
        <v/>
      </c>
      <c r="E529" s="31"/>
      <c r="F529" s="31"/>
      <c r="G529" s="33"/>
      <c r="H529" s="105"/>
      <c r="I529" s="32" t="str">
        <f>IF($A529="","",VLOOKUP($H529,APOIO!$L:$M,2,FALSE))</f>
        <v/>
      </c>
      <c r="J529" s="31"/>
      <c r="K529" s="32" t="str">
        <f>IF($A529="","",VLOOKUP($J529,APOIO!$H:$J,2,FALSE))</f>
        <v/>
      </c>
      <c r="L529" s="32" t="str">
        <f>IF($A529="","",VLOOKUP($J529,APOIO!$H:$J,3,FALSE))</f>
        <v/>
      </c>
      <c r="M529" s="31"/>
      <c r="N529" s="34"/>
      <c r="O529" s="32"/>
      <c r="P529" s="32"/>
      <c r="Q529" s="32"/>
      <c r="R529" s="32"/>
      <c r="S529" s="35"/>
      <c r="T529" s="91"/>
      <c r="U529" s="60"/>
      <c r="V529" s="36"/>
      <c r="W529" s="31"/>
      <c r="X529" s="59"/>
      <c r="Y529" s="59" t="str">
        <f>IFERROR(VLOOKUP($A529,APOIO!$A:$A,1,FALSE),"ERRO")</f>
        <v>ERRO</v>
      </c>
      <c r="Z529"/>
    </row>
    <row r="530" spans="1:26" ht="15" x14ac:dyDescent="0.25">
      <c r="A530" s="94"/>
      <c r="B530" s="32" t="str">
        <f>IF($A530="","",VLOOKUP($A530,APOIO!$A:$E,2,FALSE))</f>
        <v/>
      </c>
      <c r="C530" s="94"/>
      <c r="D530" s="32" t="str">
        <f>IF($A530="","",INDEX(APOIO!$D:$D,MATCH(CONCATENATE($A530,"_",$B530,"_",$C530),APOIO!$F:$F,0)))</f>
        <v/>
      </c>
      <c r="E530" s="31"/>
      <c r="F530" s="31"/>
      <c r="G530" s="33"/>
      <c r="H530" s="105"/>
      <c r="I530" s="32" t="str">
        <f>IF($A530="","",VLOOKUP($H530,APOIO!$L:$M,2,FALSE))</f>
        <v/>
      </c>
      <c r="J530" s="31"/>
      <c r="K530" s="32" t="str">
        <f>IF($A530="","",VLOOKUP($J530,APOIO!$H:$J,2,FALSE))</f>
        <v/>
      </c>
      <c r="L530" s="32" t="str">
        <f>IF($A530="","",VLOOKUP($J530,APOIO!$H:$J,3,FALSE))</f>
        <v/>
      </c>
      <c r="M530" s="31"/>
      <c r="N530" s="34"/>
      <c r="O530" s="32"/>
      <c r="P530" s="32"/>
      <c r="Q530" s="32"/>
      <c r="R530" s="32"/>
      <c r="S530" s="35"/>
      <c r="T530" s="91"/>
      <c r="U530" s="60"/>
      <c r="V530" s="36"/>
      <c r="W530" s="31"/>
      <c r="X530" s="59"/>
      <c r="Y530" s="59" t="str">
        <f>IFERROR(VLOOKUP($A530,APOIO!$A:$A,1,FALSE),"ERRO")</f>
        <v>ERRO</v>
      </c>
      <c r="Z530"/>
    </row>
    <row r="531" spans="1:26" ht="15" x14ac:dyDescent="0.25">
      <c r="A531" s="94"/>
      <c r="B531" s="32" t="str">
        <f>IF($A531="","",VLOOKUP($A531,APOIO!$A:$E,2,FALSE))</f>
        <v/>
      </c>
      <c r="C531" s="94"/>
      <c r="D531" s="32" t="str">
        <f>IF($A531="","",INDEX(APOIO!$D:$D,MATCH(CONCATENATE($A531,"_",$B531,"_",$C531),APOIO!$F:$F,0)))</f>
        <v/>
      </c>
      <c r="E531" s="31"/>
      <c r="F531" s="31"/>
      <c r="G531" s="33"/>
      <c r="H531" s="105"/>
      <c r="I531" s="32" t="str">
        <f>IF($A531="","",VLOOKUP($H531,APOIO!$L:$M,2,FALSE))</f>
        <v/>
      </c>
      <c r="J531" s="31"/>
      <c r="K531" s="32" t="str">
        <f>IF($A531="","",VLOOKUP($J531,APOIO!$H:$J,2,FALSE))</f>
        <v/>
      </c>
      <c r="L531" s="32" t="str">
        <f>IF($A531="","",VLOOKUP($J531,APOIO!$H:$J,3,FALSE))</f>
        <v/>
      </c>
      <c r="M531" s="31"/>
      <c r="N531" s="34"/>
      <c r="O531" s="32"/>
      <c r="P531" s="32"/>
      <c r="Q531" s="32"/>
      <c r="R531" s="32"/>
      <c r="S531" s="35"/>
      <c r="T531" s="91"/>
      <c r="U531" s="60"/>
      <c r="V531" s="36"/>
      <c r="W531" s="31"/>
      <c r="X531" s="59"/>
      <c r="Y531" s="59" t="str">
        <f>IFERROR(VLOOKUP($A531,APOIO!$A:$A,1,FALSE),"ERRO")</f>
        <v>ERRO</v>
      </c>
      <c r="Z531"/>
    </row>
    <row r="532" spans="1:26" ht="15" x14ac:dyDescent="0.25">
      <c r="A532" s="94"/>
      <c r="B532" s="32" t="str">
        <f>IF($A532="","",VLOOKUP($A532,APOIO!$A:$E,2,FALSE))</f>
        <v/>
      </c>
      <c r="C532" s="94"/>
      <c r="D532" s="32" t="str">
        <f>IF($A532="","",INDEX(APOIO!$D:$D,MATCH(CONCATENATE($A532,"_",$B532,"_",$C532),APOIO!$F:$F,0)))</f>
        <v/>
      </c>
      <c r="E532" s="31"/>
      <c r="F532" s="31"/>
      <c r="G532" s="33"/>
      <c r="H532" s="105"/>
      <c r="I532" s="32" t="str">
        <f>IF($A532="","",VLOOKUP($H532,APOIO!$L:$M,2,FALSE))</f>
        <v/>
      </c>
      <c r="J532" s="31"/>
      <c r="K532" s="32" t="str">
        <f>IF($A532="","",VLOOKUP($J532,APOIO!$H:$J,2,FALSE))</f>
        <v/>
      </c>
      <c r="L532" s="32" t="str">
        <f>IF($A532="","",VLOOKUP($J532,APOIO!$H:$J,3,FALSE))</f>
        <v/>
      </c>
      <c r="M532" s="31"/>
      <c r="N532" s="34"/>
      <c r="O532" s="32"/>
      <c r="P532" s="32"/>
      <c r="Q532" s="32"/>
      <c r="R532" s="32"/>
      <c r="S532" s="35"/>
      <c r="T532" s="91"/>
      <c r="U532" s="60"/>
      <c r="V532" s="36"/>
      <c r="W532" s="31"/>
      <c r="X532" s="59"/>
      <c r="Y532" s="59" t="str">
        <f>IFERROR(VLOOKUP($A532,APOIO!$A:$A,1,FALSE),"ERRO")</f>
        <v>ERRO</v>
      </c>
      <c r="Z532"/>
    </row>
    <row r="533" spans="1:26" ht="15" x14ac:dyDescent="0.25">
      <c r="A533" s="94"/>
      <c r="B533" s="32" t="str">
        <f>IF($A533="","",VLOOKUP($A533,APOIO!$A:$E,2,FALSE))</f>
        <v/>
      </c>
      <c r="C533" s="94"/>
      <c r="D533" s="32" t="str">
        <f>IF($A533="","",INDEX(APOIO!$D:$D,MATCH(CONCATENATE($A533,"_",$B533,"_",$C533),APOIO!$F:$F,0)))</f>
        <v/>
      </c>
      <c r="E533" s="31"/>
      <c r="F533" s="31"/>
      <c r="G533" s="33"/>
      <c r="H533" s="105"/>
      <c r="I533" s="32" t="str">
        <f>IF($A533="","",VLOOKUP($H533,APOIO!$L:$M,2,FALSE))</f>
        <v/>
      </c>
      <c r="J533" s="31"/>
      <c r="K533" s="32" t="str">
        <f>IF($A533="","",VLOOKUP($J533,APOIO!$H:$J,2,FALSE))</f>
        <v/>
      </c>
      <c r="L533" s="32" t="str">
        <f>IF($A533="","",VLOOKUP($J533,APOIO!$H:$J,3,FALSE))</f>
        <v/>
      </c>
      <c r="M533" s="31"/>
      <c r="N533" s="34"/>
      <c r="O533" s="32"/>
      <c r="P533" s="32"/>
      <c r="Q533" s="32"/>
      <c r="R533" s="32"/>
      <c r="S533" s="35"/>
      <c r="T533" s="91"/>
      <c r="U533" s="60"/>
      <c r="V533" s="36"/>
      <c r="W533" s="31"/>
      <c r="X533" s="59"/>
      <c r="Y533" s="59" t="str">
        <f>IFERROR(VLOOKUP($A533,APOIO!$A:$A,1,FALSE),"ERRO")</f>
        <v>ERRO</v>
      </c>
      <c r="Z533"/>
    </row>
    <row r="534" spans="1:26" ht="15" x14ac:dyDescent="0.25">
      <c r="A534" s="94"/>
      <c r="B534" s="32" t="str">
        <f>IF($A534="","",VLOOKUP($A534,APOIO!$A:$E,2,FALSE))</f>
        <v/>
      </c>
      <c r="C534" s="94"/>
      <c r="D534" s="32" t="str">
        <f>IF($A534="","",INDEX(APOIO!$D:$D,MATCH(CONCATENATE($A534,"_",$B534,"_",$C534),APOIO!$F:$F,0)))</f>
        <v/>
      </c>
      <c r="E534" s="31"/>
      <c r="F534" s="31"/>
      <c r="G534" s="33"/>
      <c r="H534" s="105"/>
      <c r="I534" s="32" t="str">
        <f>IF($A534="","",VLOOKUP($H534,APOIO!$L:$M,2,FALSE))</f>
        <v/>
      </c>
      <c r="J534" s="31"/>
      <c r="K534" s="32" t="str">
        <f>IF($A534="","",VLOOKUP($J534,APOIO!$H:$J,2,FALSE))</f>
        <v/>
      </c>
      <c r="L534" s="32" t="str">
        <f>IF($A534="","",VLOOKUP($J534,APOIO!$H:$J,3,FALSE))</f>
        <v/>
      </c>
      <c r="M534" s="31"/>
      <c r="N534" s="34"/>
      <c r="O534" s="32"/>
      <c r="P534" s="32"/>
      <c r="Q534" s="32"/>
      <c r="R534" s="32"/>
      <c r="S534" s="35"/>
      <c r="T534" s="91"/>
      <c r="U534" s="60"/>
      <c r="V534" s="36"/>
      <c r="W534" s="31"/>
      <c r="X534" s="59"/>
      <c r="Y534" s="59" t="str">
        <f>IFERROR(VLOOKUP($A534,APOIO!$A:$A,1,FALSE),"ERRO")</f>
        <v>ERRO</v>
      </c>
      <c r="Z534"/>
    </row>
    <row r="535" spans="1:26" ht="15" x14ac:dyDescent="0.25">
      <c r="A535" s="94"/>
      <c r="B535" s="32" t="str">
        <f>IF($A535="","",VLOOKUP($A535,APOIO!$A:$E,2,FALSE))</f>
        <v/>
      </c>
      <c r="C535" s="94"/>
      <c r="D535" s="32" t="str">
        <f>IF($A535="","",INDEX(APOIO!$D:$D,MATCH(CONCATENATE($A535,"_",$B535,"_",$C535),APOIO!$F:$F,0)))</f>
        <v/>
      </c>
      <c r="E535" s="31"/>
      <c r="F535" s="31"/>
      <c r="G535" s="33"/>
      <c r="H535" s="105"/>
      <c r="I535" s="32" t="str">
        <f>IF($A535="","",VLOOKUP($H535,APOIO!$L:$M,2,FALSE))</f>
        <v/>
      </c>
      <c r="J535" s="31"/>
      <c r="K535" s="32" t="str">
        <f>IF($A535="","",VLOOKUP($J535,APOIO!$H:$J,2,FALSE))</f>
        <v/>
      </c>
      <c r="L535" s="32" t="str">
        <f>IF($A535="","",VLOOKUP($J535,APOIO!$H:$J,3,FALSE))</f>
        <v/>
      </c>
      <c r="M535" s="31"/>
      <c r="N535" s="34"/>
      <c r="O535" s="32"/>
      <c r="P535" s="32"/>
      <c r="Q535" s="32"/>
      <c r="R535" s="32"/>
      <c r="S535" s="35"/>
      <c r="T535" s="91"/>
      <c r="U535" s="60"/>
      <c r="V535" s="36"/>
      <c r="W535" s="31"/>
      <c r="X535" s="59"/>
      <c r="Y535" s="59" t="str">
        <f>IFERROR(VLOOKUP($A535,APOIO!$A:$A,1,FALSE),"ERRO")</f>
        <v>ERRO</v>
      </c>
      <c r="Z535"/>
    </row>
    <row r="536" spans="1:26" ht="15" x14ac:dyDescent="0.25">
      <c r="A536" s="94"/>
      <c r="B536" s="32" t="str">
        <f>IF($A536="","",VLOOKUP($A536,APOIO!$A:$E,2,FALSE))</f>
        <v/>
      </c>
      <c r="C536" s="94"/>
      <c r="D536" s="32" t="str">
        <f>IF($A536="","",INDEX(APOIO!$D:$D,MATCH(CONCATENATE($A536,"_",$B536,"_",$C536),APOIO!$F:$F,0)))</f>
        <v/>
      </c>
      <c r="E536" s="31"/>
      <c r="F536" s="31"/>
      <c r="G536" s="33"/>
      <c r="H536" s="105"/>
      <c r="I536" s="32" t="str">
        <f>IF($A536="","",VLOOKUP($H536,APOIO!$L:$M,2,FALSE))</f>
        <v/>
      </c>
      <c r="J536" s="31"/>
      <c r="K536" s="32" t="str">
        <f>IF($A536="","",VLOOKUP($J536,APOIO!$H:$J,2,FALSE))</f>
        <v/>
      </c>
      <c r="L536" s="32" t="str">
        <f>IF($A536="","",VLOOKUP($J536,APOIO!$H:$J,3,FALSE))</f>
        <v/>
      </c>
      <c r="M536" s="31"/>
      <c r="N536" s="34"/>
      <c r="O536" s="32"/>
      <c r="P536" s="32"/>
      <c r="Q536" s="32"/>
      <c r="R536" s="32"/>
      <c r="S536" s="35"/>
      <c r="T536" s="91"/>
      <c r="U536" s="60"/>
      <c r="V536" s="36"/>
      <c r="W536" s="31"/>
      <c r="X536" s="59"/>
      <c r="Y536" s="59" t="str">
        <f>IFERROR(VLOOKUP($A536,APOIO!$A:$A,1,FALSE),"ERRO")</f>
        <v>ERRO</v>
      </c>
      <c r="Z536"/>
    </row>
    <row r="537" spans="1:26" ht="15" x14ac:dyDescent="0.25">
      <c r="A537" s="94"/>
      <c r="B537" s="32" t="str">
        <f>IF($A537="","",VLOOKUP($A537,APOIO!$A:$E,2,FALSE))</f>
        <v/>
      </c>
      <c r="C537" s="94"/>
      <c r="D537" s="32" t="str">
        <f>IF($A537="","",INDEX(APOIO!$D:$D,MATCH(CONCATENATE($A537,"_",$B537,"_",$C537),APOIO!$F:$F,0)))</f>
        <v/>
      </c>
      <c r="E537" s="31"/>
      <c r="F537" s="31"/>
      <c r="G537" s="33"/>
      <c r="H537" s="105"/>
      <c r="I537" s="32" t="str">
        <f>IF($A537="","",VLOOKUP($H537,APOIO!$L:$M,2,FALSE))</f>
        <v/>
      </c>
      <c r="J537" s="31"/>
      <c r="K537" s="32" t="str">
        <f>IF($A537="","",VLOOKUP($J537,APOIO!$H:$J,2,FALSE))</f>
        <v/>
      </c>
      <c r="L537" s="32" t="str">
        <f>IF($A537="","",VLOOKUP($J537,APOIO!$H:$J,3,FALSE))</f>
        <v/>
      </c>
      <c r="M537" s="31"/>
      <c r="N537" s="34"/>
      <c r="O537" s="32"/>
      <c r="P537" s="32"/>
      <c r="Q537" s="32"/>
      <c r="R537" s="32"/>
      <c r="S537" s="35"/>
      <c r="T537" s="91"/>
      <c r="U537" s="60"/>
      <c r="V537" s="36"/>
      <c r="W537" s="31"/>
      <c r="X537" s="59"/>
      <c r="Y537" s="59" t="str">
        <f>IFERROR(VLOOKUP($A537,APOIO!$A:$A,1,FALSE),"ERRO")</f>
        <v>ERRO</v>
      </c>
      <c r="Z537"/>
    </row>
    <row r="538" spans="1:26" ht="15" x14ac:dyDescent="0.25">
      <c r="A538" s="94"/>
      <c r="B538" s="32" t="str">
        <f>IF($A538="","",VLOOKUP($A538,APOIO!$A:$E,2,FALSE))</f>
        <v/>
      </c>
      <c r="C538" s="94"/>
      <c r="D538" s="32" t="str">
        <f>IF($A538="","",INDEX(APOIO!$D:$D,MATCH(CONCATENATE($A538,"_",$B538,"_",$C538),APOIO!$F:$F,0)))</f>
        <v/>
      </c>
      <c r="E538" s="31"/>
      <c r="F538" s="31"/>
      <c r="G538" s="33"/>
      <c r="H538" s="105"/>
      <c r="I538" s="32" t="str">
        <f>IF($A538="","",VLOOKUP($H538,APOIO!$L:$M,2,FALSE))</f>
        <v/>
      </c>
      <c r="J538" s="31"/>
      <c r="K538" s="32" t="str">
        <f>IF($A538="","",VLOOKUP($J538,APOIO!$H:$J,2,FALSE))</f>
        <v/>
      </c>
      <c r="L538" s="32" t="str">
        <f>IF($A538="","",VLOOKUP($J538,APOIO!$H:$J,3,FALSE))</f>
        <v/>
      </c>
      <c r="M538" s="31"/>
      <c r="N538" s="34"/>
      <c r="O538" s="32"/>
      <c r="P538" s="32"/>
      <c r="Q538" s="32"/>
      <c r="R538" s="32"/>
      <c r="S538" s="35"/>
      <c r="T538" s="91"/>
      <c r="U538" s="60"/>
      <c r="V538" s="36"/>
      <c r="W538" s="31"/>
      <c r="X538" s="59"/>
      <c r="Y538" s="59" t="str">
        <f>IFERROR(VLOOKUP($A538,APOIO!$A:$A,1,FALSE),"ERRO")</f>
        <v>ERRO</v>
      </c>
      <c r="Z538"/>
    </row>
    <row r="539" spans="1:26" ht="15" x14ac:dyDescent="0.25">
      <c r="A539" s="94"/>
      <c r="B539" s="32" t="str">
        <f>IF($A539="","",VLOOKUP($A539,APOIO!$A:$E,2,FALSE))</f>
        <v/>
      </c>
      <c r="C539" s="94"/>
      <c r="D539" s="32" t="str">
        <f>IF($A539="","",INDEX(APOIO!$D:$D,MATCH(CONCATENATE($A539,"_",$B539,"_",$C539),APOIO!$F:$F,0)))</f>
        <v/>
      </c>
      <c r="E539" s="31"/>
      <c r="F539" s="31"/>
      <c r="G539" s="33"/>
      <c r="H539" s="105"/>
      <c r="I539" s="32" t="str">
        <f>IF($A539="","",VLOOKUP($H539,APOIO!$L:$M,2,FALSE))</f>
        <v/>
      </c>
      <c r="J539" s="31"/>
      <c r="K539" s="32" t="str">
        <f>IF($A539="","",VLOOKUP($J539,APOIO!$H:$J,2,FALSE))</f>
        <v/>
      </c>
      <c r="L539" s="32" t="str">
        <f>IF($A539="","",VLOOKUP($J539,APOIO!$H:$J,3,FALSE))</f>
        <v/>
      </c>
      <c r="M539" s="31"/>
      <c r="N539" s="34"/>
      <c r="O539" s="32"/>
      <c r="P539" s="32"/>
      <c r="Q539" s="32"/>
      <c r="R539" s="32"/>
      <c r="S539" s="35"/>
      <c r="T539" s="91"/>
      <c r="U539" s="60"/>
      <c r="V539" s="36"/>
      <c r="W539" s="31"/>
      <c r="X539" s="59"/>
      <c r="Y539" s="59" t="str">
        <f>IFERROR(VLOOKUP($A539,APOIO!$A:$A,1,FALSE),"ERRO")</f>
        <v>ERRO</v>
      </c>
      <c r="Z539"/>
    </row>
    <row r="540" spans="1:26" ht="15" x14ac:dyDescent="0.25">
      <c r="A540" s="94"/>
      <c r="B540" s="32" t="str">
        <f>IF($A540="","",VLOOKUP($A540,APOIO!$A:$E,2,FALSE))</f>
        <v/>
      </c>
      <c r="C540" s="94"/>
      <c r="D540" s="32" t="str">
        <f>IF($A540="","",INDEX(APOIO!$D:$D,MATCH(CONCATENATE($A540,"_",$B540,"_",$C540),APOIO!$F:$F,0)))</f>
        <v/>
      </c>
      <c r="E540" s="31"/>
      <c r="F540" s="31"/>
      <c r="G540" s="33"/>
      <c r="H540" s="105"/>
      <c r="I540" s="32" t="str">
        <f>IF($A540="","",VLOOKUP($H540,APOIO!$L:$M,2,FALSE))</f>
        <v/>
      </c>
      <c r="J540" s="31"/>
      <c r="K540" s="32" t="str">
        <f>IF($A540="","",VLOOKUP($J540,APOIO!$H:$J,2,FALSE))</f>
        <v/>
      </c>
      <c r="L540" s="32" t="str">
        <f>IF($A540="","",VLOOKUP($J540,APOIO!$H:$J,3,FALSE))</f>
        <v/>
      </c>
      <c r="M540" s="31"/>
      <c r="N540" s="34"/>
      <c r="O540" s="32"/>
      <c r="P540" s="32"/>
      <c r="Q540" s="32"/>
      <c r="R540" s="32"/>
      <c r="S540" s="35"/>
      <c r="T540" s="91"/>
      <c r="U540" s="60"/>
      <c r="V540" s="36"/>
      <c r="W540" s="31"/>
      <c r="X540" s="59"/>
      <c r="Y540" s="59" t="str">
        <f>IFERROR(VLOOKUP($A540,APOIO!$A:$A,1,FALSE),"ERRO")</f>
        <v>ERRO</v>
      </c>
      <c r="Z540"/>
    </row>
    <row r="541" spans="1:26" ht="15" x14ac:dyDescent="0.25">
      <c r="A541" s="94"/>
      <c r="B541" s="32" t="str">
        <f>IF($A541="","",VLOOKUP($A541,APOIO!$A:$E,2,FALSE))</f>
        <v/>
      </c>
      <c r="C541" s="94"/>
      <c r="D541" s="32" t="str">
        <f>IF($A541="","",INDEX(APOIO!$D:$D,MATCH(CONCATENATE($A541,"_",$B541,"_",$C541),APOIO!$F:$F,0)))</f>
        <v/>
      </c>
      <c r="E541" s="31"/>
      <c r="F541" s="31"/>
      <c r="G541" s="33"/>
      <c r="H541" s="105"/>
      <c r="I541" s="32" t="str">
        <f>IF($A541="","",VLOOKUP($H541,APOIO!$L:$M,2,FALSE))</f>
        <v/>
      </c>
      <c r="J541" s="31"/>
      <c r="K541" s="32" t="str">
        <f>IF($A541="","",VLOOKUP($J541,APOIO!$H:$J,2,FALSE))</f>
        <v/>
      </c>
      <c r="L541" s="32" t="str">
        <f>IF($A541="","",VLOOKUP($J541,APOIO!$H:$J,3,FALSE))</f>
        <v/>
      </c>
      <c r="M541" s="31"/>
      <c r="N541" s="34"/>
      <c r="O541" s="32"/>
      <c r="P541" s="32"/>
      <c r="Q541" s="32"/>
      <c r="R541" s="32"/>
      <c r="S541" s="35"/>
      <c r="T541" s="91"/>
      <c r="U541" s="60"/>
      <c r="V541" s="36"/>
      <c r="W541" s="31"/>
      <c r="X541" s="59"/>
      <c r="Y541" s="59" t="str">
        <f>IFERROR(VLOOKUP($A541,APOIO!$A:$A,1,FALSE),"ERRO")</f>
        <v>ERRO</v>
      </c>
      <c r="Z541"/>
    </row>
    <row r="542" spans="1:26" ht="15" x14ac:dyDescent="0.25">
      <c r="A542" s="94"/>
      <c r="B542" s="32" t="str">
        <f>IF($A542="","",VLOOKUP($A542,APOIO!$A:$E,2,FALSE))</f>
        <v/>
      </c>
      <c r="C542" s="94"/>
      <c r="D542" s="32" t="str">
        <f>IF($A542="","",INDEX(APOIO!$D:$D,MATCH(CONCATENATE($A542,"_",$B542,"_",$C542),APOIO!$F:$F,0)))</f>
        <v/>
      </c>
      <c r="E542" s="31"/>
      <c r="F542" s="31"/>
      <c r="G542" s="33"/>
      <c r="H542" s="105"/>
      <c r="I542" s="32" t="str">
        <f>IF($A542="","",VLOOKUP($H542,APOIO!$L:$M,2,FALSE))</f>
        <v/>
      </c>
      <c r="J542" s="31"/>
      <c r="K542" s="32" t="str">
        <f>IF($A542="","",VLOOKUP($J542,APOIO!$H:$J,2,FALSE))</f>
        <v/>
      </c>
      <c r="L542" s="32" t="str">
        <f>IF($A542="","",VLOOKUP($J542,APOIO!$H:$J,3,FALSE))</f>
        <v/>
      </c>
      <c r="M542" s="31"/>
      <c r="N542" s="34"/>
      <c r="O542" s="32"/>
      <c r="P542" s="32"/>
      <c r="Q542" s="32"/>
      <c r="R542" s="32"/>
      <c r="S542" s="35"/>
      <c r="T542" s="91"/>
      <c r="U542" s="60"/>
      <c r="V542" s="36"/>
      <c r="W542" s="31"/>
      <c r="X542" s="59"/>
      <c r="Y542" s="59" t="str">
        <f>IFERROR(VLOOKUP($A542,APOIO!$A:$A,1,FALSE),"ERRO")</f>
        <v>ERRO</v>
      </c>
      <c r="Z542"/>
    </row>
    <row r="543" spans="1:26" ht="15" x14ac:dyDescent="0.25">
      <c r="A543" s="94"/>
      <c r="B543" s="32" t="str">
        <f>IF($A543="","",VLOOKUP($A543,APOIO!$A:$E,2,FALSE))</f>
        <v/>
      </c>
      <c r="C543" s="94"/>
      <c r="D543" s="32" t="str">
        <f>IF($A543="","",INDEX(APOIO!$D:$D,MATCH(CONCATENATE($A543,"_",$B543,"_",$C543),APOIO!$F:$F,0)))</f>
        <v/>
      </c>
      <c r="E543" s="31"/>
      <c r="F543" s="31"/>
      <c r="G543" s="33"/>
      <c r="H543" s="105"/>
      <c r="I543" s="32" t="str">
        <f>IF($A543="","",VLOOKUP($H543,APOIO!$L:$M,2,FALSE))</f>
        <v/>
      </c>
      <c r="J543" s="31"/>
      <c r="K543" s="32" t="str">
        <f>IF($A543="","",VLOOKUP($J543,APOIO!$H:$J,2,FALSE))</f>
        <v/>
      </c>
      <c r="L543" s="32" t="str">
        <f>IF($A543="","",VLOOKUP($J543,APOIO!$H:$J,3,FALSE))</f>
        <v/>
      </c>
      <c r="M543" s="31"/>
      <c r="N543" s="34"/>
      <c r="O543" s="32"/>
      <c r="P543" s="32"/>
      <c r="Q543" s="32"/>
      <c r="R543" s="32"/>
      <c r="S543" s="35"/>
      <c r="T543" s="91"/>
      <c r="U543" s="60"/>
      <c r="V543" s="36"/>
      <c r="W543" s="31"/>
      <c r="X543" s="59"/>
      <c r="Y543" s="59" t="str">
        <f>IFERROR(VLOOKUP($A543,APOIO!$A:$A,1,FALSE),"ERRO")</f>
        <v>ERRO</v>
      </c>
      <c r="Z543"/>
    </row>
    <row r="544" spans="1:26" ht="15" x14ac:dyDescent="0.25">
      <c r="A544" s="94"/>
      <c r="B544" s="32" t="str">
        <f>IF($A544="","",VLOOKUP($A544,APOIO!$A:$E,2,FALSE))</f>
        <v/>
      </c>
      <c r="C544" s="94"/>
      <c r="D544" s="32" t="str">
        <f>IF($A544="","",INDEX(APOIO!$D:$D,MATCH(CONCATENATE($A544,"_",$B544,"_",$C544),APOIO!$F:$F,0)))</f>
        <v/>
      </c>
      <c r="E544" s="31"/>
      <c r="F544" s="31"/>
      <c r="G544" s="33"/>
      <c r="H544" s="105"/>
      <c r="I544" s="32" t="str">
        <f>IF($A544="","",VLOOKUP($H544,APOIO!$L:$M,2,FALSE))</f>
        <v/>
      </c>
      <c r="J544" s="31"/>
      <c r="K544" s="32" t="str">
        <f>IF($A544="","",VLOOKUP($J544,APOIO!$H:$J,2,FALSE))</f>
        <v/>
      </c>
      <c r="L544" s="32" t="str">
        <f>IF($A544="","",VLOOKUP($J544,APOIO!$H:$J,3,FALSE))</f>
        <v/>
      </c>
      <c r="M544" s="31"/>
      <c r="N544" s="34"/>
      <c r="O544" s="32"/>
      <c r="P544" s="32"/>
      <c r="Q544" s="32"/>
      <c r="R544" s="32"/>
      <c r="S544" s="35"/>
      <c r="T544" s="91"/>
      <c r="U544" s="60"/>
      <c r="V544" s="36"/>
      <c r="W544" s="31"/>
      <c r="X544" s="59"/>
      <c r="Y544" s="59" t="str">
        <f>IFERROR(VLOOKUP($A544,APOIO!$A:$A,1,FALSE),"ERRO")</f>
        <v>ERRO</v>
      </c>
      <c r="Z544"/>
    </row>
    <row r="545" spans="1:26" ht="15" x14ac:dyDescent="0.25">
      <c r="A545" s="94"/>
      <c r="B545" s="32" t="str">
        <f>IF($A545="","",VLOOKUP($A545,APOIO!$A:$E,2,FALSE))</f>
        <v/>
      </c>
      <c r="C545" s="94"/>
      <c r="D545" s="32" t="str">
        <f>IF($A545="","",INDEX(APOIO!$D:$D,MATCH(CONCATENATE($A545,"_",$B545,"_",$C545),APOIO!$F:$F,0)))</f>
        <v/>
      </c>
      <c r="E545" s="31"/>
      <c r="F545" s="31"/>
      <c r="G545" s="33"/>
      <c r="H545" s="105"/>
      <c r="I545" s="32" t="str">
        <f>IF($A545="","",VLOOKUP($H545,APOIO!$L:$M,2,FALSE))</f>
        <v/>
      </c>
      <c r="J545" s="31"/>
      <c r="K545" s="32" t="str">
        <f>IF($A545="","",VLOOKUP($J545,APOIO!$H:$J,2,FALSE))</f>
        <v/>
      </c>
      <c r="L545" s="32" t="str">
        <f>IF($A545="","",VLOOKUP($J545,APOIO!$H:$J,3,FALSE))</f>
        <v/>
      </c>
      <c r="M545" s="31"/>
      <c r="N545" s="34"/>
      <c r="O545" s="32"/>
      <c r="P545" s="32"/>
      <c r="Q545" s="32"/>
      <c r="R545" s="32"/>
      <c r="S545" s="35"/>
      <c r="T545" s="91"/>
      <c r="U545" s="60"/>
      <c r="V545" s="36"/>
      <c r="W545" s="31"/>
      <c r="X545" s="59"/>
      <c r="Y545" s="59" t="str">
        <f>IFERROR(VLOOKUP($A545,APOIO!$A:$A,1,FALSE),"ERRO")</f>
        <v>ERRO</v>
      </c>
      <c r="Z545"/>
    </row>
    <row r="546" spans="1:26" ht="15" x14ac:dyDescent="0.25">
      <c r="A546" s="94"/>
      <c r="B546" s="32" t="str">
        <f>IF($A546="","",VLOOKUP($A546,APOIO!$A:$E,2,FALSE))</f>
        <v/>
      </c>
      <c r="C546" s="94"/>
      <c r="D546" s="32" t="str">
        <f>IF($A546="","",INDEX(APOIO!$D:$D,MATCH(CONCATENATE($A546,"_",$B546,"_",$C546),APOIO!$F:$F,0)))</f>
        <v/>
      </c>
      <c r="E546" s="31"/>
      <c r="F546" s="31"/>
      <c r="G546" s="33"/>
      <c r="H546" s="105"/>
      <c r="I546" s="32" t="str">
        <f>IF($A546="","",VLOOKUP($H546,APOIO!$L:$M,2,FALSE))</f>
        <v/>
      </c>
      <c r="J546" s="31"/>
      <c r="K546" s="32" t="str">
        <f>IF($A546="","",VLOOKUP($J546,APOIO!$H:$J,2,FALSE))</f>
        <v/>
      </c>
      <c r="L546" s="32" t="str">
        <f>IF($A546="","",VLOOKUP($J546,APOIO!$H:$J,3,FALSE))</f>
        <v/>
      </c>
      <c r="M546" s="31"/>
      <c r="N546" s="34"/>
      <c r="O546" s="32"/>
      <c r="P546" s="32"/>
      <c r="Q546" s="32"/>
      <c r="R546" s="32"/>
      <c r="S546" s="35"/>
      <c r="T546" s="91"/>
      <c r="U546" s="60"/>
      <c r="V546" s="36"/>
      <c r="W546" s="31"/>
      <c r="X546" s="59"/>
      <c r="Y546" s="59" t="str">
        <f>IFERROR(VLOOKUP($A546,APOIO!$A:$A,1,FALSE),"ERRO")</f>
        <v>ERRO</v>
      </c>
      <c r="Z546"/>
    </row>
    <row r="547" spans="1:26" ht="15" x14ac:dyDescent="0.25">
      <c r="A547" s="94"/>
      <c r="B547" s="32" t="str">
        <f>IF($A547="","",VLOOKUP($A547,APOIO!$A:$E,2,FALSE))</f>
        <v/>
      </c>
      <c r="C547" s="94"/>
      <c r="D547" s="32" t="str">
        <f>IF($A547="","",INDEX(APOIO!$D:$D,MATCH(CONCATENATE($A547,"_",$B547,"_",$C547),APOIO!$F:$F,0)))</f>
        <v/>
      </c>
      <c r="E547" s="31"/>
      <c r="F547" s="31"/>
      <c r="G547" s="33"/>
      <c r="H547" s="105"/>
      <c r="I547" s="32" t="str">
        <f>IF($A547="","",VLOOKUP($H547,APOIO!$L:$M,2,FALSE))</f>
        <v/>
      </c>
      <c r="J547" s="31"/>
      <c r="K547" s="32" t="str">
        <f>IF($A547="","",VLOOKUP($J547,APOIO!$H:$J,2,FALSE))</f>
        <v/>
      </c>
      <c r="L547" s="32" t="str">
        <f>IF($A547="","",VLOOKUP($J547,APOIO!$H:$J,3,FALSE))</f>
        <v/>
      </c>
      <c r="M547" s="31"/>
      <c r="N547" s="34"/>
      <c r="O547" s="32"/>
      <c r="P547" s="32"/>
      <c r="Q547" s="32"/>
      <c r="R547" s="32"/>
      <c r="S547" s="35"/>
      <c r="T547" s="91"/>
      <c r="U547" s="60"/>
      <c r="V547" s="36"/>
      <c r="W547" s="31"/>
      <c r="X547" s="59"/>
      <c r="Y547" s="59" t="str">
        <f>IFERROR(VLOOKUP($A547,APOIO!$A:$A,1,FALSE),"ERRO")</f>
        <v>ERRO</v>
      </c>
      <c r="Z547"/>
    </row>
    <row r="548" spans="1:26" ht="15" x14ac:dyDescent="0.25">
      <c r="A548" s="94"/>
      <c r="B548" s="32" t="str">
        <f>IF($A548="","",VLOOKUP($A548,APOIO!$A:$E,2,FALSE))</f>
        <v/>
      </c>
      <c r="C548" s="94"/>
      <c r="D548" s="32" t="str">
        <f>IF($A548="","",INDEX(APOIO!$D:$D,MATCH(CONCATENATE($A548,"_",$B548,"_",$C548),APOIO!$F:$F,0)))</f>
        <v/>
      </c>
      <c r="E548" s="31"/>
      <c r="F548" s="31"/>
      <c r="G548" s="33"/>
      <c r="H548" s="105"/>
      <c r="I548" s="32" t="str">
        <f>IF($A548="","",VLOOKUP($H548,APOIO!$L:$M,2,FALSE))</f>
        <v/>
      </c>
      <c r="J548" s="31"/>
      <c r="K548" s="32" t="str">
        <f>IF($A548="","",VLOOKUP($J548,APOIO!$H:$J,2,FALSE))</f>
        <v/>
      </c>
      <c r="L548" s="32" t="str">
        <f>IF($A548="","",VLOOKUP($J548,APOIO!$H:$J,3,FALSE))</f>
        <v/>
      </c>
      <c r="M548" s="31"/>
      <c r="N548" s="34"/>
      <c r="O548" s="32"/>
      <c r="P548" s="32"/>
      <c r="Q548" s="32"/>
      <c r="R548" s="32"/>
      <c r="S548" s="35"/>
      <c r="T548" s="91"/>
      <c r="U548" s="60"/>
      <c r="V548" s="36"/>
      <c r="W548" s="31"/>
      <c r="X548" s="59"/>
      <c r="Y548" s="59" t="str">
        <f>IFERROR(VLOOKUP($A548,APOIO!$A:$A,1,FALSE),"ERRO")</f>
        <v>ERRO</v>
      </c>
      <c r="Z548"/>
    </row>
    <row r="549" spans="1:26" ht="15" x14ac:dyDescent="0.25">
      <c r="A549" s="94"/>
      <c r="B549" s="32" t="str">
        <f>IF($A549="","",VLOOKUP($A549,APOIO!$A:$E,2,FALSE))</f>
        <v/>
      </c>
      <c r="C549" s="94"/>
      <c r="D549" s="32" t="str">
        <f>IF($A549="","",INDEX(APOIO!$D:$D,MATCH(CONCATENATE($A549,"_",$B549,"_",$C549),APOIO!$F:$F,0)))</f>
        <v/>
      </c>
      <c r="E549" s="31"/>
      <c r="F549" s="31"/>
      <c r="G549" s="33"/>
      <c r="H549" s="105"/>
      <c r="I549" s="32" t="str">
        <f>IF($A549="","",VLOOKUP($H549,APOIO!$L:$M,2,FALSE))</f>
        <v/>
      </c>
      <c r="J549" s="31"/>
      <c r="K549" s="32" t="str">
        <f>IF($A549="","",VLOOKUP($J549,APOIO!$H:$J,2,FALSE))</f>
        <v/>
      </c>
      <c r="L549" s="32" t="str">
        <f>IF($A549="","",VLOOKUP($J549,APOIO!$H:$J,3,FALSE))</f>
        <v/>
      </c>
      <c r="M549" s="31"/>
      <c r="N549" s="34"/>
      <c r="O549" s="32"/>
      <c r="P549" s="32"/>
      <c r="Q549" s="32"/>
      <c r="R549" s="32"/>
      <c r="S549" s="35"/>
      <c r="T549" s="91"/>
      <c r="U549" s="60"/>
      <c r="V549" s="36"/>
      <c r="W549" s="31"/>
      <c r="X549" s="59"/>
      <c r="Y549" s="59" t="str">
        <f>IFERROR(VLOOKUP($A549,APOIO!$A:$A,1,FALSE),"ERRO")</f>
        <v>ERRO</v>
      </c>
      <c r="Z549"/>
    </row>
    <row r="550" spans="1:26" ht="15" x14ac:dyDescent="0.25">
      <c r="A550" s="94"/>
      <c r="B550" s="32" t="str">
        <f>IF($A550="","",VLOOKUP($A550,APOIO!$A:$E,2,FALSE))</f>
        <v/>
      </c>
      <c r="C550" s="94"/>
      <c r="D550" s="32" t="str">
        <f>IF($A550="","",INDEX(APOIO!$D:$D,MATCH(CONCATENATE($A550,"_",$B550,"_",$C550),APOIO!$F:$F,0)))</f>
        <v/>
      </c>
      <c r="E550" s="31"/>
      <c r="F550" s="31"/>
      <c r="G550" s="33"/>
      <c r="H550" s="105"/>
      <c r="I550" s="32" t="str">
        <f>IF($A550="","",VLOOKUP($H550,APOIO!$L:$M,2,FALSE))</f>
        <v/>
      </c>
      <c r="J550" s="31"/>
      <c r="K550" s="32" t="str">
        <f>IF($A550="","",VLOOKUP($J550,APOIO!$H:$J,2,FALSE))</f>
        <v/>
      </c>
      <c r="L550" s="32" t="str">
        <f>IF($A550="","",VLOOKUP($J550,APOIO!$H:$J,3,FALSE))</f>
        <v/>
      </c>
      <c r="M550" s="31"/>
      <c r="N550" s="34"/>
      <c r="O550" s="32"/>
      <c r="P550" s="32"/>
      <c r="Q550" s="32"/>
      <c r="R550" s="32"/>
      <c r="S550" s="35"/>
      <c r="T550" s="91"/>
      <c r="U550" s="60"/>
      <c r="V550" s="36"/>
      <c r="W550" s="31"/>
      <c r="X550" s="59"/>
      <c r="Y550" s="59" t="str">
        <f>IFERROR(VLOOKUP($A550,APOIO!$A:$A,1,FALSE),"ERRO")</f>
        <v>ERRO</v>
      </c>
      <c r="Z550"/>
    </row>
    <row r="551" spans="1:26" ht="15" x14ac:dyDescent="0.25">
      <c r="A551" s="94"/>
      <c r="B551" s="32" t="str">
        <f>IF($A551="","",VLOOKUP($A551,APOIO!$A:$E,2,FALSE))</f>
        <v/>
      </c>
      <c r="C551" s="94"/>
      <c r="D551" s="32" t="str">
        <f>IF($A551="","",INDEX(APOIO!$D:$D,MATCH(CONCATENATE($A551,"_",$B551,"_",$C551),APOIO!$F:$F,0)))</f>
        <v/>
      </c>
      <c r="E551" s="31"/>
      <c r="F551" s="31"/>
      <c r="G551" s="33"/>
      <c r="H551" s="105"/>
      <c r="I551" s="32" t="str">
        <f>IF($A551="","",VLOOKUP($H551,APOIO!$L:$M,2,FALSE))</f>
        <v/>
      </c>
      <c r="J551" s="31"/>
      <c r="K551" s="32" t="str">
        <f>IF($A551="","",VLOOKUP($J551,APOIO!$H:$J,2,FALSE))</f>
        <v/>
      </c>
      <c r="L551" s="32" t="str">
        <f>IF($A551="","",VLOOKUP($J551,APOIO!$H:$J,3,FALSE))</f>
        <v/>
      </c>
      <c r="M551" s="31"/>
      <c r="N551" s="34"/>
      <c r="O551" s="32"/>
      <c r="P551" s="32"/>
      <c r="Q551" s="32"/>
      <c r="R551" s="32"/>
      <c r="S551" s="35"/>
      <c r="T551" s="91"/>
      <c r="U551" s="60"/>
      <c r="V551" s="36"/>
      <c r="W551" s="31"/>
      <c r="X551" s="59"/>
      <c r="Y551" s="59" t="str">
        <f>IFERROR(VLOOKUP($A551,APOIO!$A:$A,1,FALSE),"ERRO")</f>
        <v>ERRO</v>
      </c>
      <c r="Z551"/>
    </row>
    <row r="552" spans="1:26" ht="15" x14ac:dyDescent="0.25">
      <c r="A552" s="94"/>
      <c r="B552" s="32" t="str">
        <f>IF($A552="","",VLOOKUP($A552,APOIO!$A:$E,2,FALSE))</f>
        <v/>
      </c>
      <c r="C552" s="94"/>
      <c r="D552" s="32" t="str">
        <f>IF($A552="","",INDEX(APOIO!$D:$D,MATCH(CONCATENATE($A552,"_",$B552,"_",$C552),APOIO!$F:$F,0)))</f>
        <v/>
      </c>
      <c r="E552" s="31"/>
      <c r="F552" s="31"/>
      <c r="G552" s="33"/>
      <c r="H552" s="105"/>
      <c r="I552" s="32" t="str">
        <f>IF($A552="","",VLOOKUP($H552,APOIO!$L:$M,2,FALSE))</f>
        <v/>
      </c>
      <c r="J552" s="31"/>
      <c r="K552" s="32" t="str">
        <f>IF($A552="","",VLOOKUP($J552,APOIO!$H:$J,2,FALSE))</f>
        <v/>
      </c>
      <c r="L552" s="32" t="str">
        <f>IF($A552="","",VLOOKUP($J552,APOIO!$H:$J,3,FALSE))</f>
        <v/>
      </c>
      <c r="M552" s="31"/>
      <c r="N552" s="34"/>
      <c r="O552" s="32"/>
      <c r="P552" s="32"/>
      <c r="Q552" s="32"/>
      <c r="R552" s="32"/>
      <c r="S552" s="35"/>
      <c r="T552" s="91"/>
      <c r="U552" s="60"/>
      <c r="V552" s="36"/>
      <c r="W552" s="31"/>
      <c r="X552" s="59"/>
      <c r="Y552" s="59" t="str">
        <f>IFERROR(VLOOKUP($A552,APOIO!$A:$A,1,FALSE),"ERRO")</f>
        <v>ERRO</v>
      </c>
      <c r="Z552"/>
    </row>
    <row r="553" spans="1:26" ht="15" x14ac:dyDescent="0.25">
      <c r="A553" s="94"/>
      <c r="B553" s="32" t="str">
        <f>IF($A553="","",VLOOKUP($A553,APOIO!$A:$E,2,FALSE))</f>
        <v/>
      </c>
      <c r="C553" s="94"/>
      <c r="D553" s="32" t="str">
        <f>IF($A553="","",INDEX(APOIO!$D:$D,MATCH(CONCATENATE($A553,"_",$B553,"_",$C553),APOIO!$F:$F,0)))</f>
        <v/>
      </c>
      <c r="E553" s="31"/>
      <c r="F553" s="31"/>
      <c r="G553" s="33"/>
      <c r="H553" s="105"/>
      <c r="I553" s="32" t="str">
        <f>IF($A553="","",VLOOKUP($H553,APOIO!$L:$M,2,FALSE))</f>
        <v/>
      </c>
      <c r="J553" s="31"/>
      <c r="K553" s="32" t="str">
        <f>IF($A553="","",VLOOKUP($J553,APOIO!$H:$J,2,FALSE))</f>
        <v/>
      </c>
      <c r="L553" s="32" t="str">
        <f>IF($A553="","",VLOOKUP($J553,APOIO!$H:$J,3,FALSE))</f>
        <v/>
      </c>
      <c r="M553" s="31"/>
      <c r="N553" s="34"/>
      <c r="O553" s="32"/>
      <c r="P553" s="32"/>
      <c r="Q553" s="32"/>
      <c r="R553" s="32"/>
      <c r="S553" s="35"/>
      <c r="T553" s="91"/>
      <c r="U553" s="60"/>
      <c r="V553" s="36"/>
      <c r="W553" s="31"/>
      <c r="X553" s="59"/>
      <c r="Y553" s="59" t="str">
        <f>IFERROR(VLOOKUP($A553,APOIO!$A:$A,1,FALSE),"ERRO")</f>
        <v>ERRO</v>
      </c>
      <c r="Z553"/>
    </row>
    <row r="554" spans="1:26" ht="15" x14ac:dyDescent="0.25">
      <c r="A554" s="94"/>
      <c r="B554" s="32" t="str">
        <f>IF($A554="","",VLOOKUP($A554,APOIO!$A:$E,2,FALSE))</f>
        <v/>
      </c>
      <c r="C554" s="94"/>
      <c r="D554" s="32" t="str">
        <f>IF($A554="","",INDEX(APOIO!$D:$D,MATCH(CONCATENATE($A554,"_",$B554,"_",$C554),APOIO!$F:$F,0)))</f>
        <v/>
      </c>
      <c r="E554" s="31"/>
      <c r="F554" s="31"/>
      <c r="G554" s="33"/>
      <c r="H554" s="105"/>
      <c r="I554" s="32" t="str">
        <f>IF($A554="","",VLOOKUP($H554,APOIO!$L:$M,2,FALSE))</f>
        <v/>
      </c>
      <c r="J554" s="31"/>
      <c r="K554" s="32" t="str">
        <f>IF($A554="","",VLOOKUP($J554,APOIO!$H:$J,2,FALSE))</f>
        <v/>
      </c>
      <c r="L554" s="32" t="str">
        <f>IF($A554="","",VLOOKUP($J554,APOIO!$H:$J,3,FALSE))</f>
        <v/>
      </c>
      <c r="M554" s="31"/>
      <c r="N554" s="34"/>
      <c r="O554" s="32"/>
      <c r="P554" s="32"/>
      <c r="Q554" s="32"/>
      <c r="R554" s="32"/>
      <c r="S554" s="35"/>
      <c r="T554" s="91"/>
      <c r="U554" s="60"/>
      <c r="V554" s="36"/>
      <c r="W554" s="31"/>
      <c r="X554" s="59"/>
      <c r="Y554" s="59" t="str">
        <f>IFERROR(VLOOKUP($A554,APOIO!$A:$A,1,FALSE),"ERRO")</f>
        <v>ERRO</v>
      </c>
      <c r="Z554"/>
    </row>
    <row r="555" spans="1:26" ht="15" x14ac:dyDescent="0.25">
      <c r="A555" s="94"/>
      <c r="B555" s="32" t="str">
        <f>IF($A555="","",VLOOKUP($A555,APOIO!$A:$E,2,FALSE))</f>
        <v/>
      </c>
      <c r="C555" s="94"/>
      <c r="D555" s="32" t="str">
        <f>IF($A555="","",INDEX(APOIO!$D:$D,MATCH(CONCATENATE($A555,"_",$B555,"_",$C555),APOIO!$F:$F,0)))</f>
        <v/>
      </c>
      <c r="E555" s="31"/>
      <c r="F555" s="31"/>
      <c r="G555" s="33"/>
      <c r="H555" s="105"/>
      <c r="I555" s="32" t="str">
        <f>IF($A555="","",VLOOKUP($H555,APOIO!$L:$M,2,FALSE))</f>
        <v/>
      </c>
      <c r="J555" s="31"/>
      <c r="K555" s="32" t="str">
        <f>IF($A555="","",VLOOKUP($J555,APOIO!$H:$J,2,FALSE))</f>
        <v/>
      </c>
      <c r="L555" s="32" t="str">
        <f>IF($A555="","",VLOOKUP($J555,APOIO!$H:$J,3,FALSE))</f>
        <v/>
      </c>
      <c r="M555" s="31"/>
      <c r="N555" s="34"/>
      <c r="O555" s="32"/>
      <c r="P555" s="32"/>
      <c r="Q555" s="32"/>
      <c r="R555" s="32"/>
      <c r="S555" s="35"/>
      <c r="T555" s="91"/>
      <c r="U555" s="60"/>
      <c r="V555" s="36"/>
      <c r="W555" s="31"/>
      <c r="X555" s="59"/>
      <c r="Y555" s="59" t="str">
        <f>IFERROR(VLOOKUP($A555,APOIO!$A:$A,1,FALSE),"ERRO")</f>
        <v>ERRO</v>
      </c>
      <c r="Z555"/>
    </row>
    <row r="556" spans="1:26" ht="15" x14ac:dyDescent="0.25">
      <c r="A556" s="94"/>
      <c r="B556" s="32" t="str">
        <f>IF($A556="","",VLOOKUP($A556,APOIO!$A:$E,2,FALSE))</f>
        <v/>
      </c>
      <c r="C556" s="94"/>
      <c r="D556" s="32" t="str">
        <f>IF($A556="","",INDEX(APOIO!$D:$D,MATCH(CONCATENATE($A556,"_",$B556,"_",$C556),APOIO!$F:$F,0)))</f>
        <v/>
      </c>
      <c r="E556" s="31"/>
      <c r="F556" s="31"/>
      <c r="G556" s="33"/>
      <c r="H556" s="105"/>
      <c r="I556" s="32" t="str">
        <f>IF($A556="","",VLOOKUP($H556,APOIO!$L:$M,2,FALSE))</f>
        <v/>
      </c>
      <c r="J556" s="31"/>
      <c r="K556" s="32" t="str">
        <f>IF($A556="","",VLOOKUP($J556,APOIO!$H:$J,2,FALSE))</f>
        <v/>
      </c>
      <c r="L556" s="32" t="str">
        <f>IF($A556="","",VLOOKUP($J556,APOIO!$H:$J,3,FALSE))</f>
        <v/>
      </c>
      <c r="M556" s="31"/>
      <c r="N556" s="34"/>
      <c r="O556" s="32"/>
      <c r="P556" s="32"/>
      <c r="Q556" s="32"/>
      <c r="R556" s="32"/>
      <c r="S556" s="35"/>
      <c r="T556" s="91"/>
      <c r="U556" s="60"/>
      <c r="V556" s="36"/>
      <c r="W556" s="31"/>
      <c r="X556" s="59"/>
      <c r="Y556" s="59" t="str">
        <f>IFERROR(VLOOKUP($A556,APOIO!$A:$A,1,FALSE),"ERRO")</f>
        <v>ERRO</v>
      </c>
      <c r="Z556"/>
    </row>
    <row r="557" spans="1:26" ht="15" x14ac:dyDescent="0.25">
      <c r="A557" s="94"/>
      <c r="B557" s="32" t="str">
        <f>IF($A557="","",VLOOKUP($A557,APOIO!$A:$E,2,FALSE))</f>
        <v/>
      </c>
      <c r="C557" s="94"/>
      <c r="D557" s="32" t="str">
        <f>IF($A557="","",INDEX(APOIO!$D:$D,MATCH(CONCATENATE($A557,"_",$B557,"_",$C557),APOIO!$F:$F,0)))</f>
        <v/>
      </c>
      <c r="E557" s="31"/>
      <c r="F557" s="31"/>
      <c r="G557" s="33"/>
      <c r="H557" s="105"/>
      <c r="I557" s="32" t="str">
        <f>IF($A557="","",VLOOKUP($H557,APOIO!$L:$M,2,FALSE))</f>
        <v/>
      </c>
      <c r="J557" s="31"/>
      <c r="K557" s="32" t="str">
        <f>IF($A557="","",VLOOKUP($J557,APOIO!$H:$J,2,FALSE))</f>
        <v/>
      </c>
      <c r="L557" s="32" t="str">
        <f>IF($A557="","",VLOOKUP($J557,APOIO!$H:$J,3,FALSE))</f>
        <v/>
      </c>
      <c r="M557" s="31"/>
      <c r="N557" s="34"/>
      <c r="O557" s="32"/>
      <c r="P557" s="32"/>
      <c r="Q557" s="32"/>
      <c r="R557" s="32"/>
      <c r="S557" s="35"/>
      <c r="T557" s="91"/>
      <c r="U557" s="60"/>
      <c r="V557" s="36"/>
      <c r="W557" s="31"/>
      <c r="X557" s="59"/>
      <c r="Y557" s="59" t="str">
        <f>IFERROR(VLOOKUP($A557,APOIO!$A:$A,1,FALSE),"ERRO")</f>
        <v>ERRO</v>
      </c>
      <c r="Z557"/>
    </row>
    <row r="558" spans="1:26" ht="15" x14ac:dyDescent="0.25">
      <c r="A558" s="94"/>
      <c r="B558" s="32" t="str">
        <f>IF($A558="","",VLOOKUP($A558,APOIO!$A:$E,2,FALSE))</f>
        <v/>
      </c>
      <c r="C558" s="94"/>
      <c r="D558" s="32" t="str">
        <f>IF($A558="","",INDEX(APOIO!$D:$D,MATCH(CONCATENATE($A558,"_",$B558,"_",$C558),APOIO!$F:$F,0)))</f>
        <v/>
      </c>
      <c r="E558" s="31"/>
      <c r="F558" s="31"/>
      <c r="G558" s="33"/>
      <c r="H558" s="105"/>
      <c r="I558" s="32" t="str">
        <f>IF($A558="","",VLOOKUP($H558,APOIO!$L:$M,2,FALSE))</f>
        <v/>
      </c>
      <c r="J558" s="31"/>
      <c r="K558" s="32" t="str">
        <f>IF($A558="","",VLOOKUP($J558,APOIO!$H:$J,2,FALSE))</f>
        <v/>
      </c>
      <c r="L558" s="32" t="str">
        <f>IF($A558="","",VLOOKUP($J558,APOIO!$H:$J,3,FALSE))</f>
        <v/>
      </c>
      <c r="M558" s="31"/>
      <c r="N558" s="34"/>
      <c r="O558" s="32"/>
      <c r="P558" s="32"/>
      <c r="Q558" s="32"/>
      <c r="R558" s="32"/>
      <c r="S558" s="35"/>
      <c r="T558" s="91"/>
      <c r="U558" s="60"/>
      <c r="V558" s="36"/>
      <c r="W558" s="31"/>
      <c r="X558" s="59"/>
      <c r="Y558" s="59" t="str">
        <f>IFERROR(VLOOKUP($A558,APOIO!$A:$A,1,FALSE),"ERRO")</f>
        <v>ERRO</v>
      </c>
      <c r="Z558"/>
    </row>
    <row r="559" spans="1:26" ht="15" x14ac:dyDescent="0.25">
      <c r="A559" s="94"/>
      <c r="B559" s="32" t="str">
        <f>IF($A559="","",VLOOKUP($A559,APOIO!$A:$E,2,FALSE))</f>
        <v/>
      </c>
      <c r="C559" s="94"/>
      <c r="D559" s="32" t="str">
        <f>IF($A559="","",INDEX(APOIO!$D:$D,MATCH(CONCATENATE($A559,"_",$B559,"_",$C559),APOIO!$F:$F,0)))</f>
        <v/>
      </c>
      <c r="E559" s="31"/>
      <c r="F559" s="31"/>
      <c r="G559" s="33"/>
      <c r="H559" s="105"/>
      <c r="I559" s="32" t="str">
        <f>IF($A559="","",VLOOKUP($H559,APOIO!$L:$M,2,FALSE))</f>
        <v/>
      </c>
      <c r="J559" s="31"/>
      <c r="K559" s="32" t="str">
        <f>IF($A559="","",VLOOKUP($J559,APOIO!$H:$J,2,FALSE))</f>
        <v/>
      </c>
      <c r="L559" s="32" t="str">
        <f>IF($A559="","",VLOOKUP($J559,APOIO!$H:$J,3,FALSE))</f>
        <v/>
      </c>
      <c r="M559" s="31"/>
      <c r="N559" s="34"/>
      <c r="O559" s="32"/>
      <c r="P559" s="32"/>
      <c r="Q559" s="32"/>
      <c r="R559" s="32"/>
      <c r="S559" s="35"/>
      <c r="T559" s="91"/>
      <c r="U559" s="60"/>
      <c r="V559" s="36"/>
      <c r="W559" s="31"/>
      <c r="X559" s="59"/>
      <c r="Y559" s="59" t="str">
        <f>IFERROR(VLOOKUP($A559,APOIO!$A:$A,1,FALSE),"ERRO")</f>
        <v>ERRO</v>
      </c>
      <c r="Z559"/>
    </row>
    <row r="560" spans="1:26" ht="15" x14ac:dyDescent="0.25">
      <c r="A560" s="94"/>
      <c r="B560" s="32" t="str">
        <f>IF($A560="","",VLOOKUP($A560,APOIO!$A:$E,2,FALSE))</f>
        <v/>
      </c>
      <c r="C560" s="94"/>
      <c r="D560" s="32" t="str">
        <f>IF($A560="","",INDEX(APOIO!$D:$D,MATCH(CONCATENATE($A560,"_",$B560,"_",$C560),APOIO!$F:$F,0)))</f>
        <v/>
      </c>
      <c r="E560" s="31"/>
      <c r="F560" s="31"/>
      <c r="G560" s="33"/>
      <c r="H560" s="105"/>
      <c r="I560" s="32" t="str">
        <f>IF($A560="","",VLOOKUP($H560,APOIO!$L:$M,2,FALSE))</f>
        <v/>
      </c>
      <c r="J560" s="31"/>
      <c r="K560" s="32" t="str">
        <f>IF($A560="","",VLOOKUP($J560,APOIO!$H:$J,2,FALSE))</f>
        <v/>
      </c>
      <c r="L560" s="32" t="str">
        <f>IF($A560="","",VLOOKUP($J560,APOIO!$H:$J,3,FALSE))</f>
        <v/>
      </c>
      <c r="M560" s="31"/>
      <c r="N560" s="34"/>
      <c r="O560" s="32"/>
      <c r="P560" s="32"/>
      <c r="Q560" s="32"/>
      <c r="R560" s="32"/>
      <c r="S560" s="35"/>
      <c r="T560" s="91"/>
      <c r="U560" s="60"/>
      <c r="V560" s="36"/>
      <c r="W560" s="31"/>
      <c r="X560" s="59"/>
      <c r="Y560" s="59" t="str">
        <f>IFERROR(VLOOKUP($A560,APOIO!$A:$A,1,FALSE),"ERRO")</f>
        <v>ERRO</v>
      </c>
      <c r="Z560"/>
    </row>
    <row r="561" spans="1:26" ht="15" x14ac:dyDescent="0.25">
      <c r="A561" s="94"/>
      <c r="B561" s="32" t="str">
        <f>IF($A561="","",VLOOKUP($A561,APOIO!$A:$E,2,FALSE))</f>
        <v/>
      </c>
      <c r="C561" s="94"/>
      <c r="D561" s="32" t="str">
        <f>IF($A561="","",INDEX(APOIO!$D:$D,MATCH(CONCATENATE($A561,"_",$B561,"_",$C561),APOIO!$F:$F,0)))</f>
        <v/>
      </c>
      <c r="E561" s="31"/>
      <c r="F561" s="31"/>
      <c r="G561" s="33"/>
      <c r="H561" s="105"/>
      <c r="I561" s="32" t="str">
        <f>IF($A561="","",VLOOKUP($H561,APOIO!$L:$M,2,FALSE))</f>
        <v/>
      </c>
      <c r="J561" s="31"/>
      <c r="K561" s="32" t="str">
        <f>IF($A561="","",VLOOKUP($J561,APOIO!$H:$J,2,FALSE))</f>
        <v/>
      </c>
      <c r="L561" s="32" t="str">
        <f>IF($A561="","",VLOOKUP($J561,APOIO!$H:$J,3,FALSE))</f>
        <v/>
      </c>
      <c r="M561" s="31"/>
      <c r="N561" s="34"/>
      <c r="O561" s="32"/>
      <c r="P561" s="32"/>
      <c r="Q561" s="32"/>
      <c r="R561" s="32"/>
      <c r="S561" s="35"/>
      <c r="T561" s="91"/>
      <c r="U561" s="60"/>
      <c r="V561" s="36"/>
      <c r="W561" s="31"/>
      <c r="X561" s="59"/>
      <c r="Y561" s="59" t="str">
        <f>IFERROR(VLOOKUP($A561,APOIO!$A:$A,1,FALSE),"ERRO")</f>
        <v>ERRO</v>
      </c>
      <c r="Z561"/>
    </row>
    <row r="562" spans="1:26" ht="15" x14ac:dyDescent="0.25">
      <c r="A562" s="94"/>
      <c r="B562" s="32" t="str">
        <f>IF($A562="","",VLOOKUP($A562,APOIO!$A:$E,2,FALSE))</f>
        <v/>
      </c>
      <c r="C562" s="94"/>
      <c r="D562" s="32" t="str">
        <f>IF($A562="","",INDEX(APOIO!$D:$D,MATCH(CONCATENATE($A562,"_",$B562,"_",$C562),APOIO!$F:$F,0)))</f>
        <v/>
      </c>
      <c r="E562" s="31"/>
      <c r="F562" s="31"/>
      <c r="G562" s="33"/>
      <c r="H562" s="105"/>
      <c r="I562" s="32" t="str">
        <f>IF($A562="","",VLOOKUP($H562,APOIO!$L:$M,2,FALSE))</f>
        <v/>
      </c>
      <c r="J562" s="31"/>
      <c r="K562" s="32" t="str">
        <f>IF($A562="","",VLOOKUP($J562,APOIO!$H:$J,2,FALSE))</f>
        <v/>
      </c>
      <c r="L562" s="32" t="str">
        <f>IF($A562="","",VLOOKUP($J562,APOIO!$H:$J,3,FALSE))</f>
        <v/>
      </c>
      <c r="M562" s="31"/>
      <c r="N562" s="34"/>
      <c r="O562" s="32"/>
      <c r="P562" s="32"/>
      <c r="Q562" s="32"/>
      <c r="R562" s="32"/>
      <c r="S562" s="35"/>
      <c r="T562" s="91"/>
      <c r="U562" s="60"/>
      <c r="V562" s="36"/>
      <c r="W562" s="31"/>
      <c r="X562" s="59"/>
      <c r="Y562" s="59" t="str">
        <f>IFERROR(VLOOKUP($A562,APOIO!$A:$A,1,FALSE),"ERRO")</f>
        <v>ERRO</v>
      </c>
      <c r="Z562"/>
    </row>
    <row r="563" spans="1:26" ht="15" x14ac:dyDescent="0.25">
      <c r="A563" s="94"/>
      <c r="B563" s="32" t="str">
        <f>IF($A563="","",VLOOKUP($A563,APOIO!$A:$E,2,FALSE))</f>
        <v/>
      </c>
      <c r="C563" s="94"/>
      <c r="D563" s="32" t="str">
        <f>IF($A563="","",INDEX(APOIO!$D:$D,MATCH(CONCATENATE($A563,"_",$B563,"_",$C563),APOIO!$F:$F,0)))</f>
        <v/>
      </c>
      <c r="E563" s="31"/>
      <c r="F563" s="31"/>
      <c r="G563" s="33"/>
      <c r="H563" s="105"/>
      <c r="I563" s="32" t="str">
        <f>IF($A563="","",VLOOKUP($H563,APOIO!$L:$M,2,FALSE))</f>
        <v/>
      </c>
      <c r="J563" s="31"/>
      <c r="K563" s="32" t="str">
        <f>IF($A563="","",VLOOKUP($J563,APOIO!$H:$J,2,FALSE))</f>
        <v/>
      </c>
      <c r="L563" s="32" t="str">
        <f>IF($A563="","",VLOOKUP($J563,APOIO!$H:$J,3,FALSE))</f>
        <v/>
      </c>
      <c r="M563" s="31"/>
      <c r="N563" s="34"/>
      <c r="O563" s="32"/>
      <c r="P563" s="32"/>
      <c r="Q563" s="32"/>
      <c r="R563" s="32"/>
      <c r="S563" s="35"/>
      <c r="T563" s="91"/>
      <c r="U563" s="60"/>
      <c r="V563" s="36"/>
      <c r="W563" s="31"/>
      <c r="X563" s="59"/>
      <c r="Y563" s="59" t="str">
        <f>IFERROR(VLOOKUP($A563,APOIO!$A:$A,1,FALSE),"ERRO")</f>
        <v>ERRO</v>
      </c>
      <c r="Z563"/>
    </row>
    <row r="564" spans="1:26" ht="15" x14ac:dyDescent="0.25">
      <c r="A564" s="94"/>
      <c r="B564" s="32" t="str">
        <f>IF($A564="","",VLOOKUP($A564,APOIO!$A:$E,2,FALSE))</f>
        <v/>
      </c>
      <c r="C564" s="94"/>
      <c r="D564" s="32" t="str">
        <f>IF($A564="","",INDEX(APOIO!$D:$D,MATCH(CONCATENATE($A564,"_",$B564,"_",$C564),APOIO!$F:$F,0)))</f>
        <v/>
      </c>
      <c r="E564" s="31"/>
      <c r="F564" s="31"/>
      <c r="G564" s="33"/>
      <c r="H564" s="105"/>
      <c r="I564" s="32" t="str">
        <f>IF($A564="","",VLOOKUP($H564,APOIO!$L:$M,2,FALSE))</f>
        <v/>
      </c>
      <c r="J564" s="31"/>
      <c r="K564" s="32" t="str">
        <f>IF($A564="","",VLOOKUP($J564,APOIO!$H:$J,2,FALSE))</f>
        <v/>
      </c>
      <c r="L564" s="32" t="str">
        <f>IF($A564="","",VLOOKUP($J564,APOIO!$H:$J,3,FALSE))</f>
        <v/>
      </c>
      <c r="M564" s="31"/>
      <c r="N564" s="34"/>
      <c r="O564" s="32"/>
      <c r="P564" s="32"/>
      <c r="Q564" s="32"/>
      <c r="R564" s="32"/>
      <c r="S564" s="35"/>
      <c r="T564" s="91"/>
      <c r="U564" s="60"/>
      <c r="V564" s="36"/>
      <c r="W564" s="31"/>
      <c r="X564" s="59"/>
      <c r="Y564" s="59" t="str">
        <f>IFERROR(VLOOKUP($A564,APOIO!$A:$A,1,FALSE),"ERRO")</f>
        <v>ERRO</v>
      </c>
      <c r="Z564"/>
    </row>
    <row r="565" spans="1:26" ht="15" x14ac:dyDescent="0.25">
      <c r="A565" s="94"/>
      <c r="B565" s="32" t="str">
        <f>IF($A565="","",VLOOKUP($A565,APOIO!$A:$E,2,FALSE))</f>
        <v/>
      </c>
      <c r="C565" s="94"/>
      <c r="D565" s="32" t="str">
        <f>IF($A565="","",INDEX(APOIO!$D:$D,MATCH(CONCATENATE($A565,"_",$B565,"_",$C565),APOIO!$F:$F,0)))</f>
        <v/>
      </c>
      <c r="E565" s="31"/>
      <c r="F565" s="31"/>
      <c r="G565" s="33"/>
      <c r="H565" s="105"/>
      <c r="I565" s="32" t="str">
        <f>IF($A565="","",VLOOKUP($H565,APOIO!$L:$M,2,FALSE))</f>
        <v/>
      </c>
      <c r="J565" s="31"/>
      <c r="K565" s="32" t="str">
        <f>IF($A565="","",VLOOKUP($J565,APOIO!$H:$J,2,FALSE))</f>
        <v/>
      </c>
      <c r="L565" s="32" t="str">
        <f>IF($A565="","",VLOOKUP($J565,APOIO!$H:$J,3,FALSE))</f>
        <v/>
      </c>
      <c r="M565" s="31"/>
      <c r="N565" s="34"/>
      <c r="O565" s="32"/>
      <c r="P565" s="32"/>
      <c r="Q565" s="32"/>
      <c r="R565" s="32"/>
      <c r="S565" s="35"/>
      <c r="T565" s="91"/>
      <c r="U565" s="60"/>
      <c r="V565" s="36"/>
      <c r="W565" s="31"/>
      <c r="X565" s="59"/>
      <c r="Y565" s="59" t="str">
        <f>IFERROR(VLOOKUP($A565,APOIO!$A:$A,1,FALSE),"ERRO")</f>
        <v>ERRO</v>
      </c>
      <c r="Z565"/>
    </row>
    <row r="566" spans="1:26" ht="15" x14ac:dyDescent="0.25">
      <c r="A566" s="94"/>
      <c r="B566" s="32" t="str">
        <f>IF($A566="","",VLOOKUP($A566,APOIO!$A:$E,2,FALSE))</f>
        <v/>
      </c>
      <c r="C566" s="94"/>
      <c r="D566" s="32" t="str">
        <f>IF($A566="","",INDEX(APOIO!$D:$D,MATCH(CONCATENATE($A566,"_",$B566,"_",$C566),APOIO!$F:$F,0)))</f>
        <v/>
      </c>
      <c r="E566" s="31"/>
      <c r="F566" s="31"/>
      <c r="G566" s="33"/>
      <c r="H566" s="105"/>
      <c r="I566" s="32" t="str">
        <f>IF($A566="","",VLOOKUP($H566,APOIO!$L:$M,2,FALSE))</f>
        <v/>
      </c>
      <c r="J566" s="31"/>
      <c r="K566" s="32" t="str">
        <f>IF($A566="","",VLOOKUP($J566,APOIO!$H:$J,2,FALSE))</f>
        <v/>
      </c>
      <c r="L566" s="32" t="str">
        <f>IF($A566="","",VLOOKUP($J566,APOIO!$H:$J,3,FALSE))</f>
        <v/>
      </c>
      <c r="M566" s="31"/>
      <c r="N566" s="34"/>
      <c r="O566" s="32"/>
      <c r="P566" s="32"/>
      <c r="Q566" s="32"/>
      <c r="R566" s="32"/>
      <c r="S566" s="35"/>
      <c r="T566" s="91"/>
      <c r="U566" s="60"/>
      <c r="V566" s="36"/>
      <c r="W566" s="31"/>
      <c r="X566" s="59"/>
      <c r="Y566" s="59" t="str">
        <f>IFERROR(VLOOKUP($A566,APOIO!$A:$A,1,FALSE),"ERRO")</f>
        <v>ERRO</v>
      </c>
      <c r="Z566"/>
    </row>
    <row r="567" spans="1:26" ht="15" x14ac:dyDescent="0.25">
      <c r="A567" s="94"/>
      <c r="B567" s="32" t="str">
        <f>IF($A567="","",VLOOKUP($A567,APOIO!$A:$E,2,FALSE))</f>
        <v/>
      </c>
      <c r="C567" s="94"/>
      <c r="D567" s="32" t="str">
        <f>IF($A567="","",INDEX(APOIO!$D:$D,MATCH(CONCATENATE($A567,"_",$B567,"_",$C567),APOIO!$F:$F,0)))</f>
        <v/>
      </c>
      <c r="E567" s="31"/>
      <c r="F567" s="31"/>
      <c r="G567" s="33"/>
      <c r="H567" s="105"/>
      <c r="I567" s="32" t="str">
        <f>IF($A567="","",VLOOKUP($H567,APOIO!$L:$M,2,FALSE))</f>
        <v/>
      </c>
      <c r="J567" s="31"/>
      <c r="K567" s="32" t="str">
        <f>IF($A567="","",VLOOKUP($J567,APOIO!$H:$J,2,FALSE))</f>
        <v/>
      </c>
      <c r="L567" s="32" t="str">
        <f>IF($A567="","",VLOOKUP($J567,APOIO!$H:$J,3,FALSE))</f>
        <v/>
      </c>
      <c r="M567" s="31"/>
      <c r="N567" s="34"/>
      <c r="O567" s="32"/>
      <c r="P567" s="32"/>
      <c r="Q567" s="32"/>
      <c r="R567" s="32"/>
      <c r="S567" s="35"/>
      <c r="T567" s="91"/>
      <c r="U567" s="60"/>
      <c r="V567" s="36"/>
      <c r="W567" s="31"/>
      <c r="X567" s="59"/>
      <c r="Y567" s="59" t="str">
        <f>IFERROR(VLOOKUP($A567,APOIO!$A:$A,1,FALSE),"ERRO")</f>
        <v>ERRO</v>
      </c>
      <c r="Z567"/>
    </row>
    <row r="568" spans="1:26" ht="15" x14ac:dyDescent="0.25">
      <c r="A568" s="94"/>
      <c r="B568" s="32" t="str">
        <f>IF($A568="","",VLOOKUP($A568,APOIO!$A:$E,2,FALSE))</f>
        <v/>
      </c>
      <c r="C568" s="94"/>
      <c r="D568" s="32" t="str">
        <f>IF($A568="","",INDEX(APOIO!$D:$D,MATCH(CONCATENATE($A568,"_",$B568,"_",$C568),APOIO!$F:$F,0)))</f>
        <v/>
      </c>
      <c r="E568" s="31"/>
      <c r="F568" s="31"/>
      <c r="G568" s="33"/>
      <c r="H568" s="105"/>
      <c r="I568" s="32" t="str">
        <f>IF($A568="","",VLOOKUP($H568,APOIO!$L:$M,2,FALSE))</f>
        <v/>
      </c>
      <c r="J568" s="31"/>
      <c r="K568" s="32" t="str">
        <f>IF($A568="","",VLOOKUP($J568,APOIO!$H:$J,2,FALSE))</f>
        <v/>
      </c>
      <c r="L568" s="32" t="str">
        <f>IF($A568="","",VLOOKUP($J568,APOIO!$H:$J,3,FALSE))</f>
        <v/>
      </c>
      <c r="M568" s="31"/>
      <c r="N568" s="34"/>
      <c r="O568" s="32"/>
      <c r="P568" s="32"/>
      <c r="Q568" s="32"/>
      <c r="R568" s="32"/>
      <c r="S568" s="35"/>
      <c r="T568" s="91"/>
      <c r="U568" s="60"/>
      <c r="V568" s="36"/>
      <c r="W568" s="31"/>
      <c r="X568" s="59"/>
      <c r="Y568" s="59" t="str">
        <f>IFERROR(VLOOKUP($A568,APOIO!$A:$A,1,FALSE),"ERRO")</f>
        <v>ERRO</v>
      </c>
      <c r="Z568"/>
    </row>
    <row r="569" spans="1:26" ht="15" x14ac:dyDescent="0.25">
      <c r="A569" s="94"/>
      <c r="B569" s="32" t="str">
        <f>IF($A569="","",VLOOKUP($A569,APOIO!$A:$E,2,FALSE))</f>
        <v/>
      </c>
      <c r="C569" s="94"/>
      <c r="D569" s="32" t="str">
        <f>IF($A569="","",INDEX(APOIO!$D:$D,MATCH(CONCATENATE($A569,"_",$B569,"_",$C569),APOIO!$F:$F,0)))</f>
        <v/>
      </c>
      <c r="E569" s="31"/>
      <c r="F569" s="31"/>
      <c r="G569" s="33"/>
      <c r="H569" s="105"/>
      <c r="I569" s="32" t="str">
        <f>IF($A569="","",VLOOKUP($H569,APOIO!$L:$M,2,FALSE))</f>
        <v/>
      </c>
      <c r="J569" s="31"/>
      <c r="K569" s="32" t="str">
        <f>IF($A569="","",VLOOKUP($J569,APOIO!$H:$J,2,FALSE))</f>
        <v/>
      </c>
      <c r="L569" s="32" t="str">
        <f>IF($A569="","",VLOOKUP($J569,APOIO!$H:$J,3,FALSE))</f>
        <v/>
      </c>
      <c r="M569" s="31"/>
      <c r="N569" s="34"/>
      <c r="O569" s="32"/>
      <c r="P569" s="32"/>
      <c r="Q569" s="32"/>
      <c r="R569" s="32"/>
      <c r="S569" s="35"/>
      <c r="T569" s="91"/>
      <c r="U569" s="60"/>
      <c r="V569" s="36"/>
      <c r="W569" s="31"/>
      <c r="X569" s="59"/>
      <c r="Y569" s="59" t="str">
        <f>IFERROR(VLOOKUP($A569,APOIO!$A:$A,1,FALSE),"ERRO")</f>
        <v>ERRO</v>
      </c>
      <c r="Z569"/>
    </row>
    <row r="570" spans="1:26" ht="15" x14ac:dyDescent="0.25">
      <c r="A570" s="94"/>
      <c r="B570" s="32" t="str">
        <f>IF($A570="","",VLOOKUP($A570,APOIO!$A:$E,2,FALSE))</f>
        <v/>
      </c>
      <c r="C570" s="94"/>
      <c r="D570" s="32" t="str">
        <f>IF($A570="","",INDEX(APOIO!$D:$D,MATCH(CONCATENATE($A570,"_",$B570,"_",$C570),APOIO!$F:$F,0)))</f>
        <v/>
      </c>
      <c r="E570" s="31"/>
      <c r="F570" s="31"/>
      <c r="G570" s="33"/>
      <c r="H570" s="105"/>
      <c r="I570" s="32" t="str">
        <f>IF($A570="","",VLOOKUP($H570,APOIO!$L:$M,2,FALSE))</f>
        <v/>
      </c>
      <c r="J570" s="31"/>
      <c r="K570" s="32" t="str">
        <f>IF($A570="","",VLOOKUP($J570,APOIO!$H:$J,2,FALSE))</f>
        <v/>
      </c>
      <c r="L570" s="32" t="str">
        <f>IF($A570="","",VLOOKUP($J570,APOIO!$H:$J,3,FALSE))</f>
        <v/>
      </c>
      <c r="M570" s="31"/>
      <c r="N570" s="34"/>
      <c r="O570" s="32"/>
      <c r="P570" s="32"/>
      <c r="Q570" s="32"/>
      <c r="R570" s="32"/>
      <c r="S570" s="35"/>
      <c r="T570" s="91"/>
      <c r="U570" s="60"/>
      <c r="V570" s="36"/>
      <c r="W570" s="31"/>
      <c r="X570" s="59"/>
      <c r="Y570" s="59" t="str">
        <f>IFERROR(VLOOKUP($A570,APOIO!$A:$A,1,FALSE),"ERRO")</f>
        <v>ERRO</v>
      </c>
      <c r="Z570"/>
    </row>
    <row r="571" spans="1:26" ht="15" x14ac:dyDescent="0.25">
      <c r="A571" s="94"/>
      <c r="B571" s="32" t="str">
        <f>IF($A571="","",VLOOKUP($A571,APOIO!$A:$E,2,FALSE))</f>
        <v/>
      </c>
      <c r="C571" s="94"/>
      <c r="D571" s="32" t="str">
        <f>IF($A571="","",INDEX(APOIO!$D:$D,MATCH(CONCATENATE($A571,"_",$B571,"_",$C571),APOIO!$F:$F,0)))</f>
        <v/>
      </c>
      <c r="E571" s="31"/>
      <c r="F571" s="31"/>
      <c r="G571" s="33"/>
      <c r="H571" s="105"/>
      <c r="I571" s="32" t="str">
        <f>IF($A571="","",VLOOKUP($H571,APOIO!$L:$M,2,FALSE))</f>
        <v/>
      </c>
      <c r="J571" s="31"/>
      <c r="K571" s="32" t="str">
        <f>IF($A571="","",VLOOKUP($J571,APOIO!$H:$J,2,FALSE))</f>
        <v/>
      </c>
      <c r="L571" s="32" t="str">
        <f>IF($A571="","",VLOOKUP($J571,APOIO!$H:$J,3,FALSE))</f>
        <v/>
      </c>
      <c r="M571" s="31"/>
      <c r="N571" s="34"/>
      <c r="O571" s="32"/>
      <c r="P571" s="32"/>
      <c r="Q571" s="32"/>
      <c r="R571" s="32"/>
      <c r="S571" s="35"/>
      <c r="T571" s="91"/>
      <c r="U571" s="60"/>
      <c r="V571" s="36"/>
      <c r="W571" s="31"/>
      <c r="X571" s="59"/>
      <c r="Y571" s="59" t="str">
        <f>IFERROR(VLOOKUP($A571,APOIO!$A:$A,1,FALSE),"ERRO")</f>
        <v>ERRO</v>
      </c>
      <c r="Z571"/>
    </row>
    <row r="572" spans="1:26" ht="15" x14ac:dyDescent="0.25">
      <c r="A572" s="94"/>
      <c r="B572" s="32" t="str">
        <f>IF($A572="","",VLOOKUP($A572,APOIO!$A:$E,2,FALSE))</f>
        <v/>
      </c>
      <c r="C572" s="94"/>
      <c r="D572" s="32" t="str">
        <f>IF($A572="","",INDEX(APOIO!$D:$D,MATCH(CONCATENATE($A572,"_",$B572,"_",$C572),APOIO!$F:$F,0)))</f>
        <v/>
      </c>
      <c r="E572" s="31"/>
      <c r="F572" s="31"/>
      <c r="G572" s="33"/>
      <c r="H572" s="105"/>
      <c r="I572" s="32" t="str">
        <f>IF($A572="","",VLOOKUP($H572,APOIO!$L:$M,2,FALSE))</f>
        <v/>
      </c>
      <c r="J572" s="31"/>
      <c r="K572" s="32" t="str">
        <f>IF($A572="","",VLOOKUP($J572,APOIO!$H:$J,2,FALSE))</f>
        <v/>
      </c>
      <c r="L572" s="32" t="str">
        <f>IF($A572="","",VLOOKUP($J572,APOIO!$H:$J,3,FALSE))</f>
        <v/>
      </c>
      <c r="M572" s="31"/>
      <c r="N572" s="34"/>
      <c r="O572" s="32"/>
      <c r="P572" s="32"/>
      <c r="Q572" s="32"/>
      <c r="R572" s="32"/>
      <c r="S572" s="35"/>
      <c r="T572" s="91"/>
      <c r="U572" s="60"/>
      <c r="V572" s="36"/>
      <c r="W572" s="31"/>
      <c r="X572" s="59"/>
      <c r="Y572" s="59" t="str">
        <f>IFERROR(VLOOKUP($A572,APOIO!$A:$A,1,FALSE),"ERRO")</f>
        <v>ERRO</v>
      </c>
      <c r="Z572"/>
    </row>
    <row r="573" spans="1:26" ht="15" x14ac:dyDescent="0.25">
      <c r="A573" s="94"/>
      <c r="B573" s="32" t="str">
        <f>IF($A573="","",VLOOKUP($A573,APOIO!$A:$E,2,FALSE))</f>
        <v/>
      </c>
      <c r="C573" s="94"/>
      <c r="D573" s="32" t="str">
        <f>IF($A573="","",INDEX(APOIO!$D:$D,MATCH(CONCATENATE($A573,"_",$B573,"_",$C573),APOIO!$F:$F,0)))</f>
        <v/>
      </c>
      <c r="E573" s="31"/>
      <c r="F573" s="31"/>
      <c r="G573" s="33"/>
      <c r="H573" s="105"/>
      <c r="I573" s="32" t="str">
        <f>IF($A573="","",VLOOKUP($H573,APOIO!$L:$M,2,FALSE))</f>
        <v/>
      </c>
      <c r="J573" s="31"/>
      <c r="K573" s="32" t="str">
        <f>IF($A573="","",VLOOKUP($J573,APOIO!$H:$J,2,FALSE))</f>
        <v/>
      </c>
      <c r="L573" s="32" t="str">
        <f>IF($A573="","",VLOOKUP($J573,APOIO!$H:$J,3,FALSE))</f>
        <v/>
      </c>
      <c r="M573" s="31"/>
      <c r="N573" s="34"/>
      <c r="O573" s="32"/>
      <c r="P573" s="32"/>
      <c r="Q573" s="32"/>
      <c r="R573" s="32"/>
      <c r="S573" s="35"/>
      <c r="T573" s="91"/>
      <c r="U573" s="60"/>
      <c r="V573" s="36"/>
      <c r="W573" s="31"/>
      <c r="X573" s="59"/>
      <c r="Y573" s="59" t="str">
        <f>IFERROR(VLOOKUP($A573,APOIO!$A:$A,1,FALSE),"ERRO")</f>
        <v>ERRO</v>
      </c>
      <c r="Z573"/>
    </row>
    <row r="574" spans="1:26" ht="15" x14ac:dyDescent="0.25">
      <c r="A574" s="94"/>
      <c r="B574" s="32" t="str">
        <f>IF($A574="","",VLOOKUP($A574,APOIO!$A:$E,2,FALSE))</f>
        <v/>
      </c>
      <c r="C574" s="94"/>
      <c r="D574" s="32" t="str">
        <f>IF($A574="","",INDEX(APOIO!$D:$D,MATCH(CONCATENATE($A574,"_",$B574,"_",$C574),APOIO!$F:$F,0)))</f>
        <v/>
      </c>
      <c r="E574" s="31"/>
      <c r="F574" s="31"/>
      <c r="G574" s="33"/>
      <c r="H574" s="105"/>
      <c r="I574" s="32" t="str">
        <f>IF($A574="","",VLOOKUP($H574,APOIO!$L:$M,2,FALSE))</f>
        <v/>
      </c>
      <c r="J574" s="31"/>
      <c r="K574" s="32" t="str">
        <f>IF($A574="","",VLOOKUP($J574,APOIO!$H:$J,2,FALSE))</f>
        <v/>
      </c>
      <c r="L574" s="32" t="str">
        <f>IF($A574="","",VLOOKUP($J574,APOIO!$H:$J,3,FALSE))</f>
        <v/>
      </c>
      <c r="M574" s="31"/>
      <c r="N574" s="34"/>
      <c r="O574" s="32"/>
      <c r="P574" s="32"/>
      <c r="Q574" s="32"/>
      <c r="R574" s="32"/>
      <c r="S574" s="35"/>
      <c r="T574" s="91"/>
      <c r="U574" s="60"/>
      <c r="V574" s="36"/>
      <c r="W574" s="31"/>
      <c r="X574" s="59"/>
      <c r="Y574" s="59" t="str">
        <f>IFERROR(VLOOKUP($A574,APOIO!$A:$A,1,FALSE),"ERRO")</f>
        <v>ERRO</v>
      </c>
      <c r="Z574"/>
    </row>
    <row r="575" spans="1:26" ht="15" x14ac:dyDescent="0.25">
      <c r="A575" s="94"/>
      <c r="B575" s="32" t="str">
        <f>IF($A575="","",VLOOKUP($A575,APOIO!$A:$E,2,FALSE))</f>
        <v/>
      </c>
      <c r="C575" s="94"/>
      <c r="D575" s="32" t="str">
        <f>IF($A575="","",INDEX(APOIO!$D:$D,MATCH(CONCATENATE($A575,"_",$B575,"_",$C575),APOIO!$F:$F,0)))</f>
        <v/>
      </c>
      <c r="E575" s="31"/>
      <c r="F575" s="31"/>
      <c r="G575" s="33"/>
      <c r="H575" s="105"/>
      <c r="I575" s="32" t="str">
        <f>IF($A575="","",VLOOKUP($H575,APOIO!$L:$M,2,FALSE))</f>
        <v/>
      </c>
      <c r="J575" s="31"/>
      <c r="K575" s="32" t="str">
        <f>IF($A575="","",VLOOKUP($J575,APOIO!$H:$J,2,FALSE))</f>
        <v/>
      </c>
      <c r="L575" s="32" t="str">
        <f>IF($A575="","",VLOOKUP($J575,APOIO!$H:$J,3,FALSE))</f>
        <v/>
      </c>
      <c r="M575" s="31"/>
      <c r="N575" s="34"/>
      <c r="O575" s="32"/>
      <c r="P575" s="32"/>
      <c r="Q575" s="32"/>
      <c r="R575" s="32"/>
      <c r="S575" s="35"/>
      <c r="T575" s="91"/>
      <c r="U575" s="60"/>
      <c r="V575" s="36"/>
      <c r="W575" s="31"/>
      <c r="X575" s="59"/>
      <c r="Y575" s="59" t="str">
        <f>IFERROR(VLOOKUP($A575,APOIO!$A:$A,1,FALSE),"ERRO")</f>
        <v>ERRO</v>
      </c>
      <c r="Z575"/>
    </row>
    <row r="576" spans="1:26" ht="15" x14ac:dyDescent="0.25">
      <c r="A576" s="94"/>
      <c r="B576" s="32" t="str">
        <f>IF($A576="","",VLOOKUP($A576,APOIO!$A:$E,2,FALSE))</f>
        <v/>
      </c>
      <c r="C576" s="94"/>
      <c r="D576" s="32" t="str">
        <f>IF($A576="","",INDEX(APOIO!$D:$D,MATCH(CONCATENATE($A576,"_",$B576,"_",$C576),APOIO!$F:$F,0)))</f>
        <v/>
      </c>
      <c r="E576" s="31"/>
      <c r="F576" s="31"/>
      <c r="G576" s="33"/>
      <c r="H576" s="105"/>
      <c r="I576" s="32" t="str">
        <f>IF($A576="","",VLOOKUP($H576,APOIO!$L:$M,2,FALSE))</f>
        <v/>
      </c>
      <c r="J576" s="31"/>
      <c r="K576" s="32" t="str">
        <f>IF($A576="","",VLOOKUP($J576,APOIO!$H:$J,2,FALSE))</f>
        <v/>
      </c>
      <c r="L576" s="32" t="str">
        <f>IF($A576="","",VLOOKUP($J576,APOIO!$H:$J,3,FALSE))</f>
        <v/>
      </c>
      <c r="M576" s="31"/>
      <c r="N576" s="34"/>
      <c r="O576" s="32"/>
      <c r="P576" s="32"/>
      <c r="Q576" s="32"/>
      <c r="R576" s="32"/>
      <c r="S576" s="35"/>
      <c r="T576" s="91"/>
      <c r="U576" s="60"/>
      <c r="V576" s="36"/>
      <c r="W576" s="31"/>
      <c r="X576" s="59"/>
      <c r="Y576" s="59" t="str">
        <f>IFERROR(VLOOKUP($A576,APOIO!$A:$A,1,FALSE),"ERRO")</f>
        <v>ERRO</v>
      </c>
      <c r="Z576"/>
    </row>
    <row r="577" spans="1:26" ht="15" x14ac:dyDescent="0.25">
      <c r="A577" s="94"/>
      <c r="B577" s="32" t="str">
        <f>IF($A577="","",VLOOKUP($A577,APOIO!$A:$E,2,FALSE))</f>
        <v/>
      </c>
      <c r="C577" s="94"/>
      <c r="D577" s="32" t="str">
        <f>IF($A577="","",INDEX(APOIO!$D:$D,MATCH(CONCATENATE($A577,"_",$B577,"_",$C577),APOIO!$F:$F,0)))</f>
        <v/>
      </c>
      <c r="E577" s="31"/>
      <c r="F577" s="31"/>
      <c r="G577" s="33"/>
      <c r="H577" s="105"/>
      <c r="I577" s="32" t="str">
        <f>IF($A577="","",VLOOKUP($H577,APOIO!$L:$M,2,FALSE))</f>
        <v/>
      </c>
      <c r="J577" s="31"/>
      <c r="K577" s="32" t="str">
        <f>IF($A577="","",VLOOKUP($J577,APOIO!$H:$J,2,FALSE))</f>
        <v/>
      </c>
      <c r="L577" s="32" t="str">
        <f>IF($A577="","",VLOOKUP($J577,APOIO!$H:$J,3,FALSE))</f>
        <v/>
      </c>
      <c r="M577" s="31"/>
      <c r="N577" s="34"/>
      <c r="O577" s="32"/>
      <c r="P577" s="32"/>
      <c r="Q577" s="32"/>
      <c r="R577" s="32"/>
      <c r="S577" s="35"/>
      <c r="T577" s="91"/>
      <c r="U577" s="60"/>
      <c r="V577" s="36"/>
      <c r="W577" s="31"/>
      <c r="X577" s="59"/>
      <c r="Y577" s="59" t="str">
        <f>IFERROR(VLOOKUP($A577,APOIO!$A:$A,1,FALSE),"ERRO")</f>
        <v>ERRO</v>
      </c>
      <c r="Z577"/>
    </row>
    <row r="578" spans="1:26" ht="15" x14ac:dyDescent="0.25">
      <c r="A578" s="94"/>
      <c r="B578" s="32" t="str">
        <f>IF($A578="","",VLOOKUP($A578,APOIO!$A:$E,2,FALSE))</f>
        <v/>
      </c>
      <c r="C578" s="94"/>
      <c r="D578" s="32" t="str">
        <f>IF($A578="","",INDEX(APOIO!$D:$D,MATCH(CONCATENATE($A578,"_",$B578,"_",$C578),APOIO!$F:$F,0)))</f>
        <v/>
      </c>
      <c r="E578" s="31"/>
      <c r="F578" s="31"/>
      <c r="G578" s="33"/>
      <c r="H578" s="105"/>
      <c r="I578" s="32" t="str">
        <f>IF($A578="","",VLOOKUP($H578,APOIO!$L:$M,2,FALSE))</f>
        <v/>
      </c>
      <c r="J578" s="31"/>
      <c r="K578" s="32" t="str">
        <f>IF($A578="","",VLOOKUP($J578,APOIO!$H:$J,2,FALSE))</f>
        <v/>
      </c>
      <c r="L578" s="32" t="str">
        <f>IF($A578="","",VLOOKUP($J578,APOIO!$H:$J,3,FALSE))</f>
        <v/>
      </c>
      <c r="M578" s="31"/>
      <c r="N578" s="34"/>
      <c r="O578" s="32"/>
      <c r="P578" s="32"/>
      <c r="Q578" s="32"/>
      <c r="R578" s="32"/>
      <c r="S578" s="35"/>
      <c r="T578" s="91"/>
      <c r="U578" s="60"/>
      <c r="V578" s="36"/>
      <c r="W578" s="31"/>
      <c r="X578" s="59"/>
      <c r="Y578" s="59" t="str">
        <f>IFERROR(VLOOKUP($A578,APOIO!$A:$A,1,FALSE),"ERRO")</f>
        <v>ERRO</v>
      </c>
      <c r="Z578"/>
    </row>
    <row r="579" spans="1:26" ht="15" x14ac:dyDescent="0.25">
      <c r="A579" s="94"/>
      <c r="B579" s="32" t="str">
        <f>IF($A579="","",VLOOKUP($A579,APOIO!$A:$E,2,FALSE))</f>
        <v/>
      </c>
      <c r="C579" s="94"/>
      <c r="D579" s="32" t="str">
        <f>IF($A579="","",INDEX(APOIO!$D:$D,MATCH(CONCATENATE($A579,"_",$B579,"_",$C579),APOIO!$F:$F,0)))</f>
        <v/>
      </c>
      <c r="E579" s="31"/>
      <c r="F579" s="31"/>
      <c r="G579" s="33"/>
      <c r="H579" s="105"/>
      <c r="I579" s="32" t="str">
        <f>IF($A579="","",VLOOKUP($H579,APOIO!$L:$M,2,FALSE))</f>
        <v/>
      </c>
      <c r="J579" s="31"/>
      <c r="K579" s="32" t="str">
        <f>IF($A579="","",VLOOKUP($J579,APOIO!$H:$J,2,FALSE))</f>
        <v/>
      </c>
      <c r="L579" s="32" t="str">
        <f>IF($A579="","",VLOOKUP($J579,APOIO!$H:$J,3,FALSE))</f>
        <v/>
      </c>
      <c r="M579" s="31"/>
      <c r="N579" s="34"/>
      <c r="O579" s="32"/>
      <c r="P579" s="32"/>
      <c r="Q579" s="32"/>
      <c r="R579" s="32"/>
      <c r="S579" s="35"/>
      <c r="T579" s="91"/>
      <c r="U579" s="60"/>
      <c r="V579" s="36"/>
      <c r="W579" s="31"/>
      <c r="X579" s="59"/>
      <c r="Y579" s="59" t="str">
        <f>IFERROR(VLOOKUP($A579,APOIO!$A:$A,1,FALSE),"ERRO")</f>
        <v>ERRO</v>
      </c>
      <c r="Z579"/>
    </row>
    <row r="580" spans="1:26" ht="15" x14ac:dyDescent="0.25">
      <c r="A580" s="94"/>
      <c r="B580" s="32" t="str">
        <f>IF($A580="","",VLOOKUP($A580,APOIO!$A:$E,2,FALSE))</f>
        <v/>
      </c>
      <c r="C580" s="94"/>
      <c r="D580" s="32" t="str">
        <f>IF($A580="","",INDEX(APOIO!$D:$D,MATCH(CONCATENATE($A580,"_",$B580,"_",$C580),APOIO!$F:$F,0)))</f>
        <v/>
      </c>
      <c r="E580" s="31"/>
      <c r="F580" s="31"/>
      <c r="G580" s="33"/>
      <c r="H580" s="105"/>
      <c r="I580" s="32" t="str">
        <f>IF($A580="","",VLOOKUP($H580,APOIO!$L:$M,2,FALSE))</f>
        <v/>
      </c>
      <c r="J580" s="31"/>
      <c r="K580" s="32" t="str">
        <f>IF($A580="","",VLOOKUP($J580,APOIO!$H:$J,2,FALSE))</f>
        <v/>
      </c>
      <c r="L580" s="32" t="str">
        <f>IF($A580="","",VLOOKUP($J580,APOIO!$H:$J,3,FALSE))</f>
        <v/>
      </c>
      <c r="M580" s="31"/>
      <c r="N580" s="34"/>
      <c r="O580" s="32"/>
      <c r="P580" s="32"/>
      <c r="Q580" s="32"/>
      <c r="R580" s="32"/>
      <c r="S580" s="35"/>
      <c r="T580" s="91"/>
      <c r="U580" s="60"/>
      <c r="V580" s="36"/>
      <c r="W580" s="31"/>
      <c r="X580" s="59"/>
      <c r="Y580" s="59" t="str">
        <f>IFERROR(VLOOKUP($A580,APOIO!$A:$A,1,FALSE),"ERRO")</f>
        <v>ERRO</v>
      </c>
      <c r="Z580"/>
    </row>
    <row r="581" spans="1:26" ht="15" x14ac:dyDescent="0.25">
      <c r="A581" s="94"/>
      <c r="B581" s="32" t="str">
        <f>IF($A581="","",VLOOKUP($A581,APOIO!$A:$E,2,FALSE))</f>
        <v/>
      </c>
      <c r="C581" s="94"/>
      <c r="D581" s="32" t="str">
        <f>IF($A581="","",INDEX(APOIO!$D:$D,MATCH(CONCATENATE($A581,"_",$B581,"_",$C581),APOIO!$F:$F,0)))</f>
        <v/>
      </c>
      <c r="E581" s="31"/>
      <c r="F581" s="31"/>
      <c r="G581" s="33"/>
      <c r="H581" s="105"/>
      <c r="I581" s="32" t="str">
        <f>IF($A581="","",VLOOKUP($H581,APOIO!$L:$M,2,FALSE))</f>
        <v/>
      </c>
      <c r="J581" s="31"/>
      <c r="K581" s="32" t="str">
        <f>IF($A581="","",VLOOKUP($J581,APOIO!$H:$J,2,FALSE))</f>
        <v/>
      </c>
      <c r="L581" s="32" t="str">
        <f>IF($A581="","",VLOOKUP($J581,APOIO!$H:$J,3,FALSE))</f>
        <v/>
      </c>
      <c r="M581" s="31"/>
      <c r="N581" s="34"/>
      <c r="O581" s="32"/>
      <c r="P581" s="32"/>
      <c r="Q581" s="32"/>
      <c r="R581" s="32"/>
      <c r="S581" s="35"/>
      <c r="T581" s="91"/>
      <c r="U581" s="60"/>
      <c r="V581" s="36"/>
      <c r="W581" s="31"/>
      <c r="X581" s="59"/>
      <c r="Y581" s="59" t="str">
        <f>IFERROR(VLOOKUP($A581,APOIO!$A:$A,1,FALSE),"ERRO")</f>
        <v>ERRO</v>
      </c>
      <c r="Z581"/>
    </row>
    <row r="582" spans="1:26" ht="15" x14ac:dyDescent="0.25">
      <c r="A582" s="94"/>
      <c r="B582" s="32" t="str">
        <f>IF($A582="","",VLOOKUP($A582,APOIO!$A:$E,2,FALSE))</f>
        <v/>
      </c>
      <c r="C582" s="94"/>
      <c r="D582" s="32" t="str">
        <f>IF($A582="","",INDEX(APOIO!$D:$D,MATCH(CONCATENATE($A582,"_",$B582,"_",$C582),APOIO!$F:$F,0)))</f>
        <v/>
      </c>
      <c r="E582" s="31"/>
      <c r="F582" s="31"/>
      <c r="G582" s="33"/>
      <c r="H582" s="105"/>
      <c r="I582" s="32" t="str">
        <f>IF($A582="","",VLOOKUP($H582,APOIO!$L:$M,2,FALSE))</f>
        <v/>
      </c>
      <c r="J582" s="31"/>
      <c r="K582" s="32" t="str">
        <f>IF($A582="","",VLOOKUP($J582,APOIO!$H:$J,2,FALSE))</f>
        <v/>
      </c>
      <c r="L582" s="32" t="str">
        <f>IF($A582="","",VLOOKUP($J582,APOIO!$H:$J,3,FALSE))</f>
        <v/>
      </c>
      <c r="M582" s="31"/>
      <c r="N582" s="34"/>
      <c r="O582" s="32"/>
      <c r="P582" s="32"/>
      <c r="Q582" s="32"/>
      <c r="R582" s="32"/>
      <c r="S582" s="35"/>
      <c r="T582" s="91"/>
      <c r="U582" s="60"/>
      <c r="V582" s="36"/>
      <c r="W582" s="31"/>
      <c r="X582" s="59"/>
      <c r="Y582" s="59" t="str">
        <f>IFERROR(VLOOKUP($A582,APOIO!$A:$A,1,FALSE),"ERRO")</f>
        <v>ERRO</v>
      </c>
      <c r="Z582"/>
    </row>
    <row r="583" spans="1:26" ht="15" x14ac:dyDescent="0.25">
      <c r="A583" s="94"/>
      <c r="B583" s="32" t="str">
        <f>IF($A583="","",VLOOKUP($A583,APOIO!$A:$E,2,FALSE))</f>
        <v/>
      </c>
      <c r="C583" s="94"/>
      <c r="D583" s="32" t="str">
        <f>IF($A583="","",INDEX(APOIO!$D:$D,MATCH(CONCATENATE($A583,"_",$B583,"_",$C583),APOIO!$F:$F,0)))</f>
        <v/>
      </c>
      <c r="E583" s="31"/>
      <c r="F583" s="31"/>
      <c r="G583" s="33"/>
      <c r="H583" s="105"/>
      <c r="I583" s="32" t="str">
        <f>IF($A583="","",VLOOKUP($H583,APOIO!$L:$M,2,FALSE))</f>
        <v/>
      </c>
      <c r="J583" s="31"/>
      <c r="K583" s="32" t="str">
        <f>IF($A583="","",VLOOKUP($J583,APOIO!$H:$J,2,FALSE))</f>
        <v/>
      </c>
      <c r="L583" s="32" t="str">
        <f>IF($A583="","",VLOOKUP($J583,APOIO!$H:$J,3,FALSE))</f>
        <v/>
      </c>
      <c r="M583" s="31"/>
      <c r="N583" s="34"/>
      <c r="O583" s="32"/>
      <c r="P583" s="32"/>
      <c r="Q583" s="32"/>
      <c r="R583" s="32"/>
      <c r="S583" s="35"/>
      <c r="T583" s="91"/>
      <c r="U583" s="60"/>
      <c r="V583" s="36"/>
      <c r="W583" s="31"/>
      <c r="X583" s="59"/>
      <c r="Y583" s="59" t="str">
        <f>IFERROR(VLOOKUP($A583,APOIO!$A:$A,1,FALSE),"ERRO")</f>
        <v>ERRO</v>
      </c>
      <c r="Z583"/>
    </row>
    <row r="584" spans="1:26" ht="15" x14ac:dyDescent="0.25">
      <c r="A584" s="94"/>
      <c r="B584" s="32" t="str">
        <f>IF($A584="","",VLOOKUP($A584,APOIO!$A:$E,2,FALSE))</f>
        <v/>
      </c>
      <c r="C584" s="94"/>
      <c r="D584" s="32" t="str">
        <f>IF($A584="","",INDEX(APOIO!$D:$D,MATCH(CONCATENATE($A584,"_",$B584,"_",$C584),APOIO!$F:$F,0)))</f>
        <v/>
      </c>
      <c r="E584" s="31"/>
      <c r="F584" s="31"/>
      <c r="G584" s="33"/>
      <c r="H584" s="105"/>
      <c r="I584" s="32" t="str">
        <f>IF($A584="","",VLOOKUP($H584,APOIO!$L:$M,2,FALSE))</f>
        <v/>
      </c>
      <c r="J584" s="31"/>
      <c r="K584" s="32" t="str">
        <f>IF($A584="","",VLOOKUP($J584,APOIO!$H:$J,2,FALSE))</f>
        <v/>
      </c>
      <c r="L584" s="32" t="str">
        <f>IF($A584="","",VLOOKUP($J584,APOIO!$H:$J,3,FALSE))</f>
        <v/>
      </c>
      <c r="M584" s="31"/>
      <c r="N584" s="34"/>
      <c r="O584" s="32"/>
      <c r="P584" s="32"/>
      <c r="Q584" s="32"/>
      <c r="R584" s="32"/>
      <c r="S584" s="35"/>
      <c r="T584" s="91"/>
      <c r="U584" s="60"/>
      <c r="V584" s="36"/>
      <c r="W584" s="31"/>
      <c r="X584" s="59"/>
      <c r="Y584" s="59" t="str">
        <f>IFERROR(VLOOKUP($A584,APOIO!$A:$A,1,FALSE),"ERRO")</f>
        <v>ERRO</v>
      </c>
      <c r="Z584"/>
    </row>
    <row r="585" spans="1:26" ht="15" x14ac:dyDescent="0.25">
      <c r="A585" s="94"/>
      <c r="B585" s="32" t="str">
        <f>IF($A585="","",VLOOKUP($A585,APOIO!$A:$E,2,FALSE))</f>
        <v/>
      </c>
      <c r="C585" s="94"/>
      <c r="D585" s="32" t="str">
        <f>IF($A585="","",INDEX(APOIO!$D:$D,MATCH(CONCATENATE($A585,"_",$B585,"_",$C585),APOIO!$F:$F,0)))</f>
        <v/>
      </c>
      <c r="E585" s="31"/>
      <c r="F585" s="31"/>
      <c r="G585" s="33"/>
      <c r="H585" s="105"/>
      <c r="I585" s="32" t="str">
        <f>IF($A585="","",VLOOKUP($H585,APOIO!$L:$M,2,FALSE))</f>
        <v/>
      </c>
      <c r="J585" s="31"/>
      <c r="K585" s="32" t="str">
        <f>IF($A585="","",VLOOKUP($J585,APOIO!$H:$J,2,FALSE))</f>
        <v/>
      </c>
      <c r="L585" s="32" t="str">
        <f>IF($A585="","",VLOOKUP($J585,APOIO!$H:$J,3,FALSE))</f>
        <v/>
      </c>
      <c r="M585" s="31"/>
      <c r="N585" s="34"/>
      <c r="O585" s="32"/>
      <c r="P585" s="32"/>
      <c r="Q585" s="32"/>
      <c r="R585" s="32"/>
      <c r="S585" s="35"/>
      <c r="T585" s="91"/>
      <c r="U585" s="60"/>
      <c r="V585" s="36"/>
      <c r="W585" s="31"/>
      <c r="X585" s="59"/>
      <c r="Y585" s="59" t="str">
        <f>IFERROR(VLOOKUP($A585,APOIO!$A:$A,1,FALSE),"ERRO")</f>
        <v>ERRO</v>
      </c>
      <c r="Z585"/>
    </row>
    <row r="586" spans="1:26" ht="15" x14ac:dyDescent="0.25">
      <c r="A586" s="94"/>
      <c r="B586" s="32" t="str">
        <f>IF($A586="","",VLOOKUP($A586,APOIO!$A:$E,2,FALSE))</f>
        <v/>
      </c>
      <c r="C586" s="94"/>
      <c r="D586" s="32" t="str">
        <f>IF($A586="","",INDEX(APOIO!$D:$D,MATCH(CONCATENATE($A586,"_",$B586,"_",$C586),APOIO!$F:$F,0)))</f>
        <v/>
      </c>
      <c r="E586" s="31"/>
      <c r="F586" s="31"/>
      <c r="G586" s="33"/>
      <c r="H586" s="105"/>
      <c r="I586" s="32" t="str">
        <f>IF($A586="","",VLOOKUP($H586,APOIO!$L:$M,2,FALSE))</f>
        <v/>
      </c>
      <c r="J586" s="31"/>
      <c r="K586" s="32" t="str">
        <f>IF($A586="","",VLOOKUP($J586,APOIO!$H:$J,2,FALSE))</f>
        <v/>
      </c>
      <c r="L586" s="32" t="str">
        <f>IF($A586="","",VLOOKUP($J586,APOIO!$H:$J,3,FALSE))</f>
        <v/>
      </c>
      <c r="M586" s="31"/>
      <c r="N586" s="34"/>
      <c r="O586" s="32"/>
      <c r="P586" s="32"/>
      <c r="Q586" s="32"/>
      <c r="R586" s="32"/>
      <c r="S586" s="35"/>
      <c r="T586" s="91"/>
      <c r="U586" s="60"/>
      <c r="V586" s="36"/>
      <c r="W586" s="31"/>
      <c r="X586" s="59"/>
      <c r="Y586" s="59" t="str">
        <f>IFERROR(VLOOKUP($A586,APOIO!$A:$A,1,FALSE),"ERRO")</f>
        <v>ERRO</v>
      </c>
      <c r="Z586"/>
    </row>
    <row r="587" spans="1:26" ht="15" x14ac:dyDescent="0.25">
      <c r="A587" s="94"/>
      <c r="B587" s="32" t="str">
        <f>IF($A587="","",VLOOKUP($A587,APOIO!$A:$E,2,FALSE))</f>
        <v/>
      </c>
      <c r="C587" s="94"/>
      <c r="D587" s="32" t="str">
        <f>IF($A587="","",INDEX(APOIO!$D:$D,MATCH(CONCATENATE($A587,"_",$B587,"_",$C587),APOIO!$F:$F,0)))</f>
        <v/>
      </c>
      <c r="E587" s="31"/>
      <c r="F587" s="31"/>
      <c r="G587" s="33"/>
      <c r="H587" s="105"/>
      <c r="I587" s="32" t="str">
        <f>IF($A587="","",VLOOKUP($H587,APOIO!$L:$M,2,FALSE))</f>
        <v/>
      </c>
      <c r="J587" s="31"/>
      <c r="K587" s="32" t="str">
        <f>IF($A587="","",VLOOKUP($J587,APOIO!$H:$J,2,FALSE))</f>
        <v/>
      </c>
      <c r="L587" s="32" t="str">
        <f>IF($A587="","",VLOOKUP($J587,APOIO!$H:$J,3,FALSE))</f>
        <v/>
      </c>
      <c r="M587" s="31"/>
      <c r="N587" s="34"/>
      <c r="O587" s="32"/>
      <c r="P587" s="32"/>
      <c r="Q587" s="32"/>
      <c r="R587" s="32"/>
      <c r="S587" s="35"/>
      <c r="T587" s="91"/>
      <c r="U587" s="60"/>
      <c r="V587" s="36"/>
      <c r="W587" s="31"/>
      <c r="X587" s="59"/>
      <c r="Y587" s="59" t="str">
        <f>IFERROR(VLOOKUP($A587,APOIO!$A:$A,1,FALSE),"ERRO")</f>
        <v>ERRO</v>
      </c>
      <c r="Z587"/>
    </row>
    <row r="588" spans="1:26" ht="15" x14ac:dyDescent="0.25">
      <c r="A588" s="94"/>
      <c r="B588" s="32" t="str">
        <f>IF($A588="","",VLOOKUP($A588,APOIO!$A:$E,2,FALSE))</f>
        <v/>
      </c>
      <c r="C588" s="94"/>
      <c r="D588" s="32" t="str">
        <f>IF($A588="","",INDEX(APOIO!$D:$D,MATCH(CONCATENATE($A588,"_",$B588,"_",$C588),APOIO!$F:$F,0)))</f>
        <v/>
      </c>
      <c r="E588" s="31"/>
      <c r="F588" s="31"/>
      <c r="G588" s="33"/>
      <c r="H588" s="105"/>
      <c r="I588" s="32" t="str">
        <f>IF($A588="","",VLOOKUP($H588,APOIO!$L:$M,2,FALSE))</f>
        <v/>
      </c>
      <c r="J588" s="31"/>
      <c r="K588" s="32" t="str">
        <f>IF($A588="","",VLOOKUP($J588,APOIO!$H:$J,2,FALSE))</f>
        <v/>
      </c>
      <c r="L588" s="32" t="str">
        <f>IF($A588="","",VLOOKUP($J588,APOIO!$H:$J,3,FALSE))</f>
        <v/>
      </c>
      <c r="M588" s="31"/>
      <c r="N588" s="34"/>
      <c r="O588" s="32"/>
      <c r="P588" s="32"/>
      <c r="Q588" s="32"/>
      <c r="R588" s="32"/>
      <c r="S588" s="35"/>
      <c r="T588" s="91"/>
      <c r="U588" s="60"/>
      <c r="V588" s="36"/>
      <c r="W588" s="31"/>
      <c r="X588" s="59"/>
      <c r="Y588" s="59" t="str">
        <f>IFERROR(VLOOKUP($A588,APOIO!$A:$A,1,FALSE),"ERRO")</f>
        <v>ERRO</v>
      </c>
      <c r="Z588"/>
    </row>
    <row r="589" spans="1:26" ht="15" x14ac:dyDescent="0.25">
      <c r="A589" s="94"/>
      <c r="B589" s="32" t="str">
        <f>IF($A589="","",VLOOKUP($A589,APOIO!$A:$E,2,FALSE))</f>
        <v/>
      </c>
      <c r="C589" s="94"/>
      <c r="D589" s="32" t="str">
        <f>IF($A589="","",INDEX(APOIO!$D:$D,MATCH(CONCATENATE($A589,"_",$B589,"_",$C589),APOIO!$F:$F,0)))</f>
        <v/>
      </c>
      <c r="E589" s="31"/>
      <c r="F589" s="31"/>
      <c r="G589" s="33"/>
      <c r="H589" s="105"/>
      <c r="I589" s="32" t="str">
        <f>IF($A589="","",VLOOKUP($H589,APOIO!$L:$M,2,FALSE))</f>
        <v/>
      </c>
      <c r="J589" s="31"/>
      <c r="K589" s="32" t="str">
        <f>IF($A589="","",VLOOKUP($J589,APOIO!$H:$J,2,FALSE))</f>
        <v/>
      </c>
      <c r="L589" s="32" t="str">
        <f>IF($A589="","",VLOOKUP($J589,APOIO!$H:$J,3,FALSE))</f>
        <v/>
      </c>
      <c r="M589" s="31"/>
      <c r="N589" s="34"/>
      <c r="O589" s="32"/>
      <c r="P589" s="32"/>
      <c r="Q589" s="32"/>
      <c r="R589" s="32"/>
      <c r="S589" s="35"/>
      <c r="T589" s="91"/>
      <c r="U589" s="60"/>
      <c r="V589" s="36"/>
      <c r="W589" s="31"/>
      <c r="X589" s="59"/>
      <c r="Y589" s="59" t="str">
        <f>IFERROR(VLOOKUP($A589,APOIO!$A:$A,1,FALSE),"ERRO")</f>
        <v>ERRO</v>
      </c>
      <c r="Z589"/>
    </row>
    <row r="590" spans="1:26" ht="15" x14ac:dyDescent="0.25">
      <c r="A590" s="94"/>
      <c r="B590" s="32" t="str">
        <f>IF($A590="","",VLOOKUP($A590,APOIO!$A:$E,2,FALSE))</f>
        <v/>
      </c>
      <c r="C590" s="94"/>
      <c r="D590" s="32" t="str">
        <f>IF($A590="","",INDEX(APOIO!$D:$D,MATCH(CONCATENATE($A590,"_",$B590,"_",$C590),APOIO!$F:$F,0)))</f>
        <v/>
      </c>
      <c r="E590" s="31"/>
      <c r="F590" s="31"/>
      <c r="G590" s="33"/>
      <c r="H590" s="105"/>
      <c r="I590" s="32" t="str">
        <f>IF($A590="","",VLOOKUP($H590,APOIO!$L:$M,2,FALSE))</f>
        <v/>
      </c>
      <c r="J590" s="31"/>
      <c r="K590" s="32" t="str">
        <f>IF($A590="","",VLOOKUP($J590,APOIO!$H:$J,2,FALSE))</f>
        <v/>
      </c>
      <c r="L590" s="32" t="str">
        <f>IF($A590="","",VLOOKUP($J590,APOIO!$H:$J,3,FALSE))</f>
        <v/>
      </c>
      <c r="M590" s="31"/>
      <c r="N590" s="34"/>
      <c r="O590" s="32"/>
      <c r="P590" s="32"/>
      <c r="Q590" s="32"/>
      <c r="R590" s="32"/>
      <c r="S590" s="35"/>
      <c r="T590" s="91"/>
      <c r="U590" s="60"/>
      <c r="V590" s="36"/>
      <c r="W590" s="31"/>
      <c r="X590" s="59"/>
      <c r="Y590" s="59" t="str">
        <f>IFERROR(VLOOKUP($A590,APOIO!$A:$A,1,FALSE),"ERRO")</f>
        <v>ERRO</v>
      </c>
      <c r="Z590"/>
    </row>
    <row r="591" spans="1:26" ht="15" x14ac:dyDescent="0.25">
      <c r="A591" s="94"/>
      <c r="B591" s="32" t="str">
        <f>IF($A591="","",VLOOKUP($A591,APOIO!$A:$E,2,FALSE))</f>
        <v/>
      </c>
      <c r="C591" s="94"/>
      <c r="D591" s="32" t="str">
        <f>IF($A591="","",INDEX(APOIO!$D:$D,MATCH(CONCATENATE($A591,"_",$B591,"_",$C591),APOIO!$F:$F,0)))</f>
        <v/>
      </c>
      <c r="E591" s="31"/>
      <c r="F591" s="31"/>
      <c r="G591" s="33"/>
      <c r="H591" s="105"/>
      <c r="I591" s="32" t="str">
        <f>IF($A591="","",VLOOKUP($H591,APOIO!$L:$M,2,FALSE))</f>
        <v/>
      </c>
      <c r="J591" s="31"/>
      <c r="K591" s="32" t="str">
        <f>IF($A591="","",VLOOKUP($J591,APOIO!$H:$J,2,FALSE))</f>
        <v/>
      </c>
      <c r="L591" s="32" t="str">
        <f>IF($A591="","",VLOOKUP($J591,APOIO!$H:$J,3,FALSE))</f>
        <v/>
      </c>
      <c r="M591" s="31"/>
      <c r="N591" s="34"/>
      <c r="O591" s="32"/>
      <c r="P591" s="32"/>
      <c r="Q591" s="32"/>
      <c r="R591" s="32"/>
      <c r="S591" s="35"/>
      <c r="T591" s="91"/>
      <c r="U591" s="60"/>
      <c r="V591" s="36"/>
      <c r="W591" s="31"/>
      <c r="X591" s="59"/>
      <c r="Y591" s="59" t="str">
        <f>IFERROR(VLOOKUP($A591,APOIO!$A:$A,1,FALSE),"ERRO")</f>
        <v>ERRO</v>
      </c>
      <c r="Z591"/>
    </row>
    <row r="592" spans="1:26" ht="15" x14ac:dyDescent="0.25">
      <c r="A592" s="94"/>
      <c r="B592" s="32" t="str">
        <f>IF($A592="","",VLOOKUP($A592,APOIO!$A:$E,2,FALSE))</f>
        <v/>
      </c>
      <c r="C592" s="94"/>
      <c r="D592" s="32" t="str">
        <f>IF($A592="","",INDEX(APOIO!$D:$D,MATCH(CONCATENATE($A592,"_",$B592,"_",$C592),APOIO!$F:$F,0)))</f>
        <v/>
      </c>
      <c r="E592" s="31"/>
      <c r="F592" s="31"/>
      <c r="G592" s="33"/>
      <c r="H592" s="105"/>
      <c r="I592" s="32" t="str">
        <f>IF($A592="","",VLOOKUP($H592,APOIO!$L:$M,2,FALSE))</f>
        <v/>
      </c>
      <c r="J592" s="31"/>
      <c r="K592" s="32" t="str">
        <f>IF($A592="","",VLOOKUP($J592,APOIO!$H:$J,2,FALSE))</f>
        <v/>
      </c>
      <c r="L592" s="32" t="str">
        <f>IF($A592="","",VLOOKUP($J592,APOIO!$H:$J,3,FALSE))</f>
        <v/>
      </c>
      <c r="M592" s="31"/>
      <c r="N592" s="34"/>
      <c r="O592" s="32"/>
      <c r="P592" s="32"/>
      <c r="Q592" s="32"/>
      <c r="R592" s="32"/>
      <c r="S592" s="35"/>
      <c r="T592" s="91"/>
      <c r="U592" s="60"/>
      <c r="V592" s="36"/>
      <c r="W592" s="31"/>
      <c r="X592" s="59"/>
      <c r="Y592" s="59" t="str">
        <f>IFERROR(VLOOKUP($A592,APOIO!$A:$A,1,FALSE),"ERRO")</f>
        <v>ERRO</v>
      </c>
      <c r="Z592"/>
    </row>
    <row r="593" spans="1:26" ht="15" x14ac:dyDescent="0.25">
      <c r="A593" s="94"/>
      <c r="B593" s="32" t="str">
        <f>IF($A593="","",VLOOKUP($A593,APOIO!$A:$E,2,FALSE))</f>
        <v/>
      </c>
      <c r="C593" s="94"/>
      <c r="D593" s="32" t="str">
        <f>IF($A593="","",INDEX(APOIO!$D:$D,MATCH(CONCATENATE($A593,"_",$B593,"_",$C593),APOIO!$F:$F,0)))</f>
        <v/>
      </c>
      <c r="E593" s="31"/>
      <c r="F593" s="31"/>
      <c r="G593" s="33"/>
      <c r="H593" s="105"/>
      <c r="I593" s="32" t="str">
        <f>IF($A593="","",VLOOKUP($H593,APOIO!$L:$M,2,FALSE))</f>
        <v/>
      </c>
      <c r="J593" s="31"/>
      <c r="K593" s="32" t="str">
        <f>IF($A593="","",VLOOKUP($J593,APOIO!$H:$J,2,FALSE))</f>
        <v/>
      </c>
      <c r="L593" s="32" t="str">
        <f>IF($A593="","",VLOOKUP($J593,APOIO!$H:$J,3,FALSE))</f>
        <v/>
      </c>
      <c r="M593" s="31"/>
      <c r="N593" s="34"/>
      <c r="O593" s="32"/>
      <c r="P593" s="32"/>
      <c r="Q593" s="32"/>
      <c r="R593" s="32"/>
      <c r="S593" s="35"/>
      <c r="T593" s="91"/>
      <c r="U593" s="60"/>
      <c r="V593" s="36"/>
      <c r="W593" s="31"/>
      <c r="X593" s="59"/>
      <c r="Y593" s="59" t="str">
        <f>IFERROR(VLOOKUP($A593,APOIO!$A:$A,1,FALSE),"ERRO")</f>
        <v>ERRO</v>
      </c>
      <c r="Z593"/>
    </row>
    <row r="594" spans="1:26" ht="15" x14ac:dyDescent="0.25">
      <c r="A594" s="94"/>
      <c r="B594" s="32" t="str">
        <f>IF($A594="","",VLOOKUP($A594,APOIO!$A:$E,2,FALSE))</f>
        <v/>
      </c>
      <c r="C594" s="94"/>
      <c r="D594" s="32" t="str">
        <f>IF($A594="","",INDEX(APOIO!$D:$D,MATCH(CONCATENATE($A594,"_",$B594,"_",$C594),APOIO!$F:$F,0)))</f>
        <v/>
      </c>
      <c r="E594" s="31"/>
      <c r="F594" s="31"/>
      <c r="G594" s="33"/>
      <c r="H594" s="105"/>
      <c r="I594" s="32" t="str">
        <f>IF($A594="","",VLOOKUP($H594,APOIO!$L:$M,2,FALSE))</f>
        <v/>
      </c>
      <c r="J594" s="31"/>
      <c r="K594" s="32" t="str">
        <f>IF($A594="","",VLOOKUP($J594,APOIO!$H:$J,2,FALSE))</f>
        <v/>
      </c>
      <c r="L594" s="32" t="str">
        <f>IF($A594="","",VLOOKUP($J594,APOIO!$H:$J,3,FALSE))</f>
        <v/>
      </c>
      <c r="M594" s="31"/>
      <c r="N594" s="34"/>
      <c r="O594" s="32"/>
      <c r="P594" s="32"/>
      <c r="Q594" s="32"/>
      <c r="R594" s="32"/>
      <c r="S594" s="35"/>
      <c r="T594" s="91"/>
      <c r="U594" s="60"/>
      <c r="V594" s="36"/>
      <c r="W594" s="31"/>
      <c r="X594" s="59"/>
      <c r="Y594" s="59" t="str">
        <f>IFERROR(VLOOKUP($A594,APOIO!$A:$A,1,FALSE),"ERRO")</f>
        <v>ERRO</v>
      </c>
      <c r="Z594"/>
    </row>
    <row r="595" spans="1:26" ht="15" x14ac:dyDescent="0.25">
      <c r="A595" s="94"/>
      <c r="B595" s="32" t="str">
        <f>IF($A595="","",VLOOKUP($A595,APOIO!$A:$E,2,FALSE))</f>
        <v/>
      </c>
      <c r="C595" s="94"/>
      <c r="D595" s="32" t="str">
        <f>IF($A595="","",INDEX(APOIO!$D:$D,MATCH(CONCATENATE($A595,"_",$B595,"_",$C595),APOIO!$F:$F,0)))</f>
        <v/>
      </c>
      <c r="E595" s="31"/>
      <c r="F595" s="31"/>
      <c r="G595" s="33"/>
      <c r="H595" s="105"/>
      <c r="I595" s="32" t="str">
        <f>IF($A595="","",VLOOKUP($H595,APOIO!$L:$M,2,FALSE))</f>
        <v/>
      </c>
      <c r="J595" s="31"/>
      <c r="K595" s="32" t="str">
        <f>IF($A595="","",VLOOKUP($J595,APOIO!$H:$J,2,FALSE))</f>
        <v/>
      </c>
      <c r="L595" s="32" t="str">
        <f>IF($A595="","",VLOOKUP($J595,APOIO!$H:$J,3,FALSE))</f>
        <v/>
      </c>
      <c r="M595" s="31"/>
      <c r="N595" s="34"/>
      <c r="O595" s="32"/>
      <c r="P595" s="32"/>
      <c r="Q595" s="32"/>
      <c r="R595" s="32"/>
      <c r="S595" s="35"/>
      <c r="T595" s="91"/>
      <c r="U595" s="60"/>
      <c r="V595" s="36"/>
      <c r="W595" s="31"/>
      <c r="X595" s="59"/>
      <c r="Y595" s="59" t="str">
        <f>IFERROR(VLOOKUP($A595,APOIO!$A:$A,1,FALSE),"ERRO")</f>
        <v>ERRO</v>
      </c>
      <c r="Z595"/>
    </row>
    <row r="596" spans="1:26" ht="15" x14ac:dyDescent="0.25">
      <c r="A596" s="94"/>
      <c r="B596" s="32" t="str">
        <f>IF($A596="","",VLOOKUP($A596,APOIO!$A:$E,2,FALSE))</f>
        <v/>
      </c>
      <c r="C596" s="94"/>
      <c r="D596" s="32" t="str">
        <f>IF($A596="","",INDEX(APOIO!$D:$D,MATCH(CONCATENATE($A596,"_",$B596,"_",$C596),APOIO!$F:$F,0)))</f>
        <v/>
      </c>
      <c r="E596" s="31"/>
      <c r="F596" s="31"/>
      <c r="G596" s="33"/>
      <c r="H596" s="105"/>
      <c r="I596" s="32" t="str">
        <f>IF($A596="","",VLOOKUP($H596,APOIO!$L:$M,2,FALSE))</f>
        <v/>
      </c>
      <c r="J596" s="31"/>
      <c r="K596" s="32" t="str">
        <f>IF($A596="","",VLOOKUP($J596,APOIO!$H:$J,2,FALSE))</f>
        <v/>
      </c>
      <c r="L596" s="32" t="str">
        <f>IF($A596="","",VLOOKUP($J596,APOIO!$H:$J,3,FALSE))</f>
        <v/>
      </c>
      <c r="M596" s="31"/>
      <c r="N596" s="34"/>
      <c r="O596" s="32"/>
      <c r="P596" s="32"/>
      <c r="Q596" s="32"/>
      <c r="R596" s="32"/>
      <c r="S596" s="35"/>
      <c r="T596" s="91"/>
      <c r="U596" s="60"/>
      <c r="V596" s="36"/>
      <c r="W596" s="31"/>
      <c r="X596" s="59"/>
      <c r="Y596" s="59" t="str">
        <f>IFERROR(VLOOKUP($A596,APOIO!$A:$A,1,FALSE),"ERRO")</f>
        <v>ERRO</v>
      </c>
      <c r="Z596"/>
    </row>
    <row r="597" spans="1:26" ht="15" x14ac:dyDescent="0.25">
      <c r="A597" s="94"/>
      <c r="B597" s="32" t="str">
        <f>IF($A597="","",VLOOKUP($A597,APOIO!$A:$E,2,FALSE))</f>
        <v/>
      </c>
      <c r="C597" s="94"/>
      <c r="D597" s="32" t="str">
        <f>IF($A597="","",INDEX(APOIO!$D:$D,MATCH(CONCATENATE($A597,"_",$B597,"_",$C597),APOIO!$F:$F,0)))</f>
        <v/>
      </c>
      <c r="E597" s="31"/>
      <c r="F597" s="31"/>
      <c r="G597" s="33"/>
      <c r="H597" s="105"/>
      <c r="I597" s="32" t="str">
        <f>IF($A597="","",VLOOKUP($H597,APOIO!$L:$M,2,FALSE))</f>
        <v/>
      </c>
      <c r="J597" s="31"/>
      <c r="K597" s="32" t="str">
        <f>IF($A597="","",VLOOKUP($J597,APOIO!$H:$J,2,FALSE))</f>
        <v/>
      </c>
      <c r="L597" s="32" t="str">
        <f>IF($A597="","",VLOOKUP($J597,APOIO!$H:$J,3,FALSE))</f>
        <v/>
      </c>
      <c r="M597" s="31"/>
      <c r="N597" s="34"/>
      <c r="O597" s="32"/>
      <c r="P597" s="32"/>
      <c r="Q597" s="32"/>
      <c r="R597" s="32"/>
      <c r="S597" s="35"/>
      <c r="T597" s="91"/>
      <c r="U597" s="60"/>
      <c r="V597" s="36"/>
      <c r="W597" s="31"/>
      <c r="X597" s="59"/>
      <c r="Y597" s="59" t="str">
        <f>IFERROR(VLOOKUP($A597,APOIO!$A:$A,1,FALSE),"ERRO")</f>
        <v>ERRO</v>
      </c>
      <c r="Z597"/>
    </row>
    <row r="598" spans="1:26" ht="15" x14ac:dyDescent="0.25">
      <c r="A598" s="94"/>
      <c r="B598" s="32" t="str">
        <f>IF($A598="","",VLOOKUP($A598,APOIO!$A:$E,2,FALSE))</f>
        <v/>
      </c>
      <c r="C598" s="94"/>
      <c r="D598" s="32" t="str">
        <f>IF($A598="","",INDEX(APOIO!$D:$D,MATCH(CONCATENATE($A598,"_",$B598,"_",$C598),APOIO!$F:$F,0)))</f>
        <v/>
      </c>
      <c r="E598" s="31"/>
      <c r="F598" s="31"/>
      <c r="G598" s="33"/>
      <c r="H598" s="105"/>
      <c r="I598" s="32" t="str">
        <f>IF($A598="","",VLOOKUP($H598,APOIO!$L:$M,2,FALSE))</f>
        <v/>
      </c>
      <c r="J598" s="31"/>
      <c r="K598" s="32" t="str">
        <f>IF($A598="","",VLOOKUP($J598,APOIO!$H:$J,2,FALSE))</f>
        <v/>
      </c>
      <c r="L598" s="32" t="str">
        <f>IF($A598="","",VLOOKUP($J598,APOIO!$H:$J,3,FALSE))</f>
        <v/>
      </c>
      <c r="M598" s="31"/>
      <c r="N598" s="34"/>
      <c r="O598" s="32"/>
      <c r="P598" s="32"/>
      <c r="Q598" s="32"/>
      <c r="R598" s="32"/>
      <c r="S598" s="35"/>
      <c r="T598" s="91"/>
      <c r="U598" s="60"/>
      <c r="V598" s="36"/>
      <c r="W598" s="31"/>
      <c r="X598" s="59"/>
      <c r="Y598" s="59" t="str">
        <f>IFERROR(VLOOKUP($A598,APOIO!$A:$A,1,FALSE),"ERRO")</f>
        <v>ERRO</v>
      </c>
      <c r="Z598"/>
    </row>
    <row r="599" spans="1:26" ht="15" x14ac:dyDescent="0.25">
      <c r="A599" s="94"/>
      <c r="B599" s="32" t="str">
        <f>IF($A599="","",VLOOKUP($A599,APOIO!$A:$E,2,FALSE))</f>
        <v/>
      </c>
      <c r="C599" s="94"/>
      <c r="D599" s="32" t="str">
        <f>IF($A599="","",INDEX(APOIO!$D:$D,MATCH(CONCATENATE($A599,"_",$B599,"_",$C599),APOIO!$F:$F,0)))</f>
        <v/>
      </c>
      <c r="E599" s="31"/>
      <c r="F599" s="31"/>
      <c r="G599" s="33"/>
      <c r="H599" s="105"/>
      <c r="I599" s="32" t="str">
        <f>IF($A599="","",VLOOKUP($H599,APOIO!$L:$M,2,FALSE))</f>
        <v/>
      </c>
      <c r="J599" s="31"/>
      <c r="K599" s="32" t="str">
        <f>IF($A599="","",VLOOKUP($J599,APOIO!$H:$J,2,FALSE))</f>
        <v/>
      </c>
      <c r="L599" s="32" t="str">
        <f>IF($A599="","",VLOOKUP($J599,APOIO!$H:$J,3,FALSE))</f>
        <v/>
      </c>
      <c r="M599" s="31"/>
      <c r="N599" s="34"/>
      <c r="O599" s="32"/>
      <c r="P599" s="32"/>
      <c r="Q599" s="32"/>
      <c r="R599" s="32"/>
      <c r="S599" s="35"/>
      <c r="T599" s="91"/>
      <c r="U599" s="60"/>
      <c r="V599" s="36"/>
      <c r="W599" s="31"/>
      <c r="X599" s="59"/>
      <c r="Y599" s="59" t="str">
        <f>IFERROR(VLOOKUP($A599,APOIO!$A:$A,1,FALSE),"ERRO")</f>
        <v>ERRO</v>
      </c>
      <c r="Z599"/>
    </row>
    <row r="600" spans="1:26" ht="15" x14ac:dyDescent="0.25">
      <c r="A600" s="94"/>
      <c r="B600" s="32" t="str">
        <f>IF($A600="","",VLOOKUP($A600,APOIO!$A:$E,2,FALSE))</f>
        <v/>
      </c>
      <c r="C600" s="94"/>
      <c r="D600" s="32" t="str">
        <f>IF($A600="","",INDEX(APOIO!$D:$D,MATCH(CONCATENATE($A600,"_",$B600,"_",$C600),APOIO!$F:$F,0)))</f>
        <v/>
      </c>
      <c r="E600" s="31"/>
      <c r="F600" s="31"/>
      <c r="G600" s="33"/>
      <c r="H600" s="105"/>
      <c r="I600" s="32" t="str">
        <f>IF($A600="","",VLOOKUP($H600,APOIO!$L:$M,2,FALSE))</f>
        <v/>
      </c>
      <c r="J600" s="31"/>
      <c r="K600" s="32" t="str">
        <f>IF($A600="","",VLOOKUP($J600,APOIO!$H:$J,2,FALSE))</f>
        <v/>
      </c>
      <c r="L600" s="32" t="str">
        <f>IF($A600="","",VLOOKUP($J600,APOIO!$H:$J,3,FALSE))</f>
        <v/>
      </c>
      <c r="M600" s="31"/>
      <c r="N600" s="34"/>
      <c r="O600" s="32"/>
      <c r="P600" s="32"/>
      <c r="Q600" s="32"/>
      <c r="R600" s="32"/>
      <c r="S600" s="35"/>
      <c r="T600" s="91"/>
      <c r="U600" s="60"/>
      <c r="V600" s="36"/>
      <c r="W600" s="31"/>
      <c r="X600" s="59"/>
      <c r="Y600" s="59" t="str">
        <f>IFERROR(VLOOKUP($A600,APOIO!$A:$A,1,FALSE),"ERRO")</f>
        <v>ERRO</v>
      </c>
      <c r="Z600"/>
    </row>
    <row r="601" spans="1:26" ht="15" x14ac:dyDescent="0.25">
      <c r="A601" s="94"/>
      <c r="B601" s="32" t="str">
        <f>IF($A601="","",VLOOKUP($A601,APOIO!$A:$E,2,FALSE))</f>
        <v/>
      </c>
      <c r="C601" s="94"/>
      <c r="D601" s="32" t="str">
        <f>IF($A601="","",INDEX(APOIO!$D:$D,MATCH(CONCATENATE($A601,"_",$B601,"_",$C601),APOIO!$F:$F,0)))</f>
        <v/>
      </c>
      <c r="E601" s="31"/>
      <c r="F601" s="31"/>
      <c r="G601" s="33"/>
      <c r="H601" s="105"/>
      <c r="I601" s="32" t="str">
        <f>IF($A601="","",VLOOKUP($H601,APOIO!$L:$M,2,FALSE))</f>
        <v/>
      </c>
      <c r="J601" s="31"/>
      <c r="K601" s="32" t="str">
        <f>IF($A601="","",VLOOKUP($J601,APOIO!$H:$J,2,FALSE))</f>
        <v/>
      </c>
      <c r="L601" s="32" t="str">
        <f>IF($A601="","",VLOOKUP($J601,APOIO!$H:$J,3,FALSE))</f>
        <v/>
      </c>
      <c r="M601" s="31"/>
      <c r="N601" s="34"/>
      <c r="O601" s="32"/>
      <c r="P601" s="32"/>
      <c r="Q601" s="32"/>
      <c r="R601" s="32"/>
      <c r="S601" s="35"/>
      <c r="T601" s="91"/>
      <c r="U601" s="60"/>
      <c r="V601" s="36"/>
      <c r="W601" s="31"/>
      <c r="X601" s="59"/>
      <c r="Y601" s="59" t="str">
        <f>IFERROR(VLOOKUP($A601,APOIO!$A:$A,1,FALSE),"ERRO")</f>
        <v>ERRO</v>
      </c>
      <c r="Z601"/>
    </row>
    <row r="602" spans="1:26" ht="15" x14ac:dyDescent="0.25">
      <c r="A602" s="94"/>
      <c r="B602" s="32" t="str">
        <f>IF($A602="","",VLOOKUP($A602,APOIO!$A:$E,2,FALSE))</f>
        <v/>
      </c>
      <c r="C602" s="94"/>
      <c r="D602" s="32" t="str">
        <f>IF($A602="","",INDEX(APOIO!$D:$D,MATCH(CONCATENATE($A602,"_",$B602,"_",$C602),APOIO!$F:$F,0)))</f>
        <v/>
      </c>
      <c r="E602" s="31"/>
      <c r="F602" s="31"/>
      <c r="G602" s="33"/>
      <c r="H602" s="105"/>
      <c r="I602" s="32" t="str">
        <f>IF($A602="","",VLOOKUP($H602,APOIO!$L:$M,2,FALSE))</f>
        <v/>
      </c>
      <c r="J602" s="31"/>
      <c r="K602" s="32" t="str">
        <f>IF($A602="","",VLOOKUP($J602,APOIO!$H:$J,2,FALSE))</f>
        <v/>
      </c>
      <c r="L602" s="32" t="str">
        <f>IF($A602="","",VLOOKUP($J602,APOIO!$H:$J,3,FALSE))</f>
        <v/>
      </c>
      <c r="M602" s="31"/>
      <c r="N602" s="34"/>
      <c r="O602" s="32"/>
      <c r="P602" s="32"/>
      <c r="Q602" s="32"/>
      <c r="R602" s="32"/>
      <c r="S602" s="35"/>
      <c r="T602" s="91"/>
      <c r="U602" s="60"/>
      <c r="V602" s="36"/>
      <c r="W602" s="31"/>
      <c r="X602" s="59"/>
      <c r="Y602" s="59" t="str">
        <f>IFERROR(VLOOKUP($A602,APOIO!$A:$A,1,FALSE),"ERRO")</f>
        <v>ERRO</v>
      </c>
      <c r="Z602"/>
    </row>
    <row r="603" spans="1:26" ht="15" x14ac:dyDescent="0.25">
      <c r="A603" s="94"/>
      <c r="B603" s="32" t="str">
        <f>IF($A603="","",VLOOKUP($A603,APOIO!$A:$E,2,FALSE))</f>
        <v/>
      </c>
      <c r="C603" s="94"/>
      <c r="D603" s="32" t="str">
        <f>IF($A603="","",INDEX(APOIO!$D:$D,MATCH(CONCATENATE($A603,"_",$B603,"_",$C603),APOIO!$F:$F,0)))</f>
        <v/>
      </c>
      <c r="E603" s="31"/>
      <c r="F603" s="31"/>
      <c r="G603" s="33"/>
      <c r="H603" s="105"/>
      <c r="I603" s="32" t="str">
        <f>IF($A603="","",VLOOKUP($H603,APOIO!$L:$M,2,FALSE))</f>
        <v/>
      </c>
      <c r="J603" s="31"/>
      <c r="K603" s="32" t="str">
        <f>IF($A603="","",VLOOKUP($J603,APOIO!$H:$J,2,FALSE))</f>
        <v/>
      </c>
      <c r="L603" s="32" t="str">
        <f>IF($A603="","",VLOOKUP($J603,APOIO!$H:$J,3,FALSE))</f>
        <v/>
      </c>
      <c r="M603" s="31"/>
      <c r="N603" s="34"/>
      <c r="O603" s="32"/>
      <c r="P603" s="32"/>
      <c r="Q603" s="32"/>
      <c r="R603" s="32"/>
      <c r="S603" s="35"/>
      <c r="T603" s="91"/>
      <c r="U603" s="60"/>
      <c r="V603" s="36"/>
      <c r="W603" s="31"/>
      <c r="X603" s="59"/>
      <c r="Y603" s="59" t="str">
        <f>IFERROR(VLOOKUP($A603,APOIO!$A:$A,1,FALSE),"ERRO")</f>
        <v>ERRO</v>
      </c>
      <c r="Z603"/>
    </row>
    <row r="604" spans="1:26" ht="15" x14ac:dyDescent="0.25">
      <c r="A604" s="94"/>
      <c r="B604" s="32" t="str">
        <f>IF($A604="","",VLOOKUP($A604,APOIO!$A:$E,2,FALSE))</f>
        <v/>
      </c>
      <c r="C604" s="94"/>
      <c r="D604" s="32" t="str">
        <f>IF($A604="","",INDEX(APOIO!$D:$D,MATCH(CONCATENATE($A604,"_",$B604,"_",$C604),APOIO!$F:$F,0)))</f>
        <v/>
      </c>
      <c r="E604" s="31"/>
      <c r="F604" s="31"/>
      <c r="G604" s="33"/>
      <c r="H604" s="105"/>
      <c r="I604" s="32" t="str">
        <f>IF($A604="","",VLOOKUP($H604,APOIO!$L:$M,2,FALSE))</f>
        <v/>
      </c>
      <c r="J604" s="31"/>
      <c r="K604" s="32" t="str">
        <f>IF($A604="","",VLOOKUP($J604,APOIO!$H:$J,2,FALSE))</f>
        <v/>
      </c>
      <c r="L604" s="32" t="str">
        <f>IF($A604="","",VLOOKUP($J604,APOIO!$H:$J,3,FALSE))</f>
        <v/>
      </c>
      <c r="M604" s="31"/>
      <c r="N604" s="34"/>
      <c r="O604" s="32"/>
      <c r="P604" s="32"/>
      <c r="Q604" s="32"/>
      <c r="R604" s="32"/>
      <c r="S604" s="35"/>
      <c r="T604" s="91"/>
      <c r="U604" s="60"/>
      <c r="V604" s="36"/>
      <c r="W604" s="31"/>
      <c r="X604" s="59"/>
      <c r="Y604" s="59" t="str">
        <f>IFERROR(VLOOKUP($A604,APOIO!$A:$A,1,FALSE),"ERRO")</f>
        <v>ERRO</v>
      </c>
      <c r="Z604"/>
    </row>
    <row r="605" spans="1:26" ht="15" x14ac:dyDescent="0.25">
      <c r="A605" s="94"/>
      <c r="B605" s="32" t="str">
        <f>IF($A605="","",VLOOKUP($A605,APOIO!$A:$E,2,FALSE))</f>
        <v/>
      </c>
      <c r="C605" s="94"/>
      <c r="D605" s="32" t="str">
        <f>IF($A605="","",INDEX(APOIO!$D:$D,MATCH(CONCATENATE($A605,"_",$B605,"_",$C605),APOIO!$F:$F,0)))</f>
        <v/>
      </c>
      <c r="E605" s="31"/>
      <c r="F605" s="31"/>
      <c r="G605" s="33"/>
      <c r="H605" s="105"/>
      <c r="I605" s="32" t="str">
        <f>IF($A605="","",VLOOKUP($H605,APOIO!$L:$M,2,FALSE))</f>
        <v/>
      </c>
      <c r="J605" s="31"/>
      <c r="K605" s="32" t="str">
        <f>IF($A605="","",VLOOKUP($J605,APOIO!$H:$J,2,FALSE))</f>
        <v/>
      </c>
      <c r="L605" s="32" t="str">
        <f>IF($A605="","",VLOOKUP($J605,APOIO!$H:$J,3,FALSE))</f>
        <v/>
      </c>
      <c r="M605" s="31"/>
      <c r="N605" s="34"/>
      <c r="O605" s="32"/>
      <c r="P605" s="32"/>
      <c r="Q605" s="32"/>
      <c r="R605" s="32"/>
      <c r="S605" s="35"/>
      <c r="T605" s="91"/>
      <c r="U605" s="60"/>
      <c r="V605" s="36"/>
      <c r="W605" s="31"/>
      <c r="X605" s="59"/>
      <c r="Y605" s="59" t="str">
        <f>IFERROR(VLOOKUP($A605,APOIO!$A:$A,1,FALSE),"ERRO")</f>
        <v>ERRO</v>
      </c>
      <c r="Z605"/>
    </row>
    <row r="606" spans="1:26" ht="15" x14ac:dyDescent="0.25">
      <c r="A606" s="94"/>
      <c r="B606" s="32" t="str">
        <f>IF($A606="","",VLOOKUP($A606,APOIO!$A:$E,2,FALSE))</f>
        <v/>
      </c>
      <c r="C606" s="94"/>
      <c r="D606" s="32" t="str">
        <f>IF($A606="","",INDEX(APOIO!$D:$D,MATCH(CONCATENATE($A606,"_",$B606,"_",$C606),APOIO!$F:$F,0)))</f>
        <v/>
      </c>
      <c r="E606" s="31"/>
      <c r="F606" s="31"/>
      <c r="G606" s="33"/>
      <c r="H606" s="105"/>
      <c r="I606" s="32" t="str">
        <f>IF($A606="","",VLOOKUP($H606,APOIO!$L:$M,2,FALSE))</f>
        <v/>
      </c>
      <c r="J606" s="31"/>
      <c r="K606" s="32" t="str">
        <f>IF($A606="","",VLOOKUP($J606,APOIO!$H:$J,2,FALSE))</f>
        <v/>
      </c>
      <c r="L606" s="32" t="str">
        <f>IF($A606="","",VLOOKUP($J606,APOIO!$H:$J,3,FALSE))</f>
        <v/>
      </c>
      <c r="M606" s="31"/>
      <c r="N606" s="34"/>
      <c r="O606" s="32"/>
      <c r="P606" s="32"/>
      <c r="Q606" s="32"/>
      <c r="R606" s="32"/>
      <c r="S606" s="35"/>
      <c r="T606" s="91"/>
      <c r="U606" s="60"/>
      <c r="V606" s="36"/>
      <c r="W606" s="31"/>
      <c r="X606" s="59"/>
      <c r="Y606" s="59" t="str">
        <f>IFERROR(VLOOKUP($A606,APOIO!$A:$A,1,FALSE),"ERRO")</f>
        <v>ERRO</v>
      </c>
      <c r="Z606"/>
    </row>
    <row r="607" spans="1:26" ht="15" x14ac:dyDescent="0.25">
      <c r="A607" s="94"/>
      <c r="B607" s="32" t="str">
        <f>IF($A607="","",VLOOKUP($A607,APOIO!$A:$E,2,FALSE))</f>
        <v/>
      </c>
      <c r="C607" s="94"/>
      <c r="D607" s="32" t="str">
        <f>IF($A607="","",INDEX(APOIO!$D:$D,MATCH(CONCATENATE($A607,"_",$B607,"_",$C607),APOIO!$F:$F,0)))</f>
        <v/>
      </c>
      <c r="E607" s="31"/>
      <c r="F607" s="31"/>
      <c r="G607" s="33"/>
      <c r="H607" s="105"/>
      <c r="I607" s="32" t="str">
        <f>IF($A607="","",VLOOKUP($H607,APOIO!$L:$M,2,FALSE))</f>
        <v/>
      </c>
      <c r="J607" s="31"/>
      <c r="K607" s="32" t="str">
        <f>IF($A607="","",VLOOKUP($J607,APOIO!$H:$J,2,FALSE))</f>
        <v/>
      </c>
      <c r="L607" s="32" t="str">
        <f>IF($A607="","",VLOOKUP($J607,APOIO!$H:$J,3,FALSE))</f>
        <v/>
      </c>
      <c r="M607" s="31"/>
      <c r="N607" s="34"/>
      <c r="O607" s="32"/>
      <c r="P607" s="32"/>
      <c r="Q607" s="32"/>
      <c r="R607" s="32"/>
      <c r="S607" s="35"/>
      <c r="T607" s="91"/>
      <c r="U607" s="60"/>
      <c r="V607" s="36"/>
      <c r="W607" s="31"/>
      <c r="X607" s="59"/>
      <c r="Y607" s="59" t="str">
        <f>IFERROR(VLOOKUP($A607,APOIO!$A:$A,1,FALSE),"ERRO")</f>
        <v>ERRO</v>
      </c>
      <c r="Z607"/>
    </row>
    <row r="608" spans="1:26" ht="15" x14ac:dyDescent="0.25">
      <c r="A608" s="94"/>
      <c r="B608" s="32" t="str">
        <f>IF($A608="","",VLOOKUP($A608,APOIO!$A:$E,2,FALSE))</f>
        <v/>
      </c>
      <c r="C608" s="94"/>
      <c r="D608" s="32" t="str">
        <f>IF($A608="","",INDEX(APOIO!$D:$D,MATCH(CONCATENATE($A608,"_",$B608,"_",$C608),APOIO!$F:$F,0)))</f>
        <v/>
      </c>
      <c r="E608" s="31"/>
      <c r="F608" s="31"/>
      <c r="G608" s="33"/>
      <c r="H608" s="105"/>
      <c r="I608" s="32" t="str">
        <f>IF($A608="","",VLOOKUP($H608,APOIO!$L:$M,2,FALSE))</f>
        <v/>
      </c>
      <c r="J608" s="31"/>
      <c r="K608" s="32" t="str">
        <f>IF($A608="","",VLOOKUP($J608,APOIO!$H:$J,2,FALSE))</f>
        <v/>
      </c>
      <c r="L608" s="32" t="str">
        <f>IF($A608="","",VLOOKUP($J608,APOIO!$H:$J,3,FALSE))</f>
        <v/>
      </c>
      <c r="M608" s="31"/>
      <c r="N608" s="34"/>
      <c r="O608" s="32"/>
      <c r="P608" s="32"/>
      <c r="Q608" s="32"/>
      <c r="R608" s="32"/>
      <c r="S608" s="35"/>
      <c r="T608" s="91"/>
      <c r="U608" s="60"/>
      <c r="V608" s="36"/>
      <c r="W608" s="31"/>
      <c r="X608" s="59"/>
      <c r="Y608" s="59" t="str">
        <f>IFERROR(VLOOKUP($A608,APOIO!$A:$A,1,FALSE),"ERRO")</f>
        <v>ERRO</v>
      </c>
      <c r="Z608"/>
    </row>
    <row r="609" spans="1:26" ht="15" x14ac:dyDescent="0.25">
      <c r="A609" s="94"/>
      <c r="B609" s="32" t="str">
        <f>IF($A609="","",VLOOKUP($A609,APOIO!$A:$E,2,FALSE))</f>
        <v/>
      </c>
      <c r="C609" s="94"/>
      <c r="D609" s="32" t="str">
        <f>IF($A609="","",INDEX(APOIO!$D:$D,MATCH(CONCATENATE($A609,"_",$B609,"_",$C609),APOIO!$F:$F,0)))</f>
        <v/>
      </c>
      <c r="E609" s="31"/>
      <c r="F609" s="31"/>
      <c r="G609" s="33"/>
      <c r="H609" s="105"/>
      <c r="I609" s="32" t="str">
        <f>IF($A609="","",VLOOKUP($H609,APOIO!$L:$M,2,FALSE))</f>
        <v/>
      </c>
      <c r="J609" s="31"/>
      <c r="K609" s="32" t="str">
        <f>IF($A609="","",VLOOKUP($J609,APOIO!$H:$J,2,FALSE))</f>
        <v/>
      </c>
      <c r="L609" s="32" t="str">
        <f>IF($A609="","",VLOOKUP($J609,APOIO!$H:$J,3,FALSE))</f>
        <v/>
      </c>
      <c r="M609" s="31"/>
      <c r="N609" s="34"/>
      <c r="O609" s="32"/>
      <c r="P609" s="32"/>
      <c r="Q609" s="32"/>
      <c r="R609" s="32"/>
      <c r="S609" s="35"/>
      <c r="T609" s="91"/>
      <c r="U609" s="60"/>
      <c r="V609" s="36"/>
      <c r="W609" s="31"/>
      <c r="X609" s="59"/>
      <c r="Y609" s="59" t="str">
        <f>IFERROR(VLOOKUP($A609,APOIO!$A:$A,1,FALSE),"ERRO")</f>
        <v>ERRO</v>
      </c>
      <c r="Z609"/>
    </row>
    <row r="610" spans="1:26" ht="15" x14ac:dyDescent="0.25">
      <c r="A610" s="94"/>
      <c r="B610" s="32" t="str">
        <f>IF($A610="","",VLOOKUP($A610,APOIO!$A:$E,2,FALSE))</f>
        <v/>
      </c>
      <c r="C610" s="94"/>
      <c r="D610" s="32" t="str">
        <f>IF($A610="","",INDEX(APOIO!$D:$D,MATCH(CONCATENATE($A610,"_",$B610,"_",$C610),APOIO!$F:$F,0)))</f>
        <v/>
      </c>
      <c r="E610" s="31"/>
      <c r="F610" s="31"/>
      <c r="G610" s="33"/>
      <c r="H610" s="105"/>
      <c r="I610" s="32" t="str">
        <f>IF($A610="","",VLOOKUP($H610,APOIO!$L:$M,2,FALSE))</f>
        <v/>
      </c>
      <c r="J610" s="31"/>
      <c r="K610" s="32" t="str">
        <f>IF($A610="","",VLOOKUP($J610,APOIO!$H:$J,2,FALSE))</f>
        <v/>
      </c>
      <c r="L610" s="32" t="str">
        <f>IF($A610="","",VLOOKUP($J610,APOIO!$H:$J,3,FALSE))</f>
        <v/>
      </c>
      <c r="M610" s="31"/>
      <c r="N610" s="34"/>
      <c r="O610" s="32"/>
      <c r="P610" s="32"/>
      <c r="Q610" s="32"/>
      <c r="R610" s="32"/>
      <c r="S610" s="35"/>
      <c r="T610" s="91"/>
      <c r="U610" s="60"/>
      <c r="V610" s="36"/>
      <c r="W610" s="31"/>
      <c r="X610" s="59"/>
      <c r="Y610" s="59" t="str">
        <f>IFERROR(VLOOKUP($A610,APOIO!$A:$A,1,FALSE),"ERRO")</f>
        <v>ERRO</v>
      </c>
      <c r="Z610"/>
    </row>
    <row r="611" spans="1:26" ht="15" x14ac:dyDescent="0.25">
      <c r="A611" s="94"/>
      <c r="B611" s="32" t="str">
        <f>IF($A611="","",VLOOKUP($A611,APOIO!$A:$E,2,FALSE))</f>
        <v/>
      </c>
      <c r="C611" s="94"/>
      <c r="D611" s="32" t="str">
        <f>IF($A611="","",INDEX(APOIO!$D:$D,MATCH(CONCATENATE($A611,"_",$B611,"_",$C611),APOIO!$F:$F,0)))</f>
        <v/>
      </c>
      <c r="E611" s="31"/>
      <c r="F611" s="31"/>
      <c r="G611" s="33"/>
      <c r="H611" s="105"/>
      <c r="I611" s="32" t="str">
        <f>IF($A611="","",VLOOKUP($H611,APOIO!$L:$M,2,FALSE))</f>
        <v/>
      </c>
      <c r="J611" s="31"/>
      <c r="K611" s="32" t="str">
        <f>IF($A611="","",VLOOKUP($J611,APOIO!$H:$J,2,FALSE))</f>
        <v/>
      </c>
      <c r="L611" s="32" t="str">
        <f>IF($A611="","",VLOOKUP($J611,APOIO!$H:$J,3,FALSE))</f>
        <v/>
      </c>
      <c r="M611" s="31"/>
      <c r="N611" s="34"/>
      <c r="O611" s="32"/>
      <c r="P611" s="32"/>
      <c r="Q611" s="32"/>
      <c r="R611" s="32"/>
      <c r="S611" s="35"/>
      <c r="T611" s="91"/>
      <c r="U611" s="60"/>
      <c r="V611" s="36"/>
      <c r="W611" s="31"/>
      <c r="X611" s="59"/>
      <c r="Y611" s="59" t="str">
        <f>IFERROR(VLOOKUP($A611,APOIO!$A:$A,1,FALSE),"ERRO")</f>
        <v>ERRO</v>
      </c>
      <c r="Z611"/>
    </row>
    <row r="612" spans="1:26" ht="15" x14ac:dyDescent="0.25">
      <c r="A612" s="94"/>
      <c r="B612" s="32" t="str">
        <f>IF($A612="","",VLOOKUP($A612,APOIO!$A:$E,2,FALSE))</f>
        <v/>
      </c>
      <c r="C612" s="94"/>
      <c r="D612" s="32" t="str">
        <f>IF($A612="","",INDEX(APOIO!$D:$D,MATCH(CONCATENATE($A612,"_",$B612,"_",$C612),APOIO!$F:$F,0)))</f>
        <v/>
      </c>
      <c r="E612" s="31"/>
      <c r="F612" s="31"/>
      <c r="G612" s="33"/>
      <c r="H612" s="105"/>
      <c r="I612" s="32" t="str">
        <f>IF($A612="","",VLOOKUP($H612,APOIO!$L:$M,2,FALSE))</f>
        <v/>
      </c>
      <c r="J612" s="31"/>
      <c r="K612" s="32" t="str">
        <f>IF($A612="","",VLOOKUP($J612,APOIO!$H:$J,2,FALSE))</f>
        <v/>
      </c>
      <c r="L612" s="32" t="str">
        <f>IF($A612="","",VLOOKUP($J612,APOIO!$H:$J,3,FALSE))</f>
        <v/>
      </c>
      <c r="M612" s="31"/>
      <c r="N612" s="34"/>
      <c r="O612" s="32"/>
      <c r="P612" s="32"/>
      <c r="Q612" s="32"/>
      <c r="R612" s="32"/>
      <c r="S612" s="35"/>
      <c r="T612" s="91"/>
      <c r="U612" s="60"/>
      <c r="V612" s="36"/>
      <c r="W612" s="31"/>
      <c r="X612" s="59"/>
      <c r="Y612" s="59" t="str">
        <f>IFERROR(VLOOKUP($A612,APOIO!$A:$A,1,FALSE),"ERRO")</f>
        <v>ERRO</v>
      </c>
      <c r="Z612"/>
    </row>
    <row r="613" spans="1:26" ht="15" x14ac:dyDescent="0.25">
      <c r="A613" s="94"/>
      <c r="B613" s="32" t="str">
        <f>IF($A613="","",VLOOKUP($A613,APOIO!$A:$E,2,FALSE))</f>
        <v/>
      </c>
      <c r="C613" s="94"/>
      <c r="D613" s="32" t="str">
        <f>IF($A613="","",INDEX(APOIO!$D:$D,MATCH(CONCATENATE($A613,"_",$B613,"_",$C613),APOIO!$F:$F,0)))</f>
        <v/>
      </c>
      <c r="E613" s="31"/>
      <c r="F613" s="31"/>
      <c r="G613" s="33"/>
      <c r="H613" s="105"/>
      <c r="I613" s="32" t="str">
        <f>IF($A613="","",VLOOKUP($H613,APOIO!$L:$M,2,FALSE))</f>
        <v/>
      </c>
      <c r="J613" s="31"/>
      <c r="K613" s="32" t="str">
        <f>IF($A613="","",VLOOKUP($J613,APOIO!$H:$J,2,FALSE))</f>
        <v/>
      </c>
      <c r="L613" s="32" t="str">
        <f>IF($A613="","",VLOOKUP($J613,APOIO!$H:$J,3,FALSE))</f>
        <v/>
      </c>
      <c r="M613" s="31"/>
      <c r="N613" s="34"/>
      <c r="O613" s="32"/>
      <c r="P613" s="32"/>
      <c r="Q613" s="32"/>
      <c r="R613" s="32"/>
      <c r="S613" s="35"/>
      <c r="T613" s="91"/>
      <c r="U613" s="60"/>
      <c r="V613" s="36"/>
      <c r="W613" s="31"/>
      <c r="X613" s="59"/>
      <c r="Y613" s="59" t="str">
        <f>IFERROR(VLOOKUP($A613,APOIO!$A:$A,1,FALSE),"ERRO")</f>
        <v>ERRO</v>
      </c>
      <c r="Z613"/>
    </row>
    <row r="614" spans="1:26" ht="15" x14ac:dyDescent="0.25">
      <c r="A614" s="94"/>
      <c r="B614" s="32" t="str">
        <f>IF($A614="","",VLOOKUP($A614,APOIO!$A:$E,2,FALSE))</f>
        <v/>
      </c>
      <c r="C614" s="94"/>
      <c r="D614" s="32" t="str">
        <f>IF($A614="","",INDEX(APOIO!$D:$D,MATCH(CONCATENATE($A614,"_",$B614,"_",$C614),APOIO!$F:$F,0)))</f>
        <v/>
      </c>
      <c r="E614" s="31"/>
      <c r="F614" s="31"/>
      <c r="G614" s="33"/>
      <c r="H614" s="105"/>
      <c r="I614" s="32" t="str">
        <f>IF($A614="","",VLOOKUP($H614,APOIO!$L:$M,2,FALSE))</f>
        <v/>
      </c>
      <c r="J614" s="31"/>
      <c r="K614" s="32" t="str">
        <f>IF($A614="","",VLOOKUP($J614,APOIO!$H:$J,2,FALSE))</f>
        <v/>
      </c>
      <c r="L614" s="32" t="str">
        <f>IF($A614="","",VLOOKUP($J614,APOIO!$H:$J,3,FALSE))</f>
        <v/>
      </c>
      <c r="M614" s="31"/>
      <c r="N614" s="34"/>
      <c r="O614" s="32"/>
      <c r="P614" s="32"/>
      <c r="Q614" s="32"/>
      <c r="R614" s="32"/>
      <c r="S614" s="35"/>
      <c r="T614" s="91"/>
      <c r="U614" s="60"/>
      <c r="V614" s="36"/>
      <c r="W614" s="31"/>
      <c r="X614" s="59"/>
      <c r="Y614" s="59" t="str">
        <f>IFERROR(VLOOKUP($A614,APOIO!$A:$A,1,FALSE),"ERRO")</f>
        <v>ERRO</v>
      </c>
      <c r="Z614"/>
    </row>
    <row r="615" spans="1:26" ht="15" x14ac:dyDescent="0.25">
      <c r="A615" s="94"/>
      <c r="B615" s="32" t="str">
        <f>IF($A615="","",VLOOKUP($A615,APOIO!$A:$E,2,FALSE))</f>
        <v/>
      </c>
      <c r="C615" s="94"/>
      <c r="D615" s="32" t="str">
        <f>IF($A615="","",INDEX(APOIO!$D:$D,MATCH(CONCATENATE($A615,"_",$B615,"_",$C615),APOIO!$F:$F,0)))</f>
        <v/>
      </c>
      <c r="E615" s="31"/>
      <c r="F615" s="31"/>
      <c r="G615" s="33"/>
      <c r="H615" s="105"/>
      <c r="I615" s="32" t="str">
        <f>IF($A615="","",VLOOKUP($H615,APOIO!$L:$M,2,FALSE))</f>
        <v/>
      </c>
      <c r="J615" s="31"/>
      <c r="K615" s="32" t="str">
        <f>IF($A615="","",VLOOKUP($J615,APOIO!$H:$J,2,FALSE))</f>
        <v/>
      </c>
      <c r="L615" s="32" t="str">
        <f>IF($A615="","",VLOOKUP($J615,APOIO!$H:$J,3,FALSE))</f>
        <v/>
      </c>
      <c r="M615" s="31"/>
      <c r="N615" s="34"/>
      <c r="O615" s="32"/>
      <c r="P615" s="32"/>
      <c r="Q615" s="32"/>
      <c r="R615" s="32"/>
      <c r="S615" s="35"/>
      <c r="T615" s="91"/>
      <c r="U615" s="60"/>
      <c r="V615" s="36"/>
      <c r="W615" s="31"/>
      <c r="X615" s="59"/>
      <c r="Y615" s="59" t="str">
        <f>IFERROR(VLOOKUP($A615,APOIO!$A:$A,1,FALSE),"ERRO")</f>
        <v>ERRO</v>
      </c>
      <c r="Z615"/>
    </row>
    <row r="616" spans="1:26" ht="15" x14ac:dyDescent="0.25">
      <c r="A616" s="94"/>
      <c r="B616" s="32" t="str">
        <f>IF($A616="","",VLOOKUP($A616,APOIO!$A:$E,2,FALSE))</f>
        <v/>
      </c>
      <c r="C616" s="94"/>
      <c r="D616" s="32" t="str">
        <f>IF($A616="","",INDEX(APOIO!$D:$D,MATCH(CONCATENATE($A616,"_",$B616,"_",$C616),APOIO!$F:$F,0)))</f>
        <v/>
      </c>
      <c r="E616" s="31"/>
      <c r="F616" s="31"/>
      <c r="G616" s="33"/>
      <c r="H616" s="105"/>
      <c r="I616" s="32" t="str">
        <f>IF($A616="","",VLOOKUP($H616,APOIO!$L:$M,2,FALSE))</f>
        <v/>
      </c>
      <c r="J616" s="31"/>
      <c r="K616" s="32" t="str">
        <f>IF($A616="","",VLOOKUP($J616,APOIO!$H:$J,2,FALSE))</f>
        <v/>
      </c>
      <c r="L616" s="32" t="str">
        <f>IF($A616="","",VLOOKUP($J616,APOIO!$H:$J,3,FALSE))</f>
        <v/>
      </c>
      <c r="M616" s="31"/>
      <c r="N616" s="34"/>
      <c r="O616" s="32"/>
      <c r="P616" s="32"/>
      <c r="Q616" s="32"/>
      <c r="R616" s="32"/>
      <c r="S616" s="35"/>
      <c r="T616" s="91"/>
      <c r="U616" s="60"/>
      <c r="V616" s="36"/>
      <c r="W616" s="31"/>
      <c r="X616" s="59"/>
      <c r="Y616" s="59" t="str">
        <f>IFERROR(VLOOKUP($A616,APOIO!$A:$A,1,FALSE),"ERRO")</f>
        <v>ERRO</v>
      </c>
      <c r="Z616"/>
    </row>
    <row r="617" spans="1:26" ht="15" x14ac:dyDescent="0.25">
      <c r="A617" s="94"/>
      <c r="B617" s="32" t="str">
        <f>IF($A617="","",VLOOKUP($A617,APOIO!$A:$E,2,FALSE))</f>
        <v/>
      </c>
      <c r="C617" s="94"/>
      <c r="D617" s="32" t="str">
        <f>IF($A617="","",INDEX(APOIO!$D:$D,MATCH(CONCATENATE($A617,"_",$B617,"_",$C617),APOIO!$F:$F,0)))</f>
        <v/>
      </c>
      <c r="E617" s="31"/>
      <c r="F617" s="31"/>
      <c r="G617" s="33"/>
      <c r="H617" s="105"/>
      <c r="I617" s="32" t="str">
        <f>IF($A617="","",VLOOKUP($H617,APOIO!$L:$M,2,FALSE))</f>
        <v/>
      </c>
      <c r="J617" s="31"/>
      <c r="K617" s="32" t="str">
        <f>IF($A617="","",VLOOKUP($J617,APOIO!$H:$J,2,FALSE))</f>
        <v/>
      </c>
      <c r="L617" s="32" t="str">
        <f>IF($A617="","",VLOOKUP($J617,APOIO!$H:$J,3,FALSE))</f>
        <v/>
      </c>
      <c r="M617" s="31"/>
      <c r="N617" s="34"/>
      <c r="O617" s="32"/>
      <c r="P617" s="32"/>
      <c r="Q617" s="32"/>
      <c r="R617" s="32"/>
      <c r="S617" s="35"/>
      <c r="T617" s="91"/>
      <c r="U617" s="60"/>
      <c r="V617" s="36"/>
      <c r="W617" s="31"/>
      <c r="X617" s="59"/>
      <c r="Y617" s="59" t="str">
        <f>IFERROR(VLOOKUP($A617,APOIO!$A:$A,1,FALSE),"ERRO")</f>
        <v>ERRO</v>
      </c>
      <c r="Z617"/>
    </row>
    <row r="618" spans="1:26" ht="15" x14ac:dyDescent="0.25">
      <c r="A618" s="94"/>
      <c r="B618" s="32" t="str">
        <f>IF($A618="","",VLOOKUP($A618,APOIO!$A:$E,2,FALSE))</f>
        <v/>
      </c>
      <c r="C618" s="94"/>
      <c r="D618" s="32" t="str">
        <f>IF($A618="","",INDEX(APOIO!$D:$D,MATCH(CONCATENATE($A618,"_",$B618,"_",$C618),APOIO!$F:$F,0)))</f>
        <v/>
      </c>
      <c r="E618" s="31"/>
      <c r="F618" s="31"/>
      <c r="G618" s="33"/>
      <c r="H618" s="105"/>
      <c r="I618" s="32" t="str">
        <f>IF($A618="","",VLOOKUP($H618,APOIO!$L:$M,2,FALSE))</f>
        <v/>
      </c>
      <c r="J618" s="31"/>
      <c r="K618" s="32" t="str">
        <f>IF($A618="","",VLOOKUP($J618,APOIO!$H:$J,2,FALSE))</f>
        <v/>
      </c>
      <c r="L618" s="32" t="str">
        <f>IF($A618="","",VLOOKUP($J618,APOIO!$H:$J,3,FALSE))</f>
        <v/>
      </c>
      <c r="M618" s="31"/>
      <c r="N618" s="34"/>
      <c r="O618" s="32"/>
      <c r="P618" s="32"/>
      <c r="Q618" s="32"/>
      <c r="R618" s="32"/>
      <c r="S618" s="35"/>
      <c r="T618" s="91"/>
      <c r="U618" s="60"/>
      <c r="V618" s="36"/>
      <c r="W618" s="31"/>
      <c r="X618" s="59"/>
      <c r="Y618" s="59" t="str">
        <f>IFERROR(VLOOKUP($A618,APOIO!$A:$A,1,FALSE),"ERRO")</f>
        <v>ERRO</v>
      </c>
      <c r="Z618"/>
    </row>
    <row r="619" spans="1:26" ht="15" x14ac:dyDescent="0.25">
      <c r="A619" s="94"/>
      <c r="B619" s="32" t="str">
        <f>IF($A619="","",VLOOKUP($A619,APOIO!$A:$E,2,FALSE))</f>
        <v/>
      </c>
      <c r="C619" s="94"/>
      <c r="D619" s="32" t="str">
        <f>IF($A619="","",INDEX(APOIO!$D:$D,MATCH(CONCATENATE($A619,"_",$B619,"_",$C619),APOIO!$F:$F,0)))</f>
        <v/>
      </c>
      <c r="E619" s="31"/>
      <c r="F619" s="31"/>
      <c r="G619" s="33"/>
      <c r="H619" s="105"/>
      <c r="I619" s="32" t="str">
        <f>IF($A619="","",VLOOKUP($H619,APOIO!$L:$M,2,FALSE))</f>
        <v/>
      </c>
      <c r="J619" s="31"/>
      <c r="K619" s="32" t="str">
        <f>IF($A619="","",VLOOKUP($J619,APOIO!$H:$J,2,FALSE))</f>
        <v/>
      </c>
      <c r="L619" s="32" t="str">
        <f>IF($A619="","",VLOOKUP($J619,APOIO!$H:$J,3,FALSE))</f>
        <v/>
      </c>
      <c r="M619" s="31"/>
      <c r="N619" s="34"/>
      <c r="O619" s="32"/>
      <c r="P619" s="32"/>
      <c r="Q619" s="32"/>
      <c r="R619" s="32"/>
      <c r="S619" s="35"/>
      <c r="T619" s="91"/>
      <c r="U619" s="60"/>
      <c r="V619" s="36"/>
      <c r="W619" s="31"/>
      <c r="X619" s="59"/>
      <c r="Y619" s="59" t="str">
        <f>IFERROR(VLOOKUP($A619,APOIO!$A:$A,1,FALSE),"ERRO")</f>
        <v>ERRO</v>
      </c>
      <c r="Z619"/>
    </row>
    <row r="620" spans="1:26" ht="15" x14ac:dyDescent="0.25">
      <c r="A620" s="94"/>
      <c r="B620" s="32" t="str">
        <f>IF($A620="","",VLOOKUP($A620,APOIO!$A:$E,2,FALSE))</f>
        <v/>
      </c>
      <c r="C620" s="94"/>
      <c r="D620" s="32" t="str">
        <f>IF($A620="","",INDEX(APOIO!$D:$D,MATCH(CONCATENATE($A620,"_",$B620,"_",$C620),APOIO!$F:$F,0)))</f>
        <v/>
      </c>
      <c r="E620" s="31"/>
      <c r="F620" s="31"/>
      <c r="G620" s="33"/>
      <c r="H620" s="105"/>
      <c r="I620" s="32" t="str">
        <f>IF($A620="","",VLOOKUP($H620,APOIO!$L:$M,2,FALSE))</f>
        <v/>
      </c>
      <c r="J620" s="31"/>
      <c r="K620" s="32" t="str">
        <f>IF($A620="","",VLOOKUP($J620,APOIO!$H:$J,2,FALSE))</f>
        <v/>
      </c>
      <c r="L620" s="32" t="str">
        <f>IF($A620="","",VLOOKUP($J620,APOIO!$H:$J,3,FALSE))</f>
        <v/>
      </c>
      <c r="M620" s="31"/>
      <c r="N620" s="34"/>
      <c r="O620" s="32"/>
      <c r="P620" s="32"/>
      <c r="Q620" s="32"/>
      <c r="R620" s="32"/>
      <c r="S620" s="35"/>
      <c r="T620" s="91"/>
      <c r="U620" s="60"/>
      <c r="V620" s="36"/>
      <c r="W620" s="31"/>
      <c r="X620" s="59"/>
      <c r="Y620" s="59" t="str">
        <f>IFERROR(VLOOKUP($A620,APOIO!$A:$A,1,FALSE),"ERRO")</f>
        <v>ERRO</v>
      </c>
      <c r="Z620"/>
    </row>
    <row r="621" spans="1:26" ht="15" x14ac:dyDescent="0.25">
      <c r="A621" s="94"/>
      <c r="B621" s="32" t="str">
        <f>IF($A621="","",VLOOKUP($A621,APOIO!$A:$E,2,FALSE))</f>
        <v/>
      </c>
      <c r="C621" s="94"/>
      <c r="D621" s="32" t="str">
        <f>IF($A621="","",INDEX(APOIO!$D:$D,MATCH(CONCATENATE($A621,"_",$B621,"_",$C621),APOIO!$F:$F,0)))</f>
        <v/>
      </c>
      <c r="E621" s="31"/>
      <c r="F621" s="31"/>
      <c r="G621" s="33"/>
      <c r="H621" s="105"/>
      <c r="I621" s="32" t="str">
        <f>IF($A621="","",VLOOKUP($H621,APOIO!$L:$M,2,FALSE))</f>
        <v/>
      </c>
      <c r="J621" s="31"/>
      <c r="K621" s="32" t="str">
        <f>IF($A621="","",VLOOKUP($J621,APOIO!$H:$J,2,FALSE))</f>
        <v/>
      </c>
      <c r="L621" s="32" t="str">
        <f>IF($A621="","",VLOOKUP($J621,APOIO!$H:$J,3,FALSE))</f>
        <v/>
      </c>
      <c r="M621" s="31"/>
      <c r="N621" s="34"/>
      <c r="O621" s="32"/>
      <c r="P621" s="32"/>
      <c r="Q621" s="32"/>
      <c r="R621" s="32"/>
      <c r="S621" s="35"/>
      <c r="T621" s="91"/>
      <c r="U621" s="60"/>
      <c r="V621" s="36"/>
      <c r="W621" s="31"/>
      <c r="X621" s="59"/>
      <c r="Y621" s="59" t="str">
        <f>IFERROR(VLOOKUP($A621,APOIO!$A:$A,1,FALSE),"ERRO")</f>
        <v>ERRO</v>
      </c>
      <c r="Z621"/>
    </row>
    <row r="622" spans="1:26" ht="15" x14ac:dyDescent="0.25">
      <c r="A622" s="94"/>
      <c r="B622" s="32" t="str">
        <f>IF($A622="","",VLOOKUP($A622,APOIO!$A:$E,2,FALSE))</f>
        <v/>
      </c>
      <c r="C622" s="94"/>
      <c r="D622" s="32" t="str">
        <f>IF($A622="","",INDEX(APOIO!$D:$D,MATCH(CONCATENATE($A622,"_",$B622,"_",$C622),APOIO!$F:$F,0)))</f>
        <v/>
      </c>
      <c r="E622" s="31"/>
      <c r="F622" s="31"/>
      <c r="G622" s="33"/>
      <c r="H622" s="105"/>
      <c r="I622" s="32" t="str">
        <f>IF($A622="","",VLOOKUP($H622,APOIO!$L:$M,2,FALSE))</f>
        <v/>
      </c>
      <c r="J622" s="31"/>
      <c r="K622" s="32" t="str">
        <f>IF($A622="","",VLOOKUP($J622,APOIO!$H:$J,2,FALSE))</f>
        <v/>
      </c>
      <c r="L622" s="32" t="str">
        <f>IF($A622="","",VLOOKUP($J622,APOIO!$H:$J,3,FALSE))</f>
        <v/>
      </c>
      <c r="M622" s="31"/>
      <c r="N622" s="34"/>
      <c r="O622" s="32"/>
      <c r="P622" s="32"/>
      <c r="Q622" s="32"/>
      <c r="R622" s="32"/>
      <c r="S622" s="35"/>
      <c r="T622" s="91"/>
      <c r="U622" s="60"/>
      <c r="V622" s="36"/>
      <c r="W622" s="31"/>
      <c r="X622" s="59"/>
      <c r="Y622" s="59" t="str">
        <f>IFERROR(VLOOKUP($A622,APOIO!$A:$A,1,FALSE),"ERRO")</f>
        <v>ERRO</v>
      </c>
      <c r="Z622"/>
    </row>
    <row r="623" spans="1:26" ht="15" x14ac:dyDescent="0.25">
      <c r="A623" s="94"/>
      <c r="B623" s="32" t="str">
        <f>IF($A623="","",VLOOKUP($A623,APOIO!$A:$E,2,FALSE))</f>
        <v/>
      </c>
      <c r="C623" s="94"/>
      <c r="D623" s="32" t="str">
        <f>IF($A623="","",INDEX(APOIO!$D:$D,MATCH(CONCATENATE($A623,"_",$B623,"_",$C623),APOIO!$F:$F,0)))</f>
        <v/>
      </c>
      <c r="E623" s="31"/>
      <c r="F623" s="31"/>
      <c r="G623" s="33"/>
      <c r="H623" s="105"/>
      <c r="I623" s="32" t="str">
        <f>IF($A623="","",VLOOKUP($H623,APOIO!$L:$M,2,FALSE))</f>
        <v/>
      </c>
      <c r="J623" s="31"/>
      <c r="K623" s="32" t="str">
        <f>IF($A623="","",VLOOKUP($J623,APOIO!$H:$J,2,FALSE))</f>
        <v/>
      </c>
      <c r="L623" s="32" t="str">
        <f>IF($A623="","",VLOOKUP($J623,APOIO!$H:$J,3,FALSE))</f>
        <v/>
      </c>
      <c r="M623" s="31"/>
      <c r="N623" s="34"/>
      <c r="O623" s="32"/>
      <c r="P623" s="32"/>
      <c r="Q623" s="32"/>
      <c r="R623" s="32"/>
      <c r="S623" s="35"/>
      <c r="T623" s="91"/>
      <c r="U623" s="60"/>
      <c r="V623" s="36"/>
      <c r="W623" s="31"/>
      <c r="X623" s="59"/>
      <c r="Y623" s="59" t="str">
        <f>IFERROR(VLOOKUP($A623,APOIO!$A:$A,1,FALSE),"ERRO")</f>
        <v>ERRO</v>
      </c>
      <c r="Z623"/>
    </row>
    <row r="624" spans="1:26" ht="15" x14ac:dyDescent="0.25">
      <c r="A624" s="94"/>
      <c r="B624" s="32" t="str">
        <f>IF($A624="","",VLOOKUP($A624,APOIO!$A:$E,2,FALSE))</f>
        <v/>
      </c>
      <c r="C624" s="94"/>
      <c r="D624" s="32" t="str">
        <f>IF($A624="","",INDEX(APOIO!$D:$D,MATCH(CONCATENATE($A624,"_",$B624,"_",$C624),APOIO!$F:$F,0)))</f>
        <v/>
      </c>
      <c r="E624" s="31"/>
      <c r="F624" s="31"/>
      <c r="G624" s="33"/>
      <c r="H624" s="105"/>
      <c r="I624" s="32" t="str">
        <f>IF($A624="","",VLOOKUP($H624,APOIO!$L:$M,2,FALSE))</f>
        <v/>
      </c>
      <c r="J624" s="31"/>
      <c r="K624" s="32" t="str">
        <f>IF($A624="","",VLOOKUP($J624,APOIO!$H:$J,2,FALSE))</f>
        <v/>
      </c>
      <c r="L624" s="32" t="str">
        <f>IF($A624="","",VLOOKUP($J624,APOIO!$H:$J,3,FALSE))</f>
        <v/>
      </c>
      <c r="M624" s="31"/>
      <c r="N624" s="34"/>
      <c r="O624" s="32"/>
      <c r="P624" s="32"/>
      <c r="Q624" s="32"/>
      <c r="R624" s="32"/>
      <c r="S624" s="35"/>
      <c r="T624" s="91"/>
      <c r="U624" s="60"/>
      <c r="V624" s="36"/>
      <c r="W624" s="31"/>
      <c r="X624" s="59"/>
      <c r="Y624" s="59" t="str">
        <f>IFERROR(VLOOKUP($A624,APOIO!$A:$A,1,FALSE),"ERRO")</f>
        <v>ERRO</v>
      </c>
      <c r="Z624"/>
    </row>
    <row r="625" spans="1:26" ht="15" x14ac:dyDescent="0.25">
      <c r="A625" s="94"/>
      <c r="B625" s="32" t="str">
        <f>IF($A625="","",VLOOKUP($A625,APOIO!$A:$E,2,FALSE))</f>
        <v/>
      </c>
      <c r="C625" s="94"/>
      <c r="D625" s="32" t="str">
        <f>IF($A625="","",INDEX(APOIO!$D:$D,MATCH(CONCATENATE($A625,"_",$B625,"_",$C625),APOIO!$F:$F,0)))</f>
        <v/>
      </c>
      <c r="E625" s="31"/>
      <c r="F625" s="31"/>
      <c r="G625" s="33"/>
      <c r="H625" s="105"/>
      <c r="I625" s="32" t="str">
        <f>IF($A625="","",VLOOKUP($H625,APOIO!$L:$M,2,FALSE))</f>
        <v/>
      </c>
      <c r="J625" s="31"/>
      <c r="K625" s="32" t="str">
        <f>IF($A625="","",VLOOKUP($J625,APOIO!$H:$J,2,FALSE))</f>
        <v/>
      </c>
      <c r="L625" s="32" t="str">
        <f>IF($A625="","",VLOOKUP($J625,APOIO!$H:$J,3,FALSE))</f>
        <v/>
      </c>
      <c r="M625" s="31"/>
      <c r="N625" s="34"/>
      <c r="O625" s="32"/>
      <c r="P625" s="32"/>
      <c r="Q625" s="32"/>
      <c r="R625" s="32"/>
      <c r="S625" s="35"/>
      <c r="T625" s="91"/>
      <c r="U625" s="60"/>
      <c r="V625" s="36"/>
      <c r="W625" s="31"/>
      <c r="X625" s="59"/>
      <c r="Y625" s="59" t="str">
        <f>IFERROR(VLOOKUP($A625,APOIO!$A:$A,1,FALSE),"ERRO")</f>
        <v>ERRO</v>
      </c>
      <c r="Z625"/>
    </row>
    <row r="626" spans="1:26" ht="15" x14ac:dyDescent="0.25">
      <c r="A626" s="94"/>
      <c r="B626" s="32" t="str">
        <f>IF($A626="","",VLOOKUP($A626,APOIO!$A:$E,2,FALSE))</f>
        <v/>
      </c>
      <c r="C626" s="94"/>
      <c r="D626" s="32" t="str">
        <f>IF($A626="","",INDEX(APOIO!$D:$D,MATCH(CONCATENATE($A626,"_",$B626,"_",$C626),APOIO!$F:$F,0)))</f>
        <v/>
      </c>
      <c r="E626" s="31"/>
      <c r="F626" s="31"/>
      <c r="G626" s="33"/>
      <c r="H626" s="105"/>
      <c r="I626" s="32" t="str">
        <f>IF($A626="","",VLOOKUP($H626,APOIO!$L:$M,2,FALSE))</f>
        <v/>
      </c>
      <c r="J626" s="31"/>
      <c r="K626" s="32" t="str">
        <f>IF($A626="","",VLOOKUP($J626,APOIO!$H:$J,2,FALSE))</f>
        <v/>
      </c>
      <c r="L626" s="32" t="str">
        <f>IF($A626="","",VLOOKUP($J626,APOIO!$H:$J,3,FALSE))</f>
        <v/>
      </c>
      <c r="M626" s="31"/>
      <c r="N626" s="34"/>
      <c r="O626" s="32"/>
      <c r="P626" s="32"/>
      <c r="Q626" s="32"/>
      <c r="R626" s="32"/>
      <c r="S626" s="35"/>
      <c r="T626" s="91"/>
      <c r="U626" s="60"/>
      <c r="V626" s="36"/>
      <c r="W626" s="31"/>
      <c r="X626" s="59"/>
      <c r="Y626" s="59" t="str">
        <f>IFERROR(VLOOKUP($A626,APOIO!$A:$A,1,FALSE),"ERRO")</f>
        <v>ERRO</v>
      </c>
      <c r="Z626"/>
    </row>
    <row r="627" spans="1:26" ht="15" x14ac:dyDescent="0.25">
      <c r="A627" s="94"/>
      <c r="B627" s="32" t="str">
        <f>IF($A627="","",VLOOKUP($A627,APOIO!$A:$E,2,FALSE))</f>
        <v/>
      </c>
      <c r="C627" s="94"/>
      <c r="D627" s="32" t="str">
        <f>IF($A627="","",INDEX(APOIO!$D:$D,MATCH(CONCATENATE($A627,"_",$B627,"_",$C627),APOIO!$F:$F,0)))</f>
        <v/>
      </c>
      <c r="E627" s="31"/>
      <c r="F627" s="31"/>
      <c r="G627" s="33"/>
      <c r="H627" s="105"/>
      <c r="I627" s="32" t="str">
        <f>IF($A627="","",VLOOKUP($H627,APOIO!$L:$M,2,FALSE))</f>
        <v/>
      </c>
      <c r="J627" s="31"/>
      <c r="K627" s="32" t="str">
        <f>IF($A627="","",VLOOKUP($J627,APOIO!$H:$J,2,FALSE))</f>
        <v/>
      </c>
      <c r="L627" s="32" t="str">
        <f>IF($A627="","",VLOOKUP($J627,APOIO!$H:$J,3,FALSE))</f>
        <v/>
      </c>
      <c r="M627" s="31"/>
      <c r="N627" s="34"/>
      <c r="O627" s="32"/>
      <c r="P627" s="32"/>
      <c r="Q627" s="32"/>
      <c r="R627" s="32"/>
      <c r="S627" s="35"/>
      <c r="T627" s="91"/>
      <c r="U627" s="60"/>
      <c r="V627" s="36"/>
      <c r="W627" s="31"/>
      <c r="X627" s="59"/>
      <c r="Y627" s="59" t="str">
        <f>IFERROR(VLOOKUP($A627,APOIO!$A:$A,1,FALSE),"ERRO")</f>
        <v>ERRO</v>
      </c>
      <c r="Z627"/>
    </row>
    <row r="628" spans="1:26" ht="15" x14ac:dyDescent="0.25">
      <c r="A628" s="94"/>
      <c r="B628" s="32" t="str">
        <f>IF($A628="","",VLOOKUP($A628,APOIO!$A:$E,2,FALSE))</f>
        <v/>
      </c>
      <c r="C628" s="94"/>
      <c r="D628" s="32" t="str">
        <f>IF($A628="","",INDEX(APOIO!$D:$D,MATCH(CONCATENATE($A628,"_",$B628,"_",$C628),APOIO!$F:$F,0)))</f>
        <v/>
      </c>
      <c r="E628" s="31"/>
      <c r="F628" s="31"/>
      <c r="G628" s="33"/>
      <c r="H628" s="105"/>
      <c r="I628" s="32" t="str">
        <f>IF($A628="","",VLOOKUP($H628,APOIO!$L:$M,2,FALSE))</f>
        <v/>
      </c>
      <c r="J628" s="31"/>
      <c r="K628" s="32" t="str">
        <f>IF($A628="","",VLOOKUP($J628,APOIO!$H:$J,2,FALSE))</f>
        <v/>
      </c>
      <c r="L628" s="32" t="str">
        <f>IF($A628="","",VLOOKUP($J628,APOIO!$H:$J,3,FALSE))</f>
        <v/>
      </c>
      <c r="M628" s="31"/>
      <c r="N628" s="34"/>
      <c r="O628" s="32"/>
      <c r="P628" s="32"/>
      <c r="Q628" s="32"/>
      <c r="R628" s="32"/>
      <c r="S628" s="35"/>
      <c r="T628" s="91"/>
      <c r="U628" s="60"/>
      <c r="V628" s="36"/>
      <c r="W628" s="31"/>
      <c r="X628" s="59"/>
      <c r="Y628" s="59" t="str">
        <f>IFERROR(VLOOKUP($A628,APOIO!$A:$A,1,FALSE),"ERRO")</f>
        <v>ERRO</v>
      </c>
      <c r="Z628"/>
    </row>
    <row r="629" spans="1:26" ht="15" x14ac:dyDescent="0.25">
      <c r="A629" s="94"/>
      <c r="B629" s="32" t="str">
        <f>IF($A629="","",VLOOKUP($A629,APOIO!$A:$E,2,FALSE))</f>
        <v/>
      </c>
      <c r="C629" s="94"/>
      <c r="D629" s="32" t="str">
        <f>IF($A629="","",INDEX(APOIO!$D:$D,MATCH(CONCATENATE($A629,"_",$B629,"_",$C629),APOIO!$F:$F,0)))</f>
        <v/>
      </c>
      <c r="E629" s="31"/>
      <c r="F629" s="31"/>
      <c r="G629" s="33"/>
      <c r="H629" s="105"/>
      <c r="I629" s="32" t="str">
        <f>IF($A629="","",VLOOKUP($H629,APOIO!$L:$M,2,FALSE))</f>
        <v/>
      </c>
      <c r="J629" s="31"/>
      <c r="K629" s="32" t="str">
        <f>IF($A629="","",VLOOKUP($J629,APOIO!$H:$J,2,FALSE))</f>
        <v/>
      </c>
      <c r="L629" s="32" t="str">
        <f>IF($A629="","",VLOOKUP($J629,APOIO!$H:$J,3,FALSE))</f>
        <v/>
      </c>
      <c r="M629" s="31"/>
      <c r="N629" s="34"/>
      <c r="O629" s="32"/>
      <c r="P629" s="32"/>
      <c r="Q629" s="32"/>
      <c r="R629" s="32"/>
      <c r="S629" s="35"/>
      <c r="T629" s="91"/>
      <c r="U629" s="60"/>
      <c r="V629" s="36"/>
      <c r="W629" s="31"/>
      <c r="X629" s="59"/>
      <c r="Y629" s="59" t="str">
        <f>IFERROR(VLOOKUP($A629,APOIO!$A:$A,1,FALSE),"ERRO")</f>
        <v>ERRO</v>
      </c>
      <c r="Z629"/>
    </row>
    <row r="630" spans="1:26" ht="15" x14ac:dyDescent="0.25">
      <c r="A630" s="94"/>
      <c r="B630" s="32" t="str">
        <f>IF($A630="","",VLOOKUP($A630,APOIO!$A:$E,2,FALSE))</f>
        <v/>
      </c>
      <c r="C630" s="94"/>
      <c r="D630" s="32" t="str">
        <f>IF($A630="","",INDEX(APOIO!$D:$D,MATCH(CONCATENATE($A630,"_",$B630,"_",$C630),APOIO!$F:$F,0)))</f>
        <v/>
      </c>
      <c r="E630" s="31"/>
      <c r="F630" s="31"/>
      <c r="G630" s="33"/>
      <c r="H630" s="105"/>
      <c r="I630" s="32" t="str">
        <f>IF($A630="","",VLOOKUP($H630,APOIO!$L:$M,2,FALSE))</f>
        <v/>
      </c>
      <c r="J630" s="31"/>
      <c r="K630" s="32" t="str">
        <f>IF($A630="","",VLOOKUP($J630,APOIO!$H:$J,2,FALSE))</f>
        <v/>
      </c>
      <c r="L630" s="32" t="str">
        <f>IF($A630="","",VLOOKUP($J630,APOIO!$H:$J,3,FALSE))</f>
        <v/>
      </c>
      <c r="M630" s="31"/>
      <c r="N630" s="34"/>
      <c r="O630" s="32"/>
      <c r="P630" s="32"/>
      <c r="Q630" s="32"/>
      <c r="R630" s="32"/>
      <c r="S630" s="35"/>
      <c r="T630" s="91"/>
      <c r="U630" s="60"/>
      <c r="V630" s="36"/>
      <c r="W630" s="31"/>
      <c r="X630" s="59"/>
      <c r="Y630" s="59" t="str">
        <f>IFERROR(VLOOKUP($A630,APOIO!$A:$A,1,FALSE),"ERRO")</f>
        <v>ERRO</v>
      </c>
      <c r="Z630"/>
    </row>
    <row r="631" spans="1:26" ht="15" x14ac:dyDescent="0.25">
      <c r="A631" s="94"/>
      <c r="B631" s="32" t="str">
        <f>IF($A631="","",VLOOKUP($A631,APOIO!$A:$E,2,FALSE))</f>
        <v/>
      </c>
      <c r="C631" s="94"/>
      <c r="D631" s="32" t="str">
        <f>IF($A631="","",INDEX(APOIO!$D:$D,MATCH(CONCATENATE($A631,"_",$B631,"_",$C631),APOIO!$F:$F,0)))</f>
        <v/>
      </c>
      <c r="E631" s="31"/>
      <c r="F631" s="31"/>
      <c r="G631" s="33"/>
      <c r="H631" s="105"/>
      <c r="I631" s="32" t="str">
        <f>IF($A631="","",VLOOKUP($H631,APOIO!$L:$M,2,FALSE))</f>
        <v/>
      </c>
      <c r="J631" s="31"/>
      <c r="K631" s="32" t="str">
        <f>IF($A631="","",VLOOKUP($J631,APOIO!$H:$J,2,FALSE))</f>
        <v/>
      </c>
      <c r="L631" s="32" t="str">
        <f>IF($A631="","",VLOOKUP($J631,APOIO!$H:$J,3,FALSE))</f>
        <v/>
      </c>
      <c r="M631" s="31"/>
      <c r="N631" s="34"/>
      <c r="O631" s="32"/>
      <c r="P631" s="32"/>
      <c r="Q631" s="32"/>
      <c r="R631" s="32"/>
      <c r="S631" s="35"/>
      <c r="T631" s="91"/>
      <c r="U631" s="60"/>
      <c r="V631" s="36"/>
      <c r="W631" s="31"/>
      <c r="X631" s="59"/>
      <c r="Y631" s="59" t="str">
        <f>IFERROR(VLOOKUP($A631,APOIO!$A:$A,1,FALSE),"ERRO")</f>
        <v>ERRO</v>
      </c>
      <c r="Z631"/>
    </row>
    <row r="632" spans="1:26" ht="15" x14ac:dyDescent="0.25">
      <c r="A632" s="94"/>
      <c r="B632" s="32" t="str">
        <f>IF($A632="","",VLOOKUP($A632,APOIO!$A:$E,2,FALSE))</f>
        <v/>
      </c>
      <c r="C632" s="94"/>
      <c r="D632" s="32" t="str">
        <f>IF($A632="","",INDEX(APOIO!$D:$D,MATCH(CONCATENATE($A632,"_",$B632,"_",$C632),APOIO!$F:$F,0)))</f>
        <v/>
      </c>
      <c r="E632" s="31"/>
      <c r="F632" s="31"/>
      <c r="G632" s="33"/>
      <c r="H632" s="105"/>
      <c r="I632" s="32" t="str">
        <f>IF($A632="","",VLOOKUP($H632,APOIO!$L:$M,2,FALSE))</f>
        <v/>
      </c>
      <c r="J632" s="31"/>
      <c r="K632" s="32" t="str">
        <f>IF($A632="","",VLOOKUP($J632,APOIO!$H:$J,2,FALSE))</f>
        <v/>
      </c>
      <c r="L632" s="32" t="str">
        <f>IF($A632="","",VLOOKUP($J632,APOIO!$H:$J,3,FALSE))</f>
        <v/>
      </c>
      <c r="M632" s="31"/>
      <c r="N632" s="34"/>
      <c r="O632" s="32"/>
      <c r="P632" s="32"/>
      <c r="Q632" s="32"/>
      <c r="R632" s="32"/>
      <c r="S632" s="35"/>
      <c r="T632" s="91"/>
      <c r="U632" s="60"/>
      <c r="V632" s="36"/>
      <c r="W632" s="31"/>
      <c r="X632" s="59"/>
      <c r="Y632" s="59" t="str">
        <f>IFERROR(VLOOKUP($A632,APOIO!$A:$A,1,FALSE),"ERRO")</f>
        <v>ERRO</v>
      </c>
      <c r="Z632"/>
    </row>
    <row r="633" spans="1:26" ht="15" x14ac:dyDescent="0.25">
      <c r="A633" s="94"/>
      <c r="B633" s="32" t="str">
        <f>IF($A633="","",VLOOKUP($A633,APOIO!$A:$E,2,FALSE))</f>
        <v/>
      </c>
      <c r="C633" s="94"/>
      <c r="D633" s="32" t="str">
        <f>IF($A633="","",INDEX(APOIO!$D:$D,MATCH(CONCATENATE($A633,"_",$B633,"_",$C633),APOIO!$F:$F,0)))</f>
        <v/>
      </c>
      <c r="E633" s="31"/>
      <c r="F633" s="31"/>
      <c r="G633" s="33"/>
      <c r="H633" s="105"/>
      <c r="I633" s="32" t="str">
        <f>IF($A633="","",VLOOKUP($H633,APOIO!$L:$M,2,FALSE))</f>
        <v/>
      </c>
      <c r="J633" s="31"/>
      <c r="K633" s="32" t="str">
        <f>IF($A633="","",VLOOKUP($J633,APOIO!$H:$J,2,FALSE))</f>
        <v/>
      </c>
      <c r="L633" s="32" t="str">
        <f>IF($A633="","",VLOOKUP($J633,APOIO!$H:$J,3,FALSE))</f>
        <v/>
      </c>
      <c r="M633" s="31"/>
      <c r="N633" s="34"/>
      <c r="O633" s="32"/>
      <c r="P633" s="32"/>
      <c r="Q633" s="32"/>
      <c r="R633" s="32"/>
      <c r="S633" s="35"/>
      <c r="T633" s="91"/>
      <c r="U633" s="60"/>
      <c r="V633" s="36"/>
      <c r="W633" s="31"/>
      <c r="X633" s="59"/>
      <c r="Y633" s="59" t="str">
        <f>IFERROR(VLOOKUP($A633,APOIO!$A:$A,1,FALSE),"ERRO")</f>
        <v>ERRO</v>
      </c>
      <c r="Z633"/>
    </row>
    <row r="634" spans="1:26" ht="15" x14ac:dyDescent="0.25">
      <c r="A634" s="94"/>
      <c r="B634" s="32" t="str">
        <f>IF($A634="","",VLOOKUP($A634,APOIO!$A:$E,2,FALSE))</f>
        <v/>
      </c>
      <c r="C634" s="94"/>
      <c r="D634" s="32" t="str">
        <f>IF($A634="","",INDEX(APOIO!$D:$D,MATCH(CONCATENATE($A634,"_",$B634,"_",$C634),APOIO!$F:$F,0)))</f>
        <v/>
      </c>
      <c r="E634" s="31"/>
      <c r="F634" s="31"/>
      <c r="G634" s="33"/>
      <c r="H634" s="105"/>
      <c r="I634" s="32" t="str">
        <f>IF($A634="","",VLOOKUP($H634,APOIO!$L:$M,2,FALSE))</f>
        <v/>
      </c>
      <c r="J634" s="31"/>
      <c r="K634" s="32" t="str">
        <f>IF($A634="","",VLOOKUP($J634,APOIO!$H:$J,2,FALSE))</f>
        <v/>
      </c>
      <c r="L634" s="32" t="str">
        <f>IF($A634="","",VLOOKUP($J634,APOIO!$H:$J,3,FALSE))</f>
        <v/>
      </c>
      <c r="M634" s="31"/>
      <c r="N634" s="34"/>
      <c r="O634" s="32"/>
      <c r="P634" s="32"/>
      <c r="Q634" s="32"/>
      <c r="R634" s="32"/>
      <c r="S634" s="35"/>
      <c r="T634" s="91"/>
      <c r="U634" s="60"/>
      <c r="V634" s="36"/>
      <c r="W634" s="31"/>
      <c r="X634" s="59"/>
      <c r="Y634" s="59" t="str">
        <f>IFERROR(VLOOKUP($A634,APOIO!$A:$A,1,FALSE),"ERRO")</f>
        <v>ERRO</v>
      </c>
      <c r="Z634"/>
    </row>
    <row r="635" spans="1:26" ht="15" x14ac:dyDescent="0.25">
      <c r="A635" s="94"/>
      <c r="B635" s="32" t="str">
        <f>IF($A635="","",VLOOKUP($A635,APOIO!$A:$E,2,FALSE))</f>
        <v/>
      </c>
      <c r="C635" s="94"/>
      <c r="D635" s="32" t="str">
        <f>IF($A635="","",INDEX(APOIO!$D:$D,MATCH(CONCATENATE($A635,"_",$B635,"_",$C635),APOIO!$F:$F,0)))</f>
        <v/>
      </c>
      <c r="E635" s="31"/>
      <c r="F635" s="31"/>
      <c r="G635" s="33"/>
      <c r="H635" s="105"/>
      <c r="I635" s="32" t="str">
        <f>IF($A635="","",VLOOKUP($H635,APOIO!$L:$M,2,FALSE))</f>
        <v/>
      </c>
      <c r="J635" s="31"/>
      <c r="K635" s="32" t="str">
        <f>IF($A635="","",VLOOKUP($J635,APOIO!$H:$J,2,FALSE))</f>
        <v/>
      </c>
      <c r="L635" s="32" t="str">
        <f>IF($A635="","",VLOOKUP($J635,APOIO!$H:$J,3,FALSE))</f>
        <v/>
      </c>
      <c r="M635" s="31"/>
      <c r="N635" s="34"/>
      <c r="O635" s="32"/>
      <c r="P635" s="32"/>
      <c r="Q635" s="32"/>
      <c r="R635" s="32"/>
      <c r="S635" s="35"/>
      <c r="T635" s="91"/>
      <c r="U635" s="60"/>
      <c r="V635" s="36"/>
      <c r="W635" s="31"/>
      <c r="X635" s="59"/>
      <c r="Y635" s="59" t="str">
        <f>IFERROR(VLOOKUP($A635,APOIO!$A:$A,1,FALSE),"ERRO")</f>
        <v>ERRO</v>
      </c>
      <c r="Z635"/>
    </row>
    <row r="636" spans="1:26" ht="15" x14ac:dyDescent="0.25">
      <c r="A636" s="94"/>
      <c r="B636" s="32" t="str">
        <f>IF($A636="","",VLOOKUP($A636,APOIO!$A:$E,2,FALSE))</f>
        <v/>
      </c>
      <c r="C636" s="94"/>
      <c r="D636" s="32" t="str">
        <f>IF($A636="","",INDEX(APOIO!$D:$D,MATCH(CONCATENATE($A636,"_",$B636,"_",$C636),APOIO!$F:$F,0)))</f>
        <v/>
      </c>
      <c r="E636" s="31"/>
      <c r="F636" s="31"/>
      <c r="G636" s="33"/>
      <c r="H636" s="105"/>
      <c r="I636" s="32" t="str">
        <f>IF($A636="","",VLOOKUP($H636,APOIO!$L:$M,2,FALSE))</f>
        <v/>
      </c>
      <c r="J636" s="31"/>
      <c r="K636" s="32" t="str">
        <f>IF($A636="","",VLOOKUP($J636,APOIO!$H:$J,2,FALSE))</f>
        <v/>
      </c>
      <c r="L636" s="32" t="str">
        <f>IF($A636="","",VLOOKUP($J636,APOIO!$H:$J,3,FALSE))</f>
        <v/>
      </c>
      <c r="M636" s="31"/>
      <c r="N636" s="34"/>
      <c r="O636" s="32"/>
      <c r="P636" s="32"/>
      <c r="Q636" s="32"/>
      <c r="R636" s="32"/>
      <c r="S636" s="35"/>
      <c r="T636" s="91"/>
      <c r="U636" s="60"/>
      <c r="V636" s="36"/>
      <c r="W636" s="31"/>
      <c r="X636" s="59"/>
      <c r="Y636" s="59" t="str">
        <f>IFERROR(VLOOKUP($A636,APOIO!$A:$A,1,FALSE),"ERRO")</f>
        <v>ERRO</v>
      </c>
      <c r="Z636"/>
    </row>
    <row r="637" spans="1:26" ht="15" x14ac:dyDescent="0.25">
      <c r="A637" s="94"/>
      <c r="B637" s="32" t="str">
        <f>IF($A637="","",VLOOKUP($A637,APOIO!$A:$E,2,FALSE))</f>
        <v/>
      </c>
      <c r="C637" s="94"/>
      <c r="D637" s="32" t="str">
        <f>IF($A637="","",INDEX(APOIO!$D:$D,MATCH(CONCATENATE($A637,"_",$B637,"_",$C637),APOIO!$F:$F,0)))</f>
        <v/>
      </c>
      <c r="E637" s="31"/>
      <c r="F637" s="31"/>
      <c r="G637" s="33"/>
      <c r="H637" s="105"/>
      <c r="I637" s="32" t="str">
        <f>IF($A637="","",VLOOKUP($H637,APOIO!$L:$M,2,FALSE))</f>
        <v/>
      </c>
      <c r="J637" s="31"/>
      <c r="K637" s="32" t="str">
        <f>IF($A637="","",VLOOKUP($J637,APOIO!$H:$J,2,FALSE))</f>
        <v/>
      </c>
      <c r="L637" s="32" t="str">
        <f>IF($A637="","",VLOOKUP($J637,APOIO!$H:$J,3,FALSE))</f>
        <v/>
      </c>
      <c r="M637" s="31"/>
      <c r="N637" s="34"/>
      <c r="O637" s="32"/>
      <c r="P637" s="32"/>
      <c r="Q637" s="32"/>
      <c r="R637" s="32"/>
      <c r="S637" s="35"/>
      <c r="T637" s="91"/>
      <c r="U637" s="60"/>
      <c r="V637" s="36"/>
      <c r="W637" s="31"/>
      <c r="X637" s="59"/>
      <c r="Y637" s="59" t="str">
        <f>IFERROR(VLOOKUP($A637,APOIO!$A:$A,1,FALSE),"ERRO")</f>
        <v>ERRO</v>
      </c>
      <c r="Z637"/>
    </row>
    <row r="638" spans="1:26" ht="15" x14ac:dyDescent="0.25">
      <c r="A638" s="94"/>
      <c r="B638" s="32" t="str">
        <f>IF($A638="","",VLOOKUP($A638,APOIO!$A:$E,2,FALSE))</f>
        <v/>
      </c>
      <c r="C638" s="94"/>
      <c r="D638" s="32" t="str">
        <f>IF($A638="","",INDEX(APOIO!$D:$D,MATCH(CONCATENATE($A638,"_",$B638,"_",$C638),APOIO!$F:$F,0)))</f>
        <v/>
      </c>
      <c r="E638" s="31"/>
      <c r="F638" s="31"/>
      <c r="G638" s="33"/>
      <c r="H638" s="105"/>
      <c r="I638" s="32" t="str">
        <f>IF($A638="","",VLOOKUP($H638,APOIO!$L:$M,2,FALSE))</f>
        <v/>
      </c>
      <c r="J638" s="31"/>
      <c r="K638" s="32" t="str">
        <f>IF($A638="","",VLOOKUP($J638,APOIO!$H:$J,2,FALSE))</f>
        <v/>
      </c>
      <c r="L638" s="32" t="str">
        <f>IF($A638="","",VLOOKUP($J638,APOIO!$H:$J,3,FALSE))</f>
        <v/>
      </c>
      <c r="M638" s="31"/>
      <c r="N638" s="34"/>
      <c r="O638" s="32"/>
      <c r="P638" s="32"/>
      <c r="Q638" s="32"/>
      <c r="R638" s="32"/>
      <c r="S638" s="35"/>
      <c r="T638" s="91"/>
      <c r="U638" s="60"/>
      <c r="V638" s="36"/>
      <c r="W638" s="31"/>
      <c r="X638" s="59"/>
      <c r="Y638" s="59" t="str">
        <f>IFERROR(VLOOKUP($A638,APOIO!$A:$A,1,FALSE),"ERRO")</f>
        <v>ERRO</v>
      </c>
      <c r="Z638"/>
    </row>
    <row r="639" spans="1:26" ht="15" x14ac:dyDescent="0.25">
      <c r="A639" s="94"/>
      <c r="B639" s="32" t="str">
        <f>IF($A639="","",VLOOKUP($A639,APOIO!$A:$E,2,FALSE))</f>
        <v/>
      </c>
      <c r="C639" s="94"/>
      <c r="D639" s="32" t="str">
        <f>IF($A639="","",INDEX(APOIO!$D:$D,MATCH(CONCATENATE($A639,"_",$B639,"_",$C639),APOIO!$F:$F,0)))</f>
        <v/>
      </c>
      <c r="E639" s="31"/>
      <c r="F639" s="31"/>
      <c r="G639" s="33"/>
      <c r="H639" s="105"/>
      <c r="I639" s="32" t="str">
        <f>IF($A639="","",VLOOKUP($H639,APOIO!$L:$M,2,FALSE))</f>
        <v/>
      </c>
      <c r="J639" s="31"/>
      <c r="K639" s="32" t="str">
        <f>IF($A639="","",VLOOKUP($J639,APOIO!$H:$J,2,FALSE))</f>
        <v/>
      </c>
      <c r="L639" s="32" t="str">
        <f>IF($A639="","",VLOOKUP($J639,APOIO!$H:$J,3,FALSE))</f>
        <v/>
      </c>
      <c r="M639" s="31"/>
      <c r="N639" s="34"/>
      <c r="O639" s="32"/>
      <c r="P639" s="32"/>
      <c r="Q639" s="32"/>
      <c r="R639" s="32"/>
      <c r="S639" s="35"/>
      <c r="T639" s="91"/>
      <c r="U639" s="60"/>
      <c r="V639" s="36"/>
      <c r="W639" s="31"/>
      <c r="X639" s="59"/>
      <c r="Y639" s="59" t="str">
        <f>IFERROR(VLOOKUP($A639,APOIO!$A:$A,1,FALSE),"ERRO")</f>
        <v>ERRO</v>
      </c>
      <c r="Z639"/>
    </row>
    <row r="640" spans="1:26" ht="15" x14ac:dyDescent="0.25">
      <c r="A640" s="94"/>
      <c r="B640" s="32" t="str">
        <f>IF($A640="","",VLOOKUP($A640,APOIO!$A:$E,2,FALSE))</f>
        <v/>
      </c>
      <c r="C640" s="94"/>
      <c r="D640" s="32" t="str">
        <f>IF($A640="","",INDEX(APOIO!$D:$D,MATCH(CONCATENATE($A640,"_",$B640,"_",$C640),APOIO!$F:$F,0)))</f>
        <v/>
      </c>
      <c r="E640" s="31"/>
      <c r="F640" s="31"/>
      <c r="G640" s="33"/>
      <c r="H640" s="105"/>
      <c r="I640" s="32" t="str">
        <f>IF($A640="","",VLOOKUP($H640,APOIO!$L:$M,2,FALSE))</f>
        <v/>
      </c>
      <c r="J640" s="31"/>
      <c r="K640" s="32" t="str">
        <f>IF($A640="","",VLOOKUP($J640,APOIO!$H:$J,2,FALSE))</f>
        <v/>
      </c>
      <c r="L640" s="32" t="str">
        <f>IF($A640="","",VLOOKUP($J640,APOIO!$H:$J,3,FALSE))</f>
        <v/>
      </c>
      <c r="M640" s="31"/>
      <c r="N640" s="34"/>
      <c r="O640" s="32"/>
      <c r="P640" s="32"/>
      <c r="Q640" s="32"/>
      <c r="R640" s="32"/>
      <c r="S640" s="35"/>
      <c r="T640" s="91"/>
      <c r="U640" s="60"/>
      <c r="V640" s="36"/>
      <c r="W640" s="31"/>
      <c r="X640" s="59"/>
      <c r="Y640" s="59" t="str">
        <f>IFERROR(VLOOKUP($A640,APOIO!$A:$A,1,FALSE),"ERRO")</f>
        <v>ERRO</v>
      </c>
      <c r="Z640"/>
    </row>
    <row r="641" spans="1:26" ht="15" x14ac:dyDescent="0.25">
      <c r="A641" s="94"/>
      <c r="B641" s="32" t="str">
        <f>IF($A641="","",VLOOKUP($A641,APOIO!$A:$E,2,FALSE))</f>
        <v/>
      </c>
      <c r="C641" s="94"/>
      <c r="D641" s="32" t="str">
        <f>IF($A641="","",INDEX(APOIO!$D:$D,MATCH(CONCATENATE($A641,"_",$B641,"_",$C641),APOIO!$F:$F,0)))</f>
        <v/>
      </c>
      <c r="E641" s="31"/>
      <c r="F641" s="31"/>
      <c r="G641" s="33"/>
      <c r="H641" s="105"/>
      <c r="I641" s="32" t="str">
        <f>IF($A641="","",VLOOKUP($H641,APOIO!$L:$M,2,FALSE))</f>
        <v/>
      </c>
      <c r="J641" s="31"/>
      <c r="K641" s="32" t="str">
        <f>IF($A641="","",VLOOKUP($J641,APOIO!$H:$J,2,FALSE))</f>
        <v/>
      </c>
      <c r="L641" s="32" t="str">
        <f>IF($A641="","",VLOOKUP($J641,APOIO!$H:$J,3,FALSE))</f>
        <v/>
      </c>
      <c r="M641" s="31"/>
      <c r="N641" s="34"/>
      <c r="O641" s="32"/>
      <c r="P641" s="32"/>
      <c r="Q641" s="32"/>
      <c r="R641" s="32"/>
      <c r="S641" s="35"/>
      <c r="T641" s="91"/>
      <c r="U641" s="60"/>
      <c r="V641" s="36"/>
      <c r="W641" s="31"/>
      <c r="X641" s="59"/>
      <c r="Y641" s="59" t="str">
        <f>IFERROR(VLOOKUP($A641,APOIO!$A:$A,1,FALSE),"ERRO")</f>
        <v>ERRO</v>
      </c>
      <c r="Z641"/>
    </row>
    <row r="642" spans="1:26" ht="15" x14ac:dyDescent="0.25">
      <c r="A642" s="94"/>
      <c r="B642" s="32" t="str">
        <f>IF($A642="","",VLOOKUP($A642,APOIO!$A:$E,2,FALSE))</f>
        <v/>
      </c>
      <c r="C642" s="94"/>
      <c r="D642" s="32" t="str">
        <f>IF($A642="","",INDEX(APOIO!$D:$D,MATCH(CONCATENATE($A642,"_",$B642,"_",$C642),APOIO!$F:$F,0)))</f>
        <v/>
      </c>
      <c r="E642" s="31"/>
      <c r="F642" s="31"/>
      <c r="G642" s="33"/>
      <c r="H642" s="105"/>
      <c r="I642" s="32" t="str">
        <f>IF($A642="","",VLOOKUP($H642,APOIO!$L:$M,2,FALSE))</f>
        <v/>
      </c>
      <c r="J642" s="31"/>
      <c r="K642" s="32" t="str">
        <f>IF($A642="","",VLOOKUP($J642,APOIO!$H:$J,2,FALSE))</f>
        <v/>
      </c>
      <c r="L642" s="32" t="str">
        <f>IF($A642="","",VLOOKUP($J642,APOIO!$H:$J,3,FALSE))</f>
        <v/>
      </c>
      <c r="M642" s="31"/>
      <c r="N642" s="34"/>
      <c r="O642" s="32"/>
      <c r="P642" s="32"/>
      <c r="Q642" s="32"/>
      <c r="R642" s="32"/>
      <c r="S642" s="35"/>
      <c r="T642" s="91"/>
      <c r="U642" s="60"/>
      <c r="V642" s="36"/>
      <c r="W642" s="31"/>
      <c r="X642" s="59"/>
      <c r="Y642" s="59" t="str">
        <f>IFERROR(VLOOKUP($A642,APOIO!$A:$A,1,FALSE),"ERRO")</f>
        <v>ERRO</v>
      </c>
      <c r="Z642"/>
    </row>
    <row r="643" spans="1:26" ht="15" x14ac:dyDescent="0.25">
      <c r="A643" s="94"/>
      <c r="B643" s="32" t="str">
        <f>IF($A643="","",VLOOKUP($A643,APOIO!$A:$E,2,FALSE))</f>
        <v/>
      </c>
      <c r="C643" s="94"/>
      <c r="D643" s="32" t="str">
        <f>IF($A643="","",INDEX(APOIO!$D:$D,MATCH(CONCATENATE($A643,"_",$B643,"_",$C643),APOIO!$F:$F,0)))</f>
        <v/>
      </c>
      <c r="E643" s="31"/>
      <c r="F643" s="31"/>
      <c r="G643" s="33"/>
      <c r="H643" s="105"/>
      <c r="I643" s="32" t="str">
        <f>IF($A643="","",VLOOKUP($H643,APOIO!$L:$M,2,FALSE))</f>
        <v/>
      </c>
      <c r="J643" s="31"/>
      <c r="K643" s="32" t="str">
        <f>IF($A643="","",VLOOKUP($J643,APOIO!$H:$J,2,FALSE))</f>
        <v/>
      </c>
      <c r="L643" s="32" t="str">
        <f>IF($A643="","",VLOOKUP($J643,APOIO!$H:$J,3,FALSE))</f>
        <v/>
      </c>
      <c r="M643" s="31"/>
      <c r="N643" s="34"/>
      <c r="O643" s="32"/>
      <c r="P643" s="32"/>
      <c r="Q643" s="32"/>
      <c r="R643" s="32"/>
      <c r="S643" s="35"/>
      <c r="T643" s="91"/>
      <c r="U643" s="60"/>
      <c r="V643" s="36"/>
      <c r="W643" s="31"/>
      <c r="X643" s="59"/>
      <c r="Y643" s="59" t="str">
        <f>IFERROR(VLOOKUP($A643,APOIO!$A:$A,1,FALSE),"ERRO")</f>
        <v>ERRO</v>
      </c>
      <c r="Z643"/>
    </row>
    <row r="644" spans="1:26" ht="15" x14ac:dyDescent="0.25">
      <c r="A644" s="94"/>
      <c r="B644" s="32" t="str">
        <f>IF($A644="","",VLOOKUP($A644,APOIO!$A:$E,2,FALSE))</f>
        <v/>
      </c>
      <c r="C644" s="94"/>
      <c r="D644" s="32" t="str">
        <f>IF($A644="","",INDEX(APOIO!$D:$D,MATCH(CONCATENATE($A644,"_",$B644,"_",$C644),APOIO!$F:$F,0)))</f>
        <v/>
      </c>
      <c r="E644" s="31"/>
      <c r="F644" s="31"/>
      <c r="G644" s="33"/>
      <c r="H644" s="105"/>
      <c r="I644" s="32" t="str">
        <f>IF($A644="","",VLOOKUP($H644,APOIO!$L:$M,2,FALSE))</f>
        <v/>
      </c>
      <c r="J644" s="31"/>
      <c r="K644" s="32" t="str">
        <f>IF($A644="","",VLOOKUP($J644,APOIO!$H:$J,2,FALSE))</f>
        <v/>
      </c>
      <c r="L644" s="32" t="str">
        <f>IF($A644="","",VLOOKUP($J644,APOIO!$H:$J,3,FALSE))</f>
        <v/>
      </c>
      <c r="M644" s="31"/>
      <c r="N644" s="34"/>
      <c r="O644" s="32"/>
      <c r="P644" s="32"/>
      <c r="Q644" s="32"/>
      <c r="R644" s="32"/>
      <c r="S644" s="35"/>
      <c r="T644" s="91"/>
      <c r="U644" s="60"/>
      <c r="V644" s="36"/>
      <c r="W644" s="31"/>
      <c r="X644" s="59"/>
      <c r="Y644" s="59" t="str">
        <f>IFERROR(VLOOKUP($A644,APOIO!$A:$A,1,FALSE),"ERRO")</f>
        <v>ERRO</v>
      </c>
      <c r="Z644"/>
    </row>
    <row r="645" spans="1:26" ht="15" x14ac:dyDescent="0.25">
      <c r="A645" s="94"/>
      <c r="B645" s="32" t="str">
        <f>IF($A645="","",VLOOKUP($A645,APOIO!$A:$E,2,FALSE))</f>
        <v/>
      </c>
      <c r="C645" s="94"/>
      <c r="D645" s="32" t="str">
        <f>IF($A645="","",INDEX(APOIO!$D:$D,MATCH(CONCATENATE($A645,"_",$B645,"_",$C645),APOIO!$F:$F,0)))</f>
        <v/>
      </c>
      <c r="E645" s="31"/>
      <c r="F645" s="31"/>
      <c r="G645" s="33"/>
      <c r="H645" s="105"/>
      <c r="I645" s="32" t="str">
        <f>IF($A645="","",VLOOKUP($H645,APOIO!$L:$M,2,FALSE))</f>
        <v/>
      </c>
      <c r="J645" s="31"/>
      <c r="K645" s="32" t="str">
        <f>IF($A645="","",VLOOKUP($J645,APOIO!$H:$J,2,FALSE))</f>
        <v/>
      </c>
      <c r="L645" s="32" t="str">
        <f>IF($A645="","",VLOOKUP($J645,APOIO!$H:$J,3,FALSE))</f>
        <v/>
      </c>
      <c r="M645" s="31"/>
      <c r="N645" s="34"/>
      <c r="O645" s="32"/>
      <c r="P645" s="32"/>
      <c r="Q645" s="32"/>
      <c r="R645" s="32"/>
      <c r="S645" s="35"/>
      <c r="T645" s="91"/>
      <c r="U645" s="60"/>
      <c r="V645" s="36"/>
      <c r="W645" s="31"/>
      <c r="X645" s="59"/>
      <c r="Y645" s="59" t="str">
        <f>IFERROR(VLOOKUP($A645,APOIO!$A:$A,1,FALSE),"ERRO")</f>
        <v>ERRO</v>
      </c>
      <c r="Z645"/>
    </row>
    <row r="646" spans="1:26" ht="15" x14ac:dyDescent="0.25">
      <c r="A646" s="94"/>
      <c r="B646" s="32" t="str">
        <f>IF($A646="","",VLOOKUP($A646,APOIO!$A:$E,2,FALSE))</f>
        <v/>
      </c>
      <c r="C646" s="94"/>
      <c r="D646" s="32" t="str">
        <f>IF($A646="","",INDEX(APOIO!$D:$D,MATCH(CONCATENATE($A646,"_",$B646,"_",$C646),APOIO!$F:$F,0)))</f>
        <v/>
      </c>
      <c r="E646" s="31"/>
      <c r="F646" s="31"/>
      <c r="G646" s="33"/>
      <c r="H646" s="105"/>
      <c r="I646" s="32" t="str">
        <f>IF($A646="","",VLOOKUP($H646,APOIO!$L:$M,2,FALSE))</f>
        <v/>
      </c>
      <c r="J646" s="31"/>
      <c r="K646" s="32" t="str">
        <f>IF($A646="","",VLOOKUP($J646,APOIO!$H:$J,2,FALSE))</f>
        <v/>
      </c>
      <c r="L646" s="32" t="str">
        <f>IF($A646="","",VLOOKUP($J646,APOIO!$H:$J,3,FALSE))</f>
        <v/>
      </c>
      <c r="M646" s="31"/>
      <c r="N646" s="34"/>
      <c r="O646" s="32"/>
      <c r="P646" s="32"/>
      <c r="Q646" s="32"/>
      <c r="R646" s="32"/>
      <c r="S646" s="35"/>
      <c r="T646" s="91"/>
      <c r="U646" s="60"/>
      <c r="V646" s="36"/>
      <c r="W646" s="31"/>
      <c r="X646" s="59"/>
      <c r="Y646" s="59" t="str">
        <f>IFERROR(VLOOKUP($A646,APOIO!$A:$A,1,FALSE),"ERRO")</f>
        <v>ERRO</v>
      </c>
      <c r="Z646"/>
    </row>
    <row r="647" spans="1:26" ht="15" x14ac:dyDescent="0.25">
      <c r="A647" s="94"/>
      <c r="B647" s="32" t="str">
        <f>IF($A647="","",VLOOKUP($A647,APOIO!$A:$E,2,FALSE))</f>
        <v/>
      </c>
      <c r="C647" s="94"/>
      <c r="D647" s="32" t="str">
        <f>IF($A647="","",INDEX(APOIO!$D:$D,MATCH(CONCATENATE($A647,"_",$B647,"_",$C647),APOIO!$F:$F,0)))</f>
        <v/>
      </c>
      <c r="E647" s="31"/>
      <c r="F647" s="31"/>
      <c r="G647" s="33"/>
      <c r="H647" s="105"/>
      <c r="I647" s="32" t="str">
        <f>IF($A647="","",VLOOKUP($H647,APOIO!$L:$M,2,FALSE))</f>
        <v/>
      </c>
      <c r="J647" s="31"/>
      <c r="K647" s="32" t="str">
        <f>IF($A647="","",VLOOKUP($J647,APOIO!$H:$J,2,FALSE))</f>
        <v/>
      </c>
      <c r="L647" s="32" t="str">
        <f>IF($A647="","",VLOOKUP($J647,APOIO!$H:$J,3,FALSE))</f>
        <v/>
      </c>
      <c r="M647" s="31"/>
      <c r="N647" s="34"/>
      <c r="O647" s="32"/>
      <c r="P647" s="32"/>
      <c r="Q647" s="32"/>
      <c r="R647" s="32"/>
      <c r="S647" s="35"/>
      <c r="T647" s="91"/>
      <c r="U647" s="60"/>
      <c r="V647" s="36"/>
      <c r="W647" s="31"/>
      <c r="X647" s="59"/>
      <c r="Y647" s="59" t="str">
        <f>IFERROR(VLOOKUP($A647,APOIO!$A:$A,1,FALSE),"ERRO")</f>
        <v>ERRO</v>
      </c>
      <c r="Z647"/>
    </row>
    <row r="648" spans="1:26" ht="15" x14ac:dyDescent="0.25">
      <c r="A648" s="94"/>
      <c r="B648" s="32" t="str">
        <f>IF($A648="","",VLOOKUP($A648,APOIO!$A:$E,2,FALSE))</f>
        <v/>
      </c>
      <c r="C648" s="94"/>
      <c r="D648" s="32" t="str">
        <f>IF($A648="","",INDEX(APOIO!$D:$D,MATCH(CONCATENATE($A648,"_",$B648,"_",$C648),APOIO!$F:$F,0)))</f>
        <v/>
      </c>
      <c r="E648" s="31"/>
      <c r="F648" s="31"/>
      <c r="G648" s="33"/>
      <c r="H648" s="105"/>
      <c r="I648" s="32" t="str">
        <f>IF($A648="","",VLOOKUP($H648,APOIO!$L:$M,2,FALSE))</f>
        <v/>
      </c>
      <c r="J648" s="31"/>
      <c r="K648" s="32" t="str">
        <f>IF($A648="","",VLOOKUP($J648,APOIO!$H:$J,2,FALSE))</f>
        <v/>
      </c>
      <c r="L648" s="32" t="str">
        <f>IF($A648="","",VLOOKUP($J648,APOIO!$H:$J,3,FALSE))</f>
        <v/>
      </c>
      <c r="M648" s="31"/>
      <c r="N648" s="34"/>
      <c r="O648" s="32"/>
      <c r="P648" s="32"/>
      <c r="Q648" s="32"/>
      <c r="R648" s="32"/>
      <c r="S648" s="35"/>
      <c r="T648" s="91"/>
      <c r="U648" s="60"/>
      <c r="V648" s="36"/>
      <c r="W648" s="31"/>
      <c r="X648" s="59"/>
      <c r="Y648" s="59" t="str">
        <f>IFERROR(VLOOKUP($A648,APOIO!$A:$A,1,FALSE),"ERRO")</f>
        <v>ERRO</v>
      </c>
      <c r="Z648"/>
    </row>
    <row r="649" spans="1:26" ht="15" x14ac:dyDescent="0.25">
      <c r="A649" s="94"/>
      <c r="B649" s="32" t="str">
        <f>IF($A649="","",VLOOKUP($A649,APOIO!$A:$E,2,FALSE))</f>
        <v/>
      </c>
      <c r="C649" s="94"/>
      <c r="D649" s="32" t="str">
        <f>IF($A649="","",INDEX(APOIO!$D:$D,MATCH(CONCATENATE($A649,"_",$B649,"_",$C649),APOIO!$F:$F,0)))</f>
        <v/>
      </c>
      <c r="E649" s="31"/>
      <c r="F649" s="31"/>
      <c r="G649" s="33"/>
      <c r="H649" s="105"/>
      <c r="I649" s="32" t="str">
        <f>IF($A649="","",VLOOKUP($H649,APOIO!$L:$M,2,FALSE))</f>
        <v/>
      </c>
      <c r="J649" s="31"/>
      <c r="K649" s="32" t="str">
        <f>IF($A649="","",VLOOKUP($J649,APOIO!$H:$J,2,FALSE))</f>
        <v/>
      </c>
      <c r="L649" s="32" t="str">
        <f>IF($A649="","",VLOOKUP($J649,APOIO!$H:$J,3,FALSE))</f>
        <v/>
      </c>
      <c r="M649" s="31"/>
      <c r="N649" s="34"/>
      <c r="O649" s="32"/>
      <c r="P649" s="32"/>
      <c r="Q649" s="32"/>
      <c r="R649" s="32"/>
      <c r="S649" s="35"/>
      <c r="T649" s="91"/>
      <c r="U649" s="60"/>
      <c r="V649" s="36"/>
      <c r="W649" s="31"/>
      <c r="X649" s="59"/>
      <c r="Y649" s="59" t="str">
        <f>IFERROR(VLOOKUP($A649,APOIO!$A:$A,1,FALSE),"ERRO")</f>
        <v>ERRO</v>
      </c>
      <c r="Z649"/>
    </row>
    <row r="650" spans="1:26" ht="15" x14ac:dyDescent="0.25">
      <c r="A650" s="94"/>
      <c r="B650" s="32" t="str">
        <f>IF($A650="","",VLOOKUP($A650,APOIO!$A:$E,2,FALSE))</f>
        <v/>
      </c>
      <c r="C650" s="94"/>
      <c r="D650" s="32" t="str">
        <f>IF($A650="","",INDEX(APOIO!$D:$D,MATCH(CONCATENATE($A650,"_",$B650,"_",$C650),APOIO!$F:$F,0)))</f>
        <v/>
      </c>
      <c r="E650" s="31"/>
      <c r="F650" s="31"/>
      <c r="G650" s="33"/>
      <c r="H650" s="105"/>
      <c r="I650" s="32" t="str">
        <f>IF($A650="","",VLOOKUP($H650,APOIO!$L:$M,2,FALSE))</f>
        <v/>
      </c>
      <c r="J650" s="31"/>
      <c r="K650" s="32" t="str">
        <f>IF($A650="","",VLOOKUP($J650,APOIO!$H:$J,2,FALSE))</f>
        <v/>
      </c>
      <c r="L650" s="32" t="str">
        <f>IF($A650="","",VLOOKUP($J650,APOIO!$H:$J,3,FALSE))</f>
        <v/>
      </c>
      <c r="M650" s="31"/>
      <c r="N650" s="34"/>
      <c r="O650" s="32"/>
      <c r="P650" s="32"/>
      <c r="Q650" s="32"/>
      <c r="R650" s="32"/>
      <c r="S650" s="35"/>
      <c r="T650" s="91"/>
      <c r="U650" s="60"/>
      <c r="V650" s="36"/>
      <c r="W650" s="31"/>
      <c r="X650" s="59"/>
      <c r="Y650" s="59" t="str">
        <f>IFERROR(VLOOKUP($A650,APOIO!$A:$A,1,FALSE),"ERRO")</f>
        <v>ERRO</v>
      </c>
      <c r="Z650"/>
    </row>
    <row r="651" spans="1:26" ht="15" x14ac:dyDescent="0.25">
      <c r="A651" s="94"/>
      <c r="B651" s="32" t="str">
        <f>IF($A651="","",VLOOKUP($A651,APOIO!$A:$E,2,FALSE))</f>
        <v/>
      </c>
      <c r="C651" s="94"/>
      <c r="D651" s="32" t="str">
        <f>IF($A651="","",INDEX(APOIO!$D:$D,MATCH(CONCATENATE($A651,"_",$B651,"_",$C651),APOIO!$F:$F,0)))</f>
        <v/>
      </c>
      <c r="E651" s="31"/>
      <c r="F651" s="31"/>
      <c r="G651" s="33"/>
      <c r="H651" s="105"/>
      <c r="I651" s="32" t="str">
        <f>IF($A651="","",VLOOKUP($H651,APOIO!$L:$M,2,FALSE))</f>
        <v/>
      </c>
      <c r="J651" s="31"/>
      <c r="K651" s="32" t="str">
        <f>IF($A651="","",VLOOKUP($J651,APOIO!$H:$J,2,FALSE))</f>
        <v/>
      </c>
      <c r="L651" s="32" t="str">
        <f>IF($A651="","",VLOOKUP($J651,APOIO!$H:$J,3,FALSE))</f>
        <v/>
      </c>
      <c r="M651" s="31"/>
      <c r="N651" s="34"/>
      <c r="O651" s="32"/>
      <c r="P651" s="32"/>
      <c r="Q651" s="32"/>
      <c r="R651" s="32"/>
      <c r="S651" s="35"/>
      <c r="T651" s="91"/>
      <c r="U651" s="60"/>
      <c r="V651" s="36"/>
      <c r="W651" s="31"/>
      <c r="X651" s="59"/>
      <c r="Y651" s="59" t="str">
        <f>IFERROR(VLOOKUP($A651,APOIO!$A:$A,1,FALSE),"ERRO")</f>
        <v>ERRO</v>
      </c>
      <c r="Z651"/>
    </row>
    <row r="652" spans="1:26" ht="15" x14ac:dyDescent="0.25">
      <c r="A652" s="94"/>
      <c r="B652" s="32" t="str">
        <f>IF($A652="","",VLOOKUP($A652,APOIO!$A:$E,2,FALSE))</f>
        <v/>
      </c>
      <c r="C652" s="94"/>
      <c r="D652" s="32" t="str">
        <f>IF($A652="","",INDEX(APOIO!$D:$D,MATCH(CONCATENATE($A652,"_",$B652,"_",$C652),APOIO!$F:$F,0)))</f>
        <v/>
      </c>
      <c r="E652" s="31"/>
      <c r="F652" s="31"/>
      <c r="G652" s="33"/>
      <c r="H652" s="105"/>
      <c r="I652" s="32" t="str">
        <f>IF($A652="","",VLOOKUP($H652,APOIO!$L:$M,2,FALSE))</f>
        <v/>
      </c>
      <c r="J652" s="31"/>
      <c r="K652" s="32" t="str">
        <f>IF($A652="","",VLOOKUP($J652,APOIO!$H:$J,2,FALSE))</f>
        <v/>
      </c>
      <c r="L652" s="32" t="str">
        <f>IF($A652="","",VLOOKUP($J652,APOIO!$H:$J,3,FALSE))</f>
        <v/>
      </c>
      <c r="M652" s="31"/>
      <c r="N652" s="34"/>
      <c r="O652" s="32"/>
      <c r="P652" s="32"/>
      <c r="Q652" s="32"/>
      <c r="R652" s="32"/>
      <c r="S652" s="35"/>
      <c r="T652" s="91"/>
      <c r="U652" s="60"/>
      <c r="V652" s="36"/>
      <c r="W652" s="31"/>
      <c r="X652" s="59"/>
      <c r="Y652" s="59" t="str">
        <f>IFERROR(VLOOKUP($A652,APOIO!$A:$A,1,FALSE),"ERRO")</f>
        <v>ERRO</v>
      </c>
      <c r="Z652"/>
    </row>
    <row r="653" spans="1:26" ht="15" x14ac:dyDescent="0.25">
      <c r="A653" s="94"/>
      <c r="B653" s="32" t="str">
        <f>IF($A653="","",VLOOKUP($A653,APOIO!$A:$E,2,FALSE))</f>
        <v/>
      </c>
      <c r="C653" s="94"/>
      <c r="D653" s="32" t="str">
        <f>IF($A653="","",INDEX(APOIO!$D:$D,MATCH(CONCATENATE($A653,"_",$B653,"_",$C653),APOIO!$F:$F,0)))</f>
        <v/>
      </c>
      <c r="E653" s="31"/>
      <c r="F653" s="31"/>
      <c r="G653" s="33"/>
      <c r="H653" s="105"/>
      <c r="I653" s="32" t="str">
        <f>IF($A653="","",VLOOKUP($H653,APOIO!$L:$M,2,FALSE))</f>
        <v/>
      </c>
      <c r="J653" s="31"/>
      <c r="K653" s="32" t="str">
        <f>IF($A653="","",VLOOKUP($J653,APOIO!$H:$J,2,FALSE))</f>
        <v/>
      </c>
      <c r="L653" s="32" t="str">
        <f>IF($A653="","",VLOOKUP($J653,APOIO!$H:$J,3,FALSE))</f>
        <v/>
      </c>
      <c r="M653" s="31"/>
      <c r="N653" s="34"/>
      <c r="O653" s="32"/>
      <c r="P653" s="32"/>
      <c r="Q653" s="32"/>
      <c r="R653" s="32"/>
      <c r="S653" s="35"/>
      <c r="T653" s="91"/>
      <c r="U653" s="60"/>
      <c r="V653" s="36"/>
      <c r="W653" s="31"/>
      <c r="X653" s="59"/>
      <c r="Y653" s="59" t="str">
        <f>IFERROR(VLOOKUP($A653,APOIO!$A:$A,1,FALSE),"ERRO")</f>
        <v>ERRO</v>
      </c>
      <c r="Z653"/>
    </row>
    <row r="654" spans="1:26" ht="15" x14ac:dyDescent="0.25">
      <c r="A654" s="94"/>
      <c r="B654" s="32" t="str">
        <f>IF($A654="","",VLOOKUP($A654,APOIO!$A:$E,2,FALSE))</f>
        <v/>
      </c>
      <c r="C654" s="94"/>
      <c r="D654" s="32" t="str">
        <f>IF($A654="","",INDEX(APOIO!$D:$D,MATCH(CONCATENATE($A654,"_",$B654,"_",$C654),APOIO!$F:$F,0)))</f>
        <v/>
      </c>
      <c r="E654" s="31"/>
      <c r="F654" s="31"/>
      <c r="G654" s="33"/>
      <c r="H654" s="105"/>
      <c r="I654" s="32" t="str">
        <f>IF($A654="","",VLOOKUP($H654,APOIO!$L:$M,2,FALSE))</f>
        <v/>
      </c>
      <c r="J654" s="31"/>
      <c r="K654" s="32" t="str">
        <f>IF($A654="","",VLOOKUP($J654,APOIO!$H:$J,2,FALSE))</f>
        <v/>
      </c>
      <c r="L654" s="32" t="str">
        <f>IF($A654="","",VLOOKUP($J654,APOIO!$H:$J,3,FALSE))</f>
        <v/>
      </c>
      <c r="M654" s="31"/>
      <c r="N654" s="34"/>
      <c r="O654" s="32"/>
      <c r="P654" s="32"/>
      <c r="Q654" s="32"/>
      <c r="R654" s="32"/>
      <c r="S654" s="35"/>
      <c r="T654" s="91"/>
      <c r="U654" s="60"/>
      <c r="V654" s="36"/>
      <c r="W654" s="31"/>
      <c r="X654" s="59"/>
      <c r="Y654" s="59" t="str">
        <f>IFERROR(VLOOKUP($A654,APOIO!$A:$A,1,FALSE),"ERRO")</f>
        <v>ERRO</v>
      </c>
      <c r="Z654"/>
    </row>
    <row r="655" spans="1:26" ht="15" x14ac:dyDescent="0.25">
      <c r="A655" s="94"/>
      <c r="B655" s="32" t="str">
        <f>IF($A655="","",VLOOKUP($A655,APOIO!$A:$E,2,FALSE))</f>
        <v/>
      </c>
      <c r="C655" s="94"/>
      <c r="D655" s="32" t="str">
        <f>IF($A655="","",INDEX(APOIO!$D:$D,MATCH(CONCATENATE($A655,"_",$B655,"_",$C655),APOIO!$F:$F,0)))</f>
        <v/>
      </c>
      <c r="E655" s="31"/>
      <c r="F655" s="31"/>
      <c r="G655" s="33"/>
      <c r="H655" s="105"/>
      <c r="I655" s="32" t="str">
        <f>IF($A655="","",VLOOKUP($H655,APOIO!$L:$M,2,FALSE))</f>
        <v/>
      </c>
      <c r="J655" s="31"/>
      <c r="K655" s="32" t="str">
        <f>IF($A655="","",VLOOKUP($J655,APOIO!$H:$J,2,FALSE))</f>
        <v/>
      </c>
      <c r="L655" s="32" t="str">
        <f>IF($A655="","",VLOOKUP($J655,APOIO!$H:$J,3,FALSE))</f>
        <v/>
      </c>
      <c r="M655" s="31"/>
      <c r="N655" s="34"/>
      <c r="O655" s="32"/>
      <c r="P655" s="32"/>
      <c r="Q655" s="32"/>
      <c r="R655" s="32"/>
      <c r="S655" s="35"/>
      <c r="T655" s="91"/>
      <c r="U655" s="60"/>
      <c r="V655" s="36"/>
      <c r="W655" s="31"/>
      <c r="X655" s="59"/>
      <c r="Y655" s="59" t="str">
        <f>IFERROR(VLOOKUP($A655,APOIO!$A:$A,1,FALSE),"ERRO")</f>
        <v>ERRO</v>
      </c>
      <c r="Z655"/>
    </row>
    <row r="656" spans="1:26" ht="15" x14ac:dyDescent="0.25">
      <c r="A656" s="94"/>
      <c r="B656" s="32" t="str">
        <f>IF($A656="","",VLOOKUP($A656,APOIO!$A:$E,2,FALSE))</f>
        <v/>
      </c>
      <c r="C656" s="94"/>
      <c r="D656" s="32" t="str">
        <f>IF($A656="","",INDEX(APOIO!$D:$D,MATCH(CONCATENATE($A656,"_",$B656,"_",$C656),APOIO!$F:$F,0)))</f>
        <v/>
      </c>
      <c r="E656" s="31"/>
      <c r="F656" s="31"/>
      <c r="G656" s="33"/>
      <c r="H656" s="105"/>
      <c r="I656" s="32" t="str">
        <f>IF($A656="","",VLOOKUP($H656,APOIO!$L:$M,2,FALSE))</f>
        <v/>
      </c>
      <c r="J656" s="31"/>
      <c r="K656" s="32" t="str">
        <f>IF($A656="","",VLOOKUP($J656,APOIO!$H:$J,2,FALSE))</f>
        <v/>
      </c>
      <c r="L656" s="32" t="str">
        <f>IF($A656="","",VLOOKUP($J656,APOIO!$H:$J,3,FALSE))</f>
        <v/>
      </c>
      <c r="M656" s="31"/>
      <c r="N656" s="34"/>
      <c r="O656" s="32"/>
      <c r="P656" s="32"/>
      <c r="Q656" s="32"/>
      <c r="R656" s="32"/>
      <c r="S656" s="35"/>
      <c r="T656" s="91"/>
      <c r="U656" s="60"/>
      <c r="V656" s="36"/>
      <c r="W656" s="31"/>
      <c r="X656" s="59"/>
      <c r="Y656" s="59" t="str">
        <f>IFERROR(VLOOKUP($A656,APOIO!$A:$A,1,FALSE),"ERRO")</f>
        <v>ERRO</v>
      </c>
      <c r="Z656"/>
    </row>
    <row r="657" spans="1:26" ht="15" x14ac:dyDescent="0.25">
      <c r="A657" s="94"/>
      <c r="B657" s="32" t="str">
        <f>IF($A657="","",VLOOKUP($A657,APOIO!$A:$E,2,FALSE))</f>
        <v/>
      </c>
      <c r="C657" s="94"/>
      <c r="D657" s="32" t="str">
        <f>IF($A657="","",INDEX(APOIO!$D:$D,MATCH(CONCATENATE($A657,"_",$B657,"_",$C657),APOIO!$F:$F,0)))</f>
        <v/>
      </c>
      <c r="E657" s="31"/>
      <c r="F657" s="31"/>
      <c r="G657" s="33"/>
      <c r="H657" s="105"/>
      <c r="I657" s="32" t="str">
        <f>IF($A657="","",VLOOKUP($H657,APOIO!$L:$M,2,FALSE))</f>
        <v/>
      </c>
      <c r="J657" s="31"/>
      <c r="K657" s="32" t="str">
        <f>IF($A657="","",VLOOKUP($J657,APOIO!$H:$J,2,FALSE))</f>
        <v/>
      </c>
      <c r="L657" s="32" t="str">
        <f>IF($A657="","",VLOOKUP($J657,APOIO!$H:$J,3,FALSE))</f>
        <v/>
      </c>
      <c r="M657" s="31"/>
      <c r="N657" s="34"/>
      <c r="O657" s="32"/>
      <c r="P657" s="32"/>
      <c r="Q657" s="32"/>
      <c r="R657" s="32"/>
      <c r="S657" s="35"/>
      <c r="T657" s="91"/>
      <c r="U657" s="60"/>
      <c r="V657" s="36"/>
      <c r="W657" s="31"/>
      <c r="X657" s="59"/>
      <c r="Y657" s="59" t="str">
        <f>IFERROR(VLOOKUP($A657,APOIO!$A:$A,1,FALSE),"ERRO")</f>
        <v>ERRO</v>
      </c>
      <c r="Z657"/>
    </row>
    <row r="658" spans="1:26" ht="15" x14ac:dyDescent="0.25">
      <c r="A658" s="94"/>
      <c r="B658" s="32" t="str">
        <f>IF($A658="","",VLOOKUP($A658,APOIO!$A:$E,2,FALSE))</f>
        <v/>
      </c>
      <c r="C658" s="94"/>
      <c r="D658" s="32" t="str">
        <f>IF($A658="","",INDEX(APOIO!$D:$D,MATCH(CONCATENATE($A658,"_",$B658,"_",$C658),APOIO!$F:$F,0)))</f>
        <v/>
      </c>
      <c r="E658" s="31"/>
      <c r="F658" s="31"/>
      <c r="G658" s="33"/>
      <c r="H658" s="105"/>
      <c r="I658" s="32" t="str">
        <f>IF($A658="","",VLOOKUP($H658,APOIO!$L:$M,2,FALSE))</f>
        <v/>
      </c>
      <c r="J658" s="31"/>
      <c r="K658" s="32" t="str">
        <f>IF($A658="","",VLOOKUP($J658,APOIO!$H:$J,2,FALSE))</f>
        <v/>
      </c>
      <c r="L658" s="32" t="str">
        <f>IF($A658="","",VLOOKUP($J658,APOIO!$H:$J,3,FALSE))</f>
        <v/>
      </c>
      <c r="M658" s="31"/>
      <c r="N658" s="34"/>
      <c r="O658" s="32"/>
      <c r="P658" s="32"/>
      <c r="Q658" s="32"/>
      <c r="R658" s="32"/>
      <c r="S658" s="35"/>
      <c r="T658" s="91"/>
      <c r="U658" s="60"/>
      <c r="V658" s="36"/>
      <c r="W658" s="31"/>
      <c r="X658" s="59"/>
      <c r="Y658" s="59" t="str">
        <f>IFERROR(VLOOKUP($A658,APOIO!$A:$A,1,FALSE),"ERRO")</f>
        <v>ERRO</v>
      </c>
      <c r="Z658"/>
    </row>
    <row r="659" spans="1:26" ht="15" x14ac:dyDescent="0.25">
      <c r="A659" s="94"/>
      <c r="B659" s="32" t="str">
        <f>IF($A659="","",VLOOKUP($A659,APOIO!$A:$E,2,FALSE))</f>
        <v/>
      </c>
      <c r="C659" s="94"/>
      <c r="D659" s="32" t="str">
        <f>IF($A659="","",INDEX(APOIO!$D:$D,MATCH(CONCATENATE($A659,"_",$B659,"_",$C659),APOIO!$F:$F,0)))</f>
        <v/>
      </c>
      <c r="E659" s="31"/>
      <c r="F659" s="31"/>
      <c r="G659" s="33"/>
      <c r="H659" s="105"/>
      <c r="I659" s="32" t="str">
        <f>IF($A659="","",VLOOKUP($H659,APOIO!$L:$M,2,FALSE))</f>
        <v/>
      </c>
      <c r="J659" s="31"/>
      <c r="K659" s="32" t="str">
        <f>IF($A659="","",VLOOKUP($J659,APOIO!$H:$J,2,FALSE))</f>
        <v/>
      </c>
      <c r="L659" s="32" t="str">
        <f>IF($A659="","",VLOOKUP($J659,APOIO!$H:$J,3,FALSE))</f>
        <v/>
      </c>
      <c r="M659" s="31"/>
      <c r="N659" s="34"/>
      <c r="O659" s="32"/>
      <c r="P659" s="32"/>
      <c r="Q659" s="32"/>
      <c r="R659" s="32"/>
      <c r="S659" s="35"/>
      <c r="T659" s="91"/>
      <c r="U659" s="60"/>
      <c r="V659" s="36"/>
      <c r="W659" s="31"/>
      <c r="X659" s="59"/>
      <c r="Y659" s="59" t="str">
        <f>IFERROR(VLOOKUP($A659,APOIO!$A:$A,1,FALSE),"ERRO")</f>
        <v>ERRO</v>
      </c>
      <c r="Z659"/>
    </row>
    <row r="660" spans="1:26" ht="15" x14ac:dyDescent="0.25">
      <c r="A660" s="94"/>
      <c r="B660" s="32" t="str">
        <f>IF($A660="","",VLOOKUP($A660,APOIO!$A:$E,2,FALSE))</f>
        <v/>
      </c>
      <c r="C660" s="94"/>
      <c r="D660" s="32" t="str">
        <f>IF($A660="","",INDEX(APOIO!$D:$D,MATCH(CONCATENATE($A660,"_",$B660,"_",$C660),APOIO!$F:$F,0)))</f>
        <v/>
      </c>
      <c r="E660" s="31"/>
      <c r="F660" s="31"/>
      <c r="G660" s="33"/>
      <c r="H660" s="105"/>
      <c r="I660" s="32" t="str">
        <f>IF($A660="","",VLOOKUP($H660,APOIO!$L:$M,2,FALSE))</f>
        <v/>
      </c>
      <c r="J660" s="31"/>
      <c r="K660" s="32" t="str">
        <f>IF($A660="","",VLOOKUP($J660,APOIO!$H:$J,2,FALSE))</f>
        <v/>
      </c>
      <c r="L660" s="32" t="str">
        <f>IF($A660="","",VLOOKUP($J660,APOIO!$H:$J,3,FALSE))</f>
        <v/>
      </c>
      <c r="M660" s="31"/>
      <c r="N660" s="34"/>
      <c r="O660" s="32"/>
      <c r="P660" s="32"/>
      <c r="Q660" s="32"/>
      <c r="R660" s="32"/>
      <c r="S660" s="35"/>
      <c r="T660" s="91"/>
      <c r="U660" s="60"/>
      <c r="V660" s="36"/>
      <c r="W660" s="31"/>
      <c r="X660" s="59"/>
      <c r="Y660" s="59" t="str">
        <f>IFERROR(VLOOKUP($A660,APOIO!$A:$A,1,FALSE),"ERRO")</f>
        <v>ERRO</v>
      </c>
      <c r="Z660"/>
    </row>
    <row r="661" spans="1:26" ht="15" x14ac:dyDescent="0.25">
      <c r="A661" s="94"/>
      <c r="B661" s="32" t="str">
        <f>IF($A661="","",VLOOKUP($A661,APOIO!$A:$E,2,FALSE))</f>
        <v/>
      </c>
      <c r="C661" s="94"/>
      <c r="D661" s="32" t="str">
        <f>IF($A661="","",INDEX(APOIO!$D:$D,MATCH(CONCATENATE($A661,"_",$B661,"_",$C661),APOIO!$F:$F,0)))</f>
        <v/>
      </c>
      <c r="E661" s="31"/>
      <c r="F661" s="31"/>
      <c r="G661" s="33"/>
      <c r="H661" s="105"/>
      <c r="I661" s="32" t="str">
        <f>IF($A661="","",VLOOKUP($H661,APOIO!$L:$M,2,FALSE))</f>
        <v/>
      </c>
      <c r="J661" s="31"/>
      <c r="K661" s="32" t="str">
        <f>IF($A661="","",VLOOKUP($J661,APOIO!$H:$J,2,FALSE))</f>
        <v/>
      </c>
      <c r="L661" s="32" t="str">
        <f>IF($A661="","",VLOOKUP($J661,APOIO!$H:$J,3,FALSE))</f>
        <v/>
      </c>
      <c r="M661" s="31"/>
      <c r="N661" s="34"/>
      <c r="O661" s="32"/>
      <c r="P661" s="32"/>
      <c r="Q661" s="32"/>
      <c r="R661" s="32"/>
      <c r="S661" s="35"/>
      <c r="T661" s="91"/>
      <c r="U661" s="60"/>
      <c r="V661" s="36"/>
      <c r="W661" s="31"/>
      <c r="X661" s="59"/>
      <c r="Y661" s="59" t="str">
        <f>IFERROR(VLOOKUP($A661,APOIO!$A:$A,1,FALSE),"ERRO")</f>
        <v>ERRO</v>
      </c>
      <c r="Z661"/>
    </row>
    <row r="662" spans="1:26" ht="15" x14ac:dyDescent="0.25">
      <c r="A662" s="94"/>
      <c r="B662" s="32" t="str">
        <f>IF($A662="","",VLOOKUP($A662,APOIO!$A:$E,2,FALSE))</f>
        <v/>
      </c>
      <c r="C662" s="94"/>
      <c r="D662" s="32" t="str">
        <f>IF($A662="","",INDEX(APOIO!$D:$D,MATCH(CONCATENATE($A662,"_",$B662,"_",$C662),APOIO!$F:$F,0)))</f>
        <v/>
      </c>
      <c r="E662" s="31"/>
      <c r="F662" s="31"/>
      <c r="G662" s="33"/>
      <c r="H662" s="105"/>
      <c r="I662" s="32" t="str">
        <f>IF($A662="","",VLOOKUP($H662,APOIO!$L:$M,2,FALSE))</f>
        <v/>
      </c>
      <c r="J662" s="31"/>
      <c r="K662" s="32" t="str">
        <f>IF($A662="","",VLOOKUP($J662,APOIO!$H:$J,2,FALSE))</f>
        <v/>
      </c>
      <c r="L662" s="32" t="str">
        <f>IF($A662="","",VLOOKUP($J662,APOIO!$H:$J,3,FALSE))</f>
        <v/>
      </c>
      <c r="M662" s="31"/>
      <c r="N662" s="34"/>
      <c r="O662" s="32"/>
      <c r="P662" s="32"/>
      <c r="Q662" s="32"/>
      <c r="R662" s="32"/>
      <c r="S662" s="35"/>
      <c r="T662" s="91"/>
      <c r="U662" s="60"/>
      <c r="V662" s="36"/>
      <c r="W662" s="31"/>
      <c r="X662" s="59"/>
      <c r="Y662" s="59" t="str">
        <f>IFERROR(VLOOKUP($A662,APOIO!$A:$A,1,FALSE),"ERRO")</f>
        <v>ERRO</v>
      </c>
      <c r="Z662"/>
    </row>
    <row r="663" spans="1:26" ht="15" x14ac:dyDescent="0.25">
      <c r="A663" s="94"/>
      <c r="B663" s="32" t="str">
        <f>IF($A663="","",VLOOKUP($A663,APOIO!$A:$E,2,FALSE))</f>
        <v/>
      </c>
      <c r="C663" s="94"/>
      <c r="D663" s="32" t="str">
        <f>IF($A663="","",INDEX(APOIO!$D:$D,MATCH(CONCATENATE($A663,"_",$B663,"_",$C663),APOIO!$F:$F,0)))</f>
        <v/>
      </c>
      <c r="E663" s="31"/>
      <c r="F663" s="31"/>
      <c r="G663" s="33"/>
      <c r="H663" s="105"/>
      <c r="I663" s="32" t="str">
        <f>IF($A663="","",VLOOKUP($H663,APOIO!$L:$M,2,FALSE))</f>
        <v/>
      </c>
      <c r="J663" s="31"/>
      <c r="K663" s="32" t="str">
        <f>IF($A663="","",VLOOKUP($J663,APOIO!$H:$J,2,FALSE))</f>
        <v/>
      </c>
      <c r="L663" s="32" t="str">
        <f>IF($A663="","",VLOOKUP($J663,APOIO!$H:$J,3,FALSE))</f>
        <v/>
      </c>
      <c r="M663" s="31"/>
      <c r="N663" s="34"/>
      <c r="O663" s="32"/>
      <c r="P663" s="32"/>
      <c r="Q663" s="32"/>
      <c r="R663" s="32"/>
      <c r="S663" s="35"/>
      <c r="T663" s="91"/>
      <c r="U663" s="60"/>
      <c r="V663" s="36"/>
      <c r="W663" s="31"/>
      <c r="X663" s="59"/>
      <c r="Y663" s="59" t="str">
        <f>IFERROR(VLOOKUP($A663,APOIO!$A:$A,1,FALSE),"ERRO")</f>
        <v>ERRO</v>
      </c>
      <c r="Z663"/>
    </row>
    <row r="664" spans="1:26" ht="15" x14ac:dyDescent="0.25">
      <c r="A664" s="94"/>
      <c r="B664" s="32" t="str">
        <f>IF($A664="","",VLOOKUP($A664,APOIO!$A:$E,2,FALSE))</f>
        <v/>
      </c>
      <c r="C664" s="94"/>
      <c r="D664" s="32" t="str">
        <f>IF($A664="","",INDEX(APOIO!$D:$D,MATCH(CONCATENATE($A664,"_",$B664,"_",$C664),APOIO!$F:$F,0)))</f>
        <v/>
      </c>
      <c r="E664" s="31"/>
      <c r="F664" s="31"/>
      <c r="G664" s="33"/>
      <c r="H664" s="105"/>
      <c r="I664" s="32" t="str">
        <f>IF($A664="","",VLOOKUP($H664,APOIO!$L:$M,2,FALSE))</f>
        <v/>
      </c>
      <c r="J664" s="31"/>
      <c r="K664" s="32" t="str">
        <f>IF($A664="","",VLOOKUP($J664,APOIO!$H:$J,2,FALSE))</f>
        <v/>
      </c>
      <c r="L664" s="32" t="str">
        <f>IF($A664="","",VLOOKUP($J664,APOIO!$H:$J,3,FALSE))</f>
        <v/>
      </c>
      <c r="M664" s="31"/>
      <c r="N664" s="34"/>
      <c r="O664" s="32"/>
      <c r="P664" s="32"/>
      <c r="Q664" s="32"/>
      <c r="R664" s="32"/>
      <c r="S664" s="35"/>
      <c r="T664" s="91"/>
      <c r="U664" s="60"/>
      <c r="V664" s="36"/>
      <c r="W664" s="31"/>
      <c r="X664" s="59"/>
      <c r="Y664" s="59" t="str">
        <f>IFERROR(VLOOKUP($A664,APOIO!$A:$A,1,FALSE),"ERRO")</f>
        <v>ERRO</v>
      </c>
      <c r="Z664"/>
    </row>
    <row r="665" spans="1:26" ht="15" x14ac:dyDescent="0.25">
      <c r="A665" s="94"/>
      <c r="B665" s="32" t="str">
        <f>IF($A665="","",VLOOKUP($A665,APOIO!$A:$E,2,FALSE))</f>
        <v/>
      </c>
      <c r="C665" s="94"/>
      <c r="D665" s="32" t="str">
        <f>IF($A665="","",INDEX(APOIO!$D:$D,MATCH(CONCATENATE($A665,"_",$B665,"_",$C665),APOIO!$F:$F,0)))</f>
        <v/>
      </c>
      <c r="E665" s="31"/>
      <c r="F665" s="31"/>
      <c r="G665" s="33"/>
      <c r="H665" s="105"/>
      <c r="I665" s="32" t="str">
        <f>IF($A665="","",VLOOKUP($H665,APOIO!$L:$M,2,FALSE))</f>
        <v/>
      </c>
      <c r="J665" s="31"/>
      <c r="K665" s="32" t="str">
        <f>IF($A665="","",VLOOKUP($J665,APOIO!$H:$J,2,FALSE))</f>
        <v/>
      </c>
      <c r="L665" s="32" t="str">
        <f>IF($A665="","",VLOOKUP($J665,APOIO!$H:$J,3,FALSE))</f>
        <v/>
      </c>
      <c r="M665" s="31"/>
      <c r="N665" s="34"/>
      <c r="O665" s="32"/>
      <c r="P665" s="32"/>
      <c r="Q665" s="32"/>
      <c r="R665" s="32"/>
      <c r="S665" s="35"/>
      <c r="T665" s="91"/>
      <c r="U665" s="60"/>
      <c r="V665" s="36"/>
      <c r="W665" s="31"/>
      <c r="X665" s="59"/>
      <c r="Y665" s="59" t="str">
        <f>IFERROR(VLOOKUP($A665,APOIO!$A:$A,1,FALSE),"ERRO")</f>
        <v>ERRO</v>
      </c>
      <c r="Z665"/>
    </row>
    <row r="666" spans="1:26" ht="15" x14ac:dyDescent="0.25">
      <c r="A666" s="94"/>
      <c r="B666" s="32" t="str">
        <f>IF($A666="","",VLOOKUP($A666,APOIO!$A:$E,2,FALSE))</f>
        <v/>
      </c>
      <c r="C666" s="94"/>
      <c r="D666" s="32" t="str">
        <f>IF($A666="","",INDEX(APOIO!$D:$D,MATCH(CONCATENATE($A666,"_",$B666,"_",$C666),APOIO!$F:$F,0)))</f>
        <v/>
      </c>
      <c r="E666" s="31"/>
      <c r="F666" s="31"/>
      <c r="G666" s="33"/>
      <c r="H666" s="105"/>
      <c r="I666" s="32" t="str">
        <f>IF($A666="","",VLOOKUP($H666,APOIO!$L:$M,2,FALSE))</f>
        <v/>
      </c>
      <c r="J666" s="31"/>
      <c r="K666" s="32" t="str">
        <f>IF($A666="","",VLOOKUP($J666,APOIO!$H:$J,2,FALSE))</f>
        <v/>
      </c>
      <c r="L666" s="32" t="str">
        <f>IF($A666="","",VLOOKUP($J666,APOIO!$H:$J,3,FALSE))</f>
        <v/>
      </c>
      <c r="M666" s="31"/>
      <c r="N666" s="34"/>
      <c r="O666" s="32"/>
      <c r="P666" s="32"/>
      <c r="Q666" s="32"/>
      <c r="R666" s="32"/>
      <c r="S666" s="35"/>
      <c r="T666" s="91"/>
      <c r="U666" s="60"/>
      <c r="V666" s="36"/>
      <c r="W666" s="31"/>
      <c r="X666" s="59"/>
      <c r="Y666" s="59" t="str">
        <f>IFERROR(VLOOKUP($A666,APOIO!$A:$A,1,FALSE),"ERRO")</f>
        <v>ERRO</v>
      </c>
      <c r="Z666"/>
    </row>
    <row r="667" spans="1:26" ht="15" x14ac:dyDescent="0.25">
      <c r="A667" s="94"/>
      <c r="B667" s="32" t="str">
        <f>IF($A667="","",VLOOKUP($A667,APOIO!$A:$E,2,FALSE))</f>
        <v/>
      </c>
      <c r="C667" s="94"/>
      <c r="D667" s="32" t="str">
        <f>IF($A667="","",INDEX(APOIO!$D:$D,MATCH(CONCATENATE($A667,"_",$B667,"_",$C667),APOIO!$F:$F,0)))</f>
        <v/>
      </c>
      <c r="E667" s="31"/>
      <c r="F667" s="31"/>
      <c r="G667" s="33"/>
      <c r="H667" s="105"/>
      <c r="I667" s="32" t="str">
        <f>IF($A667="","",VLOOKUP($H667,APOIO!$L:$M,2,FALSE))</f>
        <v/>
      </c>
      <c r="J667" s="31"/>
      <c r="K667" s="32" t="str">
        <f>IF($A667="","",VLOOKUP($J667,APOIO!$H:$J,2,FALSE))</f>
        <v/>
      </c>
      <c r="L667" s="32" t="str">
        <f>IF($A667="","",VLOOKUP($J667,APOIO!$H:$J,3,FALSE))</f>
        <v/>
      </c>
      <c r="M667" s="31"/>
      <c r="N667" s="34"/>
      <c r="O667" s="32"/>
      <c r="P667" s="32"/>
      <c r="Q667" s="32"/>
      <c r="R667" s="32"/>
      <c r="S667" s="35"/>
      <c r="T667" s="91"/>
      <c r="U667" s="60"/>
      <c r="V667" s="36"/>
      <c r="W667" s="31"/>
      <c r="X667" s="59"/>
      <c r="Y667" s="59" t="str">
        <f>IFERROR(VLOOKUP($A667,APOIO!$A:$A,1,FALSE),"ERRO")</f>
        <v>ERRO</v>
      </c>
      <c r="Z667"/>
    </row>
    <row r="668" spans="1:26" ht="15" x14ac:dyDescent="0.25">
      <c r="A668" s="94"/>
      <c r="B668" s="32" t="str">
        <f>IF($A668="","",VLOOKUP($A668,APOIO!$A:$E,2,FALSE))</f>
        <v/>
      </c>
      <c r="C668" s="94"/>
      <c r="D668" s="32" t="str">
        <f>IF($A668="","",INDEX(APOIO!$D:$D,MATCH(CONCATENATE($A668,"_",$B668,"_",$C668),APOIO!$F:$F,0)))</f>
        <v/>
      </c>
      <c r="E668" s="31"/>
      <c r="F668" s="31"/>
      <c r="G668" s="33"/>
      <c r="H668" s="105"/>
      <c r="I668" s="32" t="str">
        <f>IF($A668="","",VLOOKUP($H668,APOIO!$L:$M,2,FALSE))</f>
        <v/>
      </c>
      <c r="J668" s="31"/>
      <c r="K668" s="32" t="str">
        <f>IF($A668="","",VLOOKUP($J668,APOIO!$H:$J,2,FALSE))</f>
        <v/>
      </c>
      <c r="L668" s="32" t="str">
        <f>IF($A668="","",VLOOKUP($J668,APOIO!$H:$J,3,FALSE))</f>
        <v/>
      </c>
      <c r="M668" s="31"/>
      <c r="N668" s="34"/>
      <c r="O668" s="32"/>
      <c r="P668" s="32"/>
      <c r="Q668" s="32"/>
      <c r="R668" s="32"/>
      <c r="S668" s="35"/>
      <c r="T668" s="91"/>
      <c r="U668" s="60"/>
      <c r="V668" s="36"/>
      <c r="W668" s="31"/>
      <c r="X668" s="59"/>
      <c r="Y668" s="59" t="str">
        <f>IFERROR(VLOOKUP($A668,APOIO!$A:$A,1,FALSE),"ERRO")</f>
        <v>ERRO</v>
      </c>
      <c r="Z668"/>
    </row>
    <row r="669" spans="1:26" ht="15" x14ac:dyDescent="0.25">
      <c r="A669" s="94"/>
      <c r="B669" s="32" t="str">
        <f>IF($A669="","",VLOOKUP($A669,APOIO!$A:$E,2,FALSE))</f>
        <v/>
      </c>
      <c r="C669" s="94"/>
      <c r="D669" s="32" t="str">
        <f>IF($A669="","",INDEX(APOIO!$D:$D,MATCH(CONCATENATE($A669,"_",$B669,"_",$C669),APOIO!$F:$F,0)))</f>
        <v/>
      </c>
      <c r="E669" s="31"/>
      <c r="F669" s="31"/>
      <c r="G669" s="33"/>
      <c r="H669" s="105"/>
      <c r="I669" s="32" t="str">
        <f>IF($A669="","",VLOOKUP($H669,APOIO!$L:$M,2,FALSE))</f>
        <v/>
      </c>
      <c r="J669" s="31"/>
      <c r="K669" s="32" t="str">
        <f>IF($A669="","",VLOOKUP($J669,APOIO!$H:$J,2,FALSE))</f>
        <v/>
      </c>
      <c r="L669" s="32" t="str">
        <f>IF($A669="","",VLOOKUP($J669,APOIO!$H:$J,3,FALSE))</f>
        <v/>
      </c>
      <c r="M669" s="31"/>
      <c r="N669" s="34"/>
      <c r="O669" s="32"/>
      <c r="P669" s="32"/>
      <c r="Q669" s="32"/>
      <c r="R669" s="32"/>
      <c r="S669" s="35"/>
      <c r="T669" s="91"/>
      <c r="U669" s="60"/>
      <c r="V669" s="36"/>
      <c r="W669" s="31"/>
      <c r="X669" s="59"/>
      <c r="Y669" s="59" t="str">
        <f>IFERROR(VLOOKUP($A669,APOIO!$A:$A,1,FALSE),"ERRO")</f>
        <v>ERRO</v>
      </c>
      <c r="Z669"/>
    </row>
    <row r="670" spans="1:26" ht="15" x14ac:dyDescent="0.25">
      <c r="A670" s="94"/>
      <c r="B670" s="32" t="str">
        <f>IF($A670="","",VLOOKUP($A670,APOIO!$A:$E,2,FALSE))</f>
        <v/>
      </c>
      <c r="C670" s="94"/>
      <c r="D670" s="32" t="str">
        <f>IF($A670="","",INDEX(APOIO!$D:$D,MATCH(CONCATENATE($A670,"_",$B670,"_",$C670),APOIO!$F:$F,0)))</f>
        <v/>
      </c>
      <c r="E670" s="31"/>
      <c r="F670" s="31"/>
      <c r="G670" s="33"/>
      <c r="H670" s="105"/>
      <c r="I670" s="32" t="str">
        <f>IF($A670="","",VLOOKUP($H670,APOIO!$L:$M,2,FALSE))</f>
        <v/>
      </c>
      <c r="J670" s="31"/>
      <c r="K670" s="32" t="str">
        <f>IF($A670="","",VLOOKUP($J670,APOIO!$H:$J,2,FALSE))</f>
        <v/>
      </c>
      <c r="L670" s="32" t="str">
        <f>IF($A670="","",VLOOKUP($J670,APOIO!$H:$J,3,FALSE))</f>
        <v/>
      </c>
      <c r="M670" s="31"/>
      <c r="N670" s="34"/>
      <c r="O670" s="32"/>
      <c r="P670" s="32"/>
      <c r="Q670" s="32"/>
      <c r="R670" s="32"/>
      <c r="S670" s="35"/>
      <c r="T670" s="91"/>
      <c r="U670" s="60"/>
      <c r="V670" s="36"/>
      <c r="W670" s="31"/>
      <c r="X670" s="59"/>
      <c r="Y670" s="59" t="str">
        <f>IFERROR(VLOOKUP($A670,APOIO!$A:$A,1,FALSE),"ERRO")</f>
        <v>ERRO</v>
      </c>
      <c r="Z670"/>
    </row>
    <row r="671" spans="1:26" ht="15" x14ac:dyDescent="0.25">
      <c r="A671" s="94"/>
      <c r="B671" s="32" t="str">
        <f>IF($A671="","",VLOOKUP($A671,APOIO!$A:$E,2,FALSE))</f>
        <v/>
      </c>
      <c r="C671" s="94"/>
      <c r="D671" s="32" t="str">
        <f>IF($A671="","",INDEX(APOIO!$D:$D,MATCH(CONCATENATE($A671,"_",$B671,"_",$C671),APOIO!$F:$F,0)))</f>
        <v/>
      </c>
      <c r="E671" s="31"/>
      <c r="F671" s="31"/>
      <c r="G671" s="33"/>
      <c r="H671" s="105"/>
      <c r="I671" s="32" t="str">
        <f>IF($A671="","",VLOOKUP($H671,APOIO!$L:$M,2,FALSE))</f>
        <v/>
      </c>
      <c r="J671" s="31"/>
      <c r="K671" s="32" t="str">
        <f>IF($A671="","",VLOOKUP($J671,APOIO!$H:$J,2,FALSE))</f>
        <v/>
      </c>
      <c r="L671" s="32" t="str">
        <f>IF($A671="","",VLOOKUP($J671,APOIO!$H:$J,3,FALSE))</f>
        <v/>
      </c>
      <c r="M671" s="31"/>
      <c r="N671" s="34"/>
      <c r="O671" s="32"/>
      <c r="P671" s="32"/>
      <c r="Q671" s="32"/>
      <c r="R671" s="32"/>
      <c r="S671" s="35"/>
      <c r="T671" s="91"/>
      <c r="U671" s="60"/>
      <c r="V671" s="36"/>
      <c r="W671" s="31"/>
      <c r="X671" s="59"/>
      <c r="Y671" s="59" t="str">
        <f>IFERROR(VLOOKUP($A671,APOIO!$A:$A,1,FALSE),"ERRO")</f>
        <v>ERRO</v>
      </c>
      <c r="Z671"/>
    </row>
    <row r="672" spans="1:26" ht="15" x14ac:dyDescent="0.25">
      <c r="A672" s="94"/>
      <c r="B672" s="32" t="str">
        <f>IF($A672="","",VLOOKUP($A672,APOIO!$A:$E,2,FALSE))</f>
        <v/>
      </c>
      <c r="C672" s="94"/>
      <c r="D672" s="32" t="str">
        <f>IF($A672="","",INDEX(APOIO!$D:$D,MATCH(CONCATENATE($A672,"_",$B672,"_",$C672),APOIO!$F:$F,0)))</f>
        <v/>
      </c>
      <c r="E672" s="31"/>
      <c r="F672" s="31"/>
      <c r="G672" s="33"/>
      <c r="H672" s="105"/>
      <c r="I672" s="32" t="str">
        <f>IF($A672="","",VLOOKUP($H672,APOIO!$L:$M,2,FALSE))</f>
        <v/>
      </c>
      <c r="J672" s="31"/>
      <c r="K672" s="32" t="str">
        <f>IF($A672="","",VLOOKUP($J672,APOIO!$H:$J,2,FALSE))</f>
        <v/>
      </c>
      <c r="L672" s="32" t="str">
        <f>IF($A672="","",VLOOKUP($J672,APOIO!$H:$J,3,FALSE))</f>
        <v/>
      </c>
      <c r="M672" s="31"/>
      <c r="N672" s="34"/>
      <c r="O672" s="32"/>
      <c r="P672" s="32"/>
      <c r="Q672" s="32"/>
      <c r="R672" s="32"/>
      <c r="S672" s="35"/>
      <c r="T672" s="91"/>
      <c r="U672" s="60"/>
      <c r="V672" s="36"/>
      <c r="W672" s="31"/>
      <c r="X672" s="59"/>
      <c r="Y672" s="59" t="str">
        <f>IFERROR(VLOOKUP($A672,APOIO!$A:$A,1,FALSE),"ERRO")</f>
        <v>ERRO</v>
      </c>
      <c r="Z672"/>
    </row>
    <row r="673" spans="1:26" ht="15" x14ac:dyDescent="0.25">
      <c r="A673" s="94"/>
      <c r="B673" s="32" t="str">
        <f>IF($A673="","",VLOOKUP($A673,APOIO!$A:$E,2,FALSE))</f>
        <v/>
      </c>
      <c r="C673" s="94"/>
      <c r="D673" s="32" t="str">
        <f>IF($A673="","",INDEX(APOIO!$D:$D,MATCH(CONCATENATE($A673,"_",$B673,"_",$C673),APOIO!$F:$F,0)))</f>
        <v/>
      </c>
      <c r="E673" s="31"/>
      <c r="F673" s="31"/>
      <c r="G673" s="33"/>
      <c r="H673" s="105"/>
      <c r="I673" s="32" t="str">
        <f>IF($A673="","",VLOOKUP($H673,APOIO!$L:$M,2,FALSE))</f>
        <v/>
      </c>
      <c r="J673" s="31"/>
      <c r="K673" s="32" t="str">
        <f>IF($A673="","",VLOOKUP($J673,APOIO!$H:$J,2,FALSE))</f>
        <v/>
      </c>
      <c r="L673" s="32" t="str">
        <f>IF($A673="","",VLOOKUP($J673,APOIO!$H:$J,3,FALSE))</f>
        <v/>
      </c>
      <c r="M673" s="31"/>
      <c r="N673" s="34"/>
      <c r="O673" s="32"/>
      <c r="P673" s="32"/>
      <c r="Q673" s="32"/>
      <c r="R673" s="32"/>
      <c r="S673" s="35"/>
      <c r="T673" s="91"/>
      <c r="U673" s="60"/>
      <c r="V673" s="36"/>
      <c r="W673" s="31"/>
      <c r="X673" s="59"/>
      <c r="Y673" s="59" t="str">
        <f>IFERROR(VLOOKUP($A673,APOIO!$A:$A,1,FALSE),"ERRO")</f>
        <v>ERRO</v>
      </c>
      <c r="Z673"/>
    </row>
    <row r="674" spans="1:26" ht="15" x14ac:dyDescent="0.25">
      <c r="A674" s="94"/>
      <c r="B674" s="32" t="str">
        <f>IF($A674="","",VLOOKUP($A674,APOIO!$A:$E,2,FALSE))</f>
        <v/>
      </c>
      <c r="C674" s="94"/>
      <c r="D674" s="32" t="str">
        <f>IF($A674="","",INDEX(APOIO!$D:$D,MATCH(CONCATENATE($A674,"_",$B674,"_",$C674),APOIO!$F:$F,0)))</f>
        <v/>
      </c>
      <c r="E674" s="31"/>
      <c r="F674" s="31"/>
      <c r="G674" s="33"/>
      <c r="H674" s="105"/>
      <c r="I674" s="32" t="str">
        <f>IF($A674="","",VLOOKUP($H674,APOIO!$L:$M,2,FALSE))</f>
        <v/>
      </c>
      <c r="J674" s="31"/>
      <c r="K674" s="32" t="str">
        <f>IF($A674="","",VLOOKUP($J674,APOIO!$H:$J,2,FALSE))</f>
        <v/>
      </c>
      <c r="L674" s="32" t="str">
        <f>IF($A674="","",VLOOKUP($J674,APOIO!$H:$J,3,FALSE))</f>
        <v/>
      </c>
      <c r="M674" s="31"/>
      <c r="N674" s="34"/>
      <c r="O674" s="32"/>
      <c r="P674" s="32"/>
      <c r="Q674" s="32"/>
      <c r="R674" s="32"/>
      <c r="S674" s="35"/>
      <c r="T674" s="91"/>
      <c r="U674" s="60"/>
      <c r="V674" s="36"/>
      <c r="W674" s="31"/>
      <c r="X674" s="59"/>
      <c r="Y674" s="59" t="str">
        <f>IFERROR(VLOOKUP($A674,APOIO!$A:$A,1,FALSE),"ERRO")</f>
        <v>ERRO</v>
      </c>
      <c r="Z674"/>
    </row>
    <row r="675" spans="1:26" ht="15" x14ac:dyDescent="0.25">
      <c r="A675" s="94"/>
      <c r="B675" s="32" t="str">
        <f>IF($A675="","",VLOOKUP($A675,APOIO!$A:$E,2,FALSE))</f>
        <v/>
      </c>
      <c r="C675" s="94"/>
      <c r="D675" s="32" t="str">
        <f>IF($A675="","",INDEX(APOIO!$D:$D,MATCH(CONCATENATE($A675,"_",$B675,"_",$C675),APOIO!$F:$F,0)))</f>
        <v/>
      </c>
      <c r="E675" s="31"/>
      <c r="F675" s="31"/>
      <c r="G675" s="33"/>
      <c r="H675" s="105"/>
      <c r="I675" s="32" t="str">
        <f>IF($A675="","",VLOOKUP($H675,APOIO!$L:$M,2,FALSE))</f>
        <v/>
      </c>
      <c r="J675" s="31"/>
      <c r="K675" s="32" t="str">
        <f>IF($A675="","",VLOOKUP($J675,APOIO!$H:$J,2,FALSE))</f>
        <v/>
      </c>
      <c r="L675" s="32" t="str">
        <f>IF($A675="","",VLOOKUP($J675,APOIO!$H:$J,3,FALSE))</f>
        <v/>
      </c>
      <c r="M675" s="31"/>
      <c r="N675" s="34"/>
      <c r="O675" s="32"/>
      <c r="P675" s="32"/>
      <c r="Q675" s="32"/>
      <c r="R675" s="32"/>
      <c r="S675" s="35"/>
      <c r="T675" s="91"/>
      <c r="U675" s="60"/>
      <c r="V675" s="36"/>
      <c r="W675" s="31"/>
      <c r="X675" s="59"/>
      <c r="Y675" s="59" t="str">
        <f>IFERROR(VLOOKUP($A675,APOIO!$A:$A,1,FALSE),"ERRO")</f>
        <v>ERRO</v>
      </c>
      <c r="Z675"/>
    </row>
    <row r="676" spans="1:26" ht="15" x14ac:dyDescent="0.25">
      <c r="A676" s="94"/>
      <c r="B676" s="32" t="str">
        <f>IF($A676="","",VLOOKUP($A676,APOIO!$A:$E,2,FALSE))</f>
        <v/>
      </c>
      <c r="C676" s="94"/>
      <c r="D676" s="32" t="str">
        <f>IF($A676="","",INDEX(APOIO!$D:$D,MATCH(CONCATENATE($A676,"_",$B676,"_",$C676),APOIO!$F:$F,0)))</f>
        <v/>
      </c>
      <c r="E676" s="31"/>
      <c r="F676" s="31"/>
      <c r="G676" s="33"/>
      <c r="H676" s="105"/>
      <c r="I676" s="32" t="str">
        <f>IF($A676="","",VLOOKUP($H676,APOIO!$L:$M,2,FALSE))</f>
        <v/>
      </c>
      <c r="J676" s="31"/>
      <c r="K676" s="32" t="str">
        <f>IF($A676="","",VLOOKUP($J676,APOIO!$H:$J,2,FALSE))</f>
        <v/>
      </c>
      <c r="L676" s="32" t="str">
        <f>IF($A676="","",VLOOKUP($J676,APOIO!$H:$J,3,FALSE))</f>
        <v/>
      </c>
      <c r="M676" s="31"/>
      <c r="N676" s="34"/>
      <c r="O676" s="32"/>
      <c r="P676" s="32"/>
      <c r="Q676" s="32"/>
      <c r="R676" s="32"/>
      <c r="S676" s="35"/>
      <c r="T676" s="91"/>
      <c r="U676" s="60"/>
      <c r="V676" s="36"/>
      <c r="W676" s="31"/>
      <c r="X676" s="59"/>
      <c r="Y676" s="59" t="str">
        <f>IFERROR(VLOOKUP($A676,APOIO!$A:$A,1,FALSE),"ERRO")</f>
        <v>ERRO</v>
      </c>
      <c r="Z676"/>
    </row>
    <row r="677" spans="1:26" ht="15" x14ac:dyDescent="0.25">
      <c r="A677" s="94"/>
      <c r="B677" s="32" t="str">
        <f>IF($A677="","",VLOOKUP($A677,APOIO!$A:$E,2,FALSE))</f>
        <v/>
      </c>
      <c r="C677" s="94"/>
      <c r="D677" s="32" t="str">
        <f>IF($A677="","",INDEX(APOIO!$D:$D,MATCH(CONCATENATE($A677,"_",$B677,"_",$C677),APOIO!$F:$F,0)))</f>
        <v/>
      </c>
      <c r="E677" s="31"/>
      <c r="F677" s="31"/>
      <c r="G677" s="33"/>
      <c r="H677" s="105"/>
      <c r="I677" s="32" t="str">
        <f>IF($A677="","",VLOOKUP($H677,APOIO!$L:$M,2,FALSE))</f>
        <v/>
      </c>
      <c r="J677" s="31"/>
      <c r="K677" s="32" t="str">
        <f>IF($A677="","",VLOOKUP($J677,APOIO!$H:$J,2,FALSE))</f>
        <v/>
      </c>
      <c r="L677" s="32" t="str">
        <f>IF($A677="","",VLOOKUP($J677,APOIO!$H:$J,3,FALSE))</f>
        <v/>
      </c>
      <c r="M677" s="31"/>
      <c r="N677" s="34"/>
      <c r="O677" s="32"/>
      <c r="P677" s="32"/>
      <c r="Q677" s="32"/>
      <c r="R677" s="32"/>
      <c r="S677" s="35"/>
      <c r="T677" s="91"/>
      <c r="U677" s="60"/>
      <c r="V677" s="36"/>
      <c r="W677" s="31"/>
      <c r="X677" s="59"/>
      <c r="Y677" s="59" t="str">
        <f>IFERROR(VLOOKUP($A677,APOIO!$A:$A,1,FALSE),"ERRO")</f>
        <v>ERRO</v>
      </c>
      <c r="Z677"/>
    </row>
    <row r="678" spans="1:26" ht="15" x14ac:dyDescent="0.25">
      <c r="A678" s="94"/>
      <c r="B678" s="32" t="str">
        <f>IF($A678="","",VLOOKUP($A678,APOIO!$A:$E,2,FALSE))</f>
        <v/>
      </c>
      <c r="C678" s="94"/>
      <c r="D678" s="32" t="str">
        <f>IF($A678="","",INDEX(APOIO!$D:$D,MATCH(CONCATENATE($A678,"_",$B678,"_",$C678),APOIO!$F:$F,0)))</f>
        <v/>
      </c>
      <c r="E678" s="31"/>
      <c r="F678" s="31"/>
      <c r="G678" s="33"/>
      <c r="H678" s="105"/>
      <c r="I678" s="32" t="str">
        <f>IF($A678="","",VLOOKUP($H678,APOIO!$L:$M,2,FALSE))</f>
        <v/>
      </c>
      <c r="J678" s="31"/>
      <c r="K678" s="32" t="str">
        <f>IF($A678="","",VLOOKUP($J678,APOIO!$H:$J,2,FALSE))</f>
        <v/>
      </c>
      <c r="L678" s="32" t="str">
        <f>IF($A678="","",VLOOKUP($J678,APOIO!$H:$J,3,FALSE))</f>
        <v/>
      </c>
      <c r="M678" s="31"/>
      <c r="N678" s="34"/>
      <c r="O678" s="32"/>
      <c r="P678" s="32"/>
      <c r="Q678" s="32"/>
      <c r="R678" s="32"/>
      <c r="S678" s="35"/>
      <c r="T678" s="91"/>
      <c r="U678" s="60"/>
      <c r="V678" s="36"/>
      <c r="W678" s="31"/>
      <c r="X678" s="59"/>
      <c r="Y678" s="59" t="str">
        <f>IFERROR(VLOOKUP($A678,APOIO!$A:$A,1,FALSE),"ERRO")</f>
        <v>ERRO</v>
      </c>
      <c r="Z678"/>
    </row>
    <row r="679" spans="1:26" ht="15" x14ac:dyDescent="0.25">
      <c r="A679" s="94"/>
      <c r="B679" s="32" t="str">
        <f>IF($A679="","",VLOOKUP($A679,APOIO!$A:$E,2,FALSE))</f>
        <v/>
      </c>
      <c r="C679" s="94"/>
      <c r="D679" s="32" t="str">
        <f>IF($A679="","",INDEX(APOIO!$D:$D,MATCH(CONCATENATE($A679,"_",$B679,"_",$C679),APOIO!$F:$F,0)))</f>
        <v/>
      </c>
      <c r="E679" s="31"/>
      <c r="F679" s="31"/>
      <c r="G679" s="33"/>
      <c r="H679" s="105"/>
      <c r="I679" s="32" t="str">
        <f>IF($A679="","",VLOOKUP($H679,APOIO!$L:$M,2,FALSE))</f>
        <v/>
      </c>
      <c r="J679" s="31"/>
      <c r="K679" s="32" t="str">
        <f>IF($A679="","",VLOOKUP($J679,APOIO!$H:$J,2,FALSE))</f>
        <v/>
      </c>
      <c r="L679" s="32" t="str">
        <f>IF($A679="","",VLOOKUP($J679,APOIO!$H:$J,3,FALSE))</f>
        <v/>
      </c>
      <c r="M679" s="31"/>
      <c r="N679" s="34"/>
      <c r="O679" s="32"/>
      <c r="P679" s="32"/>
      <c r="Q679" s="32"/>
      <c r="R679" s="32"/>
      <c r="S679" s="35"/>
      <c r="T679" s="91"/>
      <c r="U679" s="60"/>
      <c r="V679" s="36"/>
      <c r="W679" s="31"/>
      <c r="X679" s="59"/>
      <c r="Y679" s="59" t="str">
        <f>IFERROR(VLOOKUP($A679,APOIO!$A:$A,1,FALSE),"ERRO")</f>
        <v>ERRO</v>
      </c>
      <c r="Z679"/>
    </row>
    <row r="680" spans="1:26" ht="15" x14ac:dyDescent="0.25">
      <c r="A680" s="94"/>
      <c r="B680" s="32" t="str">
        <f>IF($A680="","",VLOOKUP($A680,APOIO!$A:$E,2,FALSE))</f>
        <v/>
      </c>
      <c r="C680" s="94"/>
      <c r="D680" s="32" t="str">
        <f>IF($A680="","",INDEX(APOIO!$D:$D,MATCH(CONCATENATE($A680,"_",$B680,"_",$C680),APOIO!$F:$F,0)))</f>
        <v/>
      </c>
      <c r="E680" s="31"/>
      <c r="F680" s="31"/>
      <c r="G680" s="33"/>
      <c r="H680" s="105"/>
      <c r="I680" s="32" t="str">
        <f>IF($A680="","",VLOOKUP($H680,APOIO!$L:$M,2,FALSE))</f>
        <v/>
      </c>
      <c r="J680" s="31"/>
      <c r="K680" s="32" t="str">
        <f>IF($A680="","",VLOOKUP($J680,APOIO!$H:$J,2,FALSE))</f>
        <v/>
      </c>
      <c r="L680" s="32" t="str">
        <f>IF($A680="","",VLOOKUP($J680,APOIO!$H:$J,3,FALSE))</f>
        <v/>
      </c>
      <c r="M680" s="31"/>
      <c r="N680" s="34"/>
      <c r="O680" s="32"/>
      <c r="P680" s="32"/>
      <c r="Q680" s="32"/>
      <c r="R680" s="32"/>
      <c r="S680" s="35"/>
      <c r="T680" s="91"/>
      <c r="U680" s="60"/>
      <c r="V680" s="36"/>
      <c r="W680" s="31"/>
      <c r="X680" s="59"/>
      <c r="Y680" s="59" t="str">
        <f>IFERROR(VLOOKUP($A680,APOIO!$A:$A,1,FALSE),"ERRO")</f>
        <v>ERRO</v>
      </c>
      <c r="Z680"/>
    </row>
    <row r="681" spans="1:26" ht="15" x14ac:dyDescent="0.25">
      <c r="A681" s="94"/>
      <c r="B681" s="32" t="str">
        <f>IF($A681="","",VLOOKUP($A681,APOIO!$A:$E,2,FALSE))</f>
        <v/>
      </c>
      <c r="C681" s="94"/>
      <c r="D681" s="32" t="str">
        <f>IF($A681="","",INDEX(APOIO!$D:$D,MATCH(CONCATENATE($A681,"_",$B681,"_",$C681),APOIO!$F:$F,0)))</f>
        <v/>
      </c>
      <c r="E681" s="31"/>
      <c r="F681" s="31"/>
      <c r="G681" s="33"/>
      <c r="H681" s="105"/>
      <c r="I681" s="32" t="str">
        <f>IF($A681="","",VLOOKUP($H681,APOIO!$L:$M,2,FALSE))</f>
        <v/>
      </c>
      <c r="J681" s="31"/>
      <c r="K681" s="32" t="str">
        <f>IF($A681="","",VLOOKUP($J681,APOIO!$H:$J,2,FALSE))</f>
        <v/>
      </c>
      <c r="L681" s="32" t="str">
        <f>IF($A681="","",VLOOKUP($J681,APOIO!$H:$J,3,FALSE))</f>
        <v/>
      </c>
      <c r="M681" s="31"/>
      <c r="N681" s="34"/>
      <c r="O681" s="32"/>
      <c r="P681" s="32"/>
      <c r="Q681" s="32"/>
      <c r="R681" s="32"/>
      <c r="S681" s="35"/>
      <c r="T681" s="91"/>
      <c r="U681" s="60"/>
      <c r="V681" s="36"/>
      <c r="W681" s="31"/>
      <c r="X681" s="59"/>
      <c r="Y681" s="59" t="str">
        <f>IFERROR(VLOOKUP($A681,APOIO!$A:$A,1,FALSE),"ERRO")</f>
        <v>ERRO</v>
      </c>
      <c r="Z681"/>
    </row>
    <row r="682" spans="1:26" ht="15" x14ac:dyDescent="0.25">
      <c r="A682" s="94"/>
      <c r="B682" s="32" t="str">
        <f>IF($A682="","",VLOOKUP($A682,APOIO!$A:$E,2,FALSE))</f>
        <v/>
      </c>
      <c r="C682" s="94"/>
      <c r="D682" s="32" t="str">
        <f>IF($A682="","",INDEX(APOIO!$D:$D,MATCH(CONCATENATE($A682,"_",$B682,"_",$C682),APOIO!$F:$F,0)))</f>
        <v/>
      </c>
      <c r="E682" s="31"/>
      <c r="F682" s="31"/>
      <c r="G682" s="33"/>
      <c r="H682" s="105"/>
      <c r="I682" s="32" t="str">
        <f>IF($A682="","",VLOOKUP($H682,APOIO!$L:$M,2,FALSE))</f>
        <v/>
      </c>
      <c r="J682" s="31"/>
      <c r="K682" s="32" t="str">
        <f>IF($A682="","",VLOOKUP($J682,APOIO!$H:$J,2,FALSE))</f>
        <v/>
      </c>
      <c r="L682" s="32" t="str">
        <f>IF($A682="","",VLOOKUP($J682,APOIO!$H:$J,3,FALSE))</f>
        <v/>
      </c>
      <c r="M682" s="31"/>
      <c r="N682" s="34"/>
      <c r="O682" s="32"/>
      <c r="P682" s="32"/>
      <c r="Q682" s="32"/>
      <c r="R682" s="32"/>
      <c r="S682" s="35"/>
      <c r="T682" s="91"/>
      <c r="U682" s="60"/>
      <c r="V682" s="36"/>
      <c r="W682" s="31"/>
      <c r="X682" s="59"/>
      <c r="Y682" s="59" t="str">
        <f>IFERROR(VLOOKUP($A682,APOIO!$A:$A,1,FALSE),"ERRO")</f>
        <v>ERRO</v>
      </c>
      <c r="Z682"/>
    </row>
    <row r="683" spans="1:26" ht="15" x14ac:dyDescent="0.25">
      <c r="A683" s="94"/>
      <c r="B683" s="32" t="str">
        <f>IF($A683="","",VLOOKUP($A683,APOIO!$A:$E,2,FALSE))</f>
        <v/>
      </c>
      <c r="C683" s="94"/>
      <c r="D683" s="32" t="str">
        <f>IF($A683="","",INDEX(APOIO!$D:$D,MATCH(CONCATENATE($A683,"_",$B683,"_",$C683),APOIO!$F:$F,0)))</f>
        <v/>
      </c>
      <c r="E683" s="31"/>
      <c r="F683" s="31"/>
      <c r="G683" s="33"/>
      <c r="H683" s="105"/>
      <c r="I683" s="32" t="str">
        <f>IF($A683="","",VLOOKUP($H683,APOIO!$L:$M,2,FALSE))</f>
        <v/>
      </c>
      <c r="J683" s="31"/>
      <c r="K683" s="32" t="str">
        <f>IF($A683="","",VLOOKUP($J683,APOIO!$H:$J,2,FALSE))</f>
        <v/>
      </c>
      <c r="L683" s="32" t="str">
        <f>IF($A683="","",VLOOKUP($J683,APOIO!$H:$J,3,FALSE))</f>
        <v/>
      </c>
      <c r="M683" s="31"/>
      <c r="N683" s="34"/>
      <c r="O683" s="32"/>
      <c r="P683" s="32"/>
      <c r="Q683" s="32"/>
      <c r="R683" s="32"/>
      <c r="S683" s="35"/>
      <c r="T683" s="91"/>
      <c r="U683" s="60"/>
      <c r="V683" s="36"/>
      <c r="W683" s="31"/>
      <c r="X683" s="59"/>
      <c r="Y683" s="59" t="str">
        <f>IFERROR(VLOOKUP($A683,APOIO!$A:$A,1,FALSE),"ERRO")</f>
        <v>ERRO</v>
      </c>
      <c r="Z683"/>
    </row>
    <row r="684" spans="1:26" ht="15" x14ac:dyDescent="0.25">
      <c r="A684" s="94"/>
      <c r="B684" s="32" t="str">
        <f>IF($A684="","",VLOOKUP($A684,APOIO!$A:$E,2,FALSE))</f>
        <v/>
      </c>
      <c r="C684" s="94"/>
      <c r="D684" s="32" t="str">
        <f>IF($A684="","",INDEX(APOIO!$D:$D,MATCH(CONCATENATE($A684,"_",$B684,"_",$C684),APOIO!$F:$F,0)))</f>
        <v/>
      </c>
      <c r="E684" s="31"/>
      <c r="F684" s="31"/>
      <c r="G684" s="33"/>
      <c r="H684" s="105"/>
      <c r="I684" s="32" t="str">
        <f>IF($A684="","",VLOOKUP($H684,APOIO!$L:$M,2,FALSE))</f>
        <v/>
      </c>
      <c r="J684" s="31"/>
      <c r="K684" s="32" t="str">
        <f>IF($A684="","",VLOOKUP($J684,APOIO!$H:$J,2,FALSE))</f>
        <v/>
      </c>
      <c r="L684" s="32" t="str">
        <f>IF($A684="","",VLOOKUP($J684,APOIO!$H:$J,3,FALSE))</f>
        <v/>
      </c>
      <c r="M684" s="31"/>
      <c r="N684" s="34"/>
      <c r="O684" s="32"/>
      <c r="P684" s="32"/>
      <c r="Q684" s="32"/>
      <c r="R684" s="32"/>
      <c r="S684" s="35"/>
      <c r="T684" s="91"/>
      <c r="U684" s="60"/>
      <c r="V684" s="36"/>
      <c r="W684" s="31"/>
      <c r="X684" s="59"/>
      <c r="Y684" s="59" t="str">
        <f>IFERROR(VLOOKUP($A684,APOIO!$A:$A,1,FALSE),"ERRO")</f>
        <v>ERRO</v>
      </c>
      <c r="Z684"/>
    </row>
    <row r="685" spans="1:26" ht="15" x14ac:dyDescent="0.25">
      <c r="A685" s="94"/>
      <c r="B685" s="32" t="str">
        <f>IF($A685="","",VLOOKUP($A685,APOIO!$A:$E,2,FALSE))</f>
        <v/>
      </c>
      <c r="C685" s="94"/>
      <c r="D685" s="32" t="str">
        <f>IF($A685="","",INDEX(APOIO!$D:$D,MATCH(CONCATENATE($A685,"_",$B685,"_",$C685),APOIO!$F:$F,0)))</f>
        <v/>
      </c>
      <c r="E685" s="31"/>
      <c r="F685" s="31"/>
      <c r="G685" s="33"/>
      <c r="H685" s="105"/>
      <c r="I685" s="32" t="str">
        <f>IF($A685="","",VLOOKUP($H685,APOIO!$L:$M,2,FALSE))</f>
        <v/>
      </c>
      <c r="J685" s="31"/>
      <c r="K685" s="32" t="str">
        <f>IF($A685="","",VLOOKUP($J685,APOIO!$H:$J,2,FALSE))</f>
        <v/>
      </c>
      <c r="L685" s="32" t="str">
        <f>IF($A685="","",VLOOKUP($J685,APOIO!$H:$J,3,FALSE))</f>
        <v/>
      </c>
      <c r="M685" s="31"/>
      <c r="N685" s="34"/>
      <c r="O685" s="32"/>
      <c r="P685" s="32"/>
      <c r="Q685" s="32"/>
      <c r="R685" s="32"/>
      <c r="S685" s="35"/>
      <c r="T685" s="91"/>
      <c r="U685" s="60"/>
      <c r="V685" s="36"/>
      <c r="W685" s="31"/>
      <c r="X685" s="59"/>
      <c r="Y685" s="59" t="str">
        <f>IFERROR(VLOOKUP($A685,APOIO!$A:$A,1,FALSE),"ERRO")</f>
        <v>ERRO</v>
      </c>
      <c r="Z685"/>
    </row>
    <row r="686" spans="1:26" ht="15" x14ac:dyDescent="0.25">
      <c r="A686" s="94"/>
      <c r="B686" s="32" t="str">
        <f>IF($A686="","",VLOOKUP($A686,APOIO!$A:$E,2,FALSE))</f>
        <v/>
      </c>
      <c r="C686" s="94"/>
      <c r="D686" s="32" t="str">
        <f>IF($A686="","",INDEX(APOIO!$D:$D,MATCH(CONCATENATE($A686,"_",$B686,"_",$C686),APOIO!$F:$F,0)))</f>
        <v/>
      </c>
      <c r="E686" s="31"/>
      <c r="F686" s="31"/>
      <c r="G686" s="33"/>
      <c r="H686" s="105"/>
      <c r="I686" s="32" t="str">
        <f>IF($A686="","",VLOOKUP($H686,APOIO!$L:$M,2,FALSE))</f>
        <v/>
      </c>
      <c r="J686" s="31"/>
      <c r="K686" s="32" t="str">
        <f>IF($A686="","",VLOOKUP($J686,APOIO!$H:$J,2,FALSE))</f>
        <v/>
      </c>
      <c r="L686" s="32" t="str">
        <f>IF($A686="","",VLOOKUP($J686,APOIO!$H:$J,3,FALSE))</f>
        <v/>
      </c>
      <c r="M686" s="31"/>
      <c r="N686" s="34"/>
      <c r="O686" s="32"/>
      <c r="P686" s="32"/>
      <c r="Q686" s="32"/>
      <c r="R686" s="32"/>
      <c r="S686" s="35"/>
      <c r="T686" s="91"/>
      <c r="U686" s="60"/>
      <c r="V686" s="36"/>
      <c r="W686" s="31"/>
      <c r="X686" s="59"/>
      <c r="Y686" s="59" t="str">
        <f>IFERROR(VLOOKUP($A686,APOIO!$A:$A,1,FALSE),"ERRO")</f>
        <v>ERRO</v>
      </c>
      <c r="Z686"/>
    </row>
    <row r="687" spans="1:26" ht="15" x14ac:dyDescent="0.25">
      <c r="A687" s="94"/>
      <c r="B687" s="32" t="str">
        <f>IF($A687="","",VLOOKUP($A687,APOIO!$A:$E,2,FALSE))</f>
        <v/>
      </c>
      <c r="C687" s="94"/>
      <c r="D687" s="32" t="str">
        <f>IF($A687="","",INDEX(APOIO!$D:$D,MATCH(CONCATENATE($A687,"_",$B687,"_",$C687),APOIO!$F:$F,0)))</f>
        <v/>
      </c>
      <c r="E687" s="31"/>
      <c r="F687" s="31"/>
      <c r="G687" s="33"/>
      <c r="H687" s="105"/>
      <c r="I687" s="32" t="str">
        <f>IF($A687="","",VLOOKUP($H687,APOIO!$L:$M,2,FALSE))</f>
        <v/>
      </c>
      <c r="J687" s="31"/>
      <c r="K687" s="32" t="str">
        <f>IF($A687="","",VLOOKUP($J687,APOIO!$H:$J,2,FALSE))</f>
        <v/>
      </c>
      <c r="L687" s="32" t="str">
        <f>IF($A687="","",VLOOKUP($J687,APOIO!$H:$J,3,FALSE))</f>
        <v/>
      </c>
      <c r="M687" s="31"/>
      <c r="N687" s="34"/>
      <c r="O687" s="32"/>
      <c r="P687" s="32"/>
      <c r="Q687" s="32"/>
      <c r="R687" s="32"/>
      <c r="S687" s="35"/>
      <c r="T687" s="91"/>
      <c r="U687" s="60"/>
      <c r="V687" s="36"/>
      <c r="W687" s="31"/>
      <c r="X687" s="59"/>
      <c r="Y687" s="59" t="str">
        <f>IFERROR(VLOOKUP($A687,APOIO!$A:$A,1,FALSE),"ERRO")</f>
        <v>ERRO</v>
      </c>
      <c r="Z687"/>
    </row>
    <row r="688" spans="1:26" ht="15" x14ac:dyDescent="0.25">
      <c r="A688" s="94"/>
      <c r="B688" s="32" t="str">
        <f>IF($A688="","",VLOOKUP($A688,APOIO!$A:$E,2,FALSE))</f>
        <v/>
      </c>
      <c r="C688" s="94"/>
      <c r="D688" s="32" t="str">
        <f>IF($A688="","",INDEX(APOIO!$D:$D,MATCH(CONCATENATE($A688,"_",$B688,"_",$C688),APOIO!$F:$F,0)))</f>
        <v/>
      </c>
      <c r="E688" s="31"/>
      <c r="F688" s="31"/>
      <c r="G688" s="33"/>
      <c r="H688" s="105"/>
      <c r="I688" s="32" t="str">
        <f>IF($A688="","",VLOOKUP($H688,APOIO!$L:$M,2,FALSE))</f>
        <v/>
      </c>
      <c r="J688" s="31"/>
      <c r="K688" s="32" t="str">
        <f>IF($A688="","",VLOOKUP($J688,APOIO!$H:$J,2,FALSE))</f>
        <v/>
      </c>
      <c r="L688" s="32" t="str">
        <f>IF($A688="","",VLOOKUP($J688,APOIO!$H:$J,3,FALSE))</f>
        <v/>
      </c>
      <c r="M688" s="31"/>
      <c r="N688" s="34"/>
      <c r="O688" s="32"/>
      <c r="P688" s="32"/>
      <c r="Q688" s="32"/>
      <c r="R688" s="32"/>
      <c r="S688" s="35"/>
      <c r="T688" s="91"/>
      <c r="U688" s="60"/>
      <c r="V688" s="36"/>
      <c r="W688" s="31"/>
      <c r="X688" s="59"/>
      <c r="Y688" s="59" t="str">
        <f>IFERROR(VLOOKUP($A688,APOIO!$A:$A,1,FALSE),"ERRO")</f>
        <v>ERRO</v>
      </c>
      <c r="Z688"/>
    </row>
    <row r="689" spans="1:26" ht="15" x14ac:dyDescent="0.25">
      <c r="A689" s="94"/>
      <c r="B689" s="32" t="str">
        <f>IF($A689="","",VLOOKUP($A689,APOIO!$A:$E,2,FALSE))</f>
        <v/>
      </c>
      <c r="C689" s="94"/>
      <c r="D689" s="32" t="str">
        <f>IF($A689="","",INDEX(APOIO!$D:$D,MATCH(CONCATENATE($A689,"_",$B689,"_",$C689),APOIO!$F:$F,0)))</f>
        <v/>
      </c>
      <c r="E689" s="31"/>
      <c r="F689" s="31"/>
      <c r="G689" s="33"/>
      <c r="H689" s="105"/>
      <c r="I689" s="32" t="str">
        <f>IF($A689="","",VLOOKUP($H689,APOIO!$L:$M,2,FALSE))</f>
        <v/>
      </c>
      <c r="J689" s="31"/>
      <c r="K689" s="32" t="str">
        <f>IF($A689="","",VLOOKUP($J689,APOIO!$H:$J,2,FALSE))</f>
        <v/>
      </c>
      <c r="L689" s="32" t="str">
        <f>IF($A689="","",VLOOKUP($J689,APOIO!$H:$J,3,FALSE))</f>
        <v/>
      </c>
      <c r="M689" s="31"/>
      <c r="N689" s="34"/>
      <c r="O689" s="32"/>
      <c r="P689" s="32"/>
      <c r="Q689" s="32"/>
      <c r="R689" s="32"/>
      <c r="S689" s="35"/>
      <c r="T689" s="91"/>
      <c r="U689" s="60"/>
      <c r="V689" s="36"/>
      <c r="W689" s="31"/>
      <c r="X689" s="59"/>
      <c r="Y689" s="59" t="str">
        <f>IFERROR(VLOOKUP($A689,APOIO!$A:$A,1,FALSE),"ERRO")</f>
        <v>ERRO</v>
      </c>
      <c r="Z689"/>
    </row>
    <row r="690" spans="1:26" ht="15" x14ac:dyDescent="0.25">
      <c r="A690" s="94"/>
      <c r="B690" s="32" t="str">
        <f>IF($A690="","",VLOOKUP($A690,APOIO!$A:$E,2,FALSE))</f>
        <v/>
      </c>
      <c r="C690" s="94"/>
      <c r="D690" s="32" t="str">
        <f>IF($A690="","",INDEX(APOIO!$D:$D,MATCH(CONCATENATE($A690,"_",$B690,"_",$C690),APOIO!$F:$F,0)))</f>
        <v/>
      </c>
      <c r="E690" s="31"/>
      <c r="F690" s="31"/>
      <c r="G690" s="33"/>
      <c r="H690" s="105"/>
      <c r="I690" s="32" t="str">
        <f>IF($A690="","",VLOOKUP($H690,APOIO!$L:$M,2,FALSE))</f>
        <v/>
      </c>
      <c r="J690" s="31"/>
      <c r="K690" s="32" t="str">
        <f>IF($A690="","",VLOOKUP($J690,APOIO!$H:$J,2,FALSE))</f>
        <v/>
      </c>
      <c r="L690" s="32" t="str">
        <f>IF($A690="","",VLOOKUP($J690,APOIO!$H:$J,3,FALSE))</f>
        <v/>
      </c>
      <c r="M690" s="31"/>
      <c r="N690" s="34"/>
      <c r="O690" s="32"/>
      <c r="P690" s="32"/>
      <c r="Q690" s="32"/>
      <c r="R690" s="32"/>
      <c r="S690" s="35"/>
      <c r="T690" s="91"/>
      <c r="U690" s="60"/>
      <c r="V690" s="36"/>
      <c r="W690" s="31"/>
      <c r="X690" s="59"/>
      <c r="Y690" s="59" t="str">
        <f>IFERROR(VLOOKUP($A690,APOIO!$A:$A,1,FALSE),"ERRO")</f>
        <v>ERRO</v>
      </c>
      <c r="Z690"/>
    </row>
    <row r="691" spans="1:26" ht="15" x14ac:dyDescent="0.25">
      <c r="A691" s="94"/>
      <c r="B691" s="32" t="str">
        <f>IF($A691="","",VLOOKUP($A691,APOIO!$A:$E,2,FALSE))</f>
        <v/>
      </c>
      <c r="C691" s="94"/>
      <c r="D691" s="32" t="str">
        <f>IF($A691="","",INDEX(APOIO!$D:$D,MATCH(CONCATENATE($A691,"_",$B691,"_",$C691),APOIO!$F:$F,0)))</f>
        <v/>
      </c>
      <c r="E691" s="31"/>
      <c r="F691" s="31"/>
      <c r="G691" s="33"/>
      <c r="H691" s="105"/>
      <c r="I691" s="32" t="str">
        <f>IF($A691="","",VLOOKUP($H691,APOIO!$L:$M,2,FALSE))</f>
        <v/>
      </c>
      <c r="J691" s="31"/>
      <c r="K691" s="32" t="str">
        <f>IF($A691="","",VLOOKUP($J691,APOIO!$H:$J,2,FALSE))</f>
        <v/>
      </c>
      <c r="L691" s="32" t="str">
        <f>IF($A691="","",VLOOKUP($J691,APOIO!$H:$J,3,FALSE))</f>
        <v/>
      </c>
      <c r="M691" s="31"/>
      <c r="N691" s="34"/>
      <c r="O691" s="32"/>
      <c r="P691" s="32"/>
      <c r="Q691" s="32"/>
      <c r="R691" s="32"/>
      <c r="S691" s="35"/>
      <c r="T691" s="91"/>
      <c r="U691" s="60"/>
      <c r="V691" s="36"/>
      <c r="W691" s="31"/>
      <c r="X691" s="59"/>
      <c r="Y691" s="59" t="str">
        <f>IFERROR(VLOOKUP($A691,APOIO!$A:$A,1,FALSE),"ERRO")</f>
        <v>ERRO</v>
      </c>
      <c r="Z691"/>
    </row>
    <row r="692" spans="1:26" ht="15" x14ac:dyDescent="0.25">
      <c r="A692" s="94"/>
      <c r="B692" s="32" t="str">
        <f>IF($A692="","",VLOOKUP($A692,APOIO!$A:$E,2,FALSE))</f>
        <v/>
      </c>
      <c r="C692" s="94"/>
      <c r="D692" s="32" t="str">
        <f>IF($A692="","",INDEX(APOIO!$D:$D,MATCH(CONCATENATE($A692,"_",$B692,"_",$C692),APOIO!$F:$F,0)))</f>
        <v/>
      </c>
      <c r="E692" s="31"/>
      <c r="F692" s="31"/>
      <c r="G692" s="33"/>
      <c r="H692" s="105"/>
      <c r="I692" s="32" t="str">
        <f>IF($A692="","",VLOOKUP($H692,APOIO!$L:$M,2,FALSE))</f>
        <v/>
      </c>
      <c r="J692" s="31"/>
      <c r="K692" s="32" t="str">
        <f>IF($A692="","",VLOOKUP($J692,APOIO!$H:$J,2,FALSE))</f>
        <v/>
      </c>
      <c r="L692" s="32" t="str">
        <f>IF($A692="","",VLOOKUP($J692,APOIO!$H:$J,3,FALSE))</f>
        <v/>
      </c>
      <c r="M692" s="31"/>
      <c r="N692" s="34"/>
      <c r="O692" s="32"/>
      <c r="P692" s="32"/>
      <c r="Q692" s="32"/>
      <c r="R692" s="32"/>
      <c r="S692" s="35"/>
      <c r="T692" s="91"/>
      <c r="U692" s="60"/>
      <c r="V692" s="36"/>
      <c r="W692" s="31"/>
      <c r="X692" s="59"/>
      <c r="Y692" s="59" t="str">
        <f>IFERROR(VLOOKUP($A692,APOIO!$A:$A,1,FALSE),"ERRO")</f>
        <v>ERRO</v>
      </c>
      <c r="Z692"/>
    </row>
    <row r="693" spans="1:26" ht="15" x14ac:dyDescent="0.25">
      <c r="A693" s="94"/>
      <c r="B693" s="32" t="str">
        <f>IF($A693="","",VLOOKUP($A693,APOIO!$A:$E,2,FALSE))</f>
        <v/>
      </c>
      <c r="C693" s="94"/>
      <c r="D693" s="32" t="str">
        <f>IF($A693="","",INDEX(APOIO!$D:$D,MATCH(CONCATENATE($A693,"_",$B693,"_",$C693),APOIO!$F:$F,0)))</f>
        <v/>
      </c>
      <c r="E693" s="31"/>
      <c r="F693" s="31"/>
      <c r="G693" s="33"/>
      <c r="H693" s="105"/>
      <c r="I693" s="32" t="str">
        <f>IF($A693="","",VLOOKUP($H693,APOIO!$L:$M,2,FALSE))</f>
        <v/>
      </c>
      <c r="J693" s="31"/>
      <c r="K693" s="32" t="str">
        <f>IF($A693="","",VLOOKUP($J693,APOIO!$H:$J,2,FALSE))</f>
        <v/>
      </c>
      <c r="L693" s="32" t="str">
        <f>IF($A693="","",VLOOKUP($J693,APOIO!$H:$J,3,FALSE))</f>
        <v/>
      </c>
      <c r="M693" s="31"/>
      <c r="N693" s="34"/>
      <c r="O693" s="32"/>
      <c r="P693" s="32"/>
      <c r="Q693" s="32"/>
      <c r="R693" s="32"/>
      <c r="S693" s="35"/>
      <c r="T693" s="91"/>
      <c r="U693" s="60"/>
      <c r="V693" s="36"/>
      <c r="W693" s="31"/>
      <c r="X693" s="59"/>
      <c r="Y693" s="59" t="str">
        <f>IFERROR(VLOOKUP($A693,APOIO!$A:$A,1,FALSE),"ERRO")</f>
        <v>ERRO</v>
      </c>
      <c r="Z693"/>
    </row>
    <row r="694" spans="1:26" ht="15" x14ac:dyDescent="0.25">
      <c r="A694" s="94"/>
      <c r="B694" s="32" t="str">
        <f>IF($A694="","",VLOOKUP($A694,APOIO!$A:$E,2,FALSE))</f>
        <v/>
      </c>
      <c r="C694" s="94"/>
      <c r="D694" s="32" t="str">
        <f>IF($A694="","",INDEX(APOIO!$D:$D,MATCH(CONCATENATE($A694,"_",$B694,"_",$C694),APOIO!$F:$F,0)))</f>
        <v/>
      </c>
      <c r="E694" s="31"/>
      <c r="F694" s="31"/>
      <c r="G694" s="33"/>
      <c r="H694" s="105"/>
      <c r="I694" s="32" t="str">
        <f>IF($A694="","",VLOOKUP($H694,APOIO!$L:$M,2,FALSE))</f>
        <v/>
      </c>
      <c r="J694" s="31"/>
      <c r="K694" s="32" t="str">
        <f>IF($A694="","",VLOOKUP($J694,APOIO!$H:$J,2,FALSE))</f>
        <v/>
      </c>
      <c r="L694" s="32" t="str">
        <f>IF($A694="","",VLOOKUP($J694,APOIO!$H:$J,3,FALSE))</f>
        <v/>
      </c>
      <c r="M694" s="31"/>
      <c r="N694" s="34"/>
      <c r="O694" s="32"/>
      <c r="P694" s="32"/>
      <c r="Q694" s="32"/>
      <c r="R694" s="32"/>
      <c r="S694" s="35"/>
      <c r="T694" s="91"/>
      <c r="U694" s="60"/>
      <c r="V694" s="36"/>
      <c r="W694" s="31"/>
      <c r="X694" s="59"/>
      <c r="Y694" s="59" t="str">
        <f>IFERROR(VLOOKUP($A694,APOIO!$A:$A,1,FALSE),"ERRO")</f>
        <v>ERRO</v>
      </c>
      <c r="Z694"/>
    </row>
    <row r="695" spans="1:26" ht="15" x14ac:dyDescent="0.25">
      <c r="A695" s="94"/>
      <c r="B695" s="32" t="str">
        <f>IF($A695="","",VLOOKUP($A695,APOIO!$A:$E,2,FALSE))</f>
        <v/>
      </c>
      <c r="C695" s="94"/>
      <c r="D695" s="32" t="str">
        <f>IF($A695="","",INDEX(APOIO!$D:$D,MATCH(CONCATENATE($A695,"_",$B695,"_",$C695),APOIO!$F:$F,0)))</f>
        <v/>
      </c>
      <c r="E695" s="31"/>
      <c r="F695" s="31"/>
      <c r="G695" s="33"/>
      <c r="H695" s="105"/>
      <c r="I695" s="32" t="str">
        <f>IF($A695="","",VLOOKUP($H695,APOIO!$L:$M,2,FALSE))</f>
        <v/>
      </c>
      <c r="J695" s="31"/>
      <c r="K695" s="32" t="str">
        <f>IF($A695="","",VLOOKUP($J695,APOIO!$H:$J,2,FALSE))</f>
        <v/>
      </c>
      <c r="L695" s="32" t="str">
        <f>IF($A695="","",VLOOKUP($J695,APOIO!$H:$J,3,FALSE))</f>
        <v/>
      </c>
      <c r="M695" s="31"/>
      <c r="N695" s="34"/>
      <c r="O695" s="32"/>
      <c r="P695" s="32"/>
      <c r="Q695" s="32"/>
      <c r="R695" s="32"/>
      <c r="S695" s="35"/>
      <c r="T695" s="91"/>
      <c r="U695" s="60"/>
      <c r="V695" s="36"/>
      <c r="W695" s="31"/>
      <c r="X695" s="59"/>
      <c r="Y695" s="59" t="str">
        <f>IFERROR(VLOOKUP($A695,APOIO!$A:$A,1,FALSE),"ERRO")</f>
        <v>ERRO</v>
      </c>
      <c r="Z695"/>
    </row>
    <row r="696" spans="1:26" ht="15" x14ac:dyDescent="0.25">
      <c r="A696" s="94"/>
      <c r="B696" s="32" t="str">
        <f>IF($A696="","",VLOOKUP($A696,APOIO!$A:$E,2,FALSE))</f>
        <v/>
      </c>
      <c r="C696" s="94"/>
      <c r="D696" s="32" t="str">
        <f>IF($A696="","",INDEX(APOIO!$D:$D,MATCH(CONCATENATE($A696,"_",$B696,"_",$C696),APOIO!$F:$F,0)))</f>
        <v/>
      </c>
      <c r="E696" s="31"/>
      <c r="F696" s="31"/>
      <c r="G696" s="33"/>
      <c r="H696" s="105"/>
      <c r="I696" s="32" t="str">
        <f>IF($A696="","",VLOOKUP($H696,APOIO!$L:$M,2,FALSE))</f>
        <v/>
      </c>
      <c r="J696" s="31"/>
      <c r="K696" s="32" t="str">
        <f>IF($A696="","",VLOOKUP($J696,APOIO!$H:$J,2,FALSE))</f>
        <v/>
      </c>
      <c r="L696" s="32" t="str">
        <f>IF($A696="","",VLOOKUP($J696,APOIO!$H:$J,3,FALSE))</f>
        <v/>
      </c>
      <c r="M696" s="31"/>
      <c r="N696" s="34"/>
      <c r="O696" s="32"/>
      <c r="P696" s="32"/>
      <c r="Q696" s="32"/>
      <c r="R696" s="32"/>
      <c r="S696" s="35"/>
      <c r="T696" s="91"/>
      <c r="U696" s="60"/>
      <c r="V696" s="36"/>
      <c r="W696" s="31"/>
      <c r="X696" s="59"/>
      <c r="Y696" s="59" t="str">
        <f>IFERROR(VLOOKUP($A696,APOIO!$A:$A,1,FALSE),"ERRO")</f>
        <v>ERRO</v>
      </c>
      <c r="Z696"/>
    </row>
    <row r="697" spans="1:26" ht="15" x14ac:dyDescent="0.25">
      <c r="A697" s="94"/>
      <c r="B697" s="32" t="str">
        <f>IF($A697="","",VLOOKUP($A697,APOIO!$A:$E,2,FALSE))</f>
        <v/>
      </c>
      <c r="C697" s="94"/>
      <c r="D697" s="32" t="str">
        <f>IF($A697="","",INDEX(APOIO!$D:$D,MATCH(CONCATENATE($A697,"_",$B697,"_",$C697),APOIO!$F:$F,0)))</f>
        <v/>
      </c>
      <c r="E697" s="31"/>
      <c r="F697" s="31"/>
      <c r="G697" s="33"/>
      <c r="H697" s="105"/>
      <c r="I697" s="32" t="str">
        <f>IF($A697="","",VLOOKUP($H697,APOIO!$L:$M,2,FALSE))</f>
        <v/>
      </c>
      <c r="J697" s="31"/>
      <c r="K697" s="32" t="str">
        <f>IF($A697="","",VLOOKUP($J697,APOIO!$H:$J,2,FALSE))</f>
        <v/>
      </c>
      <c r="L697" s="32" t="str">
        <f>IF($A697="","",VLOOKUP($J697,APOIO!$H:$J,3,FALSE))</f>
        <v/>
      </c>
      <c r="M697" s="31"/>
      <c r="N697" s="34"/>
      <c r="O697" s="32"/>
      <c r="P697" s="32"/>
      <c r="Q697" s="32"/>
      <c r="R697" s="32"/>
      <c r="S697" s="35"/>
      <c r="T697" s="91"/>
      <c r="U697" s="60"/>
      <c r="V697" s="36"/>
      <c r="W697" s="31"/>
      <c r="X697" s="59"/>
      <c r="Y697" s="59" t="str">
        <f>IFERROR(VLOOKUP($A697,APOIO!$A:$A,1,FALSE),"ERRO")</f>
        <v>ERRO</v>
      </c>
      <c r="Z697"/>
    </row>
    <row r="698" spans="1:26" ht="15" x14ac:dyDescent="0.25">
      <c r="A698" s="94"/>
      <c r="B698" s="32" t="str">
        <f>IF($A698="","",VLOOKUP($A698,APOIO!$A:$E,2,FALSE))</f>
        <v/>
      </c>
      <c r="C698" s="94"/>
      <c r="D698" s="32" t="str">
        <f>IF($A698="","",INDEX(APOIO!$D:$D,MATCH(CONCATENATE($A698,"_",$B698,"_",$C698),APOIO!$F:$F,0)))</f>
        <v/>
      </c>
      <c r="E698" s="31"/>
      <c r="F698" s="31"/>
      <c r="G698" s="33"/>
      <c r="H698" s="105"/>
      <c r="I698" s="32" t="str">
        <f>IF($A698="","",VLOOKUP($H698,APOIO!$L:$M,2,FALSE))</f>
        <v/>
      </c>
      <c r="J698" s="31"/>
      <c r="K698" s="32" t="str">
        <f>IF($A698="","",VLOOKUP($J698,APOIO!$H:$J,2,FALSE))</f>
        <v/>
      </c>
      <c r="L698" s="32" t="str">
        <f>IF($A698="","",VLOOKUP($J698,APOIO!$H:$J,3,FALSE))</f>
        <v/>
      </c>
      <c r="M698" s="31"/>
      <c r="N698" s="34"/>
      <c r="O698" s="32"/>
      <c r="P698" s="32"/>
      <c r="Q698" s="32"/>
      <c r="R698" s="32"/>
      <c r="S698" s="35"/>
      <c r="T698" s="91"/>
      <c r="U698" s="60"/>
      <c r="V698" s="36"/>
      <c r="W698" s="31"/>
      <c r="X698" s="59"/>
      <c r="Y698" s="59" t="str">
        <f>IFERROR(VLOOKUP($A698,APOIO!$A:$A,1,FALSE),"ERRO")</f>
        <v>ERRO</v>
      </c>
      <c r="Z698"/>
    </row>
    <row r="699" spans="1:26" ht="15" x14ac:dyDescent="0.25">
      <c r="A699" s="94"/>
      <c r="B699" s="32" t="str">
        <f>IF($A699="","",VLOOKUP($A699,APOIO!$A:$E,2,FALSE))</f>
        <v/>
      </c>
      <c r="C699" s="94"/>
      <c r="D699" s="32" t="str">
        <f>IF($A699="","",INDEX(APOIO!$D:$D,MATCH(CONCATENATE($A699,"_",$B699,"_",$C699),APOIO!$F:$F,0)))</f>
        <v/>
      </c>
      <c r="E699" s="31"/>
      <c r="F699" s="31"/>
      <c r="G699" s="33"/>
      <c r="H699" s="105"/>
      <c r="I699" s="32" t="str">
        <f>IF($A699="","",VLOOKUP($H699,APOIO!$L:$M,2,FALSE))</f>
        <v/>
      </c>
      <c r="J699" s="31"/>
      <c r="K699" s="32" t="str">
        <f>IF($A699="","",VLOOKUP($J699,APOIO!$H:$J,2,FALSE))</f>
        <v/>
      </c>
      <c r="L699" s="32" t="str">
        <f>IF($A699="","",VLOOKUP($J699,APOIO!$H:$J,3,FALSE))</f>
        <v/>
      </c>
      <c r="M699" s="31"/>
      <c r="N699" s="34"/>
      <c r="O699" s="32"/>
      <c r="P699" s="32"/>
      <c r="Q699" s="32"/>
      <c r="R699" s="32"/>
      <c r="S699" s="35"/>
      <c r="T699" s="91"/>
      <c r="U699" s="60"/>
      <c r="V699" s="36"/>
      <c r="W699" s="31"/>
      <c r="X699" s="59"/>
      <c r="Y699" s="59" t="str">
        <f>IFERROR(VLOOKUP($A699,APOIO!$A:$A,1,FALSE),"ERRO")</f>
        <v>ERRO</v>
      </c>
      <c r="Z699"/>
    </row>
    <row r="700" spans="1:26" ht="15" x14ac:dyDescent="0.25">
      <c r="A700" s="94"/>
      <c r="B700" s="32" t="str">
        <f>IF($A700="","",VLOOKUP($A700,APOIO!$A:$E,2,FALSE))</f>
        <v/>
      </c>
      <c r="C700" s="94"/>
      <c r="D700" s="32" t="str">
        <f>IF($A700="","",INDEX(APOIO!$D:$D,MATCH(CONCATENATE($A700,"_",$B700,"_",$C700),APOIO!$F:$F,0)))</f>
        <v/>
      </c>
      <c r="E700" s="31"/>
      <c r="F700" s="31"/>
      <c r="G700" s="33"/>
      <c r="H700" s="105"/>
      <c r="I700" s="32" t="str">
        <f>IF($A700="","",VLOOKUP($H700,APOIO!$L:$M,2,FALSE))</f>
        <v/>
      </c>
      <c r="J700" s="31"/>
      <c r="K700" s="32" t="str">
        <f>IF($A700="","",VLOOKUP($J700,APOIO!$H:$J,2,FALSE))</f>
        <v/>
      </c>
      <c r="L700" s="32" t="str">
        <f>IF($A700="","",VLOOKUP($J700,APOIO!$H:$J,3,FALSE))</f>
        <v/>
      </c>
      <c r="M700" s="31"/>
      <c r="N700" s="34"/>
      <c r="O700" s="32"/>
      <c r="P700" s="32"/>
      <c r="Q700" s="32"/>
      <c r="R700" s="32"/>
      <c r="S700" s="35"/>
      <c r="T700" s="91"/>
      <c r="U700" s="60"/>
      <c r="V700" s="36"/>
      <c r="W700" s="31"/>
      <c r="X700" s="59"/>
      <c r="Y700" s="59" t="str">
        <f>IFERROR(VLOOKUP($A700,APOIO!$A:$A,1,FALSE),"ERRO")</f>
        <v>ERRO</v>
      </c>
      <c r="Z700"/>
    </row>
    <row r="701" spans="1:26" ht="15" x14ac:dyDescent="0.25">
      <c r="A701" s="94"/>
      <c r="B701" s="32" t="str">
        <f>IF($A701="","",VLOOKUP($A701,APOIO!$A:$E,2,FALSE))</f>
        <v/>
      </c>
      <c r="C701" s="94"/>
      <c r="D701" s="32" t="str">
        <f>IF($A701="","",INDEX(APOIO!$D:$D,MATCH(CONCATENATE($A701,"_",$B701,"_",$C701),APOIO!$F:$F,0)))</f>
        <v/>
      </c>
      <c r="E701" s="31"/>
      <c r="F701" s="31"/>
      <c r="G701" s="33"/>
      <c r="H701" s="105"/>
      <c r="I701" s="32" t="str">
        <f>IF($A701="","",VLOOKUP($H701,APOIO!$L:$M,2,FALSE))</f>
        <v/>
      </c>
      <c r="J701" s="31"/>
      <c r="K701" s="32" t="str">
        <f>IF($A701="","",VLOOKUP($J701,APOIO!$H:$J,2,FALSE))</f>
        <v/>
      </c>
      <c r="L701" s="32" t="str">
        <f>IF($A701="","",VLOOKUP($J701,APOIO!$H:$J,3,FALSE))</f>
        <v/>
      </c>
      <c r="M701" s="31"/>
      <c r="N701" s="34"/>
      <c r="O701" s="32"/>
      <c r="P701" s="32"/>
      <c r="Q701" s="32"/>
      <c r="R701" s="32"/>
      <c r="S701" s="35"/>
      <c r="T701" s="91"/>
      <c r="U701" s="60"/>
      <c r="V701" s="36"/>
      <c r="W701" s="31"/>
      <c r="X701" s="59"/>
      <c r="Y701" s="59" t="str">
        <f>IFERROR(VLOOKUP($A701,APOIO!$A:$A,1,FALSE),"ERRO")</f>
        <v>ERRO</v>
      </c>
      <c r="Z701"/>
    </row>
    <row r="702" spans="1:26" ht="15" x14ac:dyDescent="0.25">
      <c r="A702" s="94"/>
      <c r="B702" s="32" t="str">
        <f>IF($A702="","",VLOOKUP($A702,APOIO!$A:$E,2,FALSE))</f>
        <v/>
      </c>
      <c r="C702" s="94"/>
      <c r="D702" s="32" t="str">
        <f>IF($A702="","",INDEX(APOIO!$D:$D,MATCH(CONCATENATE($A702,"_",$B702,"_",$C702),APOIO!$F:$F,0)))</f>
        <v/>
      </c>
      <c r="E702" s="31"/>
      <c r="F702" s="31"/>
      <c r="G702" s="33"/>
      <c r="H702" s="105"/>
      <c r="I702" s="32" t="str">
        <f>IF($A702="","",VLOOKUP($H702,APOIO!$L:$M,2,FALSE))</f>
        <v/>
      </c>
      <c r="J702" s="31"/>
      <c r="K702" s="32" t="str">
        <f>IF($A702="","",VLOOKUP($J702,APOIO!$H:$J,2,FALSE))</f>
        <v/>
      </c>
      <c r="L702" s="32" t="str">
        <f>IF($A702="","",VLOOKUP($J702,APOIO!$H:$J,3,FALSE))</f>
        <v/>
      </c>
      <c r="M702" s="31"/>
      <c r="N702" s="34"/>
      <c r="O702" s="32"/>
      <c r="P702" s="32"/>
      <c r="Q702" s="32"/>
      <c r="R702" s="32"/>
      <c r="S702" s="35"/>
      <c r="T702" s="91"/>
      <c r="U702" s="60"/>
      <c r="V702" s="36"/>
      <c r="W702" s="31"/>
      <c r="X702" s="59"/>
      <c r="Y702" s="59" t="str">
        <f>IFERROR(VLOOKUP($A702,APOIO!$A:$A,1,FALSE),"ERRO")</f>
        <v>ERRO</v>
      </c>
      <c r="Z702"/>
    </row>
    <row r="703" spans="1:26" ht="15" x14ac:dyDescent="0.25">
      <c r="A703" s="94"/>
      <c r="B703" s="32" t="str">
        <f>IF($A703="","",VLOOKUP($A703,APOIO!$A:$E,2,FALSE))</f>
        <v/>
      </c>
      <c r="C703" s="94"/>
      <c r="D703" s="32" t="str">
        <f>IF($A703="","",INDEX(APOIO!$D:$D,MATCH(CONCATENATE($A703,"_",$B703,"_",$C703),APOIO!$F:$F,0)))</f>
        <v/>
      </c>
      <c r="E703" s="31"/>
      <c r="F703" s="31"/>
      <c r="G703" s="33"/>
      <c r="H703" s="105"/>
      <c r="I703" s="32" t="str">
        <f>IF($A703="","",VLOOKUP($H703,APOIO!$L:$M,2,FALSE))</f>
        <v/>
      </c>
      <c r="J703" s="31"/>
      <c r="K703" s="32" t="str">
        <f>IF($A703="","",VLOOKUP($J703,APOIO!$H:$J,2,FALSE))</f>
        <v/>
      </c>
      <c r="L703" s="32" t="str">
        <f>IF($A703="","",VLOOKUP($J703,APOIO!$H:$J,3,FALSE))</f>
        <v/>
      </c>
      <c r="M703" s="31"/>
      <c r="N703" s="34"/>
      <c r="O703" s="32"/>
      <c r="P703" s="32"/>
      <c r="Q703" s="32"/>
      <c r="R703" s="32"/>
      <c r="S703" s="35"/>
      <c r="T703" s="91"/>
      <c r="U703" s="60"/>
      <c r="V703" s="36"/>
      <c r="W703" s="31"/>
      <c r="X703" s="59"/>
      <c r="Y703" s="59" t="str">
        <f>IFERROR(VLOOKUP($A703,APOIO!$A:$A,1,FALSE),"ERRO")</f>
        <v>ERRO</v>
      </c>
      <c r="Z703"/>
    </row>
    <row r="704" spans="1:26" ht="15" x14ac:dyDescent="0.25">
      <c r="A704" s="94"/>
      <c r="B704" s="32" t="str">
        <f>IF($A704="","",VLOOKUP($A704,APOIO!$A:$E,2,FALSE))</f>
        <v/>
      </c>
      <c r="C704" s="94"/>
      <c r="D704" s="32" t="str">
        <f>IF($A704="","",INDEX(APOIO!$D:$D,MATCH(CONCATENATE($A704,"_",$B704,"_",$C704),APOIO!$F:$F,0)))</f>
        <v/>
      </c>
      <c r="E704" s="31"/>
      <c r="F704" s="31"/>
      <c r="G704" s="33"/>
      <c r="H704" s="105"/>
      <c r="I704" s="32" t="str">
        <f>IF($A704="","",VLOOKUP($H704,APOIO!$L:$M,2,FALSE))</f>
        <v/>
      </c>
      <c r="J704" s="31"/>
      <c r="K704" s="32" t="str">
        <f>IF($A704="","",VLOOKUP($J704,APOIO!$H:$J,2,FALSE))</f>
        <v/>
      </c>
      <c r="L704" s="32" t="str">
        <f>IF($A704="","",VLOOKUP($J704,APOIO!$H:$J,3,FALSE))</f>
        <v/>
      </c>
      <c r="M704" s="31"/>
      <c r="N704" s="34"/>
      <c r="O704" s="32"/>
      <c r="P704" s="32"/>
      <c r="Q704" s="32"/>
      <c r="R704" s="32"/>
      <c r="S704" s="35"/>
      <c r="T704" s="91"/>
      <c r="U704" s="60"/>
      <c r="V704" s="36"/>
      <c r="W704" s="31"/>
      <c r="X704" s="59"/>
      <c r="Y704" s="59" t="str">
        <f>IFERROR(VLOOKUP($A704,APOIO!$A:$A,1,FALSE),"ERRO")</f>
        <v>ERRO</v>
      </c>
      <c r="Z704"/>
    </row>
    <row r="705" spans="1:26" ht="15" x14ac:dyDescent="0.25">
      <c r="A705" s="94"/>
      <c r="B705" s="32" t="str">
        <f>IF($A705="","",VLOOKUP($A705,APOIO!$A:$E,2,FALSE))</f>
        <v/>
      </c>
      <c r="C705" s="94"/>
      <c r="D705" s="32" t="str">
        <f>IF($A705="","",INDEX(APOIO!$D:$D,MATCH(CONCATENATE($A705,"_",$B705,"_",$C705),APOIO!$F:$F,0)))</f>
        <v/>
      </c>
      <c r="E705" s="31"/>
      <c r="F705" s="31"/>
      <c r="G705" s="33"/>
      <c r="H705" s="105"/>
      <c r="I705" s="32" t="str">
        <f>IF($A705="","",VLOOKUP($H705,APOIO!$L:$M,2,FALSE))</f>
        <v/>
      </c>
      <c r="J705" s="31"/>
      <c r="K705" s="32" t="str">
        <f>IF($A705="","",VLOOKUP($J705,APOIO!$H:$J,2,FALSE))</f>
        <v/>
      </c>
      <c r="L705" s="32" t="str">
        <f>IF($A705="","",VLOOKUP($J705,APOIO!$H:$J,3,FALSE))</f>
        <v/>
      </c>
      <c r="M705" s="31"/>
      <c r="N705" s="34"/>
      <c r="O705" s="32"/>
      <c r="P705" s="32"/>
      <c r="Q705" s="32"/>
      <c r="R705" s="32"/>
      <c r="S705" s="35"/>
      <c r="T705" s="91"/>
      <c r="U705" s="60"/>
      <c r="V705" s="36"/>
      <c r="W705" s="31"/>
      <c r="X705" s="59"/>
      <c r="Y705" s="59" t="str">
        <f>IFERROR(VLOOKUP($A705,APOIO!$A:$A,1,FALSE),"ERRO")</f>
        <v>ERRO</v>
      </c>
      <c r="Z705"/>
    </row>
    <row r="706" spans="1:26" ht="15" x14ac:dyDescent="0.25">
      <c r="A706" s="94"/>
      <c r="B706" s="32" t="str">
        <f>IF($A706="","",VLOOKUP($A706,APOIO!$A:$E,2,FALSE))</f>
        <v/>
      </c>
      <c r="C706" s="94"/>
      <c r="D706" s="32" t="str">
        <f>IF($A706="","",INDEX(APOIO!$D:$D,MATCH(CONCATENATE($A706,"_",$B706,"_",$C706),APOIO!$F:$F,0)))</f>
        <v/>
      </c>
      <c r="E706" s="31"/>
      <c r="F706" s="31"/>
      <c r="G706" s="33"/>
      <c r="H706" s="105"/>
      <c r="I706" s="32" t="str">
        <f>IF($A706="","",VLOOKUP($H706,APOIO!$L:$M,2,FALSE))</f>
        <v/>
      </c>
      <c r="J706" s="31"/>
      <c r="K706" s="32" t="str">
        <f>IF($A706="","",VLOOKUP($J706,APOIO!$H:$J,2,FALSE))</f>
        <v/>
      </c>
      <c r="L706" s="32" t="str">
        <f>IF($A706="","",VLOOKUP($J706,APOIO!$H:$J,3,FALSE))</f>
        <v/>
      </c>
      <c r="M706" s="31"/>
      <c r="N706" s="34"/>
      <c r="O706" s="32"/>
      <c r="P706" s="32"/>
      <c r="Q706" s="32"/>
      <c r="R706" s="32"/>
      <c r="S706" s="35"/>
      <c r="T706" s="91"/>
      <c r="U706" s="60"/>
      <c r="V706" s="36"/>
      <c r="W706" s="31"/>
      <c r="X706" s="59"/>
      <c r="Y706" s="59" t="str">
        <f>IFERROR(VLOOKUP($A706,APOIO!$A:$A,1,FALSE),"ERRO")</f>
        <v>ERRO</v>
      </c>
      <c r="Z706"/>
    </row>
    <row r="707" spans="1:26" ht="15" x14ac:dyDescent="0.25">
      <c r="A707" s="94"/>
      <c r="B707" s="32" t="str">
        <f>IF($A707="","",VLOOKUP($A707,APOIO!$A:$E,2,FALSE))</f>
        <v/>
      </c>
      <c r="C707" s="94"/>
      <c r="D707" s="32" t="str">
        <f>IF($A707="","",INDEX(APOIO!$D:$D,MATCH(CONCATENATE($A707,"_",$B707,"_",$C707),APOIO!$F:$F,0)))</f>
        <v/>
      </c>
      <c r="E707" s="31"/>
      <c r="F707" s="31"/>
      <c r="G707" s="33"/>
      <c r="H707" s="105"/>
      <c r="I707" s="32" t="str">
        <f>IF($A707="","",VLOOKUP($H707,APOIO!$L:$M,2,FALSE))</f>
        <v/>
      </c>
      <c r="J707" s="31"/>
      <c r="K707" s="32" t="str">
        <f>IF($A707="","",VLOOKUP($J707,APOIO!$H:$J,2,FALSE))</f>
        <v/>
      </c>
      <c r="L707" s="32" t="str">
        <f>IF($A707="","",VLOOKUP($J707,APOIO!$H:$J,3,FALSE))</f>
        <v/>
      </c>
      <c r="M707" s="31"/>
      <c r="N707" s="34"/>
      <c r="O707" s="32"/>
      <c r="P707" s="32"/>
      <c r="Q707" s="32"/>
      <c r="R707" s="32"/>
      <c r="S707" s="35"/>
      <c r="T707" s="91"/>
      <c r="U707" s="60"/>
      <c r="V707" s="36"/>
      <c r="W707" s="31"/>
      <c r="X707" s="59"/>
      <c r="Y707" s="59" t="str">
        <f>IFERROR(VLOOKUP($A707,APOIO!$A:$A,1,FALSE),"ERRO")</f>
        <v>ERRO</v>
      </c>
      <c r="Z707"/>
    </row>
    <row r="708" spans="1:26" ht="15" x14ac:dyDescent="0.25">
      <c r="A708" s="94"/>
      <c r="B708" s="32" t="str">
        <f>IF($A708="","",VLOOKUP($A708,APOIO!$A:$E,2,FALSE))</f>
        <v/>
      </c>
      <c r="C708" s="94"/>
      <c r="D708" s="32" t="str">
        <f>IF($A708="","",INDEX(APOIO!$D:$D,MATCH(CONCATENATE($A708,"_",$B708,"_",$C708),APOIO!$F:$F,0)))</f>
        <v/>
      </c>
      <c r="E708" s="31"/>
      <c r="F708" s="31"/>
      <c r="G708" s="33"/>
      <c r="H708" s="105"/>
      <c r="I708" s="32" t="str">
        <f>IF($A708="","",VLOOKUP($H708,APOIO!$L:$M,2,FALSE))</f>
        <v/>
      </c>
      <c r="J708" s="31"/>
      <c r="K708" s="32" t="str">
        <f>IF($A708="","",VLOOKUP($J708,APOIO!$H:$J,2,FALSE))</f>
        <v/>
      </c>
      <c r="L708" s="32" t="str">
        <f>IF($A708="","",VLOOKUP($J708,APOIO!$H:$J,3,FALSE))</f>
        <v/>
      </c>
      <c r="M708" s="31"/>
      <c r="N708" s="34"/>
      <c r="O708" s="32"/>
      <c r="P708" s="32"/>
      <c r="Q708" s="32"/>
      <c r="R708" s="32"/>
      <c r="S708" s="35"/>
      <c r="T708" s="91"/>
      <c r="U708" s="60"/>
      <c r="V708" s="36"/>
      <c r="W708" s="31"/>
      <c r="X708" s="59"/>
      <c r="Y708" s="59" t="str">
        <f>IFERROR(VLOOKUP($A708,APOIO!$A:$A,1,FALSE),"ERRO")</f>
        <v>ERRO</v>
      </c>
      <c r="Z708"/>
    </row>
    <row r="709" spans="1:26" ht="15" x14ac:dyDescent="0.25">
      <c r="A709" s="94"/>
      <c r="B709" s="32" t="str">
        <f>IF($A709="","",VLOOKUP($A709,APOIO!$A:$E,2,FALSE))</f>
        <v/>
      </c>
      <c r="C709" s="94"/>
      <c r="D709" s="32" t="str">
        <f>IF($A709="","",INDEX(APOIO!$D:$D,MATCH(CONCATENATE($A709,"_",$B709,"_",$C709),APOIO!$F:$F,0)))</f>
        <v/>
      </c>
      <c r="E709" s="31"/>
      <c r="F709" s="31"/>
      <c r="G709" s="33"/>
      <c r="H709" s="105"/>
      <c r="I709" s="32" t="str">
        <f>IF($A709="","",VLOOKUP($H709,APOIO!$L:$M,2,FALSE))</f>
        <v/>
      </c>
      <c r="J709" s="31"/>
      <c r="K709" s="32" t="str">
        <f>IF($A709="","",VLOOKUP($J709,APOIO!$H:$J,2,FALSE))</f>
        <v/>
      </c>
      <c r="L709" s="32" t="str">
        <f>IF($A709="","",VLOOKUP($J709,APOIO!$H:$J,3,FALSE))</f>
        <v/>
      </c>
      <c r="M709" s="31"/>
      <c r="N709" s="34"/>
      <c r="O709" s="32"/>
      <c r="P709" s="32"/>
      <c r="Q709" s="32"/>
      <c r="R709" s="32"/>
      <c r="S709" s="35"/>
      <c r="T709" s="91"/>
      <c r="U709" s="60"/>
      <c r="V709" s="36"/>
      <c r="W709" s="31"/>
      <c r="X709" s="59"/>
      <c r="Y709" s="59" t="str">
        <f>IFERROR(VLOOKUP($A709,APOIO!$A:$A,1,FALSE),"ERRO")</f>
        <v>ERRO</v>
      </c>
      <c r="Z709"/>
    </row>
    <row r="710" spans="1:26" ht="15" x14ac:dyDescent="0.25">
      <c r="A710" s="94"/>
      <c r="B710" s="32" t="str">
        <f>IF($A710="","",VLOOKUP($A710,APOIO!$A:$E,2,FALSE))</f>
        <v/>
      </c>
      <c r="C710" s="94"/>
      <c r="D710" s="32" t="str">
        <f>IF($A710="","",INDEX(APOIO!$D:$D,MATCH(CONCATENATE($A710,"_",$B710,"_",$C710),APOIO!$F:$F,0)))</f>
        <v/>
      </c>
      <c r="E710" s="31"/>
      <c r="F710" s="31"/>
      <c r="G710" s="33"/>
      <c r="H710" s="105"/>
      <c r="I710" s="32" t="str">
        <f>IF($A710="","",VLOOKUP($H710,APOIO!$L:$M,2,FALSE))</f>
        <v/>
      </c>
      <c r="J710" s="31"/>
      <c r="K710" s="32" t="str">
        <f>IF($A710="","",VLOOKUP($J710,APOIO!$H:$J,2,FALSE))</f>
        <v/>
      </c>
      <c r="L710" s="32" t="str">
        <f>IF($A710="","",VLOOKUP($J710,APOIO!$H:$J,3,FALSE))</f>
        <v/>
      </c>
      <c r="M710" s="31"/>
      <c r="N710" s="34"/>
      <c r="O710" s="32"/>
      <c r="P710" s="32"/>
      <c r="Q710" s="32"/>
      <c r="R710" s="32"/>
      <c r="S710" s="35"/>
      <c r="T710" s="91"/>
      <c r="U710" s="60"/>
      <c r="V710" s="36"/>
      <c r="W710" s="31"/>
      <c r="X710" s="59"/>
      <c r="Y710" s="59" t="str">
        <f>IFERROR(VLOOKUP($A710,APOIO!$A:$A,1,FALSE),"ERRO")</f>
        <v>ERRO</v>
      </c>
      <c r="Z710"/>
    </row>
    <row r="711" spans="1:26" ht="15" x14ac:dyDescent="0.25">
      <c r="A711" s="94"/>
      <c r="B711" s="32" t="str">
        <f>IF($A711="","",VLOOKUP($A711,APOIO!$A:$E,2,FALSE))</f>
        <v/>
      </c>
      <c r="C711" s="94"/>
      <c r="D711" s="32" t="str">
        <f>IF($A711="","",INDEX(APOIO!$D:$D,MATCH(CONCATENATE($A711,"_",$B711,"_",$C711),APOIO!$F:$F,0)))</f>
        <v/>
      </c>
      <c r="E711" s="31"/>
      <c r="F711" s="31"/>
      <c r="G711" s="33"/>
      <c r="H711" s="105"/>
      <c r="I711" s="32" t="str">
        <f>IF($A711="","",VLOOKUP($H711,APOIO!$L:$M,2,FALSE))</f>
        <v/>
      </c>
      <c r="J711" s="31"/>
      <c r="K711" s="32" t="str">
        <f>IF($A711="","",VLOOKUP($J711,APOIO!$H:$J,2,FALSE))</f>
        <v/>
      </c>
      <c r="L711" s="32" t="str">
        <f>IF($A711="","",VLOOKUP($J711,APOIO!$H:$J,3,FALSE))</f>
        <v/>
      </c>
      <c r="M711" s="31"/>
      <c r="N711" s="34"/>
      <c r="O711" s="32"/>
      <c r="P711" s="32"/>
      <c r="Q711" s="32"/>
      <c r="R711" s="32"/>
      <c r="S711" s="35"/>
      <c r="T711" s="91"/>
      <c r="U711" s="60"/>
      <c r="V711" s="36"/>
      <c r="W711" s="31"/>
      <c r="X711" s="59"/>
      <c r="Y711" s="59" t="str">
        <f>IFERROR(VLOOKUP($A711,APOIO!$A:$A,1,FALSE),"ERRO")</f>
        <v>ERRO</v>
      </c>
      <c r="Z711"/>
    </row>
    <row r="712" spans="1:26" ht="15" x14ac:dyDescent="0.25">
      <c r="A712" s="94"/>
      <c r="B712" s="32" t="str">
        <f>IF($A712="","",VLOOKUP($A712,APOIO!$A:$E,2,FALSE))</f>
        <v/>
      </c>
      <c r="C712" s="94"/>
      <c r="D712" s="32" t="str">
        <f>IF($A712="","",INDEX(APOIO!$D:$D,MATCH(CONCATENATE($A712,"_",$B712,"_",$C712),APOIO!$F:$F,0)))</f>
        <v/>
      </c>
      <c r="E712" s="31"/>
      <c r="F712" s="31"/>
      <c r="G712" s="33"/>
      <c r="H712" s="105"/>
      <c r="I712" s="32" t="str">
        <f>IF($A712="","",VLOOKUP($H712,APOIO!$L:$M,2,FALSE))</f>
        <v/>
      </c>
      <c r="J712" s="31"/>
      <c r="K712" s="32" t="str">
        <f>IF($A712="","",VLOOKUP($J712,APOIO!$H:$J,2,FALSE))</f>
        <v/>
      </c>
      <c r="L712" s="32" t="str">
        <f>IF($A712="","",VLOOKUP($J712,APOIO!$H:$J,3,FALSE))</f>
        <v/>
      </c>
      <c r="M712" s="31"/>
      <c r="N712" s="34"/>
      <c r="O712" s="32"/>
      <c r="P712" s="32"/>
      <c r="Q712" s="32"/>
      <c r="R712" s="32"/>
      <c r="S712" s="35"/>
      <c r="T712" s="91"/>
      <c r="U712" s="60"/>
      <c r="V712" s="36"/>
      <c r="W712" s="31"/>
      <c r="X712" s="59"/>
      <c r="Y712" s="59" t="str">
        <f>IFERROR(VLOOKUP($A712,APOIO!$A:$A,1,FALSE),"ERRO")</f>
        <v>ERRO</v>
      </c>
      <c r="Z712"/>
    </row>
    <row r="713" spans="1:26" ht="15" x14ac:dyDescent="0.25">
      <c r="A713" s="94"/>
      <c r="B713" s="32" t="str">
        <f>IF($A713="","",VLOOKUP($A713,APOIO!$A:$E,2,FALSE))</f>
        <v/>
      </c>
      <c r="C713" s="94"/>
      <c r="D713" s="32" t="str">
        <f>IF($A713="","",INDEX(APOIO!$D:$D,MATCH(CONCATENATE($A713,"_",$B713,"_",$C713),APOIO!$F:$F,0)))</f>
        <v/>
      </c>
      <c r="E713" s="31"/>
      <c r="F713" s="31"/>
      <c r="G713" s="33"/>
      <c r="H713" s="105"/>
      <c r="I713" s="32" t="str">
        <f>IF($A713="","",VLOOKUP($H713,APOIO!$L:$M,2,FALSE))</f>
        <v/>
      </c>
      <c r="J713" s="31"/>
      <c r="K713" s="32" t="str">
        <f>IF($A713="","",VLOOKUP($J713,APOIO!$H:$J,2,FALSE))</f>
        <v/>
      </c>
      <c r="L713" s="32" t="str">
        <f>IF($A713="","",VLOOKUP($J713,APOIO!$H:$J,3,FALSE))</f>
        <v/>
      </c>
      <c r="M713" s="31"/>
      <c r="N713" s="34"/>
      <c r="O713" s="32"/>
      <c r="P713" s="32"/>
      <c r="Q713" s="32"/>
      <c r="R713" s="32"/>
      <c r="S713" s="35"/>
      <c r="T713" s="91"/>
      <c r="U713" s="60"/>
      <c r="V713" s="36"/>
      <c r="W713" s="31"/>
      <c r="X713" s="59"/>
      <c r="Y713" s="59" t="str">
        <f>IFERROR(VLOOKUP($A713,APOIO!$A:$A,1,FALSE),"ERRO")</f>
        <v>ERRO</v>
      </c>
      <c r="Z713"/>
    </row>
    <row r="714" spans="1:26" ht="15" x14ac:dyDescent="0.25">
      <c r="A714" s="94"/>
      <c r="B714" s="32" t="str">
        <f>IF($A714="","",VLOOKUP($A714,APOIO!$A:$E,2,FALSE))</f>
        <v/>
      </c>
      <c r="C714" s="94"/>
      <c r="D714" s="32" t="str">
        <f>IF($A714="","",INDEX(APOIO!$D:$D,MATCH(CONCATENATE($A714,"_",$B714,"_",$C714),APOIO!$F:$F,0)))</f>
        <v/>
      </c>
      <c r="E714" s="31"/>
      <c r="F714" s="31"/>
      <c r="G714" s="33"/>
      <c r="H714" s="105"/>
      <c r="I714" s="32" t="str">
        <f>IF($A714="","",VLOOKUP($H714,APOIO!$L:$M,2,FALSE))</f>
        <v/>
      </c>
      <c r="J714" s="31"/>
      <c r="K714" s="32" t="str">
        <f>IF($A714="","",VLOOKUP($J714,APOIO!$H:$J,2,FALSE))</f>
        <v/>
      </c>
      <c r="L714" s="32" t="str">
        <f>IF($A714="","",VLOOKUP($J714,APOIO!$H:$J,3,FALSE))</f>
        <v/>
      </c>
      <c r="M714" s="31"/>
      <c r="N714" s="34"/>
      <c r="O714" s="32"/>
      <c r="P714" s="32"/>
      <c r="Q714" s="32"/>
      <c r="R714" s="32"/>
      <c r="S714" s="35"/>
      <c r="T714" s="91"/>
      <c r="U714" s="60"/>
      <c r="V714" s="36"/>
      <c r="W714" s="31"/>
      <c r="X714" s="59"/>
      <c r="Y714" s="59" t="str">
        <f>IFERROR(VLOOKUP($A714,APOIO!$A:$A,1,FALSE),"ERRO")</f>
        <v>ERRO</v>
      </c>
      <c r="Z714"/>
    </row>
    <row r="715" spans="1:26" ht="15" x14ac:dyDescent="0.25">
      <c r="A715" s="94"/>
      <c r="B715" s="32" t="str">
        <f>IF($A715="","",VLOOKUP($A715,APOIO!$A:$E,2,FALSE))</f>
        <v/>
      </c>
      <c r="C715" s="94"/>
      <c r="D715" s="32" t="str">
        <f>IF($A715="","",INDEX(APOIO!$D:$D,MATCH(CONCATENATE($A715,"_",$B715,"_",$C715),APOIO!$F:$F,0)))</f>
        <v/>
      </c>
      <c r="E715" s="31"/>
      <c r="F715" s="31"/>
      <c r="G715" s="33"/>
      <c r="H715" s="105"/>
      <c r="I715" s="32" t="str">
        <f>IF($A715="","",VLOOKUP($H715,APOIO!$L:$M,2,FALSE))</f>
        <v/>
      </c>
      <c r="J715" s="31"/>
      <c r="K715" s="32" t="str">
        <f>IF($A715="","",VLOOKUP($J715,APOIO!$H:$J,2,FALSE))</f>
        <v/>
      </c>
      <c r="L715" s="32" t="str">
        <f>IF($A715="","",VLOOKUP($J715,APOIO!$H:$J,3,FALSE))</f>
        <v/>
      </c>
      <c r="M715" s="31"/>
      <c r="N715" s="34"/>
      <c r="O715" s="32"/>
      <c r="P715" s="32"/>
      <c r="Q715" s="32"/>
      <c r="R715" s="32"/>
      <c r="S715" s="35"/>
      <c r="T715" s="91"/>
      <c r="U715" s="60"/>
      <c r="V715" s="36"/>
      <c r="W715" s="31"/>
      <c r="X715" s="59"/>
      <c r="Y715" s="59" t="str">
        <f>IFERROR(VLOOKUP($A715,APOIO!$A:$A,1,FALSE),"ERRO")</f>
        <v>ERRO</v>
      </c>
      <c r="Z715"/>
    </row>
    <row r="716" spans="1:26" ht="15" x14ac:dyDescent="0.25">
      <c r="A716" s="94"/>
      <c r="B716" s="32" t="str">
        <f>IF($A716="","",VLOOKUP($A716,APOIO!$A:$E,2,FALSE))</f>
        <v/>
      </c>
      <c r="C716" s="94"/>
      <c r="D716" s="32" t="str">
        <f>IF($A716="","",INDEX(APOIO!$D:$D,MATCH(CONCATENATE($A716,"_",$B716,"_",$C716),APOIO!$F:$F,0)))</f>
        <v/>
      </c>
      <c r="E716" s="31"/>
      <c r="F716" s="31"/>
      <c r="G716" s="33"/>
      <c r="H716" s="105"/>
      <c r="I716" s="32" t="str">
        <f>IF($A716="","",VLOOKUP($H716,APOIO!$L:$M,2,FALSE))</f>
        <v/>
      </c>
      <c r="J716" s="31"/>
      <c r="K716" s="32" t="str">
        <f>IF($A716="","",VLOOKUP($J716,APOIO!$H:$J,2,FALSE))</f>
        <v/>
      </c>
      <c r="L716" s="32" t="str">
        <f>IF($A716="","",VLOOKUP($J716,APOIO!$H:$J,3,FALSE))</f>
        <v/>
      </c>
      <c r="M716" s="31"/>
      <c r="N716" s="34"/>
      <c r="O716" s="32"/>
      <c r="P716" s="32"/>
      <c r="Q716" s="32"/>
      <c r="R716" s="32"/>
      <c r="S716" s="35"/>
      <c r="T716" s="91"/>
      <c r="U716" s="60"/>
      <c r="V716" s="36"/>
      <c r="W716" s="31"/>
      <c r="X716" s="59"/>
      <c r="Y716" s="59" t="str">
        <f>IFERROR(VLOOKUP($A716,APOIO!$A:$A,1,FALSE),"ERRO")</f>
        <v>ERRO</v>
      </c>
      <c r="Z716"/>
    </row>
    <row r="717" spans="1:26" ht="15" x14ac:dyDescent="0.25">
      <c r="A717" s="94"/>
      <c r="B717" s="32" t="str">
        <f>IF($A717="","",VLOOKUP($A717,APOIO!$A:$E,2,FALSE))</f>
        <v/>
      </c>
      <c r="C717" s="94"/>
      <c r="D717" s="32" t="str">
        <f>IF($A717="","",INDEX(APOIO!$D:$D,MATCH(CONCATENATE($A717,"_",$B717,"_",$C717),APOIO!$F:$F,0)))</f>
        <v/>
      </c>
      <c r="E717" s="31"/>
      <c r="F717" s="31"/>
      <c r="G717" s="33"/>
      <c r="H717" s="105"/>
      <c r="I717" s="32" t="str">
        <f>IF($A717="","",VLOOKUP($H717,APOIO!$L:$M,2,FALSE))</f>
        <v/>
      </c>
      <c r="J717" s="31"/>
      <c r="K717" s="32" t="str">
        <f>IF($A717="","",VLOOKUP($J717,APOIO!$H:$J,2,FALSE))</f>
        <v/>
      </c>
      <c r="L717" s="32" t="str">
        <f>IF($A717="","",VLOOKUP($J717,APOIO!$H:$J,3,FALSE))</f>
        <v/>
      </c>
      <c r="M717" s="31"/>
      <c r="N717" s="34"/>
      <c r="O717" s="32"/>
      <c r="P717" s="32"/>
      <c r="Q717" s="32"/>
      <c r="R717" s="32"/>
      <c r="S717" s="35"/>
      <c r="T717" s="91"/>
      <c r="U717" s="60"/>
      <c r="V717" s="36"/>
      <c r="W717" s="31"/>
      <c r="X717" s="59"/>
      <c r="Y717" s="59" t="str">
        <f>IFERROR(VLOOKUP($A717,APOIO!$A:$A,1,FALSE),"ERRO")</f>
        <v>ERRO</v>
      </c>
      <c r="Z717"/>
    </row>
    <row r="718" spans="1:26" ht="15" x14ac:dyDescent="0.25">
      <c r="A718" s="94"/>
      <c r="B718" s="32" t="str">
        <f>IF($A718="","",VLOOKUP($A718,APOIO!$A:$E,2,FALSE))</f>
        <v/>
      </c>
      <c r="C718" s="94"/>
      <c r="D718" s="32" t="str">
        <f>IF($A718="","",INDEX(APOIO!$D:$D,MATCH(CONCATENATE($A718,"_",$B718,"_",$C718),APOIO!$F:$F,0)))</f>
        <v/>
      </c>
      <c r="E718" s="31"/>
      <c r="F718" s="31"/>
      <c r="G718" s="33"/>
      <c r="H718" s="105"/>
      <c r="I718" s="32" t="str">
        <f>IF($A718="","",VLOOKUP($H718,APOIO!$L:$M,2,FALSE))</f>
        <v/>
      </c>
      <c r="J718" s="31"/>
      <c r="K718" s="32" t="str">
        <f>IF($A718="","",VLOOKUP($J718,APOIO!$H:$J,2,FALSE))</f>
        <v/>
      </c>
      <c r="L718" s="32" t="str">
        <f>IF($A718="","",VLOOKUP($J718,APOIO!$H:$J,3,FALSE))</f>
        <v/>
      </c>
      <c r="M718" s="31"/>
      <c r="N718" s="34"/>
      <c r="O718" s="32"/>
      <c r="P718" s="32"/>
      <c r="Q718" s="32"/>
      <c r="R718" s="32"/>
      <c r="S718" s="35"/>
      <c r="T718" s="91"/>
      <c r="U718" s="60"/>
      <c r="V718" s="36"/>
      <c r="W718" s="31"/>
      <c r="X718" s="59"/>
      <c r="Y718" s="59" t="str">
        <f>IFERROR(VLOOKUP($A718,APOIO!$A:$A,1,FALSE),"ERRO")</f>
        <v>ERRO</v>
      </c>
      <c r="Z718"/>
    </row>
    <row r="719" spans="1:26" ht="15" x14ac:dyDescent="0.25">
      <c r="A719" s="94"/>
      <c r="B719" s="32" t="str">
        <f>IF($A719="","",VLOOKUP($A719,APOIO!$A:$E,2,FALSE))</f>
        <v/>
      </c>
      <c r="C719" s="94"/>
      <c r="D719" s="32" t="str">
        <f>IF($A719="","",INDEX(APOIO!$D:$D,MATCH(CONCATENATE($A719,"_",$B719,"_",$C719),APOIO!$F:$F,0)))</f>
        <v/>
      </c>
      <c r="E719" s="31"/>
      <c r="F719" s="31"/>
      <c r="G719" s="33"/>
      <c r="H719" s="105"/>
      <c r="I719" s="32" t="str">
        <f>IF($A719="","",VLOOKUP($H719,APOIO!$L:$M,2,FALSE))</f>
        <v/>
      </c>
      <c r="J719" s="31"/>
      <c r="K719" s="32" t="str">
        <f>IF($A719="","",VLOOKUP($J719,APOIO!$H:$J,2,FALSE))</f>
        <v/>
      </c>
      <c r="L719" s="32" t="str">
        <f>IF($A719="","",VLOOKUP($J719,APOIO!$H:$J,3,FALSE))</f>
        <v/>
      </c>
      <c r="M719" s="31"/>
      <c r="N719" s="34"/>
      <c r="O719" s="32"/>
      <c r="P719" s="32"/>
      <c r="Q719" s="32"/>
      <c r="R719" s="32"/>
      <c r="S719" s="35"/>
      <c r="T719" s="91"/>
      <c r="U719" s="60"/>
      <c r="V719" s="36"/>
      <c r="W719" s="31"/>
      <c r="X719" s="59"/>
      <c r="Y719" s="59" t="str">
        <f>IFERROR(VLOOKUP($A719,APOIO!$A:$A,1,FALSE),"ERRO")</f>
        <v>ERRO</v>
      </c>
      <c r="Z719"/>
    </row>
    <row r="720" spans="1:26" ht="15" x14ac:dyDescent="0.25">
      <c r="A720" s="94"/>
      <c r="B720" s="32" t="str">
        <f>IF($A720="","",VLOOKUP($A720,APOIO!$A:$E,2,FALSE))</f>
        <v/>
      </c>
      <c r="C720" s="94"/>
      <c r="D720" s="32" t="str">
        <f>IF($A720="","",INDEX(APOIO!$D:$D,MATCH(CONCATENATE($A720,"_",$B720,"_",$C720),APOIO!$F:$F,0)))</f>
        <v/>
      </c>
      <c r="E720" s="31"/>
      <c r="F720" s="31"/>
      <c r="G720" s="33"/>
      <c r="H720" s="105"/>
      <c r="I720" s="32" t="str">
        <f>IF($A720="","",VLOOKUP($H720,APOIO!$L:$M,2,FALSE))</f>
        <v/>
      </c>
      <c r="J720" s="31"/>
      <c r="K720" s="32" t="str">
        <f>IF($A720="","",VLOOKUP($J720,APOIO!$H:$J,2,FALSE))</f>
        <v/>
      </c>
      <c r="L720" s="32" t="str">
        <f>IF($A720="","",VLOOKUP($J720,APOIO!$H:$J,3,FALSE))</f>
        <v/>
      </c>
      <c r="M720" s="31"/>
      <c r="N720" s="34"/>
      <c r="O720" s="32"/>
      <c r="P720" s="32"/>
      <c r="Q720" s="32"/>
      <c r="R720" s="32"/>
      <c r="S720" s="35"/>
      <c r="T720" s="91"/>
      <c r="U720" s="60"/>
      <c r="V720" s="36"/>
      <c r="W720" s="31"/>
      <c r="X720" s="59"/>
      <c r="Y720" s="59" t="str">
        <f>IFERROR(VLOOKUP($A720,APOIO!$A:$A,1,FALSE),"ERRO")</f>
        <v>ERRO</v>
      </c>
      <c r="Z720"/>
    </row>
    <row r="721" spans="1:26" ht="15" x14ac:dyDescent="0.25">
      <c r="A721" s="94"/>
      <c r="B721" s="32" t="str">
        <f>IF($A721="","",VLOOKUP($A721,APOIO!$A:$E,2,FALSE))</f>
        <v/>
      </c>
      <c r="C721" s="94"/>
      <c r="D721" s="32" t="str">
        <f>IF($A721="","",INDEX(APOIO!$D:$D,MATCH(CONCATENATE($A721,"_",$B721,"_",$C721),APOIO!$F:$F,0)))</f>
        <v/>
      </c>
      <c r="E721" s="31"/>
      <c r="F721" s="31"/>
      <c r="G721" s="33"/>
      <c r="H721" s="105"/>
      <c r="I721" s="32" t="str">
        <f>IF($A721="","",VLOOKUP($H721,APOIO!$L:$M,2,FALSE))</f>
        <v/>
      </c>
      <c r="J721" s="31"/>
      <c r="K721" s="32" t="str">
        <f>IF($A721="","",VLOOKUP($J721,APOIO!$H:$J,2,FALSE))</f>
        <v/>
      </c>
      <c r="L721" s="32" t="str">
        <f>IF($A721="","",VLOOKUP($J721,APOIO!$H:$J,3,FALSE))</f>
        <v/>
      </c>
      <c r="M721" s="31"/>
      <c r="N721" s="34"/>
      <c r="O721" s="32"/>
      <c r="P721" s="32"/>
      <c r="Q721" s="32"/>
      <c r="R721" s="32"/>
      <c r="S721" s="35"/>
      <c r="T721" s="91"/>
      <c r="U721" s="60"/>
      <c r="V721" s="36"/>
      <c r="W721" s="31"/>
      <c r="X721" s="59"/>
      <c r="Y721" s="59" t="str">
        <f>IFERROR(VLOOKUP($A721,APOIO!$A:$A,1,FALSE),"ERRO")</f>
        <v>ERRO</v>
      </c>
      <c r="Z721"/>
    </row>
    <row r="722" spans="1:26" ht="15" x14ac:dyDescent="0.25">
      <c r="A722" s="94"/>
      <c r="B722" s="32" t="str">
        <f>IF($A722="","",VLOOKUP($A722,APOIO!$A:$E,2,FALSE))</f>
        <v/>
      </c>
      <c r="C722" s="94"/>
      <c r="D722" s="32" t="str">
        <f>IF($A722="","",INDEX(APOIO!$D:$D,MATCH(CONCATENATE($A722,"_",$B722,"_",$C722),APOIO!$F:$F,0)))</f>
        <v/>
      </c>
      <c r="E722" s="31"/>
      <c r="F722" s="31"/>
      <c r="G722" s="33"/>
      <c r="H722" s="105"/>
      <c r="I722" s="32" t="str">
        <f>IF($A722="","",VLOOKUP($H722,APOIO!$L:$M,2,FALSE))</f>
        <v/>
      </c>
      <c r="J722" s="31"/>
      <c r="K722" s="32" t="str">
        <f>IF($A722="","",VLOOKUP($J722,APOIO!$H:$J,2,FALSE))</f>
        <v/>
      </c>
      <c r="L722" s="32" t="str">
        <f>IF($A722="","",VLOOKUP($J722,APOIO!$H:$J,3,FALSE))</f>
        <v/>
      </c>
      <c r="M722" s="31"/>
      <c r="N722" s="34"/>
      <c r="O722" s="32"/>
      <c r="P722" s="32"/>
      <c r="Q722" s="32"/>
      <c r="R722" s="32"/>
      <c r="S722" s="35"/>
      <c r="T722" s="91"/>
      <c r="U722" s="60"/>
      <c r="V722" s="36"/>
      <c r="W722" s="31"/>
      <c r="X722" s="59"/>
      <c r="Y722" s="59" t="str">
        <f>IFERROR(VLOOKUP($A722,APOIO!$A:$A,1,FALSE),"ERRO")</f>
        <v>ERRO</v>
      </c>
      <c r="Z722"/>
    </row>
    <row r="723" spans="1:26" ht="15" x14ac:dyDescent="0.25">
      <c r="A723" s="94"/>
      <c r="B723" s="32" t="str">
        <f>IF($A723="","",VLOOKUP($A723,APOIO!$A:$E,2,FALSE))</f>
        <v/>
      </c>
      <c r="C723" s="94"/>
      <c r="D723" s="32" t="str">
        <f>IF($A723="","",INDEX(APOIO!$D:$D,MATCH(CONCATENATE($A723,"_",$B723,"_",$C723),APOIO!$F:$F,0)))</f>
        <v/>
      </c>
      <c r="E723" s="31"/>
      <c r="F723" s="31"/>
      <c r="G723" s="33"/>
      <c r="H723" s="105"/>
      <c r="I723" s="32" t="str">
        <f>IF($A723="","",VLOOKUP($H723,APOIO!$L:$M,2,FALSE))</f>
        <v/>
      </c>
      <c r="J723" s="31"/>
      <c r="K723" s="32" t="str">
        <f>IF($A723="","",VLOOKUP($J723,APOIO!$H:$J,2,FALSE))</f>
        <v/>
      </c>
      <c r="L723" s="32" t="str">
        <f>IF($A723="","",VLOOKUP($J723,APOIO!$H:$J,3,FALSE))</f>
        <v/>
      </c>
      <c r="M723" s="31"/>
      <c r="N723" s="34"/>
      <c r="O723" s="32"/>
      <c r="P723" s="32"/>
      <c r="Q723" s="32"/>
      <c r="R723" s="32"/>
      <c r="S723" s="35"/>
      <c r="T723" s="91"/>
      <c r="U723" s="60"/>
      <c r="V723" s="36"/>
      <c r="W723" s="31"/>
      <c r="X723" s="59"/>
      <c r="Y723" s="59" t="str">
        <f>IFERROR(VLOOKUP($A723,APOIO!$A:$A,1,FALSE),"ERRO")</f>
        <v>ERRO</v>
      </c>
      <c r="Z723"/>
    </row>
    <row r="724" spans="1:26" ht="15" x14ac:dyDescent="0.25">
      <c r="A724" s="94"/>
      <c r="B724" s="32" t="str">
        <f>IF($A724="","",VLOOKUP($A724,APOIO!$A:$E,2,FALSE))</f>
        <v/>
      </c>
      <c r="C724" s="94"/>
      <c r="D724" s="32" t="str">
        <f>IF($A724="","",INDEX(APOIO!$D:$D,MATCH(CONCATENATE($A724,"_",$B724,"_",$C724),APOIO!$F:$F,0)))</f>
        <v/>
      </c>
      <c r="E724" s="31"/>
      <c r="F724" s="31"/>
      <c r="G724" s="33"/>
      <c r="H724" s="105"/>
      <c r="I724" s="32" t="str">
        <f>IF($A724="","",VLOOKUP($H724,APOIO!$L:$M,2,FALSE))</f>
        <v/>
      </c>
      <c r="J724" s="31"/>
      <c r="K724" s="32" t="str">
        <f>IF($A724="","",VLOOKUP($J724,APOIO!$H:$J,2,FALSE))</f>
        <v/>
      </c>
      <c r="L724" s="32" t="str">
        <f>IF($A724="","",VLOOKUP($J724,APOIO!$H:$J,3,FALSE))</f>
        <v/>
      </c>
      <c r="M724" s="31"/>
      <c r="N724" s="34"/>
      <c r="O724" s="32"/>
      <c r="P724" s="32"/>
      <c r="Q724" s="32"/>
      <c r="R724" s="32"/>
      <c r="S724" s="35"/>
      <c r="T724" s="91"/>
      <c r="U724" s="60"/>
      <c r="V724" s="36"/>
      <c r="W724" s="31"/>
      <c r="X724" s="59"/>
      <c r="Y724" s="59" t="str">
        <f>IFERROR(VLOOKUP($A724,APOIO!$A:$A,1,FALSE),"ERRO")</f>
        <v>ERRO</v>
      </c>
      <c r="Z724"/>
    </row>
    <row r="725" spans="1:26" ht="15" x14ac:dyDescent="0.25">
      <c r="A725" s="94"/>
      <c r="B725" s="32" t="str">
        <f>IF($A725="","",VLOOKUP($A725,APOIO!$A:$E,2,FALSE))</f>
        <v/>
      </c>
      <c r="C725" s="94"/>
      <c r="D725" s="32" t="str">
        <f>IF($A725="","",INDEX(APOIO!$D:$D,MATCH(CONCATENATE($A725,"_",$B725,"_",$C725),APOIO!$F:$F,0)))</f>
        <v/>
      </c>
      <c r="E725" s="31"/>
      <c r="F725" s="31"/>
      <c r="G725" s="33"/>
      <c r="H725" s="105"/>
      <c r="I725" s="32" t="str">
        <f>IF($A725="","",VLOOKUP($H725,APOIO!$L:$M,2,FALSE))</f>
        <v/>
      </c>
      <c r="J725" s="31"/>
      <c r="K725" s="32" t="str">
        <f>IF($A725="","",VLOOKUP($J725,APOIO!$H:$J,2,FALSE))</f>
        <v/>
      </c>
      <c r="L725" s="32" t="str">
        <f>IF($A725="","",VLOOKUP($J725,APOIO!$H:$J,3,FALSE))</f>
        <v/>
      </c>
      <c r="M725" s="31"/>
      <c r="N725" s="34"/>
      <c r="O725" s="32"/>
      <c r="P725" s="32"/>
      <c r="Q725" s="32"/>
      <c r="R725" s="32"/>
      <c r="S725" s="35"/>
      <c r="T725" s="91"/>
      <c r="U725" s="60"/>
      <c r="V725" s="36"/>
      <c r="W725" s="31"/>
      <c r="X725" s="59"/>
      <c r="Y725" s="59" t="str">
        <f>IFERROR(VLOOKUP($A725,APOIO!$A:$A,1,FALSE),"ERRO")</f>
        <v>ERRO</v>
      </c>
      <c r="Z725"/>
    </row>
    <row r="726" spans="1:26" ht="15" x14ac:dyDescent="0.25">
      <c r="A726" s="94"/>
      <c r="B726" s="32" t="str">
        <f>IF($A726="","",VLOOKUP($A726,APOIO!$A:$E,2,FALSE))</f>
        <v/>
      </c>
      <c r="C726" s="94"/>
      <c r="D726" s="32" t="str">
        <f>IF($A726="","",INDEX(APOIO!$D:$D,MATCH(CONCATENATE($A726,"_",$B726,"_",$C726),APOIO!$F:$F,0)))</f>
        <v/>
      </c>
      <c r="E726" s="31"/>
      <c r="F726" s="31"/>
      <c r="G726" s="33"/>
      <c r="H726" s="105"/>
      <c r="I726" s="32" t="str">
        <f>IF($A726="","",VLOOKUP($H726,APOIO!$L:$M,2,FALSE))</f>
        <v/>
      </c>
      <c r="J726" s="31"/>
      <c r="K726" s="32" t="str">
        <f>IF($A726="","",VLOOKUP($J726,APOIO!$H:$J,2,FALSE))</f>
        <v/>
      </c>
      <c r="L726" s="32" t="str">
        <f>IF($A726="","",VLOOKUP($J726,APOIO!$H:$J,3,FALSE))</f>
        <v/>
      </c>
      <c r="M726" s="31"/>
      <c r="N726" s="34"/>
      <c r="O726" s="32"/>
      <c r="P726" s="32"/>
      <c r="Q726" s="32"/>
      <c r="R726" s="32"/>
      <c r="S726" s="35"/>
      <c r="T726" s="91"/>
      <c r="U726" s="60"/>
      <c r="V726" s="36"/>
      <c r="W726" s="31"/>
      <c r="X726" s="59"/>
      <c r="Y726" s="59" t="str">
        <f>IFERROR(VLOOKUP($A726,APOIO!$A:$A,1,FALSE),"ERRO")</f>
        <v>ERRO</v>
      </c>
      <c r="Z726"/>
    </row>
    <row r="727" spans="1:26" ht="15" x14ac:dyDescent="0.25">
      <c r="A727" s="94"/>
      <c r="B727" s="32" t="str">
        <f>IF($A727="","",VLOOKUP($A727,APOIO!$A:$E,2,FALSE))</f>
        <v/>
      </c>
      <c r="C727" s="94"/>
      <c r="D727" s="32" t="str">
        <f>IF($A727="","",INDEX(APOIO!$D:$D,MATCH(CONCATENATE($A727,"_",$B727,"_",$C727),APOIO!$F:$F,0)))</f>
        <v/>
      </c>
      <c r="E727" s="31"/>
      <c r="F727" s="31"/>
      <c r="G727" s="33"/>
      <c r="H727" s="105"/>
      <c r="I727" s="32" t="str">
        <f>IF($A727="","",VLOOKUP($H727,APOIO!$L:$M,2,FALSE))</f>
        <v/>
      </c>
      <c r="J727" s="31"/>
      <c r="K727" s="32" t="str">
        <f>IF($A727="","",VLOOKUP($J727,APOIO!$H:$J,2,FALSE))</f>
        <v/>
      </c>
      <c r="L727" s="32" t="str">
        <f>IF($A727="","",VLOOKUP($J727,APOIO!$H:$J,3,FALSE))</f>
        <v/>
      </c>
      <c r="M727" s="31"/>
      <c r="N727" s="34"/>
      <c r="O727" s="32"/>
      <c r="P727" s="32"/>
      <c r="Q727" s="32"/>
      <c r="R727" s="32"/>
      <c r="S727" s="35"/>
      <c r="T727" s="91"/>
      <c r="U727" s="60"/>
      <c r="V727" s="36"/>
      <c r="W727" s="31"/>
      <c r="X727" s="59"/>
      <c r="Y727" s="59" t="str">
        <f>IFERROR(VLOOKUP($A727,APOIO!$A:$A,1,FALSE),"ERRO")</f>
        <v>ERRO</v>
      </c>
      <c r="Z727"/>
    </row>
    <row r="728" spans="1:26" ht="15" x14ac:dyDescent="0.25">
      <c r="A728" s="94"/>
      <c r="B728" s="32" t="str">
        <f>IF($A728="","",VLOOKUP($A728,APOIO!$A:$E,2,FALSE))</f>
        <v/>
      </c>
      <c r="C728" s="94"/>
      <c r="D728" s="32" t="str">
        <f>IF($A728="","",INDEX(APOIO!$D:$D,MATCH(CONCATENATE($A728,"_",$B728,"_",$C728),APOIO!$F:$F,0)))</f>
        <v/>
      </c>
      <c r="E728" s="31"/>
      <c r="F728" s="31"/>
      <c r="G728" s="33"/>
      <c r="H728" s="105"/>
      <c r="I728" s="32" t="str">
        <f>IF($A728="","",VLOOKUP($H728,APOIO!$L:$M,2,FALSE))</f>
        <v/>
      </c>
      <c r="J728" s="31"/>
      <c r="K728" s="32" t="str">
        <f>IF($A728="","",VLOOKUP($J728,APOIO!$H:$J,2,FALSE))</f>
        <v/>
      </c>
      <c r="L728" s="32" t="str">
        <f>IF($A728="","",VLOOKUP($J728,APOIO!$H:$J,3,FALSE))</f>
        <v/>
      </c>
      <c r="M728" s="31"/>
      <c r="N728" s="34"/>
      <c r="O728" s="32"/>
      <c r="P728" s="32"/>
      <c r="Q728" s="32"/>
      <c r="R728" s="32"/>
      <c r="S728" s="35"/>
      <c r="T728" s="91"/>
      <c r="U728" s="60"/>
      <c r="V728" s="36"/>
      <c r="W728" s="31"/>
      <c r="X728" s="59"/>
      <c r="Y728" s="59" t="str">
        <f>IFERROR(VLOOKUP($A728,APOIO!$A:$A,1,FALSE),"ERRO")</f>
        <v>ERRO</v>
      </c>
      <c r="Z728"/>
    </row>
    <row r="729" spans="1:26" ht="15" x14ac:dyDescent="0.25">
      <c r="A729" s="94"/>
      <c r="B729" s="32" t="str">
        <f>IF($A729="","",VLOOKUP($A729,APOIO!$A:$E,2,FALSE))</f>
        <v/>
      </c>
      <c r="C729" s="94"/>
      <c r="D729" s="32" t="str">
        <f>IF($A729="","",INDEX(APOIO!$D:$D,MATCH(CONCATENATE($A729,"_",$B729,"_",$C729),APOIO!$F:$F,0)))</f>
        <v/>
      </c>
      <c r="E729" s="31"/>
      <c r="F729" s="31"/>
      <c r="G729" s="33"/>
      <c r="H729" s="105"/>
      <c r="I729" s="32" t="str">
        <f>IF($A729="","",VLOOKUP($H729,APOIO!$L:$M,2,FALSE))</f>
        <v/>
      </c>
      <c r="J729" s="31"/>
      <c r="K729" s="32" t="str">
        <f>IF($A729="","",VLOOKUP($J729,APOIO!$H:$J,2,FALSE))</f>
        <v/>
      </c>
      <c r="L729" s="32" t="str">
        <f>IF($A729="","",VLOOKUP($J729,APOIO!$H:$J,3,FALSE))</f>
        <v/>
      </c>
      <c r="M729" s="31"/>
      <c r="N729" s="34"/>
      <c r="O729" s="32"/>
      <c r="P729" s="32"/>
      <c r="Q729" s="32"/>
      <c r="R729" s="32"/>
      <c r="S729" s="35"/>
      <c r="T729" s="91"/>
      <c r="U729" s="60"/>
      <c r="V729" s="36"/>
      <c r="W729" s="31"/>
      <c r="X729" s="59"/>
      <c r="Y729" s="59" t="str">
        <f>IFERROR(VLOOKUP($A729,APOIO!$A:$A,1,FALSE),"ERRO")</f>
        <v>ERRO</v>
      </c>
      <c r="Z729"/>
    </row>
    <row r="730" spans="1:26" ht="15" x14ac:dyDescent="0.25">
      <c r="A730" s="94"/>
      <c r="B730" s="32" t="str">
        <f>IF($A730="","",VLOOKUP($A730,APOIO!$A:$E,2,FALSE))</f>
        <v/>
      </c>
      <c r="C730" s="94"/>
      <c r="D730" s="32" t="str">
        <f>IF($A730="","",INDEX(APOIO!$D:$D,MATCH(CONCATENATE($A730,"_",$B730,"_",$C730),APOIO!$F:$F,0)))</f>
        <v/>
      </c>
      <c r="E730" s="31"/>
      <c r="F730" s="31"/>
      <c r="G730" s="33"/>
      <c r="H730" s="105"/>
      <c r="I730" s="32" t="str">
        <f>IF($A730="","",VLOOKUP($H730,APOIO!$L:$M,2,FALSE))</f>
        <v/>
      </c>
      <c r="J730" s="31"/>
      <c r="K730" s="32" t="str">
        <f>IF($A730="","",VLOOKUP($J730,APOIO!$H:$J,2,FALSE))</f>
        <v/>
      </c>
      <c r="L730" s="32" t="str">
        <f>IF($A730="","",VLOOKUP($J730,APOIO!$H:$J,3,FALSE))</f>
        <v/>
      </c>
      <c r="M730" s="31"/>
      <c r="N730" s="34"/>
      <c r="O730" s="32"/>
      <c r="P730" s="32"/>
      <c r="Q730" s="32"/>
      <c r="R730" s="32"/>
      <c r="S730" s="35"/>
      <c r="T730" s="91"/>
      <c r="U730" s="60"/>
      <c r="V730" s="36"/>
      <c r="W730" s="31"/>
      <c r="X730" s="59"/>
      <c r="Y730" s="59" t="str">
        <f>IFERROR(VLOOKUP($A730,APOIO!$A:$A,1,FALSE),"ERRO")</f>
        <v>ERRO</v>
      </c>
      <c r="Z730"/>
    </row>
    <row r="731" spans="1:26" ht="15" x14ac:dyDescent="0.25">
      <c r="A731" s="94"/>
      <c r="B731" s="32" t="str">
        <f>IF($A731="","",VLOOKUP($A731,APOIO!$A:$E,2,FALSE))</f>
        <v/>
      </c>
      <c r="C731" s="94"/>
      <c r="D731" s="32" t="str">
        <f>IF($A731="","",INDEX(APOIO!$D:$D,MATCH(CONCATENATE($A731,"_",$B731,"_",$C731),APOIO!$F:$F,0)))</f>
        <v/>
      </c>
      <c r="E731" s="31"/>
      <c r="F731" s="31"/>
      <c r="G731" s="33"/>
      <c r="H731" s="105"/>
      <c r="I731" s="32" t="str">
        <f>IF($A731="","",VLOOKUP($H731,APOIO!$L:$M,2,FALSE))</f>
        <v/>
      </c>
      <c r="J731" s="31"/>
      <c r="K731" s="32" t="str">
        <f>IF($A731="","",VLOOKUP($J731,APOIO!$H:$J,2,FALSE))</f>
        <v/>
      </c>
      <c r="L731" s="32" t="str">
        <f>IF($A731="","",VLOOKUP($J731,APOIO!$H:$J,3,FALSE))</f>
        <v/>
      </c>
      <c r="M731" s="31"/>
      <c r="N731" s="34"/>
      <c r="O731" s="32"/>
      <c r="P731" s="32"/>
      <c r="Q731" s="32"/>
      <c r="R731" s="32"/>
      <c r="S731" s="35"/>
      <c r="T731" s="91"/>
      <c r="U731" s="60"/>
      <c r="V731" s="36"/>
      <c r="W731" s="31"/>
      <c r="X731" s="59"/>
      <c r="Y731" s="59" t="str">
        <f>IFERROR(VLOOKUP($A731,APOIO!$A:$A,1,FALSE),"ERRO")</f>
        <v>ERRO</v>
      </c>
      <c r="Z731"/>
    </row>
    <row r="732" spans="1:26" ht="15" x14ac:dyDescent="0.25">
      <c r="A732" s="94"/>
      <c r="B732" s="32" t="str">
        <f>IF($A732="","",VLOOKUP($A732,APOIO!$A:$E,2,FALSE))</f>
        <v/>
      </c>
      <c r="C732" s="94"/>
      <c r="D732" s="32" t="str">
        <f>IF($A732="","",INDEX(APOIO!$D:$D,MATCH(CONCATENATE($A732,"_",$B732,"_",$C732),APOIO!$F:$F,0)))</f>
        <v/>
      </c>
      <c r="E732" s="31"/>
      <c r="F732" s="31"/>
      <c r="G732" s="33"/>
      <c r="H732" s="105"/>
      <c r="I732" s="32" t="str">
        <f>IF($A732="","",VLOOKUP($H732,APOIO!$L:$M,2,FALSE))</f>
        <v/>
      </c>
      <c r="J732" s="31"/>
      <c r="K732" s="32" t="str">
        <f>IF($A732="","",VLOOKUP($J732,APOIO!$H:$J,2,FALSE))</f>
        <v/>
      </c>
      <c r="L732" s="32" t="str">
        <f>IF($A732="","",VLOOKUP($J732,APOIO!$H:$J,3,FALSE))</f>
        <v/>
      </c>
      <c r="M732" s="31"/>
      <c r="N732" s="34"/>
      <c r="O732" s="32"/>
      <c r="P732" s="32"/>
      <c r="Q732" s="32"/>
      <c r="R732" s="32"/>
      <c r="S732" s="35"/>
      <c r="T732" s="91"/>
      <c r="U732" s="60"/>
      <c r="V732" s="36"/>
      <c r="W732" s="31"/>
      <c r="X732" s="59"/>
      <c r="Y732" s="59" t="str">
        <f>IFERROR(VLOOKUP($A732,APOIO!$A:$A,1,FALSE),"ERRO")</f>
        <v>ERRO</v>
      </c>
      <c r="Z732"/>
    </row>
    <row r="733" spans="1:26" ht="15" x14ac:dyDescent="0.25">
      <c r="A733" s="94"/>
      <c r="B733" s="32" t="str">
        <f>IF($A733="","",VLOOKUP($A733,APOIO!$A:$E,2,FALSE))</f>
        <v/>
      </c>
      <c r="C733" s="94"/>
      <c r="D733" s="32" t="str">
        <f>IF($A733="","",INDEX(APOIO!$D:$D,MATCH(CONCATENATE($A733,"_",$B733,"_",$C733),APOIO!$F:$F,0)))</f>
        <v/>
      </c>
      <c r="E733" s="31"/>
      <c r="F733" s="31"/>
      <c r="G733" s="33"/>
      <c r="H733" s="105"/>
      <c r="I733" s="32" t="str">
        <f>IF($A733="","",VLOOKUP($H733,APOIO!$L:$M,2,FALSE))</f>
        <v/>
      </c>
      <c r="J733" s="31"/>
      <c r="K733" s="32" t="str">
        <f>IF($A733="","",VLOOKUP($J733,APOIO!$H:$J,2,FALSE))</f>
        <v/>
      </c>
      <c r="L733" s="32" t="str">
        <f>IF($A733="","",VLOOKUP($J733,APOIO!$H:$J,3,FALSE))</f>
        <v/>
      </c>
      <c r="M733" s="31"/>
      <c r="N733" s="34"/>
      <c r="O733" s="32"/>
      <c r="P733" s="32"/>
      <c r="Q733" s="32"/>
      <c r="R733" s="32"/>
      <c r="S733" s="35"/>
      <c r="T733" s="91"/>
      <c r="U733" s="60"/>
      <c r="V733" s="36"/>
      <c r="W733" s="31"/>
      <c r="X733" s="59"/>
      <c r="Y733" s="59" t="str">
        <f>IFERROR(VLOOKUP($A733,APOIO!$A:$A,1,FALSE),"ERRO")</f>
        <v>ERRO</v>
      </c>
      <c r="Z733"/>
    </row>
    <row r="734" spans="1:26" ht="15" x14ac:dyDescent="0.25">
      <c r="A734" s="94"/>
      <c r="B734" s="32" t="str">
        <f>IF($A734="","",VLOOKUP($A734,APOIO!$A:$E,2,FALSE))</f>
        <v/>
      </c>
      <c r="C734" s="94"/>
      <c r="D734" s="32" t="str">
        <f>IF($A734="","",INDEX(APOIO!$D:$D,MATCH(CONCATENATE($A734,"_",$B734,"_",$C734),APOIO!$F:$F,0)))</f>
        <v/>
      </c>
      <c r="E734" s="31"/>
      <c r="F734" s="31"/>
      <c r="G734" s="33"/>
      <c r="H734" s="105"/>
      <c r="I734" s="32" t="str">
        <f>IF($A734="","",VLOOKUP($H734,APOIO!$L:$M,2,FALSE))</f>
        <v/>
      </c>
      <c r="J734" s="31"/>
      <c r="K734" s="32" t="str">
        <f>IF($A734="","",VLOOKUP($J734,APOIO!$H:$J,2,FALSE))</f>
        <v/>
      </c>
      <c r="L734" s="32" t="str">
        <f>IF($A734="","",VLOOKUP($J734,APOIO!$H:$J,3,FALSE))</f>
        <v/>
      </c>
      <c r="M734" s="31"/>
      <c r="N734" s="34"/>
      <c r="O734" s="32"/>
      <c r="P734" s="32"/>
      <c r="Q734" s="32"/>
      <c r="R734" s="32"/>
      <c r="S734" s="35"/>
      <c r="T734" s="91"/>
      <c r="U734" s="60"/>
      <c r="V734" s="36"/>
      <c r="W734" s="31"/>
      <c r="X734" s="59"/>
      <c r="Y734" s="59" t="str">
        <f>IFERROR(VLOOKUP($A734,APOIO!$A:$A,1,FALSE),"ERRO")</f>
        <v>ERRO</v>
      </c>
      <c r="Z734"/>
    </row>
    <row r="735" spans="1:26" ht="15" x14ac:dyDescent="0.25">
      <c r="A735" s="94"/>
      <c r="B735" s="32" t="str">
        <f>IF($A735="","",VLOOKUP($A735,APOIO!$A:$E,2,FALSE))</f>
        <v/>
      </c>
      <c r="C735" s="94"/>
      <c r="D735" s="32" t="str">
        <f>IF($A735="","",INDEX(APOIO!$D:$D,MATCH(CONCATENATE($A735,"_",$B735,"_",$C735),APOIO!$F:$F,0)))</f>
        <v/>
      </c>
      <c r="E735" s="31"/>
      <c r="F735" s="31"/>
      <c r="G735" s="33"/>
      <c r="H735" s="105"/>
      <c r="I735" s="32" t="str">
        <f>IF($A735="","",VLOOKUP($H735,APOIO!$L:$M,2,FALSE))</f>
        <v/>
      </c>
      <c r="J735" s="31"/>
      <c r="K735" s="32" t="str">
        <f>IF($A735="","",VLOOKUP($J735,APOIO!$H:$J,2,FALSE))</f>
        <v/>
      </c>
      <c r="L735" s="32" t="str">
        <f>IF($A735="","",VLOOKUP($J735,APOIO!$H:$J,3,FALSE))</f>
        <v/>
      </c>
      <c r="M735" s="31"/>
      <c r="N735" s="34"/>
      <c r="O735" s="32"/>
      <c r="P735" s="32"/>
      <c r="Q735" s="32"/>
      <c r="R735" s="32"/>
      <c r="S735" s="35"/>
      <c r="T735" s="91"/>
      <c r="U735" s="60"/>
      <c r="V735" s="36"/>
      <c r="W735" s="31"/>
      <c r="X735" s="59"/>
      <c r="Y735" s="59" t="str">
        <f>IFERROR(VLOOKUP($A735,APOIO!$A:$A,1,FALSE),"ERRO")</f>
        <v>ERRO</v>
      </c>
      <c r="Z735"/>
    </row>
    <row r="736" spans="1:26" ht="15" x14ac:dyDescent="0.25">
      <c r="A736" s="94"/>
      <c r="B736" s="32" t="str">
        <f>IF($A736="","",VLOOKUP($A736,APOIO!$A:$E,2,FALSE))</f>
        <v/>
      </c>
      <c r="C736" s="94"/>
      <c r="D736" s="32" t="str">
        <f>IF($A736="","",INDEX(APOIO!$D:$D,MATCH(CONCATENATE($A736,"_",$B736,"_",$C736),APOIO!$F:$F,0)))</f>
        <v/>
      </c>
      <c r="E736" s="31"/>
      <c r="F736" s="31"/>
      <c r="G736" s="33"/>
      <c r="H736" s="105"/>
      <c r="I736" s="32" t="str">
        <f>IF($A736="","",VLOOKUP($H736,APOIO!$L:$M,2,FALSE))</f>
        <v/>
      </c>
      <c r="J736" s="31"/>
      <c r="K736" s="32" t="str">
        <f>IF($A736="","",VLOOKUP($J736,APOIO!$H:$J,2,FALSE))</f>
        <v/>
      </c>
      <c r="L736" s="32" t="str">
        <f>IF($A736="","",VLOOKUP($J736,APOIO!$H:$J,3,FALSE))</f>
        <v/>
      </c>
      <c r="M736" s="31"/>
      <c r="N736" s="34"/>
      <c r="O736" s="32"/>
      <c r="P736" s="32"/>
      <c r="Q736" s="32"/>
      <c r="R736" s="32"/>
      <c r="S736" s="35"/>
      <c r="T736" s="91"/>
      <c r="U736" s="60"/>
      <c r="V736" s="36"/>
      <c r="W736" s="31"/>
      <c r="X736" s="59"/>
      <c r="Y736" s="59" t="str">
        <f>IFERROR(VLOOKUP($A736,APOIO!$A:$A,1,FALSE),"ERRO")</f>
        <v>ERRO</v>
      </c>
      <c r="Z736"/>
    </row>
    <row r="737" spans="1:26" ht="15" x14ac:dyDescent="0.25">
      <c r="A737" s="94"/>
      <c r="B737" s="32" t="str">
        <f>IF($A737="","",VLOOKUP($A737,APOIO!$A:$E,2,FALSE))</f>
        <v/>
      </c>
      <c r="C737" s="94"/>
      <c r="D737" s="32" t="str">
        <f>IF($A737="","",INDEX(APOIO!$D:$D,MATCH(CONCATENATE($A737,"_",$B737,"_",$C737),APOIO!$F:$F,0)))</f>
        <v/>
      </c>
      <c r="E737" s="31"/>
      <c r="F737" s="31"/>
      <c r="G737" s="33"/>
      <c r="H737" s="105"/>
      <c r="I737" s="32" t="str">
        <f>IF($A737="","",VLOOKUP($H737,APOIO!$L:$M,2,FALSE))</f>
        <v/>
      </c>
      <c r="J737" s="31"/>
      <c r="K737" s="32" t="str">
        <f>IF($A737="","",VLOOKUP($J737,APOIO!$H:$J,2,FALSE))</f>
        <v/>
      </c>
      <c r="L737" s="32" t="str">
        <f>IF($A737="","",VLOOKUP($J737,APOIO!$H:$J,3,FALSE))</f>
        <v/>
      </c>
      <c r="M737" s="31"/>
      <c r="N737" s="34"/>
      <c r="O737" s="32"/>
      <c r="P737" s="32"/>
      <c r="Q737" s="32"/>
      <c r="R737" s="32"/>
      <c r="S737" s="35"/>
      <c r="T737" s="91"/>
      <c r="U737" s="60"/>
      <c r="V737" s="36"/>
      <c r="W737" s="31"/>
      <c r="X737" s="59"/>
      <c r="Y737" s="59" t="str">
        <f>IFERROR(VLOOKUP($A737,APOIO!$A:$A,1,FALSE),"ERRO")</f>
        <v>ERRO</v>
      </c>
      <c r="Z737"/>
    </row>
    <row r="738" spans="1:26" ht="15" x14ac:dyDescent="0.25">
      <c r="A738" s="94"/>
      <c r="B738" s="32" t="str">
        <f>IF($A738="","",VLOOKUP($A738,APOIO!$A:$E,2,FALSE))</f>
        <v/>
      </c>
      <c r="C738" s="94"/>
      <c r="D738" s="32" t="str">
        <f>IF($A738="","",INDEX(APOIO!$D:$D,MATCH(CONCATENATE($A738,"_",$B738,"_",$C738),APOIO!$F:$F,0)))</f>
        <v/>
      </c>
      <c r="E738" s="31"/>
      <c r="F738" s="31"/>
      <c r="G738" s="33"/>
      <c r="H738" s="105"/>
      <c r="I738" s="32" t="str">
        <f>IF($A738="","",VLOOKUP($H738,APOIO!$L:$M,2,FALSE))</f>
        <v/>
      </c>
      <c r="J738" s="31"/>
      <c r="K738" s="32" t="str">
        <f>IF($A738="","",VLOOKUP($J738,APOIO!$H:$J,2,FALSE))</f>
        <v/>
      </c>
      <c r="L738" s="32" t="str">
        <f>IF($A738="","",VLOOKUP($J738,APOIO!$H:$J,3,FALSE))</f>
        <v/>
      </c>
      <c r="M738" s="31"/>
      <c r="N738" s="34"/>
      <c r="O738" s="32"/>
      <c r="P738" s="32"/>
      <c r="Q738" s="32"/>
      <c r="R738" s="32"/>
      <c r="S738" s="35"/>
      <c r="T738" s="91"/>
      <c r="U738" s="60"/>
      <c r="V738" s="36"/>
      <c r="W738" s="31"/>
      <c r="X738" s="59"/>
      <c r="Y738" s="59" t="str">
        <f>IFERROR(VLOOKUP($A738,APOIO!$A:$A,1,FALSE),"ERRO")</f>
        <v>ERRO</v>
      </c>
      <c r="Z738"/>
    </row>
    <row r="739" spans="1:26" ht="15" x14ac:dyDescent="0.25">
      <c r="A739" s="94"/>
      <c r="B739" s="32" t="str">
        <f>IF($A739="","",VLOOKUP($A739,APOIO!$A:$E,2,FALSE))</f>
        <v/>
      </c>
      <c r="C739" s="94"/>
      <c r="D739" s="32" t="str">
        <f>IF($A739="","",INDEX(APOIO!$D:$D,MATCH(CONCATENATE($A739,"_",$B739,"_",$C739),APOIO!$F:$F,0)))</f>
        <v/>
      </c>
      <c r="E739" s="31"/>
      <c r="F739" s="31"/>
      <c r="G739" s="33"/>
      <c r="H739" s="105"/>
      <c r="I739" s="32" t="str">
        <f>IF($A739="","",VLOOKUP($H739,APOIO!$L:$M,2,FALSE))</f>
        <v/>
      </c>
      <c r="J739" s="31"/>
      <c r="K739" s="32" t="str">
        <f>IF($A739="","",VLOOKUP($J739,APOIO!$H:$J,2,FALSE))</f>
        <v/>
      </c>
      <c r="L739" s="32" t="str">
        <f>IF($A739="","",VLOOKUP($J739,APOIO!$H:$J,3,FALSE))</f>
        <v/>
      </c>
      <c r="M739" s="31"/>
      <c r="N739" s="34"/>
      <c r="O739" s="32"/>
      <c r="P739" s="32"/>
      <c r="Q739" s="32"/>
      <c r="R739" s="32"/>
      <c r="S739" s="35"/>
      <c r="T739" s="91"/>
      <c r="U739" s="60"/>
      <c r="V739" s="36"/>
      <c r="W739" s="31"/>
      <c r="X739" s="59"/>
      <c r="Y739" s="59" t="str">
        <f>IFERROR(VLOOKUP($A739,APOIO!$A:$A,1,FALSE),"ERRO")</f>
        <v>ERRO</v>
      </c>
      <c r="Z739"/>
    </row>
    <row r="740" spans="1:26" ht="15" x14ac:dyDescent="0.25">
      <c r="A740" s="94"/>
      <c r="B740" s="32" t="str">
        <f>IF($A740="","",VLOOKUP($A740,APOIO!$A:$E,2,FALSE))</f>
        <v/>
      </c>
      <c r="C740" s="94"/>
      <c r="D740" s="32" t="str">
        <f>IF($A740="","",INDEX(APOIO!$D:$D,MATCH(CONCATENATE($A740,"_",$B740,"_",$C740),APOIO!$F:$F,0)))</f>
        <v/>
      </c>
      <c r="E740" s="31"/>
      <c r="F740" s="31"/>
      <c r="G740" s="33"/>
      <c r="H740" s="105"/>
      <c r="I740" s="32" t="str">
        <f>IF($A740="","",VLOOKUP($H740,APOIO!$L:$M,2,FALSE))</f>
        <v/>
      </c>
      <c r="J740" s="31"/>
      <c r="K740" s="32" t="str">
        <f>IF($A740="","",VLOOKUP($J740,APOIO!$H:$J,2,FALSE))</f>
        <v/>
      </c>
      <c r="L740" s="32" t="str">
        <f>IF($A740="","",VLOOKUP($J740,APOIO!$H:$J,3,FALSE))</f>
        <v/>
      </c>
      <c r="M740" s="31"/>
      <c r="N740" s="34"/>
      <c r="O740" s="32"/>
      <c r="P740" s="32"/>
      <c r="Q740" s="32"/>
      <c r="R740" s="32"/>
      <c r="S740" s="35"/>
      <c r="T740" s="91"/>
      <c r="U740" s="60"/>
      <c r="V740" s="36"/>
      <c r="W740" s="31"/>
      <c r="X740" s="59"/>
      <c r="Y740" s="59" t="str">
        <f>IFERROR(VLOOKUP($A740,APOIO!$A:$A,1,FALSE),"ERRO")</f>
        <v>ERRO</v>
      </c>
      <c r="Z740"/>
    </row>
    <row r="741" spans="1:26" ht="15" x14ac:dyDescent="0.25">
      <c r="A741" s="94"/>
      <c r="B741" s="32" t="str">
        <f>IF($A741="","",VLOOKUP($A741,APOIO!$A:$E,2,FALSE))</f>
        <v/>
      </c>
      <c r="C741" s="94"/>
      <c r="D741" s="32" t="str">
        <f>IF($A741="","",INDEX(APOIO!$D:$D,MATCH(CONCATENATE($A741,"_",$B741,"_",$C741),APOIO!$F:$F,0)))</f>
        <v/>
      </c>
      <c r="E741" s="31"/>
      <c r="F741" s="31"/>
      <c r="G741" s="33"/>
      <c r="H741" s="105"/>
      <c r="I741" s="32" t="str">
        <f>IF($A741="","",VLOOKUP($H741,APOIO!$L:$M,2,FALSE))</f>
        <v/>
      </c>
      <c r="J741" s="31"/>
      <c r="K741" s="32" t="str">
        <f>IF($A741="","",VLOOKUP($J741,APOIO!$H:$J,2,FALSE))</f>
        <v/>
      </c>
      <c r="L741" s="32" t="str">
        <f>IF($A741="","",VLOOKUP($J741,APOIO!$H:$J,3,FALSE))</f>
        <v/>
      </c>
      <c r="M741" s="31"/>
      <c r="N741" s="34"/>
      <c r="O741" s="32"/>
      <c r="P741" s="32"/>
      <c r="Q741" s="32"/>
      <c r="R741" s="32"/>
      <c r="S741" s="35"/>
      <c r="T741" s="91"/>
      <c r="U741" s="60"/>
      <c r="V741" s="36"/>
      <c r="W741" s="31"/>
      <c r="X741" s="59"/>
      <c r="Y741" s="59" t="str">
        <f>IFERROR(VLOOKUP($A741,APOIO!$A:$A,1,FALSE),"ERRO")</f>
        <v>ERRO</v>
      </c>
      <c r="Z741"/>
    </row>
    <row r="742" spans="1:26" ht="15" x14ac:dyDescent="0.25">
      <c r="A742" s="94"/>
      <c r="B742" s="32" t="str">
        <f>IF($A742="","",VLOOKUP($A742,APOIO!$A:$E,2,FALSE))</f>
        <v/>
      </c>
      <c r="C742" s="94"/>
      <c r="D742" s="32" t="str">
        <f>IF($A742="","",INDEX(APOIO!$D:$D,MATCH(CONCATENATE($A742,"_",$B742,"_",$C742),APOIO!$F:$F,0)))</f>
        <v/>
      </c>
      <c r="E742" s="31"/>
      <c r="F742" s="31"/>
      <c r="G742" s="33"/>
      <c r="H742" s="105"/>
      <c r="I742" s="32" t="str">
        <f>IF($A742="","",VLOOKUP($H742,APOIO!$L:$M,2,FALSE))</f>
        <v/>
      </c>
      <c r="J742" s="31"/>
      <c r="K742" s="32" t="str">
        <f>IF($A742="","",VLOOKUP($J742,APOIO!$H:$J,2,FALSE))</f>
        <v/>
      </c>
      <c r="L742" s="32" t="str">
        <f>IF($A742="","",VLOOKUP($J742,APOIO!$H:$J,3,FALSE))</f>
        <v/>
      </c>
      <c r="M742" s="31"/>
      <c r="N742" s="34"/>
      <c r="O742" s="32"/>
      <c r="P742" s="32"/>
      <c r="Q742" s="32"/>
      <c r="R742" s="32"/>
      <c r="S742" s="35"/>
      <c r="T742" s="91"/>
      <c r="U742" s="60"/>
      <c r="V742" s="36"/>
      <c r="W742" s="31"/>
      <c r="X742" s="59"/>
      <c r="Y742" s="59" t="str">
        <f>IFERROR(VLOOKUP($A742,APOIO!$A:$A,1,FALSE),"ERRO")</f>
        <v>ERRO</v>
      </c>
      <c r="Z742"/>
    </row>
    <row r="743" spans="1:26" ht="15" x14ac:dyDescent="0.25">
      <c r="A743" s="94"/>
      <c r="B743" s="32" t="str">
        <f>IF($A743="","",VLOOKUP($A743,APOIO!$A:$E,2,FALSE))</f>
        <v/>
      </c>
      <c r="C743" s="94"/>
      <c r="D743" s="32" t="str">
        <f>IF($A743="","",INDEX(APOIO!$D:$D,MATCH(CONCATENATE($A743,"_",$B743,"_",$C743),APOIO!$F:$F,0)))</f>
        <v/>
      </c>
      <c r="E743" s="31"/>
      <c r="F743" s="31"/>
      <c r="G743" s="33"/>
      <c r="H743" s="105"/>
      <c r="I743" s="32" t="str">
        <f>IF($A743="","",VLOOKUP($H743,APOIO!$L:$M,2,FALSE))</f>
        <v/>
      </c>
      <c r="J743" s="31"/>
      <c r="K743" s="32" t="str">
        <f>IF($A743="","",VLOOKUP($J743,APOIO!$H:$J,2,FALSE))</f>
        <v/>
      </c>
      <c r="L743" s="32" t="str">
        <f>IF($A743="","",VLOOKUP($J743,APOIO!$H:$J,3,FALSE))</f>
        <v/>
      </c>
      <c r="M743" s="31"/>
      <c r="N743" s="34"/>
      <c r="O743" s="32"/>
      <c r="P743" s="32"/>
      <c r="Q743" s="32"/>
      <c r="R743" s="32"/>
      <c r="S743" s="35"/>
      <c r="T743" s="91"/>
      <c r="U743" s="60"/>
      <c r="V743" s="36"/>
      <c r="W743" s="31"/>
      <c r="X743" s="59"/>
      <c r="Y743" s="59" t="str">
        <f>IFERROR(VLOOKUP($A743,APOIO!$A:$A,1,FALSE),"ERRO")</f>
        <v>ERRO</v>
      </c>
      <c r="Z743"/>
    </row>
    <row r="744" spans="1:26" ht="15" x14ac:dyDescent="0.25">
      <c r="A744" s="94"/>
      <c r="B744" s="32" t="str">
        <f>IF($A744="","",VLOOKUP($A744,APOIO!$A:$E,2,FALSE))</f>
        <v/>
      </c>
      <c r="C744" s="94"/>
      <c r="D744" s="32" t="str">
        <f>IF($A744="","",INDEX(APOIO!$D:$D,MATCH(CONCATENATE($A744,"_",$B744,"_",$C744),APOIO!$F:$F,0)))</f>
        <v/>
      </c>
      <c r="E744" s="31"/>
      <c r="F744" s="31"/>
      <c r="G744" s="33"/>
      <c r="H744" s="105"/>
      <c r="I744" s="32" t="str">
        <f>IF($A744="","",VLOOKUP($H744,APOIO!$L:$M,2,FALSE))</f>
        <v/>
      </c>
      <c r="J744" s="31"/>
      <c r="K744" s="32" t="str">
        <f>IF($A744="","",VLOOKUP($J744,APOIO!$H:$J,2,FALSE))</f>
        <v/>
      </c>
      <c r="L744" s="32" t="str">
        <f>IF($A744="","",VLOOKUP($J744,APOIO!$H:$J,3,FALSE))</f>
        <v/>
      </c>
      <c r="M744" s="31"/>
      <c r="N744" s="34"/>
      <c r="O744" s="32"/>
      <c r="P744" s="32"/>
      <c r="Q744" s="32"/>
      <c r="R744" s="32"/>
      <c r="S744" s="35"/>
      <c r="T744" s="91"/>
      <c r="U744" s="60"/>
      <c r="V744" s="36"/>
      <c r="W744" s="31"/>
      <c r="X744" s="59"/>
      <c r="Y744" s="59" t="str">
        <f>IFERROR(VLOOKUP($A744,APOIO!$A:$A,1,FALSE),"ERRO")</f>
        <v>ERRO</v>
      </c>
      <c r="Z744"/>
    </row>
    <row r="745" spans="1:26" ht="15" x14ac:dyDescent="0.25">
      <c r="A745" s="94"/>
      <c r="B745" s="32" t="str">
        <f>IF($A745="","",VLOOKUP($A745,APOIO!$A:$E,2,FALSE))</f>
        <v/>
      </c>
      <c r="C745" s="94"/>
      <c r="D745" s="32" t="str">
        <f>IF($A745="","",INDEX(APOIO!$D:$D,MATCH(CONCATENATE($A745,"_",$B745,"_",$C745),APOIO!$F:$F,0)))</f>
        <v/>
      </c>
      <c r="E745" s="31"/>
      <c r="F745" s="31"/>
      <c r="G745" s="33"/>
      <c r="H745" s="105"/>
      <c r="I745" s="32" t="str">
        <f>IF($A745="","",VLOOKUP($H745,APOIO!$L:$M,2,FALSE))</f>
        <v/>
      </c>
      <c r="J745" s="31"/>
      <c r="K745" s="32" t="str">
        <f>IF($A745="","",VLOOKUP($J745,APOIO!$H:$J,2,FALSE))</f>
        <v/>
      </c>
      <c r="L745" s="32" t="str">
        <f>IF($A745="","",VLOOKUP($J745,APOIO!$H:$J,3,FALSE))</f>
        <v/>
      </c>
      <c r="M745" s="31"/>
      <c r="N745" s="34"/>
      <c r="O745" s="32"/>
      <c r="P745" s="32"/>
      <c r="Q745" s="32"/>
      <c r="R745" s="32"/>
      <c r="S745" s="35"/>
      <c r="T745" s="91"/>
      <c r="U745" s="60"/>
      <c r="V745" s="36"/>
      <c r="W745" s="31"/>
      <c r="X745" s="59"/>
      <c r="Y745" s="59" t="str">
        <f>IFERROR(VLOOKUP($A745,APOIO!$A:$A,1,FALSE),"ERRO")</f>
        <v>ERRO</v>
      </c>
      <c r="Z745"/>
    </row>
    <row r="746" spans="1:26" ht="15" x14ac:dyDescent="0.25">
      <c r="A746" s="94"/>
      <c r="B746" s="32" t="str">
        <f>IF($A746="","",VLOOKUP($A746,APOIO!$A:$E,2,FALSE))</f>
        <v/>
      </c>
      <c r="C746" s="94"/>
      <c r="D746" s="32" t="str">
        <f>IF($A746="","",INDEX(APOIO!$D:$D,MATCH(CONCATENATE($A746,"_",$B746,"_",$C746),APOIO!$F:$F,0)))</f>
        <v/>
      </c>
      <c r="E746" s="31"/>
      <c r="F746" s="31"/>
      <c r="G746" s="33"/>
      <c r="H746" s="105"/>
      <c r="I746" s="32" t="str">
        <f>IF($A746="","",VLOOKUP($H746,APOIO!$L:$M,2,FALSE))</f>
        <v/>
      </c>
      <c r="J746" s="31"/>
      <c r="K746" s="32" t="str">
        <f>IF($A746="","",VLOOKUP($J746,APOIO!$H:$J,2,FALSE))</f>
        <v/>
      </c>
      <c r="L746" s="32" t="str">
        <f>IF($A746="","",VLOOKUP($J746,APOIO!$H:$J,3,FALSE))</f>
        <v/>
      </c>
      <c r="M746" s="31"/>
      <c r="N746" s="34"/>
      <c r="O746" s="32"/>
      <c r="P746" s="32"/>
      <c r="Q746" s="32"/>
      <c r="R746" s="32"/>
      <c r="S746" s="35"/>
      <c r="T746" s="91"/>
      <c r="U746" s="60"/>
      <c r="V746" s="36"/>
      <c r="W746" s="31"/>
      <c r="X746" s="59"/>
      <c r="Y746" s="59" t="str">
        <f>IFERROR(VLOOKUP($A746,APOIO!$A:$A,1,FALSE),"ERRO")</f>
        <v>ERRO</v>
      </c>
      <c r="Z746"/>
    </row>
    <row r="747" spans="1:26" ht="15" x14ac:dyDescent="0.25">
      <c r="A747" s="94"/>
      <c r="B747" s="32" t="str">
        <f>IF($A747="","",VLOOKUP($A747,APOIO!$A:$E,2,FALSE))</f>
        <v/>
      </c>
      <c r="C747" s="94"/>
      <c r="D747" s="32" t="str">
        <f>IF($A747="","",INDEX(APOIO!$D:$D,MATCH(CONCATENATE($A747,"_",$B747,"_",$C747),APOIO!$F:$F,0)))</f>
        <v/>
      </c>
      <c r="E747" s="31"/>
      <c r="F747" s="31"/>
      <c r="G747" s="33"/>
      <c r="H747" s="105"/>
      <c r="I747" s="32" t="str">
        <f>IF($A747="","",VLOOKUP($H747,APOIO!$L:$M,2,FALSE))</f>
        <v/>
      </c>
      <c r="J747" s="31"/>
      <c r="K747" s="32" t="str">
        <f>IF($A747="","",VLOOKUP($J747,APOIO!$H:$J,2,FALSE))</f>
        <v/>
      </c>
      <c r="L747" s="32" t="str">
        <f>IF($A747="","",VLOOKUP($J747,APOIO!$H:$J,3,FALSE))</f>
        <v/>
      </c>
      <c r="M747" s="31"/>
      <c r="N747" s="34"/>
      <c r="O747" s="32"/>
      <c r="P747" s="32"/>
      <c r="Q747" s="32"/>
      <c r="R747" s="32"/>
      <c r="S747" s="35"/>
      <c r="T747" s="91"/>
      <c r="U747" s="60"/>
      <c r="V747" s="36"/>
      <c r="W747" s="31"/>
      <c r="X747" s="59"/>
      <c r="Y747" s="59" t="str">
        <f>IFERROR(VLOOKUP($A747,APOIO!$A:$A,1,FALSE),"ERRO")</f>
        <v>ERRO</v>
      </c>
      <c r="Z747"/>
    </row>
    <row r="748" spans="1:26" ht="15" x14ac:dyDescent="0.25">
      <c r="A748" s="94"/>
      <c r="B748" s="32" t="str">
        <f>IF($A748="","",VLOOKUP($A748,APOIO!$A:$E,2,FALSE))</f>
        <v/>
      </c>
      <c r="C748" s="94"/>
      <c r="D748" s="32" t="str">
        <f>IF($A748="","",INDEX(APOIO!$D:$D,MATCH(CONCATENATE($A748,"_",$B748,"_",$C748),APOIO!$F:$F,0)))</f>
        <v/>
      </c>
      <c r="E748" s="31"/>
      <c r="F748" s="31"/>
      <c r="G748" s="33"/>
      <c r="H748" s="105"/>
      <c r="I748" s="32" t="str">
        <f>IF($A748="","",VLOOKUP($H748,APOIO!$L:$M,2,FALSE))</f>
        <v/>
      </c>
      <c r="J748" s="31"/>
      <c r="K748" s="32" t="str">
        <f>IF($A748="","",VLOOKUP($J748,APOIO!$H:$J,2,FALSE))</f>
        <v/>
      </c>
      <c r="L748" s="32" t="str">
        <f>IF($A748="","",VLOOKUP($J748,APOIO!$H:$J,3,FALSE))</f>
        <v/>
      </c>
      <c r="M748" s="31"/>
      <c r="N748" s="34"/>
      <c r="O748" s="32"/>
      <c r="P748" s="32"/>
      <c r="Q748" s="32"/>
      <c r="R748" s="32"/>
      <c r="S748" s="35"/>
      <c r="T748" s="91"/>
      <c r="U748" s="60"/>
      <c r="V748" s="36"/>
      <c r="W748" s="31"/>
      <c r="X748" s="59"/>
      <c r="Y748" s="59" t="str">
        <f>IFERROR(VLOOKUP($A748,APOIO!$A:$A,1,FALSE),"ERRO")</f>
        <v>ERRO</v>
      </c>
      <c r="Z748"/>
    </row>
    <row r="749" spans="1:26" ht="15" x14ac:dyDescent="0.25">
      <c r="A749" s="94"/>
      <c r="B749" s="32" t="str">
        <f>IF($A749="","",VLOOKUP($A749,APOIO!$A:$E,2,FALSE))</f>
        <v/>
      </c>
      <c r="C749" s="94"/>
      <c r="D749" s="32" t="str">
        <f>IF($A749="","",INDEX(APOIO!$D:$D,MATCH(CONCATENATE($A749,"_",$B749,"_",$C749),APOIO!$F:$F,0)))</f>
        <v/>
      </c>
      <c r="E749" s="31"/>
      <c r="F749" s="31"/>
      <c r="G749" s="33"/>
      <c r="H749" s="105"/>
      <c r="I749" s="32" t="str">
        <f>IF($A749="","",VLOOKUP($H749,APOIO!$L:$M,2,FALSE))</f>
        <v/>
      </c>
      <c r="J749" s="31"/>
      <c r="K749" s="32" t="str">
        <f>IF($A749="","",VLOOKUP($J749,APOIO!$H:$J,2,FALSE))</f>
        <v/>
      </c>
      <c r="L749" s="32" t="str">
        <f>IF($A749="","",VLOOKUP($J749,APOIO!$H:$J,3,FALSE))</f>
        <v/>
      </c>
      <c r="M749" s="31"/>
      <c r="N749" s="34"/>
      <c r="O749" s="32"/>
      <c r="P749" s="32"/>
      <c r="Q749" s="32"/>
      <c r="R749" s="32"/>
      <c r="S749" s="35"/>
      <c r="T749" s="91"/>
      <c r="U749" s="60"/>
      <c r="V749" s="36"/>
      <c r="W749" s="31"/>
      <c r="X749" s="59"/>
      <c r="Y749" s="59" t="str">
        <f>IFERROR(VLOOKUP($A749,APOIO!$A:$A,1,FALSE),"ERRO")</f>
        <v>ERRO</v>
      </c>
      <c r="Z749"/>
    </row>
    <row r="750" spans="1:26" ht="15" x14ac:dyDescent="0.25">
      <c r="A750" s="94"/>
      <c r="B750" s="32" t="str">
        <f>IF($A750="","",VLOOKUP($A750,APOIO!$A:$E,2,FALSE))</f>
        <v/>
      </c>
      <c r="C750" s="94"/>
      <c r="D750" s="32" t="str">
        <f>IF($A750="","",INDEX(APOIO!$D:$D,MATCH(CONCATENATE($A750,"_",$B750,"_",$C750),APOIO!$F:$F,0)))</f>
        <v/>
      </c>
      <c r="E750" s="31"/>
      <c r="F750" s="31"/>
      <c r="G750" s="33"/>
      <c r="H750" s="105"/>
      <c r="I750" s="32" t="str">
        <f>IF($A750="","",VLOOKUP($H750,APOIO!$L:$M,2,FALSE))</f>
        <v/>
      </c>
      <c r="J750" s="31"/>
      <c r="K750" s="32" t="str">
        <f>IF($A750="","",VLOOKUP($J750,APOIO!$H:$J,2,FALSE))</f>
        <v/>
      </c>
      <c r="L750" s="32" t="str">
        <f>IF($A750="","",VLOOKUP($J750,APOIO!$H:$J,3,FALSE))</f>
        <v/>
      </c>
      <c r="M750" s="31"/>
      <c r="N750" s="34"/>
      <c r="O750" s="32"/>
      <c r="P750" s="32"/>
      <c r="Q750" s="32"/>
      <c r="R750" s="32"/>
      <c r="S750" s="35"/>
      <c r="T750" s="91"/>
      <c r="U750" s="60"/>
      <c r="V750" s="36"/>
      <c r="W750" s="31"/>
      <c r="X750" s="59"/>
      <c r="Y750" s="59" t="str">
        <f>IFERROR(VLOOKUP($A750,APOIO!$A:$A,1,FALSE),"ERRO")</f>
        <v>ERRO</v>
      </c>
      <c r="Z750"/>
    </row>
    <row r="751" spans="1:26" ht="15" x14ac:dyDescent="0.25">
      <c r="A751" s="94"/>
      <c r="B751" s="32" t="str">
        <f>IF($A751="","",VLOOKUP($A751,APOIO!$A:$E,2,FALSE))</f>
        <v/>
      </c>
      <c r="C751" s="94"/>
      <c r="D751" s="32" t="str">
        <f>IF($A751="","",INDEX(APOIO!$D:$D,MATCH(CONCATENATE($A751,"_",$B751,"_",$C751),APOIO!$F:$F,0)))</f>
        <v/>
      </c>
      <c r="E751" s="31"/>
      <c r="F751" s="31"/>
      <c r="G751" s="33"/>
      <c r="H751" s="105"/>
      <c r="I751" s="32" t="str">
        <f>IF($A751="","",VLOOKUP($H751,APOIO!$L:$M,2,FALSE))</f>
        <v/>
      </c>
      <c r="J751" s="31"/>
      <c r="K751" s="32" t="str">
        <f>IF($A751="","",VLOOKUP($J751,APOIO!$H:$J,2,FALSE))</f>
        <v/>
      </c>
      <c r="L751" s="32" t="str">
        <f>IF($A751="","",VLOOKUP($J751,APOIO!$H:$J,3,FALSE))</f>
        <v/>
      </c>
      <c r="M751" s="31"/>
      <c r="N751" s="34"/>
      <c r="O751" s="32"/>
      <c r="P751" s="32"/>
      <c r="Q751" s="32"/>
      <c r="R751" s="32"/>
      <c r="S751" s="35"/>
      <c r="T751" s="91"/>
      <c r="U751" s="60"/>
      <c r="V751" s="36"/>
      <c r="W751" s="31"/>
      <c r="X751" s="59"/>
      <c r="Y751" s="59" t="str">
        <f>IFERROR(VLOOKUP($A751,APOIO!$A:$A,1,FALSE),"ERRO")</f>
        <v>ERRO</v>
      </c>
      <c r="Z751"/>
    </row>
    <row r="752" spans="1:26" ht="15" x14ac:dyDescent="0.25">
      <c r="A752" s="94"/>
      <c r="B752" s="32" t="str">
        <f>IF($A752="","",VLOOKUP($A752,APOIO!$A:$E,2,FALSE))</f>
        <v/>
      </c>
      <c r="C752" s="94"/>
      <c r="D752" s="32" t="str">
        <f>IF($A752="","",INDEX(APOIO!$D:$D,MATCH(CONCATENATE($A752,"_",$B752,"_",$C752),APOIO!$F:$F,0)))</f>
        <v/>
      </c>
      <c r="E752" s="31"/>
      <c r="F752" s="31"/>
      <c r="G752" s="33"/>
      <c r="H752" s="105"/>
      <c r="I752" s="32" t="str">
        <f>IF($A752="","",VLOOKUP($H752,APOIO!$L:$M,2,FALSE))</f>
        <v/>
      </c>
      <c r="J752" s="31"/>
      <c r="K752" s="32" t="str">
        <f>IF($A752="","",VLOOKUP($J752,APOIO!$H:$J,2,FALSE))</f>
        <v/>
      </c>
      <c r="L752" s="32" t="str">
        <f>IF($A752="","",VLOOKUP($J752,APOIO!$H:$J,3,FALSE))</f>
        <v/>
      </c>
      <c r="M752" s="31"/>
      <c r="N752" s="34"/>
      <c r="O752" s="32"/>
      <c r="P752" s="32"/>
      <c r="Q752" s="32"/>
      <c r="R752" s="32"/>
      <c r="S752" s="35"/>
      <c r="T752" s="91"/>
      <c r="U752" s="60"/>
      <c r="V752" s="36"/>
      <c r="W752" s="31"/>
      <c r="X752" s="59"/>
      <c r="Y752" s="59" t="str">
        <f>IFERROR(VLOOKUP($A752,APOIO!$A:$A,1,FALSE),"ERRO")</f>
        <v>ERRO</v>
      </c>
      <c r="Z752"/>
    </row>
    <row r="753" spans="1:26" ht="15" x14ac:dyDescent="0.25">
      <c r="A753" s="94"/>
      <c r="B753" s="32" t="str">
        <f>IF($A753="","",VLOOKUP($A753,APOIO!$A:$E,2,FALSE))</f>
        <v/>
      </c>
      <c r="C753" s="94"/>
      <c r="D753" s="32" t="str">
        <f>IF($A753="","",INDEX(APOIO!$D:$D,MATCH(CONCATENATE($A753,"_",$B753,"_",$C753),APOIO!$F:$F,0)))</f>
        <v/>
      </c>
      <c r="E753" s="31"/>
      <c r="F753" s="31"/>
      <c r="G753" s="33"/>
      <c r="H753" s="105"/>
      <c r="I753" s="32" t="str">
        <f>IF($A753="","",VLOOKUP($H753,APOIO!$L:$M,2,FALSE))</f>
        <v/>
      </c>
      <c r="J753" s="31"/>
      <c r="K753" s="32" t="str">
        <f>IF($A753="","",VLOOKUP($J753,APOIO!$H:$J,2,FALSE))</f>
        <v/>
      </c>
      <c r="L753" s="32" t="str">
        <f>IF($A753="","",VLOOKUP($J753,APOIO!$H:$J,3,FALSE))</f>
        <v/>
      </c>
      <c r="M753" s="31"/>
      <c r="N753" s="34"/>
      <c r="O753" s="32"/>
      <c r="P753" s="32"/>
      <c r="Q753" s="32"/>
      <c r="R753" s="32"/>
      <c r="S753" s="35"/>
      <c r="T753" s="91"/>
      <c r="U753" s="60"/>
      <c r="V753" s="36"/>
      <c r="W753" s="31"/>
      <c r="X753" s="59"/>
      <c r="Y753" s="59" t="str">
        <f>IFERROR(VLOOKUP($A753,APOIO!$A:$A,1,FALSE),"ERRO")</f>
        <v>ERRO</v>
      </c>
      <c r="Z753"/>
    </row>
    <row r="754" spans="1:26" ht="15" x14ac:dyDescent="0.25">
      <c r="A754" s="94"/>
      <c r="B754" s="32" t="str">
        <f>IF($A754="","",VLOOKUP($A754,APOIO!$A:$E,2,FALSE))</f>
        <v/>
      </c>
      <c r="C754" s="94"/>
      <c r="D754" s="32" t="str">
        <f>IF($A754="","",INDEX(APOIO!$D:$D,MATCH(CONCATENATE($A754,"_",$B754,"_",$C754),APOIO!$F:$F,0)))</f>
        <v/>
      </c>
      <c r="E754" s="31"/>
      <c r="F754" s="31"/>
      <c r="G754" s="33"/>
      <c r="H754" s="105"/>
      <c r="I754" s="32" t="str">
        <f>IF($A754="","",VLOOKUP($H754,APOIO!$L:$M,2,FALSE))</f>
        <v/>
      </c>
      <c r="J754" s="31"/>
      <c r="K754" s="32" t="str">
        <f>IF($A754="","",VLOOKUP($J754,APOIO!$H:$J,2,FALSE))</f>
        <v/>
      </c>
      <c r="L754" s="32" t="str">
        <f>IF($A754="","",VLOOKUP($J754,APOIO!$H:$J,3,FALSE))</f>
        <v/>
      </c>
      <c r="M754" s="31"/>
      <c r="N754" s="34"/>
      <c r="O754" s="32"/>
      <c r="P754" s="32"/>
      <c r="Q754" s="32"/>
      <c r="R754" s="32"/>
      <c r="S754" s="35"/>
      <c r="T754" s="91"/>
      <c r="U754" s="60"/>
      <c r="V754" s="36"/>
      <c r="W754" s="31"/>
      <c r="X754" s="59"/>
      <c r="Y754" s="59" t="str">
        <f>IFERROR(VLOOKUP($A754,APOIO!$A:$A,1,FALSE),"ERRO")</f>
        <v>ERRO</v>
      </c>
      <c r="Z754"/>
    </row>
    <row r="755" spans="1:26" ht="15" x14ac:dyDescent="0.25">
      <c r="A755" s="94"/>
      <c r="B755" s="32" t="str">
        <f>IF($A755="","",VLOOKUP($A755,APOIO!$A:$E,2,FALSE))</f>
        <v/>
      </c>
      <c r="C755" s="94"/>
      <c r="D755" s="32" t="str">
        <f>IF($A755="","",INDEX(APOIO!$D:$D,MATCH(CONCATENATE($A755,"_",$B755,"_",$C755),APOIO!$F:$F,0)))</f>
        <v/>
      </c>
      <c r="E755" s="31"/>
      <c r="F755" s="31"/>
      <c r="G755" s="33"/>
      <c r="H755" s="105"/>
      <c r="I755" s="32" t="str">
        <f>IF($A755="","",VLOOKUP($H755,APOIO!$L:$M,2,FALSE))</f>
        <v/>
      </c>
      <c r="J755" s="31"/>
      <c r="K755" s="32" t="str">
        <f>IF($A755="","",VLOOKUP($J755,APOIO!$H:$J,2,FALSE))</f>
        <v/>
      </c>
      <c r="L755" s="32" t="str">
        <f>IF($A755="","",VLOOKUP($J755,APOIO!$H:$J,3,FALSE))</f>
        <v/>
      </c>
      <c r="M755" s="31"/>
      <c r="N755" s="34"/>
      <c r="O755" s="32"/>
      <c r="P755" s="32"/>
      <c r="Q755" s="32"/>
      <c r="R755" s="32"/>
      <c r="S755" s="35"/>
      <c r="T755" s="91"/>
      <c r="U755" s="60"/>
      <c r="V755" s="36"/>
      <c r="W755" s="31"/>
      <c r="X755" s="59"/>
      <c r="Y755" s="59" t="str">
        <f>IFERROR(VLOOKUP($A755,APOIO!$A:$A,1,FALSE),"ERRO")</f>
        <v>ERRO</v>
      </c>
      <c r="Z755"/>
    </row>
    <row r="756" spans="1:26" ht="15" x14ac:dyDescent="0.25">
      <c r="A756" s="94"/>
      <c r="B756" s="32" t="str">
        <f>IF($A756="","",VLOOKUP($A756,APOIO!$A:$E,2,FALSE))</f>
        <v/>
      </c>
      <c r="C756" s="94"/>
      <c r="D756" s="32" t="str">
        <f>IF($A756="","",INDEX(APOIO!$D:$D,MATCH(CONCATENATE($A756,"_",$B756,"_",$C756),APOIO!$F:$F,0)))</f>
        <v/>
      </c>
      <c r="E756" s="31"/>
      <c r="F756" s="31"/>
      <c r="G756" s="33"/>
      <c r="H756" s="105"/>
      <c r="I756" s="32" t="str">
        <f>IF($A756="","",VLOOKUP($H756,APOIO!$L:$M,2,FALSE))</f>
        <v/>
      </c>
      <c r="J756" s="31"/>
      <c r="K756" s="32" t="str">
        <f>IF($A756="","",VLOOKUP($J756,APOIO!$H:$J,2,FALSE))</f>
        <v/>
      </c>
      <c r="L756" s="32" t="str">
        <f>IF($A756="","",VLOOKUP($J756,APOIO!$H:$J,3,FALSE))</f>
        <v/>
      </c>
      <c r="M756" s="31"/>
      <c r="N756" s="34"/>
      <c r="O756" s="32"/>
      <c r="P756" s="32"/>
      <c r="Q756" s="32"/>
      <c r="R756" s="32"/>
      <c r="S756" s="35"/>
      <c r="T756" s="91"/>
      <c r="U756" s="60"/>
      <c r="V756" s="36"/>
      <c r="W756" s="31"/>
      <c r="X756" s="59"/>
      <c r="Y756" s="59" t="str">
        <f>IFERROR(VLOOKUP($A756,APOIO!$A:$A,1,FALSE),"ERRO")</f>
        <v>ERRO</v>
      </c>
      <c r="Z756"/>
    </row>
    <row r="757" spans="1:26" ht="15" x14ac:dyDescent="0.25">
      <c r="A757" s="94"/>
      <c r="B757" s="32" t="str">
        <f>IF($A757="","",VLOOKUP($A757,APOIO!$A:$E,2,FALSE))</f>
        <v/>
      </c>
      <c r="C757" s="94"/>
      <c r="D757" s="32" t="str">
        <f>IF($A757="","",INDEX(APOIO!$D:$D,MATCH(CONCATENATE($A757,"_",$B757,"_",$C757),APOIO!$F:$F,0)))</f>
        <v/>
      </c>
      <c r="E757" s="31"/>
      <c r="F757" s="31"/>
      <c r="G757" s="33"/>
      <c r="H757" s="105"/>
      <c r="I757" s="32" t="str">
        <f>IF($A757="","",VLOOKUP($H757,APOIO!$L:$M,2,FALSE))</f>
        <v/>
      </c>
      <c r="J757" s="31"/>
      <c r="K757" s="32" t="str">
        <f>IF($A757="","",VLOOKUP($J757,APOIO!$H:$J,2,FALSE))</f>
        <v/>
      </c>
      <c r="L757" s="32" t="str">
        <f>IF($A757="","",VLOOKUP($J757,APOIO!$H:$J,3,FALSE))</f>
        <v/>
      </c>
      <c r="M757" s="31"/>
      <c r="N757" s="34"/>
      <c r="O757" s="32"/>
      <c r="P757" s="32"/>
      <c r="Q757" s="32"/>
      <c r="R757" s="32"/>
      <c r="S757" s="35"/>
      <c r="T757" s="91"/>
      <c r="U757" s="60"/>
      <c r="V757" s="36"/>
      <c r="W757" s="31"/>
      <c r="X757" s="59"/>
      <c r="Y757" s="59" t="str">
        <f>IFERROR(VLOOKUP($A757,APOIO!$A:$A,1,FALSE),"ERRO")</f>
        <v>ERRO</v>
      </c>
      <c r="Z757"/>
    </row>
    <row r="758" spans="1:26" ht="15" x14ac:dyDescent="0.25">
      <c r="A758" s="94"/>
      <c r="B758" s="32" t="str">
        <f>IF($A758="","",VLOOKUP($A758,APOIO!$A:$E,2,FALSE))</f>
        <v/>
      </c>
      <c r="C758" s="94"/>
      <c r="D758" s="32" t="str">
        <f>IF($A758="","",INDEX(APOIO!$D:$D,MATCH(CONCATENATE($A758,"_",$B758,"_",$C758),APOIO!$F:$F,0)))</f>
        <v/>
      </c>
      <c r="E758" s="31"/>
      <c r="F758" s="31"/>
      <c r="G758" s="33"/>
      <c r="H758" s="105"/>
      <c r="I758" s="32" t="str">
        <f>IF($A758="","",VLOOKUP($H758,APOIO!$L:$M,2,FALSE))</f>
        <v/>
      </c>
      <c r="J758" s="31"/>
      <c r="K758" s="32" t="str">
        <f>IF($A758="","",VLOOKUP($J758,APOIO!$H:$J,2,FALSE))</f>
        <v/>
      </c>
      <c r="L758" s="32" t="str">
        <f>IF($A758="","",VLOOKUP($J758,APOIO!$H:$J,3,FALSE))</f>
        <v/>
      </c>
      <c r="M758" s="31"/>
      <c r="N758" s="34"/>
      <c r="O758" s="32"/>
      <c r="P758" s="32"/>
      <c r="Q758" s="32"/>
      <c r="R758" s="32"/>
      <c r="S758" s="35"/>
      <c r="T758" s="91"/>
      <c r="U758" s="60"/>
      <c r="V758" s="36"/>
      <c r="W758" s="31"/>
      <c r="X758" s="59"/>
      <c r="Y758" s="59" t="str">
        <f>IFERROR(VLOOKUP($A758,APOIO!$A:$A,1,FALSE),"ERRO")</f>
        <v>ERRO</v>
      </c>
      <c r="Z758"/>
    </row>
    <row r="759" spans="1:26" ht="15" x14ac:dyDescent="0.25">
      <c r="A759" s="94"/>
      <c r="B759" s="32" t="str">
        <f>IF($A759="","",VLOOKUP($A759,APOIO!$A:$E,2,FALSE))</f>
        <v/>
      </c>
      <c r="C759" s="94"/>
      <c r="D759" s="32" t="str">
        <f>IF($A759="","",INDEX(APOIO!$D:$D,MATCH(CONCATENATE($A759,"_",$B759,"_",$C759),APOIO!$F:$F,0)))</f>
        <v/>
      </c>
      <c r="E759" s="31"/>
      <c r="F759" s="31"/>
      <c r="G759" s="33"/>
      <c r="H759" s="105"/>
      <c r="I759" s="32" t="str">
        <f>IF($A759="","",VLOOKUP($H759,APOIO!$L:$M,2,FALSE))</f>
        <v/>
      </c>
      <c r="J759" s="31"/>
      <c r="K759" s="32" t="str">
        <f>IF($A759="","",VLOOKUP($J759,APOIO!$H:$J,2,FALSE))</f>
        <v/>
      </c>
      <c r="L759" s="32" t="str">
        <f>IF($A759="","",VLOOKUP($J759,APOIO!$H:$J,3,FALSE))</f>
        <v/>
      </c>
      <c r="M759" s="31"/>
      <c r="N759" s="34"/>
      <c r="O759" s="32"/>
      <c r="P759" s="32"/>
      <c r="Q759" s="32"/>
      <c r="R759" s="32"/>
      <c r="S759" s="35"/>
      <c r="T759" s="91"/>
      <c r="U759" s="60"/>
      <c r="V759" s="36"/>
      <c r="W759" s="31"/>
      <c r="X759" s="59"/>
      <c r="Y759" s="59" t="str">
        <f>IFERROR(VLOOKUP($A759,APOIO!$A:$A,1,FALSE),"ERRO")</f>
        <v>ERRO</v>
      </c>
      <c r="Z759"/>
    </row>
    <row r="760" spans="1:26" ht="15" x14ac:dyDescent="0.25">
      <c r="A760" s="94"/>
      <c r="B760" s="32" t="str">
        <f>IF($A760="","",VLOOKUP($A760,APOIO!$A:$E,2,FALSE))</f>
        <v/>
      </c>
      <c r="C760" s="94"/>
      <c r="D760" s="32" t="str">
        <f>IF($A760="","",INDEX(APOIO!$D:$D,MATCH(CONCATENATE($A760,"_",$B760,"_",$C760),APOIO!$F:$F,0)))</f>
        <v/>
      </c>
      <c r="E760" s="31"/>
      <c r="F760" s="31"/>
      <c r="G760" s="33"/>
      <c r="H760" s="105"/>
      <c r="I760" s="32" t="str">
        <f>IF($A760="","",VLOOKUP($H760,APOIO!$L:$M,2,FALSE))</f>
        <v/>
      </c>
      <c r="J760" s="31"/>
      <c r="K760" s="32" t="str">
        <f>IF($A760="","",VLOOKUP($J760,APOIO!$H:$J,2,FALSE))</f>
        <v/>
      </c>
      <c r="L760" s="32" t="str">
        <f>IF($A760="","",VLOOKUP($J760,APOIO!$H:$J,3,FALSE))</f>
        <v/>
      </c>
      <c r="M760" s="31"/>
      <c r="N760" s="34"/>
      <c r="O760" s="32"/>
      <c r="P760" s="32"/>
      <c r="Q760" s="32"/>
      <c r="R760" s="32"/>
      <c r="S760" s="35"/>
      <c r="T760" s="91"/>
      <c r="U760" s="60"/>
      <c r="V760" s="36"/>
      <c r="W760" s="31"/>
      <c r="X760" s="59"/>
      <c r="Y760" s="59" t="str">
        <f>IFERROR(VLOOKUP($A760,APOIO!$A:$A,1,FALSE),"ERRO")</f>
        <v>ERRO</v>
      </c>
      <c r="Z760"/>
    </row>
    <row r="761" spans="1:26" ht="15" x14ac:dyDescent="0.25">
      <c r="A761" s="94"/>
      <c r="B761" s="32" t="str">
        <f>IF($A761="","",VLOOKUP($A761,APOIO!$A:$E,2,FALSE))</f>
        <v/>
      </c>
      <c r="C761" s="94"/>
      <c r="D761" s="32" t="str">
        <f>IF($A761="","",INDEX(APOIO!$D:$D,MATCH(CONCATENATE($A761,"_",$B761,"_",$C761),APOIO!$F:$F,0)))</f>
        <v/>
      </c>
      <c r="E761" s="31"/>
      <c r="F761" s="31"/>
      <c r="G761" s="33"/>
      <c r="H761" s="105"/>
      <c r="I761" s="32" t="str">
        <f>IF($A761="","",VLOOKUP($H761,APOIO!$L:$M,2,FALSE))</f>
        <v/>
      </c>
      <c r="J761" s="31"/>
      <c r="K761" s="32" t="str">
        <f>IF($A761="","",VLOOKUP($J761,APOIO!$H:$J,2,FALSE))</f>
        <v/>
      </c>
      <c r="L761" s="32" t="str">
        <f>IF($A761="","",VLOOKUP($J761,APOIO!$H:$J,3,FALSE))</f>
        <v/>
      </c>
      <c r="M761" s="31"/>
      <c r="N761" s="34"/>
      <c r="O761" s="32"/>
      <c r="P761" s="32"/>
      <c r="Q761" s="32"/>
      <c r="R761" s="32"/>
      <c r="S761" s="35"/>
      <c r="T761" s="91"/>
      <c r="U761" s="60"/>
      <c r="V761" s="36"/>
      <c r="W761" s="31"/>
      <c r="X761" s="59"/>
      <c r="Y761" s="59" t="str">
        <f>IFERROR(VLOOKUP($A761,APOIO!$A:$A,1,FALSE),"ERRO")</f>
        <v>ERRO</v>
      </c>
      <c r="Z761"/>
    </row>
    <row r="762" spans="1:26" ht="15" x14ac:dyDescent="0.25">
      <c r="A762" s="94"/>
      <c r="B762" s="32" t="str">
        <f>IF($A762="","",VLOOKUP($A762,APOIO!$A:$E,2,FALSE))</f>
        <v/>
      </c>
      <c r="C762" s="94"/>
      <c r="D762" s="32" t="str">
        <f>IF($A762="","",INDEX(APOIO!$D:$D,MATCH(CONCATENATE($A762,"_",$B762,"_",$C762),APOIO!$F:$F,0)))</f>
        <v/>
      </c>
      <c r="E762" s="31"/>
      <c r="F762" s="31"/>
      <c r="G762" s="33"/>
      <c r="H762" s="105"/>
      <c r="I762" s="32" t="str">
        <f>IF($A762="","",VLOOKUP($H762,APOIO!$L:$M,2,FALSE))</f>
        <v/>
      </c>
      <c r="J762" s="31"/>
      <c r="K762" s="32" t="str">
        <f>IF($A762="","",VLOOKUP($J762,APOIO!$H:$J,2,FALSE))</f>
        <v/>
      </c>
      <c r="L762" s="32" t="str">
        <f>IF($A762="","",VLOOKUP($J762,APOIO!$H:$J,3,FALSE))</f>
        <v/>
      </c>
      <c r="M762" s="31"/>
      <c r="N762" s="34"/>
      <c r="O762" s="32"/>
      <c r="P762" s="32"/>
      <c r="Q762" s="32"/>
      <c r="R762" s="32"/>
      <c r="S762" s="35"/>
      <c r="T762" s="91"/>
      <c r="U762" s="60"/>
      <c r="V762" s="36"/>
      <c r="W762" s="31"/>
      <c r="X762" s="59"/>
      <c r="Y762" s="59" t="str">
        <f>IFERROR(VLOOKUP($A762,APOIO!$A:$A,1,FALSE),"ERRO")</f>
        <v>ERRO</v>
      </c>
      <c r="Z762"/>
    </row>
    <row r="763" spans="1:26" ht="15" x14ac:dyDescent="0.25">
      <c r="A763" s="94"/>
      <c r="B763" s="32" t="str">
        <f>IF($A763="","",VLOOKUP($A763,APOIO!$A:$E,2,FALSE))</f>
        <v/>
      </c>
      <c r="C763" s="94"/>
      <c r="D763" s="32" t="str">
        <f>IF($A763="","",INDEX(APOIO!$D:$D,MATCH(CONCATENATE($A763,"_",$B763,"_",$C763),APOIO!$F:$F,0)))</f>
        <v/>
      </c>
      <c r="E763" s="31"/>
      <c r="F763" s="31"/>
      <c r="G763" s="33"/>
      <c r="H763" s="105"/>
      <c r="I763" s="32" t="str">
        <f>IF($A763="","",VLOOKUP($H763,APOIO!$L:$M,2,FALSE))</f>
        <v/>
      </c>
      <c r="J763" s="31"/>
      <c r="K763" s="32" t="str">
        <f>IF($A763="","",VLOOKUP($J763,APOIO!$H:$J,2,FALSE))</f>
        <v/>
      </c>
      <c r="L763" s="32" t="str">
        <f>IF($A763="","",VLOOKUP($J763,APOIO!$H:$J,3,FALSE))</f>
        <v/>
      </c>
      <c r="M763" s="31"/>
      <c r="N763" s="34"/>
      <c r="O763" s="32"/>
      <c r="P763" s="32"/>
      <c r="Q763" s="32"/>
      <c r="R763" s="32"/>
      <c r="S763" s="35"/>
      <c r="T763" s="91"/>
      <c r="U763" s="60"/>
      <c r="V763" s="36"/>
      <c r="W763" s="31"/>
      <c r="X763" s="59"/>
      <c r="Y763" s="59" t="str">
        <f>IFERROR(VLOOKUP($A763,APOIO!$A:$A,1,FALSE),"ERRO")</f>
        <v>ERRO</v>
      </c>
      <c r="Z763"/>
    </row>
    <row r="764" spans="1:26" ht="15" x14ac:dyDescent="0.25">
      <c r="A764" s="94"/>
      <c r="B764" s="32" t="str">
        <f>IF($A764="","",VLOOKUP($A764,APOIO!$A:$E,2,FALSE))</f>
        <v/>
      </c>
      <c r="C764" s="94"/>
      <c r="D764" s="32" t="str">
        <f>IF($A764="","",INDEX(APOIO!$D:$D,MATCH(CONCATENATE($A764,"_",$B764,"_",$C764),APOIO!$F:$F,0)))</f>
        <v/>
      </c>
      <c r="E764" s="31"/>
      <c r="F764" s="31"/>
      <c r="G764" s="33"/>
      <c r="H764" s="105"/>
      <c r="I764" s="32" t="str">
        <f>IF($A764="","",VLOOKUP($H764,APOIO!$L:$M,2,FALSE))</f>
        <v/>
      </c>
      <c r="J764" s="31"/>
      <c r="K764" s="32" t="str">
        <f>IF($A764="","",VLOOKUP($J764,APOIO!$H:$J,2,FALSE))</f>
        <v/>
      </c>
      <c r="L764" s="32" t="str">
        <f>IF($A764="","",VLOOKUP($J764,APOIO!$H:$J,3,FALSE))</f>
        <v/>
      </c>
      <c r="M764" s="31"/>
      <c r="N764" s="34"/>
      <c r="O764" s="32"/>
      <c r="P764" s="32"/>
      <c r="Q764" s="32"/>
      <c r="R764" s="32"/>
      <c r="S764" s="35"/>
      <c r="T764" s="91"/>
      <c r="U764" s="60"/>
      <c r="V764" s="36"/>
      <c r="W764" s="31"/>
      <c r="X764" s="59"/>
      <c r="Y764" s="59" t="str">
        <f>IFERROR(VLOOKUP($A764,APOIO!$A:$A,1,FALSE),"ERRO")</f>
        <v>ERRO</v>
      </c>
      <c r="Z764"/>
    </row>
    <row r="765" spans="1:26" ht="15" x14ac:dyDescent="0.25">
      <c r="A765" s="94"/>
      <c r="B765" s="32" t="str">
        <f>IF($A765="","",VLOOKUP($A765,APOIO!$A:$E,2,FALSE))</f>
        <v/>
      </c>
      <c r="C765" s="94"/>
      <c r="D765" s="32" t="str">
        <f>IF($A765="","",INDEX(APOIO!$D:$D,MATCH(CONCATENATE($A765,"_",$B765,"_",$C765),APOIO!$F:$F,0)))</f>
        <v/>
      </c>
      <c r="E765" s="31"/>
      <c r="F765" s="31"/>
      <c r="G765" s="33"/>
      <c r="H765" s="105"/>
      <c r="I765" s="32" t="str">
        <f>IF($A765="","",VLOOKUP($H765,APOIO!$L:$M,2,FALSE))</f>
        <v/>
      </c>
      <c r="J765" s="31"/>
      <c r="K765" s="32" t="str">
        <f>IF($A765="","",VLOOKUP($J765,APOIO!$H:$J,2,FALSE))</f>
        <v/>
      </c>
      <c r="L765" s="32" t="str">
        <f>IF($A765="","",VLOOKUP($J765,APOIO!$H:$J,3,FALSE))</f>
        <v/>
      </c>
      <c r="M765" s="31"/>
      <c r="N765" s="34"/>
      <c r="O765" s="32"/>
      <c r="P765" s="32"/>
      <c r="Q765" s="32"/>
      <c r="R765" s="32"/>
      <c r="S765" s="35"/>
      <c r="T765" s="91"/>
      <c r="U765" s="60"/>
      <c r="V765" s="36"/>
      <c r="W765" s="31"/>
      <c r="X765" s="59"/>
      <c r="Y765" s="59" t="str">
        <f>IFERROR(VLOOKUP($A765,APOIO!$A:$A,1,FALSE),"ERRO")</f>
        <v>ERRO</v>
      </c>
      <c r="Z765"/>
    </row>
    <row r="766" spans="1:26" ht="15" x14ac:dyDescent="0.25">
      <c r="A766" s="94"/>
      <c r="B766" s="32" t="str">
        <f>IF($A766="","",VLOOKUP($A766,APOIO!$A:$E,2,FALSE))</f>
        <v/>
      </c>
      <c r="C766" s="94"/>
      <c r="D766" s="32" t="str">
        <f>IF($A766="","",INDEX(APOIO!$D:$D,MATCH(CONCATENATE($A766,"_",$B766,"_",$C766),APOIO!$F:$F,0)))</f>
        <v/>
      </c>
      <c r="E766" s="31"/>
      <c r="F766" s="31"/>
      <c r="G766" s="33"/>
      <c r="H766" s="105"/>
      <c r="I766" s="32" t="str">
        <f>IF($A766="","",VLOOKUP($H766,APOIO!$L:$M,2,FALSE))</f>
        <v/>
      </c>
      <c r="J766" s="31"/>
      <c r="K766" s="32" t="str">
        <f>IF($A766="","",VLOOKUP($J766,APOIO!$H:$J,2,FALSE))</f>
        <v/>
      </c>
      <c r="L766" s="32" t="str">
        <f>IF($A766="","",VLOOKUP($J766,APOIO!$H:$J,3,FALSE))</f>
        <v/>
      </c>
      <c r="M766" s="31"/>
      <c r="N766" s="34"/>
      <c r="O766" s="32"/>
      <c r="P766" s="32"/>
      <c r="Q766" s="32"/>
      <c r="R766" s="32"/>
      <c r="S766" s="35"/>
      <c r="T766" s="91"/>
      <c r="U766" s="60"/>
      <c r="V766" s="36"/>
      <c r="W766" s="31"/>
      <c r="X766" s="59"/>
      <c r="Y766" s="59" t="str">
        <f>IFERROR(VLOOKUP($A766,APOIO!$A:$A,1,FALSE),"ERRO")</f>
        <v>ERRO</v>
      </c>
      <c r="Z766"/>
    </row>
    <row r="767" spans="1:26" ht="15" x14ac:dyDescent="0.25">
      <c r="A767" s="94"/>
      <c r="B767" s="32" t="str">
        <f>IF($A767="","",VLOOKUP($A767,APOIO!$A:$E,2,FALSE))</f>
        <v/>
      </c>
      <c r="C767" s="94"/>
      <c r="D767" s="32" t="str">
        <f>IF($A767="","",INDEX(APOIO!$D:$D,MATCH(CONCATENATE($A767,"_",$B767,"_",$C767),APOIO!$F:$F,0)))</f>
        <v/>
      </c>
      <c r="E767" s="31"/>
      <c r="F767" s="31"/>
      <c r="G767" s="33"/>
      <c r="H767" s="105"/>
      <c r="I767" s="32" t="str">
        <f>IF($A767="","",VLOOKUP($H767,APOIO!$L:$M,2,FALSE))</f>
        <v/>
      </c>
      <c r="J767" s="31"/>
      <c r="K767" s="32" t="str">
        <f>IF($A767="","",VLOOKUP($J767,APOIO!$H:$J,2,FALSE))</f>
        <v/>
      </c>
      <c r="L767" s="32" t="str">
        <f>IF($A767="","",VLOOKUP($J767,APOIO!$H:$J,3,FALSE))</f>
        <v/>
      </c>
      <c r="M767" s="31"/>
      <c r="N767" s="34"/>
      <c r="O767" s="32"/>
      <c r="P767" s="32"/>
      <c r="Q767" s="32"/>
      <c r="R767" s="32"/>
      <c r="S767" s="35"/>
      <c r="T767" s="91"/>
      <c r="U767" s="60"/>
      <c r="V767" s="36"/>
      <c r="W767" s="31"/>
      <c r="X767" s="59"/>
      <c r="Y767" s="59" t="str">
        <f>IFERROR(VLOOKUP($A767,APOIO!$A:$A,1,FALSE),"ERRO")</f>
        <v>ERRO</v>
      </c>
      <c r="Z767"/>
    </row>
    <row r="768" spans="1:26" ht="15" x14ac:dyDescent="0.25">
      <c r="A768" s="94"/>
      <c r="B768" s="32" t="str">
        <f>IF($A768="","",VLOOKUP($A768,APOIO!$A:$E,2,FALSE))</f>
        <v/>
      </c>
      <c r="C768" s="94"/>
      <c r="D768" s="32" t="str">
        <f>IF($A768="","",INDEX(APOIO!$D:$D,MATCH(CONCATENATE($A768,"_",$B768,"_",$C768),APOIO!$F:$F,0)))</f>
        <v/>
      </c>
      <c r="E768" s="31"/>
      <c r="F768" s="31"/>
      <c r="G768" s="33"/>
      <c r="H768" s="105"/>
      <c r="I768" s="32" t="str">
        <f>IF($A768="","",VLOOKUP($H768,APOIO!$L:$M,2,FALSE))</f>
        <v/>
      </c>
      <c r="J768" s="31"/>
      <c r="K768" s="32" t="str">
        <f>IF($A768="","",VLOOKUP($J768,APOIO!$H:$J,2,FALSE))</f>
        <v/>
      </c>
      <c r="L768" s="32" t="str">
        <f>IF($A768="","",VLOOKUP($J768,APOIO!$H:$J,3,FALSE))</f>
        <v/>
      </c>
      <c r="M768" s="31"/>
      <c r="N768" s="34"/>
      <c r="O768" s="32"/>
      <c r="P768" s="32"/>
      <c r="Q768" s="32"/>
      <c r="R768" s="32"/>
      <c r="S768" s="35"/>
      <c r="T768" s="91"/>
      <c r="U768" s="60"/>
      <c r="V768" s="36"/>
      <c r="W768" s="31"/>
      <c r="X768" s="59"/>
      <c r="Y768" s="59" t="str">
        <f>IFERROR(VLOOKUP($A768,APOIO!$A:$A,1,FALSE),"ERRO")</f>
        <v>ERRO</v>
      </c>
      <c r="Z768"/>
    </row>
    <row r="769" spans="1:26" ht="15" x14ac:dyDescent="0.25">
      <c r="A769" s="94"/>
      <c r="B769" s="32" t="str">
        <f>IF($A769="","",VLOOKUP($A769,APOIO!$A:$E,2,FALSE))</f>
        <v/>
      </c>
      <c r="C769" s="94"/>
      <c r="D769" s="32" t="str">
        <f>IF($A769="","",INDEX(APOIO!$D:$D,MATCH(CONCATENATE($A769,"_",$B769,"_",$C769),APOIO!$F:$F,0)))</f>
        <v/>
      </c>
      <c r="E769" s="31"/>
      <c r="F769" s="31"/>
      <c r="G769" s="33"/>
      <c r="H769" s="105"/>
      <c r="I769" s="32" t="str">
        <f>IF($A769="","",VLOOKUP($H769,APOIO!$L:$M,2,FALSE))</f>
        <v/>
      </c>
      <c r="J769" s="31"/>
      <c r="K769" s="32" t="str">
        <f>IF($A769="","",VLOOKUP($J769,APOIO!$H:$J,2,FALSE))</f>
        <v/>
      </c>
      <c r="L769" s="32" t="str">
        <f>IF($A769="","",VLOOKUP($J769,APOIO!$H:$J,3,FALSE))</f>
        <v/>
      </c>
      <c r="M769" s="31"/>
      <c r="N769" s="34"/>
      <c r="O769" s="32"/>
      <c r="P769" s="32"/>
      <c r="Q769" s="32"/>
      <c r="R769" s="32"/>
      <c r="S769" s="35"/>
      <c r="T769" s="91"/>
      <c r="U769" s="60"/>
      <c r="V769" s="36"/>
      <c r="W769" s="31"/>
      <c r="X769" s="59"/>
      <c r="Y769" s="59" t="str">
        <f>IFERROR(VLOOKUP($A769,APOIO!$A:$A,1,FALSE),"ERRO")</f>
        <v>ERRO</v>
      </c>
      <c r="Z769"/>
    </row>
    <row r="770" spans="1:26" ht="15" x14ac:dyDescent="0.25">
      <c r="A770" s="94"/>
      <c r="B770" s="32" t="str">
        <f>IF($A770="","",VLOOKUP($A770,APOIO!$A:$E,2,FALSE))</f>
        <v/>
      </c>
      <c r="C770" s="94"/>
      <c r="D770" s="32" t="str">
        <f>IF($A770="","",INDEX(APOIO!$D:$D,MATCH(CONCATENATE($A770,"_",$B770,"_",$C770),APOIO!$F:$F,0)))</f>
        <v/>
      </c>
      <c r="E770" s="31"/>
      <c r="F770" s="31"/>
      <c r="G770" s="33"/>
      <c r="H770" s="105"/>
      <c r="I770" s="32" t="str">
        <f>IF($A770="","",VLOOKUP($H770,APOIO!$L:$M,2,FALSE))</f>
        <v/>
      </c>
      <c r="J770" s="31"/>
      <c r="K770" s="32" t="str">
        <f>IF($A770="","",VLOOKUP($J770,APOIO!$H:$J,2,FALSE))</f>
        <v/>
      </c>
      <c r="L770" s="32" t="str">
        <f>IF($A770="","",VLOOKUP($J770,APOIO!$H:$J,3,FALSE))</f>
        <v/>
      </c>
      <c r="M770" s="31"/>
      <c r="N770" s="34"/>
      <c r="O770" s="32"/>
      <c r="P770" s="32"/>
      <c r="Q770" s="32"/>
      <c r="R770" s="32"/>
      <c r="S770" s="35"/>
      <c r="T770" s="91"/>
      <c r="U770" s="60"/>
      <c r="V770" s="36"/>
      <c r="W770" s="31"/>
      <c r="X770" s="59"/>
      <c r="Y770" s="59" t="str">
        <f>IFERROR(VLOOKUP($A770,APOIO!$A:$A,1,FALSE),"ERRO")</f>
        <v>ERRO</v>
      </c>
      <c r="Z770"/>
    </row>
    <row r="771" spans="1:26" ht="15" x14ac:dyDescent="0.25">
      <c r="A771" s="94"/>
      <c r="B771" s="32" t="str">
        <f>IF($A771="","",VLOOKUP($A771,APOIO!$A:$E,2,FALSE))</f>
        <v/>
      </c>
      <c r="C771" s="94"/>
      <c r="D771" s="32" t="str">
        <f>IF($A771="","",INDEX(APOIO!$D:$D,MATCH(CONCATENATE($A771,"_",$B771,"_",$C771),APOIO!$F:$F,0)))</f>
        <v/>
      </c>
      <c r="E771" s="31"/>
      <c r="F771" s="31"/>
      <c r="G771" s="33"/>
      <c r="H771" s="105"/>
      <c r="I771" s="32" t="str">
        <f>IF($A771="","",VLOOKUP($H771,APOIO!$L:$M,2,FALSE))</f>
        <v/>
      </c>
      <c r="J771" s="31"/>
      <c r="K771" s="32" t="str">
        <f>IF($A771="","",VLOOKUP($J771,APOIO!$H:$J,2,FALSE))</f>
        <v/>
      </c>
      <c r="L771" s="32" t="str">
        <f>IF($A771="","",VLOOKUP($J771,APOIO!$H:$J,3,FALSE))</f>
        <v/>
      </c>
      <c r="M771" s="31"/>
      <c r="N771" s="34"/>
      <c r="O771" s="32"/>
      <c r="P771" s="32"/>
      <c r="Q771" s="32"/>
      <c r="R771" s="32"/>
      <c r="S771" s="35"/>
      <c r="T771" s="91"/>
      <c r="U771" s="60"/>
      <c r="V771" s="36"/>
      <c r="W771" s="31"/>
      <c r="X771" s="59"/>
      <c r="Y771" s="59" t="str">
        <f>IFERROR(VLOOKUP($A771,APOIO!$A:$A,1,FALSE),"ERRO")</f>
        <v>ERRO</v>
      </c>
      <c r="Z771"/>
    </row>
    <row r="772" spans="1:26" ht="15" x14ac:dyDescent="0.25">
      <c r="A772" s="94"/>
      <c r="B772" s="32" t="str">
        <f>IF($A772="","",VLOOKUP($A772,APOIO!$A:$E,2,FALSE))</f>
        <v/>
      </c>
      <c r="C772" s="94"/>
      <c r="D772" s="32" t="str">
        <f>IF($A772="","",INDEX(APOIO!$D:$D,MATCH(CONCATENATE($A772,"_",$B772,"_",$C772),APOIO!$F:$F,0)))</f>
        <v/>
      </c>
      <c r="E772" s="31"/>
      <c r="F772" s="31"/>
      <c r="G772" s="33"/>
      <c r="H772" s="105"/>
      <c r="I772" s="32" t="str">
        <f>IF($A772="","",VLOOKUP($H772,APOIO!$L:$M,2,FALSE))</f>
        <v/>
      </c>
      <c r="J772" s="31"/>
      <c r="K772" s="32" t="str">
        <f>IF($A772="","",VLOOKUP($J772,APOIO!$H:$J,2,FALSE))</f>
        <v/>
      </c>
      <c r="L772" s="32" t="str">
        <f>IF($A772="","",VLOOKUP($J772,APOIO!$H:$J,3,FALSE))</f>
        <v/>
      </c>
      <c r="M772" s="31"/>
      <c r="N772" s="34"/>
      <c r="O772" s="32"/>
      <c r="P772" s="32"/>
      <c r="Q772" s="32"/>
      <c r="R772" s="32"/>
      <c r="S772" s="35"/>
      <c r="T772" s="91"/>
      <c r="U772" s="60"/>
      <c r="V772" s="36"/>
      <c r="W772" s="31"/>
      <c r="X772" s="59"/>
      <c r="Y772" s="59" t="str">
        <f>IFERROR(VLOOKUP($A772,APOIO!$A:$A,1,FALSE),"ERRO")</f>
        <v>ERRO</v>
      </c>
      <c r="Z772"/>
    </row>
    <row r="773" spans="1:26" ht="15" x14ac:dyDescent="0.25">
      <c r="A773" s="94"/>
      <c r="B773" s="32" t="str">
        <f>IF($A773="","",VLOOKUP($A773,APOIO!$A:$E,2,FALSE))</f>
        <v/>
      </c>
      <c r="C773" s="94"/>
      <c r="D773" s="32" t="str">
        <f>IF($A773="","",INDEX(APOIO!$D:$D,MATCH(CONCATENATE($A773,"_",$B773,"_",$C773),APOIO!$F:$F,0)))</f>
        <v/>
      </c>
      <c r="E773" s="31"/>
      <c r="F773" s="31"/>
      <c r="G773" s="33"/>
      <c r="H773" s="105"/>
      <c r="I773" s="32" t="str">
        <f>IF($A773="","",VLOOKUP($H773,APOIO!$L:$M,2,FALSE))</f>
        <v/>
      </c>
      <c r="J773" s="31"/>
      <c r="K773" s="32" t="str">
        <f>IF($A773="","",VLOOKUP($J773,APOIO!$H:$J,2,FALSE))</f>
        <v/>
      </c>
      <c r="L773" s="32" t="str">
        <f>IF($A773="","",VLOOKUP($J773,APOIO!$H:$J,3,FALSE))</f>
        <v/>
      </c>
      <c r="M773" s="31"/>
      <c r="N773" s="34"/>
      <c r="O773" s="32"/>
      <c r="P773" s="32"/>
      <c r="Q773" s="32"/>
      <c r="R773" s="32"/>
      <c r="S773" s="35"/>
      <c r="T773" s="91"/>
      <c r="U773" s="60"/>
      <c r="V773" s="36"/>
      <c r="W773" s="31"/>
      <c r="X773" s="59"/>
      <c r="Y773" s="59" t="str">
        <f>IFERROR(VLOOKUP($A773,APOIO!$A:$A,1,FALSE),"ERRO")</f>
        <v>ERRO</v>
      </c>
      <c r="Z773"/>
    </row>
    <row r="774" spans="1:26" ht="15" x14ac:dyDescent="0.25">
      <c r="A774" s="94"/>
      <c r="B774" s="32" t="str">
        <f>IF($A774="","",VLOOKUP($A774,APOIO!$A:$E,2,FALSE))</f>
        <v/>
      </c>
      <c r="C774" s="94"/>
      <c r="D774" s="32" t="str">
        <f>IF($A774="","",INDEX(APOIO!$D:$D,MATCH(CONCATENATE($A774,"_",$B774,"_",$C774),APOIO!$F:$F,0)))</f>
        <v/>
      </c>
      <c r="E774" s="31"/>
      <c r="F774" s="31"/>
      <c r="G774" s="33"/>
      <c r="H774" s="105"/>
      <c r="I774" s="32" t="str">
        <f>IF($A774="","",VLOOKUP($H774,APOIO!$L:$M,2,FALSE))</f>
        <v/>
      </c>
      <c r="J774" s="31"/>
      <c r="K774" s="32" t="str">
        <f>IF($A774="","",VLOOKUP($J774,APOIO!$H:$J,2,FALSE))</f>
        <v/>
      </c>
      <c r="L774" s="32" t="str">
        <f>IF($A774="","",VLOOKUP($J774,APOIO!$H:$J,3,FALSE))</f>
        <v/>
      </c>
      <c r="M774" s="31"/>
      <c r="N774" s="34"/>
      <c r="O774" s="32"/>
      <c r="P774" s="32"/>
      <c r="Q774" s="32"/>
      <c r="R774" s="32"/>
      <c r="S774" s="35"/>
      <c r="T774" s="91"/>
      <c r="U774" s="60"/>
      <c r="V774" s="36"/>
      <c r="W774" s="31"/>
      <c r="X774" s="59"/>
      <c r="Y774" s="59" t="str">
        <f>IFERROR(VLOOKUP($A774,APOIO!$A:$A,1,FALSE),"ERRO")</f>
        <v>ERRO</v>
      </c>
      <c r="Z774"/>
    </row>
    <row r="775" spans="1:26" ht="15" x14ac:dyDescent="0.25">
      <c r="A775" s="94"/>
      <c r="B775" s="32" t="str">
        <f>IF($A775="","",VLOOKUP($A775,APOIO!$A:$E,2,FALSE))</f>
        <v/>
      </c>
      <c r="C775" s="94"/>
      <c r="D775" s="32" t="str">
        <f>IF($A775="","",INDEX(APOIO!$D:$D,MATCH(CONCATENATE($A775,"_",$B775,"_",$C775),APOIO!$F:$F,0)))</f>
        <v/>
      </c>
      <c r="E775" s="31"/>
      <c r="F775" s="31"/>
      <c r="G775" s="33"/>
      <c r="H775" s="105"/>
      <c r="I775" s="32" t="str">
        <f>IF($A775="","",VLOOKUP($H775,APOIO!$L:$M,2,FALSE))</f>
        <v/>
      </c>
      <c r="J775" s="31"/>
      <c r="K775" s="32" t="str">
        <f>IF($A775="","",VLOOKUP($J775,APOIO!$H:$J,2,FALSE))</f>
        <v/>
      </c>
      <c r="L775" s="32" t="str">
        <f>IF($A775="","",VLOOKUP($J775,APOIO!$H:$J,3,FALSE))</f>
        <v/>
      </c>
      <c r="M775" s="31"/>
      <c r="N775" s="34"/>
      <c r="O775" s="32"/>
      <c r="P775" s="32"/>
      <c r="Q775" s="32"/>
      <c r="R775" s="32"/>
      <c r="S775" s="35"/>
      <c r="T775" s="91"/>
      <c r="U775" s="60"/>
      <c r="V775" s="36"/>
      <c r="W775" s="31"/>
      <c r="X775" s="59"/>
      <c r="Y775" s="59" t="str">
        <f>IFERROR(VLOOKUP($A775,APOIO!$A:$A,1,FALSE),"ERRO")</f>
        <v>ERRO</v>
      </c>
      <c r="Z775"/>
    </row>
    <row r="776" spans="1:26" ht="15" x14ac:dyDescent="0.25">
      <c r="A776" s="94"/>
      <c r="B776" s="32" t="str">
        <f>IF($A776="","",VLOOKUP($A776,APOIO!$A:$E,2,FALSE))</f>
        <v/>
      </c>
      <c r="C776" s="94"/>
      <c r="D776" s="32" t="str">
        <f>IF($A776="","",INDEX(APOIO!$D:$D,MATCH(CONCATENATE($A776,"_",$B776,"_",$C776),APOIO!$F:$F,0)))</f>
        <v/>
      </c>
      <c r="E776" s="31"/>
      <c r="F776" s="31"/>
      <c r="G776" s="33"/>
      <c r="H776" s="105"/>
      <c r="I776" s="32" t="str">
        <f>IF($A776="","",VLOOKUP($H776,APOIO!$L:$M,2,FALSE))</f>
        <v/>
      </c>
      <c r="J776" s="31"/>
      <c r="K776" s="32" t="str">
        <f>IF($A776="","",VLOOKUP($J776,APOIO!$H:$J,2,FALSE))</f>
        <v/>
      </c>
      <c r="L776" s="32" t="str">
        <f>IF($A776="","",VLOOKUP($J776,APOIO!$H:$J,3,FALSE))</f>
        <v/>
      </c>
      <c r="M776" s="31"/>
      <c r="N776" s="34"/>
      <c r="O776" s="32"/>
      <c r="P776" s="32"/>
      <c r="Q776" s="32"/>
      <c r="R776" s="32"/>
      <c r="S776" s="35"/>
      <c r="T776" s="91"/>
      <c r="U776" s="60"/>
      <c r="V776" s="36"/>
      <c r="W776" s="31"/>
      <c r="X776" s="59"/>
      <c r="Y776" s="59" t="str">
        <f>IFERROR(VLOOKUP($A776,APOIO!$A:$A,1,FALSE),"ERRO")</f>
        <v>ERRO</v>
      </c>
      <c r="Z776"/>
    </row>
    <row r="777" spans="1:26" ht="15" x14ac:dyDescent="0.25">
      <c r="A777" s="94"/>
      <c r="B777" s="32" t="str">
        <f>IF($A777="","",VLOOKUP($A777,APOIO!$A:$E,2,FALSE))</f>
        <v/>
      </c>
      <c r="C777" s="94"/>
      <c r="D777" s="32" t="str">
        <f>IF($A777="","",INDEX(APOIO!$D:$D,MATCH(CONCATENATE($A777,"_",$B777,"_",$C777),APOIO!$F:$F,0)))</f>
        <v/>
      </c>
      <c r="E777" s="31"/>
      <c r="F777" s="31"/>
      <c r="G777" s="33"/>
      <c r="H777" s="105"/>
      <c r="I777" s="32" t="str">
        <f>IF($A777="","",VLOOKUP($H777,APOIO!$L:$M,2,FALSE))</f>
        <v/>
      </c>
      <c r="J777" s="31"/>
      <c r="K777" s="32" t="str">
        <f>IF($A777="","",VLOOKUP($J777,APOIO!$H:$J,2,FALSE))</f>
        <v/>
      </c>
      <c r="L777" s="32" t="str">
        <f>IF($A777="","",VLOOKUP($J777,APOIO!$H:$J,3,FALSE))</f>
        <v/>
      </c>
      <c r="M777" s="31"/>
      <c r="N777" s="34"/>
      <c r="O777" s="32"/>
      <c r="P777" s="32"/>
      <c r="Q777" s="32"/>
      <c r="R777" s="32"/>
      <c r="S777" s="35"/>
      <c r="T777" s="91"/>
      <c r="U777" s="60"/>
      <c r="V777" s="36"/>
      <c r="W777" s="31"/>
      <c r="X777" s="59"/>
      <c r="Y777" s="59" t="str">
        <f>IFERROR(VLOOKUP($A777,APOIO!$A:$A,1,FALSE),"ERRO")</f>
        <v>ERRO</v>
      </c>
      <c r="Z777"/>
    </row>
    <row r="778" spans="1:26" ht="15" x14ac:dyDescent="0.25">
      <c r="A778" s="94"/>
      <c r="B778" s="32" t="str">
        <f>IF($A778="","",VLOOKUP($A778,APOIO!$A:$E,2,FALSE))</f>
        <v/>
      </c>
      <c r="C778" s="94"/>
      <c r="D778" s="32" t="str">
        <f>IF($A778="","",INDEX(APOIO!$D:$D,MATCH(CONCATENATE($A778,"_",$B778,"_",$C778),APOIO!$F:$F,0)))</f>
        <v/>
      </c>
      <c r="E778" s="31"/>
      <c r="F778" s="31"/>
      <c r="G778" s="33"/>
      <c r="H778" s="105"/>
      <c r="I778" s="32" t="str">
        <f>IF($A778="","",VLOOKUP($H778,APOIO!$L:$M,2,FALSE))</f>
        <v/>
      </c>
      <c r="J778" s="31"/>
      <c r="K778" s="32" t="str">
        <f>IF($A778="","",VLOOKUP($J778,APOIO!$H:$J,2,FALSE))</f>
        <v/>
      </c>
      <c r="L778" s="32" t="str">
        <f>IF($A778="","",VLOOKUP($J778,APOIO!$H:$J,3,FALSE))</f>
        <v/>
      </c>
      <c r="M778" s="31"/>
      <c r="N778" s="34"/>
      <c r="O778" s="32"/>
      <c r="P778" s="32"/>
      <c r="Q778" s="32"/>
      <c r="R778" s="32"/>
      <c r="S778" s="35"/>
      <c r="T778" s="91"/>
      <c r="U778" s="60"/>
      <c r="V778" s="36"/>
      <c r="W778" s="31"/>
      <c r="X778" s="59"/>
      <c r="Y778" s="59" t="str">
        <f>IFERROR(VLOOKUP($A778,APOIO!$A:$A,1,FALSE),"ERRO")</f>
        <v>ERRO</v>
      </c>
      <c r="Z778"/>
    </row>
    <row r="779" spans="1:26" ht="15" x14ac:dyDescent="0.25">
      <c r="A779" s="94"/>
      <c r="B779" s="32" t="str">
        <f>IF($A779="","",VLOOKUP($A779,APOIO!$A:$E,2,FALSE))</f>
        <v/>
      </c>
      <c r="C779" s="94"/>
      <c r="D779" s="32" t="str">
        <f>IF($A779="","",INDEX(APOIO!$D:$D,MATCH(CONCATENATE($A779,"_",$B779,"_",$C779),APOIO!$F:$F,0)))</f>
        <v/>
      </c>
      <c r="E779" s="31"/>
      <c r="F779" s="31"/>
      <c r="G779" s="33"/>
      <c r="H779" s="105"/>
      <c r="I779" s="32" t="str">
        <f>IF($A779="","",VLOOKUP($H779,APOIO!$L:$M,2,FALSE))</f>
        <v/>
      </c>
      <c r="J779" s="31"/>
      <c r="K779" s="32" t="str">
        <f>IF($A779="","",VLOOKUP($J779,APOIO!$H:$J,2,FALSE))</f>
        <v/>
      </c>
      <c r="L779" s="32" t="str">
        <f>IF($A779="","",VLOOKUP($J779,APOIO!$H:$J,3,FALSE))</f>
        <v/>
      </c>
      <c r="M779" s="31"/>
      <c r="N779" s="34"/>
      <c r="O779" s="32"/>
      <c r="P779" s="32"/>
      <c r="Q779" s="32"/>
      <c r="R779" s="32"/>
      <c r="S779" s="35"/>
      <c r="T779" s="91"/>
      <c r="U779" s="60"/>
      <c r="V779" s="36"/>
      <c r="W779" s="31"/>
      <c r="X779" s="59"/>
      <c r="Y779" s="59" t="str">
        <f>IFERROR(VLOOKUP($A779,APOIO!$A:$A,1,FALSE),"ERRO")</f>
        <v>ERRO</v>
      </c>
      <c r="Z779"/>
    </row>
    <row r="780" spans="1:26" ht="15" x14ac:dyDescent="0.25">
      <c r="A780" s="94"/>
      <c r="B780" s="32" t="str">
        <f>IF($A780="","",VLOOKUP($A780,APOIO!$A:$E,2,FALSE))</f>
        <v/>
      </c>
      <c r="C780" s="94"/>
      <c r="D780" s="32" t="str">
        <f>IF($A780="","",INDEX(APOIO!$D:$D,MATCH(CONCATENATE($A780,"_",$B780,"_",$C780),APOIO!$F:$F,0)))</f>
        <v/>
      </c>
      <c r="E780" s="31"/>
      <c r="F780" s="31"/>
      <c r="G780" s="33"/>
      <c r="H780" s="105"/>
      <c r="I780" s="32" t="str">
        <f>IF($A780="","",VLOOKUP($H780,APOIO!$L:$M,2,FALSE))</f>
        <v/>
      </c>
      <c r="J780" s="31"/>
      <c r="K780" s="32" t="str">
        <f>IF($A780="","",VLOOKUP($J780,APOIO!$H:$J,2,FALSE))</f>
        <v/>
      </c>
      <c r="L780" s="32" t="str">
        <f>IF($A780="","",VLOOKUP($J780,APOIO!$H:$J,3,FALSE))</f>
        <v/>
      </c>
      <c r="M780" s="31"/>
      <c r="N780" s="34"/>
      <c r="O780" s="32"/>
      <c r="P780" s="32"/>
      <c r="Q780" s="32"/>
      <c r="R780" s="32"/>
      <c r="S780" s="35"/>
      <c r="T780" s="91"/>
      <c r="U780" s="60"/>
      <c r="V780" s="36"/>
      <c r="W780" s="31"/>
      <c r="X780" s="59"/>
      <c r="Y780" s="59" t="str">
        <f>IFERROR(VLOOKUP($A780,APOIO!$A:$A,1,FALSE),"ERRO")</f>
        <v>ERRO</v>
      </c>
      <c r="Z780"/>
    </row>
    <row r="781" spans="1:26" ht="15" x14ac:dyDescent="0.25">
      <c r="A781" s="94"/>
      <c r="B781" s="32" t="str">
        <f>IF($A781="","",VLOOKUP($A781,APOIO!$A:$E,2,FALSE))</f>
        <v/>
      </c>
      <c r="C781" s="94"/>
      <c r="D781" s="32" t="str">
        <f>IF($A781="","",INDEX(APOIO!$D:$D,MATCH(CONCATENATE($A781,"_",$B781,"_",$C781),APOIO!$F:$F,0)))</f>
        <v/>
      </c>
      <c r="E781" s="31"/>
      <c r="F781" s="31"/>
      <c r="G781" s="33"/>
      <c r="H781" s="105"/>
      <c r="I781" s="32" t="str">
        <f>IF($A781="","",VLOOKUP($H781,APOIO!$L:$M,2,FALSE))</f>
        <v/>
      </c>
      <c r="J781" s="31"/>
      <c r="K781" s="32" t="str">
        <f>IF($A781="","",VLOOKUP($J781,APOIO!$H:$J,2,FALSE))</f>
        <v/>
      </c>
      <c r="L781" s="32" t="str">
        <f>IF($A781="","",VLOOKUP($J781,APOIO!$H:$J,3,FALSE))</f>
        <v/>
      </c>
      <c r="M781" s="31"/>
      <c r="N781" s="34"/>
      <c r="O781" s="32"/>
      <c r="P781" s="32"/>
      <c r="Q781" s="32"/>
      <c r="R781" s="32"/>
      <c r="S781" s="35"/>
      <c r="T781" s="91"/>
      <c r="U781" s="60"/>
      <c r="V781" s="36"/>
      <c r="W781" s="31"/>
      <c r="X781" s="59"/>
      <c r="Y781" s="59" t="str">
        <f>IFERROR(VLOOKUP($A781,APOIO!$A:$A,1,FALSE),"ERRO")</f>
        <v>ERRO</v>
      </c>
      <c r="Z781"/>
    </row>
    <row r="782" spans="1:26" ht="15" x14ac:dyDescent="0.25">
      <c r="A782" s="94"/>
      <c r="B782" s="32" t="str">
        <f>IF($A782="","",VLOOKUP($A782,APOIO!$A:$E,2,FALSE))</f>
        <v/>
      </c>
      <c r="C782" s="94"/>
      <c r="D782" s="32" t="str">
        <f>IF($A782="","",INDEX(APOIO!$D:$D,MATCH(CONCATENATE($A782,"_",$B782,"_",$C782),APOIO!$F:$F,0)))</f>
        <v/>
      </c>
      <c r="E782" s="31"/>
      <c r="F782" s="31"/>
      <c r="G782" s="33"/>
      <c r="H782" s="105"/>
      <c r="I782" s="32" t="str">
        <f>IF($A782="","",VLOOKUP($H782,APOIO!$L:$M,2,FALSE))</f>
        <v/>
      </c>
      <c r="J782" s="31"/>
      <c r="K782" s="32" t="str">
        <f>IF($A782="","",VLOOKUP($J782,APOIO!$H:$J,2,FALSE))</f>
        <v/>
      </c>
      <c r="L782" s="32" t="str">
        <f>IF($A782="","",VLOOKUP($J782,APOIO!$H:$J,3,FALSE))</f>
        <v/>
      </c>
      <c r="M782" s="31"/>
      <c r="N782" s="34"/>
      <c r="O782" s="32"/>
      <c r="P782" s="32"/>
      <c r="Q782" s="32"/>
      <c r="R782" s="32"/>
      <c r="S782" s="35"/>
      <c r="T782" s="91"/>
      <c r="U782" s="60"/>
      <c r="V782" s="36"/>
      <c r="W782" s="31"/>
      <c r="X782" s="59"/>
      <c r="Y782" s="59" t="str">
        <f>IFERROR(VLOOKUP($A782,APOIO!$A:$A,1,FALSE),"ERRO")</f>
        <v>ERRO</v>
      </c>
      <c r="Z782"/>
    </row>
    <row r="783" spans="1:26" ht="15" x14ac:dyDescent="0.25">
      <c r="A783" s="94"/>
      <c r="B783" s="32" t="str">
        <f>IF($A783="","",VLOOKUP($A783,APOIO!$A:$E,2,FALSE))</f>
        <v/>
      </c>
      <c r="C783" s="94"/>
      <c r="D783" s="32" t="str">
        <f>IF($A783="","",INDEX(APOIO!$D:$D,MATCH(CONCATENATE($A783,"_",$B783,"_",$C783),APOIO!$F:$F,0)))</f>
        <v/>
      </c>
      <c r="E783" s="31"/>
      <c r="F783" s="31"/>
      <c r="G783" s="33"/>
      <c r="H783" s="105"/>
      <c r="I783" s="32" t="str">
        <f>IF($A783="","",VLOOKUP($H783,APOIO!$L:$M,2,FALSE))</f>
        <v/>
      </c>
      <c r="J783" s="31"/>
      <c r="K783" s="32" t="str">
        <f>IF($A783="","",VLOOKUP($J783,APOIO!$H:$J,2,FALSE))</f>
        <v/>
      </c>
      <c r="L783" s="32" t="str">
        <f>IF($A783="","",VLOOKUP($J783,APOIO!$H:$J,3,FALSE))</f>
        <v/>
      </c>
      <c r="M783" s="31"/>
      <c r="N783" s="34"/>
      <c r="O783" s="32"/>
      <c r="P783" s="32"/>
      <c r="Q783" s="32"/>
      <c r="R783" s="32"/>
      <c r="S783" s="35"/>
      <c r="T783" s="91"/>
      <c r="U783" s="60"/>
      <c r="V783" s="36"/>
      <c r="W783" s="31"/>
      <c r="X783" s="59"/>
      <c r="Y783" s="59" t="str">
        <f>IFERROR(VLOOKUP($A783,APOIO!$A:$A,1,FALSE),"ERRO")</f>
        <v>ERRO</v>
      </c>
      <c r="Z783"/>
    </row>
    <row r="784" spans="1:26" ht="15" x14ac:dyDescent="0.25">
      <c r="A784" s="94"/>
      <c r="B784" s="32" t="str">
        <f>IF($A784="","",VLOOKUP($A784,APOIO!$A:$E,2,FALSE))</f>
        <v/>
      </c>
      <c r="C784" s="94"/>
      <c r="D784" s="32" t="str">
        <f>IF($A784="","",INDEX(APOIO!$D:$D,MATCH(CONCATENATE($A784,"_",$B784,"_",$C784),APOIO!$F:$F,0)))</f>
        <v/>
      </c>
      <c r="E784" s="31"/>
      <c r="F784" s="31"/>
      <c r="G784" s="33"/>
      <c r="H784" s="105"/>
      <c r="I784" s="32" t="str">
        <f>IF($A784="","",VLOOKUP($H784,APOIO!$L:$M,2,FALSE))</f>
        <v/>
      </c>
      <c r="J784" s="31"/>
      <c r="K784" s="32" t="str">
        <f>IF($A784="","",VLOOKUP($J784,APOIO!$H:$J,2,FALSE))</f>
        <v/>
      </c>
      <c r="L784" s="32" t="str">
        <f>IF($A784="","",VLOOKUP($J784,APOIO!$H:$J,3,FALSE))</f>
        <v/>
      </c>
      <c r="M784" s="31"/>
      <c r="N784" s="34"/>
      <c r="O784" s="32"/>
      <c r="P784" s="32"/>
      <c r="Q784" s="32"/>
      <c r="R784" s="32"/>
      <c r="S784" s="35"/>
      <c r="T784" s="91"/>
      <c r="U784" s="60"/>
      <c r="V784" s="36"/>
      <c r="W784" s="31"/>
      <c r="X784" s="59"/>
      <c r="Y784" s="59" t="str">
        <f>IFERROR(VLOOKUP($A784,APOIO!$A:$A,1,FALSE),"ERRO")</f>
        <v>ERRO</v>
      </c>
      <c r="Z784"/>
    </row>
    <row r="785" spans="1:26" ht="15" x14ac:dyDescent="0.25">
      <c r="A785" s="94"/>
      <c r="B785" s="32" t="str">
        <f>IF($A785="","",VLOOKUP($A785,APOIO!$A:$E,2,FALSE))</f>
        <v/>
      </c>
      <c r="C785" s="94"/>
      <c r="D785" s="32" t="str">
        <f>IF($A785="","",INDEX(APOIO!$D:$D,MATCH(CONCATENATE($A785,"_",$B785,"_",$C785),APOIO!$F:$F,0)))</f>
        <v/>
      </c>
      <c r="E785" s="31"/>
      <c r="F785" s="31"/>
      <c r="G785" s="33"/>
      <c r="H785" s="105"/>
      <c r="I785" s="32" t="str">
        <f>IF($A785="","",VLOOKUP($H785,APOIO!$L:$M,2,FALSE))</f>
        <v/>
      </c>
      <c r="J785" s="31"/>
      <c r="K785" s="32" t="str">
        <f>IF($A785="","",VLOOKUP($J785,APOIO!$H:$J,2,FALSE))</f>
        <v/>
      </c>
      <c r="L785" s="32" t="str">
        <f>IF($A785="","",VLOOKUP($J785,APOIO!$H:$J,3,FALSE))</f>
        <v/>
      </c>
      <c r="M785" s="31"/>
      <c r="N785" s="34"/>
      <c r="O785" s="32"/>
      <c r="P785" s="32"/>
      <c r="Q785" s="32"/>
      <c r="R785" s="32"/>
      <c r="S785" s="35"/>
      <c r="T785" s="91"/>
      <c r="U785" s="60"/>
      <c r="V785" s="36"/>
      <c r="W785" s="31"/>
      <c r="X785" s="59"/>
      <c r="Y785" s="59" t="str">
        <f>IFERROR(VLOOKUP($A785,APOIO!$A:$A,1,FALSE),"ERRO")</f>
        <v>ERRO</v>
      </c>
      <c r="Z785"/>
    </row>
    <row r="786" spans="1:26" ht="15" x14ac:dyDescent="0.25">
      <c r="A786" s="94"/>
      <c r="B786" s="32" t="str">
        <f>IF($A786="","",VLOOKUP($A786,APOIO!$A:$E,2,FALSE))</f>
        <v/>
      </c>
      <c r="C786" s="94"/>
      <c r="D786" s="32" t="str">
        <f>IF($A786="","",INDEX(APOIO!$D:$D,MATCH(CONCATENATE($A786,"_",$B786,"_",$C786),APOIO!$F:$F,0)))</f>
        <v/>
      </c>
      <c r="E786" s="31"/>
      <c r="F786" s="31"/>
      <c r="G786" s="33"/>
      <c r="H786" s="105"/>
      <c r="I786" s="32" t="str">
        <f>IF($A786="","",VLOOKUP($H786,APOIO!$L:$M,2,FALSE))</f>
        <v/>
      </c>
      <c r="J786" s="31"/>
      <c r="K786" s="32" t="str">
        <f>IF($A786="","",VLOOKUP($J786,APOIO!$H:$J,2,FALSE))</f>
        <v/>
      </c>
      <c r="L786" s="32" t="str">
        <f>IF($A786="","",VLOOKUP($J786,APOIO!$H:$J,3,FALSE))</f>
        <v/>
      </c>
      <c r="M786" s="31"/>
      <c r="N786" s="34"/>
      <c r="O786" s="32"/>
      <c r="P786" s="32"/>
      <c r="Q786" s="32"/>
      <c r="R786" s="32"/>
      <c r="S786" s="35"/>
      <c r="T786" s="91"/>
      <c r="U786" s="60"/>
      <c r="V786" s="36"/>
      <c r="W786" s="31"/>
      <c r="X786" s="59"/>
      <c r="Y786" s="59" t="str">
        <f>IFERROR(VLOOKUP($A786,APOIO!$A:$A,1,FALSE),"ERRO")</f>
        <v>ERRO</v>
      </c>
      <c r="Z786"/>
    </row>
    <row r="787" spans="1:26" ht="15" x14ac:dyDescent="0.25">
      <c r="A787" s="94"/>
      <c r="B787" s="32" t="str">
        <f>IF($A787="","",VLOOKUP($A787,APOIO!$A:$E,2,FALSE))</f>
        <v/>
      </c>
      <c r="C787" s="94"/>
      <c r="D787" s="32" t="str">
        <f>IF($A787="","",INDEX(APOIO!$D:$D,MATCH(CONCATENATE($A787,"_",$B787,"_",$C787),APOIO!$F:$F,0)))</f>
        <v/>
      </c>
      <c r="E787" s="31"/>
      <c r="F787" s="31"/>
      <c r="G787" s="33"/>
      <c r="H787" s="105"/>
      <c r="I787" s="32" t="str">
        <f>IF($A787="","",VLOOKUP($H787,APOIO!$L:$M,2,FALSE))</f>
        <v/>
      </c>
      <c r="J787" s="31"/>
      <c r="K787" s="32" t="str">
        <f>IF($A787="","",VLOOKUP($J787,APOIO!$H:$J,2,FALSE))</f>
        <v/>
      </c>
      <c r="L787" s="32" t="str">
        <f>IF($A787="","",VLOOKUP($J787,APOIO!$H:$J,3,FALSE))</f>
        <v/>
      </c>
      <c r="M787" s="31"/>
      <c r="N787" s="34"/>
      <c r="O787" s="32"/>
      <c r="P787" s="32"/>
      <c r="Q787" s="32"/>
      <c r="R787" s="32"/>
      <c r="S787" s="35"/>
      <c r="T787" s="91"/>
      <c r="U787" s="60"/>
      <c r="V787" s="36"/>
      <c r="W787" s="31"/>
      <c r="X787" s="59"/>
      <c r="Y787" s="59" t="str">
        <f>IFERROR(VLOOKUP($A787,APOIO!$A:$A,1,FALSE),"ERRO")</f>
        <v>ERRO</v>
      </c>
      <c r="Z787"/>
    </row>
    <row r="788" spans="1:26" ht="15" x14ac:dyDescent="0.25">
      <c r="A788" s="94"/>
      <c r="B788" s="32" t="str">
        <f>IF($A788="","",VLOOKUP($A788,APOIO!$A:$E,2,FALSE))</f>
        <v/>
      </c>
      <c r="C788" s="94"/>
      <c r="D788" s="32" t="str">
        <f>IF($A788="","",INDEX(APOIO!$D:$D,MATCH(CONCATENATE($A788,"_",$B788,"_",$C788),APOIO!$F:$F,0)))</f>
        <v/>
      </c>
      <c r="E788" s="31"/>
      <c r="F788" s="31"/>
      <c r="G788" s="33"/>
      <c r="H788" s="105"/>
      <c r="I788" s="32" t="str">
        <f>IF($A788="","",VLOOKUP($H788,APOIO!$L:$M,2,FALSE))</f>
        <v/>
      </c>
      <c r="J788" s="31"/>
      <c r="K788" s="32" t="str">
        <f>IF($A788="","",VLOOKUP($J788,APOIO!$H:$J,2,FALSE))</f>
        <v/>
      </c>
      <c r="L788" s="32" t="str">
        <f>IF($A788="","",VLOOKUP($J788,APOIO!$H:$J,3,FALSE))</f>
        <v/>
      </c>
      <c r="M788" s="31"/>
      <c r="N788" s="34"/>
      <c r="O788" s="32"/>
      <c r="P788" s="32"/>
      <c r="Q788" s="32"/>
      <c r="R788" s="32"/>
      <c r="S788" s="35"/>
      <c r="T788" s="91"/>
      <c r="U788" s="60"/>
      <c r="V788" s="36"/>
      <c r="W788" s="31"/>
      <c r="X788" s="59"/>
      <c r="Y788" s="59" t="str">
        <f>IFERROR(VLOOKUP($A788,APOIO!$A:$A,1,FALSE),"ERRO")</f>
        <v>ERRO</v>
      </c>
      <c r="Z788"/>
    </row>
    <row r="789" spans="1:26" ht="15" x14ac:dyDescent="0.25">
      <c r="A789" s="94"/>
      <c r="B789" s="32" t="str">
        <f>IF($A789="","",VLOOKUP($A789,APOIO!$A:$E,2,FALSE))</f>
        <v/>
      </c>
      <c r="C789" s="94"/>
      <c r="D789" s="32" t="str">
        <f>IF($A789="","",INDEX(APOIO!$D:$D,MATCH(CONCATENATE($A789,"_",$B789,"_",$C789),APOIO!$F:$F,0)))</f>
        <v/>
      </c>
      <c r="E789" s="31"/>
      <c r="F789" s="31"/>
      <c r="G789" s="33"/>
      <c r="H789" s="105"/>
      <c r="I789" s="32" t="str">
        <f>IF($A789="","",VLOOKUP($H789,APOIO!$L:$M,2,FALSE))</f>
        <v/>
      </c>
      <c r="J789" s="31"/>
      <c r="K789" s="32" t="str">
        <f>IF($A789="","",VLOOKUP($J789,APOIO!$H:$J,2,FALSE))</f>
        <v/>
      </c>
      <c r="L789" s="32" t="str">
        <f>IF($A789="","",VLOOKUP($J789,APOIO!$H:$J,3,FALSE))</f>
        <v/>
      </c>
      <c r="M789" s="31"/>
      <c r="N789" s="34"/>
      <c r="O789" s="32"/>
      <c r="P789" s="32"/>
      <c r="Q789" s="32"/>
      <c r="R789" s="32"/>
      <c r="S789" s="35"/>
      <c r="T789" s="91"/>
      <c r="U789" s="60"/>
      <c r="V789" s="36"/>
      <c r="W789" s="31"/>
      <c r="X789" s="59"/>
      <c r="Y789" s="59" t="str">
        <f>IFERROR(VLOOKUP($A789,APOIO!$A:$A,1,FALSE),"ERRO")</f>
        <v>ERRO</v>
      </c>
      <c r="Z789"/>
    </row>
    <row r="790" spans="1:26" ht="15" x14ac:dyDescent="0.25">
      <c r="A790" s="94"/>
      <c r="B790" s="32" t="str">
        <f>IF($A790="","",VLOOKUP($A790,APOIO!$A:$E,2,FALSE))</f>
        <v/>
      </c>
      <c r="C790" s="94"/>
      <c r="D790" s="32" t="str">
        <f>IF($A790="","",INDEX(APOIO!$D:$D,MATCH(CONCATENATE($A790,"_",$B790,"_",$C790),APOIO!$F:$F,0)))</f>
        <v/>
      </c>
      <c r="E790" s="31"/>
      <c r="F790" s="31"/>
      <c r="G790" s="33"/>
      <c r="H790" s="105"/>
      <c r="I790" s="32" t="str">
        <f>IF($A790="","",VLOOKUP($H790,APOIO!$L:$M,2,FALSE))</f>
        <v/>
      </c>
      <c r="J790" s="31"/>
      <c r="K790" s="32" t="str">
        <f>IF($A790="","",VLOOKUP($J790,APOIO!$H:$J,2,FALSE))</f>
        <v/>
      </c>
      <c r="L790" s="32" t="str">
        <f>IF($A790="","",VLOOKUP($J790,APOIO!$H:$J,3,FALSE))</f>
        <v/>
      </c>
      <c r="M790" s="31"/>
      <c r="N790" s="34"/>
      <c r="O790" s="32"/>
      <c r="P790" s="32"/>
      <c r="Q790" s="32"/>
      <c r="R790" s="32"/>
      <c r="S790" s="35"/>
      <c r="T790" s="91"/>
      <c r="U790" s="60"/>
      <c r="V790" s="36"/>
      <c r="W790" s="31"/>
      <c r="X790" s="59"/>
      <c r="Y790" s="59" t="str">
        <f>IFERROR(VLOOKUP($A790,APOIO!$A:$A,1,FALSE),"ERRO")</f>
        <v>ERRO</v>
      </c>
      <c r="Z790"/>
    </row>
    <row r="791" spans="1:26" ht="15" x14ac:dyDescent="0.25">
      <c r="A791" s="94"/>
      <c r="B791" s="32" t="str">
        <f>IF($A791="","",VLOOKUP($A791,APOIO!$A:$E,2,FALSE))</f>
        <v/>
      </c>
      <c r="C791" s="94"/>
      <c r="D791" s="32" t="str">
        <f>IF($A791="","",INDEX(APOIO!$D:$D,MATCH(CONCATENATE($A791,"_",$B791,"_",$C791),APOIO!$F:$F,0)))</f>
        <v/>
      </c>
      <c r="E791" s="31"/>
      <c r="F791" s="31"/>
      <c r="G791" s="33"/>
      <c r="H791" s="105"/>
      <c r="I791" s="32" t="str">
        <f>IF($A791="","",VLOOKUP($H791,APOIO!$L:$M,2,FALSE))</f>
        <v/>
      </c>
      <c r="J791" s="31"/>
      <c r="K791" s="32" t="str">
        <f>IF($A791="","",VLOOKUP($J791,APOIO!$H:$J,2,FALSE))</f>
        <v/>
      </c>
      <c r="L791" s="32" t="str">
        <f>IF($A791="","",VLOOKUP($J791,APOIO!$H:$J,3,FALSE))</f>
        <v/>
      </c>
      <c r="M791" s="31"/>
      <c r="N791" s="34"/>
      <c r="O791" s="32"/>
      <c r="P791" s="32"/>
      <c r="Q791" s="32"/>
      <c r="R791" s="32"/>
      <c r="S791" s="35"/>
      <c r="T791" s="91"/>
      <c r="U791" s="60"/>
      <c r="V791" s="36"/>
      <c r="W791" s="31"/>
      <c r="X791" s="59"/>
      <c r="Y791" s="59" t="str">
        <f>IFERROR(VLOOKUP($A791,APOIO!$A:$A,1,FALSE),"ERRO")</f>
        <v>ERRO</v>
      </c>
      <c r="Z791"/>
    </row>
    <row r="792" spans="1:26" ht="15" x14ac:dyDescent="0.25">
      <c r="A792" s="94"/>
      <c r="B792" s="32" t="str">
        <f>IF($A792="","",VLOOKUP($A792,APOIO!$A:$E,2,FALSE))</f>
        <v/>
      </c>
      <c r="C792" s="94"/>
      <c r="D792" s="32" t="str">
        <f>IF($A792="","",INDEX(APOIO!$D:$D,MATCH(CONCATENATE($A792,"_",$B792,"_",$C792),APOIO!$F:$F,0)))</f>
        <v/>
      </c>
      <c r="E792" s="31"/>
      <c r="F792" s="31"/>
      <c r="G792" s="33"/>
      <c r="H792" s="105"/>
      <c r="I792" s="32" t="str">
        <f>IF($A792="","",VLOOKUP($H792,APOIO!$L:$M,2,FALSE))</f>
        <v/>
      </c>
      <c r="J792" s="31"/>
      <c r="K792" s="32" t="str">
        <f>IF($A792="","",VLOOKUP($J792,APOIO!$H:$J,2,FALSE))</f>
        <v/>
      </c>
      <c r="L792" s="32" t="str">
        <f>IF($A792="","",VLOOKUP($J792,APOIO!$H:$J,3,FALSE))</f>
        <v/>
      </c>
      <c r="M792" s="31"/>
      <c r="N792" s="34"/>
      <c r="O792" s="32"/>
      <c r="P792" s="32"/>
      <c r="Q792" s="32"/>
      <c r="R792" s="32"/>
      <c r="S792" s="35"/>
      <c r="T792" s="91"/>
      <c r="U792" s="60"/>
      <c r="V792" s="36"/>
      <c r="W792" s="31"/>
      <c r="X792" s="59"/>
      <c r="Y792" s="59" t="str">
        <f>IFERROR(VLOOKUP($A792,APOIO!$A:$A,1,FALSE),"ERRO")</f>
        <v>ERRO</v>
      </c>
      <c r="Z792"/>
    </row>
    <row r="793" spans="1:26" ht="15" x14ac:dyDescent="0.25">
      <c r="A793" s="94"/>
      <c r="B793" s="32" t="str">
        <f>IF($A793="","",VLOOKUP($A793,APOIO!$A:$E,2,FALSE))</f>
        <v/>
      </c>
      <c r="C793" s="94"/>
      <c r="D793" s="32" t="str">
        <f>IF($A793="","",INDEX(APOIO!$D:$D,MATCH(CONCATENATE($A793,"_",$B793,"_",$C793),APOIO!$F:$F,0)))</f>
        <v/>
      </c>
      <c r="E793" s="31"/>
      <c r="F793" s="31"/>
      <c r="G793" s="33"/>
      <c r="H793" s="105"/>
      <c r="I793" s="32" t="str">
        <f>IF($A793="","",VLOOKUP($H793,APOIO!$L:$M,2,FALSE))</f>
        <v/>
      </c>
      <c r="J793" s="31"/>
      <c r="K793" s="32" t="str">
        <f>IF($A793="","",VLOOKUP($J793,APOIO!$H:$J,2,FALSE))</f>
        <v/>
      </c>
      <c r="L793" s="32" t="str">
        <f>IF($A793="","",VLOOKUP($J793,APOIO!$H:$J,3,FALSE))</f>
        <v/>
      </c>
      <c r="M793" s="31"/>
      <c r="N793" s="34"/>
      <c r="O793" s="32"/>
      <c r="P793" s="32"/>
      <c r="Q793" s="32"/>
      <c r="R793" s="32"/>
      <c r="S793" s="35"/>
      <c r="T793" s="91"/>
      <c r="U793" s="60"/>
      <c r="V793" s="36"/>
      <c r="W793" s="31"/>
      <c r="X793" s="59"/>
      <c r="Y793" s="59" t="str">
        <f>IFERROR(VLOOKUP($A793,APOIO!$A:$A,1,FALSE),"ERRO")</f>
        <v>ERRO</v>
      </c>
      <c r="Z793"/>
    </row>
    <row r="794" spans="1:26" ht="15" x14ac:dyDescent="0.25">
      <c r="A794" s="94"/>
      <c r="B794" s="32" t="str">
        <f>IF($A794="","",VLOOKUP($A794,APOIO!$A:$E,2,FALSE))</f>
        <v/>
      </c>
      <c r="C794" s="94"/>
      <c r="D794" s="32" t="str">
        <f>IF($A794="","",INDEX(APOIO!$D:$D,MATCH(CONCATENATE($A794,"_",$B794,"_",$C794),APOIO!$F:$F,0)))</f>
        <v/>
      </c>
      <c r="E794" s="31"/>
      <c r="F794" s="31"/>
      <c r="G794" s="33"/>
      <c r="H794" s="105"/>
      <c r="I794" s="32" t="str">
        <f>IF($A794="","",VLOOKUP($H794,APOIO!$L:$M,2,FALSE))</f>
        <v/>
      </c>
      <c r="J794" s="31"/>
      <c r="K794" s="32" t="str">
        <f>IF($A794="","",VLOOKUP($J794,APOIO!$H:$J,2,FALSE))</f>
        <v/>
      </c>
      <c r="L794" s="32" t="str">
        <f>IF($A794="","",VLOOKUP($J794,APOIO!$H:$J,3,FALSE))</f>
        <v/>
      </c>
      <c r="M794" s="31"/>
      <c r="N794" s="34"/>
      <c r="O794" s="32"/>
      <c r="P794" s="32"/>
      <c r="Q794" s="32"/>
      <c r="R794" s="32"/>
      <c r="S794" s="35"/>
      <c r="T794" s="91"/>
      <c r="U794" s="60"/>
      <c r="V794" s="36"/>
      <c r="W794" s="31"/>
      <c r="X794" s="59"/>
      <c r="Y794" s="59" t="str">
        <f>IFERROR(VLOOKUP($A794,APOIO!$A:$A,1,FALSE),"ERRO")</f>
        <v>ERRO</v>
      </c>
      <c r="Z794"/>
    </row>
    <row r="795" spans="1:26" ht="15" x14ac:dyDescent="0.25">
      <c r="A795" s="94"/>
      <c r="B795" s="32" t="str">
        <f>IF($A795="","",VLOOKUP($A795,APOIO!$A:$E,2,FALSE))</f>
        <v/>
      </c>
      <c r="C795" s="94"/>
      <c r="D795" s="32" t="str">
        <f>IF($A795="","",INDEX(APOIO!$D:$D,MATCH(CONCATENATE($A795,"_",$B795,"_",$C795),APOIO!$F:$F,0)))</f>
        <v/>
      </c>
      <c r="E795" s="31"/>
      <c r="F795" s="31"/>
      <c r="G795" s="33"/>
      <c r="H795" s="105"/>
      <c r="I795" s="32" t="str">
        <f>IF($A795="","",VLOOKUP($H795,APOIO!$L:$M,2,FALSE))</f>
        <v/>
      </c>
      <c r="J795" s="31"/>
      <c r="K795" s="32" t="str">
        <f>IF($A795="","",VLOOKUP($J795,APOIO!$H:$J,2,FALSE))</f>
        <v/>
      </c>
      <c r="L795" s="32" t="str">
        <f>IF($A795="","",VLOOKUP($J795,APOIO!$H:$J,3,FALSE))</f>
        <v/>
      </c>
      <c r="M795" s="31"/>
      <c r="N795" s="34"/>
      <c r="O795" s="32"/>
      <c r="P795" s="32"/>
      <c r="Q795" s="32"/>
      <c r="R795" s="32"/>
      <c r="S795" s="35"/>
      <c r="T795" s="91"/>
      <c r="U795" s="60"/>
      <c r="V795" s="36"/>
      <c r="W795" s="31"/>
      <c r="X795" s="59"/>
      <c r="Y795" s="59" t="str">
        <f>IFERROR(VLOOKUP($A795,APOIO!$A:$A,1,FALSE),"ERRO")</f>
        <v>ERRO</v>
      </c>
      <c r="Z795"/>
    </row>
    <row r="796" spans="1:26" ht="15" x14ac:dyDescent="0.25">
      <c r="A796" s="94"/>
      <c r="B796" s="32" t="str">
        <f>IF($A796="","",VLOOKUP($A796,APOIO!$A:$E,2,FALSE))</f>
        <v/>
      </c>
      <c r="C796" s="94"/>
      <c r="D796" s="32" t="str">
        <f>IF($A796="","",INDEX(APOIO!$D:$D,MATCH(CONCATENATE($A796,"_",$B796,"_",$C796),APOIO!$F:$F,0)))</f>
        <v/>
      </c>
      <c r="E796" s="31"/>
      <c r="F796" s="31"/>
      <c r="G796" s="33"/>
      <c r="H796" s="105"/>
      <c r="I796" s="32" t="str">
        <f>IF($A796="","",VLOOKUP($H796,APOIO!$L:$M,2,FALSE))</f>
        <v/>
      </c>
      <c r="J796" s="31"/>
      <c r="K796" s="32" t="str">
        <f>IF($A796="","",VLOOKUP($J796,APOIO!$H:$J,2,FALSE))</f>
        <v/>
      </c>
      <c r="L796" s="32" t="str">
        <f>IF($A796="","",VLOOKUP($J796,APOIO!$H:$J,3,FALSE))</f>
        <v/>
      </c>
      <c r="M796" s="31"/>
      <c r="N796" s="34"/>
      <c r="O796" s="32"/>
      <c r="P796" s="32"/>
      <c r="Q796" s="32"/>
      <c r="R796" s="32"/>
      <c r="S796" s="35"/>
      <c r="T796" s="91"/>
      <c r="U796" s="60"/>
      <c r="V796" s="36"/>
      <c r="W796" s="31"/>
      <c r="X796" s="59"/>
      <c r="Y796" s="59" t="str">
        <f>IFERROR(VLOOKUP($A796,APOIO!$A:$A,1,FALSE),"ERRO")</f>
        <v>ERRO</v>
      </c>
      <c r="Z796"/>
    </row>
    <row r="797" spans="1:26" ht="15" x14ac:dyDescent="0.25">
      <c r="A797" s="94"/>
      <c r="B797" s="32" t="str">
        <f>IF($A797="","",VLOOKUP($A797,APOIO!$A:$E,2,FALSE))</f>
        <v/>
      </c>
      <c r="C797" s="94"/>
      <c r="D797" s="32" t="str">
        <f>IF($A797="","",INDEX(APOIO!$D:$D,MATCH(CONCATENATE($A797,"_",$B797,"_",$C797),APOIO!$F:$F,0)))</f>
        <v/>
      </c>
      <c r="E797" s="31"/>
      <c r="F797" s="31"/>
      <c r="G797" s="33"/>
      <c r="H797" s="105"/>
      <c r="I797" s="32" t="str">
        <f>IF($A797="","",VLOOKUP($H797,APOIO!$L:$M,2,FALSE))</f>
        <v/>
      </c>
      <c r="J797" s="31"/>
      <c r="K797" s="32" t="str">
        <f>IF($A797="","",VLOOKUP($J797,APOIO!$H:$J,2,FALSE))</f>
        <v/>
      </c>
      <c r="L797" s="32" t="str">
        <f>IF($A797="","",VLOOKUP($J797,APOIO!$H:$J,3,FALSE))</f>
        <v/>
      </c>
      <c r="M797" s="31"/>
      <c r="N797" s="34"/>
      <c r="O797" s="32"/>
      <c r="P797" s="32"/>
      <c r="Q797" s="32"/>
      <c r="R797" s="32"/>
      <c r="S797" s="35"/>
      <c r="T797" s="91"/>
      <c r="U797" s="60"/>
      <c r="V797" s="36"/>
      <c r="W797" s="31"/>
      <c r="X797" s="59"/>
      <c r="Y797" s="59" t="str">
        <f>IFERROR(VLOOKUP($A797,APOIO!$A:$A,1,FALSE),"ERRO")</f>
        <v>ERRO</v>
      </c>
      <c r="Z797"/>
    </row>
    <row r="798" spans="1:26" ht="15" x14ac:dyDescent="0.25">
      <c r="A798" s="94"/>
      <c r="B798" s="32" t="str">
        <f>IF($A798="","",VLOOKUP($A798,APOIO!$A:$E,2,FALSE))</f>
        <v/>
      </c>
      <c r="C798" s="94"/>
      <c r="D798" s="32" t="str">
        <f>IF($A798="","",INDEX(APOIO!$D:$D,MATCH(CONCATENATE($A798,"_",$B798,"_",$C798),APOIO!$F:$F,0)))</f>
        <v/>
      </c>
      <c r="E798" s="31"/>
      <c r="F798" s="31"/>
      <c r="G798" s="33"/>
      <c r="H798" s="105"/>
      <c r="I798" s="32" t="str">
        <f>IF($A798="","",VLOOKUP($H798,APOIO!$L:$M,2,FALSE))</f>
        <v/>
      </c>
      <c r="J798" s="31"/>
      <c r="K798" s="32" t="str">
        <f>IF($A798="","",VLOOKUP($J798,APOIO!$H:$J,2,FALSE))</f>
        <v/>
      </c>
      <c r="L798" s="32" t="str">
        <f>IF($A798="","",VLOOKUP($J798,APOIO!$H:$J,3,FALSE))</f>
        <v/>
      </c>
      <c r="M798" s="31"/>
      <c r="N798" s="34"/>
      <c r="O798" s="32"/>
      <c r="P798" s="32"/>
      <c r="Q798" s="32"/>
      <c r="R798" s="32"/>
      <c r="S798" s="35"/>
      <c r="T798" s="91"/>
      <c r="U798" s="60"/>
      <c r="V798" s="36"/>
      <c r="W798" s="31"/>
      <c r="X798" s="59"/>
      <c r="Y798" s="59" t="str">
        <f>IFERROR(VLOOKUP($A798,APOIO!$A:$A,1,FALSE),"ERRO")</f>
        <v>ERRO</v>
      </c>
      <c r="Z798"/>
    </row>
    <row r="799" spans="1:26" ht="15" x14ac:dyDescent="0.25">
      <c r="A799" s="94"/>
      <c r="B799" s="32" t="str">
        <f>IF($A799="","",VLOOKUP($A799,APOIO!$A:$E,2,FALSE))</f>
        <v/>
      </c>
      <c r="C799" s="94"/>
      <c r="D799" s="32" t="str">
        <f>IF($A799="","",INDEX(APOIO!$D:$D,MATCH(CONCATENATE($A799,"_",$B799,"_",$C799),APOIO!$F:$F,0)))</f>
        <v/>
      </c>
      <c r="E799" s="31"/>
      <c r="F799" s="31"/>
      <c r="G799" s="33"/>
      <c r="H799" s="105"/>
      <c r="I799" s="32" t="str">
        <f>IF($A799="","",VLOOKUP($H799,APOIO!$L:$M,2,FALSE))</f>
        <v/>
      </c>
      <c r="J799" s="31"/>
      <c r="K799" s="32" t="str">
        <f>IF($A799="","",VLOOKUP($J799,APOIO!$H:$J,2,FALSE))</f>
        <v/>
      </c>
      <c r="L799" s="32" t="str">
        <f>IF($A799="","",VLOOKUP($J799,APOIO!$H:$J,3,FALSE))</f>
        <v/>
      </c>
      <c r="M799" s="31"/>
      <c r="N799" s="34"/>
      <c r="O799" s="32"/>
      <c r="P799" s="32"/>
      <c r="Q799" s="32"/>
      <c r="R799" s="32"/>
      <c r="S799" s="35"/>
      <c r="T799" s="91"/>
      <c r="U799" s="60"/>
      <c r="V799" s="36"/>
      <c r="W799" s="31"/>
      <c r="X799" s="59"/>
      <c r="Y799" s="59" t="str">
        <f>IFERROR(VLOOKUP($A799,APOIO!$A:$A,1,FALSE),"ERRO")</f>
        <v>ERRO</v>
      </c>
      <c r="Z799"/>
    </row>
    <row r="800" spans="1:26" ht="15" x14ac:dyDescent="0.25">
      <c r="A800" s="94"/>
      <c r="B800" s="32" t="str">
        <f>IF($A800="","",VLOOKUP($A800,APOIO!$A:$E,2,FALSE))</f>
        <v/>
      </c>
      <c r="C800" s="94"/>
      <c r="D800" s="32" t="str">
        <f>IF($A800="","",INDEX(APOIO!$D:$D,MATCH(CONCATENATE($A800,"_",$B800,"_",$C800),APOIO!$F:$F,0)))</f>
        <v/>
      </c>
      <c r="E800" s="31"/>
      <c r="F800" s="31"/>
      <c r="G800" s="33"/>
      <c r="H800" s="105"/>
      <c r="I800" s="32" t="str">
        <f>IF($A800="","",VLOOKUP($H800,APOIO!$L:$M,2,FALSE))</f>
        <v/>
      </c>
      <c r="J800" s="31"/>
      <c r="K800" s="32" t="str">
        <f>IF($A800="","",VLOOKUP($J800,APOIO!$H:$J,2,FALSE))</f>
        <v/>
      </c>
      <c r="L800" s="32" t="str">
        <f>IF($A800="","",VLOOKUP($J800,APOIO!$H:$J,3,FALSE))</f>
        <v/>
      </c>
      <c r="M800" s="31"/>
      <c r="N800" s="34"/>
      <c r="O800" s="32"/>
      <c r="P800" s="32"/>
      <c r="Q800" s="32"/>
      <c r="R800" s="32"/>
      <c r="S800" s="35"/>
      <c r="T800" s="91"/>
      <c r="U800" s="60"/>
      <c r="V800" s="36"/>
      <c r="W800" s="31"/>
      <c r="X800" s="59"/>
      <c r="Y800" s="59" t="str">
        <f>IFERROR(VLOOKUP($A800,APOIO!$A:$A,1,FALSE),"ERRO")</f>
        <v>ERRO</v>
      </c>
      <c r="Z800"/>
    </row>
    <row r="801" spans="1:26" ht="15" x14ac:dyDescent="0.25">
      <c r="A801" s="94"/>
      <c r="B801" s="32" t="str">
        <f>IF($A801="","",VLOOKUP($A801,APOIO!$A:$E,2,FALSE))</f>
        <v/>
      </c>
      <c r="C801" s="94"/>
      <c r="D801" s="32" t="str">
        <f>IF($A801="","",INDEX(APOIO!$D:$D,MATCH(CONCATENATE($A801,"_",$B801,"_",$C801),APOIO!$F:$F,0)))</f>
        <v/>
      </c>
      <c r="E801" s="31"/>
      <c r="F801" s="31"/>
      <c r="G801" s="33"/>
      <c r="H801" s="105"/>
      <c r="I801" s="32" t="str">
        <f>IF($A801="","",VLOOKUP($H801,APOIO!$L:$M,2,FALSE))</f>
        <v/>
      </c>
      <c r="J801" s="31"/>
      <c r="K801" s="32" t="str">
        <f>IF($A801="","",VLOOKUP($J801,APOIO!$H:$J,2,FALSE))</f>
        <v/>
      </c>
      <c r="L801" s="32" t="str">
        <f>IF($A801="","",VLOOKUP($J801,APOIO!$H:$J,3,FALSE))</f>
        <v/>
      </c>
      <c r="M801" s="31"/>
      <c r="N801" s="34"/>
      <c r="O801" s="32"/>
      <c r="P801" s="32"/>
      <c r="Q801" s="32"/>
      <c r="R801" s="32"/>
      <c r="S801" s="35"/>
      <c r="T801" s="91"/>
      <c r="U801" s="60"/>
      <c r="V801" s="36"/>
      <c r="W801" s="31"/>
      <c r="X801" s="59"/>
      <c r="Y801" s="59" t="str">
        <f>IFERROR(VLOOKUP($A801,APOIO!$A:$A,1,FALSE),"ERRO")</f>
        <v>ERRO</v>
      </c>
      <c r="Z801"/>
    </row>
    <row r="802" spans="1:26" ht="15" x14ac:dyDescent="0.25">
      <c r="A802" s="94"/>
      <c r="B802" s="32" t="str">
        <f>IF($A802="","",VLOOKUP($A802,APOIO!$A:$E,2,FALSE))</f>
        <v/>
      </c>
      <c r="C802" s="94"/>
      <c r="D802" s="32" t="str">
        <f>IF($A802="","",INDEX(APOIO!$D:$D,MATCH(CONCATENATE($A802,"_",$B802,"_",$C802),APOIO!$F:$F,0)))</f>
        <v/>
      </c>
      <c r="E802" s="31"/>
      <c r="F802" s="31"/>
      <c r="G802" s="33"/>
      <c r="H802" s="105"/>
      <c r="I802" s="32" t="str">
        <f>IF($A802="","",VLOOKUP($H802,APOIO!$L:$M,2,FALSE))</f>
        <v/>
      </c>
      <c r="J802" s="31"/>
      <c r="K802" s="32" t="str">
        <f>IF($A802="","",VLOOKUP($J802,APOIO!$H:$J,2,FALSE))</f>
        <v/>
      </c>
      <c r="L802" s="32" t="str">
        <f>IF($A802="","",VLOOKUP($J802,APOIO!$H:$J,3,FALSE))</f>
        <v/>
      </c>
      <c r="M802" s="31"/>
      <c r="N802" s="34"/>
      <c r="O802" s="32"/>
      <c r="P802" s="32"/>
      <c r="Q802" s="32"/>
      <c r="R802" s="32"/>
      <c r="S802" s="35"/>
      <c r="T802" s="91"/>
      <c r="U802" s="60"/>
      <c r="V802" s="36"/>
      <c r="W802" s="31"/>
      <c r="X802" s="59"/>
      <c r="Y802" s="59" t="str">
        <f>IFERROR(VLOOKUP($A802,APOIO!$A:$A,1,FALSE),"ERRO")</f>
        <v>ERRO</v>
      </c>
      <c r="Z802"/>
    </row>
    <row r="803" spans="1:26" ht="15" x14ac:dyDescent="0.25">
      <c r="A803" s="94"/>
      <c r="B803" s="32" t="str">
        <f>IF($A803="","",VLOOKUP($A803,APOIO!$A:$E,2,FALSE))</f>
        <v/>
      </c>
      <c r="C803" s="94"/>
      <c r="D803" s="32" t="str">
        <f>IF($A803="","",INDEX(APOIO!$D:$D,MATCH(CONCATENATE($A803,"_",$B803,"_",$C803),APOIO!$F:$F,0)))</f>
        <v/>
      </c>
      <c r="E803" s="31"/>
      <c r="F803" s="31"/>
      <c r="G803" s="33"/>
      <c r="H803" s="105"/>
      <c r="I803" s="32" t="str">
        <f>IF($A803="","",VLOOKUP($H803,APOIO!$L:$M,2,FALSE))</f>
        <v/>
      </c>
      <c r="J803" s="31"/>
      <c r="K803" s="32" t="str">
        <f>IF($A803="","",VLOOKUP($J803,APOIO!$H:$J,2,FALSE))</f>
        <v/>
      </c>
      <c r="L803" s="32" t="str">
        <f>IF($A803="","",VLOOKUP($J803,APOIO!$H:$J,3,FALSE))</f>
        <v/>
      </c>
      <c r="M803" s="31"/>
      <c r="N803" s="34"/>
      <c r="O803" s="32"/>
      <c r="P803" s="32"/>
      <c r="Q803" s="32"/>
      <c r="R803" s="32"/>
      <c r="S803" s="35"/>
      <c r="T803" s="91"/>
      <c r="U803" s="60"/>
      <c r="V803" s="36"/>
      <c r="W803" s="31"/>
      <c r="X803" s="59"/>
      <c r="Y803" s="59" t="str">
        <f>IFERROR(VLOOKUP($A803,APOIO!$A:$A,1,FALSE),"ERRO")</f>
        <v>ERRO</v>
      </c>
      <c r="Z803"/>
    </row>
    <row r="804" spans="1:26" ht="15" x14ac:dyDescent="0.25">
      <c r="A804" s="94"/>
      <c r="B804" s="32" t="str">
        <f>IF($A804="","",VLOOKUP($A804,APOIO!$A:$E,2,FALSE))</f>
        <v/>
      </c>
      <c r="C804" s="94"/>
      <c r="D804" s="32" t="str">
        <f>IF($A804="","",INDEX(APOIO!$D:$D,MATCH(CONCATENATE($A804,"_",$B804,"_",$C804),APOIO!$F:$F,0)))</f>
        <v/>
      </c>
      <c r="E804" s="31"/>
      <c r="F804" s="31"/>
      <c r="G804" s="33"/>
      <c r="H804" s="105"/>
      <c r="I804" s="32" t="str">
        <f>IF($A804="","",VLOOKUP($H804,APOIO!$L:$M,2,FALSE))</f>
        <v/>
      </c>
      <c r="J804" s="31"/>
      <c r="K804" s="32" t="str">
        <f>IF($A804="","",VLOOKUP($J804,APOIO!$H:$J,2,FALSE))</f>
        <v/>
      </c>
      <c r="L804" s="32" t="str">
        <f>IF($A804="","",VLOOKUP($J804,APOIO!$H:$J,3,FALSE))</f>
        <v/>
      </c>
      <c r="M804" s="31"/>
      <c r="N804" s="34"/>
      <c r="O804" s="32"/>
      <c r="P804" s="32"/>
      <c r="Q804" s="32"/>
      <c r="R804" s="32"/>
      <c r="S804" s="35"/>
      <c r="T804" s="91"/>
      <c r="U804" s="60"/>
      <c r="V804" s="36"/>
      <c r="W804" s="31"/>
      <c r="X804" s="59"/>
      <c r="Y804" s="59" t="str">
        <f>IFERROR(VLOOKUP($A804,APOIO!$A:$A,1,FALSE),"ERRO")</f>
        <v>ERRO</v>
      </c>
      <c r="Z804"/>
    </row>
    <row r="805" spans="1:26" ht="15" x14ac:dyDescent="0.25">
      <c r="A805" s="94"/>
      <c r="B805" s="32" t="str">
        <f>IF($A805="","",VLOOKUP($A805,APOIO!$A:$E,2,FALSE))</f>
        <v/>
      </c>
      <c r="C805" s="94"/>
      <c r="D805" s="32" t="str">
        <f>IF($A805="","",INDEX(APOIO!$D:$D,MATCH(CONCATENATE($A805,"_",$B805,"_",$C805),APOIO!$F:$F,0)))</f>
        <v/>
      </c>
      <c r="E805" s="31"/>
      <c r="F805" s="31"/>
      <c r="G805" s="33"/>
      <c r="H805" s="105"/>
      <c r="I805" s="32" t="str">
        <f>IF($A805="","",VLOOKUP($H805,APOIO!$L:$M,2,FALSE))</f>
        <v/>
      </c>
      <c r="J805" s="31"/>
      <c r="K805" s="32" t="str">
        <f>IF($A805="","",VLOOKUP($J805,APOIO!$H:$J,2,FALSE))</f>
        <v/>
      </c>
      <c r="L805" s="32" t="str">
        <f>IF($A805="","",VLOOKUP($J805,APOIO!$H:$J,3,FALSE))</f>
        <v/>
      </c>
      <c r="M805" s="31"/>
      <c r="N805" s="34"/>
      <c r="O805" s="32"/>
      <c r="P805" s="32"/>
      <c r="Q805" s="32"/>
      <c r="R805" s="32"/>
      <c r="S805" s="35"/>
      <c r="T805" s="91"/>
      <c r="U805" s="60"/>
      <c r="V805" s="36"/>
      <c r="W805" s="31"/>
      <c r="X805" s="59"/>
      <c r="Y805" s="59" t="str">
        <f>IFERROR(VLOOKUP($A805,APOIO!$A:$A,1,FALSE),"ERRO")</f>
        <v>ERRO</v>
      </c>
      <c r="Z805"/>
    </row>
    <row r="806" spans="1:26" ht="15" x14ac:dyDescent="0.25">
      <c r="A806" s="94"/>
      <c r="B806" s="32" t="str">
        <f>IF($A806="","",VLOOKUP($A806,APOIO!$A:$E,2,FALSE))</f>
        <v/>
      </c>
      <c r="C806" s="94"/>
      <c r="D806" s="32" t="str">
        <f>IF($A806="","",INDEX(APOIO!$D:$D,MATCH(CONCATENATE($A806,"_",$B806,"_",$C806),APOIO!$F:$F,0)))</f>
        <v/>
      </c>
      <c r="E806" s="31"/>
      <c r="F806" s="31"/>
      <c r="G806" s="33"/>
      <c r="H806" s="105"/>
      <c r="I806" s="32" t="str">
        <f>IF($A806="","",VLOOKUP($H806,APOIO!$L:$M,2,FALSE))</f>
        <v/>
      </c>
      <c r="J806" s="31"/>
      <c r="K806" s="32" t="str">
        <f>IF($A806="","",VLOOKUP($J806,APOIO!$H:$J,2,FALSE))</f>
        <v/>
      </c>
      <c r="L806" s="32" t="str">
        <f>IF($A806="","",VLOOKUP($J806,APOIO!$H:$J,3,FALSE))</f>
        <v/>
      </c>
      <c r="M806" s="31"/>
      <c r="N806" s="34"/>
      <c r="O806" s="32"/>
      <c r="P806" s="32"/>
      <c r="Q806" s="32"/>
      <c r="R806" s="32"/>
      <c r="S806" s="35"/>
      <c r="T806" s="91"/>
      <c r="U806" s="60"/>
      <c r="V806" s="36"/>
      <c r="W806" s="31"/>
      <c r="X806" s="59"/>
      <c r="Y806" s="59" t="str">
        <f>IFERROR(VLOOKUP($A806,APOIO!$A:$A,1,FALSE),"ERRO")</f>
        <v>ERRO</v>
      </c>
      <c r="Z806"/>
    </row>
    <row r="807" spans="1:26" ht="15" x14ac:dyDescent="0.25">
      <c r="A807" s="94"/>
      <c r="B807" s="32" t="str">
        <f>IF($A807="","",VLOOKUP($A807,APOIO!$A:$E,2,FALSE))</f>
        <v/>
      </c>
      <c r="C807" s="94"/>
      <c r="D807" s="32" t="str">
        <f>IF($A807="","",INDEX(APOIO!$D:$D,MATCH(CONCATENATE($A807,"_",$B807,"_",$C807),APOIO!$F:$F,0)))</f>
        <v/>
      </c>
      <c r="E807" s="31"/>
      <c r="F807" s="31"/>
      <c r="G807" s="33"/>
      <c r="H807" s="105"/>
      <c r="I807" s="32" t="str">
        <f>IF($A807="","",VLOOKUP($H807,APOIO!$L:$M,2,FALSE))</f>
        <v/>
      </c>
      <c r="J807" s="31"/>
      <c r="K807" s="32" t="str">
        <f>IF($A807="","",VLOOKUP($J807,APOIO!$H:$J,2,FALSE))</f>
        <v/>
      </c>
      <c r="L807" s="32" t="str">
        <f>IF($A807="","",VLOOKUP($J807,APOIO!$H:$J,3,FALSE))</f>
        <v/>
      </c>
      <c r="M807" s="31"/>
      <c r="N807" s="34"/>
      <c r="O807" s="32"/>
      <c r="P807" s="32"/>
      <c r="Q807" s="32"/>
      <c r="R807" s="32"/>
      <c r="S807" s="35"/>
      <c r="T807" s="91"/>
      <c r="U807" s="60"/>
      <c r="V807" s="36"/>
      <c r="W807" s="31"/>
      <c r="X807" s="59"/>
      <c r="Y807" s="59" t="str">
        <f>IFERROR(VLOOKUP($A807,APOIO!$A:$A,1,FALSE),"ERRO")</f>
        <v>ERRO</v>
      </c>
      <c r="Z807"/>
    </row>
    <row r="808" spans="1:26" ht="15" x14ac:dyDescent="0.25">
      <c r="A808" s="94"/>
      <c r="B808" s="32" t="str">
        <f>IF($A808="","",VLOOKUP($A808,APOIO!$A:$E,2,FALSE))</f>
        <v/>
      </c>
      <c r="C808" s="94"/>
      <c r="D808" s="32" t="str">
        <f>IF($A808="","",INDEX(APOIO!$D:$D,MATCH(CONCATENATE($A808,"_",$B808,"_",$C808),APOIO!$F:$F,0)))</f>
        <v/>
      </c>
      <c r="E808" s="31"/>
      <c r="F808" s="31"/>
      <c r="G808" s="33"/>
      <c r="H808" s="105"/>
      <c r="I808" s="32" t="str">
        <f>IF($A808="","",VLOOKUP($H808,APOIO!$L:$M,2,FALSE))</f>
        <v/>
      </c>
      <c r="J808" s="31"/>
      <c r="K808" s="32" t="str">
        <f>IF($A808="","",VLOOKUP($J808,APOIO!$H:$J,2,FALSE))</f>
        <v/>
      </c>
      <c r="L808" s="32" t="str">
        <f>IF($A808="","",VLOOKUP($J808,APOIO!$H:$J,3,FALSE))</f>
        <v/>
      </c>
      <c r="M808" s="31"/>
      <c r="N808" s="34"/>
      <c r="O808" s="32"/>
      <c r="P808" s="32"/>
      <c r="Q808" s="32"/>
      <c r="R808" s="32"/>
      <c r="S808" s="35"/>
      <c r="T808" s="91"/>
      <c r="U808" s="60"/>
      <c r="V808" s="36"/>
      <c r="W808" s="31"/>
      <c r="X808" s="59"/>
      <c r="Y808" s="59" t="str">
        <f>IFERROR(VLOOKUP($A808,APOIO!$A:$A,1,FALSE),"ERRO")</f>
        <v>ERRO</v>
      </c>
      <c r="Z808"/>
    </row>
    <row r="809" spans="1:26" ht="15" x14ac:dyDescent="0.25">
      <c r="A809" s="94"/>
      <c r="B809" s="32" t="str">
        <f>IF($A809="","",VLOOKUP($A809,APOIO!$A:$E,2,FALSE))</f>
        <v/>
      </c>
      <c r="C809" s="94"/>
      <c r="D809" s="32" t="str">
        <f>IF($A809="","",INDEX(APOIO!$D:$D,MATCH(CONCATENATE($A809,"_",$B809,"_",$C809),APOIO!$F:$F,0)))</f>
        <v/>
      </c>
      <c r="E809" s="31"/>
      <c r="F809" s="31"/>
      <c r="G809" s="33"/>
      <c r="H809" s="105"/>
      <c r="I809" s="32" t="str">
        <f>IF($A809="","",VLOOKUP($H809,APOIO!$L:$M,2,FALSE))</f>
        <v/>
      </c>
      <c r="J809" s="31"/>
      <c r="K809" s="32" t="str">
        <f>IF($A809="","",VLOOKUP($J809,APOIO!$H:$J,2,FALSE))</f>
        <v/>
      </c>
      <c r="L809" s="32" t="str">
        <f>IF($A809="","",VLOOKUP($J809,APOIO!$H:$J,3,FALSE))</f>
        <v/>
      </c>
      <c r="M809" s="31"/>
      <c r="N809" s="34"/>
      <c r="O809" s="32"/>
      <c r="P809" s="32"/>
      <c r="Q809" s="32"/>
      <c r="R809" s="32"/>
      <c r="S809" s="35"/>
      <c r="T809" s="91"/>
      <c r="U809" s="60"/>
      <c r="V809" s="36"/>
      <c r="W809" s="31"/>
      <c r="X809" s="59"/>
      <c r="Y809" s="59" t="str">
        <f>IFERROR(VLOOKUP($A809,APOIO!$A:$A,1,FALSE),"ERRO")</f>
        <v>ERRO</v>
      </c>
      <c r="Z809"/>
    </row>
    <row r="810" spans="1:26" ht="15" x14ac:dyDescent="0.25">
      <c r="A810" s="94"/>
      <c r="B810" s="32" t="str">
        <f>IF($A810="","",VLOOKUP($A810,APOIO!$A:$E,2,FALSE))</f>
        <v/>
      </c>
      <c r="C810" s="94"/>
      <c r="D810" s="32" t="str">
        <f>IF($A810="","",INDEX(APOIO!$D:$D,MATCH(CONCATENATE($A810,"_",$B810,"_",$C810),APOIO!$F:$F,0)))</f>
        <v/>
      </c>
      <c r="E810" s="31"/>
      <c r="F810" s="31"/>
      <c r="G810" s="33"/>
      <c r="H810" s="105"/>
      <c r="I810" s="32" t="str">
        <f>IF($A810="","",VLOOKUP($H810,APOIO!$L:$M,2,FALSE))</f>
        <v/>
      </c>
      <c r="J810" s="31"/>
      <c r="K810" s="32" t="str">
        <f>IF($A810="","",VLOOKUP($J810,APOIO!$H:$J,2,FALSE))</f>
        <v/>
      </c>
      <c r="L810" s="32" t="str">
        <f>IF($A810="","",VLOOKUP($J810,APOIO!$H:$J,3,FALSE))</f>
        <v/>
      </c>
      <c r="M810" s="31"/>
      <c r="N810" s="34"/>
      <c r="O810" s="32"/>
      <c r="P810" s="32"/>
      <c r="Q810" s="32"/>
      <c r="R810" s="32"/>
      <c r="S810" s="35"/>
      <c r="T810" s="91"/>
      <c r="U810" s="60"/>
      <c r="V810" s="36"/>
      <c r="W810" s="31"/>
      <c r="X810" s="59"/>
      <c r="Y810" s="59" t="str">
        <f>IFERROR(VLOOKUP($A810,APOIO!$A:$A,1,FALSE),"ERRO")</f>
        <v>ERRO</v>
      </c>
      <c r="Z810"/>
    </row>
    <row r="811" spans="1:26" ht="15" x14ac:dyDescent="0.25">
      <c r="A811" s="94"/>
      <c r="B811" s="32" t="str">
        <f>IF($A811="","",VLOOKUP($A811,APOIO!$A:$E,2,FALSE))</f>
        <v/>
      </c>
      <c r="C811" s="94"/>
      <c r="D811" s="32" t="str">
        <f>IF($A811="","",INDEX(APOIO!$D:$D,MATCH(CONCATENATE($A811,"_",$B811,"_",$C811),APOIO!$F:$F,0)))</f>
        <v/>
      </c>
      <c r="E811" s="31"/>
      <c r="F811" s="31"/>
      <c r="G811" s="33"/>
      <c r="H811" s="105"/>
      <c r="I811" s="32" t="str">
        <f>IF($A811="","",VLOOKUP($H811,APOIO!$L:$M,2,FALSE))</f>
        <v/>
      </c>
      <c r="J811" s="31"/>
      <c r="K811" s="32" t="str">
        <f>IF($A811="","",VLOOKUP($J811,APOIO!$H:$J,2,FALSE))</f>
        <v/>
      </c>
      <c r="L811" s="32" t="str">
        <f>IF($A811="","",VLOOKUP($J811,APOIO!$H:$J,3,FALSE))</f>
        <v/>
      </c>
      <c r="M811" s="31"/>
      <c r="N811" s="34"/>
      <c r="O811" s="32"/>
      <c r="P811" s="32"/>
      <c r="Q811" s="32"/>
      <c r="R811" s="32"/>
      <c r="S811" s="35"/>
      <c r="T811" s="91"/>
      <c r="U811" s="60"/>
      <c r="V811" s="36"/>
      <c r="W811" s="31"/>
      <c r="X811" s="59"/>
      <c r="Y811" s="59" t="str">
        <f>IFERROR(VLOOKUP($A811,APOIO!$A:$A,1,FALSE),"ERRO")</f>
        <v>ERRO</v>
      </c>
      <c r="Z811"/>
    </row>
    <row r="812" spans="1:26" ht="15" x14ac:dyDescent="0.25">
      <c r="A812" s="94"/>
      <c r="B812" s="32" t="str">
        <f>IF($A812="","",VLOOKUP($A812,APOIO!$A:$E,2,FALSE))</f>
        <v/>
      </c>
      <c r="C812" s="94"/>
      <c r="D812" s="32" t="str">
        <f>IF($A812="","",INDEX(APOIO!$D:$D,MATCH(CONCATENATE($A812,"_",$B812,"_",$C812),APOIO!$F:$F,0)))</f>
        <v/>
      </c>
      <c r="E812" s="31"/>
      <c r="F812" s="31"/>
      <c r="G812" s="33"/>
      <c r="H812" s="105"/>
      <c r="I812" s="32" t="str">
        <f>IF($A812="","",VLOOKUP($H812,APOIO!$L:$M,2,FALSE))</f>
        <v/>
      </c>
      <c r="J812" s="31"/>
      <c r="K812" s="32" t="str">
        <f>IF($A812="","",VLOOKUP($J812,APOIO!$H:$J,2,FALSE))</f>
        <v/>
      </c>
      <c r="L812" s="32" t="str">
        <f>IF($A812="","",VLOOKUP($J812,APOIO!$H:$J,3,FALSE))</f>
        <v/>
      </c>
      <c r="M812" s="31"/>
      <c r="N812" s="34"/>
      <c r="O812" s="32"/>
      <c r="P812" s="32"/>
      <c r="Q812" s="32"/>
      <c r="R812" s="32"/>
      <c r="S812" s="35"/>
      <c r="T812" s="91"/>
      <c r="U812" s="60"/>
      <c r="V812" s="36"/>
      <c r="W812" s="31"/>
      <c r="X812" s="59"/>
      <c r="Y812" s="59" t="str">
        <f>IFERROR(VLOOKUP($A812,APOIO!$A:$A,1,FALSE),"ERRO")</f>
        <v>ERRO</v>
      </c>
      <c r="Z812"/>
    </row>
    <row r="813" spans="1:26" ht="15" x14ac:dyDescent="0.25">
      <c r="A813" s="94"/>
      <c r="B813" s="32" t="str">
        <f>IF($A813="","",VLOOKUP($A813,APOIO!$A:$E,2,FALSE))</f>
        <v/>
      </c>
      <c r="C813" s="94"/>
      <c r="D813" s="32" t="str">
        <f>IF($A813="","",INDEX(APOIO!$D:$D,MATCH(CONCATENATE($A813,"_",$B813,"_",$C813),APOIO!$F:$F,0)))</f>
        <v/>
      </c>
      <c r="E813" s="31"/>
      <c r="F813" s="31"/>
      <c r="G813" s="33"/>
      <c r="H813" s="105"/>
      <c r="I813" s="32" t="str">
        <f>IF($A813="","",VLOOKUP($H813,APOIO!$L:$M,2,FALSE))</f>
        <v/>
      </c>
      <c r="J813" s="31"/>
      <c r="K813" s="32" t="str">
        <f>IF($A813="","",VLOOKUP($J813,APOIO!$H:$J,2,FALSE))</f>
        <v/>
      </c>
      <c r="L813" s="32" t="str">
        <f>IF($A813="","",VLOOKUP($J813,APOIO!$H:$J,3,FALSE))</f>
        <v/>
      </c>
      <c r="M813" s="31"/>
      <c r="N813" s="34"/>
      <c r="O813" s="32"/>
      <c r="P813" s="32"/>
      <c r="Q813" s="32"/>
      <c r="R813" s="32"/>
      <c r="S813" s="35"/>
      <c r="T813" s="91"/>
      <c r="U813" s="60"/>
      <c r="V813" s="36"/>
      <c r="W813" s="31"/>
      <c r="X813" s="59"/>
      <c r="Y813" s="59" t="str">
        <f>IFERROR(VLOOKUP($A813,APOIO!$A:$A,1,FALSE),"ERRO")</f>
        <v>ERRO</v>
      </c>
      <c r="Z813"/>
    </row>
    <row r="814" spans="1:26" ht="15" x14ac:dyDescent="0.25">
      <c r="A814" s="94"/>
      <c r="B814" s="32" t="str">
        <f>IF($A814="","",VLOOKUP($A814,APOIO!$A:$E,2,FALSE))</f>
        <v/>
      </c>
      <c r="C814" s="94"/>
      <c r="D814" s="32" t="str">
        <f>IF($A814="","",INDEX(APOIO!$D:$D,MATCH(CONCATENATE($A814,"_",$B814,"_",$C814),APOIO!$F:$F,0)))</f>
        <v/>
      </c>
      <c r="E814" s="31"/>
      <c r="F814" s="31"/>
      <c r="G814" s="33"/>
      <c r="H814" s="105"/>
      <c r="I814" s="32" t="str">
        <f>IF($A814="","",VLOOKUP($H814,APOIO!$L:$M,2,FALSE))</f>
        <v/>
      </c>
      <c r="J814" s="31"/>
      <c r="K814" s="32" t="str">
        <f>IF($A814="","",VLOOKUP($J814,APOIO!$H:$J,2,FALSE))</f>
        <v/>
      </c>
      <c r="L814" s="32" t="str">
        <f>IF($A814="","",VLOOKUP($J814,APOIO!$H:$J,3,FALSE))</f>
        <v/>
      </c>
      <c r="M814" s="31"/>
      <c r="N814" s="34"/>
      <c r="O814" s="32"/>
      <c r="P814" s="32"/>
      <c r="Q814" s="32"/>
      <c r="R814" s="32"/>
      <c r="S814" s="35"/>
      <c r="T814" s="91"/>
      <c r="U814" s="60"/>
      <c r="V814" s="36"/>
      <c r="W814" s="31"/>
      <c r="X814" s="59"/>
      <c r="Y814" s="59" t="str">
        <f>IFERROR(VLOOKUP($A814,APOIO!$A:$A,1,FALSE),"ERRO")</f>
        <v>ERRO</v>
      </c>
      <c r="Z814"/>
    </row>
    <row r="815" spans="1:26" ht="15" x14ac:dyDescent="0.25">
      <c r="A815" s="94"/>
      <c r="B815" s="32" t="str">
        <f>IF($A815="","",VLOOKUP($A815,APOIO!$A:$E,2,FALSE))</f>
        <v/>
      </c>
      <c r="C815" s="94"/>
      <c r="D815" s="32" t="str">
        <f>IF($A815="","",INDEX(APOIO!$D:$D,MATCH(CONCATENATE($A815,"_",$B815,"_",$C815),APOIO!$F:$F,0)))</f>
        <v/>
      </c>
      <c r="E815" s="31"/>
      <c r="F815" s="31"/>
      <c r="G815" s="33"/>
      <c r="H815" s="105"/>
      <c r="I815" s="32" t="str">
        <f>IF($A815="","",VLOOKUP($H815,APOIO!$L:$M,2,FALSE))</f>
        <v/>
      </c>
      <c r="J815" s="31"/>
      <c r="K815" s="32" t="str">
        <f>IF($A815="","",VLOOKUP($J815,APOIO!$H:$J,2,FALSE))</f>
        <v/>
      </c>
      <c r="L815" s="32" t="str">
        <f>IF($A815="","",VLOOKUP($J815,APOIO!$H:$J,3,FALSE))</f>
        <v/>
      </c>
      <c r="M815" s="31"/>
      <c r="N815" s="34"/>
      <c r="O815" s="32"/>
      <c r="P815" s="32"/>
      <c r="Q815" s="32"/>
      <c r="R815" s="32"/>
      <c r="S815" s="35"/>
      <c r="T815" s="91"/>
      <c r="U815" s="60"/>
      <c r="V815" s="36"/>
      <c r="W815" s="31"/>
      <c r="X815" s="59"/>
      <c r="Y815" s="59" t="str">
        <f>IFERROR(VLOOKUP($A815,APOIO!$A:$A,1,FALSE),"ERRO")</f>
        <v>ERRO</v>
      </c>
      <c r="Z815"/>
    </row>
    <row r="816" spans="1:26" ht="15" x14ac:dyDescent="0.25">
      <c r="A816" s="94"/>
      <c r="B816" s="32" t="str">
        <f>IF($A816="","",VLOOKUP($A816,APOIO!$A:$E,2,FALSE))</f>
        <v/>
      </c>
      <c r="C816" s="94"/>
      <c r="D816" s="32" t="str">
        <f>IF($A816="","",INDEX(APOIO!$D:$D,MATCH(CONCATENATE($A816,"_",$B816,"_",$C816),APOIO!$F:$F,0)))</f>
        <v/>
      </c>
      <c r="E816" s="31"/>
      <c r="F816" s="31"/>
      <c r="G816" s="33"/>
      <c r="H816" s="105"/>
      <c r="I816" s="32" t="str">
        <f>IF($A816="","",VLOOKUP($H816,APOIO!$L:$M,2,FALSE))</f>
        <v/>
      </c>
      <c r="J816" s="31"/>
      <c r="K816" s="32" t="str">
        <f>IF($A816="","",VLOOKUP($J816,APOIO!$H:$J,2,FALSE))</f>
        <v/>
      </c>
      <c r="L816" s="32" t="str">
        <f>IF($A816="","",VLOOKUP($J816,APOIO!$H:$J,3,FALSE))</f>
        <v/>
      </c>
      <c r="M816" s="31"/>
      <c r="N816" s="34"/>
      <c r="O816" s="32"/>
      <c r="P816" s="32"/>
      <c r="Q816" s="32"/>
      <c r="R816" s="32"/>
      <c r="S816" s="35"/>
      <c r="T816" s="91"/>
      <c r="U816" s="60"/>
      <c r="V816" s="36"/>
      <c r="W816" s="31"/>
      <c r="X816" s="59"/>
      <c r="Y816" s="59" t="str">
        <f>IFERROR(VLOOKUP($A816,APOIO!$A:$A,1,FALSE),"ERRO")</f>
        <v>ERRO</v>
      </c>
      <c r="Z816"/>
    </row>
    <row r="817" spans="1:26" ht="15" x14ac:dyDescent="0.25">
      <c r="A817" s="94"/>
      <c r="B817" s="32" t="str">
        <f>IF($A817="","",VLOOKUP($A817,APOIO!$A:$E,2,FALSE))</f>
        <v/>
      </c>
      <c r="C817" s="94"/>
      <c r="D817" s="32" t="str">
        <f>IF($A817="","",INDEX(APOIO!$D:$D,MATCH(CONCATENATE($A817,"_",$B817,"_",$C817),APOIO!$F:$F,0)))</f>
        <v/>
      </c>
      <c r="E817" s="31"/>
      <c r="F817" s="31"/>
      <c r="G817" s="33"/>
      <c r="H817" s="105"/>
      <c r="I817" s="32" t="str">
        <f>IF($A817="","",VLOOKUP($H817,APOIO!$L:$M,2,FALSE))</f>
        <v/>
      </c>
      <c r="J817" s="31"/>
      <c r="K817" s="32" t="str">
        <f>IF($A817="","",VLOOKUP($J817,APOIO!$H:$J,2,FALSE))</f>
        <v/>
      </c>
      <c r="L817" s="32" t="str">
        <f>IF($A817="","",VLOOKUP($J817,APOIO!$H:$J,3,FALSE))</f>
        <v/>
      </c>
      <c r="M817" s="31"/>
      <c r="N817" s="34"/>
      <c r="O817" s="32"/>
      <c r="P817" s="32"/>
      <c r="Q817" s="32"/>
      <c r="R817" s="32"/>
      <c r="S817" s="35"/>
      <c r="T817" s="91"/>
      <c r="U817" s="60"/>
      <c r="V817" s="36"/>
      <c r="W817" s="31"/>
      <c r="X817" s="59"/>
      <c r="Y817" s="59" t="str">
        <f>IFERROR(VLOOKUP($A817,APOIO!$A:$A,1,FALSE),"ERRO")</f>
        <v>ERRO</v>
      </c>
      <c r="Z817"/>
    </row>
    <row r="818" spans="1:26" ht="15" x14ac:dyDescent="0.25">
      <c r="A818" s="94"/>
      <c r="B818" s="32" t="str">
        <f>IF($A818="","",VLOOKUP($A818,APOIO!$A:$E,2,FALSE))</f>
        <v/>
      </c>
      <c r="C818" s="94"/>
      <c r="D818" s="32" t="str">
        <f>IF($A818="","",INDEX(APOIO!$D:$D,MATCH(CONCATENATE($A818,"_",$B818,"_",$C818),APOIO!$F:$F,0)))</f>
        <v/>
      </c>
      <c r="E818" s="31"/>
      <c r="F818" s="31"/>
      <c r="G818" s="33"/>
      <c r="H818" s="105"/>
      <c r="I818" s="32" t="str">
        <f>IF($A818="","",VLOOKUP($H818,APOIO!$L:$M,2,FALSE))</f>
        <v/>
      </c>
      <c r="J818" s="31"/>
      <c r="K818" s="32" t="str">
        <f>IF($A818="","",VLOOKUP($J818,APOIO!$H:$J,2,FALSE))</f>
        <v/>
      </c>
      <c r="L818" s="32" t="str">
        <f>IF($A818="","",VLOOKUP($J818,APOIO!$H:$J,3,FALSE))</f>
        <v/>
      </c>
      <c r="M818" s="31"/>
      <c r="N818" s="34"/>
      <c r="O818" s="32"/>
      <c r="P818" s="32"/>
      <c r="Q818" s="32"/>
      <c r="R818" s="32"/>
      <c r="S818" s="35"/>
      <c r="T818" s="91"/>
      <c r="U818" s="60"/>
      <c r="V818" s="36"/>
      <c r="W818" s="31"/>
      <c r="X818" s="59"/>
      <c r="Y818" s="59" t="str">
        <f>IFERROR(VLOOKUP($A818,APOIO!$A:$A,1,FALSE),"ERRO")</f>
        <v>ERRO</v>
      </c>
      <c r="Z818"/>
    </row>
    <row r="819" spans="1:26" ht="15" x14ac:dyDescent="0.25">
      <c r="A819" s="94"/>
      <c r="B819" s="32" t="str">
        <f>IF($A819="","",VLOOKUP($A819,APOIO!$A:$E,2,FALSE))</f>
        <v/>
      </c>
      <c r="C819" s="94"/>
      <c r="D819" s="32" t="str">
        <f>IF($A819="","",INDEX(APOIO!$D:$D,MATCH(CONCATENATE($A819,"_",$B819,"_",$C819),APOIO!$F:$F,0)))</f>
        <v/>
      </c>
      <c r="E819" s="31"/>
      <c r="F819" s="31"/>
      <c r="G819" s="33"/>
      <c r="H819" s="105"/>
      <c r="I819" s="32" t="str">
        <f>IF($A819="","",VLOOKUP($H819,APOIO!$L:$M,2,FALSE))</f>
        <v/>
      </c>
      <c r="J819" s="31"/>
      <c r="K819" s="32" t="str">
        <f>IF($A819="","",VLOOKUP($J819,APOIO!$H:$J,2,FALSE))</f>
        <v/>
      </c>
      <c r="L819" s="32" t="str">
        <f>IF($A819="","",VLOOKUP($J819,APOIO!$H:$J,3,FALSE))</f>
        <v/>
      </c>
      <c r="M819" s="31"/>
      <c r="N819" s="34"/>
      <c r="O819" s="32"/>
      <c r="P819" s="32"/>
      <c r="Q819" s="32"/>
      <c r="R819" s="32"/>
      <c r="S819" s="35"/>
      <c r="T819" s="91"/>
      <c r="U819" s="60"/>
      <c r="V819" s="36"/>
      <c r="W819" s="31"/>
      <c r="X819" s="59"/>
      <c r="Y819" s="59" t="str">
        <f>IFERROR(VLOOKUP($A819,APOIO!$A:$A,1,FALSE),"ERRO")</f>
        <v>ERRO</v>
      </c>
      <c r="Z819"/>
    </row>
    <row r="820" spans="1:26" ht="15" x14ac:dyDescent="0.25">
      <c r="A820" s="94"/>
      <c r="B820" s="32" t="str">
        <f>IF($A820="","",VLOOKUP($A820,APOIO!$A:$E,2,FALSE))</f>
        <v/>
      </c>
      <c r="C820" s="94"/>
      <c r="D820" s="32" t="str">
        <f>IF($A820="","",INDEX(APOIO!$D:$D,MATCH(CONCATENATE($A820,"_",$B820,"_",$C820),APOIO!$F:$F,0)))</f>
        <v/>
      </c>
      <c r="E820" s="31"/>
      <c r="F820" s="31"/>
      <c r="G820" s="33"/>
      <c r="H820" s="105"/>
      <c r="I820" s="32" t="str">
        <f>IF($A820="","",VLOOKUP($H820,APOIO!$L:$M,2,FALSE))</f>
        <v/>
      </c>
      <c r="J820" s="31"/>
      <c r="K820" s="32" t="str">
        <f>IF($A820="","",VLOOKUP($J820,APOIO!$H:$J,2,FALSE))</f>
        <v/>
      </c>
      <c r="L820" s="32" t="str">
        <f>IF($A820="","",VLOOKUP($J820,APOIO!$H:$J,3,FALSE))</f>
        <v/>
      </c>
      <c r="M820" s="31"/>
      <c r="N820" s="34"/>
      <c r="O820" s="32"/>
      <c r="P820" s="32"/>
      <c r="Q820" s="32"/>
      <c r="R820" s="32"/>
      <c r="S820" s="35"/>
      <c r="T820" s="91"/>
      <c r="U820" s="60"/>
      <c r="V820" s="36"/>
      <c r="W820" s="31"/>
      <c r="X820" s="59"/>
      <c r="Y820" s="59" t="str">
        <f>IFERROR(VLOOKUP($A820,APOIO!$A:$A,1,FALSE),"ERRO")</f>
        <v>ERRO</v>
      </c>
      <c r="Z820"/>
    </row>
    <row r="821" spans="1:26" ht="15" x14ac:dyDescent="0.25">
      <c r="A821" s="94"/>
      <c r="B821" s="32" t="str">
        <f>IF($A821="","",VLOOKUP($A821,APOIO!$A:$E,2,FALSE))</f>
        <v/>
      </c>
      <c r="C821" s="94"/>
      <c r="D821" s="32" t="str">
        <f>IF($A821="","",INDEX(APOIO!$D:$D,MATCH(CONCATENATE($A821,"_",$B821,"_",$C821),APOIO!$F:$F,0)))</f>
        <v/>
      </c>
      <c r="E821" s="31"/>
      <c r="F821" s="31"/>
      <c r="G821" s="33"/>
      <c r="H821" s="105"/>
      <c r="I821" s="32" t="str">
        <f>IF($A821="","",VLOOKUP($H821,APOIO!$L:$M,2,FALSE))</f>
        <v/>
      </c>
      <c r="J821" s="31"/>
      <c r="K821" s="32" t="str">
        <f>IF($A821="","",VLOOKUP($J821,APOIO!$H:$J,2,FALSE))</f>
        <v/>
      </c>
      <c r="L821" s="32" t="str">
        <f>IF($A821="","",VLOOKUP($J821,APOIO!$H:$J,3,FALSE))</f>
        <v/>
      </c>
      <c r="M821" s="31"/>
      <c r="N821" s="34"/>
      <c r="O821" s="32"/>
      <c r="P821" s="32"/>
      <c r="Q821" s="32"/>
      <c r="R821" s="32"/>
      <c r="S821" s="35"/>
      <c r="T821" s="91"/>
      <c r="U821" s="60"/>
      <c r="V821" s="36"/>
      <c r="W821" s="31"/>
      <c r="X821" s="59"/>
      <c r="Y821" s="59" t="str">
        <f>IFERROR(VLOOKUP($A821,APOIO!$A:$A,1,FALSE),"ERRO")</f>
        <v>ERRO</v>
      </c>
      <c r="Z821"/>
    </row>
    <row r="822" spans="1:26" ht="15" x14ac:dyDescent="0.25">
      <c r="A822" s="94"/>
      <c r="B822" s="32" t="str">
        <f>IF($A822="","",VLOOKUP($A822,APOIO!$A:$E,2,FALSE))</f>
        <v/>
      </c>
      <c r="C822" s="94"/>
      <c r="D822" s="32" t="str">
        <f>IF($A822="","",INDEX(APOIO!$D:$D,MATCH(CONCATENATE($A822,"_",$B822,"_",$C822),APOIO!$F:$F,0)))</f>
        <v/>
      </c>
      <c r="E822" s="31"/>
      <c r="F822" s="31"/>
      <c r="G822" s="33"/>
      <c r="H822" s="105"/>
      <c r="I822" s="32" t="str">
        <f>IF($A822="","",VLOOKUP($H822,APOIO!$L:$M,2,FALSE))</f>
        <v/>
      </c>
      <c r="J822" s="31"/>
      <c r="K822" s="32" t="str">
        <f>IF($A822="","",VLOOKUP($J822,APOIO!$H:$J,2,FALSE))</f>
        <v/>
      </c>
      <c r="L822" s="32" t="str">
        <f>IF($A822="","",VLOOKUP($J822,APOIO!$H:$J,3,FALSE))</f>
        <v/>
      </c>
      <c r="M822" s="31"/>
      <c r="N822" s="34"/>
      <c r="O822" s="32"/>
      <c r="P822" s="32"/>
      <c r="Q822" s="32"/>
      <c r="R822" s="32"/>
      <c r="S822" s="35"/>
      <c r="T822" s="91"/>
      <c r="U822" s="60"/>
      <c r="V822" s="36"/>
      <c r="W822" s="31"/>
      <c r="X822" s="59"/>
      <c r="Y822" s="59" t="str">
        <f>IFERROR(VLOOKUP($A822,APOIO!$A:$A,1,FALSE),"ERRO")</f>
        <v>ERRO</v>
      </c>
      <c r="Z822"/>
    </row>
    <row r="823" spans="1:26" ht="15" x14ac:dyDescent="0.25">
      <c r="A823" s="94"/>
      <c r="B823" s="32" t="str">
        <f>IF($A823="","",VLOOKUP($A823,APOIO!$A:$E,2,FALSE))</f>
        <v/>
      </c>
      <c r="C823" s="94"/>
      <c r="D823" s="32" t="str">
        <f>IF($A823="","",INDEX(APOIO!$D:$D,MATCH(CONCATENATE($A823,"_",$B823,"_",$C823),APOIO!$F:$F,0)))</f>
        <v/>
      </c>
      <c r="E823" s="31"/>
      <c r="F823" s="31"/>
      <c r="G823" s="33"/>
      <c r="H823" s="105"/>
      <c r="I823" s="32" t="str">
        <f>IF($A823="","",VLOOKUP($H823,APOIO!$L:$M,2,FALSE))</f>
        <v/>
      </c>
      <c r="J823" s="31"/>
      <c r="K823" s="32" t="str">
        <f>IF($A823="","",VLOOKUP($J823,APOIO!$H:$J,2,FALSE))</f>
        <v/>
      </c>
      <c r="L823" s="32" t="str">
        <f>IF($A823="","",VLOOKUP($J823,APOIO!$H:$J,3,FALSE))</f>
        <v/>
      </c>
      <c r="M823" s="31"/>
      <c r="N823" s="34"/>
      <c r="O823" s="32"/>
      <c r="P823" s="32"/>
      <c r="Q823" s="32"/>
      <c r="R823" s="32"/>
      <c r="S823" s="35"/>
      <c r="T823" s="91"/>
      <c r="U823" s="60"/>
      <c r="V823" s="36"/>
      <c r="W823" s="31"/>
      <c r="X823" s="59"/>
      <c r="Y823" s="59" t="str">
        <f>IFERROR(VLOOKUP($A823,APOIO!$A:$A,1,FALSE),"ERRO")</f>
        <v>ERRO</v>
      </c>
      <c r="Z823"/>
    </row>
    <row r="824" spans="1:26" ht="15" x14ac:dyDescent="0.25">
      <c r="A824" s="94"/>
      <c r="B824" s="32" t="str">
        <f>IF($A824="","",VLOOKUP($A824,APOIO!$A:$E,2,FALSE))</f>
        <v/>
      </c>
      <c r="C824" s="94"/>
      <c r="D824" s="32" t="str">
        <f>IF($A824="","",INDEX(APOIO!$D:$D,MATCH(CONCATENATE($A824,"_",$B824,"_",$C824),APOIO!$F:$F,0)))</f>
        <v/>
      </c>
      <c r="E824" s="31"/>
      <c r="F824" s="31"/>
      <c r="G824" s="33"/>
      <c r="H824" s="105"/>
      <c r="I824" s="32" t="str">
        <f>IF($A824="","",VLOOKUP($H824,APOIO!$L:$M,2,FALSE))</f>
        <v/>
      </c>
      <c r="J824" s="31"/>
      <c r="K824" s="32" t="str">
        <f>IF($A824="","",VLOOKUP($J824,APOIO!$H:$J,2,FALSE))</f>
        <v/>
      </c>
      <c r="L824" s="32" t="str">
        <f>IF($A824="","",VLOOKUP($J824,APOIO!$H:$J,3,FALSE))</f>
        <v/>
      </c>
      <c r="M824" s="31"/>
      <c r="N824" s="34"/>
      <c r="O824" s="32"/>
      <c r="P824" s="32"/>
      <c r="Q824" s="32"/>
      <c r="R824" s="32"/>
      <c r="S824" s="35"/>
      <c r="T824" s="91"/>
      <c r="U824" s="60"/>
      <c r="V824" s="36"/>
      <c r="W824" s="31"/>
      <c r="X824" s="59"/>
      <c r="Y824" s="59" t="str">
        <f>IFERROR(VLOOKUP($A824,APOIO!$A:$A,1,FALSE),"ERRO")</f>
        <v>ERRO</v>
      </c>
      <c r="Z824"/>
    </row>
    <row r="825" spans="1:26" ht="15" x14ac:dyDescent="0.25">
      <c r="A825" s="94"/>
      <c r="B825" s="32" t="str">
        <f>IF($A825="","",VLOOKUP($A825,APOIO!$A:$E,2,FALSE))</f>
        <v/>
      </c>
      <c r="C825" s="94"/>
      <c r="D825" s="32" t="str">
        <f>IF($A825="","",INDEX(APOIO!$D:$D,MATCH(CONCATENATE($A825,"_",$B825,"_",$C825),APOIO!$F:$F,0)))</f>
        <v/>
      </c>
      <c r="E825" s="31"/>
      <c r="F825" s="31"/>
      <c r="G825" s="33"/>
      <c r="H825" s="105"/>
      <c r="I825" s="32" t="str">
        <f>IF($A825="","",VLOOKUP($H825,APOIO!$L:$M,2,FALSE))</f>
        <v/>
      </c>
      <c r="J825" s="31"/>
      <c r="K825" s="32" t="str">
        <f>IF($A825="","",VLOOKUP($J825,APOIO!$H:$J,2,FALSE))</f>
        <v/>
      </c>
      <c r="L825" s="32" t="str">
        <f>IF($A825="","",VLOOKUP($J825,APOIO!$H:$J,3,FALSE))</f>
        <v/>
      </c>
      <c r="M825" s="31"/>
      <c r="N825" s="34"/>
      <c r="O825" s="32"/>
      <c r="P825" s="32"/>
      <c r="Q825" s="32"/>
      <c r="R825" s="32"/>
      <c r="S825" s="35"/>
      <c r="T825" s="91"/>
      <c r="U825" s="60"/>
      <c r="V825" s="36"/>
      <c r="W825" s="31"/>
      <c r="X825" s="59"/>
      <c r="Y825" s="59" t="str">
        <f>IFERROR(VLOOKUP($A825,APOIO!$A:$A,1,FALSE),"ERRO")</f>
        <v>ERRO</v>
      </c>
      <c r="Z825"/>
    </row>
    <row r="826" spans="1:26" ht="15" x14ac:dyDescent="0.25">
      <c r="A826" s="94"/>
      <c r="B826" s="32" t="str">
        <f>IF($A826="","",VLOOKUP($A826,APOIO!$A:$E,2,FALSE))</f>
        <v/>
      </c>
      <c r="C826" s="94"/>
      <c r="D826" s="32" t="str">
        <f>IF($A826="","",INDEX(APOIO!$D:$D,MATCH(CONCATENATE($A826,"_",$B826,"_",$C826),APOIO!$F:$F,0)))</f>
        <v/>
      </c>
      <c r="E826" s="31"/>
      <c r="F826" s="31"/>
      <c r="G826" s="33"/>
      <c r="H826" s="105"/>
      <c r="I826" s="32" t="str">
        <f>IF($A826="","",VLOOKUP($H826,APOIO!$L:$M,2,FALSE))</f>
        <v/>
      </c>
      <c r="J826" s="31"/>
      <c r="K826" s="32" t="str">
        <f>IF($A826="","",VLOOKUP($J826,APOIO!$H:$J,2,FALSE))</f>
        <v/>
      </c>
      <c r="L826" s="32" t="str">
        <f>IF($A826="","",VLOOKUP($J826,APOIO!$H:$J,3,FALSE))</f>
        <v/>
      </c>
      <c r="M826" s="31"/>
      <c r="N826" s="34"/>
      <c r="O826" s="32"/>
      <c r="P826" s="32"/>
      <c r="Q826" s="32"/>
      <c r="R826" s="32"/>
      <c r="S826" s="35"/>
      <c r="T826" s="91"/>
      <c r="U826" s="60"/>
      <c r="V826" s="36"/>
      <c r="W826" s="31"/>
      <c r="X826" s="59"/>
      <c r="Y826" s="59" t="str">
        <f>IFERROR(VLOOKUP($A826,APOIO!$A:$A,1,FALSE),"ERRO")</f>
        <v>ERRO</v>
      </c>
      <c r="Z826"/>
    </row>
    <row r="827" spans="1:26" ht="15" x14ac:dyDescent="0.25">
      <c r="A827" s="94"/>
      <c r="B827" s="32" t="str">
        <f>IF($A827="","",VLOOKUP($A827,APOIO!$A:$E,2,FALSE))</f>
        <v/>
      </c>
      <c r="C827" s="94"/>
      <c r="D827" s="32" t="str">
        <f>IF($A827="","",INDEX(APOIO!$D:$D,MATCH(CONCATENATE($A827,"_",$B827,"_",$C827),APOIO!$F:$F,0)))</f>
        <v/>
      </c>
      <c r="E827" s="31"/>
      <c r="F827" s="31"/>
      <c r="G827" s="33"/>
      <c r="H827" s="105"/>
      <c r="I827" s="32" t="str">
        <f>IF($A827="","",VLOOKUP($H827,APOIO!$L:$M,2,FALSE))</f>
        <v/>
      </c>
      <c r="J827" s="31"/>
      <c r="K827" s="32" t="str">
        <f>IF($A827="","",VLOOKUP($J827,APOIO!$H:$J,2,FALSE))</f>
        <v/>
      </c>
      <c r="L827" s="32" t="str">
        <f>IF($A827="","",VLOOKUP($J827,APOIO!$H:$J,3,FALSE))</f>
        <v/>
      </c>
      <c r="M827" s="31"/>
      <c r="N827" s="34"/>
      <c r="O827" s="32"/>
      <c r="P827" s="32"/>
      <c r="Q827" s="32"/>
      <c r="R827" s="32"/>
      <c r="S827" s="35"/>
      <c r="T827" s="91"/>
      <c r="U827" s="60"/>
      <c r="V827" s="36"/>
      <c r="W827" s="31"/>
      <c r="X827" s="59"/>
      <c r="Y827" s="59" t="str">
        <f>IFERROR(VLOOKUP($A827,APOIO!$A:$A,1,FALSE),"ERRO")</f>
        <v>ERRO</v>
      </c>
      <c r="Z827"/>
    </row>
    <row r="828" spans="1:26" ht="15" x14ac:dyDescent="0.25">
      <c r="A828" s="94"/>
      <c r="B828" s="32" t="str">
        <f>IF($A828="","",VLOOKUP($A828,APOIO!$A:$E,2,FALSE))</f>
        <v/>
      </c>
      <c r="C828" s="94"/>
      <c r="D828" s="32" t="str">
        <f>IF($A828="","",INDEX(APOIO!$D:$D,MATCH(CONCATENATE($A828,"_",$B828,"_",$C828),APOIO!$F:$F,0)))</f>
        <v/>
      </c>
      <c r="E828" s="31"/>
      <c r="F828" s="31"/>
      <c r="G828" s="33"/>
      <c r="H828" s="105"/>
      <c r="I828" s="32" t="str">
        <f>IF($A828="","",VLOOKUP($H828,APOIO!$L:$M,2,FALSE))</f>
        <v/>
      </c>
      <c r="J828" s="31"/>
      <c r="K828" s="32" t="str">
        <f>IF($A828="","",VLOOKUP($J828,APOIO!$H:$J,2,FALSE))</f>
        <v/>
      </c>
      <c r="L828" s="32" t="str">
        <f>IF($A828="","",VLOOKUP($J828,APOIO!$H:$J,3,FALSE))</f>
        <v/>
      </c>
      <c r="M828" s="31"/>
      <c r="N828" s="34"/>
      <c r="O828" s="32"/>
      <c r="P828" s="32"/>
      <c r="Q828" s="32"/>
      <c r="R828" s="32"/>
      <c r="S828" s="35"/>
      <c r="T828" s="91"/>
      <c r="U828" s="60"/>
      <c r="V828" s="36"/>
      <c r="W828" s="31"/>
      <c r="X828" s="59"/>
      <c r="Y828" s="59" t="str">
        <f>IFERROR(VLOOKUP($A828,APOIO!$A:$A,1,FALSE),"ERRO")</f>
        <v>ERRO</v>
      </c>
      <c r="Z828"/>
    </row>
    <row r="829" spans="1:26" ht="15" x14ac:dyDescent="0.25">
      <c r="A829" s="94"/>
      <c r="B829" s="32" t="str">
        <f>IF($A829="","",VLOOKUP($A829,APOIO!$A:$E,2,FALSE))</f>
        <v/>
      </c>
      <c r="C829" s="94"/>
      <c r="D829" s="32" t="str">
        <f>IF($A829="","",INDEX(APOIO!$D:$D,MATCH(CONCATENATE($A829,"_",$B829,"_",$C829),APOIO!$F:$F,0)))</f>
        <v/>
      </c>
      <c r="E829" s="31"/>
      <c r="F829" s="31"/>
      <c r="G829" s="33"/>
      <c r="H829" s="105"/>
      <c r="I829" s="32" t="str">
        <f>IF($A829="","",VLOOKUP($H829,APOIO!$L:$M,2,FALSE))</f>
        <v/>
      </c>
      <c r="J829" s="31"/>
      <c r="K829" s="32" t="str">
        <f>IF($A829="","",VLOOKUP($J829,APOIO!$H:$J,2,FALSE))</f>
        <v/>
      </c>
      <c r="L829" s="32" t="str">
        <f>IF($A829="","",VLOOKUP($J829,APOIO!$H:$J,3,FALSE))</f>
        <v/>
      </c>
      <c r="M829" s="31"/>
      <c r="N829" s="34"/>
      <c r="O829" s="32"/>
      <c r="P829" s="32"/>
      <c r="Q829" s="32"/>
      <c r="R829" s="32"/>
      <c r="S829" s="35"/>
      <c r="T829" s="91"/>
      <c r="U829" s="60"/>
      <c r="V829" s="36"/>
      <c r="W829" s="31"/>
      <c r="X829" s="59"/>
      <c r="Y829" s="59" t="str">
        <f>IFERROR(VLOOKUP($A829,APOIO!$A:$A,1,FALSE),"ERRO")</f>
        <v>ERRO</v>
      </c>
      <c r="Z829"/>
    </row>
    <row r="830" spans="1:26" ht="15" x14ac:dyDescent="0.25">
      <c r="A830" s="94"/>
      <c r="B830" s="32" t="str">
        <f>IF($A830="","",VLOOKUP($A830,APOIO!$A:$E,2,FALSE))</f>
        <v/>
      </c>
      <c r="C830" s="94"/>
      <c r="D830" s="32" t="str">
        <f>IF($A830="","",INDEX(APOIO!$D:$D,MATCH(CONCATENATE($A830,"_",$B830,"_",$C830),APOIO!$F:$F,0)))</f>
        <v/>
      </c>
      <c r="E830" s="31"/>
      <c r="F830" s="31"/>
      <c r="G830" s="33"/>
      <c r="H830" s="105"/>
      <c r="I830" s="32" t="str">
        <f>IF($A830="","",VLOOKUP($H830,APOIO!$L:$M,2,FALSE))</f>
        <v/>
      </c>
      <c r="J830" s="31"/>
      <c r="K830" s="32" t="str">
        <f>IF($A830="","",VLOOKUP($J830,APOIO!$H:$J,2,FALSE))</f>
        <v/>
      </c>
      <c r="L830" s="32" t="str">
        <f>IF($A830="","",VLOOKUP($J830,APOIO!$H:$J,3,FALSE))</f>
        <v/>
      </c>
      <c r="M830" s="31"/>
      <c r="N830" s="34"/>
      <c r="O830" s="32"/>
      <c r="P830" s="32"/>
      <c r="Q830" s="32"/>
      <c r="R830" s="32"/>
      <c r="S830" s="35"/>
      <c r="T830" s="91"/>
      <c r="U830" s="60"/>
      <c r="V830" s="36"/>
      <c r="W830" s="31"/>
      <c r="X830" s="59"/>
      <c r="Y830" s="59" t="str">
        <f>IFERROR(VLOOKUP($A830,APOIO!$A:$A,1,FALSE),"ERRO")</f>
        <v>ERRO</v>
      </c>
      <c r="Z830"/>
    </row>
    <row r="831" spans="1:26" ht="15" x14ac:dyDescent="0.25">
      <c r="A831" s="94"/>
      <c r="B831" s="32" t="str">
        <f>IF($A831="","",VLOOKUP($A831,APOIO!$A:$E,2,FALSE))</f>
        <v/>
      </c>
      <c r="C831" s="94"/>
      <c r="D831" s="32" t="str">
        <f>IF($A831="","",INDEX(APOIO!$D:$D,MATCH(CONCATENATE($A831,"_",$B831,"_",$C831),APOIO!$F:$F,0)))</f>
        <v/>
      </c>
      <c r="E831" s="31"/>
      <c r="F831" s="31"/>
      <c r="G831" s="33"/>
      <c r="H831" s="105"/>
      <c r="I831" s="32" t="str">
        <f>IF($A831="","",VLOOKUP($H831,APOIO!$L:$M,2,FALSE))</f>
        <v/>
      </c>
      <c r="J831" s="31"/>
      <c r="K831" s="32" t="str">
        <f>IF($A831="","",VLOOKUP($J831,APOIO!$H:$J,2,FALSE))</f>
        <v/>
      </c>
      <c r="L831" s="32" t="str">
        <f>IF($A831="","",VLOOKUP($J831,APOIO!$H:$J,3,FALSE))</f>
        <v/>
      </c>
      <c r="M831" s="31"/>
      <c r="N831" s="34"/>
      <c r="O831" s="32"/>
      <c r="P831" s="32"/>
      <c r="Q831" s="32"/>
      <c r="R831" s="32"/>
      <c r="S831" s="35"/>
      <c r="T831" s="91"/>
      <c r="U831" s="60"/>
      <c r="V831" s="36"/>
      <c r="W831" s="31"/>
      <c r="X831" s="59"/>
      <c r="Y831" s="59" t="str">
        <f>IFERROR(VLOOKUP($A831,APOIO!$A:$A,1,FALSE),"ERRO")</f>
        <v>ERRO</v>
      </c>
      <c r="Z831"/>
    </row>
    <row r="832" spans="1:26" ht="15" x14ac:dyDescent="0.25">
      <c r="A832" s="94"/>
      <c r="B832" s="32" t="str">
        <f>IF($A832="","",VLOOKUP($A832,APOIO!$A:$E,2,FALSE))</f>
        <v/>
      </c>
      <c r="C832" s="94"/>
      <c r="D832" s="32" t="str">
        <f>IF($A832="","",INDEX(APOIO!$D:$D,MATCH(CONCATENATE($A832,"_",$B832,"_",$C832),APOIO!$F:$F,0)))</f>
        <v/>
      </c>
      <c r="E832" s="31"/>
      <c r="F832" s="31"/>
      <c r="G832" s="33"/>
      <c r="H832" s="105"/>
      <c r="I832" s="32" t="str">
        <f>IF($A832="","",VLOOKUP($H832,APOIO!$L:$M,2,FALSE))</f>
        <v/>
      </c>
      <c r="J832" s="31"/>
      <c r="K832" s="32" t="str">
        <f>IF($A832="","",VLOOKUP($J832,APOIO!$H:$J,2,FALSE))</f>
        <v/>
      </c>
      <c r="L832" s="32" t="str">
        <f>IF($A832="","",VLOOKUP($J832,APOIO!$H:$J,3,FALSE))</f>
        <v/>
      </c>
      <c r="M832" s="31"/>
      <c r="N832" s="34"/>
      <c r="O832" s="32"/>
      <c r="P832" s="32"/>
      <c r="Q832" s="32"/>
      <c r="R832" s="32"/>
      <c r="S832" s="35"/>
      <c r="T832" s="91"/>
      <c r="U832" s="60"/>
      <c r="V832" s="36"/>
      <c r="W832" s="31"/>
      <c r="X832" s="59"/>
      <c r="Y832" s="59" t="str">
        <f>IFERROR(VLOOKUP($A832,APOIO!$A:$A,1,FALSE),"ERRO")</f>
        <v>ERRO</v>
      </c>
      <c r="Z832"/>
    </row>
    <row r="833" spans="1:26" ht="15" x14ac:dyDescent="0.25">
      <c r="A833" s="94"/>
      <c r="B833" s="32" t="str">
        <f>IF($A833="","",VLOOKUP($A833,APOIO!$A:$E,2,FALSE))</f>
        <v/>
      </c>
      <c r="C833" s="94"/>
      <c r="D833" s="32" t="str">
        <f>IF($A833="","",INDEX(APOIO!$D:$D,MATCH(CONCATENATE($A833,"_",$B833,"_",$C833),APOIO!$F:$F,0)))</f>
        <v/>
      </c>
      <c r="E833" s="31"/>
      <c r="F833" s="31"/>
      <c r="G833" s="33"/>
      <c r="H833" s="105"/>
      <c r="I833" s="32" t="str">
        <f>IF($A833="","",VLOOKUP($H833,APOIO!$L:$M,2,FALSE))</f>
        <v/>
      </c>
      <c r="J833" s="31"/>
      <c r="K833" s="32" t="str">
        <f>IF($A833="","",VLOOKUP($J833,APOIO!$H:$J,2,FALSE))</f>
        <v/>
      </c>
      <c r="L833" s="32" t="str">
        <f>IF($A833="","",VLOOKUP($J833,APOIO!$H:$J,3,FALSE))</f>
        <v/>
      </c>
      <c r="M833" s="31"/>
      <c r="N833" s="34"/>
      <c r="O833" s="32"/>
      <c r="P833" s="32"/>
      <c r="Q833" s="32"/>
      <c r="R833" s="32"/>
      <c r="S833" s="35"/>
      <c r="T833" s="91"/>
      <c r="U833" s="60"/>
      <c r="V833" s="36"/>
      <c r="W833" s="31"/>
      <c r="X833" s="59"/>
      <c r="Y833" s="59" t="str">
        <f>IFERROR(VLOOKUP($A833,APOIO!$A:$A,1,FALSE),"ERRO")</f>
        <v>ERRO</v>
      </c>
      <c r="Z833"/>
    </row>
    <row r="834" spans="1:26" ht="15" x14ac:dyDescent="0.25">
      <c r="A834" s="94"/>
      <c r="B834" s="32" t="str">
        <f>IF($A834="","",VLOOKUP($A834,APOIO!$A:$E,2,FALSE))</f>
        <v/>
      </c>
      <c r="C834" s="94"/>
      <c r="D834" s="32" t="str">
        <f>IF($A834="","",INDEX(APOIO!$D:$D,MATCH(CONCATENATE($A834,"_",$B834,"_",$C834),APOIO!$F:$F,0)))</f>
        <v/>
      </c>
      <c r="E834" s="31"/>
      <c r="F834" s="31"/>
      <c r="G834" s="33"/>
      <c r="H834" s="105"/>
      <c r="I834" s="32" t="str">
        <f>IF($A834="","",VLOOKUP($H834,APOIO!$L:$M,2,FALSE))</f>
        <v/>
      </c>
      <c r="J834" s="31"/>
      <c r="K834" s="32" t="str">
        <f>IF($A834="","",VLOOKUP($J834,APOIO!$H:$J,2,FALSE))</f>
        <v/>
      </c>
      <c r="L834" s="32" t="str">
        <f>IF($A834="","",VLOOKUP($J834,APOIO!$H:$J,3,FALSE))</f>
        <v/>
      </c>
      <c r="M834" s="31"/>
      <c r="N834" s="34"/>
      <c r="O834" s="32"/>
      <c r="P834" s="32"/>
      <c r="Q834" s="32"/>
      <c r="R834" s="32"/>
      <c r="S834" s="35"/>
      <c r="T834" s="91"/>
      <c r="U834" s="60"/>
      <c r="V834" s="36"/>
      <c r="W834" s="31"/>
      <c r="X834" s="59"/>
      <c r="Y834" s="59" t="str">
        <f>IFERROR(VLOOKUP($A834,APOIO!$A:$A,1,FALSE),"ERRO")</f>
        <v>ERRO</v>
      </c>
      <c r="Z834"/>
    </row>
    <row r="835" spans="1:26" ht="15" x14ac:dyDescent="0.25">
      <c r="A835" s="94"/>
      <c r="B835" s="32" t="str">
        <f>IF($A835="","",VLOOKUP($A835,APOIO!$A:$E,2,FALSE))</f>
        <v/>
      </c>
      <c r="C835" s="94"/>
      <c r="D835" s="32" t="str">
        <f>IF($A835="","",INDEX(APOIO!$D:$D,MATCH(CONCATENATE($A835,"_",$B835,"_",$C835),APOIO!$F:$F,0)))</f>
        <v/>
      </c>
      <c r="E835" s="31"/>
      <c r="F835" s="31"/>
      <c r="G835" s="33"/>
      <c r="H835" s="105"/>
      <c r="I835" s="32" t="str">
        <f>IF($A835="","",VLOOKUP($H835,APOIO!$L:$M,2,FALSE))</f>
        <v/>
      </c>
      <c r="J835" s="31"/>
      <c r="K835" s="32" t="str">
        <f>IF($A835="","",VLOOKUP($J835,APOIO!$H:$J,2,FALSE))</f>
        <v/>
      </c>
      <c r="L835" s="32" t="str">
        <f>IF($A835="","",VLOOKUP($J835,APOIO!$H:$J,3,FALSE))</f>
        <v/>
      </c>
      <c r="M835" s="31"/>
      <c r="N835" s="34"/>
      <c r="O835" s="32"/>
      <c r="P835" s="32"/>
      <c r="Q835" s="32"/>
      <c r="R835" s="32"/>
      <c r="S835" s="35"/>
      <c r="T835" s="91"/>
      <c r="U835" s="60"/>
      <c r="V835" s="36"/>
      <c r="W835" s="31"/>
      <c r="X835" s="59"/>
      <c r="Y835" s="59" t="str">
        <f>IFERROR(VLOOKUP($A835,APOIO!$A:$A,1,FALSE),"ERRO")</f>
        <v>ERRO</v>
      </c>
      <c r="Z835"/>
    </row>
    <row r="836" spans="1:26" ht="15" x14ac:dyDescent="0.25">
      <c r="A836" s="94"/>
      <c r="B836" s="32" t="str">
        <f>IF($A836="","",VLOOKUP($A836,APOIO!$A:$E,2,FALSE))</f>
        <v/>
      </c>
      <c r="C836" s="94"/>
      <c r="D836" s="32" t="str">
        <f>IF($A836="","",INDEX(APOIO!$D:$D,MATCH(CONCATENATE($A836,"_",$B836,"_",$C836),APOIO!$F:$F,0)))</f>
        <v/>
      </c>
      <c r="E836" s="31"/>
      <c r="F836" s="31"/>
      <c r="G836" s="33"/>
      <c r="H836" s="105"/>
      <c r="I836" s="32" t="str">
        <f>IF($A836="","",VLOOKUP($H836,APOIO!$L:$M,2,FALSE))</f>
        <v/>
      </c>
      <c r="J836" s="31"/>
      <c r="K836" s="32" t="str">
        <f>IF($A836="","",VLOOKUP($J836,APOIO!$H:$J,2,FALSE))</f>
        <v/>
      </c>
      <c r="L836" s="32" t="str">
        <f>IF($A836="","",VLOOKUP($J836,APOIO!$H:$J,3,FALSE))</f>
        <v/>
      </c>
      <c r="M836" s="31"/>
      <c r="N836" s="34"/>
      <c r="O836" s="32"/>
      <c r="P836" s="32"/>
      <c r="Q836" s="32"/>
      <c r="R836" s="32"/>
      <c r="S836" s="35"/>
      <c r="T836" s="91"/>
      <c r="U836" s="60"/>
      <c r="V836" s="36"/>
      <c r="W836" s="31"/>
      <c r="X836" s="59"/>
      <c r="Y836" s="59" t="str">
        <f>IFERROR(VLOOKUP($A836,APOIO!$A:$A,1,FALSE),"ERRO")</f>
        <v>ERRO</v>
      </c>
      <c r="Z836"/>
    </row>
    <row r="837" spans="1:26" ht="15" x14ac:dyDescent="0.25">
      <c r="A837" s="94"/>
      <c r="B837" s="32" t="str">
        <f>IF($A837="","",VLOOKUP($A837,APOIO!$A:$E,2,FALSE))</f>
        <v/>
      </c>
      <c r="C837" s="94"/>
      <c r="D837" s="32" t="str">
        <f>IF($A837="","",INDEX(APOIO!$D:$D,MATCH(CONCATENATE($A837,"_",$B837,"_",$C837),APOIO!$F:$F,0)))</f>
        <v/>
      </c>
      <c r="E837" s="31"/>
      <c r="F837" s="31"/>
      <c r="G837" s="33"/>
      <c r="H837" s="105"/>
      <c r="I837" s="32" t="str">
        <f>IF($A837="","",VLOOKUP($H837,APOIO!$L:$M,2,FALSE))</f>
        <v/>
      </c>
      <c r="J837" s="31"/>
      <c r="K837" s="32" t="str">
        <f>IF($A837="","",VLOOKUP($J837,APOIO!$H:$J,2,FALSE))</f>
        <v/>
      </c>
      <c r="L837" s="32" t="str">
        <f>IF($A837="","",VLOOKUP($J837,APOIO!$H:$J,3,FALSE))</f>
        <v/>
      </c>
      <c r="M837" s="31"/>
      <c r="N837" s="34"/>
      <c r="O837" s="32"/>
      <c r="P837" s="32"/>
      <c r="Q837" s="32"/>
      <c r="R837" s="32"/>
      <c r="S837" s="35"/>
      <c r="T837" s="91"/>
      <c r="U837" s="60"/>
      <c r="V837" s="36"/>
      <c r="W837" s="31"/>
      <c r="X837" s="59"/>
      <c r="Y837" s="59" t="str">
        <f>IFERROR(VLOOKUP($A837,APOIO!$A:$A,1,FALSE),"ERRO")</f>
        <v>ERRO</v>
      </c>
      <c r="Z837"/>
    </row>
    <row r="838" spans="1:26" ht="15" x14ac:dyDescent="0.25">
      <c r="A838" s="94"/>
      <c r="B838" s="32" t="str">
        <f>IF($A838="","",VLOOKUP($A838,APOIO!$A:$E,2,FALSE))</f>
        <v/>
      </c>
      <c r="C838" s="94"/>
      <c r="D838" s="32" t="str">
        <f>IF($A838="","",INDEX(APOIO!$D:$D,MATCH(CONCATENATE($A838,"_",$B838,"_",$C838),APOIO!$F:$F,0)))</f>
        <v/>
      </c>
      <c r="E838" s="31"/>
      <c r="F838" s="31"/>
      <c r="G838" s="33"/>
      <c r="H838" s="105"/>
      <c r="I838" s="32" t="str">
        <f>IF($A838="","",VLOOKUP($H838,APOIO!$L:$M,2,FALSE))</f>
        <v/>
      </c>
      <c r="J838" s="31"/>
      <c r="K838" s="32" t="str">
        <f>IF($A838="","",VLOOKUP($J838,APOIO!$H:$J,2,FALSE))</f>
        <v/>
      </c>
      <c r="L838" s="32" t="str">
        <f>IF($A838="","",VLOOKUP($J838,APOIO!$H:$J,3,FALSE))</f>
        <v/>
      </c>
      <c r="M838" s="31"/>
      <c r="N838" s="34"/>
      <c r="O838" s="32"/>
      <c r="P838" s="32"/>
      <c r="Q838" s="32"/>
      <c r="R838" s="32"/>
      <c r="S838" s="35"/>
      <c r="T838" s="91"/>
      <c r="U838" s="60"/>
      <c r="V838" s="36"/>
      <c r="W838" s="31"/>
      <c r="X838" s="59"/>
      <c r="Y838" s="59" t="str">
        <f>IFERROR(VLOOKUP($A838,APOIO!$A:$A,1,FALSE),"ERRO")</f>
        <v>ERRO</v>
      </c>
      <c r="Z838"/>
    </row>
    <row r="839" spans="1:26" ht="15" x14ac:dyDescent="0.25">
      <c r="A839" s="94"/>
      <c r="B839" s="32" t="str">
        <f>IF($A839="","",VLOOKUP($A839,APOIO!$A:$E,2,FALSE))</f>
        <v/>
      </c>
      <c r="C839" s="94"/>
      <c r="D839" s="32" t="str">
        <f>IF($A839="","",INDEX(APOIO!$D:$D,MATCH(CONCATENATE($A839,"_",$B839,"_",$C839),APOIO!$F:$F,0)))</f>
        <v/>
      </c>
      <c r="E839" s="31"/>
      <c r="F839" s="31"/>
      <c r="G839" s="33"/>
      <c r="H839" s="105"/>
      <c r="I839" s="32" t="str">
        <f>IF($A839="","",VLOOKUP($H839,APOIO!$L:$M,2,FALSE))</f>
        <v/>
      </c>
      <c r="J839" s="31"/>
      <c r="K839" s="32" t="str">
        <f>IF($A839="","",VLOOKUP($J839,APOIO!$H:$J,2,FALSE))</f>
        <v/>
      </c>
      <c r="L839" s="32" t="str">
        <f>IF($A839="","",VLOOKUP($J839,APOIO!$H:$J,3,FALSE))</f>
        <v/>
      </c>
      <c r="M839" s="31"/>
      <c r="N839" s="34"/>
      <c r="O839" s="32"/>
      <c r="P839" s="32"/>
      <c r="Q839" s="32"/>
      <c r="R839" s="32"/>
      <c r="S839" s="35"/>
      <c r="T839" s="91"/>
      <c r="U839" s="60"/>
      <c r="V839" s="36"/>
      <c r="W839" s="31"/>
      <c r="X839" s="59"/>
      <c r="Y839" s="59" t="str">
        <f>IFERROR(VLOOKUP($A839,APOIO!$A:$A,1,FALSE),"ERRO")</f>
        <v>ERRO</v>
      </c>
      <c r="Z839"/>
    </row>
    <row r="840" spans="1:26" ht="15" x14ac:dyDescent="0.25">
      <c r="A840" s="94"/>
      <c r="B840" s="32" t="str">
        <f>IF($A840="","",VLOOKUP($A840,APOIO!$A:$E,2,FALSE))</f>
        <v/>
      </c>
      <c r="C840" s="94"/>
      <c r="D840" s="32" t="str">
        <f>IF($A840="","",INDEX(APOIO!$D:$D,MATCH(CONCATENATE($A840,"_",$B840,"_",$C840),APOIO!$F:$F,0)))</f>
        <v/>
      </c>
      <c r="E840" s="31"/>
      <c r="F840" s="31"/>
      <c r="G840" s="33"/>
      <c r="H840" s="105"/>
      <c r="I840" s="32" t="str">
        <f>IF($A840="","",VLOOKUP($H840,APOIO!$L:$M,2,FALSE))</f>
        <v/>
      </c>
      <c r="J840" s="31"/>
      <c r="K840" s="32" t="str">
        <f>IF($A840="","",VLOOKUP($J840,APOIO!$H:$J,2,FALSE))</f>
        <v/>
      </c>
      <c r="L840" s="32" t="str">
        <f>IF($A840="","",VLOOKUP($J840,APOIO!$H:$J,3,FALSE))</f>
        <v/>
      </c>
      <c r="M840" s="31"/>
      <c r="N840" s="34"/>
      <c r="O840" s="32"/>
      <c r="P840" s="32"/>
      <c r="Q840" s="32"/>
      <c r="R840" s="32"/>
      <c r="S840" s="35"/>
      <c r="T840" s="91"/>
      <c r="U840" s="60"/>
      <c r="V840" s="36"/>
      <c r="W840" s="31"/>
      <c r="X840" s="59"/>
      <c r="Y840" s="59" t="str">
        <f>IFERROR(VLOOKUP($A840,APOIO!$A:$A,1,FALSE),"ERRO")</f>
        <v>ERRO</v>
      </c>
      <c r="Z840"/>
    </row>
    <row r="841" spans="1:26" ht="15" x14ac:dyDescent="0.25">
      <c r="A841" s="94"/>
      <c r="B841" s="32" t="str">
        <f>IF($A841="","",VLOOKUP($A841,APOIO!$A:$E,2,FALSE))</f>
        <v/>
      </c>
      <c r="C841" s="94"/>
      <c r="D841" s="32" t="str">
        <f>IF($A841="","",INDEX(APOIO!$D:$D,MATCH(CONCATENATE($A841,"_",$B841,"_",$C841),APOIO!$F:$F,0)))</f>
        <v/>
      </c>
      <c r="E841" s="31"/>
      <c r="F841" s="31"/>
      <c r="G841" s="33"/>
      <c r="H841" s="105"/>
      <c r="I841" s="32" t="str">
        <f>IF($A841="","",VLOOKUP($H841,APOIO!$L:$M,2,FALSE))</f>
        <v/>
      </c>
      <c r="J841" s="31"/>
      <c r="K841" s="32" t="str">
        <f>IF($A841="","",VLOOKUP($J841,APOIO!$H:$J,2,FALSE))</f>
        <v/>
      </c>
      <c r="L841" s="32" t="str">
        <f>IF($A841="","",VLOOKUP($J841,APOIO!$H:$J,3,FALSE))</f>
        <v/>
      </c>
      <c r="M841" s="31"/>
      <c r="N841" s="34"/>
      <c r="O841" s="32"/>
      <c r="P841" s="32"/>
      <c r="Q841" s="32"/>
      <c r="R841" s="32"/>
      <c r="S841" s="35"/>
      <c r="T841" s="91"/>
      <c r="U841" s="60"/>
      <c r="V841" s="36"/>
      <c r="W841" s="31"/>
      <c r="X841" s="59"/>
      <c r="Y841" s="59" t="str">
        <f>IFERROR(VLOOKUP($A841,APOIO!$A:$A,1,FALSE),"ERRO")</f>
        <v>ERRO</v>
      </c>
      <c r="Z841"/>
    </row>
    <row r="842" spans="1:26" ht="15" x14ac:dyDescent="0.25">
      <c r="A842" s="94"/>
      <c r="B842" s="32" t="str">
        <f>IF($A842="","",VLOOKUP($A842,APOIO!$A:$E,2,FALSE))</f>
        <v/>
      </c>
      <c r="C842" s="94"/>
      <c r="D842" s="32" t="str">
        <f>IF($A842="","",INDEX(APOIO!$D:$D,MATCH(CONCATENATE($A842,"_",$B842,"_",$C842),APOIO!$F:$F,0)))</f>
        <v/>
      </c>
      <c r="E842" s="31"/>
      <c r="F842" s="31"/>
      <c r="G842" s="33"/>
      <c r="H842" s="105"/>
      <c r="I842" s="32" t="str">
        <f>IF($A842="","",VLOOKUP($H842,APOIO!$L:$M,2,FALSE))</f>
        <v/>
      </c>
      <c r="J842" s="31"/>
      <c r="K842" s="32" t="str">
        <f>IF($A842="","",VLOOKUP($J842,APOIO!$H:$J,2,FALSE))</f>
        <v/>
      </c>
      <c r="L842" s="32" t="str">
        <f>IF($A842="","",VLOOKUP($J842,APOIO!$H:$J,3,FALSE))</f>
        <v/>
      </c>
      <c r="M842" s="31"/>
      <c r="N842" s="34"/>
      <c r="O842" s="32"/>
      <c r="P842" s="32"/>
      <c r="Q842" s="32"/>
      <c r="R842" s="32"/>
      <c r="S842" s="35"/>
      <c r="T842" s="91"/>
      <c r="U842" s="60"/>
      <c r="V842" s="36"/>
      <c r="W842" s="31"/>
      <c r="X842" s="59"/>
      <c r="Y842" s="59" t="str">
        <f>IFERROR(VLOOKUP($A842,APOIO!$A:$A,1,FALSE),"ERRO")</f>
        <v>ERRO</v>
      </c>
      <c r="Z842"/>
    </row>
    <row r="843" spans="1:26" ht="15" x14ac:dyDescent="0.25">
      <c r="A843" s="94"/>
      <c r="B843" s="32" t="str">
        <f>IF($A843="","",VLOOKUP($A843,APOIO!$A:$E,2,FALSE))</f>
        <v/>
      </c>
      <c r="C843" s="94"/>
      <c r="D843" s="32" t="str">
        <f>IF($A843="","",INDEX(APOIO!$D:$D,MATCH(CONCATENATE($A843,"_",$B843,"_",$C843),APOIO!$F:$F,0)))</f>
        <v/>
      </c>
      <c r="E843" s="31"/>
      <c r="F843" s="31"/>
      <c r="G843" s="33"/>
      <c r="H843" s="105"/>
      <c r="I843" s="32" t="str">
        <f>IF($A843="","",VLOOKUP($H843,APOIO!$L:$M,2,FALSE))</f>
        <v/>
      </c>
      <c r="J843" s="31"/>
      <c r="K843" s="32" t="str">
        <f>IF($A843="","",VLOOKUP($J843,APOIO!$H:$J,2,FALSE))</f>
        <v/>
      </c>
      <c r="L843" s="32" t="str">
        <f>IF($A843="","",VLOOKUP($J843,APOIO!$H:$J,3,FALSE))</f>
        <v/>
      </c>
      <c r="M843" s="31"/>
      <c r="N843" s="34"/>
      <c r="O843" s="32"/>
      <c r="P843" s="32"/>
      <c r="Q843" s="32"/>
      <c r="R843" s="32"/>
      <c r="S843" s="35"/>
      <c r="T843" s="91"/>
      <c r="U843" s="60"/>
      <c r="V843" s="36"/>
      <c r="W843" s="31"/>
      <c r="X843" s="59"/>
      <c r="Y843" s="59" t="str">
        <f>IFERROR(VLOOKUP($A843,APOIO!$A:$A,1,FALSE),"ERRO")</f>
        <v>ERRO</v>
      </c>
      <c r="Z843"/>
    </row>
    <row r="844" spans="1:26" ht="15" x14ac:dyDescent="0.25">
      <c r="A844" s="94"/>
      <c r="B844" s="32" t="str">
        <f>IF($A844="","",VLOOKUP($A844,APOIO!$A:$E,2,FALSE))</f>
        <v/>
      </c>
      <c r="C844" s="94"/>
      <c r="D844" s="32" t="str">
        <f>IF($A844="","",INDEX(APOIO!$D:$D,MATCH(CONCATENATE($A844,"_",$B844,"_",$C844),APOIO!$F:$F,0)))</f>
        <v/>
      </c>
      <c r="E844" s="31"/>
      <c r="F844" s="31"/>
      <c r="G844" s="33"/>
      <c r="H844" s="105"/>
      <c r="I844" s="32" t="str">
        <f>IF($A844="","",VLOOKUP($H844,APOIO!$L:$M,2,FALSE))</f>
        <v/>
      </c>
      <c r="J844" s="31"/>
      <c r="K844" s="32" t="str">
        <f>IF($A844="","",VLOOKUP($J844,APOIO!$H:$J,2,FALSE))</f>
        <v/>
      </c>
      <c r="L844" s="32" t="str">
        <f>IF($A844="","",VLOOKUP($J844,APOIO!$H:$J,3,FALSE))</f>
        <v/>
      </c>
      <c r="M844" s="31"/>
      <c r="N844" s="34"/>
      <c r="O844" s="32"/>
      <c r="P844" s="32"/>
      <c r="Q844" s="32"/>
      <c r="R844" s="32"/>
      <c r="S844" s="35"/>
      <c r="T844" s="91"/>
      <c r="U844" s="60"/>
      <c r="V844" s="36"/>
      <c r="W844" s="31"/>
      <c r="X844" s="59"/>
      <c r="Y844" s="59" t="str">
        <f>IFERROR(VLOOKUP($A844,APOIO!$A:$A,1,FALSE),"ERRO")</f>
        <v>ERRO</v>
      </c>
      <c r="Z844"/>
    </row>
    <row r="845" spans="1:26" ht="15" x14ac:dyDescent="0.25">
      <c r="A845" s="94"/>
      <c r="B845" s="32" t="str">
        <f>IF($A845="","",VLOOKUP($A845,APOIO!$A:$E,2,FALSE))</f>
        <v/>
      </c>
      <c r="C845" s="94"/>
      <c r="D845" s="32" t="str">
        <f>IF($A845="","",INDEX(APOIO!$D:$D,MATCH(CONCATENATE($A845,"_",$B845,"_",$C845),APOIO!$F:$F,0)))</f>
        <v/>
      </c>
      <c r="E845" s="31"/>
      <c r="F845" s="31"/>
      <c r="G845" s="33"/>
      <c r="H845" s="105"/>
      <c r="I845" s="32" t="str">
        <f>IF($A845="","",VLOOKUP($H845,APOIO!$L:$M,2,FALSE))</f>
        <v/>
      </c>
      <c r="J845" s="31"/>
      <c r="K845" s="32" t="str">
        <f>IF($A845="","",VLOOKUP($J845,APOIO!$H:$J,2,FALSE))</f>
        <v/>
      </c>
      <c r="L845" s="32" t="str">
        <f>IF($A845="","",VLOOKUP($J845,APOIO!$H:$J,3,FALSE))</f>
        <v/>
      </c>
      <c r="M845" s="31"/>
      <c r="N845" s="34"/>
      <c r="O845" s="32"/>
      <c r="P845" s="32"/>
      <c r="Q845" s="32"/>
      <c r="R845" s="32"/>
      <c r="S845" s="35"/>
      <c r="T845" s="91"/>
      <c r="U845" s="60"/>
      <c r="V845" s="36"/>
      <c r="W845" s="31"/>
      <c r="X845" s="59"/>
      <c r="Y845" s="59" t="str">
        <f>IFERROR(VLOOKUP($A845,APOIO!$A:$A,1,FALSE),"ERRO")</f>
        <v>ERRO</v>
      </c>
      <c r="Z845"/>
    </row>
    <row r="846" spans="1:26" ht="15" x14ac:dyDescent="0.25">
      <c r="A846" s="94"/>
      <c r="B846" s="32" t="str">
        <f>IF($A846="","",VLOOKUP($A846,APOIO!$A:$E,2,FALSE))</f>
        <v/>
      </c>
      <c r="C846" s="94"/>
      <c r="D846" s="32" t="str">
        <f>IF($A846="","",INDEX(APOIO!$D:$D,MATCH(CONCATENATE($A846,"_",$B846,"_",$C846),APOIO!$F:$F,0)))</f>
        <v/>
      </c>
      <c r="E846" s="31"/>
      <c r="F846" s="31"/>
      <c r="G846" s="33"/>
      <c r="H846" s="105"/>
      <c r="I846" s="32" t="str">
        <f>IF($A846="","",VLOOKUP($H846,APOIO!$L:$M,2,FALSE))</f>
        <v/>
      </c>
      <c r="J846" s="31"/>
      <c r="K846" s="32" t="str">
        <f>IF($A846="","",VLOOKUP($J846,APOIO!$H:$J,2,FALSE))</f>
        <v/>
      </c>
      <c r="L846" s="32" t="str">
        <f>IF($A846="","",VLOOKUP($J846,APOIO!$H:$J,3,FALSE))</f>
        <v/>
      </c>
      <c r="M846" s="31"/>
      <c r="N846" s="34"/>
      <c r="O846" s="32"/>
      <c r="P846" s="32"/>
      <c r="Q846" s="32"/>
      <c r="R846" s="32"/>
      <c r="S846" s="35"/>
      <c r="T846" s="91"/>
      <c r="U846" s="60"/>
      <c r="V846" s="36"/>
      <c r="W846" s="31"/>
      <c r="X846" s="59"/>
      <c r="Y846" s="59" t="str">
        <f>IFERROR(VLOOKUP($A846,APOIO!$A:$A,1,FALSE),"ERRO")</f>
        <v>ERRO</v>
      </c>
      <c r="Z846"/>
    </row>
    <row r="847" spans="1:26" ht="15" x14ac:dyDescent="0.25">
      <c r="A847" s="94"/>
      <c r="B847" s="32" t="str">
        <f>IF($A847="","",VLOOKUP($A847,APOIO!$A:$E,2,FALSE))</f>
        <v/>
      </c>
      <c r="C847" s="94"/>
      <c r="D847" s="32" t="str">
        <f>IF($A847="","",INDEX(APOIO!$D:$D,MATCH(CONCATENATE($A847,"_",$B847,"_",$C847),APOIO!$F:$F,0)))</f>
        <v/>
      </c>
      <c r="E847" s="31"/>
      <c r="F847" s="31"/>
      <c r="G847" s="33"/>
      <c r="H847" s="105"/>
      <c r="I847" s="32" t="str">
        <f>IF($A847="","",VLOOKUP($H847,APOIO!$L:$M,2,FALSE))</f>
        <v/>
      </c>
      <c r="J847" s="31"/>
      <c r="K847" s="32" t="str">
        <f>IF($A847="","",VLOOKUP($J847,APOIO!$H:$J,2,FALSE))</f>
        <v/>
      </c>
      <c r="L847" s="32" t="str">
        <f>IF($A847="","",VLOOKUP($J847,APOIO!$H:$J,3,FALSE))</f>
        <v/>
      </c>
      <c r="M847" s="31"/>
      <c r="N847" s="34"/>
      <c r="O847" s="32"/>
      <c r="P847" s="32"/>
      <c r="Q847" s="32"/>
      <c r="R847" s="32"/>
      <c r="S847" s="35"/>
      <c r="T847" s="91"/>
      <c r="U847" s="60"/>
      <c r="V847" s="36"/>
      <c r="W847" s="31"/>
      <c r="X847" s="59"/>
      <c r="Y847" s="59" t="str">
        <f>IFERROR(VLOOKUP($A847,APOIO!$A:$A,1,FALSE),"ERRO")</f>
        <v>ERRO</v>
      </c>
      <c r="Z847"/>
    </row>
    <row r="848" spans="1:26" ht="15" x14ac:dyDescent="0.25">
      <c r="A848" s="94"/>
      <c r="B848" s="32" t="str">
        <f>IF($A848="","",VLOOKUP($A848,APOIO!$A:$E,2,FALSE))</f>
        <v/>
      </c>
      <c r="C848" s="94"/>
      <c r="D848" s="32" t="str">
        <f>IF($A848="","",INDEX(APOIO!$D:$D,MATCH(CONCATENATE($A848,"_",$B848,"_",$C848),APOIO!$F:$F,0)))</f>
        <v/>
      </c>
      <c r="E848" s="31"/>
      <c r="F848" s="31"/>
      <c r="G848" s="33"/>
      <c r="H848" s="105"/>
      <c r="I848" s="32" t="str">
        <f>IF($A848="","",VLOOKUP($H848,APOIO!$L:$M,2,FALSE))</f>
        <v/>
      </c>
      <c r="J848" s="31"/>
      <c r="K848" s="32" t="str">
        <f>IF($A848="","",VLOOKUP($J848,APOIO!$H:$J,2,FALSE))</f>
        <v/>
      </c>
      <c r="L848" s="32" t="str">
        <f>IF($A848="","",VLOOKUP($J848,APOIO!$H:$J,3,FALSE))</f>
        <v/>
      </c>
      <c r="M848" s="31"/>
      <c r="N848" s="34"/>
      <c r="O848" s="32"/>
      <c r="P848" s="32"/>
      <c r="Q848" s="32"/>
      <c r="R848" s="32"/>
      <c r="S848" s="35"/>
      <c r="T848" s="91"/>
      <c r="U848" s="60"/>
      <c r="V848" s="36"/>
      <c r="W848" s="31"/>
      <c r="X848" s="59"/>
      <c r="Y848" s="59" t="str">
        <f>IFERROR(VLOOKUP($A848,APOIO!$A:$A,1,FALSE),"ERRO")</f>
        <v>ERRO</v>
      </c>
      <c r="Z848"/>
    </row>
    <row r="849" spans="1:26" ht="15" x14ac:dyDescent="0.25">
      <c r="A849" s="94"/>
      <c r="B849" s="32" t="str">
        <f>IF($A849="","",VLOOKUP($A849,APOIO!$A:$E,2,FALSE))</f>
        <v/>
      </c>
      <c r="C849" s="94"/>
      <c r="D849" s="32" t="str">
        <f>IF($A849="","",INDEX(APOIO!$D:$D,MATCH(CONCATENATE($A849,"_",$B849,"_",$C849),APOIO!$F:$F,0)))</f>
        <v/>
      </c>
      <c r="E849" s="31"/>
      <c r="F849" s="31"/>
      <c r="G849" s="33"/>
      <c r="H849" s="105"/>
      <c r="I849" s="32" t="str">
        <f>IF($A849="","",VLOOKUP($H849,APOIO!$L:$M,2,FALSE))</f>
        <v/>
      </c>
      <c r="J849" s="31"/>
      <c r="K849" s="32" t="str">
        <f>IF($A849="","",VLOOKUP($J849,APOIO!$H:$J,2,FALSE))</f>
        <v/>
      </c>
      <c r="L849" s="32" t="str">
        <f>IF($A849="","",VLOOKUP($J849,APOIO!$H:$J,3,FALSE))</f>
        <v/>
      </c>
      <c r="M849" s="31"/>
      <c r="N849" s="34"/>
      <c r="O849" s="32"/>
      <c r="P849" s="32"/>
      <c r="Q849" s="32"/>
      <c r="R849" s="32"/>
      <c r="S849" s="35"/>
      <c r="T849" s="91"/>
      <c r="U849" s="60"/>
      <c r="V849" s="36"/>
      <c r="W849" s="31"/>
      <c r="X849" s="59"/>
      <c r="Y849" s="59" t="str">
        <f>IFERROR(VLOOKUP($A849,APOIO!$A:$A,1,FALSE),"ERRO")</f>
        <v>ERRO</v>
      </c>
      <c r="Z849"/>
    </row>
    <row r="850" spans="1:26" ht="15" x14ac:dyDescent="0.25">
      <c r="A850" s="94"/>
      <c r="B850" s="32" t="str">
        <f>IF($A850="","",VLOOKUP($A850,APOIO!$A:$E,2,FALSE))</f>
        <v/>
      </c>
      <c r="C850" s="94"/>
      <c r="D850" s="32" t="str">
        <f>IF($A850="","",INDEX(APOIO!$D:$D,MATCH(CONCATENATE($A850,"_",$B850,"_",$C850),APOIO!$F:$F,0)))</f>
        <v/>
      </c>
      <c r="E850" s="31"/>
      <c r="F850" s="31"/>
      <c r="G850" s="33"/>
      <c r="H850" s="105"/>
      <c r="I850" s="32" t="str">
        <f>IF($A850="","",VLOOKUP($H850,APOIO!$L:$M,2,FALSE))</f>
        <v/>
      </c>
      <c r="J850" s="31"/>
      <c r="K850" s="32" t="str">
        <f>IF($A850="","",VLOOKUP($J850,APOIO!$H:$J,2,FALSE))</f>
        <v/>
      </c>
      <c r="L850" s="32" t="str">
        <f>IF($A850="","",VLOOKUP($J850,APOIO!$H:$J,3,FALSE))</f>
        <v/>
      </c>
      <c r="M850" s="31"/>
      <c r="N850" s="34"/>
      <c r="O850" s="32"/>
      <c r="P850" s="32"/>
      <c r="Q850" s="32"/>
      <c r="R850" s="32"/>
      <c r="S850" s="35"/>
      <c r="T850" s="91"/>
      <c r="U850" s="60"/>
      <c r="V850" s="36"/>
      <c r="W850" s="31"/>
      <c r="X850" s="59"/>
      <c r="Y850" s="59" t="str">
        <f>IFERROR(VLOOKUP($A850,APOIO!$A:$A,1,FALSE),"ERRO")</f>
        <v>ERRO</v>
      </c>
      <c r="Z850"/>
    </row>
    <row r="851" spans="1:26" ht="15" x14ac:dyDescent="0.25">
      <c r="A851" s="94"/>
      <c r="B851" s="32" t="str">
        <f>IF($A851="","",VLOOKUP($A851,APOIO!$A:$E,2,FALSE))</f>
        <v/>
      </c>
      <c r="C851" s="94"/>
      <c r="D851" s="32" t="str">
        <f>IF($A851="","",INDEX(APOIO!$D:$D,MATCH(CONCATENATE($A851,"_",$B851,"_",$C851),APOIO!$F:$F,0)))</f>
        <v/>
      </c>
      <c r="E851" s="31"/>
      <c r="F851" s="31"/>
      <c r="G851" s="33"/>
      <c r="H851" s="105"/>
      <c r="I851" s="32" t="str">
        <f>IF($A851="","",VLOOKUP($H851,APOIO!$L:$M,2,FALSE))</f>
        <v/>
      </c>
      <c r="J851" s="31"/>
      <c r="K851" s="32" t="str">
        <f>IF($A851="","",VLOOKUP($J851,APOIO!$H:$J,2,FALSE))</f>
        <v/>
      </c>
      <c r="L851" s="32" t="str">
        <f>IF($A851="","",VLOOKUP($J851,APOIO!$H:$J,3,FALSE))</f>
        <v/>
      </c>
      <c r="M851" s="31"/>
      <c r="N851" s="34"/>
      <c r="O851" s="32"/>
      <c r="P851" s="32"/>
      <c r="Q851" s="32"/>
      <c r="R851" s="32"/>
      <c r="S851" s="35"/>
      <c r="T851" s="91"/>
      <c r="U851" s="60"/>
      <c r="V851" s="36"/>
      <c r="W851" s="31"/>
      <c r="X851" s="59"/>
      <c r="Y851" s="59" t="str">
        <f>IFERROR(VLOOKUP($A851,APOIO!$A:$A,1,FALSE),"ERRO")</f>
        <v>ERRO</v>
      </c>
      <c r="Z851"/>
    </row>
    <row r="852" spans="1:26" ht="15" x14ac:dyDescent="0.25">
      <c r="A852" s="94"/>
      <c r="B852" s="32" t="str">
        <f>IF($A852="","",VLOOKUP($A852,APOIO!$A:$E,2,FALSE))</f>
        <v/>
      </c>
      <c r="C852" s="94"/>
      <c r="D852" s="32" t="str">
        <f>IF($A852="","",INDEX(APOIO!$D:$D,MATCH(CONCATENATE($A852,"_",$B852,"_",$C852),APOIO!$F:$F,0)))</f>
        <v/>
      </c>
      <c r="E852" s="31"/>
      <c r="F852" s="31"/>
      <c r="G852" s="33"/>
      <c r="H852" s="105"/>
      <c r="I852" s="32" t="str">
        <f>IF($A852="","",VLOOKUP($H852,APOIO!$L:$M,2,FALSE))</f>
        <v/>
      </c>
      <c r="J852" s="31"/>
      <c r="K852" s="32" t="str">
        <f>IF($A852="","",VLOOKUP($J852,APOIO!$H:$J,2,FALSE))</f>
        <v/>
      </c>
      <c r="L852" s="32" t="str">
        <f>IF($A852="","",VLOOKUP($J852,APOIO!$H:$J,3,FALSE))</f>
        <v/>
      </c>
      <c r="M852" s="31"/>
      <c r="N852" s="34"/>
      <c r="O852" s="32"/>
      <c r="P852" s="32"/>
      <c r="Q852" s="32"/>
      <c r="R852" s="32"/>
      <c r="S852" s="35"/>
      <c r="T852" s="91"/>
      <c r="U852" s="60"/>
      <c r="V852" s="36"/>
      <c r="W852" s="31"/>
      <c r="X852" s="59"/>
      <c r="Y852" s="59" t="str">
        <f>IFERROR(VLOOKUP($A852,APOIO!$A:$A,1,FALSE),"ERRO")</f>
        <v>ERRO</v>
      </c>
      <c r="Z852"/>
    </row>
    <row r="853" spans="1:26" ht="15" x14ac:dyDescent="0.25">
      <c r="A853" s="94"/>
      <c r="B853" s="32" t="str">
        <f>IF($A853="","",VLOOKUP($A853,APOIO!$A:$E,2,FALSE))</f>
        <v/>
      </c>
      <c r="C853" s="94"/>
      <c r="D853" s="32" t="str">
        <f>IF($A853="","",INDEX(APOIO!$D:$D,MATCH(CONCATENATE($A853,"_",$B853,"_",$C853),APOIO!$F:$F,0)))</f>
        <v/>
      </c>
      <c r="E853" s="31"/>
      <c r="F853" s="31"/>
      <c r="G853" s="33"/>
      <c r="H853" s="105"/>
      <c r="I853" s="32" t="str">
        <f>IF($A853="","",VLOOKUP($H853,APOIO!$L:$M,2,FALSE))</f>
        <v/>
      </c>
      <c r="J853" s="31"/>
      <c r="K853" s="32" t="str">
        <f>IF($A853="","",VLOOKUP($J853,APOIO!$H:$J,2,FALSE))</f>
        <v/>
      </c>
      <c r="L853" s="32" t="str">
        <f>IF($A853="","",VLOOKUP($J853,APOIO!$H:$J,3,FALSE))</f>
        <v/>
      </c>
      <c r="M853" s="31"/>
      <c r="N853" s="34"/>
      <c r="O853" s="32"/>
      <c r="P853" s="32"/>
      <c r="Q853" s="32"/>
      <c r="R853" s="32"/>
      <c r="S853" s="35"/>
      <c r="T853" s="91"/>
      <c r="U853" s="60"/>
      <c r="V853" s="36"/>
      <c r="W853" s="31"/>
      <c r="X853" s="59"/>
      <c r="Y853" s="59" t="str">
        <f>IFERROR(VLOOKUP($A853,APOIO!$A:$A,1,FALSE),"ERRO")</f>
        <v>ERRO</v>
      </c>
      <c r="Z853"/>
    </row>
    <row r="854" spans="1:26" ht="15" x14ac:dyDescent="0.25">
      <c r="A854" s="94"/>
      <c r="B854" s="32" t="str">
        <f>IF($A854="","",VLOOKUP($A854,APOIO!$A:$E,2,FALSE))</f>
        <v/>
      </c>
      <c r="C854" s="94"/>
      <c r="D854" s="32" t="str">
        <f>IF($A854="","",INDEX(APOIO!$D:$D,MATCH(CONCATENATE($A854,"_",$B854,"_",$C854),APOIO!$F:$F,0)))</f>
        <v/>
      </c>
      <c r="E854" s="31"/>
      <c r="F854" s="31"/>
      <c r="G854" s="33"/>
      <c r="H854" s="105"/>
      <c r="I854" s="32" t="str">
        <f>IF($A854="","",VLOOKUP($H854,APOIO!$L:$M,2,FALSE))</f>
        <v/>
      </c>
      <c r="J854" s="31"/>
      <c r="K854" s="32" t="str">
        <f>IF($A854="","",VLOOKUP($J854,APOIO!$H:$J,2,FALSE))</f>
        <v/>
      </c>
      <c r="L854" s="32" t="str">
        <f>IF($A854="","",VLOOKUP($J854,APOIO!$H:$J,3,FALSE))</f>
        <v/>
      </c>
      <c r="M854" s="31"/>
      <c r="N854" s="34"/>
      <c r="O854" s="32"/>
      <c r="P854" s="32"/>
      <c r="Q854" s="32"/>
      <c r="R854" s="32"/>
      <c r="S854" s="35"/>
      <c r="T854" s="91"/>
      <c r="U854" s="60"/>
      <c r="V854" s="36"/>
      <c r="W854" s="31"/>
      <c r="X854" s="59"/>
      <c r="Y854" s="59" t="str">
        <f>IFERROR(VLOOKUP($A854,APOIO!$A:$A,1,FALSE),"ERRO")</f>
        <v>ERRO</v>
      </c>
      <c r="Z854"/>
    </row>
    <row r="855" spans="1:26" ht="15" x14ac:dyDescent="0.25">
      <c r="A855" s="94"/>
      <c r="B855" s="32" t="str">
        <f>IF($A855="","",VLOOKUP($A855,APOIO!$A:$E,2,FALSE))</f>
        <v/>
      </c>
      <c r="C855" s="94"/>
      <c r="D855" s="32" t="str">
        <f>IF($A855="","",INDEX(APOIO!$D:$D,MATCH(CONCATENATE($A855,"_",$B855,"_",$C855),APOIO!$F:$F,0)))</f>
        <v/>
      </c>
      <c r="E855" s="31"/>
      <c r="F855" s="31"/>
      <c r="G855" s="33"/>
      <c r="H855" s="105"/>
      <c r="I855" s="32" t="str">
        <f>IF($A855="","",VLOOKUP($H855,APOIO!$L:$M,2,FALSE))</f>
        <v/>
      </c>
      <c r="J855" s="31"/>
      <c r="K855" s="32" t="str">
        <f>IF($A855="","",VLOOKUP($J855,APOIO!$H:$J,2,FALSE))</f>
        <v/>
      </c>
      <c r="L855" s="32" t="str">
        <f>IF($A855="","",VLOOKUP($J855,APOIO!$H:$J,3,FALSE))</f>
        <v/>
      </c>
      <c r="M855" s="31"/>
      <c r="N855" s="34"/>
      <c r="O855" s="32"/>
      <c r="P855" s="32"/>
      <c r="Q855" s="32"/>
      <c r="R855" s="32"/>
      <c r="S855" s="35"/>
      <c r="T855" s="91"/>
      <c r="U855" s="60"/>
      <c r="V855" s="36"/>
      <c r="W855" s="31"/>
      <c r="X855" s="59"/>
      <c r="Y855" s="59" t="str">
        <f>IFERROR(VLOOKUP($A855,APOIO!$A:$A,1,FALSE),"ERRO")</f>
        <v>ERRO</v>
      </c>
      <c r="Z855"/>
    </row>
    <row r="856" spans="1:26" ht="15" x14ac:dyDescent="0.25">
      <c r="A856" s="94"/>
      <c r="B856" s="32" t="str">
        <f>IF($A856="","",VLOOKUP($A856,APOIO!$A:$E,2,FALSE))</f>
        <v/>
      </c>
      <c r="C856" s="94"/>
      <c r="D856" s="32" t="str">
        <f>IF($A856="","",INDEX(APOIO!$D:$D,MATCH(CONCATENATE($A856,"_",$B856,"_",$C856),APOIO!$F:$F,0)))</f>
        <v/>
      </c>
      <c r="E856" s="31"/>
      <c r="F856" s="31"/>
      <c r="G856" s="33"/>
      <c r="H856" s="105"/>
      <c r="I856" s="32" t="str">
        <f>IF($A856="","",VLOOKUP($H856,APOIO!$L:$M,2,FALSE))</f>
        <v/>
      </c>
      <c r="J856" s="31"/>
      <c r="K856" s="32" t="str">
        <f>IF($A856="","",VLOOKUP($J856,APOIO!$H:$J,2,FALSE))</f>
        <v/>
      </c>
      <c r="L856" s="32" t="str">
        <f>IF($A856="","",VLOOKUP($J856,APOIO!$H:$J,3,FALSE))</f>
        <v/>
      </c>
      <c r="M856" s="31"/>
      <c r="N856" s="34"/>
      <c r="O856" s="32"/>
      <c r="P856" s="32"/>
      <c r="Q856" s="32"/>
      <c r="R856" s="32"/>
      <c r="S856" s="35"/>
      <c r="T856" s="91"/>
      <c r="U856" s="60"/>
      <c r="V856" s="36"/>
      <c r="W856" s="31"/>
      <c r="X856" s="59"/>
      <c r="Y856" s="59" t="str">
        <f>IFERROR(VLOOKUP($A856,APOIO!$A:$A,1,FALSE),"ERRO")</f>
        <v>ERRO</v>
      </c>
      <c r="Z856"/>
    </row>
    <row r="857" spans="1:26" ht="15" x14ac:dyDescent="0.25">
      <c r="A857" s="94"/>
      <c r="B857" s="32" t="str">
        <f>IF($A857="","",VLOOKUP($A857,APOIO!$A:$E,2,FALSE))</f>
        <v/>
      </c>
      <c r="C857" s="94"/>
      <c r="D857" s="32" t="str">
        <f>IF($A857="","",INDEX(APOIO!$D:$D,MATCH(CONCATENATE($A857,"_",$B857,"_",$C857),APOIO!$F:$F,0)))</f>
        <v/>
      </c>
      <c r="E857" s="31"/>
      <c r="F857" s="31"/>
      <c r="G857" s="33"/>
      <c r="H857" s="105"/>
      <c r="I857" s="32" t="str">
        <f>IF($A857="","",VLOOKUP($H857,APOIO!$L:$M,2,FALSE))</f>
        <v/>
      </c>
      <c r="J857" s="31"/>
      <c r="K857" s="32" t="str">
        <f>IF($A857="","",VLOOKUP($J857,APOIO!$H:$J,2,FALSE))</f>
        <v/>
      </c>
      <c r="L857" s="32" t="str">
        <f>IF($A857="","",VLOOKUP($J857,APOIO!$H:$J,3,FALSE))</f>
        <v/>
      </c>
      <c r="M857" s="31"/>
      <c r="N857" s="34"/>
      <c r="O857" s="32"/>
      <c r="P857" s="32"/>
      <c r="Q857" s="32"/>
      <c r="R857" s="32"/>
      <c r="S857" s="35"/>
      <c r="T857" s="91"/>
      <c r="U857" s="60"/>
      <c r="V857" s="36"/>
      <c r="W857" s="31"/>
      <c r="X857" s="59"/>
      <c r="Y857" s="59" t="str">
        <f>IFERROR(VLOOKUP($A857,APOIO!$A:$A,1,FALSE),"ERRO")</f>
        <v>ERRO</v>
      </c>
      <c r="Z857"/>
    </row>
    <row r="858" spans="1:26" ht="15" x14ac:dyDescent="0.25">
      <c r="A858" s="94"/>
      <c r="B858" s="32" t="str">
        <f>IF($A858="","",VLOOKUP($A858,APOIO!$A:$E,2,FALSE))</f>
        <v/>
      </c>
      <c r="C858" s="94"/>
      <c r="D858" s="32" t="str">
        <f>IF($A858="","",INDEX(APOIO!$D:$D,MATCH(CONCATENATE($A858,"_",$B858,"_",$C858),APOIO!$F:$F,0)))</f>
        <v/>
      </c>
      <c r="E858" s="31"/>
      <c r="F858" s="31"/>
      <c r="G858" s="33"/>
      <c r="H858" s="105"/>
      <c r="I858" s="32" t="str">
        <f>IF($A858="","",VLOOKUP($H858,APOIO!$L:$M,2,FALSE))</f>
        <v/>
      </c>
      <c r="J858" s="31"/>
      <c r="K858" s="32" t="str">
        <f>IF($A858="","",VLOOKUP($J858,APOIO!$H:$J,2,FALSE))</f>
        <v/>
      </c>
      <c r="L858" s="32" t="str">
        <f>IF($A858="","",VLOOKUP($J858,APOIO!$H:$J,3,FALSE))</f>
        <v/>
      </c>
      <c r="M858" s="31"/>
      <c r="N858" s="34"/>
      <c r="O858" s="32"/>
      <c r="P858" s="32"/>
      <c r="Q858" s="32"/>
      <c r="R858" s="32"/>
      <c r="S858" s="35"/>
      <c r="T858" s="91"/>
      <c r="U858" s="60"/>
      <c r="V858" s="36"/>
      <c r="W858" s="31"/>
      <c r="X858" s="59"/>
      <c r="Y858" s="59" t="str">
        <f>IFERROR(VLOOKUP($A858,APOIO!$A:$A,1,FALSE),"ERRO")</f>
        <v>ERRO</v>
      </c>
      <c r="Z858"/>
    </row>
    <row r="859" spans="1:26" ht="15" x14ac:dyDescent="0.25">
      <c r="A859" s="94"/>
      <c r="B859" s="32" t="str">
        <f>IF($A859="","",VLOOKUP($A859,APOIO!$A:$E,2,FALSE))</f>
        <v/>
      </c>
      <c r="C859" s="94"/>
      <c r="D859" s="32" t="str">
        <f>IF($A859="","",INDEX(APOIO!$D:$D,MATCH(CONCATENATE($A859,"_",$B859,"_",$C859),APOIO!$F:$F,0)))</f>
        <v/>
      </c>
      <c r="E859" s="31"/>
      <c r="F859" s="31"/>
      <c r="G859" s="33"/>
      <c r="H859" s="105"/>
      <c r="I859" s="32" t="str">
        <f>IF($A859="","",VLOOKUP($H859,APOIO!$L:$M,2,FALSE))</f>
        <v/>
      </c>
      <c r="J859" s="31"/>
      <c r="K859" s="32" t="str">
        <f>IF($A859="","",VLOOKUP($J859,APOIO!$H:$J,2,FALSE))</f>
        <v/>
      </c>
      <c r="L859" s="32" t="str">
        <f>IF($A859="","",VLOOKUP($J859,APOIO!$H:$J,3,FALSE))</f>
        <v/>
      </c>
      <c r="M859" s="31"/>
      <c r="N859" s="34"/>
      <c r="O859" s="32"/>
      <c r="P859" s="32"/>
      <c r="Q859" s="32"/>
      <c r="R859" s="32"/>
      <c r="S859" s="35"/>
      <c r="T859" s="91"/>
      <c r="U859" s="60"/>
      <c r="V859" s="36"/>
      <c r="W859" s="31"/>
      <c r="X859" s="59"/>
      <c r="Y859" s="59" t="str">
        <f>IFERROR(VLOOKUP($A859,APOIO!$A:$A,1,FALSE),"ERRO")</f>
        <v>ERRO</v>
      </c>
      <c r="Z859"/>
    </row>
    <row r="860" spans="1:26" ht="15" x14ac:dyDescent="0.25">
      <c r="A860" s="94"/>
      <c r="B860" s="32" t="str">
        <f>IF($A860="","",VLOOKUP($A860,APOIO!$A:$E,2,FALSE))</f>
        <v/>
      </c>
      <c r="C860" s="94"/>
      <c r="D860" s="32" t="str">
        <f>IF($A860="","",INDEX(APOIO!$D:$D,MATCH(CONCATENATE($A860,"_",$B860,"_",$C860),APOIO!$F:$F,0)))</f>
        <v/>
      </c>
      <c r="E860" s="31"/>
      <c r="F860" s="31"/>
      <c r="G860" s="33"/>
      <c r="H860" s="105"/>
      <c r="I860" s="32" t="str">
        <f>IF($A860="","",VLOOKUP($H860,APOIO!$L:$M,2,FALSE))</f>
        <v/>
      </c>
      <c r="J860" s="31"/>
      <c r="K860" s="32" t="str">
        <f>IF($A860="","",VLOOKUP($J860,APOIO!$H:$J,2,FALSE))</f>
        <v/>
      </c>
      <c r="L860" s="32" t="str">
        <f>IF($A860="","",VLOOKUP($J860,APOIO!$H:$J,3,FALSE))</f>
        <v/>
      </c>
      <c r="M860" s="31"/>
      <c r="N860" s="34"/>
      <c r="O860" s="32"/>
      <c r="P860" s="32"/>
      <c r="Q860" s="32"/>
      <c r="R860" s="32"/>
      <c r="S860" s="35"/>
      <c r="T860" s="91"/>
      <c r="U860" s="60"/>
      <c r="V860" s="36"/>
      <c r="W860" s="31"/>
      <c r="X860" s="59"/>
      <c r="Y860" s="59" t="str">
        <f>IFERROR(VLOOKUP($A860,APOIO!$A:$A,1,FALSE),"ERRO")</f>
        <v>ERRO</v>
      </c>
      <c r="Z860"/>
    </row>
    <row r="861" spans="1:26" ht="15" x14ac:dyDescent="0.25">
      <c r="A861" s="94"/>
      <c r="B861" s="32" t="str">
        <f>IF($A861="","",VLOOKUP($A861,APOIO!$A:$E,2,FALSE))</f>
        <v/>
      </c>
      <c r="C861" s="94"/>
      <c r="D861" s="32" t="str">
        <f>IF($A861="","",INDEX(APOIO!$D:$D,MATCH(CONCATENATE($A861,"_",$B861,"_",$C861),APOIO!$F:$F,0)))</f>
        <v/>
      </c>
      <c r="E861" s="31"/>
      <c r="F861" s="31"/>
      <c r="G861" s="33"/>
      <c r="H861" s="105"/>
      <c r="I861" s="32" t="str">
        <f>IF($A861="","",VLOOKUP($H861,APOIO!$L:$M,2,FALSE))</f>
        <v/>
      </c>
      <c r="J861" s="31"/>
      <c r="K861" s="32" t="str">
        <f>IF($A861="","",VLOOKUP($J861,APOIO!$H:$J,2,FALSE))</f>
        <v/>
      </c>
      <c r="L861" s="32" t="str">
        <f>IF($A861="","",VLOOKUP($J861,APOIO!$H:$J,3,FALSE))</f>
        <v/>
      </c>
      <c r="M861" s="31"/>
      <c r="N861" s="34"/>
      <c r="O861" s="32"/>
      <c r="P861" s="32"/>
      <c r="Q861" s="32"/>
      <c r="R861" s="32"/>
      <c r="S861" s="35"/>
      <c r="T861" s="91"/>
      <c r="U861" s="60"/>
      <c r="V861" s="36"/>
      <c r="W861" s="31"/>
      <c r="X861" s="59"/>
      <c r="Y861" s="59" t="str">
        <f>IFERROR(VLOOKUP($A861,APOIO!$A:$A,1,FALSE),"ERRO")</f>
        <v>ERRO</v>
      </c>
      <c r="Z861"/>
    </row>
    <row r="862" spans="1:26" ht="15" x14ac:dyDescent="0.25">
      <c r="A862" s="94"/>
      <c r="B862" s="32" t="str">
        <f>IF($A862="","",VLOOKUP($A862,APOIO!$A:$E,2,FALSE))</f>
        <v/>
      </c>
      <c r="C862" s="94"/>
      <c r="D862" s="32" t="str">
        <f>IF($A862="","",INDEX(APOIO!$D:$D,MATCH(CONCATENATE($A862,"_",$B862,"_",$C862),APOIO!$F:$F,0)))</f>
        <v/>
      </c>
      <c r="E862" s="31"/>
      <c r="F862" s="31"/>
      <c r="G862" s="33"/>
      <c r="H862" s="105"/>
      <c r="I862" s="32" t="str">
        <f>IF($A862="","",VLOOKUP($H862,APOIO!$L:$M,2,FALSE))</f>
        <v/>
      </c>
      <c r="J862" s="31"/>
      <c r="K862" s="32" t="str">
        <f>IF($A862="","",VLOOKUP($J862,APOIO!$H:$J,2,FALSE))</f>
        <v/>
      </c>
      <c r="L862" s="32" t="str">
        <f>IF($A862="","",VLOOKUP($J862,APOIO!$H:$J,3,FALSE))</f>
        <v/>
      </c>
      <c r="M862" s="31"/>
      <c r="N862" s="34"/>
      <c r="O862" s="32"/>
      <c r="P862" s="32"/>
      <c r="Q862" s="32"/>
      <c r="R862" s="32"/>
      <c r="S862" s="35"/>
      <c r="T862" s="91"/>
      <c r="U862" s="60"/>
      <c r="V862" s="36"/>
      <c r="W862" s="31"/>
      <c r="X862" s="59"/>
      <c r="Y862" s="59" t="str">
        <f>IFERROR(VLOOKUP($A862,APOIO!$A:$A,1,FALSE),"ERRO")</f>
        <v>ERRO</v>
      </c>
      <c r="Z862"/>
    </row>
    <row r="863" spans="1:26" ht="15" x14ac:dyDescent="0.25">
      <c r="A863" s="94"/>
      <c r="B863" s="32" t="str">
        <f>IF($A863="","",VLOOKUP($A863,APOIO!$A:$E,2,FALSE))</f>
        <v/>
      </c>
      <c r="C863" s="94"/>
      <c r="D863" s="32" t="str">
        <f>IF($A863="","",INDEX(APOIO!$D:$D,MATCH(CONCATENATE($A863,"_",$B863,"_",$C863),APOIO!$F:$F,0)))</f>
        <v/>
      </c>
      <c r="E863" s="31"/>
      <c r="F863" s="31"/>
      <c r="G863" s="33"/>
      <c r="H863" s="105"/>
      <c r="I863" s="32" t="str">
        <f>IF($A863="","",VLOOKUP($H863,APOIO!$L:$M,2,FALSE))</f>
        <v/>
      </c>
      <c r="J863" s="31"/>
      <c r="K863" s="32" t="str">
        <f>IF($A863="","",VLOOKUP($J863,APOIO!$H:$J,2,FALSE))</f>
        <v/>
      </c>
      <c r="L863" s="32" t="str">
        <f>IF($A863="","",VLOOKUP($J863,APOIO!$H:$J,3,FALSE))</f>
        <v/>
      </c>
      <c r="M863" s="31"/>
      <c r="N863" s="34"/>
      <c r="O863" s="32"/>
      <c r="P863" s="32"/>
      <c r="Q863" s="32"/>
      <c r="R863" s="32"/>
      <c r="S863" s="35"/>
      <c r="T863" s="91"/>
      <c r="U863" s="60"/>
      <c r="V863" s="36"/>
      <c r="W863" s="31"/>
      <c r="X863" s="59"/>
      <c r="Y863" s="59" t="str">
        <f>IFERROR(VLOOKUP($A863,APOIO!$A:$A,1,FALSE),"ERRO")</f>
        <v>ERRO</v>
      </c>
      <c r="Z863"/>
    </row>
    <row r="864" spans="1:26" ht="15" x14ac:dyDescent="0.25">
      <c r="A864" s="94"/>
      <c r="B864" s="32" t="str">
        <f>IF($A864="","",VLOOKUP($A864,APOIO!$A:$E,2,FALSE))</f>
        <v/>
      </c>
      <c r="C864" s="94"/>
      <c r="D864" s="32" t="str">
        <f>IF($A864="","",INDEX(APOIO!$D:$D,MATCH(CONCATENATE($A864,"_",$B864,"_",$C864),APOIO!$F:$F,0)))</f>
        <v/>
      </c>
      <c r="E864" s="31"/>
      <c r="F864" s="31"/>
      <c r="G864" s="33"/>
      <c r="H864" s="105"/>
      <c r="I864" s="32" t="str">
        <f>IF($A864="","",VLOOKUP($H864,APOIO!$L:$M,2,FALSE))</f>
        <v/>
      </c>
      <c r="J864" s="31"/>
      <c r="K864" s="32" t="str">
        <f>IF($A864="","",VLOOKUP($J864,APOIO!$H:$J,2,FALSE))</f>
        <v/>
      </c>
      <c r="L864" s="32" t="str">
        <f>IF($A864="","",VLOOKUP($J864,APOIO!$H:$J,3,FALSE))</f>
        <v/>
      </c>
      <c r="M864" s="31"/>
      <c r="N864" s="34"/>
      <c r="O864" s="32"/>
      <c r="P864" s="32"/>
      <c r="Q864" s="32"/>
      <c r="R864" s="32"/>
      <c r="S864" s="35"/>
      <c r="T864" s="91"/>
      <c r="U864" s="60"/>
      <c r="V864" s="36"/>
      <c r="W864" s="31"/>
      <c r="X864" s="59"/>
      <c r="Y864" s="59" t="str">
        <f>IFERROR(VLOOKUP($A864,APOIO!$A:$A,1,FALSE),"ERRO")</f>
        <v>ERRO</v>
      </c>
      <c r="Z864"/>
    </row>
    <row r="865" spans="1:26" ht="15" x14ac:dyDescent="0.25">
      <c r="A865" s="94"/>
      <c r="B865" s="32" t="str">
        <f>IF($A865="","",VLOOKUP($A865,APOIO!$A:$E,2,FALSE))</f>
        <v/>
      </c>
      <c r="C865" s="94"/>
      <c r="D865" s="32" t="str">
        <f>IF($A865="","",INDEX(APOIO!$D:$D,MATCH(CONCATENATE($A865,"_",$B865,"_",$C865),APOIO!$F:$F,0)))</f>
        <v/>
      </c>
      <c r="E865" s="31"/>
      <c r="F865" s="31"/>
      <c r="G865" s="33"/>
      <c r="H865" s="105"/>
      <c r="I865" s="32" t="str">
        <f>IF($A865="","",VLOOKUP($H865,APOIO!$L:$M,2,FALSE))</f>
        <v/>
      </c>
      <c r="J865" s="31"/>
      <c r="K865" s="32" t="str">
        <f>IF($A865="","",VLOOKUP($J865,APOIO!$H:$J,2,FALSE))</f>
        <v/>
      </c>
      <c r="L865" s="32" t="str">
        <f>IF($A865="","",VLOOKUP($J865,APOIO!$H:$J,3,FALSE))</f>
        <v/>
      </c>
      <c r="M865" s="31"/>
      <c r="N865" s="34"/>
      <c r="O865" s="32"/>
      <c r="P865" s="32"/>
      <c r="Q865" s="32"/>
      <c r="R865" s="32"/>
      <c r="S865" s="35"/>
      <c r="T865" s="91"/>
      <c r="U865" s="60"/>
      <c r="V865" s="36"/>
      <c r="W865" s="31"/>
      <c r="X865" s="59"/>
      <c r="Y865" s="59" t="str">
        <f>IFERROR(VLOOKUP($A865,APOIO!$A:$A,1,FALSE),"ERRO")</f>
        <v>ERRO</v>
      </c>
      <c r="Z865"/>
    </row>
    <row r="866" spans="1:26" ht="15" x14ac:dyDescent="0.25">
      <c r="A866" s="94"/>
      <c r="B866" s="32" t="str">
        <f>IF($A866="","",VLOOKUP($A866,APOIO!$A:$E,2,FALSE))</f>
        <v/>
      </c>
      <c r="C866" s="94"/>
      <c r="D866" s="32" t="str">
        <f>IF($A866="","",INDEX(APOIO!$D:$D,MATCH(CONCATENATE($A866,"_",$B866,"_",$C866),APOIO!$F:$F,0)))</f>
        <v/>
      </c>
      <c r="E866" s="31"/>
      <c r="F866" s="31"/>
      <c r="G866" s="33"/>
      <c r="H866" s="105"/>
      <c r="I866" s="32" t="str">
        <f>IF($A866="","",VLOOKUP($H866,APOIO!$L:$M,2,FALSE))</f>
        <v/>
      </c>
      <c r="J866" s="31"/>
      <c r="K866" s="32" t="str">
        <f>IF($A866="","",VLOOKUP($J866,APOIO!$H:$J,2,FALSE))</f>
        <v/>
      </c>
      <c r="L866" s="32" t="str">
        <f>IF($A866="","",VLOOKUP($J866,APOIO!$H:$J,3,FALSE))</f>
        <v/>
      </c>
      <c r="M866" s="31"/>
      <c r="N866" s="34"/>
      <c r="O866" s="32"/>
      <c r="P866" s="32"/>
      <c r="Q866" s="32"/>
      <c r="R866" s="32"/>
      <c r="S866" s="35"/>
      <c r="T866" s="91"/>
      <c r="U866" s="60"/>
      <c r="V866" s="36"/>
      <c r="W866" s="31"/>
      <c r="X866" s="59"/>
      <c r="Y866" s="59" t="str">
        <f>IFERROR(VLOOKUP($A866,APOIO!$A:$A,1,FALSE),"ERRO")</f>
        <v>ERRO</v>
      </c>
      <c r="Z866"/>
    </row>
    <row r="867" spans="1:26" ht="15" x14ac:dyDescent="0.25">
      <c r="A867" s="94"/>
      <c r="B867" s="32" t="str">
        <f>IF($A867="","",VLOOKUP($A867,APOIO!$A:$E,2,FALSE))</f>
        <v/>
      </c>
      <c r="C867" s="94"/>
      <c r="D867" s="32" t="str">
        <f>IF($A867="","",INDEX(APOIO!$D:$D,MATCH(CONCATENATE($A867,"_",$B867,"_",$C867),APOIO!$F:$F,0)))</f>
        <v/>
      </c>
      <c r="E867" s="31"/>
      <c r="F867" s="31"/>
      <c r="G867" s="33"/>
      <c r="H867" s="105"/>
      <c r="I867" s="32" t="str">
        <f>IF($A867="","",VLOOKUP($H867,APOIO!$L:$M,2,FALSE))</f>
        <v/>
      </c>
      <c r="J867" s="31"/>
      <c r="K867" s="32" t="str">
        <f>IF($A867="","",VLOOKUP($J867,APOIO!$H:$J,2,FALSE))</f>
        <v/>
      </c>
      <c r="L867" s="32" t="str">
        <f>IF($A867="","",VLOOKUP($J867,APOIO!$H:$J,3,FALSE))</f>
        <v/>
      </c>
      <c r="M867" s="31"/>
      <c r="N867" s="34"/>
      <c r="O867" s="32"/>
      <c r="P867" s="32"/>
      <c r="Q867" s="32"/>
      <c r="R867" s="32"/>
      <c r="S867" s="35"/>
      <c r="T867" s="91"/>
      <c r="U867" s="60"/>
      <c r="V867" s="36"/>
      <c r="W867" s="31"/>
      <c r="X867" s="59"/>
      <c r="Y867" s="59" t="str">
        <f>IFERROR(VLOOKUP($A867,APOIO!$A:$A,1,FALSE),"ERRO")</f>
        <v>ERRO</v>
      </c>
      <c r="Z867"/>
    </row>
    <row r="868" spans="1:26" ht="15" x14ac:dyDescent="0.25">
      <c r="A868" s="94"/>
      <c r="B868" s="32" t="str">
        <f>IF($A868="","",VLOOKUP($A868,APOIO!$A:$E,2,FALSE))</f>
        <v/>
      </c>
      <c r="C868" s="94"/>
      <c r="D868" s="32" t="str">
        <f>IF($A868="","",INDEX(APOIO!$D:$D,MATCH(CONCATENATE($A868,"_",$B868,"_",$C868),APOIO!$F:$F,0)))</f>
        <v/>
      </c>
      <c r="E868" s="31"/>
      <c r="F868" s="31"/>
      <c r="G868" s="33"/>
      <c r="H868" s="105"/>
      <c r="I868" s="32" t="str">
        <f>IF($A868="","",VLOOKUP($H868,APOIO!$L:$M,2,FALSE))</f>
        <v/>
      </c>
      <c r="J868" s="31"/>
      <c r="K868" s="32" t="str">
        <f>IF($A868="","",VLOOKUP($J868,APOIO!$H:$J,2,FALSE))</f>
        <v/>
      </c>
      <c r="L868" s="32" t="str">
        <f>IF($A868="","",VLOOKUP($J868,APOIO!$H:$J,3,FALSE))</f>
        <v/>
      </c>
      <c r="M868" s="31"/>
      <c r="N868" s="34"/>
      <c r="O868" s="32"/>
      <c r="P868" s="32"/>
      <c r="Q868" s="32"/>
      <c r="R868" s="32"/>
      <c r="S868" s="35"/>
      <c r="T868" s="91"/>
      <c r="U868" s="60"/>
      <c r="V868" s="36"/>
      <c r="W868" s="31"/>
      <c r="X868" s="59"/>
      <c r="Y868" s="59" t="str">
        <f>IFERROR(VLOOKUP($A868,APOIO!$A:$A,1,FALSE),"ERRO")</f>
        <v>ERRO</v>
      </c>
      <c r="Z868"/>
    </row>
    <row r="869" spans="1:26" ht="15" x14ac:dyDescent="0.25">
      <c r="A869" s="94"/>
      <c r="B869" s="32" t="str">
        <f>IF($A869="","",VLOOKUP($A869,APOIO!$A:$E,2,FALSE))</f>
        <v/>
      </c>
      <c r="C869" s="94"/>
      <c r="D869" s="32" t="str">
        <f>IF($A869="","",INDEX(APOIO!$D:$D,MATCH(CONCATENATE($A869,"_",$B869,"_",$C869),APOIO!$F:$F,0)))</f>
        <v/>
      </c>
      <c r="E869" s="31"/>
      <c r="F869" s="31"/>
      <c r="G869" s="33"/>
      <c r="H869" s="105"/>
      <c r="I869" s="32" t="str">
        <f>IF($A869="","",VLOOKUP($H869,APOIO!$L:$M,2,FALSE))</f>
        <v/>
      </c>
      <c r="J869" s="31"/>
      <c r="K869" s="32" t="str">
        <f>IF($A869="","",VLOOKUP($J869,APOIO!$H:$J,2,FALSE))</f>
        <v/>
      </c>
      <c r="L869" s="32" t="str">
        <f>IF($A869="","",VLOOKUP($J869,APOIO!$H:$J,3,FALSE))</f>
        <v/>
      </c>
      <c r="M869" s="31"/>
      <c r="N869" s="34"/>
      <c r="O869" s="32"/>
      <c r="P869" s="32"/>
      <c r="Q869" s="32"/>
      <c r="R869" s="32"/>
      <c r="S869" s="35"/>
      <c r="T869" s="91"/>
      <c r="U869" s="60"/>
      <c r="V869" s="36"/>
      <c r="W869" s="31"/>
      <c r="X869" s="59"/>
      <c r="Y869" s="59" t="str">
        <f>IFERROR(VLOOKUP($A869,APOIO!$A:$A,1,FALSE),"ERRO")</f>
        <v>ERRO</v>
      </c>
      <c r="Z869"/>
    </row>
    <row r="870" spans="1:26" ht="15" x14ac:dyDescent="0.25">
      <c r="A870" s="94"/>
      <c r="B870" s="32" t="str">
        <f>IF($A870="","",VLOOKUP($A870,APOIO!$A:$E,2,FALSE))</f>
        <v/>
      </c>
      <c r="C870" s="94"/>
      <c r="D870" s="32" t="str">
        <f>IF($A870="","",INDEX(APOIO!$D:$D,MATCH(CONCATENATE($A870,"_",$B870,"_",$C870),APOIO!$F:$F,0)))</f>
        <v/>
      </c>
      <c r="E870" s="31"/>
      <c r="F870" s="31"/>
      <c r="G870" s="33"/>
      <c r="H870" s="105"/>
      <c r="I870" s="32" t="str">
        <f>IF($A870="","",VLOOKUP($H870,APOIO!$L:$M,2,FALSE))</f>
        <v/>
      </c>
      <c r="J870" s="31"/>
      <c r="K870" s="32" t="str">
        <f>IF($A870="","",VLOOKUP($J870,APOIO!$H:$J,2,FALSE))</f>
        <v/>
      </c>
      <c r="L870" s="32" t="str">
        <f>IF($A870="","",VLOOKUP($J870,APOIO!$H:$J,3,FALSE))</f>
        <v/>
      </c>
      <c r="M870" s="31"/>
      <c r="N870" s="34"/>
      <c r="O870" s="32"/>
      <c r="P870" s="32"/>
      <c r="Q870" s="32"/>
      <c r="R870" s="32"/>
      <c r="S870" s="35"/>
      <c r="T870" s="91"/>
      <c r="U870" s="60"/>
      <c r="V870" s="36"/>
      <c r="W870" s="31"/>
      <c r="X870" s="59"/>
      <c r="Y870" s="59" t="str">
        <f>IFERROR(VLOOKUP($A870,APOIO!$A:$A,1,FALSE),"ERRO")</f>
        <v>ERRO</v>
      </c>
      <c r="Z870"/>
    </row>
    <row r="871" spans="1:26" ht="15" x14ac:dyDescent="0.25">
      <c r="A871" s="94"/>
      <c r="B871" s="32" t="str">
        <f>IF($A871="","",VLOOKUP($A871,APOIO!$A:$E,2,FALSE))</f>
        <v/>
      </c>
      <c r="C871" s="94"/>
      <c r="D871" s="32" t="str">
        <f>IF($A871="","",INDEX(APOIO!$D:$D,MATCH(CONCATENATE($A871,"_",$B871,"_",$C871),APOIO!$F:$F,0)))</f>
        <v/>
      </c>
      <c r="E871" s="31"/>
      <c r="F871" s="31"/>
      <c r="G871" s="33"/>
      <c r="H871" s="105"/>
      <c r="I871" s="32" t="str">
        <f>IF($A871="","",VLOOKUP($H871,APOIO!$L:$M,2,FALSE))</f>
        <v/>
      </c>
      <c r="J871" s="31"/>
      <c r="K871" s="32" t="str">
        <f>IF($A871="","",VLOOKUP($J871,APOIO!$H:$J,2,FALSE))</f>
        <v/>
      </c>
      <c r="L871" s="32" t="str">
        <f>IF($A871="","",VLOOKUP($J871,APOIO!$H:$J,3,FALSE))</f>
        <v/>
      </c>
      <c r="M871" s="31"/>
      <c r="N871" s="34"/>
      <c r="O871" s="32"/>
      <c r="P871" s="32"/>
      <c r="Q871" s="32"/>
      <c r="R871" s="32"/>
      <c r="S871" s="35"/>
      <c r="T871" s="91"/>
      <c r="U871" s="60"/>
      <c r="V871" s="36"/>
      <c r="W871" s="31"/>
      <c r="X871" s="59"/>
      <c r="Y871" s="59" t="str">
        <f>IFERROR(VLOOKUP($A871,APOIO!$A:$A,1,FALSE),"ERRO")</f>
        <v>ERRO</v>
      </c>
      <c r="Z871"/>
    </row>
    <row r="872" spans="1:26" ht="15" x14ac:dyDescent="0.25">
      <c r="A872" s="94"/>
      <c r="B872" s="32" t="str">
        <f>IF($A872="","",VLOOKUP($A872,APOIO!$A:$E,2,FALSE))</f>
        <v/>
      </c>
      <c r="C872" s="94"/>
      <c r="D872" s="32" t="str">
        <f>IF($A872="","",INDEX(APOIO!$D:$D,MATCH(CONCATENATE($A872,"_",$B872,"_",$C872),APOIO!$F:$F,0)))</f>
        <v/>
      </c>
      <c r="E872" s="31"/>
      <c r="F872" s="31"/>
      <c r="G872" s="33"/>
      <c r="H872" s="105"/>
      <c r="I872" s="32" t="str">
        <f>IF($A872="","",VLOOKUP($H872,APOIO!$L:$M,2,FALSE))</f>
        <v/>
      </c>
      <c r="J872" s="31"/>
      <c r="K872" s="32" t="str">
        <f>IF($A872="","",VLOOKUP($J872,APOIO!$H:$J,2,FALSE))</f>
        <v/>
      </c>
      <c r="L872" s="32" t="str">
        <f>IF($A872="","",VLOOKUP($J872,APOIO!$H:$J,3,FALSE))</f>
        <v/>
      </c>
      <c r="M872" s="31"/>
      <c r="N872" s="34"/>
      <c r="O872" s="32"/>
      <c r="P872" s="32"/>
      <c r="Q872" s="32"/>
      <c r="R872" s="32"/>
      <c r="S872" s="35"/>
      <c r="T872" s="91"/>
      <c r="U872" s="60"/>
      <c r="V872" s="36"/>
      <c r="W872" s="31"/>
      <c r="X872" s="59"/>
      <c r="Y872" s="59" t="str">
        <f>IFERROR(VLOOKUP($A872,APOIO!$A:$A,1,FALSE),"ERRO")</f>
        <v>ERRO</v>
      </c>
      <c r="Z872"/>
    </row>
    <row r="873" spans="1:26" ht="15" x14ac:dyDescent="0.25">
      <c r="A873" s="94"/>
      <c r="B873" s="32" t="str">
        <f>IF($A873="","",VLOOKUP($A873,APOIO!$A:$E,2,FALSE))</f>
        <v/>
      </c>
      <c r="C873" s="94"/>
      <c r="D873" s="32" t="str">
        <f>IF($A873="","",INDEX(APOIO!$D:$D,MATCH(CONCATENATE($A873,"_",$B873,"_",$C873),APOIO!$F:$F,0)))</f>
        <v/>
      </c>
      <c r="E873" s="31"/>
      <c r="F873" s="31"/>
      <c r="G873" s="33"/>
      <c r="H873" s="105"/>
      <c r="I873" s="32" t="str">
        <f>IF($A873="","",VLOOKUP($H873,APOIO!$L:$M,2,FALSE))</f>
        <v/>
      </c>
      <c r="J873" s="31"/>
      <c r="K873" s="32" t="str">
        <f>IF($A873="","",VLOOKUP($J873,APOIO!$H:$J,2,FALSE))</f>
        <v/>
      </c>
      <c r="L873" s="32" t="str">
        <f>IF($A873="","",VLOOKUP($J873,APOIO!$H:$J,3,FALSE))</f>
        <v/>
      </c>
      <c r="M873" s="31"/>
      <c r="N873" s="34"/>
      <c r="O873" s="32"/>
      <c r="P873" s="32"/>
      <c r="Q873" s="32"/>
      <c r="R873" s="32"/>
      <c r="S873" s="35"/>
      <c r="T873" s="91"/>
      <c r="U873" s="60"/>
      <c r="V873" s="36"/>
      <c r="W873" s="31"/>
      <c r="X873" s="59"/>
      <c r="Y873" s="59" t="str">
        <f>IFERROR(VLOOKUP($A873,APOIO!$A:$A,1,FALSE),"ERRO")</f>
        <v>ERRO</v>
      </c>
      <c r="Z873"/>
    </row>
    <row r="874" spans="1:26" ht="15" x14ac:dyDescent="0.25">
      <c r="A874" s="94"/>
      <c r="B874" s="32" t="str">
        <f>IF($A874="","",VLOOKUP($A874,APOIO!$A:$E,2,FALSE))</f>
        <v/>
      </c>
      <c r="C874" s="94"/>
      <c r="D874" s="32" t="str">
        <f>IF($A874="","",INDEX(APOIO!$D:$D,MATCH(CONCATENATE($A874,"_",$B874,"_",$C874),APOIO!$F:$F,0)))</f>
        <v/>
      </c>
      <c r="E874" s="31"/>
      <c r="F874" s="31"/>
      <c r="G874" s="33"/>
      <c r="H874" s="105"/>
      <c r="I874" s="32" t="str">
        <f>IF($A874="","",VLOOKUP($H874,APOIO!$L:$M,2,FALSE))</f>
        <v/>
      </c>
      <c r="J874" s="31"/>
      <c r="K874" s="32" t="str">
        <f>IF($A874="","",VLOOKUP($J874,APOIO!$H:$J,2,FALSE))</f>
        <v/>
      </c>
      <c r="L874" s="32" t="str">
        <f>IF($A874="","",VLOOKUP($J874,APOIO!$H:$J,3,FALSE))</f>
        <v/>
      </c>
      <c r="M874" s="31"/>
      <c r="N874" s="34"/>
      <c r="O874" s="32"/>
      <c r="P874" s="32"/>
      <c r="Q874" s="32"/>
      <c r="R874" s="32"/>
      <c r="S874" s="35"/>
      <c r="T874" s="91"/>
      <c r="U874" s="60"/>
      <c r="V874" s="36"/>
      <c r="W874" s="31"/>
      <c r="X874" s="59"/>
      <c r="Y874" s="59" t="str">
        <f>IFERROR(VLOOKUP($A874,APOIO!$A:$A,1,FALSE),"ERRO")</f>
        <v>ERRO</v>
      </c>
      <c r="Z874"/>
    </row>
    <row r="875" spans="1:26" ht="15" x14ac:dyDescent="0.25">
      <c r="A875" s="94"/>
      <c r="B875" s="32" t="str">
        <f>IF($A875="","",VLOOKUP($A875,APOIO!$A:$E,2,FALSE))</f>
        <v/>
      </c>
      <c r="C875" s="94"/>
      <c r="D875" s="32" t="str">
        <f>IF($A875="","",INDEX(APOIO!$D:$D,MATCH(CONCATENATE($A875,"_",$B875,"_",$C875),APOIO!$F:$F,0)))</f>
        <v/>
      </c>
      <c r="E875" s="31"/>
      <c r="F875" s="31"/>
      <c r="G875" s="33"/>
      <c r="H875" s="105"/>
      <c r="I875" s="32" t="str">
        <f>IF($A875="","",VLOOKUP($H875,APOIO!$L:$M,2,FALSE))</f>
        <v/>
      </c>
      <c r="J875" s="31"/>
      <c r="K875" s="32" t="str">
        <f>IF($A875="","",VLOOKUP($J875,APOIO!$H:$J,2,FALSE))</f>
        <v/>
      </c>
      <c r="L875" s="32" t="str">
        <f>IF($A875="","",VLOOKUP($J875,APOIO!$H:$J,3,FALSE))</f>
        <v/>
      </c>
      <c r="M875" s="31"/>
      <c r="N875" s="34"/>
      <c r="O875" s="32"/>
      <c r="P875" s="32"/>
      <c r="Q875" s="32"/>
      <c r="R875" s="32"/>
      <c r="S875" s="35"/>
      <c r="T875" s="91"/>
      <c r="U875" s="60"/>
      <c r="V875" s="36"/>
      <c r="W875" s="31"/>
      <c r="X875" s="59"/>
      <c r="Y875" s="59" t="str">
        <f>IFERROR(VLOOKUP($A875,APOIO!$A:$A,1,FALSE),"ERRO")</f>
        <v>ERRO</v>
      </c>
      <c r="Z875"/>
    </row>
    <row r="876" spans="1:26" ht="15" x14ac:dyDescent="0.25">
      <c r="A876" s="94"/>
      <c r="B876" s="32" t="str">
        <f>IF($A876="","",VLOOKUP($A876,APOIO!$A:$E,2,FALSE))</f>
        <v/>
      </c>
      <c r="C876" s="94"/>
      <c r="D876" s="32" t="str">
        <f>IF($A876="","",INDEX(APOIO!$D:$D,MATCH(CONCATENATE($A876,"_",$B876,"_",$C876),APOIO!$F:$F,0)))</f>
        <v/>
      </c>
      <c r="E876" s="31"/>
      <c r="F876" s="31"/>
      <c r="G876" s="33"/>
      <c r="H876" s="105"/>
      <c r="I876" s="32" t="str">
        <f>IF($A876="","",VLOOKUP($H876,APOIO!$L:$M,2,FALSE))</f>
        <v/>
      </c>
      <c r="J876" s="31"/>
      <c r="K876" s="32" t="str">
        <f>IF($A876="","",VLOOKUP($J876,APOIO!$H:$J,2,FALSE))</f>
        <v/>
      </c>
      <c r="L876" s="32" t="str">
        <f>IF($A876="","",VLOOKUP($J876,APOIO!$H:$J,3,FALSE))</f>
        <v/>
      </c>
      <c r="M876" s="31"/>
      <c r="N876" s="34"/>
      <c r="O876" s="32"/>
      <c r="P876" s="32"/>
      <c r="Q876" s="32"/>
      <c r="R876" s="32"/>
      <c r="S876" s="35"/>
      <c r="T876" s="91"/>
      <c r="U876" s="60"/>
      <c r="V876" s="36"/>
      <c r="W876" s="31"/>
      <c r="X876" s="59"/>
      <c r="Y876" s="59" t="str">
        <f>IFERROR(VLOOKUP($A876,APOIO!$A:$A,1,FALSE),"ERRO")</f>
        <v>ERRO</v>
      </c>
      <c r="Z876"/>
    </row>
    <row r="877" spans="1:26" ht="15" x14ac:dyDescent="0.25">
      <c r="A877" s="94"/>
      <c r="B877" s="32" t="str">
        <f>IF($A877="","",VLOOKUP($A877,APOIO!$A:$E,2,FALSE))</f>
        <v/>
      </c>
      <c r="C877" s="94"/>
      <c r="D877" s="32" t="str">
        <f>IF($A877="","",INDEX(APOIO!$D:$D,MATCH(CONCATENATE($A877,"_",$B877,"_",$C877),APOIO!$F:$F,0)))</f>
        <v/>
      </c>
      <c r="E877" s="31"/>
      <c r="F877" s="31"/>
      <c r="G877" s="33"/>
      <c r="H877" s="105"/>
      <c r="I877" s="32" t="str">
        <f>IF($A877="","",VLOOKUP($H877,APOIO!$L:$M,2,FALSE))</f>
        <v/>
      </c>
      <c r="J877" s="31"/>
      <c r="K877" s="32" t="str">
        <f>IF($A877="","",VLOOKUP($J877,APOIO!$H:$J,2,FALSE))</f>
        <v/>
      </c>
      <c r="L877" s="32" t="str">
        <f>IF($A877="","",VLOOKUP($J877,APOIO!$H:$J,3,FALSE))</f>
        <v/>
      </c>
      <c r="M877" s="31"/>
      <c r="N877" s="34"/>
      <c r="O877" s="32"/>
      <c r="P877" s="32"/>
      <c r="Q877" s="32"/>
      <c r="R877" s="32"/>
      <c r="S877" s="35"/>
      <c r="T877" s="91"/>
      <c r="U877" s="60"/>
      <c r="V877" s="36"/>
      <c r="W877" s="31"/>
      <c r="X877" s="59"/>
      <c r="Y877" s="59" t="str">
        <f>IFERROR(VLOOKUP($A877,APOIO!$A:$A,1,FALSE),"ERRO")</f>
        <v>ERRO</v>
      </c>
      <c r="Z877"/>
    </row>
    <row r="878" spans="1:26" ht="15" x14ac:dyDescent="0.25">
      <c r="A878" s="94"/>
      <c r="B878" s="32" t="str">
        <f>IF($A878="","",VLOOKUP($A878,APOIO!$A:$E,2,FALSE))</f>
        <v/>
      </c>
      <c r="C878" s="94"/>
      <c r="D878" s="32" t="str">
        <f>IF($A878="","",INDEX(APOIO!$D:$D,MATCH(CONCATENATE($A878,"_",$B878,"_",$C878),APOIO!$F:$F,0)))</f>
        <v/>
      </c>
      <c r="E878" s="31"/>
      <c r="F878" s="31"/>
      <c r="G878" s="33"/>
      <c r="H878" s="105"/>
      <c r="I878" s="32" t="str">
        <f>IF($A878="","",VLOOKUP($H878,APOIO!$L:$M,2,FALSE))</f>
        <v/>
      </c>
      <c r="J878" s="31"/>
      <c r="K878" s="32" t="str">
        <f>IF($A878="","",VLOOKUP($J878,APOIO!$H:$J,2,FALSE))</f>
        <v/>
      </c>
      <c r="L878" s="32" t="str">
        <f>IF($A878="","",VLOOKUP($J878,APOIO!$H:$J,3,FALSE))</f>
        <v/>
      </c>
      <c r="M878" s="31"/>
      <c r="N878" s="34"/>
      <c r="O878" s="32"/>
      <c r="P878" s="32"/>
      <c r="Q878" s="32"/>
      <c r="R878" s="32"/>
      <c r="S878" s="35"/>
      <c r="T878" s="91"/>
      <c r="U878" s="60"/>
      <c r="V878" s="36"/>
      <c r="W878" s="31"/>
      <c r="X878" s="59"/>
      <c r="Y878" s="59" t="str">
        <f>IFERROR(VLOOKUP($A878,APOIO!$A:$A,1,FALSE),"ERRO")</f>
        <v>ERRO</v>
      </c>
      <c r="Z878"/>
    </row>
    <row r="879" spans="1:26" ht="15" x14ac:dyDescent="0.25">
      <c r="A879" s="94"/>
      <c r="B879" s="32" t="str">
        <f>IF($A879="","",VLOOKUP($A879,APOIO!$A:$E,2,FALSE))</f>
        <v/>
      </c>
      <c r="C879" s="94"/>
      <c r="D879" s="32" t="str">
        <f>IF($A879="","",INDEX(APOIO!$D:$D,MATCH(CONCATENATE($A879,"_",$B879,"_",$C879),APOIO!$F:$F,0)))</f>
        <v/>
      </c>
      <c r="E879" s="31"/>
      <c r="F879" s="31"/>
      <c r="G879" s="33"/>
      <c r="H879" s="105"/>
      <c r="I879" s="32" t="str">
        <f>IF($A879="","",VLOOKUP($H879,APOIO!$L:$M,2,FALSE))</f>
        <v/>
      </c>
      <c r="J879" s="31"/>
      <c r="K879" s="32" t="str">
        <f>IF($A879="","",VLOOKUP($J879,APOIO!$H:$J,2,FALSE))</f>
        <v/>
      </c>
      <c r="L879" s="32" t="str">
        <f>IF($A879="","",VLOOKUP($J879,APOIO!$H:$J,3,FALSE))</f>
        <v/>
      </c>
      <c r="M879" s="31"/>
      <c r="N879" s="34"/>
      <c r="O879" s="32"/>
      <c r="P879" s="32"/>
      <c r="Q879" s="32"/>
      <c r="R879" s="32"/>
      <c r="S879" s="35"/>
      <c r="T879" s="91"/>
      <c r="U879" s="60"/>
      <c r="V879" s="36"/>
      <c r="W879" s="31"/>
      <c r="X879" s="59"/>
      <c r="Y879" s="59" t="str">
        <f>IFERROR(VLOOKUP($A879,APOIO!$A:$A,1,FALSE),"ERRO")</f>
        <v>ERRO</v>
      </c>
      <c r="Z879"/>
    </row>
    <row r="880" spans="1:26" ht="15" x14ac:dyDescent="0.25">
      <c r="A880" s="94"/>
      <c r="B880" s="32" t="str">
        <f>IF($A880="","",VLOOKUP($A880,APOIO!$A:$E,2,FALSE))</f>
        <v/>
      </c>
      <c r="C880" s="94"/>
      <c r="D880" s="32" t="str">
        <f>IF($A880="","",INDEX(APOIO!$D:$D,MATCH(CONCATENATE($A880,"_",$B880,"_",$C880),APOIO!$F:$F,0)))</f>
        <v/>
      </c>
      <c r="E880" s="31"/>
      <c r="F880" s="31"/>
      <c r="G880" s="33"/>
      <c r="H880" s="105"/>
      <c r="I880" s="32" t="str">
        <f>IF($A880="","",VLOOKUP($H880,APOIO!$L:$M,2,FALSE))</f>
        <v/>
      </c>
      <c r="J880" s="31"/>
      <c r="K880" s="32" t="str">
        <f>IF($A880="","",VLOOKUP($J880,APOIO!$H:$J,2,FALSE))</f>
        <v/>
      </c>
      <c r="L880" s="32" t="str">
        <f>IF($A880="","",VLOOKUP($J880,APOIO!$H:$J,3,FALSE))</f>
        <v/>
      </c>
      <c r="M880" s="31"/>
      <c r="N880" s="34"/>
      <c r="O880" s="32"/>
      <c r="P880" s="32"/>
      <c r="Q880" s="32"/>
      <c r="R880" s="32"/>
      <c r="S880" s="35"/>
      <c r="T880" s="91"/>
      <c r="U880" s="60"/>
      <c r="V880" s="36"/>
      <c r="W880" s="31"/>
      <c r="X880" s="59"/>
      <c r="Y880" s="59" t="str">
        <f>IFERROR(VLOOKUP($A880,APOIO!$A:$A,1,FALSE),"ERRO")</f>
        <v>ERRO</v>
      </c>
      <c r="Z880"/>
    </row>
    <row r="881" spans="1:26" ht="15" x14ac:dyDescent="0.25">
      <c r="A881" s="94"/>
      <c r="B881" s="32" t="str">
        <f>IF($A881="","",VLOOKUP($A881,APOIO!$A:$E,2,FALSE))</f>
        <v/>
      </c>
      <c r="C881" s="94"/>
      <c r="D881" s="32" t="str">
        <f>IF($A881="","",INDEX(APOIO!$D:$D,MATCH(CONCATENATE($A881,"_",$B881,"_",$C881),APOIO!$F:$F,0)))</f>
        <v/>
      </c>
      <c r="E881" s="31"/>
      <c r="F881" s="31"/>
      <c r="G881" s="33"/>
      <c r="H881" s="105"/>
      <c r="I881" s="32" t="str">
        <f>IF($A881="","",VLOOKUP($H881,APOIO!$L:$M,2,FALSE))</f>
        <v/>
      </c>
      <c r="J881" s="31"/>
      <c r="K881" s="32" t="str">
        <f>IF($A881="","",VLOOKUP($J881,APOIO!$H:$J,2,FALSE))</f>
        <v/>
      </c>
      <c r="L881" s="32" t="str">
        <f>IF($A881="","",VLOOKUP($J881,APOIO!$H:$J,3,FALSE))</f>
        <v/>
      </c>
      <c r="M881" s="31"/>
      <c r="N881" s="34"/>
      <c r="O881" s="32"/>
      <c r="P881" s="32"/>
      <c r="Q881" s="32"/>
      <c r="R881" s="32"/>
      <c r="S881" s="35"/>
      <c r="T881" s="91"/>
      <c r="U881" s="60"/>
      <c r="V881" s="36"/>
      <c r="W881" s="31"/>
      <c r="X881" s="59"/>
      <c r="Y881" s="59" t="str">
        <f>IFERROR(VLOOKUP($A881,APOIO!$A:$A,1,FALSE),"ERRO")</f>
        <v>ERRO</v>
      </c>
      <c r="Z881"/>
    </row>
    <row r="882" spans="1:26" ht="15" x14ac:dyDescent="0.25">
      <c r="A882" s="94"/>
      <c r="B882" s="32" t="str">
        <f>IF($A882="","",VLOOKUP($A882,APOIO!$A:$E,2,FALSE))</f>
        <v/>
      </c>
      <c r="C882" s="94"/>
      <c r="D882" s="32" t="str">
        <f>IF($A882="","",INDEX(APOIO!$D:$D,MATCH(CONCATENATE($A882,"_",$B882,"_",$C882),APOIO!$F:$F,0)))</f>
        <v/>
      </c>
      <c r="E882" s="31"/>
      <c r="F882" s="31"/>
      <c r="G882" s="33"/>
      <c r="H882" s="105"/>
      <c r="I882" s="32" t="str">
        <f>IF($A882="","",VLOOKUP($H882,APOIO!$L:$M,2,FALSE))</f>
        <v/>
      </c>
      <c r="J882" s="31"/>
      <c r="K882" s="32" t="str">
        <f>IF($A882="","",VLOOKUP($J882,APOIO!$H:$J,2,FALSE))</f>
        <v/>
      </c>
      <c r="L882" s="32" t="str">
        <f>IF($A882="","",VLOOKUP($J882,APOIO!$H:$J,3,FALSE))</f>
        <v/>
      </c>
      <c r="M882" s="31"/>
      <c r="N882" s="34"/>
      <c r="O882" s="32"/>
      <c r="P882" s="32"/>
      <c r="Q882" s="32"/>
      <c r="R882" s="32"/>
      <c r="S882" s="35"/>
      <c r="T882" s="91"/>
      <c r="U882" s="60"/>
      <c r="V882" s="36"/>
      <c r="W882" s="31"/>
      <c r="X882" s="59"/>
      <c r="Y882" s="59" t="str">
        <f>IFERROR(VLOOKUP($A882,APOIO!$A:$A,1,FALSE),"ERRO")</f>
        <v>ERRO</v>
      </c>
      <c r="Z882"/>
    </row>
    <row r="883" spans="1:26" ht="15" x14ac:dyDescent="0.25">
      <c r="A883" s="94"/>
      <c r="B883" s="32" t="str">
        <f>IF($A883="","",VLOOKUP($A883,APOIO!$A:$E,2,FALSE))</f>
        <v/>
      </c>
      <c r="C883" s="94"/>
      <c r="D883" s="32" t="str">
        <f>IF($A883="","",INDEX(APOIO!$D:$D,MATCH(CONCATENATE($A883,"_",$B883,"_",$C883),APOIO!$F:$F,0)))</f>
        <v/>
      </c>
      <c r="E883" s="31"/>
      <c r="F883" s="31"/>
      <c r="G883" s="33"/>
      <c r="H883" s="105"/>
      <c r="I883" s="32" t="str">
        <f>IF($A883="","",VLOOKUP($H883,APOIO!$L:$M,2,FALSE))</f>
        <v/>
      </c>
      <c r="J883" s="31"/>
      <c r="K883" s="32" t="str">
        <f>IF($A883="","",VLOOKUP($J883,APOIO!$H:$J,2,FALSE))</f>
        <v/>
      </c>
      <c r="L883" s="32" t="str">
        <f>IF($A883="","",VLOOKUP($J883,APOIO!$H:$J,3,FALSE))</f>
        <v/>
      </c>
      <c r="M883" s="31"/>
      <c r="N883" s="34"/>
      <c r="O883" s="32"/>
      <c r="P883" s="32"/>
      <c r="Q883" s="32"/>
      <c r="R883" s="32"/>
      <c r="S883" s="35"/>
      <c r="T883" s="91"/>
      <c r="U883" s="60"/>
      <c r="V883" s="36"/>
      <c r="W883" s="31"/>
      <c r="X883" s="59"/>
      <c r="Y883" s="59" t="str">
        <f>IFERROR(VLOOKUP($A883,APOIO!$A:$A,1,FALSE),"ERRO")</f>
        <v>ERRO</v>
      </c>
      <c r="Z883"/>
    </row>
    <row r="884" spans="1:26" ht="15" x14ac:dyDescent="0.25">
      <c r="A884" s="94"/>
      <c r="B884" s="32" t="str">
        <f>IF($A884="","",VLOOKUP($A884,APOIO!$A:$E,2,FALSE))</f>
        <v/>
      </c>
      <c r="C884" s="94"/>
      <c r="D884" s="32" t="str">
        <f>IF($A884="","",INDEX(APOIO!$D:$D,MATCH(CONCATENATE($A884,"_",$B884,"_",$C884),APOIO!$F:$F,0)))</f>
        <v/>
      </c>
      <c r="E884" s="31"/>
      <c r="F884" s="31"/>
      <c r="G884" s="33"/>
      <c r="H884" s="105"/>
      <c r="I884" s="32" t="str">
        <f>IF($A884="","",VLOOKUP($H884,APOIO!$L:$M,2,FALSE))</f>
        <v/>
      </c>
      <c r="J884" s="31"/>
      <c r="K884" s="32" t="str">
        <f>IF($A884="","",VLOOKUP($J884,APOIO!$H:$J,2,FALSE))</f>
        <v/>
      </c>
      <c r="L884" s="32" t="str">
        <f>IF($A884="","",VLOOKUP($J884,APOIO!$H:$J,3,FALSE))</f>
        <v/>
      </c>
      <c r="M884" s="31"/>
      <c r="N884" s="34"/>
      <c r="O884" s="32"/>
      <c r="P884" s="32"/>
      <c r="Q884" s="32"/>
      <c r="R884" s="32"/>
      <c r="S884" s="35"/>
      <c r="T884" s="91"/>
      <c r="U884" s="60"/>
      <c r="V884" s="36"/>
      <c r="W884" s="31"/>
      <c r="X884" s="59"/>
      <c r="Y884" s="59" t="str">
        <f>IFERROR(VLOOKUP($A884,APOIO!$A:$A,1,FALSE),"ERRO")</f>
        <v>ERRO</v>
      </c>
      <c r="Z884"/>
    </row>
    <row r="885" spans="1:26" ht="15" x14ac:dyDescent="0.25">
      <c r="A885" s="94"/>
      <c r="B885" s="32" t="str">
        <f>IF($A885="","",VLOOKUP($A885,APOIO!$A:$E,2,FALSE))</f>
        <v/>
      </c>
      <c r="C885" s="94"/>
      <c r="D885" s="32" t="str">
        <f>IF($A885="","",INDEX(APOIO!$D:$D,MATCH(CONCATENATE($A885,"_",$B885,"_",$C885),APOIO!$F:$F,0)))</f>
        <v/>
      </c>
      <c r="E885" s="31"/>
      <c r="F885" s="31"/>
      <c r="G885" s="33"/>
      <c r="H885" s="105"/>
      <c r="I885" s="32" t="str">
        <f>IF($A885="","",VLOOKUP($H885,APOIO!$L:$M,2,FALSE))</f>
        <v/>
      </c>
      <c r="J885" s="31"/>
      <c r="K885" s="32" t="str">
        <f>IF($A885="","",VLOOKUP($J885,APOIO!$H:$J,2,FALSE))</f>
        <v/>
      </c>
      <c r="L885" s="32" t="str">
        <f>IF($A885="","",VLOOKUP($J885,APOIO!$H:$J,3,FALSE))</f>
        <v/>
      </c>
      <c r="M885" s="31"/>
      <c r="N885" s="34"/>
      <c r="O885" s="32"/>
      <c r="P885" s="32"/>
      <c r="Q885" s="32"/>
      <c r="R885" s="32"/>
      <c r="S885" s="35"/>
      <c r="T885" s="91"/>
      <c r="U885" s="60"/>
      <c r="V885" s="36"/>
      <c r="W885" s="31"/>
      <c r="X885" s="59"/>
      <c r="Y885" s="59" t="str">
        <f>IFERROR(VLOOKUP($A885,APOIO!$A:$A,1,FALSE),"ERRO")</f>
        <v>ERRO</v>
      </c>
      <c r="Z885"/>
    </row>
    <row r="886" spans="1:26" ht="15" x14ac:dyDescent="0.25">
      <c r="A886" s="94"/>
      <c r="B886" s="32" t="str">
        <f>IF($A886="","",VLOOKUP($A886,APOIO!$A:$E,2,FALSE))</f>
        <v/>
      </c>
      <c r="C886" s="94"/>
      <c r="D886" s="32" t="str">
        <f>IF($A886="","",INDEX(APOIO!$D:$D,MATCH(CONCATENATE($A886,"_",$B886,"_",$C886),APOIO!$F:$F,0)))</f>
        <v/>
      </c>
      <c r="E886" s="31"/>
      <c r="F886" s="31"/>
      <c r="G886" s="33"/>
      <c r="H886" s="105"/>
      <c r="I886" s="32" t="str">
        <f>IF($A886="","",VLOOKUP($H886,APOIO!$L:$M,2,FALSE))</f>
        <v/>
      </c>
      <c r="J886" s="31"/>
      <c r="K886" s="32" t="str">
        <f>IF($A886="","",VLOOKUP($J886,APOIO!$H:$J,2,FALSE))</f>
        <v/>
      </c>
      <c r="L886" s="32" t="str">
        <f>IF($A886="","",VLOOKUP($J886,APOIO!$H:$J,3,FALSE))</f>
        <v/>
      </c>
      <c r="M886" s="31"/>
      <c r="N886" s="34"/>
      <c r="O886" s="32"/>
      <c r="P886" s="32"/>
      <c r="Q886" s="32"/>
      <c r="R886" s="32"/>
      <c r="S886" s="35"/>
      <c r="T886" s="91"/>
      <c r="U886" s="60"/>
      <c r="V886" s="36"/>
      <c r="W886" s="31"/>
      <c r="X886" s="59"/>
      <c r="Y886" s="59" t="str">
        <f>IFERROR(VLOOKUP($A886,APOIO!$A:$A,1,FALSE),"ERRO")</f>
        <v>ERRO</v>
      </c>
      <c r="Z886"/>
    </row>
    <row r="887" spans="1:26" ht="15" x14ac:dyDescent="0.25">
      <c r="A887" s="94"/>
      <c r="B887" s="32" t="str">
        <f>IF($A887="","",VLOOKUP($A887,APOIO!$A:$E,2,FALSE))</f>
        <v/>
      </c>
      <c r="C887" s="94"/>
      <c r="D887" s="32" t="str">
        <f>IF($A887="","",INDEX(APOIO!$D:$D,MATCH(CONCATENATE($A887,"_",$B887,"_",$C887),APOIO!$F:$F,0)))</f>
        <v/>
      </c>
      <c r="E887" s="31"/>
      <c r="F887" s="31"/>
      <c r="G887" s="33"/>
      <c r="H887" s="105"/>
      <c r="I887" s="32" t="str">
        <f>IF($A887="","",VLOOKUP($H887,APOIO!$L:$M,2,FALSE))</f>
        <v/>
      </c>
      <c r="J887" s="31"/>
      <c r="K887" s="32" t="str">
        <f>IF($A887="","",VLOOKUP($J887,APOIO!$H:$J,2,FALSE))</f>
        <v/>
      </c>
      <c r="L887" s="32" t="str">
        <f>IF($A887="","",VLOOKUP($J887,APOIO!$H:$J,3,FALSE))</f>
        <v/>
      </c>
      <c r="M887" s="31"/>
      <c r="N887" s="34"/>
      <c r="O887" s="32"/>
      <c r="P887" s="32"/>
      <c r="Q887" s="32"/>
      <c r="R887" s="32"/>
      <c r="S887" s="35"/>
      <c r="T887" s="91"/>
      <c r="U887" s="60"/>
      <c r="V887" s="36"/>
      <c r="W887" s="31"/>
      <c r="X887" s="59"/>
      <c r="Y887" s="59" t="str">
        <f>IFERROR(VLOOKUP($A887,APOIO!$A:$A,1,FALSE),"ERRO")</f>
        <v>ERRO</v>
      </c>
      <c r="Z887"/>
    </row>
    <row r="888" spans="1:26" ht="15" x14ac:dyDescent="0.25">
      <c r="A888" s="94"/>
      <c r="B888" s="32" t="str">
        <f>IF($A888="","",VLOOKUP($A888,APOIO!$A:$E,2,FALSE))</f>
        <v/>
      </c>
      <c r="C888" s="94"/>
      <c r="D888" s="32" t="str">
        <f>IF($A888="","",INDEX(APOIO!$D:$D,MATCH(CONCATENATE($A888,"_",$B888,"_",$C888),APOIO!$F:$F,0)))</f>
        <v/>
      </c>
      <c r="E888" s="31"/>
      <c r="F888" s="31"/>
      <c r="G888" s="33"/>
      <c r="H888" s="105"/>
      <c r="I888" s="32" t="str">
        <f>IF($A888="","",VLOOKUP($H888,APOIO!$L:$M,2,FALSE))</f>
        <v/>
      </c>
      <c r="J888" s="31"/>
      <c r="K888" s="32" t="str">
        <f>IF($A888="","",VLOOKUP($J888,APOIO!$H:$J,2,FALSE))</f>
        <v/>
      </c>
      <c r="L888" s="32" t="str">
        <f>IF($A888="","",VLOOKUP($J888,APOIO!$H:$J,3,FALSE))</f>
        <v/>
      </c>
      <c r="M888" s="31"/>
      <c r="N888" s="34"/>
      <c r="O888" s="32"/>
      <c r="P888" s="32"/>
      <c r="Q888" s="32"/>
      <c r="R888" s="32"/>
      <c r="S888" s="35"/>
      <c r="T888" s="91"/>
      <c r="U888" s="60"/>
      <c r="V888" s="36"/>
      <c r="W888" s="31"/>
      <c r="X888" s="59"/>
      <c r="Y888" s="59" t="str">
        <f>IFERROR(VLOOKUP($A888,APOIO!$A:$A,1,FALSE),"ERRO")</f>
        <v>ERRO</v>
      </c>
      <c r="Z888"/>
    </row>
    <row r="889" spans="1:26" ht="15" x14ac:dyDescent="0.25">
      <c r="A889" s="94"/>
      <c r="B889" s="32" t="str">
        <f>IF($A889="","",VLOOKUP($A889,APOIO!$A:$E,2,FALSE))</f>
        <v/>
      </c>
      <c r="C889" s="94"/>
      <c r="D889" s="32" t="str">
        <f>IF($A889="","",INDEX(APOIO!$D:$D,MATCH(CONCATENATE($A889,"_",$B889,"_",$C889),APOIO!$F:$F,0)))</f>
        <v/>
      </c>
      <c r="E889" s="31"/>
      <c r="F889" s="31"/>
      <c r="G889" s="33"/>
      <c r="H889" s="105"/>
      <c r="I889" s="32" t="str">
        <f>IF($A889="","",VLOOKUP($H889,APOIO!$L:$M,2,FALSE))</f>
        <v/>
      </c>
      <c r="J889" s="31"/>
      <c r="K889" s="32" t="str">
        <f>IF($A889="","",VLOOKUP($J889,APOIO!$H:$J,2,FALSE))</f>
        <v/>
      </c>
      <c r="L889" s="32" t="str">
        <f>IF($A889="","",VLOOKUP($J889,APOIO!$H:$J,3,FALSE))</f>
        <v/>
      </c>
      <c r="M889" s="31"/>
      <c r="N889" s="34"/>
      <c r="O889" s="32"/>
      <c r="P889" s="32"/>
      <c r="Q889" s="32"/>
      <c r="R889" s="32"/>
      <c r="S889" s="35"/>
      <c r="T889" s="91"/>
      <c r="U889" s="60"/>
      <c r="V889" s="36"/>
      <c r="W889" s="31"/>
      <c r="X889" s="59"/>
      <c r="Y889" s="59" t="str">
        <f>IFERROR(VLOOKUP($A889,APOIO!$A:$A,1,FALSE),"ERRO")</f>
        <v>ERRO</v>
      </c>
      <c r="Z889"/>
    </row>
    <row r="890" spans="1:26" ht="15" x14ac:dyDescent="0.25">
      <c r="A890" s="94"/>
      <c r="B890" s="32" t="str">
        <f>IF($A890="","",VLOOKUP($A890,APOIO!$A:$E,2,FALSE))</f>
        <v/>
      </c>
      <c r="C890" s="94"/>
      <c r="D890" s="32" t="str">
        <f>IF($A890="","",INDEX(APOIO!$D:$D,MATCH(CONCATENATE($A890,"_",$B890,"_",$C890),APOIO!$F:$F,0)))</f>
        <v/>
      </c>
      <c r="E890" s="31"/>
      <c r="F890" s="31"/>
      <c r="G890" s="33"/>
      <c r="H890" s="105"/>
      <c r="I890" s="32" t="str">
        <f>IF($A890="","",VLOOKUP($H890,APOIO!$L:$M,2,FALSE))</f>
        <v/>
      </c>
      <c r="J890" s="31"/>
      <c r="K890" s="32" t="str">
        <f>IF($A890="","",VLOOKUP($J890,APOIO!$H:$J,2,FALSE))</f>
        <v/>
      </c>
      <c r="L890" s="32" t="str">
        <f>IF($A890="","",VLOOKUP($J890,APOIO!$H:$J,3,FALSE))</f>
        <v/>
      </c>
      <c r="M890" s="31"/>
      <c r="N890" s="34"/>
      <c r="O890" s="32"/>
      <c r="P890" s="32"/>
      <c r="Q890" s="32"/>
      <c r="R890" s="32"/>
      <c r="S890" s="35"/>
      <c r="T890" s="91"/>
      <c r="U890" s="60"/>
      <c r="V890" s="36"/>
      <c r="W890" s="31"/>
      <c r="X890" s="59"/>
      <c r="Y890" s="59" t="str">
        <f>IFERROR(VLOOKUP($A890,APOIO!$A:$A,1,FALSE),"ERRO")</f>
        <v>ERRO</v>
      </c>
      <c r="Z890"/>
    </row>
    <row r="891" spans="1:26" ht="15" x14ac:dyDescent="0.25">
      <c r="A891" s="94"/>
      <c r="B891" s="32" t="str">
        <f>IF($A891="","",VLOOKUP($A891,APOIO!$A:$E,2,FALSE))</f>
        <v/>
      </c>
      <c r="C891" s="94"/>
      <c r="D891" s="32" t="str">
        <f>IF($A891="","",INDEX(APOIO!$D:$D,MATCH(CONCATENATE($A891,"_",$B891,"_",$C891),APOIO!$F:$F,0)))</f>
        <v/>
      </c>
      <c r="E891" s="31"/>
      <c r="F891" s="31"/>
      <c r="G891" s="33"/>
      <c r="H891" s="105"/>
      <c r="I891" s="32" t="str">
        <f>IF($A891="","",VLOOKUP($H891,APOIO!$L:$M,2,FALSE))</f>
        <v/>
      </c>
      <c r="J891" s="31"/>
      <c r="K891" s="32" t="str">
        <f>IF($A891="","",VLOOKUP($J891,APOIO!$H:$J,2,FALSE))</f>
        <v/>
      </c>
      <c r="L891" s="32" t="str">
        <f>IF($A891="","",VLOOKUP($J891,APOIO!$H:$J,3,FALSE))</f>
        <v/>
      </c>
      <c r="M891" s="31"/>
      <c r="N891" s="34"/>
      <c r="O891" s="32"/>
      <c r="P891" s="32"/>
      <c r="Q891" s="32"/>
      <c r="R891" s="32"/>
      <c r="S891" s="35"/>
      <c r="T891" s="91"/>
      <c r="U891" s="60"/>
      <c r="V891" s="36"/>
      <c r="W891" s="31"/>
      <c r="X891" s="59"/>
      <c r="Y891" s="59" t="str">
        <f>IFERROR(VLOOKUP($A891,APOIO!$A:$A,1,FALSE),"ERRO")</f>
        <v>ERRO</v>
      </c>
      <c r="Z891"/>
    </row>
    <row r="892" spans="1:26" ht="15" x14ac:dyDescent="0.25">
      <c r="A892" s="94"/>
      <c r="B892" s="32" t="str">
        <f>IF($A892="","",VLOOKUP($A892,APOIO!$A:$E,2,FALSE))</f>
        <v/>
      </c>
      <c r="C892" s="94"/>
      <c r="D892" s="32" t="str">
        <f>IF($A892="","",INDEX(APOIO!$D:$D,MATCH(CONCATENATE($A892,"_",$B892,"_",$C892),APOIO!$F:$F,0)))</f>
        <v/>
      </c>
      <c r="E892" s="31"/>
      <c r="F892" s="31"/>
      <c r="G892" s="33"/>
      <c r="H892" s="105"/>
      <c r="I892" s="32" t="str">
        <f>IF($A892="","",VLOOKUP($H892,APOIO!$L:$M,2,FALSE))</f>
        <v/>
      </c>
      <c r="J892" s="31"/>
      <c r="K892" s="32" t="str">
        <f>IF($A892="","",VLOOKUP($J892,APOIO!$H:$J,2,FALSE))</f>
        <v/>
      </c>
      <c r="L892" s="32" t="str">
        <f>IF($A892="","",VLOOKUP($J892,APOIO!$H:$J,3,FALSE))</f>
        <v/>
      </c>
      <c r="M892" s="31"/>
      <c r="N892" s="34"/>
      <c r="O892" s="32"/>
      <c r="P892" s="32"/>
      <c r="Q892" s="32"/>
      <c r="R892" s="32"/>
      <c r="S892" s="35"/>
      <c r="T892" s="91"/>
      <c r="U892" s="60"/>
      <c r="V892" s="36"/>
      <c r="W892" s="31"/>
      <c r="X892" s="59"/>
      <c r="Y892" s="59" t="str">
        <f>IFERROR(VLOOKUP($A892,APOIO!$A:$A,1,FALSE),"ERRO")</f>
        <v>ERRO</v>
      </c>
      <c r="Z892"/>
    </row>
    <row r="893" spans="1:26" ht="15" x14ac:dyDescent="0.25">
      <c r="A893" s="94"/>
      <c r="B893" s="32" t="str">
        <f>IF($A893="","",VLOOKUP($A893,APOIO!$A:$E,2,FALSE))</f>
        <v/>
      </c>
      <c r="C893" s="94"/>
      <c r="D893" s="32" t="str">
        <f>IF($A893="","",INDEX(APOIO!$D:$D,MATCH(CONCATENATE($A893,"_",$B893,"_",$C893),APOIO!$F:$F,0)))</f>
        <v/>
      </c>
      <c r="E893" s="31"/>
      <c r="F893" s="31"/>
      <c r="G893" s="33"/>
      <c r="H893" s="105"/>
      <c r="I893" s="32" t="str">
        <f>IF($A893="","",VLOOKUP($H893,APOIO!$L:$M,2,FALSE))</f>
        <v/>
      </c>
      <c r="J893" s="31"/>
      <c r="K893" s="32" t="str">
        <f>IF($A893="","",VLOOKUP($J893,APOIO!$H:$J,2,FALSE))</f>
        <v/>
      </c>
      <c r="L893" s="32" t="str">
        <f>IF($A893="","",VLOOKUP($J893,APOIO!$H:$J,3,FALSE))</f>
        <v/>
      </c>
      <c r="M893" s="31"/>
      <c r="N893" s="34"/>
      <c r="O893" s="32"/>
      <c r="P893" s="32"/>
      <c r="Q893" s="32"/>
      <c r="R893" s="32"/>
      <c r="S893" s="35"/>
      <c r="T893" s="91"/>
      <c r="U893" s="60"/>
      <c r="V893" s="36"/>
      <c r="W893" s="31"/>
      <c r="X893" s="59"/>
      <c r="Y893" s="59" t="str">
        <f>IFERROR(VLOOKUP($A893,APOIO!$A:$A,1,FALSE),"ERRO")</f>
        <v>ERRO</v>
      </c>
      <c r="Z893"/>
    </row>
    <row r="894" spans="1:26" ht="15" x14ac:dyDescent="0.25">
      <c r="A894" s="94"/>
      <c r="B894" s="32" t="str">
        <f>IF($A894="","",VLOOKUP($A894,APOIO!$A:$E,2,FALSE))</f>
        <v/>
      </c>
      <c r="C894" s="94"/>
      <c r="D894" s="32" t="str">
        <f>IF($A894="","",INDEX(APOIO!$D:$D,MATCH(CONCATENATE($A894,"_",$B894,"_",$C894),APOIO!$F:$F,0)))</f>
        <v/>
      </c>
      <c r="E894" s="31"/>
      <c r="F894" s="31"/>
      <c r="G894" s="33"/>
      <c r="H894" s="105"/>
      <c r="I894" s="32" t="str">
        <f>IF($A894="","",VLOOKUP($H894,APOIO!$L:$M,2,FALSE))</f>
        <v/>
      </c>
      <c r="J894" s="31"/>
      <c r="K894" s="32" t="str">
        <f>IF($A894="","",VLOOKUP($J894,APOIO!$H:$J,2,FALSE))</f>
        <v/>
      </c>
      <c r="L894" s="32" t="str">
        <f>IF($A894="","",VLOOKUP($J894,APOIO!$H:$J,3,FALSE))</f>
        <v/>
      </c>
      <c r="M894" s="31"/>
      <c r="N894" s="34"/>
      <c r="O894" s="32"/>
      <c r="P894" s="32"/>
      <c r="Q894" s="32"/>
      <c r="R894" s="32"/>
      <c r="S894" s="35"/>
      <c r="T894" s="91"/>
      <c r="U894" s="60"/>
      <c r="V894" s="36"/>
      <c r="W894" s="31"/>
      <c r="X894" s="59"/>
      <c r="Y894" s="59" t="str">
        <f>IFERROR(VLOOKUP($A894,APOIO!$A:$A,1,FALSE),"ERRO")</f>
        <v>ERRO</v>
      </c>
      <c r="Z894"/>
    </row>
    <row r="895" spans="1:26" ht="15" x14ac:dyDescent="0.25">
      <c r="A895" s="94"/>
      <c r="B895" s="32" t="str">
        <f>IF($A895="","",VLOOKUP($A895,APOIO!$A:$E,2,FALSE))</f>
        <v/>
      </c>
      <c r="C895" s="94"/>
      <c r="D895" s="32" t="str">
        <f>IF($A895="","",INDEX(APOIO!$D:$D,MATCH(CONCATENATE($A895,"_",$B895,"_",$C895),APOIO!$F:$F,0)))</f>
        <v/>
      </c>
      <c r="E895" s="31"/>
      <c r="F895" s="31"/>
      <c r="G895" s="33"/>
      <c r="H895" s="105"/>
      <c r="I895" s="32" t="str">
        <f>IF($A895="","",VLOOKUP($H895,APOIO!$L:$M,2,FALSE))</f>
        <v/>
      </c>
      <c r="J895" s="31"/>
      <c r="K895" s="32" t="str">
        <f>IF($A895="","",VLOOKUP($J895,APOIO!$H:$J,2,FALSE))</f>
        <v/>
      </c>
      <c r="L895" s="32" t="str">
        <f>IF($A895="","",VLOOKUP($J895,APOIO!$H:$J,3,FALSE))</f>
        <v/>
      </c>
      <c r="M895" s="31"/>
      <c r="N895" s="34"/>
      <c r="O895" s="32"/>
      <c r="P895" s="32"/>
      <c r="Q895" s="32"/>
      <c r="R895" s="32"/>
      <c r="S895" s="35"/>
      <c r="T895" s="91"/>
      <c r="U895" s="60"/>
      <c r="V895" s="36"/>
      <c r="W895" s="31"/>
      <c r="X895" s="59"/>
      <c r="Y895" s="59" t="str">
        <f>IFERROR(VLOOKUP($A895,APOIO!$A:$A,1,FALSE),"ERRO")</f>
        <v>ERRO</v>
      </c>
      <c r="Z895"/>
    </row>
    <row r="896" spans="1:26" ht="15" x14ac:dyDescent="0.25">
      <c r="A896" s="94"/>
      <c r="B896" s="32" t="str">
        <f>IF($A896="","",VLOOKUP($A896,APOIO!$A:$E,2,FALSE))</f>
        <v/>
      </c>
      <c r="C896" s="94"/>
      <c r="D896" s="32" t="str">
        <f>IF($A896="","",INDEX(APOIO!$D:$D,MATCH(CONCATENATE($A896,"_",$B896,"_",$C896),APOIO!$F:$F,0)))</f>
        <v/>
      </c>
      <c r="E896" s="31"/>
      <c r="F896" s="31"/>
      <c r="G896" s="33"/>
      <c r="H896" s="105"/>
      <c r="I896" s="32" t="str">
        <f>IF($A896="","",VLOOKUP($H896,APOIO!$L:$M,2,FALSE))</f>
        <v/>
      </c>
      <c r="J896" s="31"/>
      <c r="K896" s="32" t="str">
        <f>IF($A896="","",VLOOKUP($J896,APOIO!$H:$J,2,FALSE))</f>
        <v/>
      </c>
      <c r="L896" s="32" t="str">
        <f>IF($A896="","",VLOOKUP($J896,APOIO!$H:$J,3,FALSE))</f>
        <v/>
      </c>
      <c r="M896" s="31"/>
      <c r="N896" s="34"/>
      <c r="O896" s="32"/>
      <c r="P896" s="32"/>
      <c r="Q896" s="32"/>
      <c r="R896" s="32"/>
      <c r="S896" s="35"/>
      <c r="T896" s="91"/>
      <c r="U896" s="60"/>
      <c r="V896" s="36"/>
      <c r="W896" s="31"/>
      <c r="X896" s="59"/>
      <c r="Y896" s="59" t="str">
        <f>IFERROR(VLOOKUP($A896,APOIO!$A:$A,1,FALSE),"ERRO")</f>
        <v>ERRO</v>
      </c>
      <c r="Z896"/>
    </row>
    <row r="897" spans="1:26" ht="15" x14ac:dyDescent="0.25">
      <c r="A897" s="94"/>
      <c r="B897" s="32" t="str">
        <f>IF($A897="","",VLOOKUP($A897,APOIO!$A:$E,2,FALSE))</f>
        <v/>
      </c>
      <c r="C897" s="94"/>
      <c r="D897" s="32" t="str">
        <f>IF($A897="","",INDEX(APOIO!$D:$D,MATCH(CONCATENATE($A897,"_",$B897,"_",$C897),APOIO!$F:$F,0)))</f>
        <v/>
      </c>
      <c r="E897" s="31"/>
      <c r="F897" s="31"/>
      <c r="G897" s="33"/>
      <c r="H897" s="105"/>
      <c r="I897" s="32" t="str">
        <f>IF($A897="","",VLOOKUP($H897,APOIO!$L:$M,2,FALSE))</f>
        <v/>
      </c>
      <c r="J897" s="31"/>
      <c r="K897" s="32" t="str">
        <f>IF($A897="","",VLOOKUP($J897,APOIO!$H:$J,2,FALSE))</f>
        <v/>
      </c>
      <c r="L897" s="32" t="str">
        <f>IF($A897="","",VLOOKUP($J897,APOIO!$H:$J,3,FALSE))</f>
        <v/>
      </c>
      <c r="M897" s="31"/>
      <c r="N897" s="34"/>
      <c r="O897" s="32"/>
      <c r="P897" s="32"/>
      <c r="Q897" s="32"/>
      <c r="R897" s="32"/>
      <c r="S897" s="35"/>
      <c r="T897" s="91"/>
      <c r="U897" s="60"/>
      <c r="V897" s="36"/>
      <c r="W897" s="31"/>
      <c r="X897" s="59"/>
      <c r="Y897" s="59" t="str">
        <f>IFERROR(VLOOKUP($A897,APOIO!$A:$A,1,FALSE),"ERRO")</f>
        <v>ERRO</v>
      </c>
      <c r="Z897"/>
    </row>
    <row r="898" spans="1:26" ht="15" x14ac:dyDescent="0.25">
      <c r="A898" s="94"/>
      <c r="B898" s="32" t="str">
        <f>IF($A898="","",VLOOKUP($A898,APOIO!$A:$E,2,FALSE))</f>
        <v/>
      </c>
      <c r="C898" s="94"/>
      <c r="D898" s="32" t="str">
        <f>IF($A898="","",INDEX(APOIO!$D:$D,MATCH(CONCATENATE($A898,"_",$B898,"_",$C898),APOIO!$F:$F,0)))</f>
        <v/>
      </c>
      <c r="E898" s="31"/>
      <c r="F898" s="31"/>
      <c r="G898" s="33"/>
      <c r="H898" s="105"/>
      <c r="I898" s="32" t="str">
        <f>IF($A898="","",VLOOKUP($H898,APOIO!$L:$M,2,FALSE))</f>
        <v/>
      </c>
      <c r="J898" s="31"/>
      <c r="K898" s="32" t="str">
        <f>IF($A898="","",VLOOKUP($J898,APOIO!$H:$J,2,FALSE))</f>
        <v/>
      </c>
      <c r="L898" s="32" t="str">
        <f>IF($A898="","",VLOOKUP($J898,APOIO!$H:$J,3,FALSE))</f>
        <v/>
      </c>
      <c r="M898" s="31"/>
      <c r="N898" s="34"/>
      <c r="O898" s="32"/>
      <c r="P898" s="32"/>
      <c r="Q898" s="32"/>
      <c r="R898" s="32"/>
      <c r="S898" s="35"/>
      <c r="T898" s="91"/>
      <c r="U898" s="60"/>
      <c r="V898" s="36"/>
      <c r="W898" s="31"/>
      <c r="X898" s="59"/>
      <c r="Y898" s="59" t="str">
        <f>IFERROR(VLOOKUP($A898,APOIO!$A:$A,1,FALSE),"ERRO")</f>
        <v>ERRO</v>
      </c>
      <c r="Z898"/>
    </row>
    <row r="899" spans="1:26" ht="15" x14ac:dyDescent="0.25">
      <c r="A899" s="94"/>
      <c r="B899" s="32" t="str">
        <f>IF($A899="","",VLOOKUP($A899,APOIO!$A:$E,2,FALSE))</f>
        <v/>
      </c>
      <c r="C899" s="94"/>
      <c r="D899" s="32" t="str">
        <f>IF($A899="","",INDEX(APOIO!$D:$D,MATCH(CONCATENATE($A899,"_",$B899,"_",$C899),APOIO!$F:$F,0)))</f>
        <v/>
      </c>
      <c r="E899" s="31"/>
      <c r="F899" s="31"/>
      <c r="G899" s="33"/>
      <c r="H899" s="105"/>
      <c r="I899" s="32" t="str">
        <f>IF($A899="","",VLOOKUP($H899,APOIO!$L:$M,2,FALSE))</f>
        <v/>
      </c>
      <c r="J899" s="31"/>
      <c r="K899" s="32" t="str">
        <f>IF($A899="","",VLOOKUP($J899,APOIO!$H:$J,2,FALSE))</f>
        <v/>
      </c>
      <c r="L899" s="32" t="str">
        <f>IF($A899="","",VLOOKUP($J899,APOIO!$H:$J,3,FALSE))</f>
        <v/>
      </c>
      <c r="M899" s="31"/>
      <c r="N899" s="34"/>
      <c r="O899" s="32"/>
      <c r="P899" s="32"/>
      <c r="Q899" s="32"/>
      <c r="R899" s="32"/>
      <c r="S899" s="35"/>
      <c r="T899" s="91"/>
      <c r="U899" s="60"/>
      <c r="V899" s="36"/>
      <c r="W899" s="31"/>
      <c r="X899" s="59"/>
      <c r="Y899" s="59" t="str">
        <f>IFERROR(VLOOKUP($A899,APOIO!$A:$A,1,FALSE),"ERRO")</f>
        <v>ERRO</v>
      </c>
      <c r="Z899"/>
    </row>
    <row r="900" spans="1:26" ht="15" x14ac:dyDescent="0.25">
      <c r="A900" s="94"/>
      <c r="B900" s="32" t="str">
        <f>IF($A900="","",VLOOKUP($A900,APOIO!$A:$E,2,FALSE))</f>
        <v/>
      </c>
      <c r="C900" s="94"/>
      <c r="D900" s="32" t="str">
        <f>IF($A900="","",INDEX(APOIO!$D:$D,MATCH(CONCATENATE($A900,"_",$B900,"_",$C900),APOIO!$F:$F,0)))</f>
        <v/>
      </c>
      <c r="E900" s="31"/>
      <c r="F900" s="31"/>
      <c r="G900" s="33"/>
      <c r="H900" s="105"/>
      <c r="I900" s="32" t="str">
        <f>IF($A900="","",VLOOKUP($H900,APOIO!$L:$M,2,FALSE))</f>
        <v/>
      </c>
      <c r="J900" s="31"/>
      <c r="K900" s="32" t="str">
        <f>IF($A900="","",VLOOKUP($J900,APOIO!$H:$J,2,FALSE))</f>
        <v/>
      </c>
      <c r="L900" s="32" t="str">
        <f>IF($A900="","",VLOOKUP($J900,APOIO!$H:$J,3,FALSE))</f>
        <v/>
      </c>
      <c r="M900" s="31"/>
      <c r="N900" s="34"/>
      <c r="O900" s="32"/>
      <c r="P900" s="32"/>
      <c r="Q900" s="32"/>
      <c r="R900" s="32"/>
      <c r="S900" s="35"/>
      <c r="T900" s="91"/>
      <c r="U900" s="60"/>
      <c r="V900" s="36"/>
      <c r="W900" s="31"/>
      <c r="X900" s="59"/>
      <c r="Y900" s="59" t="str">
        <f>IFERROR(VLOOKUP($A900,APOIO!$A:$A,1,FALSE),"ERRO")</f>
        <v>ERRO</v>
      </c>
      <c r="Z900"/>
    </row>
    <row r="901" spans="1:26" ht="15" x14ac:dyDescent="0.25">
      <c r="A901" s="94"/>
      <c r="B901" s="32" t="str">
        <f>IF($A901="","",VLOOKUP($A901,APOIO!$A:$E,2,FALSE))</f>
        <v/>
      </c>
      <c r="C901" s="94"/>
      <c r="D901" s="32" t="str">
        <f>IF($A901="","",INDEX(APOIO!$D:$D,MATCH(CONCATENATE($A901,"_",$B901,"_",$C901),APOIO!$F:$F,0)))</f>
        <v/>
      </c>
      <c r="E901" s="31"/>
      <c r="F901" s="31"/>
      <c r="G901" s="33"/>
      <c r="H901" s="105"/>
      <c r="I901" s="32" t="str">
        <f>IF($A901="","",VLOOKUP($H901,APOIO!$L:$M,2,FALSE))</f>
        <v/>
      </c>
      <c r="J901" s="31"/>
      <c r="K901" s="32" t="str">
        <f>IF($A901="","",VLOOKUP($J901,APOIO!$H:$J,2,FALSE))</f>
        <v/>
      </c>
      <c r="L901" s="32" t="str">
        <f>IF($A901="","",VLOOKUP($J901,APOIO!$H:$J,3,FALSE))</f>
        <v/>
      </c>
      <c r="M901" s="31"/>
      <c r="N901" s="34"/>
      <c r="O901" s="32"/>
      <c r="P901" s="32"/>
      <c r="Q901" s="32"/>
      <c r="R901" s="32"/>
      <c r="S901" s="35"/>
      <c r="T901" s="91"/>
      <c r="U901" s="60"/>
      <c r="V901" s="36"/>
      <c r="W901" s="31"/>
      <c r="X901" s="59"/>
      <c r="Y901" s="59" t="str">
        <f>IFERROR(VLOOKUP($A901,APOIO!$A:$A,1,FALSE),"ERRO")</f>
        <v>ERRO</v>
      </c>
      <c r="Z901"/>
    </row>
    <row r="902" spans="1:26" ht="15" x14ac:dyDescent="0.25">
      <c r="A902" s="94"/>
      <c r="B902" s="32" t="str">
        <f>IF($A902="","",VLOOKUP($A902,APOIO!$A:$E,2,FALSE))</f>
        <v/>
      </c>
      <c r="C902" s="94"/>
      <c r="D902" s="32" t="str">
        <f>IF($A902="","",INDEX(APOIO!$D:$D,MATCH(CONCATENATE($A902,"_",$B902,"_",$C902),APOIO!$F:$F,0)))</f>
        <v/>
      </c>
      <c r="E902" s="31"/>
      <c r="F902" s="31"/>
      <c r="G902" s="33"/>
      <c r="H902" s="105"/>
      <c r="I902" s="32" t="str">
        <f>IF($A902="","",VLOOKUP($H902,APOIO!$L:$M,2,FALSE))</f>
        <v/>
      </c>
      <c r="J902" s="31"/>
      <c r="K902" s="32" t="str">
        <f>IF($A902="","",VLOOKUP($J902,APOIO!$H:$J,2,FALSE))</f>
        <v/>
      </c>
      <c r="L902" s="32" t="str">
        <f>IF($A902="","",VLOOKUP($J902,APOIO!$H:$J,3,FALSE))</f>
        <v/>
      </c>
      <c r="M902" s="31"/>
      <c r="N902" s="34"/>
      <c r="O902" s="32"/>
      <c r="P902" s="32"/>
      <c r="Q902" s="32"/>
      <c r="R902" s="32"/>
      <c r="S902" s="35"/>
      <c r="T902" s="91"/>
      <c r="U902" s="60"/>
      <c r="V902" s="36"/>
      <c r="W902" s="31"/>
      <c r="X902" s="59"/>
      <c r="Y902" s="59" t="str">
        <f>IFERROR(VLOOKUP($A902,APOIO!$A:$A,1,FALSE),"ERRO")</f>
        <v>ERRO</v>
      </c>
      <c r="Z902"/>
    </row>
    <row r="903" spans="1:26" ht="15" x14ac:dyDescent="0.25">
      <c r="A903" s="94"/>
      <c r="B903" s="32" t="str">
        <f>IF($A903="","",VLOOKUP($A903,APOIO!$A:$E,2,FALSE))</f>
        <v/>
      </c>
      <c r="C903" s="94"/>
      <c r="D903" s="32" t="str">
        <f>IF($A903="","",INDEX(APOIO!$D:$D,MATCH(CONCATENATE($A903,"_",$B903,"_",$C903),APOIO!$F:$F,0)))</f>
        <v/>
      </c>
      <c r="E903" s="31"/>
      <c r="F903" s="31"/>
      <c r="G903" s="33"/>
      <c r="H903" s="105"/>
      <c r="I903" s="32" t="str">
        <f>IF($A903="","",VLOOKUP($H903,APOIO!$L:$M,2,FALSE))</f>
        <v/>
      </c>
      <c r="J903" s="31"/>
      <c r="K903" s="32" t="str">
        <f>IF($A903="","",VLOOKUP($J903,APOIO!$H:$J,2,FALSE))</f>
        <v/>
      </c>
      <c r="L903" s="32" t="str">
        <f>IF($A903="","",VLOOKUP($J903,APOIO!$H:$J,3,FALSE))</f>
        <v/>
      </c>
      <c r="M903" s="31"/>
      <c r="N903" s="34"/>
      <c r="O903" s="32"/>
      <c r="P903" s="32"/>
      <c r="Q903" s="32"/>
      <c r="R903" s="32"/>
      <c r="S903" s="35"/>
      <c r="T903" s="91"/>
      <c r="U903" s="60"/>
      <c r="V903" s="36"/>
      <c r="W903" s="31"/>
      <c r="X903" s="59"/>
      <c r="Y903" s="59" t="str">
        <f>IFERROR(VLOOKUP($A903,APOIO!$A:$A,1,FALSE),"ERRO")</f>
        <v>ERRO</v>
      </c>
      <c r="Z903"/>
    </row>
    <row r="904" spans="1:26" ht="15" x14ac:dyDescent="0.25">
      <c r="A904" s="94"/>
      <c r="B904" s="32" t="str">
        <f>IF($A904="","",VLOOKUP($A904,APOIO!$A:$E,2,FALSE))</f>
        <v/>
      </c>
      <c r="C904" s="94"/>
      <c r="D904" s="32" t="str">
        <f>IF($A904="","",INDEX(APOIO!$D:$D,MATCH(CONCATENATE($A904,"_",$B904,"_",$C904),APOIO!$F:$F,0)))</f>
        <v/>
      </c>
      <c r="E904" s="31"/>
      <c r="F904" s="31"/>
      <c r="G904" s="33"/>
      <c r="H904" s="105"/>
      <c r="I904" s="32" t="str">
        <f>IF($A904="","",VLOOKUP($H904,APOIO!$L:$M,2,FALSE))</f>
        <v/>
      </c>
      <c r="J904" s="31"/>
      <c r="K904" s="32" t="str">
        <f>IF($A904="","",VLOOKUP($J904,APOIO!$H:$J,2,FALSE))</f>
        <v/>
      </c>
      <c r="L904" s="32" t="str">
        <f>IF($A904="","",VLOOKUP($J904,APOIO!$H:$J,3,FALSE))</f>
        <v/>
      </c>
      <c r="M904" s="31"/>
      <c r="N904" s="34"/>
      <c r="O904" s="32"/>
      <c r="P904" s="32"/>
      <c r="Q904" s="32"/>
      <c r="R904" s="32"/>
      <c r="S904" s="35"/>
      <c r="T904" s="91"/>
      <c r="U904" s="60"/>
      <c r="V904" s="36"/>
      <c r="W904" s="31"/>
      <c r="X904" s="59"/>
      <c r="Y904" s="59" t="str">
        <f>IFERROR(VLOOKUP($A904,APOIO!$A:$A,1,FALSE),"ERRO")</f>
        <v>ERRO</v>
      </c>
      <c r="Z904"/>
    </row>
    <row r="905" spans="1:26" ht="15" x14ac:dyDescent="0.25">
      <c r="A905" s="94"/>
      <c r="B905" s="32" t="str">
        <f>IF($A905="","",VLOOKUP($A905,APOIO!$A:$E,2,FALSE))</f>
        <v/>
      </c>
      <c r="C905" s="94"/>
      <c r="D905" s="32" t="str">
        <f>IF($A905="","",INDEX(APOIO!$D:$D,MATCH(CONCATENATE($A905,"_",$B905,"_",$C905),APOIO!$F:$F,0)))</f>
        <v/>
      </c>
      <c r="E905" s="31"/>
      <c r="F905" s="31"/>
      <c r="G905" s="33"/>
      <c r="H905" s="105"/>
      <c r="I905" s="32" t="str">
        <f>IF($A905="","",VLOOKUP($H905,APOIO!$L:$M,2,FALSE))</f>
        <v/>
      </c>
      <c r="J905" s="31"/>
      <c r="K905" s="32" t="str">
        <f>IF($A905="","",VLOOKUP($J905,APOIO!$H:$J,2,FALSE))</f>
        <v/>
      </c>
      <c r="L905" s="32" t="str">
        <f>IF($A905="","",VLOOKUP($J905,APOIO!$H:$J,3,FALSE))</f>
        <v/>
      </c>
      <c r="M905" s="31"/>
      <c r="N905" s="34"/>
      <c r="O905" s="32"/>
      <c r="P905" s="32"/>
      <c r="Q905" s="32"/>
      <c r="R905" s="32"/>
      <c r="S905" s="35"/>
      <c r="T905" s="91"/>
      <c r="U905" s="60"/>
      <c r="V905" s="36"/>
      <c r="W905" s="31"/>
      <c r="X905" s="59"/>
      <c r="Y905" s="59" t="str">
        <f>IFERROR(VLOOKUP($A905,APOIO!$A:$A,1,FALSE),"ERRO")</f>
        <v>ERRO</v>
      </c>
      <c r="Z905"/>
    </row>
    <row r="906" spans="1:26" ht="15" x14ac:dyDescent="0.25">
      <c r="A906" s="94"/>
      <c r="B906" s="32" t="str">
        <f>IF($A906="","",VLOOKUP($A906,APOIO!$A:$E,2,FALSE))</f>
        <v/>
      </c>
      <c r="C906" s="94"/>
      <c r="D906" s="32" t="str">
        <f>IF($A906="","",INDEX(APOIO!$D:$D,MATCH(CONCATENATE($A906,"_",$B906,"_",$C906),APOIO!$F:$F,0)))</f>
        <v/>
      </c>
      <c r="E906" s="31"/>
      <c r="F906" s="31"/>
      <c r="G906" s="33"/>
      <c r="H906" s="105"/>
      <c r="I906" s="32" t="str">
        <f>IF($A906="","",VLOOKUP($H906,APOIO!$L:$M,2,FALSE))</f>
        <v/>
      </c>
      <c r="J906" s="31"/>
      <c r="K906" s="32" t="str">
        <f>IF($A906="","",VLOOKUP($J906,APOIO!$H:$J,2,FALSE))</f>
        <v/>
      </c>
      <c r="L906" s="32" t="str">
        <f>IF($A906="","",VLOOKUP($J906,APOIO!$H:$J,3,FALSE))</f>
        <v/>
      </c>
      <c r="M906" s="31"/>
      <c r="N906" s="34"/>
      <c r="O906" s="32"/>
      <c r="P906" s="32"/>
      <c r="Q906" s="32"/>
      <c r="R906" s="32"/>
      <c r="S906" s="35"/>
      <c r="T906" s="91"/>
      <c r="U906" s="60"/>
      <c r="V906" s="36"/>
      <c r="W906" s="31"/>
      <c r="X906" s="59"/>
      <c r="Y906" s="59" t="str">
        <f>IFERROR(VLOOKUP($A906,APOIO!$A:$A,1,FALSE),"ERRO")</f>
        <v>ERRO</v>
      </c>
      <c r="Z906"/>
    </row>
    <row r="907" spans="1:26" ht="15" x14ac:dyDescent="0.25">
      <c r="A907" s="94"/>
      <c r="B907" s="32" t="str">
        <f>IF($A907="","",VLOOKUP($A907,APOIO!$A:$E,2,FALSE))</f>
        <v/>
      </c>
      <c r="C907" s="94"/>
      <c r="D907" s="32" t="str">
        <f>IF($A907="","",INDEX(APOIO!$D:$D,MATCH(CONCATENATE($A907,"_",$B907,"_",$C907),APOIO!$F:$F,0)))</f>
        <v/>
      </c>
      <c r="E907" s="31"/>
      <c r="F907" s="31"/>
      <c r="G907" s="33"/>
      <c r="H907" s="105"/>
      <c r="I907" s="32" t="str">
        <f>IF($A907="","",VLOOKUP($H907,APOIO!$L:$M,2,FALSE))</f>
        <v/>
      </c>
      <c r="J907" s="31"/>
      <c r="K907" s="32" t="str">
        <f>IF($A907="","",VLOOKUP($J907,APOIO!$H:$J,2,FALSE))</f>
        <v/>
      </c>
      <c r="L907" s="32" t="str">
        <f>IF($A907="","",VLOOKUP($J907,APOIO!$H:$J,3,FALSE))</f>
        <v/>
      </c>
      <c r="M907" s="31"/>
      <c r="N907" s="34"/>
      <c r="O907" s="32"/>
      <c r="P907" s="32"/>
      <c r="Q907" s="32"/>
      <c r="R907" s="32"/>
      <c r="S907" s="35"/>
      <c r="T907" s="91"/>
      <c r="U907" s="60"/>
      <c r="V907" s="36"/>
      <c r="W907" s="31"/>
      <c r="X907" s="59"/>
      <c r="Y907" s="59" t="str">
        <f>IFERROR(VLOOKUP($A907,APOIO!$A:$A,1,FALSE),"ERRO")</f>
        <v>ERRO</v>
      </c>
      <c r="Z907"/>
    </row>
    <row r="908" spans="1:26" ht="15" x14ac:dyDescent="0.25">
      <c r="A908" s="94"/>
      <c r="B908" s="32" t="str">
        <f>IF($A908="","",VLOOKUP($A908,APOIO!$A:$E,2,FALSE))</f>
        <v/>
      </c>
      <c r="C908" s="94"/>
      <c r="D908" s="32" t="str">
        <f>IF($A908="","",INDEX(APOIO!$D:$D,MATCH(CONCATENATE($A908,"_",$B908,"_",$C908),APOIO!$F:$F,0)))</f>
        <v/>
      </c>
      <c r="E908" s="31"/>
      <c r="F908" s="31"/>
      <c r="G908" s="33"/>
      <c r="H908" s="105"/>
      <c r="I908" s="32" t="str">
        <f>IF($A908="","",VLOOKUP($H908,APOIO!$L:$M,2,FALSE))</f>
        <v/>
      </c>
      <c r="J908" s="31"/>
      <c r="K908" s="32" t="str">
        <f>IF($A908="","",VLOOKUP($J908,APOIO!$H:$J,2,FALSE))</f>
        <v/>
      </c>
      <c r="L908" s="32" t="str">
        <f>IF($A908="","",VLOOKUP($J908,APOIO!$H:$J,3,FALSE))</f>
        <v/>
      </c>
      <c r="M908" s="31"/>
      <c r="N908" s="34"/>
      <c r="O908" s="32"/>
      <c r="P908" s="32"/>
      <c r="Q908" s="32"/>
      <c r="R908" s="32"/>
      <c r="S908" s="35"/>
      <c r="T908" s="91"/>
      <c r="U908" s="60"/>
      <c r="V908" s="36"/>
      <c r="W908" s="31"/>
      <c r="X908" s="59"/>
      <c r="Y908" s="59" t="str">
        <f>IFERROR(VLOOKUP($A908,APOIO!$A:$A,1,FALSE),"ERRO")</f>
        <v>ERRO</v>
      </c>
      <c r="Z908"/>
    </row>
    <row r="909" spans="1:26" ht="15" x14ac:dyDescent="0.25">
      <c r="A909" s="94"/>
      <c r="B909" s="32" t="str">
        <f>IF($A909="","",VLOOKUP($A909,APOIO!$A:$E,2,FALSE))</f>
        <v/>
      </c>
      <c r="C909" s="94"/>
      <c r="D909" s="32" t="str">
        <f>IF($A909="","",INDEX(APOIO!$D:$D,MATCH(CONCATENATE($A909,"_",$B909,"_",$C909),APOIO!$F:$F,0)))</f>
        <v/>
      </c>
      <c r="E909" s="31"/>
      <c r="F909" s="31"/>
      <c r="G909" s="33"/>
      <c r="H909" s="105"/>
      <c r="I909" s="32" t="str">
        <f>IF($A909="","",VLOOKUP($H909,APOIO!$L:$M,2,FALSE))</f>
        <v/>
      </c>
      <c r="J909" s="31"/>
      <c r="K909" s="32" t="str">
        <f>IF($A909="","",VLOOKUP($J909,APOIO!$H:$J,2,FALSE))</f>
        <v/>
      </c>
      <c r="L909" s="32" t="str">
        <f>IF($A909="","",VLOOKUP($J909,APOIO!$H:$J,3,FALSE))</f>
        <v/>
      </c>
      <c r="M909" s="31"/>
      <c r="N909" s="34"/>
      <c r="O909" s="32"/>
      <c r="P909" s="32"/>
      <c r="Q909" s="32"/>
      <c r="R909" s="32"/>
      <c r="S909" s="35"/>
      <c r="T909" s="91"/>
      <c r="U909" s="60"/>
      <c r="V909" s="36"/>
      <c r="W909" s="31"/>
      <c r="X909" s="59"/>
      <c r="Y909" s="59" t="str">
        <f>IFERROR(VLOOKUP($A909,APOIO!$A:$A,1,FALSE),"ERRO")</f>
        <v>ERRO</v>
      </c>
      <c r="Z909"/>
    </row>
    <row r="910" spans="1:26" ht="15" x14ac:dyDescent="0.25">
      <c r="A910" s="94"/>
      <c r="B910" s="32" t="str">
        <f>IF($A910="","",VLOOKUP($A910,APOIO!$A:$E,2,FALSE))</f>
        <v/>
      </c>
      <c r="C910" s="94"/>
      <c r="D910" s="32" t="str">
        <f>IF($A910="","",INDEX(APOIO!$D:$D,MATCH(CONCATENATE($A910,"_",$B910,"_",$C910),APOIO!$F:$F,0)))</f>
        <v/>
      </c>
      <c r="E910" s="31"/>
      <c r="F910" s="31"/>
      <c r="G910" s="33"/>
      <c r="H910" s="105"/>
      <c r="I910" s="32" t="str">
        <f>IF($A910="","",VLOOKUP($H910,APOIO!$L:$M,2,FALSE))</f>
        <v/>
      </c>
      <c r="J910" s="31"/>
      <c r="K910" s="32" t="str">
        <f>IF($A910="","",VLOOKUP($J910,APOIO!$H:$J,2,FALSE))</f>
        <v/>
      </c>
      <c r="L910" s="32" t="str">
        <f>IF($A910="","",VLOOKUP($J910,APOIO!$H:$J,3,FALSE))</f>
        <v/>
      </c>
      <c r="M910" s="31"/>
      <c r="N910" s="34"/>
      <c r="O910" s="32"/>
      <c r="P910" s="32"/>
      <c r="Q910" s="32"/>
      <c r="R910" s="32"/>
      <c r="S910" s="35"/>
      <c r="T910" s="91"/>
      <c r="U910" s="60"/>
      <c r="V910" s="36"/>
      <c r="W910" s="31"/>
      <c r="X910" s="59"/>
      <c r="Y910" s="59" t="str">
        <f>IFERROR(VLOOKUP($A910,APOIO!$A:$A,1,FALSE),"ERRO")</f>
        <v>ERRO</v>
      </c>
      <c r="Z910"/>
    </row>
    <row r="911" spans="1:26" ht="15" x14ac:dyDescent="0.25">
      <c r="A911" s="94"/>
      <c r="B911" s="32" t="str">
        <f>IF($A911="","",VLOOKUP($A911,APOIO!$A:$E,2,FALSE))</f>
        <v/>
      </c>
      <c r="C911" s="94"/>
      <c r="D911" s="32" t="str">
        <f>IF($A911="","",INDEX(APOIO!$D:$D,MATCH(CONCATENATE($A911,"_",$B911,"_",$C911),APOIO!$F:$F,0)))</f>
        <v/>
      </c>
      <c r="E911" s="31"/>
      <c r="F911" s="31"/>
      <c r="G911" s="33"/>
      <c r="H911" s="105"/>
      <c r="I911" s="32" t="str">
        <f>IF($A911="","",VLOOKUP($H911,APOIO!$L:$M,2,FALSE))</f>
        <v/>
      </c>
      <c r="J911" s="31"/>
      <c r="K911" s="32" t="str">
        <f>IF($A911="","",VLOOKUP($J911,APOIO!$H:$J,2,FALSE))</f>
        <v/>
      </c>
      <c r="L911" s="32" t="str">
        <f>IF($A911="","",VLOOKUP($J911,APOIO!$H:$J,3,FALSE))</f>
        <v/>
      </c>
      <c r="M911" s="31"/>
      <c r="N911" s="34"/>
      <c r="O911" s="32"/>
      <c r="P911" s="32"/>
      <c r="Q911" s="32"/>
      <c r="R911" s="32"/>
      <c r="S911" s="35"/>
      <c r="T911" s="91"/>
      <c r="U911" s="60"/>
      <c r="V911" s="36"/>
      <c r="W911" s="31"/>
      <c r="X911" s="59"/>
      <c r="Y911" s="59" t="str">
        <f>IFERROR(VLOOKUP($A911,APOIO!$A:$A,1,FALSE),"ERRO")</f>
        <v>ERRO</v>
      </c>
      <c r="Z911"/>
    </row>
    <row r="912" spans="1:26" ht="15" x14ac:dyDescent="0.25">
      <c r="A912" s="94"/>
      <c r="B912" s="32" t="str">
        <f>IF($A912="","",VLOOKUP($A912,APOIO!$A:$E,2,FALSE))</f>
        <v/>
      </c>
      <c r="C912" s="94"/>
      <c r="D912" s="32" t="str">
        <f>IF($A912="","",INDEX(APOIO!$D:$D,MATCH(CONCATENATE($A912,"_",$B912,"_",$C912),APOIO!$F:$F,0)))</f>
        <v/>
      </c>
      <c r="E912" s="31"/>
      <c r="F912" s="31"/>
      <c r="G912" s="33"/>
      <c r="H912" s="105"/>
      <c r="I912" s="32" t="str">
        <f>IF($A912="","",VLOOKUP($H912,APOIO!$L:$M,2,FALSE))</f>
        <v/>
      </c>
      <c r="J912" s="31"/>
      <c r="K912" s="32" t="str">
        <f>IF($A912="","",VLOOKUP($J912,APOIO!$H:$J,2,FALSE))</f>
        <v/>
      </c>
      <c r="L912" s="32" t="str">
        <f>IF($A912="","",VLOOKUP($J912,APOIO!$H:$J,3,FALSE))</f>
        <v/>
      </c>
      <c r="M912" s="31"/>
      <c r="N912" s="34"/>
      <c r="O912" s="32"/>
      <c r="P912" s="32"/>
      <c r="Q912" s="32"/>
      <c r="R912" s="32"/>
      <c r="S912" s="35"/>
      <c r="T912" s="91"/>
      <c r="U912" s="60"/>
      <c r="V912" s="36"/>
      <c r="W912" s="31"/>
      <c r="X912" s="59"/>
      <c r="Y912" s="59" t="str">
        <f>IFERROR(VLOOKUP($A912,APOIO!$A:$A,1,FALSE),"ERRO")</f>
        <v>ERRO</v>
      </c>
      <c r="Z912"/>
    </row>
    <row r="913" spans="1:26" ht="15" x14ac:dyDescent="0.25">
      <c r="A913" s="94"/>
      <c r="B913" s="32" t="str">
        <f>IF($A913="","",VLOOKUP($A913,APOIO!$A:$E,2,FALSE))</f>
        <v/>
      </c>
      <c r="C913" s="94"/>
      <c r="D913" s="32" t="str">
        <f>IF($A913="","",INDEX(APOIO!$D:$D,MATCH(CONCATENATE($A913,"_",$B913,"_",$C913),APOIO!$F:$F,0)))</f>
        <v/>
      </c>
      <c r="E913" s="31"/>
      <c r="F913" s="31"/>
      <c r="G913" s="33"/>
      <c r="H913" s="105"/>
      <c r="I913" s="32" t="str">
        <f>IF($A913="","",VLOOKUP($H913,APOIO!$L:$M,2,FALSE))</f>
        <v/>
      </c>
      <c r="J913" s="31"/>
      <c r="K913" s="32" t="str">
        <f>IF($A913="","",VLOOKUP($J913,APOIO!$H:$J,2,FALSE))</f>
        <v/>
      </c>
      <c r="L913" s="32" t="str">
        <f>IF($A913="","",VLOOKUP($J913,APOIO!$H:$J,3,FALSE))</f>
        <v/>
      </c>
      <c r="M913" s="31"/>
      <c r="N913" s="34"/>
      <c r="O913" s="32"/>
      <c r="P913" s="32"/>
      <c r="Q913" s="32"/>
      <c r="R913" s="32"/>
      <c r="S913" s="35"/>
      <c r="T913" s="91"/>
      <c r="U913" s="60"/>
      <c r="V913" s="36"/>
      <c r="W913" s="31"/>
      <c r="X913" s="59"/>
      <c r="Y913" s="59" t="str">
        <f>IFERROR(VLOOKUP($A913,APOIO!$A:$A,1,FALSE),"ERRO")</f>
        <v>ERRO</v>
      </c>
      <c r="Z913"/>
    </row>
    <row r="914" spans="1:26" ht="15" x14ac:dyDescent="0.25">
      <c r="A914" s="94"/>
      <c r="B914" s="32" t="str">
        <f>IF($A914="","",VLOOKUP($A914,APOIO!$A:$E,2,FALSE))</f>
        <v/>
      </c>
      <c r="C914" s="94"/>
      <c r="D914" s="32" t="str">
        <f>IF($A914="","",INDEX(APOIO!$D:$D,MATCH(CONCATENATE($A914,"_",$B914,"_",$C914),APOIO!$F:$F,0)))</f>
        <v/>
      </c>
      <c r="E914" s="31"/>
      <c r="F914" s="31"/>
      <c r="G914" s="33"/>
      <c r="H914" s="105"/>
      <c r="I914" s="32" t="str">
        <f>IF($A914="","",VLOOKUP($H914,APOIO!$L:$M,2,FALSE))</f>
        <v/>
      </c>
      <c r="J914" s="31"/>
      <c r="K914" s="32" t="str">
        <f>IF($A914="","",VLOOKUP($J914,APOIO!$H:$J,2,FALSE))</f>
        <v/>
      </c>
      <c r="L914" s="32" t="str">
        <f>IF($A914="","",VLOOKUP($J914,APOIO!$H:$J,3,FALSE))</f>
        <v/>
      </c>
      <c r="M914" s="31"/>
      <c r="N914" s="34"/>
      <c r="O914" s="32"/>
      <c r="P914" s="32"/>
      <c r="Q914" s="32"/>
      <c r="R914" s="32"/>
      <c r="S914" s="35"/>
      <c r="T914" s="91"/>
      <c r="U914" s="60"/>
      <c r="V914" s="36"/>
      <c r="W914" s="31"/>
      <c r="X914" s="59"/>
      <c r="Y914" s="59" t="str">
        <f>IFERROR(VLOOKUP($A914,APOIO!$A:$A,1,FALSE),"ERRO")</f>
        <v>ERRO</v>
      </c>
      <c r="Z914"/>
    </row>
    <row r="915" spans="1:26" ht="15" x14ac:dyDescent="0.25">
      <c r="A915" s="94"/>
      <c r="B915" s="32" t="str">
        <f>IF($A915="","",VLOOKUP($A915,APOIO!$A:$E,2,FALSE))</f>
        <v/>
      </c>
      <c r="C915" s="94"/>
      <c r="D915" s="32" t="str">
        <f>IF($A915="","",INDEX(APOIO!$D:$D,MATCH(CONCATENATE($A915,"_",$B915,"_",$C915),APOIO!$F:$F,0)))</f>
        <v/>
      </c>
      <c r="E915" s="31"/>
      <c r="F915" s="31"/>
      <c r="G915" s="33"/>
      <c r="H915" s="105"/>
      <c r="I915" s="32" t="str">
        <f>IF($A915="","",VLOOKUP($H915,APOIO!$L:$M,2,FALSE))</f>
        <v/>
      </c>
      <c r="J915" s="31"/>
      <c r="K915" s="32" t="str">
        <f>IF($A915="","",VLOOKUP($J915,APOIO!$H:$J,2,FALSE))</f>
        <v/>
      </c>
      <c r="L915" s="32" t="str">
        <f>IF($A915="","",VLOOKUP($J915,APOIO!$H:$J,3,FALSE))</f>
        <v/>
      </c>
      <c r="M915" s="31"/>
      <c r="N915" s="34"/>
      <c r="O915" s="32"/>
      <c r="P915" s="32"/>
      <c r="Q915" s="32"/>
      <c r="R915" s="32"/>
      <c r="S915" s="35"/>
      <c r="T915" s="91"/>
      <c r="U915" s="60"/>
      <c r="V915" s="36"/>
      <c r="W915" s="31"/>
      <c r="X915" s="59"/>
      <c r="Y915" s="59" t="str">
        <f>IFERROR(VLOOKUP($A915,APOIO!$A:$A,1,FALSE),"ERRO")</f>
        <v>ERRO</v>
      </c>
      <c r="Z915"/>
    </row>
    <row r="916" spans="1:26" ht="15" x14ac:dyDescent="0.25">
      <c r="A916" s="94"/>
      <c r="B916" s="32" t="str">
        <f>IF($A916="","",VLOOKUP($A916,APOIO!$A:$E,2,FALSE))</f>
        <v/>
      </c>
      <c r="C916" s="94"/>
      <c r="D916" s="32" t="str">
        <f>IF($A916="","",INDEX(APOIO!$D:$D,MATCH(CONCATENATE($A916,"_",$B916,"_",$C916),APOIO!$F:$F,0)))</f>
        <v/>
      </c>
      <c r="E916" s="31"/>
      <c r="F916" s="31"/>
      <c r="G916" s="33"/>
      <c r="H916" s="105"/>
      <c r="I916" s="32" t="str">
        <f>IF($A916="","",VLOOKUP($H916,APOIO!$L:$M,2,FALSE))</f>
        <v/>
      </c>
      <c r="J916" s="31"/>
      <c r="K916" s="32" t="str">
        <f>IF($A916="","",VLOOKUP($J916,APOIO!$H:$J,2,FALSE))</f>
        <v/>
      </c>
      <c r="L916" s="32" t="str">
        <f>IF($A916="","",VLOOKUP($J916,APOIO!$H:$J,3,FALSE))</f>
        <v/>
      </c>
      <c r="M916" s="31"/>
      <c r="N916" s="34"/>
      <c r="O916" s="32"/>
      <c r="P916" s="32"/>
      <c r="Q916" s="32"/>
      <c r="R916" s="32"/>
      <c r="S916" s="35"/>
      <c r="T916" s="91"/>
      <c r="U916" s="60"/>
      <c r="V916" s="36"/>
      <c r="W916" s="31"/>
      <c r="X916" s="59"/>
      <c r="Y916" s="59" t="str">
        <f>IFERROR(VLOOKUP($A916,APOIO!$A:$A,1,FALSE),"ERRO")</f>
        <v>ERRO</v>
      </c>
      <c r="Z916"/>
    </row>
    <row r="917" spans="1:26" ht="15" x14ac:dyDescent="0.25">
      <c r="A917" s="94"/>
      <c r="B917" s="32" t="str">
        <f>IF($A917="","",VLOOKUP($A917,APOIO!$A:$E,2,FALSE))</f>
        <v/>
      </c>
      <c r="C917" s="94"/>
      <c r="D917" s="32" t="str">
        <f>IF($A917="","",INDEX(APOIO!$D:$D,MATCH(CONCATENATE($A917,"_",$B917,"_",$C917),APOIO!$F:$F,0)))</f>
        <v/>
      </c>
      <c r="E917" s="31"/>
      <c r="F917" s="31"/>
      <c r="G917" s="33"/>
      <c r="H917" s="105"/>
      <c r="I917" s="32" t="str">
        <f>IF($A917="","",VLOOKUP($H917,APOIO!$L:$M,2,FALSE))</f>
        <v/>
      </c>
      <c r="J917" s="31"/>
      <c r="K917" s="32" t="str">
        <f>IF($A917="","",VLOOKUP($J917,APOIO!$H:$J,2,FALSE))</f>
        <v/>
      </c>
      <c r="L917" s="32" t="str">
        <f>IF($A917="","",VLOOKUP($J917,APOIO!$H:$J,3,FALSE))</f>
        <v/>
      </c>
      <c r="M917" s="31"/>
      <c r="N917" s="34"/>
      <c r="O917" s="32"/>
      <c r="P917" s="32"/>
      <c r="Q917" s="32"/>
      <c r="R917" s="32"/>
      <c r="S917" s="35"/>
      <c r="T917" s="91"/>
      <c r="U917" s="60"/>
      <c r="V917" s="36"/>
      <c r="W917" s="31"/>
      <c r="X917" s="59"/>
      <c r="Y917" s="59" t="str">
        <f>IFERROR(VLOOKUP($A917,APOIO!$A:$A,1,FALSE),"ERRO")</f>
        <v>ERRO</v>
      </c>
      <c r="Z917"/>
    </row>
    <row r="918" spans="1:26" ht="15" x14ac:dyDescent="0.25">
      <c r="A918" s="94"/>
      <c r="B918" s="32" t="str">
        <f>IF($A918="","",VLOOKUP($A918,APOIO!$A:$E,2,FALSE))</f>
        <v/>
      </c>
      <c r="C918" s="94"/>
      <c r="D918" s="32" t="str">
        <f>IF($A918="","",INDEX(APOIO!$D:$D,MATCH(CONCATENATE($A918,"_",$B918,"_",$C918),APOIO!$F:$F,0)))</f>
        <v/>
      </c>
      <c r="E918" s="31"/>
      <c r="F918" s="31"/>
      <c r="G918" s="33"/>
      <c r="H918" s="105"/>
      <c r="I918" s="32" t="str">
        <f>IF($A918="","",VLOOKUP($H918,APOIO!$L:$M,2,FALSE))</f>
        <v/>
      </c>
      <c r="J918" s="31"/>
      <c r="K918" s="32" t="str">
        <f>IF($A918="","",VLOOKUP($J918,APOIO!$H:$J,2,FALSE))</f>
        <v/>
      </c>
      <c r="L918" s="32" t="str">
        <f>IF($A918="","",VLOOKUP($J918,APOIO!$H:$J,3,FALSE))</f>
        <v/>
      </c>
      <c r="M918" s="31"/>
      <c r="N918" s="34"/>
      <c r="O918" s="32"/>
      <c r="P918" s="32"/>
      <c r="Q918" s="32"/>
      <c r="R918" s="32"/>
      <c r="S918" s="35"/>
      <c r="T918" s="91"/>
      <c r="U918" s="60"/>
      <c r="V918" s="36"/>
      <c r="W918" s="31"/>
      <c r="X918" s="59"/>
      <c r="Y918" s="59" t="str">
        <f>IFERROR(VLOOKUP($A918,APOIO!$A:$A,1,FALSE),"ERRO")</f>
        <v>ERRO</v>
      </c>
      <c r="Z918"/>
    </row>
    <row r="919" spans="1:26" ht="15" x14ac:dyDescent="0.25">
      <c r="A919" s="94"/>
      <c r="B919" s="32" t="str">
        <f>IF($A919="","",VLOOKUP($A919,APOIO!$A:$E,2,FALSE))</f>
        <v/>
      </c>
      <c r="C919" s="94"/>
      <c r="D919" s="32" t="str">
        <f>IF($A919="","",INDEX(APOIO!$D:$D,MATCH(CONCATENATE($A919,"_",$B919,"_",$C919),APOIO!$F:$F,0)))</f>
        <v/>
      </c>
      <c r="E919" s="31"/>
      <c r="F919" s="31"/>
      <c r="G919" s="33"/>
      <c r="H919" s="105"/>
      <c r="I919" s="32" t="str">
        <f>IF($A919="","",VLOOKUP($H919,APOIO!$L:$M,2,FALSE))</f>
        <v/>
      </c>
      <c r="J919" s="31"/>
      <c r="K919" s="32" t="str">
        <f>IF($A919="","",VLOOKUP($J919,APOIO!$H:$J,2,FALSE))</f>
        <v/>
      </c>
      <c r="L919" s="32" t="str">
        <f>IF($A919="","",VLOOKUP($J919,APOIO!$H:$J,3,FALSE))</f>
        <v/>
      </c>
      <c r="M919" s="31"/>
      <c r="N919" s="34"/>
      <c r="O919" s="32"/>
      <c r="P919" s="32"/>
      <c r="Q919" s="32"/>
      <c r="R919" s="32"/>
      <c r="S919" s="35"/>
      <c r="T919" s="91"/>
      <c r="U919" s="60"/>
      <c r="V919" s="36"/>
      <c r="W919" s="31"/>
      <c r="X919" s="59"/>
      <c r="Y919" s="59" t="str">
        <f>IFERROR(VLOOKUP($A919,APOIO!$A:$A,1,FALSE),"ERRO")</f>
        <v>ERRO</v>
      </c>
      <c r="Z919"/>
    </row>
    <row r="920" spans="1:26" ht="15" x14ac:dyDescent="0.25">
      <c r="A920" s="94"/>
      <c r="B920" s="32" t="str">
        <f>IF($A920="","",VLOOKUP($A920,APOIO!$A:$E,2,FALSE))</f>
        <v/>
      </c>
      <c r="C920" s="94"/>
      <c r="D920" s="32" t="str">
        <f>IF($A920="","",INDEX(APOIO!$D:$D,MATCH(CONCATENATE($A920,"_",$B920,"_",$C920),APOIO!$F:$F,0)))</f>
        <v/>
      </c>
      <c r="E920" s="31"/>
      <c r="F920" s="31"/>
      <c r="G920" s="33"/>
      <c r="H920" s="105"/>
      <c r="I920" s="32" t="str">
        <f>IF($A920="","",VLOOKUP($H920,APOIO!$L:$M,2,FALSE))</f>
        <v/>
      </c>
      <c r="J920" s="31"/>
      <c r="K920" s="32" t="str">
        <f>IF($A920="","",VLOOKUP($J920,APOIO!$H:$J,2,FALSE))</f>
        <v/>
      </c>
      <c r="L920" s="32" t="str">
        <f>IF($A920="","",VLOOKUP($J920,APOIO!$H:$J,3,FALSE))</f>
        <v/>
      </c>
      <c r="M920" s="31"/>
      <c r="N920" s="34"/>
      <c r="O920" s="32"/>
      <c r="P920" s="32"/>
      <c r="Q920" s="32"/>
      <c r="R920" s="32"/>
      <c r="S920" s="35"/>
      <c r="T920" s="91"/>
      <c r="U920" s="60"/>
      <c r="V920" s="36"/>
      <c r="W920" s="31"/>
      <c r="X920" s="59"/>
      <c r="Y920" s="59" t="str">
        <f>IFERROR(VLOOKUP($A920,APOIO!$A:$A,1,FALSE),"ERRO")</f>
        <v>ERRO</v>
      </c>
      <c r="Z920"/>
    </row>
    <row r="921" spans="1:26" ht="15" x14ac:dyDescent="0.25">
      <c r="A921" s="94"/>
      <c r="B921" s="32" t="str">
        <f>IF($A921="","",VLOOKUP($A921,APOIO!$A:$E,2,FALSE))</f>
        <v/>
      </c>
      <c r="C921" s="94"/>
      <c r="D921" s="32" t="str">
        <f>IF($A921="","",INDEX(APOIO!$D:$D,MATCH(CONCATENATE($A921,"_",$B921,"_",$C921),APOIO!$F:$F,0)))</f>
        <v/>
      </c>
      <c r="E921" s="31"/>
      <c r="F921" s="31"/>
      <c r="G921" s="33"/>
      <c r="H921" s="105"/>
      <c r="I921" s="32" t="str">
        <f>IF($A921="","",VLOOKUP($H921,APOIO!$L:$M,2,FALSE))</f>
        <v/>
      </c>
      <c r="J921" s="31"/>
      <c r="K921" s="32" t="str">
        <f>IF($A921="","",VLOOKUP($J921,APOIO!$H:$J,2,FALSE))</f>
        <v/>
      </c>
      <c r="L921" s="32" t="str">
        <f>IF($A921="","",VLOOKUP($J921,APOIO!$H:$J,3,FALSE))</f>
        <v/>
      </c>
      <c r="M921" s="31"/>
      <c r="N921" s="34"/>
      <c r="O921" s="32"/>
      <c r="P921" s="32"/>
      <c r="Q921" s="32"/>
      <c r="R921" s="32"/>
      <c r="S921" s="35"/>
      <c r="T921" s="91"/>
      <c r="U921" s="60"/>
      <c r="V921" s="36"/>
      <c r="W921" s="31"/>
      <c r="X921" s="59"/>
      <c r="Y921" s="59" t="str">
        <f>IFERROR(VLOOKUP($A921,APOIO!$A:$A,1,FALSE),"ERRO")</f>
        <v>ERRO</v>
      </c>
      <c r="Z921"/>
    </row>
    <row r="922" spans="1:26" ht="15" x14ac:dyDescent="0.25">
      <c r="A922" s="94"/>
      <c r="B922" s="32" t="str">
        <f>IF($A922="","",VLOOKUP($A922,APOIO!$A:$E,2,FALSE))</f>
        <v/>
      </c>
      <c r="C922" s="94"/>
      <c r="D922" s="32" t="str">
        <f>IF($A922="","",INDEX(APOIO!$D:$D,MATCH(CONCATENATE($A922,"_",$B922,"_",$C922),APOIO!$F:$F,0)))</f>
        <v/>
      </c>
      <c r="E922" s="31"/>
      <c r="F922" s="31"/>
      <c r="G922" s="33"/>
      <c r="H922" s="105"/>
      <c r="I922" s="32" t="str">
        <f>IF($A922="","",VLOOKUP($H922,APOIO!$L:$M,2,FALSE))</f>
        <v/>
      </c>
      <c r="J922" s="31"/>
      <c r="K922" s="32" t="str">
        <f>IF($A922="","",VLOOKUP($J922,APOIO!$H:$J,2,FALSE))</f>
        <v/>
      </c>
      <c r="L922" s="32" t="str">
        <f>IF($A922="","",VLOOKUP($J922,APOIO!$H:$J,3,FALSE))</f>
        <v/>
      </c>
      <c r="M922" s="31"/>
      <c r="N922" s="34"/>
      <c r="O922" s="32"/>
      <c r="P922" s="32"/>
      <c r="Q922" s="32"/>
      <c r="R922" s="32"/>
      <c r="S922" s="35"/>
      <c r="T922" s="91"/>
      <c r="U922" s="60"/>
      <c r="V922" s="36"/>
      <c r="W922" s="31"/>
      <c r="X922" s="59"/>
      <c r="Y922" s="59" t="str">
        <f>IFERROR(VLOOKUP($A922,APOIO!$A:$A,1,FALSE),"ERRO")</f>
        <v>ERRO</v>
      </c>
      <c r="Z922"/>
    </row>
    <row r="923" spans="1:26" ht="15" x14ac:dyDescent="0.25">
      <c r="A923" s="94"/>
      <c r="B923" s="32" t="str">
        <f>IF($A923="","",VLOOKUP($A923,APOIO!$A:$E,2,FALSE))</f>
        <v/>
      </c>
      <c r="C923" s="94"/>
      <c r="D923" s="32" t="str">
        <f>IF($A923="","",INDEX(APOIO!$D:$D,MATCH(CONCATENATE($A923,"_",$B923,"_",$C923),APOIO!$F:$F,0)))</f>
        <v/>
      </c>
      <c r="E923" s="31"/>
      <c r="F923" s="31"/>
      <c r="G923" s="33"/>
      <c r="H923" s="105"/>
      <c r="I923" s="32" t="str">
        <f>IF($A923="","",VLOOKUP($H923,APOIO!$L:$M,2,FALSE))</f>
        <v/>
      </c>
      <c r="J923" s="31"/>
      <c r="K923" s="32" t="str">
        <f>IF($A923="","",VLOOKUP($J923,APOIO!$H:$J,2,FALSE))</f>
        <v/>
      </c>
      <c r="L923" s="32" t="str">
        <f>IF($A923="","",VLOOKUP($J923,APOIO!$H:$J,3,FALSE))</f>
        <v/>
      </c>
      <c r="M923" s="31"/>
      <c r="N923" s="34"/>
      <c r="O923" s="32"/>
      <c r="P923" s="32"/>
      <c r="Q923" s="32"/>
      <c r="R923" s="32"/>
      <c r="S923" s="35"/>
      <c r="T923" s="91"/>
      <c r="U923" s="60"/>
      <c r="V923" s="36"/>
      <c r="W923" s="31"/>
      <c r="X923" s="59"/>
      <c r="Y923" s="59" t="str">
        <f>IFERROR(VLOOKUP($A923,APOIO!$A:$A,1,FALSE),"ERRO")</f>
        <v>ERRO</v>
      </c>
      <c r="Z923"/>
    </row>
    <row r="924" spans="1:26" ht="15" x14ac:dyDescent="0.25">
      <c r="A924" s="94"/>
      <c r="B924" s="32" t="str">
        <f>IF($A924="","",VLOOKUP($A924,APOIO!$A:$E,2,FALSE))</f>
        <v/>
      </c>
      <c r="C924" s="94"/>
      <c r="D924" s="32" t="str">
        <f>IF($A924="","",INDEX(APOIO!$D:$D,MATCH(CONCATENATE($A924,"_",$B924,"_",$C924),APOIO!$F:$F,0)))</f>
        <v/>
      </c>
      <c r="E924" s="31"/>
      <c r="F924" s="31"/>
      <c r="G924" s="33"/>
      <c r="H924" s="105"/>
      <c r="I924" s="32" t="str">
        <f>IF($A924="","",VLOOKUP($H924,APOIO!$L:$M,2,FALSE))</f>
        <v/>
      </c>
      <c r="J924" s="31"/>
      <c r="K924" s="32" t="str">
        <f>IF($A924="","",VLOOKUP($J924,APOIO!$H:$J,2,FALSE))</f>
        <v/>
      </c>
      <c r="L924" s="32" t="str">
        <f>IF($A924="","",VLOOKUP($J924,APOIO!$H:$J,3,FALSE))</f>
        <v/>
      </c>
      <c r="M924" s="31"/>
      <c r="N924" s="34"/>
      <c r="O924" s="32"/>
      <c r="P924" s="32"/>
      <c r="Q924" s="32"/>
      <c r="R924" s="32"/>
      <c r="S924" s="35"/>
      <c r="T924" s="91"/>
      <c r="U924" s="60"/>
      <c r="V924" s="36"/>
      <c r="W924" s="31"/>
      <c r="X924" s="59"/>
      <c r="Y924" s="59" t="str">
        <f>IFERROR(VLOOKUP($A924,APOIO!$A:$A,1,FALSE),"ERRO")</f>
        <v>ERRO</v>
      </c>
      <c r="Z924"/>
    </row>
    <row r="925" spans="1:26" ht="15" x14ac:dyDescent="0.25">
      <c r="A925" s="94"/>
      <c r="B925" s="32" t="str">
        <f>IF($A925="","",VLOOKUP($A925,APOIO!$A:$E,2,FALSE))</f>
        <v/>
      </c>
      <c r="C925" s="94"/>
      <c r="D925" s="32" t="str">
        <f>IF($A925="","",INDEX(APOIO!$D:$D,MATCH(CONCATENATE($A925,"_",$B925,"_",$C925),APOIO!$F:$F,0)))</f>
        <v/>
      </c>
      <c r="E925" s="31"/>
      <c r="F925" s="31"/>
      <c r="G925" s="33"/>
      <c r="H925" s="105"/>
      <c r="I925" s="32" t="str">
        <f>IF($A925="","",VLOOKUP($H925,APOIO!$L:$M,2,FALSE))</f>
        <v/>
      </c>
      <c r="J925" s="31"/>
      <c r="K925" s="32" t="str">
        <f>IF($A925="","",VLOOKUP($J925,APOIO!$H:$J,2,FALSE))</f>
        <v/>
      </c>
      <c r="L925" s="32" t="str">
        <f>IF($A925="","",VLOOKUP($J925,APOIO!$H:$J,3,FALSE))</f>
        <v/>
      </c>
      <c r="M925" s="31"/>
      <c r="N925" s="34"/>
      <c r="O925" s="32"/>
      <c r="P925" s="32"/>
      <c r="Q925" s="32"/>
      <c r="R925" s="32"/>
      <c r="S925" s="35"/>
      <c r="T925" s="91"/>
      <c r="U925" s="60"/>
      <c r="V925" s="36"/>
      <c r="W925" s="31"/>
      <c r="X925" s="59"/>
      <c r="Y925" s="59" t="str">
        <f>IFERROR(VLOOKUP($A925,APOIO!$A:$A,1,FALSE),"ERRO")</f>
        <v>ERRO</v>
      </c>
      <c r="Z925"/>
    </row>
    <row r="926" spans="1:26" ht="15" x14ac:dyDescent="0.25">
      <c r="A926" s="94"/>
      <c r="B926" s="32" t="str">
        <f>IF($A926="","",VLOOKUP($A926,APOIO!$A:$E,2,FALSE))</f>
        <v/>
      </c>
      <c r="C926" s="94"/>
      <c r="D926" s="32" t="str">
        <f>IF($A926="","",INDEX(APOIO!$D:$D,MATCH(CONCATENATE($A926,"_",$B926,"_",$C926),APOIO!$F:$F,0)))</f>
        <v/>
      </c>
      <c r="E926" s="31"/>
      <c r="F926" s="31"/>
      <c r="G926" s="33"/>
      <c r="H926" s="105"/>
      <c r="I926" s="32" t="str">
        <f>IF($A926="","",VLOOKUP($H926,APOIO!$L:$M,2,FALSE))</f>
        <v/>
      </c>
      <c r="J926" s="31"/>
      <c r="K926" s="32" t="str">
        <f>IF($A926="","",VLOOKUP($J926,APOIO!$H:$J,2,FALSE))</f>
        <v/>
      </c>
      <c r="L926" s="32" t="str">
        <f>IF($A926="","",VLOOKUP($J926,APOIO!$H:$J,3,FALSE))</f>
        <v/>
      </c>
      <c r="M926" s="31"/>
      <c r="N926" s="34"/>
      <c r="O926" s="32"/>
      <c r="P926" s="32"/>
      <c r="Q926" s="32"/>
      <c r="R926" s="32"/>
      <c r="S926" s="35"/>
      <c r="T926" s="91"/>
      <c r="U926" s="60"/>
      <c r="V926" s="36"/>
      <c r="W926" s="31"/>
      <c r="X926" s="59"/>
      <c r="Y926" s="59" t="str">
        <f>IFERROR(VLOOKUP($A926,APOIO!$A:$A,1,FALSE),"ERRO")</f>
        <v>ERRO</v>
      </c>
      <c r="Z926"/>
    </row>
    <row r="927" spans="1:26" ht="15" x14ac:dyDescent="0.25">
      <c r="A927" s="94"/>
      <c r="B927" s="32" t="str">
        <f>IF($A927="","",VLOOKUP($A927,APOIO!$A:$E,2,FALSE))</f>
        <v/>
      </c>
      <c r="C927" s="94"/>
      <c r="D927" s="32" t="str">
        <f>IF($A927="","",INDEX(APOIO!$D:$D,MATCH(CONCATENATE($A927,"_",$B927,"_",$C927),APOIO!$F:$F,0)))</f>
        <v/>
      </c>
      <c r="E927" s="31"/>
      <c r="F927" s="31"/>
      <c r="G927" s="33"/>
      <c r="H927" s="105"/>
      <c r="I927" s="32" t="str">
        <f>IF($A927="","",VLOOKUP($H927,APOIO!$L:$M,2,FALSE))</f>
        <v/>
      </c>
      <c r="J927" s="31"/>
      <c r="K927" s="32" t="str">
        <f>IF($A927="","",VLOOKUP($J927,APOIO!$H:$J,2,FALSE))</f>
        <v/>
      </c>
      <c r="L927" s="32" t="str">
        <f>IF($A927="","",VLOOKUP($J927,APOIO!$H:$J,3,FALSE))</f>
        <v/>
      </c>
      <c r="M927" s="31"/>
      <c r="N927" s="34"/>
      <c r="O927" s="32"/>
      <c r="P927" s="32"/>
      <c r="Q927" s="32"/>
      <c r="R927" s="32"/>
      <c r="S927" s="35"/>
      <c r="T927" s="91"/>
      <c r="U927" s="60"/>
      <c r="V927" s="36"/>
      <c r="W927" s="31"/>
      <c r="X927" s="59"/>
      <c r="Y927" s="59" t="str">
        <f>IFERROR(VLOOKUP($A927,APOIO!$A:$A,1,FALSE),"ERRO")</f>
        <v>ERRO</v>
      </c>
      <c r="Z927"/>
    </row>
    <row r="928" spans="1:26" ht="15" x14ac:dyDescent="0.25">
      <c r="A928" s="94"/>
      <c r="B928" s="32" t="str">
        <f>IF($A928="","",VLOOKUP($A928,APOIO!$A:$E,2,FALSE))</f>
        <v/>
      </c>
      <c r="C928" s="94"/>
      <c r="D928" s="32" t="str">
        <f>IF($A928="","",INDEX(APOIO!$D:$D,MATCH(CONCATENATE($A928,"_",$B928,"_",$C928),APOIO!$F:$F,0)))</f>
        <v/>
      </c>
      <c r="E928" s="31"/>
      <c r="F928" s="31"/>
      <c r="G928" s="33"/>
      <c r="H928" s="105"/>
      <c r="I928" s="32" t="str">
        <f>IF($A928="","",VLOOKUP($H928,APOIO!$L:$M,2,FALSE))</f>
        <v/>
      </c>
      <c r="J928" s="31"/>
      <c r="K928" s="32" t="str">
        <f>IF($A928="","",VLOOKUP($J928,APOIO!$H:$J,2,FALSE))</f>
        <v/>
      </c>
      <c r="L928" s="32" t="str">
        <f>IF($A928="","",VLOOKUP($J928,APOIO!$H:$J,3,FALSE))</f>
        <v/>
      </c>
      <c r="M928" s="31"/>
      <c r="N928" s="34"/>
      <c r="O928" s="32"/>
      <c r="P928" s="32"/>
      <c r="Q928" s="32"/>
      <c r="R928" s="32"/>
      <c r="S928" s="35"/>
      <c r="T928" s="91"/>
      <c r="U928" s="60"/>
      <c r="V928" s="36"/>
      <c r="W928" s="31"/>
      <c r="X928" s="59"/>
      <c r="Y928" s="59" t="str">
        <f>IFERROR(VLOOKUP($A928,APOIO!$A:$A,1,FALSE),"ERRO")</f>
        <v>ERRO</v>
      </c>
      <c r="Z928"/>
    </row>
    <row r="929" spans="1:26" ht="15" x14ac:dyDescent="0.25">
      <c r="A929" s="94"/>
      <c r="B929" s="32" t="str">
        <f>IF($A929="","",VLOOKUP($A929,APOIO!$A:$E,2,FALSE))</f>
        <v/>
      </c>
      <c r="C929" s="94"/>
      <c r="D929" s="32" t="str">
        <f>IF($A929="","",INDEX(APOIO!$D:$D,MATCH(CONCATENATE($A929,"_",$B929,"_",$C929),APOIO!$F:$F,0)))</f>
        <v/>
      </c>
      <c r="E929" s="31"/>
      <c r="F929" s="31"/>
      <c r="G929" s="33"/>
      <c r="H929" s="105"/>
      <c r="I929" s="32" t="str">
        <f>IF($A929="","",VLOOKUP($H929,APOIO!$L:$M,2,FALSE))</f>
        <v/>
      </c>
      <c r="J929" s="31"/>
      <c r="K929" s="32" t="str">
        <f>IF($A929="","",VLOOKUP($J929,APOIO!$H:$J,2,FALSE))</f>
        <v/>
      </c>
      <c r="L929" s="32" t="str">
        <f>IF($A929="","",VLOOKUP($J929,APOIO!$H:$J,3,FALSE))</f>
        <v/>
      </c>
      <c r="M929" s="31"/>
      <c r="N929" s="34"/>
      <c r="O929" s="32"/>
      <c r="P929" s="32"/>
      <c r="Q929" s="32"/>
      <c r="R929" s="32"/>
      <c r="S929" s="35"/>
      <c r="T929" s="91"/>
      <c r="U929" s="60"/>
      <c r="V929" s="36"/>
      <c r="W929" s="31"/>
      <c r="X929" s="59"/>
      <c r="Y929" s="59" t="str">
        <f>IFERROR(VLOOKUP($A929,APOIO!$A:$A,1,FALSE),"ERRO")</f>
        <v>ERRO</v>
      </c>
      <c r="Z929"/>
    </row>
    <row r="930" spans="1:26" ht="15" x14ac:dyDescent="0.25">
      <c r="A930" s="94"/>
      <c r="B930" s="32" t="str">
        <f>IF($A930="","",VLOOKUP($A930,APOIO!$A:$E,2,FALSE))</f>
        <v/>
      </c>
      <c r="C930" s="94"/>
      <c r="D930" s="32" t="str">
        <f>IF($A930="","",INDEX(APOIO!$D:$D,MATCH(CONCATENATE($A930,"_",$B930,"_",$C930),APOIO!$F:$F,0)))</f>
        <v/>
      </c>
      <c r="E930" s="31"/>
      <c r="F930" s="31"/>
      <c r="G930" s="33"/>
      <c r="H930" s="105"/>
      <c r="I930" s="32" t="str">
        <f>IF($A930="","",VLOOKUP($H930,APOIO!$L:$M,2,FALSE))</f>
        <v/>
      </c>
      <c r="J930" s="31"/>
      <c r="K930" s="32" t="str">
        <f>IF($A930="","",VLOOKUP($J930,APOIO!$H:$J,2,FALSE))</f>
        <v/>
      </c>
      <c r="L930" s="32" t="str">
        <f>IF($A930="","",VLOOKUP($J930,APOIO!$H:$J,3,FALSE))</f>
        <v/>
      </c>
      <c r="M930" s="31"/>
      <c r="N930" s="34"/>
      <c r="O930" s="32"/>
      <c r="P930" s="32"/>
      <c r="Q930" s="32"/>
      <c r="R930" s="32"/>
      <c r="S930" s="35"/>
      <c r="T930" s="91"/>
      <c r="U930" s="60"/>
      <c r="V930" s="36"/>
      <c r="W930" s="31"/>
      <c r="X930" s="59"/>
      <c r="Y930" s="59" t="str">
        <f>IFERROR(VLOOKUP($A930,APOIO!$A:$A,1,FALSE),"ERRO")</f>
        <v>ERRO</v>
      </c>
      <c r="Z930"/>
    </row>
    <row r="931" spans="1:26" ht="15" x14ac:dyDescent="0.25">
      <c r="A931" s="94"/>
      <c r="B931" s="32" t="str">
        <f>IF($A931="","",VLOOKUP($A931,APOIO!$A:$E,2,FALSE))</f>
        <v/>
      </c>
      <c r="C931" s="94"/>
      <c r="D931" s="32" t="str">
        <f>IF($A931="","",INDEX(APOIO!$D:$D,MATCH(CONCATENATE($A931,"_",$B931,"_",$C931),APOIO!$F:$F,0)))</f>
        <v/>
      </c>
      <c r="E931" s="31"/>
      <c r="F931" s="31"/>
      <c r="G931" s="33"/>
      <c r="H931" s="105"/>
      <c r="I931" s="32" t="str">
        <f>IF($A931="","",VLOOKUP($H931,APOIO!$L:$M,2,FALSE))</f>
        <v/>
      </c>
      <c r="J931" s="31"/>
      <c r="K931" s="32" t="str">
        <f>IF($A931="","",VLOOKUP($J931,APOIO!$H:$J,2,FALSE))</f>
        <v/>
      </c>
      <c r="L931" s="32" t="str">
        <f>IF($A931="","",VLOOKUP($J931,APOIO!$H:$J,3,FALSE))</f>
        <v/>
      </c>
      <c r="M931" s="31"/>
      <c r="N931" s="34"/>
      <c r="O931" s="32"/>
      <c r="P931" s="32"/>
      <c r="Q931" s="32"/>
      <c r="R931" s="32"/>
      <c r="S931" s="35"/>
      <c r="T931" s="91"/>
      <c r="U931" s="60"/>
      <c r="V931" s="36"/>
      <c r="W931" s="31"/>
      <c r="X931" s="59"/>
      <c r="Y931" s="59" t="str">
        <f>IFERROR(VLOOKUP($A931,APOIO!$A:$A,1,FALSE),"ERRO")</f>
        <v>ERRO</v>
      </c>
      <c r="Z931"/>
    </row>
    <row r="932" spans="1:26" ht="15" x14ac:dyDescent="0.25">
      <c r="A932" s="94"/>
      <c r="B932" s="32" t="str">
        <f>IF($A932="","",VLOOKUP($A932,APOIO!$A:$E,2,FALSE))</f>
        <v/>
      </c>
      <c r="C932" s="94"/>
      <c r="D932" s="32" t="str">
        <f>IF($A932="","",INDEX(APOIO!$D:$D,MATCH(CONCATENATE($A932,"_",$B932,"_",$C932),APOIO!$F:$F,0)))</f>
        <v/>
      </c>
      <c r="E932" s="31"/>
      <c r="F932" s="31"/>
      <c r="G932" s="33"/>
      <c r="H932" s="105"/>
      <c r="I932" s="32" t="str">
        <f>IF($A932="","",VLOOKUP($H932,APOIO!$L:$M,2,FALSE))</f>
        <v/>
      </c>
      <c r="J932" s="31"/>
      <c r="K932" s="32" t="str">
        <f>IF($A932="","",VLOOKUP($J932,APOIO!$H:$J,2,FALSE))</f>
        <v/>
      </c>
      <c r="L932" s="32" t="str">
        <f>IF($A932="","",VLOOKUP($J932,APOIO!$H:$J,3,FALSE))</f>
        <v/>
      </c>
      <c r="M932" s="31"/>
      <c r="N932" s="34"/>
      <c r="O932" s="32"/>
      <c r="P932" s="32"/>
      <c r="Q932" s="32"/>
      <c r="R932" s="32"/>
      <c r="S932" s="35"/>
      <c r="T932" s="91"/>
      <c r="U932" s="60"/>
      <c r="V932" s="36"/>
      <c r="W932" s="31"/>
      <c r="X932" s="59"/>
      <c r="Y932" s="59" t="str">
        <f>IFERROR(VLOOKUP($A932,APOIO!$A:$A,1,FALSE),"ERRO")</f>
        <v>ERRO</v>
      </c>
      <c r="Z932"/>
    </row>
    <row r="933" spans="1:26" ht="15" x14ac:dyDescent="0.25">
      <c r="A933" s="94"/>
      <c r="B933" s="32" t="str">
        <f>IF($A933="","",VLOOKUP($A933,APOIO!$A:$E,2,FALSE))</f>
        <v/>
      </c>
      <c r="C933" s="94"/>
      <c r="D933" s="32" t="str">
        <f>IF($A933="","",INDEX(APOIO!$D:$D,MATCH(CONCATENATE($A933,"_",$B933,"_",$C933),APOIO!$F:$F,0)))</f>
        <v/>
      </c>
      <c r="E933" s="31"/>
      <c r="F933" s="31"/>
      <c r="G933" s="33"/>
      <c r="H933" s="105"/>
      <c r="I933" s="32" t="str">
        <f>IF($A933="","",VLOOKUP($H933,APOIO!$L:$M,2,FALSE))</f>
        <v/>
      </c>
      <c r="J933" s="31"/>
      <c r="K933" s="32" t="str">
        <f>IF($A933="","",VLOOKUP($J933,APOIO!$H:$J,2,FALSE))</f>
        <v/>
      </c>
      <c r="L933" s="32" t="str">
        <f>IF($A933="","",VLOOKUP($J933,APOIO!$H:$J,3,FALSE))</f>
        <v/>
      </c>
      <c r="M933" s="31"/>
      <c r="N933" s="34"/>
      <c r="O933" s="32"/>
      <c r="P933" s="32"/>
      <c r="Q933" s="32"/>
      <c r="R933" s="32"/>
      <c r="S933" s="35"/>
      <c r="T933" s="91"/>
      <c r="U933" s="60"/>
      <c r="V933" s="36"/>
      <c r="W933" s="31"/>
      <c r="X933" s="59"/>
      <c r="Y933" s="59" t="str">
        <f>IFERROR(VLOOKUP($A933,APOIO!$A:$A,1,FALSE),"ERRO")</f>
        <v>ERRO</v>
      </c>
      <c r="Z933"/>
    </row>
    <row r="934" spans="1:26" ht="15" x14ac:dyDescent="0.25">
      <c r="A934" s="94"/>
      <c r="B934" s="32" t="str">
        <f>IF($A934="","",VLOOKUP($A934,APOIO!$A:$E,2,FALSE))</f>
        <v/>
      </c>
      <c r="C934" s="94"/>
      <c r="D934" s="32" t="str">
        <f>IF($A934="","",INDEX(APOIO!$D:$D,MATCH(CONCATENATE($A934,"_",$B934,"_",$C934),APOIO!$F:$F,0)))</f>
        <v/>
      </c>
      <c r="E934" s="31"/>
      <c r="F934" s="31"/>
      <c r="G934" s="33"/>
      <c r="H934" s="105"/>
      <c r="I934" s="32" t="str">
        <f>IF($A934="","",VLOOKUP($H934,APOIO!$L:$M,2,FALSE))</f>
        <v/>
      </c>
      <c r="J934" s="31"/>
      <c r="K934" s="32" t="str">
        <f>IF($A934="","",VLOOKUP($J934,APOIO!$H:$J,2,FALSE))</f>
        <v/>
      </c>
      <c r="L934" s="32" t="str">
        <f>IF($A934="","",VLOOKUP($J934,APOIO!$H:$J,3,FALSE))</f>
        <v/>
      </c>
      <c r="M934" s="31"/>
      <c r="N934" s="34"/>
      <c r="O934" s="32"/>
      <c r="P934" s="32"/>
      <c r="Q934" s="32"/>
      <c r="R934" s="32"/>
      <c r="S934" s="35"/>
      <c r="T934" s="91"/>
      <c r="U934" s="60"/>
      <c r="V934" s="36"/>
      <c r="W934" s="31"/>
      <c r="X934" s="59"/>
      <c r="Y934" s="59" t="str">
        <f>IFERROR(VLOOKUP($A934,APOIO!$A:$A,1,FALSE),"ERRO")</f>
        <v>ERRO</v>
      </c>
      <c r="Z934"/>
    </row>
    <row r="935" spans="1:26" ht="15" x14ac:dyDescent="0.25">
      <c r="A935" s="94"/>
      <c r="B935" s="32" t="str">
        <f>IF($A935="","",VLOOKUP($A935,APOIO!$A:$E,2,FALSE))</f>
        <v/>
      </c>
      <c r="C935" s="94"/>
      <c r="D935" s="32" t="str">
        <f>IF($A935="","",INDEX(APOIO!$D:$D,MATCH(CONCATENATE($A935,"_",$B935,"_",$C935),APOIO!$F:$F,0)))</f>
        <v/>
      </c>
      <c r="E935" s="31"/>
      <c r="F935" s="31"/>
      <c r="G935" s="33"/>
      <c r="H935" s="105"/>
      <c r="I935" s="32" t="str">
        <f>IF($A935="","",VLOOKUP($H935,APOIO!$L:$M,2,FALSE))</f>
        <v/>
      </c>
      <c r="J935" s="31"/>
      <c r="K935" s="32" t="str">
        <f>IF($A935="","",VLOOKUP($J935,APOIO!$H:$J,2,FALSE))</f>
        <v/>
      </c>
      <c r="L935" s="32" t="str">
        <f>IF($A935="","",VLOOKUP($J935,APOIO!$H:$J,3,FALSE))</f>
        <v/>
      </c>
      <c r="M935" s="31"/>
      <c r="N935" s="34"/>
      <c r="O935" s="32"/>
      <c r="P935" s="32"/>
      <c r="Q935" s="32"/>
      <c r="R935" s="32"/>
      <c r="S935" s="35"/>
      <c r="T935" s="91"/>
      <c r="U935" s="60"/>
      <c r="V935" s="36"/>
      <c r="W935" s="31"/>
      <c r="X935" s="59"/>
      <c r="Y935" s="59" t="str">
        <f>IFERROR(VLOOKUP($A935,APOIO!$A:$A,1,FALSE),"ERRO")</f>
        <v>ERRO</v>
      </c>
      <c r="Z935"/>
    </row>
    <row r="936" spans="1:26" ht="15" x14ac:dyDescent="0.25">
      <c r="A936" s="94"/>
      <c r="B936" s="32" t="str">
        <f>IF($A936="","",VLOOKUP($A936,APOIO!$A:$E,2,FALSE))</f>
        <v/>
      </c>
      <c r="C936" s="94"/>
      <c r="D936" s="32" t="str">
        <f>IF($A936="","",INDEX(APOIO!$D:$D,MATCH(CONCATENATE($A936,"_",$B936,"_",$C936),APOIO!$F:$F,0)))</f>
        <v/>
      </c>
      <c r="E936" s="31"/>
      <c r="F936" s="31"/>
      <c r="G936" s="33"/>
      <c r="H936" s="105"/>
      <c r="I936" s="32" t="str">
        <f>IF($A936="","",VLOOKUP($H936,APOIO!$L:$M,2,FALSE))</f>
        <v/>
      </c>
      <c r="J936" s="31"/>
      <c r="K936" s="32" t="str">
        <f>IF($A936="","",VLOOKUP($J936,APOIO!$H:$J,2,FALSE))</f>
        <v/>
      </c>
      <c r="L936" s="32" t="str">
        <f>IF($A936="","",VLOOKUP($J936,APOIO!$H:$J,3,FALSE))</f>
        <v/>
      </c>
      <c r="M936" s="31"/>
      <c r="N936" s="34"/>
      <c r="O936" s="32"/>
      <c r="P936" s="32"/>
      <c r="Q936" s="32"/>
      <c r="R936" s="32"/>
      <c r="S936" s="35"/>
      <c r="T936" s="91"/>
      <c r="U936" s="60"/>
      <c r="V936" s="36"/>
      <c r="W936" s="31"/>
      <c r="X936" s="59"/>
      <c r="Y936" s="59" t="str">
        <f>IFERROR(VLOOKUP($A936,APOIO!$A:$A,1,FALSE),"ERRO")</f>
        <v>ERRO</v>
      </c>
      <c r="Z936"/>
    </row>
    <row r="937" spans="1:26" ht="15" x14ac:dyDescent="0.25">
      <c r="A937" s="94"/>
      <c r="B937" s="32" t="str">
        <f>IF($A937="","",VLOOKUP($A937,APOIO!$A:$E,2,FALSE))</f>
        <v/>
      </c>
      <c r="C937" s="94"/>
      <c r="D937" s="32" t="str">
        <f>IF($A937="","",INDEX(APOIO!$D:$D,MATCH(CONCATENATE($A937,"_",$B937,"_",$C937),APOIO!$F:$F,0)))</f>
        <v/>
      </c>
      <c r="E937" s="31"/>
      <c r="F937" s="31"/>
      <c r="G937" s="33"/>
      <c r="H937" s="105"/>
      <c r="I937" s="32" t="str">
        <f>IF($A937="","",VLOOKUP($H937,APOIO!$L:$M,2,FALSE))</f>
        <v/>
      </c>
      <c r="J937" s="31"/>
      <c r="K937" s="32" t="str">
        <f>IF($A937="","",VLOOKUP($J937,APOIO!$H:$J,2,FALSE))</f>
        <v/>
      </c>
      <c r="L937" s="32" t="str">
        <f>IF($A937="","",VLOOKUP($J937,APOIO!$H:$J,3,FALSE))</f>
        <v/>
      </c>
      <c r="M937" s="31"/>
      <c r="N937" s="34"/>
      <c r="O937" s="32"/>
      <c r="P937" s="32"/>
      <c r="Q937" s="32"/>
      <c r="R937" s="32"/>
      <c r="S937" s="35"/>
      <c r="T937" s="91"/>
      <c r="U937" s="60"/>
      <c r="V937" s="36"/>
      <c r="W937" s="31"/>
      <c r="X937" s="59"/>
      <c r="Y937" s="59" t="str">
        <f>IFERROR(VLOOKUP($A937,APOIO!$A:$A,1,FALSE),"ERRO")</f>
        <v>ERRO</v>
      </c>
      <c r="Z937"/>
    </row>
    <row r="938" spans="1:26" ht="15" x14ac:dyDescent="0.25">
      <c r="A938" s="94"/>
      <c r="B938" s="32" t="str">
        <f>IF($A938="","",VLOOKUP($A938,APOIO!$A:$E,2,FALSE))</f>
        <v/>
      </c>
      <c r="C938" s="94"/>
      <c r="D938" s="32" t="str">
        <f>IF($A938="","",INDEX(APOIO!$D:$D,MATCH(CONCATENATE($A938,"_",$B938,"_",$C938),APOIO!$F:$F,0)))</f>
        <v/>
      </c>
      <c r="E938" s="31"/>
      <c r="F938" s="31"/>
      <c r="G938" s="33"/>
      <c r="H938" s="105"/>
      <c r="I938" s="32" t="str">
        <f>IF($A938="","",VLOOKUP($H938,APOIO!$L:$M,2,FALSE))</f>
        <v/>
      </c>
      <c r="J938" s="31"/>
      <c r="K938" s="32" t="str">
        <f>IF($A938="","",VLOOKUP($J938,APOIO!$H:$J,2,FALSE))</f>
        <v/>
      </c>
      <c r="L938" s="32" t="str">
        <f>IF($A938="","",VLOOKUP($J938,APOIO!$H:$J,3,FALSE))</f>
        <v/>
      </c>
      <c r="M938" s="31"/>
      <c r="N938" s="34"/>
      <c r="O938" s="32"/>
      <c r="P938" s="32"/>
      <c r="Q938" s="32"/>
      <c r="R938" s="32"/>
      <c r="S938" s="35"/>
      <c r="T938" s="91"/>
      <c r="U938" s="60"/>
      <c r="V938" s="36"/>
      <c r="W938" s="31"/>
      <c r="X938" s="59"/>
      <c r="Y938" s="59" t="str">
        <f>IFERROR(VLOOKUP($A938,APOIO!$A:$A,1,FALSE),"ERRO")</f>
        <v>ERRO</v>
      </c>
      <c r="Z938"/>
    </row>
    <row r="939" spans="1:26" ht="15" x14ac:dyDescent="0.25">
      <c r="A939" s="94"/>
      <c r="B939" s="32" t="str">
        <f>IF($A939="","",VLOOKUP($A939,APOIO!$A:$E,2,FALSE))</f>
        <v/>
      </c>
      <c r="C939" s="94"/>
      <c r="D939" s="32" t="str">
        <f>IF($A939="","",INDEX(APOIO!$D:$D,MATCH(CONCATENATE($A939,"_",$B939,"_",$C939),APOIO!$F:$F,0)))</f>
        <v/>
      </c>
      <c r="E939" s="31"/>
      <c r="F939" s="31"/>
      <c r="G939" s="33"/>
      <c r="H939" s="105"/>
      <c r="I939" s="32" t="str">
        <f>IF($A939="","",VLOOKUP($H939,APOIO!$L:$M,2,FALSE))</f>
        <v/>
      </c>
      <c r="J939" s="31"/>
      <c r="K939" s="32" t="str">
        <f>IF($A939="","",VLOOKUP($J939,APOIO!$H:$J,2,FALSE))</f>
        <v/>
      </c>
      <c r="L939" s="32" t="str">
        <f>IF($A939="","",VLOOKUP($J939,APOIO!$H:$J,3,FALSE))</f>
        <v/>
      </c>
      <c r="M939" s="31"/>
      <c r="N939" s="34"/>
      <c r="O939" s="32"/>
      <c r="P939" s="32"/>
      <c r="Q939" s="32"/>
      <c r="R939" s="32"/>
      <c r="S939" s="35"/>
      <c r="T939" s="91"/>
      <c r="U939" s="60"/>
      <c r="V939" s="36"/>
      <c r="W939" s="31"/>
      <c r="X939" s="59"/>
      <c r="Y939" s="59" t="str">
        <f>IFERROR(VLOOKUP($A939,APOIO!$A:$A,1,FALSE),"ERRO")</f>
        <v>ERRO</v>
      </c>
      <c r="Z939"/>
    </row>
    <row r="940" spans="1:26" ht="15" x14ac:dyDescent="0.25">
      <c r="A940" s="94"/>
      <c r="B940" s="32" t="str">
        <f>IF($A940="","",VLOOKUP($A940,APOIO!$A:$E,2,FALSE))</f>
        <v/>
      </c>
      <c r="C940" s="94"/>
      <c r="D940" s="32" t="str">
        <f>IF($A940="","",INDEX(APOIO!$D:$D,MATCH(CONCATENATE($A940,"_",$B940,"_",$C940),APOIO!$F:$F,0)))</f>
        <v/>
      </c>
      <c r="E940" s="31"/>
      <c r="F940" s="31"/>
      <c r="G940" s="33"/>
      <c r="H940" s="105"/>
      <c r="I940" s="32" t="str">
        <f>IF($A940="","",VLOOKUP($H940,APOIO!$L:$M,2,FALSE))</f>
        <v/>
      </c>
      <c r="J940" s="31"/>
      <c r="K940" s="32" t="str">
        <f>IF($A940="","",VLOOKUP($J940,APOIO!$H:$J,2,FALSE))</f>
        <v/>
      </c>
      <c r="L940" s="32" t="str">
        <f>IF($A940="","",VLOOKUP($J940,APOIO!$H:$J,3,FALSE))</f>
        <v/>
      </c>
      <c r="M940" s="31"/>
      <c r="N940" s="34"/>
      <c r="O940" s="32"/>
      <c r="P940" s="32"/>
      <c r="Q940" s="32"/>
      <c r="R940" s="32"/>
      <c r="S940" s="35"/>
      <c r="T940" s="91"/>
      <c r="U940" s="60"/>
      <c r="V940" s="36"/>
      <c r="W940" s="31"/>
      <c r="X940" s="59"/>
      <c r="Y940" s="59" t="str">
        <f>IFERROR(VLOOKUP($A940,APOIO!$A:$A,1,FALSE),"ERRO")</f>
        <v>ERRO</v>
      </c>
      <c r="Z940"/>
    </row>
    <row r="941" spans="1:26" ht="15" x14ac:dyDescent="0.25">
      <c r="A941" s="94"/>
      <c r="B941" s="32" t="str">
        <f>IF($A941="","",VLOOKUP($A941,APOIO!$A:$E,2,FALSE))</f>
        <v/>
      </c>
      <c r="C941" s="94"/>
      <c r="D941" s="32" t="str">
        <f>IF($A941="","",INDEX(APOIO!$D:$D,MATCH(CONCATENATE($A941,"_",$B941,"_",$C941),APOIO!$F:$F,0)))</f>
        <v/>
      </c>
      <c r="E941" s="31"/>
      <c r="F941" s="31"/>
      <c r="G941" s="33"/>
      <c r="H941" s="105"/>
      <c r="I941" s="32" t="str">
        <f>IF($A941="","",VLOOKUP($H941,APOIO!$L:$M,2,FALSE))</f>
        <v/>
      </c>
      <c r="J941" s="31"/>
      <c r="K941" s="32" t="str">
        <f>IF($A941="","",VLOOKUP($J941,APOIO!$H:$J,2,FALSE))</f>
        <v/>
      </c>
      <c r="L941" s="32" t="str">
        <f>IF($A941="","",VLOOKUP($J941,APOIO!$H:$J,3,FALSE))</f>
        <v/>
      </c>
      <c r="M941" s="31"/>
      <c r="N941" s="34"/>
      <c r="O941" s="32"/>
      <c r="P941" s="32"/>
      <c r="Q941" s="32"/>
      <c r="R941" s="32"/>
      <c r="S941" s="35"/>
      <c r="T941" s="91"/>
      <c r="U941" s="60"/>
      <c r="V941" s="36"/>
      <c r="W941" s="31"/>
      <c r="X941" s="59"/>
      <c r="Y941" s="59" t="str">
        <f>IFERROR(VLOOKUP($A941,APOIO!$A:$A,1,FALSE),"ERRO")</f>
        <v>ERRO</v>
      </c>
      <c r="Z941"/>
    </row>
    <row r="942" spans="1:26" ht="15" x14ac:dyDescent="0.25">
      <c r="A942" s="94"/>
      <c r="B942" s="32" t="str">
        <f>IF($A942="","",VLOOKUP($A942,APOIO!$A:$E,2,FALSE))</f>
        <v/>
      </c>
      <c r="C942" s="94"/>
      <c r="D942" s="32" t="str">
        <f>IF($A942="","",INDEX(APOIO!$D:$D,MATCH(CONCATENATE($A942,"_",$B942,"_",$C942),APOIO!$F:$F,0)))</f>
        <v/>
      </c>
      <c r="E942" s="31"/>
      <c r="F942" s="31"/>
      <c r="G942" s="33"/>
      <c r="H942" s="105"/>
      <c r="I942" s="32" t="str">
        <f>IF($A942="","",VLOOKUP($H942,APOIO!$L:$M,2,FALSE))</f>
        <v/>
      </c>
      <c r="J942" s="31"/>
      <c r="K942" s="32" t="str">
        <f>IF($A942="","",VLOOKUP($J942,APOIO!$H:$J,2,FALSE))</f>
        <v/>
      </c>
      <c r="L942" s="32" t="str">
        <f>IF($A942="","",VLOOKUP($J942,APOIO!$H:$J,3,FALSE))</f>
        <v/>
      </c>
      <c r="M942" s="31"/>
      <c r="N942" s="34"/>
      <c r="O942" s="32"/>
      <c r="P942" s="32"/>
      <c r="Q942" s="32"/>
      <c r="R942" s="32"/>
      <c r="S942" s="35"/>
      <c r="T942" s="91"/>
      <c r="U942" s="60"/>
      <c r="V942" s="36"/>
      <c r="W942" s="31"/>
      <c r="X942" s="59"/>
      <c r="Y942" s="59" t="str">
        <f>IFERROR(VLOOKUP($A942,APOIO!$A:$A,1,FALSE),"ERRO")</f>
        <v>ERRO</v>
      </c>
      <c r="Z942"/>
    </row>
    <row r="943" spans="1:26" ht="15" x14ac:dyDescent="0.25">
      <c r="A943" s="94"/>
      <c r="B943" s="32" t="str">
        <f>IF($A943="","",VLOOKUP($A943,APOIO!$A:$E,2,FALSE))</f>
        <v/>
      </c>
      <c r="C943" s="94"/>
      <c r="D943" s="32" t="str">
        <f>IF($A943="","",INDEX(APOIO!$D:$D,MATCH(CONCATENATE($A943,"_",$B943,"_",$C943),APOIO!$F:$F,0)))</f>
        <v/>
      </c>
      <c r="E943" s="31"/>
      <c r="F943" s="31"/>
      <c r="G943" s="33"/>
      <c r="H943" s="105"/>
      <c r="I943" s="32" t="str">
        <f>IF($A943="","",VLOOKUP($H943,APOIO!$L:$M,2,FALSE))</f>
        <v/>
      </c>
      <c r="J943" s="31"/>
      <c r="K943" s="32" t="str">
        <f>IF($A943="","",VLOOKUP($J943,APOIO!$H:$J,2,FALSE))</f>
        <v/>
      </c>
      <c r="L943" s="32" t="str">
        <f>IF($A943="","",VLOOKUP($J943,APOIO!$H:$J,3,FALSE))</f>
        <v/>
      </c>
      <c r="M943" s="31"/>
      <c r="N943" s="34"/>
      <c r="O943" s="32"/>
      <c r="P943" s="32"/>
      <c r="Q943" s="32"/>
      <c r="R943" s="32"/>
      <c r="S943" s="35"/>
      <c r="T943" s="91"/>
      <c r="U943" s="60"/>
      <c r="V943" s="36"/>
      <c r="W943" s="31"/>
      <c r="X943" s="59"/>
      <c r="Y943" s="59" t="str">
        <f>IFERROR(VLOOKUP($A943,APOIO!$A:$A,1,FALSE),"ERRO")</f>
        <v>ERRO</v>
      </c>
      <c r="Z943"/>
    </row>
    <row r="944" spans="1:26" ht="15" x14ac:dyDescent="0.25">
      <c r="A944" s="94"/>
      <c r="B944" s="32" t="str">
        <f>IF($A944="","",VLOOKUP($A944,APOIO!$A:$E,2,FALSE))</f>
        <v/>
      </c>
      <c r="C944" s="94"/>
      <c r="D944" s="32" t="str">
        <f>IF($A944="","",INDEX(APOIO!$D:$D,MATCH(CONCATENATE($A944,"_",$B944,"_",$C944),APOIO!$F:$F,0)))</f>
        <v/>
      </c>
      <c r="E944" s="31"/>
      <c r="F944" s="31"/>
      <c r="G944" s="33"/>
      <c r="H944" s="105"/>
      <c r="I944" s="32" t="str">
        <f>IF($A944="","",VLOOKUP($H944,APOIO!$L:$M,2,FALSE))</f>
        <v/>
      </c>
      <c r="J944" s="31"/>
      <c r="K944" s="32" t="str">
        <f>IF($A944="","",VLOOKUP($J944,APOIO!$H:$J,2,FALSE))</f>
        <v/>
      </c>
      <c r="L944" s="32" t="str">
        <f>IF($A944="","",VLOOKUP($J944,APOIO!$H:$J,3,FALSE))</f>
        <v/>
      </c>
      <c r="M944" s="31"/>
      <c r="N944" s="34"/>
      <c r="O944" s="32"/>
      <c r="P944" s="32"/>
      <c r="Q944" s="32"/>
      <c r="R944" s="32"/>
      <c r="S944" s="35"/>
      <c r="T944" s="91"/>
      <c r="U944" s="60"/>
      <c r="V944" s="36"/>
      <c r="W944" s="31"/>
      <c r="X944" s="59"/>
      <c r="Y944" s="59" t="str">
        <f>IFERROR(VLOOKUP($A944,APOIO!$A:$A,1,FALSE),"ERRO")</f>
        <v>ERRO</v>
      </c>
      <c r="Z944"/>
    </row>
    <row r="945" spans="1:26" ht="15" x14ac:dyDescent="0.25">
      <c r="A945" s="94"/>
      <c r="B945" s="32" t="str">
        <f>IF($A945="","",VLOOKUP($A945,APOIO!$A:$E,2,FALSE))</f>
        <v/>
      </c>
      <c r="C945" s="94"/>
      <c r="D945" s="32" t="str">
        <f>IF($A945="","",INDEX(APOIO!$D:$D,MATCH(CONCATENATE($A945,"_",$B945,"_",$C945),APOIO!$F:$F,0)))</f>
        <v/>
      </c>
      <c r="E945" s="31"/>
      <c r="F945" s="31"/>
      <c r="G945" s="33"/>
      <c r="H945" s="105"/>
      <c r="I945" s="32" t="str">
        <f>IF($A945="","",VLOOKUP($H945,APOIO!$L:$M,2,FALSE))</f>
        <v/>
      </c>
      <c r="J945" s="31"/>
      <c r="K945" s="32" t="str">
        <f>IF($A945="","",VLOOKUP($J945,APOIO!$H:$J,2,FALSE))</f>
        <v/>
      </c>
      <c r="L945" s="32" t="str">
        <f>IF($A945="","",VLOOKUP($J945,APOIO!$H:$J,3,FALSE))</f>
        <v/>
      </c>
      <c r="M945" s="31"/>
      <c r="N945" s="34"/>
      <c r="O945" s="32"/>
      <c r="P945" s="32"/>
      <c r="Q945" s="32"/>
      <c r="R945" s="32"/>
      <c r="S945" s="35"/>
      <c r="T945" s="91"/>
      <c r="U945" s="60"/>
      <c r="V945" s="36"/>
      <c r="W945" s="31"/>
      <c r="X945" s="59"/>
      <c r="Y945" s="59" t="str">
        <f>IFERROR(VLOOKUP($A945,APOIO!$A:$A,1,FALSE),"ERRO")</f>
        <v>ERRO</v>
      </c>
      <c r="Z945"/>
    </row>
    <row r="946" spans="1:26" ht="15" x14ac:dyDescent="0.25">
      <c r="A946" s="94"/>
      <c r="B946" s="32" t="str">
        <f>IF($A946="","",VLOOKUP($A946,APOIO!$A:$E,2,FALSE))</f>
        <v/>
      </c>
      <c r="C946" s="94"/>
      <c r="D946" s="32" t="str">
        <f>IF($A946="","",INDEX(APOIO!$D:$D,MATCH(CONCATENATE($A946,"_",$B946,"_",$C946),APOIO!$F:$F,0)))</f>
        <v/>
      </c>
      <c r="E946" s="31"/>
      <c r="F946" s="31"/>
      <c r="G946" s="33"/>
      <c r="H946" s="105"/>
      <c r="I946" s="32" t="str">
        <f>IF($A946="","",VLOOKUP($H946,APOIO!$L:$M,2,FALSE))</f>
        <v/>
      </c>
      <c r="J946" s="31"/>
      <c r="K946" s="32" t="str">
        <f>IF($A946="","",VLOOKUP($J946,APOIO!$H:$J,2,FALSE))</f>
        <v/>
      </c>
      <c r="L946" s="32" t="str">
        <f>IF($A946="","",VLOOKUP($J946,APOIO!$H:$J,3,FALSE))</f>
        <v/>
      </c>
      <c r="M946" s="31"/>
      <c r="N946" s="34"/>
      <c r="O946" s="32"/>
      <c r="P946" s="32"/>
      <c r="Q946" s="32"/>
      <c r="R946" s="32"/>
      <c r="S946" s="35"/>
      <c r="T946" s="91"/>
      <c r="U946" s="60"/>
      <c r="V946" s="36"/>
      <c r="W946" s="31"/>
      <c r="X946" s="59"/>
      <c r="Y946" s="59" t="str">
        <f>IFERROR(VLOOKUP($A946,APOIO!$A:$A,1,FALSE),"ERRO")</f>
        <v>ERRO</v>
      </c>
      <c r="Z946"/>
    </row>
    <row r="947" spans="1:26" ht="15" x14ac:dyDescent="0.25">
      <c r="A947" s="94"/>
      <c r="B947" s="32" t="str">
        <f>IF($A947="","",VLOOKUP($A947,APOIO!$A:$E,2,FALSE))</f>
        <v/>
      </c>
      <c r="C947" s="94"/>
      <c r="D947" s="32" t="str">
        <f>IF($A947="","",INDEX(APOIO!$D:$D,MATCH(CONCATENATE($A947,"_",$B947,"_",$C947),APOIO!$F:$F,0)))</f>
        <v/>
      </c>
      <c r="E947" s="31"/>
      <c r="F947" s="31"/>
      <c r="G947" s="33"/>
      <c r="H947" s="105"/>
      <c r="I947" s="32" t="str">
        <f>IF($A947="","",VLOOKUP($H947,APOIO!$L:$M,2,FALSE))</f>
        <v/>
      </c>
      <c r="J947" s="31"/>
      <c r="K947" s="32" t="str">
        <f>IF($A947="","",VLOOKUP($J947,APOIO!$H:$J,2,FALSE))</f>
        <v/>
      </c>
      <c r="L947" s="32" t="str">
        <f>IF($A947="","",VLOOKUP($J947,APOIO!$H:$J,3,FALSE))</f>
        <v/>
      </c>
      <c r="M947" s="31"/>
      <c r="N947" s="34"/>
      <c r="O947" s="32"/>
      <c r="P947" s="32"/>
      <c r="Q947" s="32"/>
      <c r="R947" s="32"/>
      <c r="S947" s="35"/>
      <c r="T947" s="91"/>
      <c r="U947" s="60"/>
      <c r="V947" s="36"/>
      <c r="W947" s="31"/>
      <c r="X947" s="59"/>
      <c r="Y947" s="59" t="str">
        <f>IFERROR(VLOOKUP($A947,APOIO!$A:$A,1,FALSE),"ERRO")</f>
        <v>ERRO</v>
      </c>
      <c r="Z947"/>
    </row>
    <row r="948" spans="1:26" ht="15" x14ac:dyDescent="0.25">
      <c r="A948" s="94"/>
      <c r="B948" s="32" t="str">
        <f>IF($A948="","",VLOOKUP($A948,APOIO!$A:$E,2,FALSE))</f>
        <v/>
      </c>
      <c r="C948" s="94"/>
      <c r="D948" s="32" t="str">
        <f>IF($A948="","",INDEX(APOIO!$D:$D,MATCH(CONCATENATE($A948,"_",$B948,"_",$C948),APOIO!$F:$F,0)))</f>
        <v/>
      </c>
      <c r="E948" s="31"/>
      <c r="F948" s="31"/>
      <c r="G948" s="33"/>
      <c r="H948" s="105"/>
      <c r="I948" s="32" t="str">
        <f>IF($A948="","",VLOOKUP($H948,APOIO!$L:$M,2,FALSE))</f>
        <v/>
      </c>
      <c r="J948" s="31"/>
      <c r="K948" s="32" t="str">
        <f>IF($A948="","",VLOOKUP($J948,APOIO!$H:$J,2,FALSE))</f>
        <v/>
      </c>
      <c r="L948" s="32" t="str">
        <f>IF($A948="","",VLOOKUP($J948,APOIO!$H:$J,3,FALSE))</f>
        <v/>
      </c>
      <c r="M948" s="31"/>
      <c r="N948" s="34"/>
      <c r="O948" s="32"/>
      <c r="P948" s="32"/>
      <c r="Q948" s="32"/>
      <c r="R948" s="32"/>
      <c r="S948" s="35"/>
      <c r="T948" s="91"/>
      <c r="U948" s="60"/>
      <c r="V948" s="36"/>
      <c r="W948" s="31"/>
      <c r="X948" s="59"/>
      <c r="Y948" s="59" t="str">
        <f>IFERROR(VLOOKUP($A948,APOIO!$A:$A,1,FALSE),"ERRO")</f>
        <v>ERRO</v>
      </c>
      <c r="Z948"/>
    </row>
    <row r="949" spans="1:26" ht="15" x14ac:dyDescent="0.25">
      <c r="A949" s="94"/>
      <c r="B949" s="32" t="str">
        <f>IF($A949="","",VLOOKUP($A949,APOIO!$A:$E,2,FALSE))</f>
        <v/>
      </c>
      <c r="C949" s="94"/>
      <c r="D949" s="32" t="str">
        <f>IF($A949="","",INDEX(APOIO!$D:$D,MATCH(CONCATENATE($A949,"_",$B949,"_",$C949),APOIO!$F:$F,0)))</f>
        <v/>
      </c>
      <c r="E949" s="31"/>
      <c r="F949" s="31"/>
      <c r="G949" s="33"/>
      <c r="H949" s="105"/>
      <c r="I949" s="32" t="str">
        <f>IF($A949="","",VLOOKUP($H949,APOIO!$L:$M,2,FALSE))</f>
        <v/>
      </c>
      <c r="J949" s="31"/>
      <c r="K949" s="32" t="str">
        <f>IF($A949="","",VLOOKUP($J949,APOIO!$H:$J,2,FALSE))</f>
        <v/>
      </c>
      <c r="L949" s="32" t="str">
        <f>IF($A949="","",VLOOKUP($J949,APOIO!$H:$J,3,FALSE))</f>
        <v/>
      </c>
      <c r="M949" s="31"/>
      <c r="N949" s="34"/>
      <c r="O949" s="32"/>
      <c r="P949" s="32"/>
      <c r="Q949" s="32"/>
      <c r="R949" s="32"/>
      <c r="S949" s="35"/>
      <c r="T949" s="91"/>
      <c r="U949" s="60"/>
      <c r="V949" s="36"/>
      <c r="W949" s="31"/>
      <c r="X949" s="59"/>
      <c r="Y949" s="59" t="str">
        <f>IFERROR(VLOOKUP($A949,APOIO!$A:$A,1,FALSE),"ERRO")</f>
        <v>ERRO</v>
      </c>
      <c r="Z949"/>
    </row>
    <row r="950" spans="1:26" ht="15" x14ac:dyDescent="0.25">
      <c r="A950" s="94"/>
      <c r="B950" s="32" t="str">
        <f>IF($A950="","",VLOOKUP($A950,APOIO!$A:$E,2,FALSE))</f>
        <v/>
      </c>
      <c r="C950" s="94"/>
      <c r="D950" s="32" t="str">
        <f>IF($A950="","",INDEX(APOIO!$D:$D,MATCH(CONCATENATE($A950,"_",$B950,"_",$C950),APOIO!$F:$F,0)))</f>
        <v/>
      </c>
      <c r="E950" s="31"/>
      <c r="F950" s="31"/>
      <c r="G950" s="33"/>
      <c r="H950" s="105"/>
      <c r="I950" s="32" t="str">
        <f>IF($A950="","",VLOOKUP($H950,APOIO!$L:$M,2,FALSE))</f>
        <v/>
      </c>
      <c r="J950" s="31"/>
      <c r="K950" s="32" t="str">
        <f>IF($A950="","",VLOOKUP($J950,APOIO!$H:$J,2,FALSE))</f>
        <v/>
      </c>
      <c r="L950" s="32" t="str">
        <f>IF($A950="","",VLOOKUP($J950,APOIO!$H:$J,3,FALSE))</f>
        <v/>
      </c>
      <c r="M950" s="31"/>
      <c r="N950" s="34"/>
      <c r="O950" s="32"/>
      <c r="P950" s="32"/>
      <c r="Q950" s="32"/>
      <c r="R950" s="32"/>
      <c r="S950" s="35"/>
      <c r="T950" s="91"/>
      <c r="U950" s="60"/>
      <c r="V950" s="36"/>
      <c r="W950" s="31"/>
      <c r="X950" s="59"/>
      <c r="Y950" s="59" t="str">
        <f>IFERROR(VLOOKUP($A950,APOIO!$A:$A,1,FALSE),"ERRO")</f>
        <v>ERRO</v>
      </c>
      <c r="Z950"/>
    </row>
    <row r="951" spans="1:26" ht="15" x14ac:dyDescent="0.25">
      <c r="A951" s="94"/>
      <c r="B951" s="32" t="str">
        <f>IF($A951="","",VLOOKUP($A951,APOIO!$A:$E,2,FALSE))</f>
        <v/>
      </c>
      <c r="C951" s="94"/>
      <c r="D951" s="32" t="str">
        <f>IF($A951="","",INDEX(APOIO!$D:$D,MATCH(CONCATENATE($A951,"_",$B951,"_",$C951),APOIO!$F:$F,0)))</f>
        <v/>
      </c>
      <c r="E951" s="31"/>
      <c r="F951" s="31"/>
      <c r="G951" s="33"/>
      <c r="H951" s="105"/>
      <c r="I951" s="32" t="str">
        <f>IF($A951="","",VLOOKUP($H951,APOIO!$L:$M,2,FALSE))</f>
        <v/>
      </c>
      <c r="J951" s="31"/>
      <c r="K951" s="32" t="str">
        <f>IF($A951="","",VLOOKUP($J951,APOIO!$H:$J,2,FALSE))</f>
        <v/>
      </c>
      <c r="L951" s="32" t="str">
        <f>IF($A951="","",VLOOKUP($J951,APOIO!$H:$J,3,FALSE))</f>
        <v/>
      </c>
      <c r="M951" s="31"/>
      <c r="N951" s="34"/>
      <c r="O951" s="32"/>
      <c r="P951" s="32"/>
      <c r="Q951" s="32"/>
      <c r="R951" s="32"/>
      <c r="S951" s="35"/>
      <c r="T951" s="91"/>
      <c r="U951" s="60"/>
      <c r="V951" s="36"/>
      <c r="W951" s="31"/>
      <c r="X951" s="59"/>
      <c r="Y951" s="59" t="str">
        <f>IFERROR(VLOOKUP($A951,APOIO!$A:$A,1,FALSE),"ERRO")</f>
        <v>ERRO</v>
      </c>
      <c r="Z951"/>
    </row>
    <row r="952" spans="1:26" ht="15" x14ac:dyDescent="0.25">
      <c r="A952" s="94"/>
      <c r="B952" s="32" t="str">
        <f>IF($A952="","",VLOOKUP($A952,APOIO!$A:$E,2,FALSE))</f>
        <v/>
      </c>
      <c r="C952" s="94"/>
      <c r="D952" s="32" t="str">
        <f>IF($A952="","",INDEX(APOIO!$D:$D,MATCH(CONCATENATE($A952,"_",$B952,"_",$C952),APOIO!$F:$F,0)))</f>
        <v/>
      </c>
      <c r="E952" s="31"/>
      <c r="F952" s="31"/>
      <c r="G952" s="33"/>
      <c r="H952" s="105"/>
      <c r="I952" s="32" t="str">
        <f>IF($A952="","",VLOOKUP($H952,APOIO!$L:$M,2,FALSE))</f>
        <v/>
      </c>
      <c r="J952" s="31"/>
      <c r="K952" s="32" t="str">
        <f>IF($A952="","",VLOOKUP($J952,APOIO!$H:$J,2,FALSE))</f>
        <v/>
      </c>
      <c r="L952" s="32" t="str">
        <f>IF($A952="","",VLOOKUP($J952,APOIO!$H:$J,3,FALSE))</f>
        <v/>
      </c>
      <c r="M952" s="31"/>
      <c r="N952" s="34"/>
      <c r="O952" s="32"/>
      <c r="P952" s="32"/>
      <c r="Q952" s="32"/>
      <c r="R952" s="32"/>
      <c r="S952" s="35"/>
      <c r="T952" s="91"/>
      <c r="U952" s="60"/>
      <c r="V952" s="36"/>
      <c r="W952" s="31"/>
      <c r="X952" s="59"/>
      <c r="Y952" s="59" t="str">
        <f>IFERROR(VLOOKUP($A952,APOIO!$A:$A,1,FALSE),"ERRO")</f>
        <v>ERRO</v>
      </c>
      <c r="Z952"/>
    </row>
    <row r="953" spans="1:26" ht="15" x14ac:dyDescent="0.25">
      <c r="A953" s="94"/>
      <c r="B953" s="32" t="str">
        <f>IF($A953="","",VLOOKUP($A953,APOIO!$A:$E,2,FALSE))</f>
        <v/>
      </c>
      <c r="C953" s="94"/>
      <c r="D953" s="32" t="str">
        <f>IF($A953="","",INDEX(APOIO!$D:$D,MATCH(CONCATENATE($A953,"_",$B953,"_",$C953),APOIO!$F:$F,0)))</f>
        <v/>
      </c>
      <c r="E953" s="31"/>
      <c r="F953" s="31"/>
      <c r="G953" s="33"/>
      <c r="H953" s="105"/>
      <c r="I953" s="32" t="str">
        <f>IF($A953="","",VLOOKUP($H953,APOIO!$L:$M,2,FALSE))</f>
        <v/>
      </c>
      <c r="J953" s="31"/>
      <c r="K953" s="32" t="str">
        <f>IF($A953="","",VLOOKUP($J953,APOIO!$H:$J,2,FALSE))</f>
        <v/>
      </c>
      <c r="L953" s="32" t="str">
        <f>IF($A953="","",VLOOKUP($J953,APOIO!$H:$J,3,FALSE))</f>
        <v/>
      </c>
      <c r="M953" s="31"/>
      <c r="N953" s="34"/>
      <c r="O953" s="32"/>
      <c r="P953" s="32"/>
      <c r="Q953" s="32"/>
      <c r="R953" s="32"/>
      <c r="S953" s="35"/>
      <c r="T953" s="91"/>
      <c r="U953" s="60"/>
      <c r="V953" s="36"/>
      <c r="W953" s="31"/>
      <c r="X953" s="59"/>
      <c r="Y953" s="59" t="str">
        <f>IFERROR(VLOOKUP($A953,APOIO!$A:$A,1,FALSE),"ERRO")</f>
        <v>ERRO</v>
      </c>
      <c r="Z953"/>
    </row>
    <row r="954" spans="1:26" ht="15" x14ac:dyDescent="0.25">
      <c r="A954" s="94"/>
      <c r="B954" s="32" t="str">
        <f>IF($A954="","",VLOOKUP($A954,APOIO!$A:$E,2,FALSE))</f>
        <v/>
      </c>
      <c r="C954" s="94"/>
      <c r="D954" s="32" t="str">
        <f>IF($A954="","",INDEX(APOIO!$D:$D,MATCH(CONCATENATE($A954,"_",$B954,"_",$C954),APOIO!$F:$F,0)))</f>
        <v/>
      </c>
      <c r="E954" s="31"/>
      <c r="F954" s="31"/>
      <c r="G954" s="33"/>
      <c r="H954" s="105"/>
      <c r="I954" s="32" t="str">
        <f>IF($A954="","",VLOOKUP($H954,APOIO!$L:$M,2,FALSE))</f>
        <v/>
      </c>
      <c r="J954" s="31"/>
      <c r="K954" s="32" t="str">
        <f>IF($A954="","",VLOOKUP($J954,APOIO!$H:$J,2,FALSE))</f>
        <v/>
      </c>
      <c r="L954" s="32" t="str">
        <f>IF($A954="","",VLOOKUP($J954,APOIO!$H:$J,3,FALSE))</f>
        <v/>
      </c>
      <c r="M954" s="31"/>
      <c r="N954" s="34"/>
      <c r="O954" s="32"/>
      <c r="P954" s="32"/>
      <c r="Q954" s="32"/>
      <c r="R954" s="32"/>
      <c r="S954" s="35"/>
      <c r="T954" s="91"/>
      <c r="U954" s="60"/>
      <c r="V954" s="36"/>
      <c r="W954" s="31"/>
      <c r="X954" s="59"/>
      <c r="Y954" s="59" t="str">
        <f>IFERROR(VLOOKUP($A954,APOIO!$A:$A,1,FALSE),"ERRO")</f>
        <v>ERRO</v>
      </c>
      <c r="Z954"/>
    </row>
    <row r="955" spans="1:26" ht="15" x14ac:dyDescent="0.25">
      <c r="A955" s="94"/>
      <c r="B955" s="32" t="str">
        <f>IF($A955="","",VLOOKUP($A955,APOIO!$A:$E,2,FALSE))</f>
        <v/>
      </c>
      <c r="C955" s="94"/>
      <c r="D955" s="32" t="str">
        <f>IF($A955="","",INDEX(APOIO!$D:$D,MATCH(CONCATENATE($A955,"_",$B955,"_",$C955),APOIO!$F:$F,0)))</f>
        <v/>
      </c>
      <c r="E955" s="31"/>
      <c r="F955" s="31"/>
      <c r="G955" s="33"/>
      <c r="H955" s="105"/>
      <c r="I955" s="32" t="str">
        <f>IF($A955="","",VLOOKUP($H955,APOIO!$L:$M,2,FALSE))</f>
        <v/>
      </c>
      <c r="J955" s="31"/>
      <c r="K955" s="32" t="str">
        <f>IF($A955="","",VLOOKUP($J955,APOIO!$H:$J,2,FALSE))</f>
        <v/>
      </c>
      <c r="L955" s="32" t="str">
        <f>IF($A955="","",VLOOKUP($J955,APOIO!$H:$J,3,FALSE))</f>
        <v/>
      </c>
      <c r="M955" s="31"/>
      <c r="N955" s="34"/>
      <c r="O955" s="32"/>
      <c r="P955" s="32"/>
      <c r="Q955" s="32"/>
      <c r="R955" s="32"/>
      <c r="S955" s="35"/>
      <c r="T955" s="91"/>
      <c r="U955" s="60"/>
      <c r="V955" s="36"/>
      <c r="W955" s="31"/>
      <c r="X955" s="59"/>
      <c r="Y955" s="59" t="str">
        <f>IFERROR(VLOOKUP($A955,APOIO!$A:$A,1,FALSE),"ERRO")</f>
        <v>ERRO</v>
      </c>
      <c r="Z955"/>
    </row>
    <row r="956" spans="1:26" ht="15" x14ac:dyDescent="0.25">
      <c r="A956" s="94"/>
      <c r="B956" s="32" t="str">
        <f>IF($A956="","",VLOOKUP($A956,APOIO!$A:$E,2,FALSE))</f>
        <v/>
      </c>
      <c r="C956" s="94"/>
      <c r="D956" s="32" t="str">
        <f>IF($A956="","",INDEX(APOIO!$D:$D,MATCH(CONCATENATE($A956,"_",$B956,"_",$C956),APOIO!$F:$F,0)))</f>
        <v/>
      </c>
      <c r="E956" s="31"/>
      <c r="F956" s="31"/>
      <c r="G956" s="33"/>
      <c r="H956" s="105"/>
      <c r="I956" s="32" t="str">
        <f>IF($A956="","",VLOOKUP($H956,APOIO!$L:$M,2,FALSE))</f>
        <v/>
      </c>
      <c r="J956" s="31"/>
      <c r="K956" s="32" t="str">
        <f>IF($A956="","",VLOOKUP($J956,APOIO!$H:$J,2,FALSE))</f>
        <v/>
      </c>
      <c r="L956" s="32" t="str">
        <f>IF($A956="","",VLOOKUP($J956,APOIO!$H:$J,3,FALSE))</f>
        <v/>
      </c>
      <c r="M956" s="31"/>
      <c r="N956" s="34"/>
      <c r="O956" s="32"/>
      <c r="P956" s="32"/>
      <c r="Q956" s="32"/>
      <c r="R956" s="32"/>
      <c r="S956" s="35"/>
      <c r="T956" s="91"/>
      <c r="U956" s="60"/>
      <c r="V956" s="36"/>
      <c r="W956" s="31"/>
      <c r="X956" s="59"/>
      <c r="Y956" s="59" t="str">
        <f>IFERROR(VLOOKUP($A956,APOIO!$A:$A,1,FALSE),"ERRO")</f>
        <v>ERRO</v>
      </c>
      <c r="Z956"/>
    </row>
    <row r="957" spans="1:26" ht="15" x14ac:dyDescent="0.25">
      <c r="A957" s="94"/>
      <c r="B957" s="32" t="str">
        <f>IF($A957="","",VLOOKUP($A957,APOIO!$A:$E,2,FALSE))</f>
        <v/>
      </c>
      <c r="C957" s="94"/>
      <c r="D957" s="32" t="str">
        <f>IF($A957="","",INDEX(APOIO!$D:$D,MATCH(CONCATENATE($A957,"_",$B957,"_",$C957),APOIO!$F:$F,0)))</f>
        <v/>
      </c>
      <c r="E957" s="31"/>
      <c r="F957" s="31"/>
      <c r="G957" s="33"/>
      <c r="H957" s="105"/>
      <c r="I957" s="32" t="str">
        <f>IF($A957="","",VLOOKUP($H957,APOIO!$L:$M,2,FALSE))</f>
        <v/>
      </c>
      <c r="J957" s="31"/>
      <c r="K957" s="32" t="str">
        <f>IF($A957="","",VLOOKUP($J957,APOIO!$H:$J,2,FALSE))</f>
        <v/>
      </c>
      <c r="L957" s="32" t="str">
        <f>IF($A957="","",VLOOKUP($J957,APOIO!$H:$J,3,FALSE))</f>
        <v/>
      </c>
      <c r="M957" s="31"/>
      <c r="N957" s="34"/>
      <c r="O957" s="32"/>
      <c r="P957" s="32"/>
      <c r="Q957" s="32"/>
      <c r="R957" s="32"/>
      <c r="S957" s="35"/>
      <c r="T957" s="91"/>
      <c r="U957" s="60"/>
      <c r="V957" s="36"/>
      <c r="W957" s="31"/>
      <c r="X957" s="59"/>
      <c r="Y957" s="59" t="str">
        <f>IFERROR(VLOOKUP($A957,APOIO!$A:$A,1,FALSE),"ERRO")</f>
        <v>ERRO</v>
      </c>
      <c r="Z957"/>
    </row>
    <row r="958" spans="1:26" ht="15" x14ac:dyDescent="0.25">
      <c r="A958" s="94"/>
      <c r="B958" s="32" t="str">
        <f>IF($A958="","",VLOOKUP($A958,APOIO!$A:$E,2,FALSE))</f>
        <v/>
      </c>
      <c r="C958" s="94"/>
      <c r="D958" s="32" t="str">
        <f>IF($A958="","",INDEX(APOIO!$D:$D,MATCH(CONCATENATE($A958,"_",$B958,"_",$C958),APOIO!$F:$F,0)))</f>
        <v/>
      </c>
      <c r="E958" s="31"/>
      <c r="F958" s="31"/>
      <c r="G958" s="33"/>
      <c r="H958" s="105"/>
      <c r="I958" s="32" t="str">
        <f>IF($A958="","",VLOOKUP($H958,APOIO!$L:$M,2,FALSE))</f>
        <v/>
      </c>
      <c r="J958" s="31"/>
      <c r="K958" s="32" t="str">
        <f>IF($A958="","",VLOOKUP($J958,APOIO!$H:$J,2,FALSE))</f>
        <v/>
      </c>
      <c r="L958" s="32" t="str">
        <f>IF($A958="","",VLOOKUP($J958,APOIO!$H:$J,3,FALSE))</f>
        <v/>
      </c>
      <c r="M958" s="31"/>
      <c r="N958" s="34"/>
      <c r="O958" s="32"/>
      <c r="P958" s="32"/>
      <c r="Q958" s="32"/>
      <c r="R958" s="32"/>
      <c r="S958" s="35"/>
      <c r="T958" s="91"/>
      <c r="U958" s="60"/>
      <c r="V958" s="36"/>
      <c r="W958" s="31"/>
      <c r="X958" s="59"/>
      <c r="Y958" s="59" t="str">
        <f>IFERROR(VLOOKUP($A958,APOIO!$A:$A,1,FALSE),"ERRO")</f>
        <v>ERRO</v>
      </c>
      <c r="Z958"/>
    </row>
    <row r="959" spans="1:26" ht="15" x14ac:dyDescent="0.25">
      <c r="A959" s="94"/>
      <c r="B959" s="32" t="str">
        <f>IF($A959="","",VLOOKUP($A959,APOIO!$A:$E,2,FALSE))</f>
        <v/>
      </c>
      <c r="C959" s="94"/>
      <c r="D959" s="32" t="str">
        <f>IF($A959="","",INDEX(APOIO!$D:$D,MATCH(CONCATENATE($A959,"_",$B959,"_",$C959),APOIO!$F:$F,0)))</f>
        <v/>
      </c>
      <c r="E959" s="31"/>
      <c r="F959" s="31"/>
      <c r="G959" s="33"/>
      <c r="H959" s="105"/>
      <c r="I959" s="32" t="str">
        <f>IF($A959="","",VLOOKUP($H959,APOIO!$L:$M,2,FALSE))</f>
        <v/>
      </c>
      <c r="J959" s="31"/>
      <c r="K959" s="32" t="str">
        <f>IF($A959="","",VLOOKUP($J959,APOIO!$H:$J,2,FALSE))</f>
        <v/>
      </c>
      <c r="L959" s="32" t="str">
        <f>IF($A959="","",VLOOKUP($J959,APOIO!$H:$J,3,FALSE))</f>
        <v/>
      </c>
      <c r="M959" s="31"/>
      <c r="N959" s="34"/>
      <c r="O959" s="32"/>
      <c r="P959" s="32"/>
      <c r="Q959" s="32"/>
      <c r="R959" s="32"/>
      <c r="S959" s="35"/>
      <c r="T959" s="91"/>
      <c r="U959" s="60"/>
      <c r="V959" s="36"/>
      <c r="W959" s="31"/>
      <c r="X959" s="59"/>
      <c r="Y959" s="59" t="str">
        <f>IFERROR(VLOOKUP($A959,APOIO!$A:$A,1,FALSE),"ERRO")</f>
        <v>ERRO</v>
      </c>
      <c r="Z959"/>
    </row>
    <row r="960" spans="1:26" ht="15" x14ac:dyDescent="0.25">
      <c r="A960" s="94"/>
      <c r="B960" s="32" t="str">
        <f>IF($A960="","",VLOOKUP($A960,APOIO!$A:$E,2,FALSE))</f>
        <v/>
      </c>
      <c r="C960" s="94"/>
      <c r="D960" s="32" t="str">
        <f>IF($A960="","",INDEX(APOIO!$D:$D,MATCH(CONCATENATE($A960,"_",$B960,"_",$C960),APOIO!$F:$F,0)))</f>
        <v/>
      </c>
      <c r="E960" s="31"/>
      <c r="F960" s="31"/>
      <c r="G960" s="33"/>
      <c r="H960" s="105"/>
      <c r="I960" s="32" t="str">
        <f>IF($A960="","",VLOOKUP($H960,APOIO!$L:$M,2,FALSE))</f>
        <v/>
      </c>
      <c r="J960" s="31"/>
      <c r="K960" s="32" t="str">
        <f>IF($A960="","",VLOOKUP($J960,APOIO!$H:$J,2,FALSE))</f>
        <v/>
      </c>
      <c r="L960" s="32" t="str">
        <f>IF($A960="","",VLOOKUP($J960,APOIO!$H:$J,3,FALSE))</f>
        <v/>
      </c>
      <c r="M960" s="31"/>
      <c r="N960" s="34"/>
      <c r="O960" s="32"/>
      <c r="P960" s="32"/>
      <c r="Q960" s="32"/>
      <c r="R960" s="32"/>
      <c r="S960" s="35"/>
      <c r="T960" s="91"/>
      <c r="U960" s="60"/>
      <c r="V960" s="36"/>
      <c r="W960" s="31"/>
      <c r="X960" s="59"/>
      <c r="Y960" s="59" t="str">
        <f>IFERROR(VLOOKUP($A960,APOIO!$A:$A,1,FALSE),"ERRO")</f>
        <v>ERRO</v>
      </c>
      <c r="Z960"/>
    </row>
    <row r="961" spans="1:26" ht="15" x14ac:dyDescent="0.25">
      <c r="A961" s="94"/>
      <c r="B961" s="32" t="str">
        <f>IF($A961="","",VLOOKUP($A961,APOIO!$A:$E,2,FALSE))</f>
        <v/>
      </c>
      <c r="C961" s="94"/>
      <c r="D961" s="32" t="str">
        <f>IF($A961="","",INDEX(APOIO!$D:$D,MATCH(CONCATENATE($A961,"_",$B961,"_",$C961),APOIO!$F:$F,0)))</f>
        <v/>
      </c>
      <c r="E961" s="31"/>
      <c r="F961" s="31"/>
      <c r="G961" s="33"/>
      <c r="H961" s="105"/>
      <c r="I961" s="32" t="str">
        <f>IF($A961="","",VLOOKUP($H961,APOIO!$L:$M,2,FALSE))</f>
        <v/>
      </c>
      <c r="J961" s="31"/>
      <c r="K961" s="32" t="str">
        <f>IF($A961="","",VLOOKUP($J961,APOIO!$H:$J,2,FALSE))</f>
        <v/>
      </c>
      <c r="L961" s="32" t="str">
        <f>IF($A961="","",VLOOKUP($J961,APOIO!$H:$J,3,FALSE))</f>
        <v/>
      </c>
      <c r="M961" s="31"/>
      <c r="N961" s="34"/>
      <c r="O961" s="32"/>
      <c r="P961" s="32"/>
      <c r="Q961" s="32"/>
      <c r="R961" s="32"/>
      <c r="S961" s="35"/>
      <c r="T961" s="91"/>
      <c r="U961" s="60"/>
      <c r="V961" s="36"/>
      <c r="W961" s="31"/>
      <c r="X961" s="59"/>
      <c r="Y961" s="59" t="str">
        <f>IFERROR(VLOOKUP($A961,APOIO!$A:$A,1,FALSE),"ERRO")</f>
        <v>ERRO</v>
      </c>
      <c r="Z961"/>
    </row>
    <row r="962" spans="1:26" ht="15" x14ac:dyDescent="0.25">
      <c r="A962" s="94"/>
      <c r="B962" s="32" t="str">
        <f>IF($A962="","",VLOOKUP($A962,APOIO!$A:$E,2,FALSE))</f>
        <v/>
      </c>
      <c r="C962" s="94"/>
      <c r="D962" s="32" t="str">
        <f>IF($A962="","",INDEX(APOIO!$D:$D,MATCH(CONCATENATE($A962,"_",$B962,"_",$C962),APOIO!$F:$F,0)))</f>
        <v/>
      </c>
      <c r="E962" s="31"/>
      <c r="F962" s="31"/>
      <c r="G962" s="33"/>
      <c r="H962" s="105"/>
      <c r="I962" s="32" t="str">
        <f>IF($A962="","",VLOOKUP($H962,APOIO!$L:$M,2,FALSE))</f>
        <v/>
      </c>
      <c r="J962" s="31"/>
      <c r="K962" s="32" t="str">
        <f>IF($A962="","",VLOOKUP($J962,APOIO!$H:$J,2,FALSE))</f>
        <v/>
      </c>
      <c r="L962" s="32" t="str">
        <f>IF($A962="","",VLOOKUP($J962,APOIO!$H:$J,3,FALSE))</f>
        <v/>
      </c>
      <c r="M962" s="31"/>
      <c r="N962" s="34"/>
      <c r="O962" s="32"/>
      <c r="P962" s="32"/>
      <c r="Q962" s="32"/>
      <c r="R962" s="32"/>
      <c r="S962" s="35"/>
      <c r="T962" s="91"/>
      <c r="U962" s="60"/>
      <c r="V962" s="36"/>
      <c r="W962" s="31"/>
      <c r="X962" s="59"/>
      <c r="Y962" s="59" t="str">
        <f>IFERROR(VLOOKUP($A962,APOIO!$A:$A,1,FALSE),"ERRO")</f>
        <v>ERRO</v>
      </c>
      <c r="Z962"/>
    </row>
    <row r="963" spans="1:26" ht="15" x14ac:dyDescent="0.25">
      <c r="A963" s="94"/>
      <c r="B963" s="32" t="str">
        <f>IF($A963="","",VLOOKUP($A963,APOIO!$A:$E,2,FALSE))</f>
        <v/>
      </c>
      <c r="C963" s="94"/>
      <c r="D963" s="32" t="str">
        <f>IF($A963="","",INDEX(APOIO!$D:$D,MATCH(CONCATENATE($A963,"_",$B963,"_",$C963),APOIO!$F:$F,0)))</f>
        <v/>
      </c>
      <c r="E963" s="31"/>
      <c r="F963" s="31"/>
      <c r="G963" s="33"/>
      <c r="H963" s="105"/>
      <c r="I963" s="32" t="str">
        <f>IF($A963="","",VLOOKUP($H963,APOIO!$L:$M,2,FALSE))</f>
        <v/>
      </c>
      <c r="J963" s="31"/>
      <c r="K963" s="32" t="str">
        <f>IF($A963="","",VLOOKUP($J963,APOIO!$H:$J,2,FALSE))</f>
        <v/>
      </c>
      <c r="L963" s="32" t="str">
        <f>IF($A963="","",VLOOKUP($J963,APOIO!$H:$J,3,FALSE))</f>
        <v/>
      </c>
      <c r="M963" s="31"/>
      <c r="N963" s="34"/>
      <c r="O963" s="32"/>
      <c r="P963" s="32"/>
      <c r="Q963" s="32"/>
      <c r="R963" s="32"/>
      <c r="S963" s="35"/>
      <c r="T963" s="91"/>
      <c r="U963" s="60"/>
      <c r="V963" s="36"/>
      <c r="W963" s="31"/>
      <c r="X963" s="59"/>
      <c r="Y963" s="59" t="str">
        <f>IFERROR(VLOOKUP($A963,APOIO!$A:$A,1,FALSE),"ERRO")</f>
        <v>ERRO</v>
      </c>
      <c r="Z963"/>
    </row>
    <row r="964" spans="1:26" ht="15" x14ac:dyDescent="0.25">
      <c r="A964" s="94"/>
      <c r="B964" s="32" t="str">
        <f>IF($A964="","",VLOOKUP($A964,APOIO!$A:$E,2,FALSE))</f>
        <v/>
      </c>
      <c r="C964" s="94"/>
      <c r="D964" s="32" t="str">
        <f>IF($A964="","",INDEX(APOIO!$D:$D,MATCH(CONCATENATE($A964,"_",$B964,"_",$C964),APOIO!$F:$F,0)))</f>
        <v/>
      </c>
      <c r="E964" s="31"/>
      <c r="F964" s="31"/>
      <c r="G964" s="33"/>
      <c r="H964" s="105"/>
      <c r="I964" s="32" t="str">
        <f>IF($A964="","",VLOOKUP($H964,APOIO!$L:$M,2,FALSE))</f>
        <v/>
      </c>
      <c r="J964" s="31"/>
      <c r="K964" s="32" t="str">
        <f>IF($A964="","",VLOOKUP($J964,APOIO!$H:$J,2,FALSE))</f>
        <v/>
      </c>
      <c r="L964" s="32" t="str">
        <f>IF($A964="","",VLOOKUP($J964,APOIO!$H:$J,3,FALSE))</f>
        <v/>
      </c>
      <c r="M964" s="31"/>
      <c r="N964" s="34"/>
      <c r="O964" s="32"/>
      <c r="P964" s="32"/>
      <c r="Q964" s="32"/>
      <c r="R964" s="32"/>
      <c r="S964" s="35"/>
      <c r="T964" s="91"/>
      <c r="U964" s="60"/>
      <c r="V964" s="36"/>
      <c r="W964" s="31"/>
      <c r="X964" s="59"/>
      <c r="Y964" s="59" t="str">
        <f>IFERROR(VLOOKUP($A964,APOIO!$A:$A,1,FALSE),"ERRO")</f>
        <v>ERRO</v>
      </c>
      <c r="Z964"/>
    </row>
    <row r="965" spans="1:26" ht="15" x14ac:dyDescent="0.25">
      <c r="A965" s="94"/>
      <c r="B965" s="32" t="str">
        <f>IF($A965="","",VLOOKUP($A965,APOIO!$A:$E,2,FALSE))</f>
        <v/>
      </c>
      <c r="C965" s="94"/>
      <c r="D965" s="32" t="str">
        <f>IF($A965="","",INDEX(APOIO!$D:$D,MATCH(CONCATENATE($A965,"_",$B965,"_",$C965),APOIO!$F:$F,0)))</f>
        <v/>
      </c>
      <c r="E965" s="31"/>
      <c r="F965" s="31"/>
      <c r="G965" s="33"/>
      <c r="H965" s="105"/>
      <c r="I965" s="32" t="str">
        <f>IF($A965="","",VLOOKUP($H965,APOIO!$L:$M,2,FALSE))</f>
        <v/>
      </c>
      <c r="J965" s="31"/>
      <c r="K965" s="32" t="str">
        <f>IF($A965="","",VLOOKUP($J965,APOIO!$H:$J,2,FALSE))</f>
        <v/>
      </c>
      <c r="L965" s="32" t="str">
        <f>IF($A965="","",VLOOKUP($J965,APOIO!$H:$J,3,FALSE))</f>
        <v/>
      </c>
      <c r="M965" s="31"/>
      <c r="N965" s="34"/>
      <c r="O965" s="32"/>
      <c r="P965" s="32"/>
      <c r="Q965" s="32"/>
      <c r="R965" s="32"/>
      <c r="S965" s="35"/>
      <c r="T965" s="91"/>
      <c r="U965" s="60"/>
      <c r="V965" s="36"/>
      <c r="W965" s="31"/>
      <c r="X965" s="59"/>
      <c r="Y965" s="59" t="str">
        <f>IFERROR(VLOOKUP($A965,APOIO!$A:$A,1,FALSE),"ERRO")</f>
        <v>ERRO</v>
      </c>
      <c r="Z965"/>
    </row>
    <row r="966" spans="1:26" ht="15" x14ac:dyDescent="0.25">
      <c r="A966" s="94"/>
      <c r="B966" s="32" t="str">
        <f>IF($A966="","",VLOOKUP($A966,APOIO!$A:$E,2,FALSE))</f>
        <v/>
      </c>
      <c r="C966" s="94"/>
      <c r="D966" s="32" t="str">
        <f>IF($A966="","",INDEX(APOIO!$D:$D,MATCH(CONCATENATE($A966,"_",$B966,"_",$C966),APOIO!$F:$F,0)))</f>
        <v/>
      </c>
      <c r="E966" s="31"/>
      <c r="F966" s="31"/>
      <c r="G966" s="33"/>
      <c r="H966" s="105"/>
      <c r="I966" s="32" t="str">
        <f>IF($A966="","",VLOOKUP($H966,APOIO!$L:$M,2,FALSE))</f>
        <v/>
      </c>
      <c r="J966" s="31"/>
      <c r="K966" s="32" t="str">
        <f>IF($A966="","",VLOOKUP($J966,APOIO!$H:$J,2,FALSE))</f>
        <v/>
      </c>
      <c r="L966" s="32" t="str">
        <f>IF($A966="","",VLOOKUP($J966,APOIO!$H:$J,3,FALSE))</f>
        <v/>
      </c>
      <c r="M966" s="31"/>
      <c r="N966" s="34"/>
      <c r="O966" s="32"/>
      <c r="P966" s="32"/>
      <c r="Q966" s="32"/>
      <c r="R966" s="32"/>
      <c r="S966" s="35"/>
      <c r="T966" s="91"/>
      <c r="U966" s="60"/>
      <c r="V966" s="36"/>
      <c r="W966" s="31"/>
      <c r="X966" s="59"/>
      <c r="Y966" s="59" t="str">
        <f>IFERROR(VLOOKUP($A966,APOIO!$A:$A,1,FALSE),"ERRO")</f>
        <v>ERRO</v>
      </c>
      <c r="Z966"/>
    </row>
    <row r="967" spans="1:26" ht="15" x14ac:dyDescent="0.25">
      <c r="A967" s="94"/>
      <c r="B967" s="32" t="str">
        <f>IF($A967="","",VLOOKUP($A967,APOIO!$A:$E,2,FALSE))</f>
        <v/>
      </c>
      <c r="C967" s="94"/>
      <c r="D967" s="32" t="str">
        <f>IF($A967="","",INDEX(APOIO!$D:$D,MATCH(CONCATENATE($A967,"_",$B967,"_",$C967),APOIO!$F:$F,0)))</f>
        <v/>
      </c>
      <c r="E967" s="31"/>
      <c r="F967" s="31"/>
      <c r="G967" s="33"/>
      <c r="H967" s="105"/>
      <c r="I967" s="32" t="str">
        <f>IF($A967="","",VLOOKUP($H967,APOIO!$L:$M,2,FALSE))</f>
        <v/>
      </c>
      <c r="J967" s="31"/>
      <c r="K967" s="32" t="str">
        <f>IF($A967="","",VLOOKUP($J967,APOIO!$H:$J,2,FALSE))</f>
        <v/>
      </c>
      <c r="L967" s="32" t="str">
        <f>IF($A967="","",VLOOKUP($J967,APOIO!$H:$J,3,FALSE))</f>
        <v/>
      </c>
      <c r="M967" s="31"/>
      <c r="N967" s="34"/>
      <c r="O967" s="32"/>
      <c r="P967" s="32"/>
      <c r="Q967" s="32"/>
      <c r="R967" s="32"/>
      <c r="S967" s="35"/>
      <c r="T967" s="91"/>
      <c r="U967" s="60"/>
      <c r="V967" s="36"/>
      <c r="W967" s="31"/>
      <c r="X967" s="59"/>
      <c r="Y967" s="59" t="str">
        <f>IFERROR(VLOOKUP($A967,APOIO!$A:$A,1,FALSE),"ERRO")</f>
        <v>ERRO</v>
      </c>
      <c r="Z967"/>
    </row>
    <row r="968" spans="1:26" ht="15" x14ac:dyDescent="0.25">
      <c r="A968" s="94"/>
      <c r="B968" s="32" t="str">
        <f>IF($A968="","",VLOOKUP($A968,APOIO!$A:$E,2,FALSE))</f>
        <v/>
      </c>
      <c r="C968" s="94"/>
      <c r="D968" s="32" t="str">
        <f>IF($A968="","",INDEX(APOIO!$D:$D,MATCH(CONCATENATE($A968,"_",$B968,"_",$C968),APOIO!$F:$F,0)))</f>
        <v/>
      </c>
      <c r="E968" s="31"/>
      <c r="F968" s="31"/>
      <c r="G968" s="33"/>
      <c r="H968" s="105"/>
      <c r="I968" s="32" t="str">
        <f>IF($A968="","",VLOOKUP($H968,APOIO!$L:$M,2,FALSE))</f>
        <v/>
      </c>
      <c r="J968" s="31"/>
      <c r="K968" s="32" t="str">
        <f>IF($A968="","",VLOOKUP($J968,APOIO!$H:$J,2,FALSE))</f>
        <v/>
      </c>
      <c r="L968" s="32" t="str">
        <f>IF($A968="","",VLOOKUP($J968,APOIO!$H:$J,3,FALSE))</f>
        <v/>
      </c>
      <c r="M968" s="31"/>
      <c r="N968" s="34"/>
      <c r="O968" s="32"/>
      <c r="P968" s="32"/>
      <c r="Q968" s="32"/>
      <c r="R968" s="32"/>
      <c r="S968" s="35"/>
      <c r="T968" s="91"/>
      <c r="U968" s="60"/>
      <c r="V968" s="36"/>
      <c r="W968" s="31"/>
      <c r="X968" s="59"/>
      <c r="Y968" s="59" t="str">
        <f>IFERROR(VLOOKUP($A968,APOIO!$A:$A,1,FALSE),"ERRO")</f>
        <v>ERRO</v>
      </c>
      <c r="Z968"/>
    </row>
    <row r="969" spans="1:26" ht="15" x14ac:dyDescent="0.25">
      <c r="A969" s="94"/>
      <c r="B969" s="32" t="str">
        <f>IF($A969="","",VLOOKUP($A969,APOIO!$A:$E,2,FALSE))</f>
        <v/>
      </c>
      <c r="C969" s="94"/>
      <c r="D969" s="32" t="str">
        <f>IF($A969="","",INDEX(APOIO!$D:$D,MATCH(CONCATENATE($A969,"_",$B969,"_",$C969),APOIO!$F:$F,0)))</f>
        <v/>
      </c>
      <c r="E969" s="31"/>
      <c r="F969" s="31"/>
      <c r="G969" s="33"/>
      <c r="H969" s="105"/>
      <c r="I969" s="32" t="str">
        <f>IF($A969="","",VLOOKUP($H969,APOIO!$L:$M,2,FALSE))</f>
        <v/>
      </c>
      <c r="J969" s="31"/>
      <c r="K969" s="32" t="str">
        <f>IF($A969="","",VLOOKUP($J969,APOIO!$H:$J,2,FALSE))</f>
        <v/>
      </c>
      <c r="L969" s="32" t="str">
        <f>IF($A969="","",VLOOKUP($J969,APOIO!$H:$J,3,FALSE))</f>
        <v/>
      </c>
      <c r="M969" s="31"/>
      <c r="N969" s="34"/>
      <c r="O969" s="32"/>
      <c r="P969" s="32"/>
      <c r="Q969" s="32"/>
      <c r="R969" s="32"/>
      <c r="S969" s="35"/>
      <c r="T969" s="91"/>
      <c r="U969" s="60"/>
      <c r="V969" s="36"/>
      <c r="W969" s="31"/>
      <c r="X969" s="59"/>
      <c r="Y969" s="59" t="str">
        <f>IFERROR(VLOOKUP($A969,APOIO!$A:$A,1,FALSE),"ERRO")</f>
        <v>ERRO</v>
      </c>
      <c r="Z969"/>
    </row>
    <row r="970" spans="1:26" ht="15" x14ac:dyDescent="0.25">
      <c r="A970" s="94"/>
      <c r="B970" s="32" t="str">
        <f>IF($A970="","",VLOOKUP($A970,APOIO!$A:$E,2,FALSE))</f>
        <v/>
      </c>
      <c r="C970" s="94"/>
      <c r="D970" s="32" t="str">
        <f>IF($A970="","",INDEX(APOIO!$D:$D,MATCH(CONCATENATE($A970,"_",$B970,"_",$C970),APOIO!$F:$F,0)))</f>
        <v/>
      </c>
      <c r="E970" s="31"/>
      <c r="F970" s="31"/>
      <c r="G970" s="33"/>
      <c r="H970" s="105"/>
      <c r="I970" s="32" t="str">
        <f>IF($A970="","",VLOOKUP($H970,APOIO!$L:$M,2,FALSE))</f>
        <v/>
      </c>
      <c r="J970" s="31"/>
      <c r="K970" s="32" t="str">
        <f>IF($A970="","",VLOOKUP($J970,APOIO!$H:$J,2,FALSE))</f>
        <v/>
      </c>
      <c r="L970" s="32" t="str">
        <f>IF($A970="","",VLOOKUP($J970,APOIO!$H:$J,3,FALSE))</f>
        <v/>
      </c>
      <c r="M970" s="31"/>
      <c r="N970" s="34"/>
      <c r="O970" s="32"/>
      <c r="P970" s="32"/>
      <c r="Q970" s="32"/>
      <c r="R970" s="32"/>
      <c r="S970" s="35"/>
      <c r="T970" s="91"/>
      <c r="U970" s="60"/>
      <c r="V970" s="36"/>
      <c r="W970" s="31"/>
      <c r="X970" s="59"/>
      <c r="Y970" s="59" t="str">
        <f>IFERROR(VLOOKUP($A970,APOIO!$A:$A,1,FALSE),"ERRO")</f>
        <v>ERRO</v>
      </c>
      <c r="Z970"/>
    </row>
    <row r="971" spans="1:26" ht="15" x14ac:dyDescent="0.25">
      <c r="A971" s="94"/>
      <c r="B971" s="32" t="str">
        <f>IF($A971="","",VLOOKUP($A971,APOIO!$A:$E,2,FALSE))</f>
        <v/>
      </c>
      <c r="C971" s="94"/>
      <c r="D971" s="32" t="str">
        <f>IF($A971="","",INDEX(APOIO!$D:$D,MATCH(CONCATENATE($A971,"_",$B971,"_",$C971),APOIO!$F:$F,0)))</f>
        <v/>
      </c>
      <c r="E971" s="31"/>
      <c r="F971" s="31"/>
      <c r="G971" s="33"/>
      <c r="H971" s="105"/>
      <c r="I971" s="32" t="str">
        <f>IF($A971="","",VLOOKUP($H971,APOIO!$L:$M,2,FALSE))</f>
        <v/>
      </c>
      <c r="J971" s="31"/>
      <c r="K971" s="32" t="str">
        <f>IF($A971="","",VLOOKUP($J971,APOIO!$H:$J,2,FALSE))</f>
        <v/>
      </c>
      <c r="L971" s="32" t="str">
        <f>IF($A971="","",VLOOKUP($J971,APOIO!$H:$J,3,FALSE))</f>
        <v/>
      </c>
      <c r="M971" s="31"/>
      <c r="N971" s="34"/>
      <c r="O971" s="32"/>
      <c r="P971" s="32"/>
      <c r="Q971" s="32"/>
      <c r="R971" s="32"/>
      <c r="S971" s="35"/>
      <c r="T971" s="91"/>
      <c r="U971" s="60"/>
      <c r="V971" s="36"/>
      <c r="W971" s="31"/>
      <c r="X971" s="59"/>
      <c r="Y971" s="59" t="str">
        <f>IFERROR(VLOOKUP($A971,APOIO!$A:$A,1,FALSE),"ERRO")</f>
        <v>ERRO</v>
      </c>
      <c r="Z971"/>
    </row>
    <row r="972" spans="1:26" ht="15" x14ac:dyDescent="0.25">
      <c r="A972" s="94"/>
      <c r="B972" s="32" t="str">
        <f>IF($A972="","",VLOOKUP($A972,APOIO!$A:$E,2,FALSE))</f>
        <v/>
      </c>
      <c r="C972" s="94"/>
      <c r="D972" s="32" t="str">
        <f>IF($A972="","",INDEX(APOIO!$D:$D,MATCH(CONCATENATE($A972,"_",$B972,"_",$C972),APOIO!$F:$F,0)))</f>
        <v/>
      </c>
      <c r="E972" s="31"/>
      <c r="F972" s="31"/>
      <c r="G972" s="33"/>
      <c r="H972" s="105"/>
      <c r="I972" s="32" t="str">
        <f>IF($A972="","",VLOOKUP($H972,APOIO!$L:$M,2,FALSE))</f>
        <v/>
      </c>
      <c r="J972" s="31"/>
      <c r="K972" s="32" t="str">
        <f>IF($A972="","",VLOOKUP($J972,APOIO!$H:$J,2,FALSE))</f>
        <v/>
      </c>
      <c r="L972" s="32" t="str">
        <f>IF($A972="","",VLOOKUP($J972,APOIO!$H:$J,3,FALSE))</f>
        <v/>
      </c>
      <c r="M972" s="31"/>
      <c r="N972" s="34"/>
      <c r="O972" s="32"/>
      <c r="P972" s="32"/>
      <c r="Q972" s="32"/>
      <c r="R972" s="32"/>
      <c r="S972" s="35"/>
      <c r="T972" s="91"/>
      <c r="U972" s="60"/>
      <c r="V972" s="36"/>
      <c r="W972" s="31"/>
      <c r="X972" s="59"/>
      <c r="Y972" s="59" t="str">
        <f>IFERROR(VLOOKUP($A972,APOIO!$A:$A,1,FALSE),"ERRO")</f>
        <v>ERRO</v>
      </c>
      <c r="Z972"/>
    </row>
    <row r="973" spans="1:26" ht="15" x14ac:dyDescent="0.25">
      <c r="A973" s="94"/>
      <c r="B973" s="32" t="str">
        <f>IF($A973="","",VLOOKUP($A973,APOIO!$A:$E,2,FALSE))</f>
        <v/>
      </c>
      <c r="C973" s="94"/>
      <c r="D973" s="32" t="str">
        <f>IF($A973="","",INDEX(APOIO!$D:$D,MATCH(CONCATENATE($A973,"_",$B973,"_",$C973),APOIO!$F:$F,0)))</f>
        <v/>
      </c>
      <c r="E973" s="31"/>
      <c r="F973" s="31"/>
      <c r="G973" s="33"/>
      <c r="H973" s="105"/>
      <c r="I973" s="32" t="str">
        <f>IF($A973="","",VLOOKUP($H973,APOIO!$L:$M,2,FALSE))</f>
        <v/>
      </c>
      <c r="J973" s="31"/>
      <c r="K973" s="32" t="str">
        <f>IF($A973="","",VLOOKUP($J973,APOIO!$H:$J,2,FALSE))</f>
        <v/>
      </c>
      <c r="L973" s="32" t="str">
        <f>IF($A973="","",VLOOKUP($J973,APOIO!$H:$J,3,FALSE))</f>
        <v/>
      </c>
      <c r="M973" s="31"/>
      <c r="N973" s="34"/>
      <c r="O973" s="32"/>
      <c r="P973" s="32"/>
      <c r="Q973" s="32"/>
      <c r="R973" s="32"/>
      <c r="S973" s="35"/>
      <c r="T973" s="91"/>
      <c r="U973" s="60"/>
      <c r="V973" s="36"/>
      <c r="W973" s="31"/>
      <c r="X973" s="59"/>
      <c r="Y973" s="59" t="str">
        <f>IFERROR(VLOOKUP($A973,APOIO!$A:$A,1,FALSE),"ERRO")</f>
        <v>ERRO</v>
      </c>
      <c r="Z973"/>
    </row>
    <row r="974" spans="1:26" ht="15" x14ac:dyDescent="0.25">
      <c r="A974" s="94"/>
      <c r="B974" s="32" t="str">
        <f>IF($A974="","",VLOOKUP($A974,APOIO!$A:$E,2,FALSE))</f>
        <v/>
      </c>
      <c r="C974" s="94"/>
      <c r="D974" s="32" t="str">
        <f>IF($A974="","",INDEX(APOIO!$D:$D,MATCH(CONCATENATE($A974,"_",$B974,"_",$C974),APOIO!$F:$F,0)))</f>
        <v/>
      </c>
      <c r="E974" s="31"/>
      <c r="F974" s="31"/>
      <c r="G974" s="33"/>
      <c r="H974" s="105"/>
      <c r="I974" s="32" t="str">
        <f>IF($A974="","",VLOOKUP($H974,APOIO!$L:$M,2,FALSE))</f>
        <v/>
      </c>
      <c r="J974" s="31"/>
      <c r="K974" s="32" t="str">
        <f>IF($A974="","",VLOOKUP($J974,APOIO!$H:$J,2,FALSE))</f>
        <v/>
      </c>
      <c r="L974" s="32" t="str">
        <f>IF($A974="","",VLOOKUP($J974,APOIO!$H:$J,3,FALSE))</f>
        <v/>
      </c>
      <c r="M974" s="31"/>
      <c r="N974" s="34"/>
      <c r="O974" s="32"/>
      <c r="P974" s="32"/>
      <c r="Q974" s="32"/>
      <c r="R974" s="32"/>
      <c r="S974" s="35"/>
      <c r="T974" s="91"/>
      <c r="U974" s="60"/>
      <c r="V974" s="36"/>
      <c r="W974" s="31"/>
      <c r="X974" s="59"/>
      <c r="Y974" s="59" t="str">
        <f>IFERROR(VLOOKUP($A974,APOIO!$A:$A,1,FALSE),"ERRO")</f>
        <v>ERRO</v>
      </c>
      <c r="Z974"/>
    </row>
    <row r="975" spans="1:26" ht="15" x14ac:dyDescent="0.25">
      <c r="A975" s="94"/>
      <c r="B975" s="32" t="str">
        <f>IF($A975="","",VLOOKUP($A975,APOIO!$A:$E,2,FALSE))</f>
        <v/>
      </c>
      <c r="C975" s="94"/>
      <c r="D975" s="32" t="str">
        <f>IF($A975="","",INDEX(APOIO!$D:$D,MATCH(CONCATENATE($A975,"_",$B975,"_",$C975),APOIO!$F:$F,0)))</f>
        <v/>
      </c>
      <c r="E975" s="31"/>
      <c r="F975" s="31"/>
      <c r="G975" s="33"/>
      <c r="H975" s="105"/>
      <c r="I975" s="32" t="str">
        <f>IF($A975="","",VLOOKUP($H975,APOIO!$L:$M,2,FALSE))</f>
        <v/>
      </c>
      <c r="J975" s="31"/>
      <c r="K975" s="32" t="str">
        <f>IF($A975="","",VLOOKUP($J975,APOIO!$H:$J,2,FALSE))</f>
        <v/>
      </c>
      <c r="L975" s="32" t="str">
        <f>IF($A975="","",VLOOKUP($J975,APOIO!$H:$J,3,FALSE))</f>
        <v/>
      </c>
      <c r="M975" s="31"/>
      <c r="N975" s="34"/>
      <c r="O975" s="32"/>
      <c r="P975" s="32"/>
      <c r="Q975" s="32"/>
      <c r="R975" s="32"/>
      <c r="S975" s="35"/>
      <c r="T975" s="91"/>
      <c r="U975" s="60"/>
      <c r="V975" s="36"/>
      <c r="W975" s="31"/>
      <c r="X975" s="59"/>
      <c r="Y975" s="59" t="str">
        <f>IFERROR(VLOOKUP($A975,APOIO!$A:$A,1,FALSE),"ERRO")</f>
        <v>ERRO</v>
      </c>
      <c r="Z975"/>
    </row>
    <row r="976" spans="1:26" ht="15" x14ac:dyDescent="0.25">
      <c r="A976" s="94"/>
      <c r="B976" s="32" t="str">
        <f>IF($A976="","",VLOOKUP($A976,APOIO!$A:$E,2,FALSE))</f>
        <v/>
      </c>
      <c r="C976" s="94"/>
      <c r="D976" s="32" t="str">
        <f>IF($A976="","",INDEX(APOIO!$D:$D,MATCH(CONCATENATE($A976,"_",$B976,"_",$C976),APOIO!$F:$F,0)))</f>
        <v/>
      </c>
      <c r="E976" s="31"/>
      <c r="F976" s="31"/>
      <c r="G976" s="33"/>
      <c r="H976" s="105"/>
      <c r="I976" s="32" t="str">
        <f>IF($A976="","",VLOOKUP($H976,APOIO!$L:$M,2,FALSE))</f>
        <v/>
      </c>
      <c r="J976" s="31"/>
      <c r="K976" s="32" t="str">
        <f>IF($A976="","",VLOOKUP($J976,APOIO!$H:$J,2,FALSE))</f>
        <v/>
      </c>
      <c r="L976" s="32" t="str">
        <f>IF($A976="","",VLOOKUP($J976,APOIO!$H:$J,3,FALSE))</f>
        <v/>
      </c>
      <c r="M976" s="31"/>
      <c r="N976" s="34"/>
      <c r="O976" s="32"/>
      <c r="P976" s="32"/>
      <c r="Q976" s="32"/>
      <c r="R976" s="32"/>
      <c r="S976" s="35"/>
      <c r="T976" s="91"/>
      <c r="U976" s="60"/>
      <c r="V976" s="36"/>
      <c r="W976" s="31"/>
      <c r="X976" s="59"/>
      <c r="Y976" s="59" t="str">
        <f>IFERROR(VLOOKUP($A976,APOIO!$A:$A,1,FALSE),"ERRO")</f>
        <v>ERRO</v>
      </c>
      <c r="Z976"/>
    </row>
    <row r="977" spans="1:26" ht="15" x14ac:dyDescent="0.25">
      <c r="A977" s="94"/>
      <c r="B977" s="32" t="str">
        <f>IF($A977="","",VLOOKUP($A977,APOIO!$A:$E,2,FALSE))</f>
        <v/>
      </c>
      <c r="C977" s="94"/>
      <c r="D977" s="32" t="str">
        <f>IF($A977="","",INDEX(APOIO!$D:$D,MATCH(CONCATENATE($A977,"_",$B977,"_",$C977),APOIO!$F:$F,0)))</f>
        <v/>
      </c>
      <c r="E977" s="31"/>
      <c r="F977" s="31"/>
      <c r="G977" s="33"/>
      <c r="H977" s="105"/>
      <c r="I977" s="32" t="str">
        <f>IF($A977="","",VLOOKUP($H977,APOIO!$L:$M,2,FALSE))</f>
        <v/>
      </c>
      <c r="J977" s="31"/>
      <c r="K977" s="32" t="str">
        <f>IF($A977="","",VLOOKUP($J977,APOIO!$H:$J,2,FALSE))</f>
        <v/>
      </c>
      <c r="L977" s="32" t="str">
        <f>IF($A977="","",VLOOKUP($J977,APOIO!$H:$J,3,FALSE))</f>
        <v/>
      </c>
      <c r="M977" s="31"/>
      <c r="N977" s="34"/>
      <c r="O977" s="32"/>
      <c r="P977" s="32"/>
      <c r="Q977" s="32"/>
      <c r="R977" s="32"/>
      <c r="S977" s="35"/>
      <c r="T977" s="91"/>
      <c r="U977" s="60"/>
      <c r="V977" s="36"/>
      <c r="W977" s="31"/>
      <c r="X977" s="59"/>
      <c r="Y977" s="59" t="str">
        <f>IFERROR(VLOOKUP($A977,APOIO!$A:$A,1,FALSE),"ERRO")</f>
        <v>ERRO</v>
      </c>
      <c r="Z977"/>
    </row>
    <row r="978" spans="1:26" ht="15" x14ac:dyDescent="0.25">
      <c r="A978" s="94"/>
      <c r="B978" s="32" t="str">
        <f>IF($A978="","",VLOOKUP($A978,APOIO!$A:$E,2,FALSE))</f>
        <v/>
      </c>
      <c r="C978" s="94"/>
      <c r="D978" s="32" t="str">
        <f>IF($A978="","",INDEX(APOIO!$D:$D,MATCH(CONCATENATE($A978,"_",$B978,"_",$C978),APOIO!$F:$F,0)))</f>
        <v/>
      </c>
      <c r="E978" s="31"/>
      <c r="F978" s="31"/>
      <c r="G978" s="33"/>
      <c r="H978" s="105"/>
      <c r="I978" s="32" t="str">
        <f>IF($A978="","",VLOOKUP($H978,APOIO!$L:$M,2,FALSE))</f>
        <v/>
      </c>
      <c r="J978" s="31"/>
      <c r="K978" s="32" t="str">
        <f>IF($A978="","",VLOOKUP($J978,APOIO!$H:$J,2,FALSE))</f>
        <v/>
      </c>
      <c r="L978" s="32" t="str">
        <f>IF($A978="","",VLOOKUP($J978,APOIO!$H:$J,3,FALSE))</f>
        <v/>
      </c>
      <c r="M978" s="31"/>
      <c r="N978" s="34"/>
      <c r="O978" s="32"/>
      <c r="P978" s="32"/>
      <c r="Q978" s="32"/>
      <c r="R978" s="32"/>
      <c r="S978" s="35"/>
      <c r="T978" s="91"/>
      <c r="U978" s="60"/>
      <c r="V978" s="36"/>
      <c r="W978" s="31"/>
      <c r="X978" s="59"/>
      <c r="Y978" s="59" t="str">
        <f>IFERROR(VLOOKUP($A978,APOIO!$A:$A,1,FALSE),"ERRO")</f>
        <v>ERRO</v>
      </c>
      <c r="Z978"/>
    </row>
    <row r="979" spans="1:26" ht="15" x14ac:dyDescent="0.25">
      <c r="A979" s="94"/>
      <c r="B979" s="32" t="str">
        <f>IF($A979="","",VLOOKUP($A979,APOIO!$A:$E,2,FALSE))</f>
        <v/>
      </c>
      <c r="C979" s="94"/>
      <c r="D979" s="32" t="str">
        <f>IF($A979="","",INDEX(APOIO!$D:$D,MATCH(CONCATENATE($A979,"_",$B979,"_",$C979),APOIO!$F:$F,0)))</f>
        <v/>
      </c>
      <c r="E979" s="31"/>
      <c r="F979" s="31"/>
      <c r="G979" s="33"/>
      <c r="H979" s="105"/>
      <c r="I979" s="32" t="str">
        <f>IF($A979="","",VLOOKUP($H979,APOIO!$L:$M,2,FALSE))</f>
        <v/>
      </c>
      <c r="J979" s="31"/>
      <c r="K979" s="32" t="str">
        <f>IF($A979="","",VLOOKUP($J979,APOIO!$H:$J,2,FALSE))</f>
        <v/>
      </c>
      <c r="L979" s="32" t="str">
        <f>IF($A979="","",VLOOKUP($J979,APOIO!$H:$J,3,FALSE))</f>
        <v/>
      </c>
      <c r="M979" s="31"/>
      <c r="N979" s="34"/>
      <c r="O979" s="32"/>
      <c r="P979" s="32"/>
      <c r="Q979" s="32"/>
      <c r="R979" s="32"/>
      <c r="S979" s="35"/>
      <c r="T979" s="91"/>
      <c r="U979" s="60"/>
      <c r="V979" s="36"/>
      <c r="W979" s="31"/>
      <c r="X979" s="59"/>
      <c r="Y979" s="59" t="str">
        <f>IFERROR(VLOOKUP($A979,APOIO!$A:$A,1,FALSE),"ERRO")</f>
        <v>ERRO</v>
      </c>
      <c r="Z979"/>
    </row>
    <row r="980" spans="1:26" ht="15" x14ac:dyDescent="0.25">
      <c r="A980" s="94"/>
      <c r="B980" s="32" t="str">
        <f>IF($A980="","",VLOOKUP($A980,APOIO!$A:$E,2,FALSE))</f>
        <v/>
      </c>
      <c r="C980" s="94"/>
      <c r="D980" s="32" t="str">
        <f>IF($A980="","",INDEX(APOIO!$D:$D,MATCH(CONCATENATE($A980,"_",$B980,"_",$C980),APOIO!$F:$F,0)))</f>
        <v/>
      </c>
      <c r="E980" s="31"/>
      <c r="F980" s="31"/>
      <c r="G980" s="33"/>
      <c r="H980" s="105"/>
      <c r="I980" s="32" t="str">
        <f>IF($A980="","",VLOOKUP($H980,APOIO!$L:$M,2,FALSE))</f>
        <v/>
      </c>
      <c r="J980" s="31"/>
      <c r="K980" s="32" t="str">
        <f>IF($A980="","",VLOOKUP($J980,APOIO!$H:$J,2,FALSE))</f>
        <v/>
      </c>
      <c r="L980" s="32" t="str">
        <f>IF($A980="","",VLOOKUP($J980,APOIO!$H:$J,3,FALSE))</f>
        <v/>
      </c>
      <c r="M980" s="31"/>
      <c r="N980" s="34"/>
      <c r="O980" s="32"/>
      <c r="P980" s="32"/>
      <c r="Q980" s="32"/>
      <c r="R980" s="32"/>
      <c r="S980" s="35"/>
      <c r="T980" s="91"/>
      <c r="U980" s="60"/>
      <c r="V980" s="36"/>
      <c r="W980" s="31"/>
      <c r="X980" s="59"/>
      <c r="Y980" s="59" t="str">
        <f>IFERROR(VLOOKUP($A980,APOIO!$A:$A,1,FALSE),"ERRO")</f>
        <v>ERRO</v>
      </c>
      <c r="Z980"/>
    </row>
    <row r="981" spans="1:26" ht="15" x14ac:dyDescent="0.25">
      <c r="A981" s="94"/>
      <c r="B981" s="32" t="str">
        <f>IF($A981="","",VLOOKUP($A981,APOIO!$A:$E,2,FALSE))</f>
        <v/>
      </c>
      <c r="C981" s="94"/>
      <c r="D981" s="32" t="str">
        <f>IF($A981="","",INDEX(APOIO!$D:$D,MATCH(CONCATENATE($A981,"_",$B981,"_",$C981),APOIO!$F:$F,0)))</f>
        <v/>
      </c>
      <c r="E981" s="31"/>
      <c r="F981" s="31"/>
      <c r="G981" s="33"/>
      <c r="H981" s="105"/>
      <c r="I981" s="32" t="str">
        <f>IF($A981="","",VLOOKUP($H981,APOIO!$L:$M,2,FALSE))</f>
        <v/>
      </c>
      <c r="J981" s="31"/>
      <c r="K981" s="32" t="str">
        <f>IF($A981="","",VLOOKUP($J981,APOIO!$H:$J,2,FALSE))</f>
        <v/>
      </c>
      <c r="L981" s="32" t="str">
        <f>IF($A981="","",VLOOKUP($J981,APOIO!$H:$J,3,FALSE))</f>
        <v/>
      </c>
      <c r="M981" s="31"/>
      <c r="N981" s="34"/>
      <c r="O981" s="32"/>
      <c r="P981" s="32"/>
      <c r="Q981" s="32"/>
      <c r="R981" s="32"/>
      <c r="S981" s="35"/>
      <c r="T981" s="91"/>
      <c r="U981" s="60"/>
      <c r="V981" s="36"/>
      <c r="W981" s="31"/>
      <c r="X981" s="59"/>
      <c r="Y981" s="59" t="str">
        <f>IFERROR(VLOOKUP($A981,APOIO!$A:$A,1,FALSE),"ERRO")</f>
        <v>ERRO</v>
      </c>
      <c r="Z981"/>
    </row>
    <row r="982" spans="1:26" ht="15" x14ac:dyDescent="0.25">
      <c r="A982" s="94"/>
      <c r="B982" s="32" t="str">
        <f>IF($A982="","",VLOOKUP($A982,APOIO!$A:$E,2,FALSE))</f>
        <v/>
      </c>
      <c r="C982" s="94"/>
      <c r="D982" s="32" t="str">
        <f>IF($A982="","",INDEX(APOIO!$D:$D,MATCH(CONCATENATE($A982,"_",$B982,"_",$C982),APOIO!$F:$F,0)))</f>
        <v/>
      </c>
      <c r="E982" s="31"/>
      <c r="F982" s="31"/>
      <c r="G982" s="33"/>
      <c r="H982" s="105"/>
      <c r="I982" s="32" t="str">
        <f>IF($A982="","",VLOOKUP($H982,APOIO!$L:$M,2,FALSE))</f>
        <v/>
      </c>
      <c r="J982" s="31"/>
      <c r="K982" s="32" t="str">
        <f>IF($A982="","",VLOOKUP($J982,APOIO!$H:$J,2,FALSE))</f>
        <v/>
      </c>
      <c r="L982" s="32" t="str">
        <f>IF($A982="","",VLOOKUP($J982,APOIO!$H:$J,3,FALSE))</f>
        <v/>
      </c>
      <c r="M982" s="31"/>
      <c r="N982" s="34"/>
      <c r="O982" s="32"/>
      <c r="P982" s="32"/>
      <c r="Q982" s="32"/>
      <c r="R982" s="32"/>
      <c r="S982" s="35"/>
      <c r="T982" s="91"/>
      <c r="U982" s="60"/>
      <c r="V982" s="36"/>
      <c r="W982" s="31"/>
      <c r="X982" s="59"/>
      <c r="Y982" s="59" t="str">
        <f>IFERROR(VLOOKUP($A982,APOIO!$A:$A,1,FALSE),"ERRO")</f>
        <v>ERRO</v>
      </c>
      <c r="Z982"/>
    </row>
    <row r="983" spans="1:26" ht="15" x14ac:dyDescent="0.25">
      <c r="A983" s="94"/>
      <c r="B983" s="32" t="str">
        <f>IF($A983="","",VLOOKUP($A983,APOIO!$A:$E,2,FALSE))</f>
        <v/>
      </c>
      <c r="C983" s="94"/>
      <c r="D983" s="32" t="str">
        <f>IF($A983="","",INDEX(APOIO!$D:$D,MATCH(CONCATENATE($A983,"_",$B983,"_",$C983),APOIO!$F:$F,0)))</f>
        <v/>
      </c>
      <c r="E983" s="31"/>
      <c r="F983" s="31"/>
      <c r="G983" s="33"/>
      <c r="H983" s="105"/>
      <c r="I983" s="32" t="str">
        <f>IF($A983="","",VLOOKUP($H983,APOIO!$L:$M,2,FALSE))</f>
        <v/>
      </c>
      <c r="J983" s="31"/>
      <c r="K983" s="32" t="str">
        <f>IF($A983="","",VLOOKUP($J983,APOIO!$H:$J,2,FALSE))</f>
        <v/>
      </c>
      <c r="L983" s="32" t="str">
        <f>IF($A983="","",VLOOKUP($J983,APOIO!$H:$J,3,FALSE))</f>
        <v/>
      </c>
      <c r="M983" s="31"/>
      <c r="N983" s="34"/>
      <c r="O983" s="32"/>
      <c r="P983" s="32"/>
      <c r="Q983" s="32"/>
      <c r="R983" s="32"/>
      <c r="S983" s="35"/>
      <c r="T983" s="91"/>
      <c r="U983" s="60"/>
      <c r="V983" s="36"/>
      <c r="W983" s="31"/>
      <c r="X983" s="59"/>
      <c r="Y983" s="59" t="str">
        <f>IFERROR(VLOOKUP($A983,APOIO!$A:$A,1,FALSE),"ERRO")</f>
        <v>ERRO</v>
      </c>
      <c r="Z983"/>
    </row>
    <row r="984" spans="1:26" ht="15" x14ac:dyDescent="0.25">
      <c r="A984" s="94"/>
      <c r="B984" s="32" t="str">
        <f>IF($A984="","",VLOOKUP($A984,APOIO!$A:$E,2,FALSE))</f>
        <v/>
      </c>
      <c r="C984" s="94"/>
      <c r="D984" s="32" t="str">
        <f>IF($A984="","",INDEX(APOIO!$D:$D,MATCH(CONCATENATE($A984,"_",$B984,"_",$C984),APOIO!$F:$F,0)))</f>
        <v/>
      </c>
      <c r="E984" s="31"/>
      <c r="F984" s="31"/>
      <c r="G984" s="33"/>
      <c r="H984" s="105"/>
      <c r="I984" s="32" t="str">
        <f>IF($A984="","",VLOOKUP($H984,APOIO!$L:$M,2,FALSE))</f>
        <v/>
      </c>
      <c r="J984" s="31"/>
      <c r="K984" s="32" t="str">
        <f>IF($A984="","",VLOOKUP($J984,APOIO!$H:$J,2,FALSE))</f>
        <v/>
      </c>
      <c r="L984" s="32" t="str">
        <f>IF($A984="","",VLOOKUP($J984,APOIO!$H:$J,3,FALSE))</f>
        <v/>
      </c>
      <c r="M984" s="31"/>
      <c r="N984" s="34"/>
      <c r="O984" s="32"/>
      <c r="P984" s="32"/>
      <c r="Q984" s="32"/>
      <c r="R984" s="32"/>
      <c r="S984" s="35"/>
      <c r="T984" s="91"/>
      <c r="U984" s="60"/>
      <c r="V984" s="36"/>
      <c r="W984" s="31"/>
      <c r="X984" s="59"/>
      <c r="Y984" s="59" t="str">
        <f>IFERROR(VLOOKUP($A984,APOIO!$A:$A,1,FALSE),"ERRO")</f>
        <v>ERRO</v>
      </c>
      <c r="Z984"/>
    </row>
    <row r="985" spans="1:26" ht="15" x14ac:dyDescent="0.25">
      <c r="A985" s="94"/>
      <c r="B985" s="32" t="str">
        <f>IF($A985="","",VLOOKUP($A985,APOIO!$A:$E,2,FALSE))</f>
        <v/>
      </c>
      <c r="C985" s="94"/>
      <c r="D985" s="32" t="str">
        <f>IF($A985="","",INDEX(APOIO!$D:$D,MATCH(CONCATENATE($A985,"_",$B985,"_",$C985),APOIO!$F:$F,0)))</f>
        <v/>
      </c>
      <c r="E985" s="31"/>
      <c r="F985" s="31"/>
      <c r="G985" s="33"/>
      <c r="H985" s="105"/>
      <c r="I985" s="32" t="str">
        <f>IF($A985="","",VLOOKUP($H985,APOIO!$L:$M,2,FALSE))</f>
        <v/>
      </c>
      <c r="J985" s="31"/>
      <c r="K985" s="32" t="str">
        <f>IF($A985="","",VLOOKUP($J985,APOIO!$H:$J,2,FALSE))</f>
        <v/>
      </c>
      <c r="L985" s="32" t="str">
        <f>IF($A985="","",VLOOKUP($J985,APOIO!$H:$J,3,FALSE))</f>
        <v/>
      </c>
      <c r="M985" s="31"/>
      <c r="N985" s="34"/>
      <c r="O985" s="32"/>
      <c r="P985" s="32"/>
      <c r="Q985" s="32"/>
      <c r="R985" s="32"/>
      <c r="S985" s="35"/>
      <c r="T985" s="91"/>
      <c r="U985" s="60"/>
      <c r="V985" s="36"/>
      <c r="W985" s="31"/>
      <c r="X985" s="59"/>
      <c r="Y985" s="59" t="str">
        <f>IFERROR(VLOOKUP($A985,APOIO!$A:$A,1,FALSE),"ERRO")</f>
        <v>ERRO</v>
      </c>
      <c r="Z985"/>
    </row>
    <row r="986" spans="1:26" ht="15" x14ac:dyDescent="0.25">
      <c r="A986" s="94"/>
      <c r="B986" s="32" t="str">
        <f>IF($A986="","",VLOOKUP($A986,APOIO!$A:$E,2,FALSE))</f>
        <v/>
      </c>
      <c r="C986" s="94"/>
      <c r="D986" s="32" t="str">
        <f>IF($A986="","",INDEX(APOIO!$D:$D,MATCH(CONCATENATE($A986,"_",$B986,"_",$C986),APOIO!$F:$F,0)))</f>
        <v/>
      </c>
      <c r="E986" s="31"/>
      <c r="F986" s="31"/>
      <c r="G986" s="33"/>
      <c r="H986" s="105"/>
      <c r="I986" s="32" t="str">
        <f>IF($A986="","",VLOOKUP($H986,APOIO!$L:$M,2,FALSE))</f>
        <v/>
      </c>
      <c r="J986" s="31"/>
      <c r="K986" s="32" t="str">
        <f>IF($A986="","",VLOOKUP($J986,APOIO!$H:$J,2,FALSE))</f>
        <v/>
      </c>
      <c r="L986" s="32" t="str">
        <f>IF($A986="","",VLOOKUP($J986,APOIO!$H:$J,3,FALSE))</f>
        <v/>
      </c>
      <c r="M986" s="31"/>
      <c r="N986" s="34"/>
      <c r="O986" s="32"/>
      <c r="P986" s="32"/>
      <c r="Q986" s="32"/>
      <c r="R986" s="32"/>
      <c r="S986" s="35"/>
      <c r="T986" s="91"/>
      <c r="U986" s="60"/>
      <c r="V986" s="36"/>
      <c r="W986" s="31"/>
      <c r="X986" s="59"/>
      <c r="Y986" s="59" t="str">
        <f>IFERROR(VLOOKUP($A986,APOIO!$A:$A,1,FALSE),"ERRO")</f>
        <v>ERRO</v>
      </c>
      <c r="Z986"/>
    </row>
    <row r="987" spans="1:26" ht="15" x14ac:dyDescent="0.25">
      <c r="A987" s="94"/>
      <c r="B987" s="32" t="str">
        <f>IF($A987="","",VLOOKUP($A987,APOIO!$A:$E,2,FALSE))</f>
        <v/>
      </c>
      <c r="C987" s="94"/>
      <c r="D987" s="32" t="str">
        <f>IF($A987="","",INDEX(APOIO!$D:$D,MATCH(CONCATENATE($A987,"_",$B987,"_",$C987),APOIO!$F:$F,0)))</f>
        <v/>
      </c>
      <c r="E987" s="31"/>
      <c r="F987" s="31"/>
      <c r="G987" s="33"/>
      <c r="H987" s="105"/>
      <c r="I987" s="32" t="str">
        <f>IF($A987="","",VLOOKUP($H987,APOIO!$L:$M,2,FALSE))</f>
        <v/>
      </c>
      <c r="J987" s="31"/>
      <c r="K987" s="32" t="str">
        <f>IF($A987="","",VLOOKUP($J987,APOIO!$H:$J,2,FALSE))</f>
        <v/>
      </c>
      <c r="L987" s="32" t="str">
        <f>IF($A987="","",VLOOKUP($J987,APOIO!$H:$J,3,FALSE))</f>
        <v/>
      </c>
      <c r="M987" s="31"/>
      <c r="N987" s="34"/>
      <c r="O987" s="32"/>
      <c r="P987" s="32"/>
      <c r="Q987" s="32"/>
      <c r="R987" s="32"/>
      <c r="S987" s="35"/>
      <c r="T987" s="91"/>
      <c r="U987" s="60"/>
      <c r="V987" s="36"/>
      <c r="W987" s="31"/>
      <c r="X987" s="59"/>
      <c r="Y987" s="59" t="str">
        <f>IFERROR(VLOOKUP($A987,APOIO!$A:$A,1,FALSE),"ERRO")</f>
        <v>ERRO</v>
      </c>
      <c r="Z987"/>
    </row>
    <row r="988" spans="1:26" ht="15" x14ac:dyDescent="0.25">
      <c r="A988" s="94"/>
      <c r="B988" s="32" t="str">
        <f>IF($A988="","",VLOOKUP($A988,APOIO!$A:$E,2,FALSE))</f>
        <v/>
      </c>
      <c r="C988" s="94"/>
      <c r="D988" s="32" t="str">
        <f>IF($A988="","",INDEX(APOIO!$D:$D,MATCH(CONCATENATE($A988,"_",$B988,"_",$C988),APOIO!$F:$F,0)))</f>
        <v/>
      </c>
      <c r="E988" s="31"/>
      <c r="F988" s="31"/>
      <c r="G988" s="33"/>
      <c r="H988" s="105"/>
      <c r="I988" s="32" t="str">
        <f>IF($A988="","",VLOOKUP($H988,APOIO!$L:$M,2,FALSE))</f>
        <v/>
      </c>
      <c r="J988" s="31"/>
      <c r="K988" s="32" t="str">
        <f>IF($A988="","",VLOOKUP($J988,APOIO!$H:$J,2,FALSE))</f>
        <v/>
      </c>
      <c r="L988" s="32" t="str">
        <f>IF($A988="","",VLOOKUP($J988,APOIO!$H:$J,3,FALSE))</f>
        <v/>
      </c>
      <c r="M988" s="31"/>
      <c r="N988" s="34"/>
      <c r="O988" s="32"/>
      <c r="P988" s="32"/>
      <c r="Q988" s="32"/>
      <c r="R988" s="32"/>
      <c r="S988" s="35"/>
      <c r="T988" s="91"/>
      <c r="U988" s="60"/>
      <c r="V988" s="36"/>
      <c r="W988" s="31"/>
      <c r="X988" s="59"/>
      <c r="Y988" s="59" t="str">
        <f>IFERROR(VLOOKUP($A988,APOIO!$A:$A,1,FALSE),"ERRO")</f>
        <v>ERRO</v>
      </c>
      <c r="Z988"/>
    </row>
    <row r="989" spans="1:26" ht="15" x14ac:dyDescent="0.25">
      <c r="A989" s="94"/>
      <c r="B989" s="32" t="str">
        <f>IF($A989="","",VLOOKUP($A989,APOIO!$A:$E,2,FALSE))</f>
        <v/>
      </c>
      <c r="C989" s="94"/>
      <c r="D989" s="32" t="str">
        <f>IF($A989="","",INDEX(APOIO!$D:$D,MATCH(CONCATENATE($A989,"_",$B989,"_",$C989),APOIO!$F:$F,0)))</f>
        <v/>
      </c>
      <c r="E989" s="31"/>
      <c r="F989" s="31"/>
      <c r="G989" s="33"/>
      <c r="H989" s="105"/>
      <c r="I989" s="32" t="str">
        <f>IF($A989="","",VLOOKUP($H989,APOIO!$L:$M,2,FALSE))</f>
        <v/>
      </c>
      <c r="J989" s="31"/>
      <c r="K989" s="32" t="str">
        <f>IF($A989="","",VLOOKUP($J989,APOIO!$H:$J,2,FALSE))</f>
        <v/>
      </c>
      <c r="L989" s="32" t="str">
        <f>IF($A989="","",VLOOKUP($J989,APOIO!$H:$J,3,FALSE))</f>
        <v/>
      </c>
      <c r="M989" s="31"/>
      <c r="N989" s="34"/>
      <c r="O989" s="32"/>
      <c r="P989" s="32"/>
      <c r="Q989" s="32"/>
      <c r="R989" s="32"/>
      <c r="S989" s="35"/>
      <c r="T989" s="91"/>
      <c r="U989" s="60"/>
      <c r="V989" s="36"/>
      <c r="W989" s="31"/>
      <c r="X989" s="59"/>
      <c r="Y989" s="59" t="str">
        <f>IFERROR(VLOOKUP($A989,APOIO!$A:$A,1,FALSE),"ERRO")</f>
        <v>ERRO</v>
      </c>
      <c r="Z989"/>
    </row>
    <row r="990" spans="1:26" ht="15" x14ac:dyDescent="0.25">
      <c r="A990" s="94"/>
      <c r="B990" s="32" t="str">
        <f>IF($A990="","",VLOOKUP($A990,APOIO!$A:$E,2,FALSE))</f>
        <v/>
      </c>
      <c r="C990" s="94"/>
      <c r="D990" s="32" t="str">
        <f>IF($A990="","",INDEX(APOIO!$D:$D,MATCH(CONCATENATE($A990,"_",$B990,"_",$C990),APOIO!$F:$F,0)))</f>
        <v/>
      </c>
      <c r="E990" s="31"/>
      <c r="F990" s="31"/>
      <c r="G990" s="33"/>
      <c r="H990" s="105"/>
      <c r="I990" s="32" t="str">
        <f>IF($A990="","",VLOOKUP($H990,APOIO!$L:$M,2,FALSE))</f>
        <v/>
      </c>
      <c r="J990" s="31"/>
      <c r="K990" s="32" t="str">
        <f>IF($A990="","",VLOOKUP($J990,APOIO!$H:$J,2,FALSE))</f>
        <v/>
      </c>
      <c r="L990" s="32" t="str">
        <f>IF($A990="","",VLOOKUP($J990,APOIO!$H:$J,3,FALSE))</f>
        <v/>
      </c>
      <c r="M990" s="31"/>
      <c r="N990" s="34"/>
      <c r="O990" s="32"/>
      <c r="P990" s="32"/>
      <c r="Q990" s="32"/>
      <c r="R990" s="32"/>
      <c r="S990" s="35"/>
      <c r="T990" s="91"/>
      <c r="U990" s="60"/>
      <c r="V990" s="36"/>
      <c r="W990" s="31"/>
      <c r="X990" s="59"/>
      <c r="Y990" s="59" t="str">
        <f>IFERROR(VLOOKUP($A990,APOIO!$A:$A,1,FALSE),"ERRO")</f>
        <v>ERRO</v>
      </c>
      <c r="Z990"/>
    </row>
    <row r="991" spans="1:26" ht="15" x14ac:dyDescent="0.25">
      <c r="A991" s="94"/>
      <c r="B991" s="32" t="str">
        <f>IF($A991="","",VLOOKUP($A991,APOIO!$A:$E,2,FALSE))</f>
        <v/>
      </c>
      <c r="C991" s="94"/>
      <c r="D991" s="32" t="str">
        <f>IF($A991="","",INDEX(APOIO!$D:$D,MATCH(CONCATENATE($A991,"_",$B991,"_",$C991),APOIO!$F:$F,0)))</f>
        <v/>
      </c>
      <c r="E991" s="31"/>
      <c r="F991" s="31"/>
      <c r="G991" s="33"/>
      <c r="H991" s="105"/>
      <c r="I991" s="32" t="str">
        <f>IF($A991="","",VLOOKUP($H991,APOIO!$L:$M,2,FALSE))</f>
        <v/>
      </c>
      <c r="J991" s="31"/>
      <c r="K991" s="32" t="str">
        <f>IF($A991="","",VLOOKUP($J991,APOIO!$H:$J,2,FALSE))</f>
        <v/>
      </c>
      <c r="L991" s="32" t="str">
        <f>IF($A991="","",VLOOKUP($J991,APOIO!$H:$J,3,FALSE))</f>
        <v/>
      </c>
      <c r="M991" s="31"/>
      <c r="N991" s="34"/>
      <c r="O991" s="32"/>
      <c r="P991" s="32"/>
      <c r="Q991" s="32"/>
      <c r="R991" s="32"/>
      <c r="S991" s="35"/>
      <c r="T991" s="91"/>
      <c r="U991" s="60"/>
      <c r="V991" s="36"/>
      <c r="W991" s="31"/>
      <c r="X991" s="59"/>
      <c r="Y991" s="59" t="str">
        <f>IFERROR(VLOOKUP($A991,APOIO!$A:$A,1,FALSE),"ERRO")</f>
        <v>ERRO</v>
      </c>
      <c r="Z991"/>
    </row>
    <row r="992" spans="1:26" ht="15" x14ac:dyDescent="0.25">
      <c r="A992" s="94"/>
      <c r="B992" s="32" t="str">
        <f>IF($A992="","",VLOOKUP($A992,APOIO!$A:$E,2,FALSE))</f>
        <v/>
      </c>
      <c r="C992" s="94"/>
      <c r="D992" s="32" t="str">
        <f>IF($A992="","",INDEX(APOIO!$D:$D,MATCH(CONCATENATE($A992,"_",$B992,"_",$C992),APOIO!$F:$F,0)))</f>
        <v/>
      </c>
      <c r="E992" s="31"/>
      <c r="F992" s="31"/>
      <c r="G992" s="33"/>
      <c r="H992" s="105"/>
      <c r="I992" s="32" t="str">
        <f>IF($A992="","",VLOOKUP($H992,APOIO!$L:$M,2,FALSE))</f>
        <v/>
      </c>
      <c r="J992" s="31"/>
      <c r="K992" s="32" t="str">
        <f>IF($A992="","",VLOOKUP($J992,APOIO!$H:$J,2,FALSE))</f>
        <v/>
      </c>
      <c r="L992" s="32" t="str">
        <f>IF($A992="","",VLOOKUP($J992,APOIO!$H:$J,3,FALSE))</f>
        <v/>
      </c>
      <c r="M992" s="31"/>
      <c r="N992" s="34"/>
      <c r="O992" s="32"/>
      <c r="P992" s="32"/>
      <c r="Q992" s="32"/>
      <c r="R992" s="32"/>
      <c r="S992" s="35"/>
      <c r="T992" s="91"/>
      <c r="U992" s="60"/>
      <c r="V992" s="36"/>
      <c r="W992" s="31"/>
      <c r="X992" s="59"/>
      <c r="Y992" s="59" t="str">
        <f>IFERROR(VLOOKUP($A992,APOIO!$A:$A,1,FALSE),"ERRO")</f>
        <v>ERRO</v>
      </c>
      <c r="Z992"/>
    </row>
    <row r="993" spans="1:26" ht="15" x14ac:dyDescent="0.25">
      <c r="A993" s="94"/>
      <c r="B993" s="32" t="str">
        <f>IF($A993="","",VLOOKUP($A993,APOIO!$A:$E,2,FALSE))</f>
        <v/>
      </c>
      <c r="C993" s="94"/>
      <c r="D993" s="32" t="str">
        <f>IF($A993="","",INDEX(APOIO!$D:$D,MATCH(CONCATENATE($A993,"_",$B993,"_",$C993),APOIO!$F:$F,0)))</f>
        <v/>
      </c>
      <c r="E993" s="31"/>
      <c r="F993" s="31"/>
      <c r="G993" s="33"/>
      <c r="H993" s="105"/>
      <c r="I993" s="32" t="str">
        <f>IF($A993="","",VLOOKUP($H993,APOIO!$L:$M,2,FALSE))</f>
        <v/>
      </c>
      <c r="J993" s="31"/>
      <c r="K993" s="32" t="str">
        <f>IF($A993="","",VLOOKUP($J993,APOIO!$H:$J,2,FALSE))</f>
        <v/>
      </c>
      <c r="L993" s="32" t="str">
        <f>IF($A993="","",VLOOKUP($J993,APOIO!$H:$J,3,FALSE))</f>
        <v/>
      </c>
      <c r="M993" s="31"/>
      <c r="N993" s="34"/>
      <c r="O993" s="32"/>
      <c r="P993" s="32"/>
      <c r="Q993" s="32"/>
      <c r="R993" s="32"/>
      <c r="S993" s="35"/>
      <c r="T993" s="91"/>
      <c r="U993" s="60"/>
      <c r="V993" s="36"/>
      <c r="W993" s="31"/>
      <c r="X993" s="59"/>
      <c r="Y993" s="59" t="str">
        <f>IFERROR(VLOOKUP($A993,APOIO!$A:$A,1,FALSE),"ERRO")</f>
        <v>ERRO</v>
      </c>
      <c r="Z993"/>
    </row>
    <row r="994" spans="1:26" ht="15" x14ac:dyDescent="0.25">
      <c r="A994" s="94"/>
      <c r="B994" s="32" t="str">
        <f>IF($A994="","",VLOOKUP($A994,APOIO!$A:$E,2,FALSE))</f>
        <v/>
      </c>
      <c r="C994" s="94"/>
      <c r="D994" s="32" t="str">
        <f>IF($A994="","",INDEX(APOIO!$D:$D,MATCH(CONCATENATE($A994,"_",$B994,"_",$C994),APOIO!$F:$F,0)))</f>
        <v/>
      </c>
      <c r="E994" s="31"/>
      <c r="F994" s="31"/>
      <c r="G994" s="33"/>
      <c r="H994" s="105"/>
      <c r="I994" s="32" t="str">
        <f>IF($A994="","",VLOOKUP($H994,APOIO!$L:$M,2,FALSE))</f>
        <v/>
      </c>
      <c r="J994" s="31"/>
      <c r="K994" s="32" t="str">
        <f>IF($A994="","",VLOOKUP($J994,APOIO!$H:$J,2,FALSE))</f>
        <v/>
      </c>
      <c r="L994" s="32" t="str">
        <f>IF($A994="","",VLOOKUP($J994,APOIO!$H:$J,3,FALSE))</f>
        <v/>
      </c>
      <c r="M994" s="31"/>
      <c r="N994" s="34"/>
      <c r="O994" s="32"/>
      <c r="P994" s="32"/>
      <c r="Q994" s="32"/>
      <c r="R994" s="32"/>
      <c r="S994" s="35"/>
      <c r="T994" s="91"/>
      <c r="U994" s="60"/>
      <c r="V994" s="36"/>
      <c r="W994" s="31"/>
      <c r="X994" s="59"/>
      <c r="Y994" s="59" t="str">
        <f>IFERROR(VLOOKUP($A994,APOIO!$A:$A,1,FALSE),"ERRO")</f>
        <v>ERRO</v>
      </c>
      <c r="Z994"/>
    </row>
    <row r="995" spans="1:26" ht="15" x14ac:dyDescent="0.25">
      <c r="A995" s="94"/>
      <c r="B995" s="32" t="str">
        <f>IF($A995="","",VLOOKUP($A995,APOIO!$A:$E,2,FALSE))</f>
        <v/>
      </c>
      <c r="C995" s="94"/>
      <c r="D995" s="32" t="str">
        <f>IF($A995="","",INDEX(APOIO!$D:$D,MATCH(CONCATENATE($A995,"_",$B995,"_",$C995),APOIO!$F:$F,0)))</f>
        <v/>
      </c>
      <c r="E995" s="31"/>
      <c r="F995" s="31"/>
      <c r="G995" s="33"/>
      <c r="H995" s="105"/>
      <c r="I995" s="32" t="str">
        <f>IF($A995="","",VLOOKUP($H995,APOIO!$L:$M,2,FALSE))</f>
        <v/>
      </c>
      <c r="J995" s="31"/>
      <c r="K995" s="32" t="str">
        <f>IF($A995="","",VLOOKUP($J995,APOIO!$H:$J,2,FALSE))</f>
        <v/>
      </c>
      <c r="L995" s="32" t="str">
        <f>IF($A995="","",VLOOKUP($J995,APOIO!$H:$J,3,FALSE))</f>
        <v/>
      </c>
      <c r="M995" s="31"/>
      <c r="N995" s="34"/>
      <c r="O995" s="32"/>
      <c r="P995" s="32"/>
      <c r="Q995" s="32"/>
      <c r="R995" s="32"/>
      <c r="S995" s="35"/>
      <c r="T995" s="91"/>
      <c r="U995" s="60"/>
      <c r="V995" s="36"/>
      <c r="W995" s="31"/>
      <c r="X995" s="59"/>
      <c r="Y995" s="59" t="str">
        <f>IFERROR(VLOOKUP($A995,APOIO!$A:$A,1,FALSE),"ERRO")</f>
        <v>ERRO</v>
      </c>
      <c r="Z995"/>
    </row>
    <row r="996" spans="1:26" ht="15" x14ac:dyDescent="0.25">
      <c r="A996" s="94"/>
      <c r="B996" s="32" t="str">
        <f>IF($A996="","",VLOOKUP($A996,APOIO!$A:$E,2,FALSE))</f>
        <v/>
      </c>
      <c r="C996" s="94"/>
      <c r="D996" s="32" t="str">
        <f>IF($A996="","",INDEX(APOIO!$D:$D,MATCH(CONCATENATE($A996,"_",$B996,"_",$C996),APOIO!$F:$F,0)))</f>
        <v/>
      </c>
      <c r="E996" s="31"/>
      <c r="F996" s="31"/>
      <c r="G996" s="33"/>
      <c r="H996" s="105"/>
      <c r="I996" s="32" t="str">
        <f>IF($A996="","",VLOOKUP($H996,APOIO!$L:$M,2,FALSE))</f>
        <v/>
      </c>
      <c r="J996" s="31"/>
      <c r="K996" s="32" t="str">
        <f>IF($A996="","",VLOOKUP($J996,APOIO!$H:$J,2,FALSE))</f>
        <v/>
      </c>
      <c r="L996" s="32" t="str">
        <f>IF($A996="","",VLOOKUP($J996,APOIO!$H:$J,3,FALSE))</f>
        <v/>
      </c>
      <c r="M996" s="31"/>
      <c r="N996" s="34"/>
      <c r="O996" s="32"/>
      <c r="P996" s="32"/>
      <c r="Q996" s="32"/>
      <c r="R996" s="32"/>
      <c r="S996" s="35"/>
      <c r="T996" s="91"/>
      <c r="U996" s="60"/>
      <c r="V996" s="36"/>
      <c r="W996" s="31"/>
      <c r="X996" s="59"/>
      <c r="Y996" s="59" t="str">
        <f>IFERROR(VLOOKUP($A996,APOIO!$A:$A,1,FALSE),"ERRO")</f>
        <v>ERRO</v>
      </c>
      <c r="Z996"/>
    </row>
    <row r="997" spans="1:26" ht="15" x14ac:dyDescent="0.25">
      <c r="A997" s="94"/>
      <c r="B997" s="32" t="str">
        <f>IF($A997="","",VLOOKUP($A997,APOIO!$A:$E,2,FALSE))</f>
        <v/>
      </c>
      <c r="C997" s="94"/>
      <c r="D997" s="32" t="str">
        <f>IF($A997="","",INDEX(APOIO!$D:$D,MATCH(CONCATENATE($A997,"_",$B997,"_",$C997),APOIO!$F:$F,0)))</f>
        <v/>
      </c>
      <c r="E997" s="31"/>
      <c r="F997" s="31"/>
      <c r="G997" s="33"/>
      <c r="H997" s="105"/>
      <c r="I997" s="32" t="str">
        <f>IF($A997="","",VLOOKUP($H997,APOIO!$L:$M,2,FALSE))</f>
        <v/>
      </c>
      <c r="J997" s="31"/>
      <c r="K997" s="32" t="str">
        <f>IF($A997="","",VLOOKUP($J997,APOIO!$H:$J,2,FALSE))</f>
        <v/>
      </c>
      <c r="L997" s="32" t="str">
        <f>IF($A997="","",VLOOKUP($J997,APOIO!$H:$J,3,FALSE))</f>
        <v/>
      </c>
      <c r="M997" s="31"/>
      <c r="N997" s="34"/>
      <c r="O997" s="32"/>
      <c r="P997" s="32"/>
      <c r="Q997" s="32"/>
      <c r="R997" s="32"/>
      <c r="S997" s="35"/>
      <c r="T997" s="91"/>
      <c r="U997" s="60"/>
      <c r="V997" s="36"/>
      <c r="W997" s="31"/>
      <c r="X997" s="59"/>
      <c r="Y997" s="59" t="str">
        <f>IFERROR(VLOOKUP($A997,APOIO!$A:$A,1,FALSE),"ERRO")</f>
        <v>ERRO</v>
      </c>
      <c r="Z997"/>
    </row>
    <row r="998" spans="1:26" ht="15" x14ac:dyDescent="0.25">
      <c r="A998" s="94"/>
      <c r="B998" s="32" t="str">
        <f>IF($A998="","",VLOOKUP($A998,APOIO!$A:$E,2,FALSE))</f>
        <v/>
      </c>
      <c r="C998" s="94"/>
      <c r="D998" s="32" t="str">
        <f>IF($A998="","",INDEX(APOIO!$D:$D,MATCH(CONCATENATE($A998,"_",$B998,"_",$C998),APOIO!$F:$F,0)))</f>
        <v/>
      </c>
      <c r="E998" s="31"/>
      <c r="F998" s="31"/>
      <c r="G998" s="33"/>
      <c r="H998" s="105"/>
      <c r="I998" s="32" t="str">
        <f>IF($A998="","",VLOOKUP($H998,APOIO!$L:$M,2,FALSE))</f>
        <v/>
      </c>
      <c r="J998" s="31"/>
      <c r="K998" s="32" t="str">
        <f>IF($A998="","",VLOOKUP($J998,APOIO!$H:$J,2,FALSE))</f>
        <v/>
      </c>
      <c r="L998" s="32" t="str">
        <f>IF($A998="","",VLOOKUP($J998,APOIO!$H:$J,3,FALSE))</f>
        <v/>
      </c>
      <c r="M998" s="31"/>
      <c r="N998" s="34"/>
      <c r="O998" s="32"/>
      <c r="P998" s="32"/>
      <c r="Q998" s="32"/>
      <c r="R998" s="32"/>
      <c r="S998" s="35"/>
      <c r="T998" s="91"/>
      <c r="U998" s="60"/>
      <c r="V998" s="36"/>
      <c r="W998" s="31"/>
      <c r="X998" s="59"/>
      <c r="Y998" s="59" t="str">
        <f>IFERROR(VLOOKUP($A998,APOIO!$A:$A,1,FALSE),"ERRO")</f>
        <v>ERRO</v>
      </c>
      <c r="Z998"/>
    </row>
    <row r="999" spans="1:26" ht="15" x14ac:dyDescent="0.25">
      <c r="A999" s="94"/>
      <c r="B999" s="32" t="str">
        <f>IF($A999="","",VLOOKUP($A999,APOIO!$A:$E,2,FALSE))</f>
        <v/>
      </c>
      <c r="C999" s="94"/>
      <c r="D999" s="32" t="str">
        <f>IF($A999="","",INDEX(APOIO!$D:$D,MATCH(CONCATENATE($A999,"_",$B999,"_",$C999),APOIO!$F:$F,0)))</f>
        <v/>
      </c>
      <c r="E999" s="31"/>
      <c r="F999" s="31"/>
      <c r="G999" s="33"/>
      <c r="H999" s="105"/>
      <c r="I999" s="32" t="str">
        <f>IF($A999="","",VLOOKUP($H999,APOIO!$L:$M,2,FALSE))</f>
        <v/>
      </c>
      <c r="J999" s="31"/>
      <c r="K999" s="32" t="str">
        <f>IF($A999="","",VLOOKUP($J999,APOIO!$H:$J,2,FALSE))</f>
        <v/>
      </c>
      <c r="L999" s="32" t="str">
        <f>IF($A999="","",VLOOKUP($J999,APOIO!$H:$J,3,FALSE))</f>
        <v/>
      </c>
      <c r="M999" s="31"/>
      <c r="N999" s="34"/>
      <c r="O999" s="32"/>
      <c r="P999" s="32"/>
      <c r="Q999" s="32"/>
      <c r="R999" s="32"/>
      <c r="S999" s="35"/>
      <c r="T999" s="91"/>
      <c r="U999" s="60"/>
      <c r="V999" s="36"/>
      <c r="W999" s="31"/>
      <c r="X999" s="59"/>
      <c r="Y999" s="59" t="str">
        <f>IFERROR(VLOOKUP($A999,APOIO!$A:$A,1,FALSE),"ERRO")</f>
        <v>ERRO</v>
      </c>
      <c r="Z999"/>
    </row>
    <row r="1000" spans="1:26" ht="15" x14ac:dyDescent="0.25">
      <c r="A1000" s="94"/>
      <c r="B1000" s="32" t="str">
        <f>IF($A1000="","",VLOOKUP($A1000,APOIO!$A:$E,2,FALSE))</f>
        <v/>
      </c>
      <c r="C1000" s="94"/>
      <c r="D1000" s="32" t="str">
        <f>IF($A1000="","",INDEX(APOIO!$D:$D,MATCH(CONCATENATE($A1000,"_",$B1000,"_",$C1000),APOIO!$F:$F,0)))</f>
        <v/>
      </c>
      <c r="E1000" s="31"/>
      <c r="F1000" s="31"/>
      <c r="G1000" s="33"/>
      <c r="H1000" s="105"/>
      <c r="I1000" s="32" t="str">
        <f>IF($A1000="","",VLOOKUP($H1000,APOIO!$L:$M,2,FALSE))</f>
        <v/>
      </c>
      <c r="J1000" s="31"/>
      <c r="K1000" s="32" t="str">
        <f>IF($A1000="","",VLOOKUP($J1000,APOIO!$H:$J,2,FALSE))</f>
        <v/>
      </c>
      <c r="L1000" s="32" t="str">
        <f>IF($A1000="","",VLOOKUP($J1000,APOIO!$H:$J,3,FALSE))</f>
        <v/>
      </c>
      <c r="M1000" s="31"/>
      <c r="N1000" s="34"/>
      <c r="O1000" s="32"/>
      <c r="P1000" s="32"/>
      <c r="Q1000" s="32"/>
      <c r="R1000" s="32"/>
      <c r="S1000" s="35"/>
      <c r="T1000" s="91"/>
      <c r="U1000" s="60"/>
      <c r="V1000" s="36"/>
      <c r="W1000" s="31"/>
      <c r="X1000" s="59"/>
      <c r="Y1000" s="59" t="str">
        <f>IFERROR(VLOOKUP($A1000,APOIO!$A:$A,1,FALSE),"ERRO")</f>
        <v>ERRO</v>
      </c>
      <c r="Z1000"/>
    </row>
    <row r="1001" spans="1:26" ht="15" x14ac:dyDescent="0.25">
      <c r="A1001" s="94"/>
      <c r="B1001" s="32" t="str">
        <f>IF($A1001="","",VLOOKUP($A1001,APOIO!$A:$E,2,FALSE))</f>
        <v/>
      </c>
      <c r="C1001" s="94"/>
      <c r="D1001" s="32" t="str">
        <f>IF($A1001="","",INDEX(APOIO!$D:$D,MATCH(CONCATENATE($A1001,"_",$B1001,"_",$C1001),APOIO!$F:$F,0)))</f>
        <v/>
      </c>
      <c r="E1001" s="31"/>
      <c r="F1001" s="31"/>
      <c r="G1001" s="33"/>
      <c r="H1001" s="105"/>
      <c r="I1001" s="32" t="str">
        <f>IF($A1001="","",VLOOKUP($H1001,APOIO!$L:$M,2,FALSE))</f>
        <v/>
      </c>
      <c r="J1001" s="31"/>
      <c r="K1001" s="32" t="str">
        <f>IF($A1001="","",VLOOKUP($J1001,APOIO!$H:$J,2,FALSE))</f>
        <v/>
      </c>
      <c r="L1001" s="32" t="str">
        <f>IF($A1001="","",VLOOKUP($J1001,APOIO!$H:$J,3,FALSE))</f>
        <v/>
      </c>
      <c r="M1001" s="31"/>
      <c r="N1001" s="34"/>
      <c r="O1001" s="32"/>
      <c r="P1001" s="32"/>
      <c r="Q1001" s="32"/>
      <c r="R1001" s="32"/>
      <c r="S1001" s="35"/>
      <c r="T1001" s="91"/>
      <c r="U1001" s="60"/>
      <c r="V1001" s="36"/>
      <c r="W1001" s="31"/>
      <c r="X1001" s="59"/>
      <c r="Y1001" s="59" t="str">
        <f>IFERROR(VLOOKUP($A1001,APOIO!$A:$A,1,FALSE),"ERRO")</f>
        <v>ERRO</v>
      </c>
      <c r="Z1001"/>
    </row>
    <row r="1002" spans="1:26" ht="15" x14ac:dyDescent="0.25">
      <c r="A1002" s="94"/>
      <c r="B1002" s="32" t="str">
        <f>IF($A1002="","",VLOOKUP($A1002,APOIO!$A:$E,2,FALSE))</f>
        <v/>
      </c>
      <c r="C1002" s="94"/>
      <c r="D1002" s="32" t="str">
        <f>IF($A1002="","",INDEX(APOIO!$D:$D,MATCH(CONCATENATE($A1002,"_",$B1002,"_",$C1002),APOIO!$F:$F,0)))</f>
        <v/>
      </c>
      <c r="E1002" s="31"/>
      <c r="F1002" s="31"/>
      <c r="G1002" s="33"/>
      <c r="H1002" s="105"/>
      <c r="I1002" s="32" t="str">
        <f>IF($A1002="","",VLOOKUP($H1002,APOIO!$L:$M,2,FALSE))</f>
        <v/>
      </c>
      <c r="J1002" s="31"/>
      <c r="K1002" s="32" t="str">
        <f>IF($A1002="","",VLOOKUP($J1002,APOIO!$H:$J,2,FALSE))</f>
        <v/>
      </c>
      <c r="L1002" s="32" t="str">
        <f>IF($A1002="","",VLOOKUP($J1002,APOIO!$H:$J,3,FALSE))</f>
        <v/>
      </c>
      <c r="M1002" s="31"/>
      <c r="N1002" s="34"/>
      <c r="O1002" s="32"/>
      <c r="P1002" s="32"/>
      <c r="Q1002" s="32"/>
      <c r="R1002" s="32"/>
      <c r="S1002" s="35"/>
      <c r="T1002" s="91"/>
      <c r="U1002" s="60"/>
      <c r="V1002" s="36"/>
      <c r="W1002" s="31"/>
      <c r="X1002" s="59"/>
      <c r="Y1002" s="59" t="str">
        <f>IFERROR(VLOOKUP($A1002,APOIO!$A:$A,1,FALSE),"ERRO")</f>
        <v>ERRO</v>
      </c>
      <c r="Z1002"/>
    </row>
    <row r="1003" spans="1:26" ht="15" x14ac:dyDescent="0.25">
      <c r="A1003" s="94"/>
      <c r="B1003" s="32" t="str">
        <f>IF($A1003="","",VLOOKUP($A1003,APOIO!$A:$E,2,FALSE))</f>
        <v/>
      </c>
      <c r="C1003" s="94"/>
      <c r="D1003" s="32" t="str">
        <f>IF($A1003="","",INDEX(APOIO!$D:$D,MATCH(CONCATENATE($A1003,"_",$B1003,"_",$C1003),APOIO!$F:$F,0)))</f>
        <v/>
      </c>
      <c r="E1003" s="31"/>
      <c r="F1003" s="31"/>
      <c r="G1003" s="33"/>
      <c r="H1003" s="105"/>
      <c r="I1003" s="32" t="str">
        <f>IF($A1003="","",VLOOKUP($H1003,APOIO!$L:$M,2,FALSE))</f>
        <v/>
      </c>
      <c r="J1003" s="31"/>
      <c r="K1003" s="32" t="str">
        <f>IF($A1003="","",VLOOKUP($J1003,APOIO!$H:$J,2,FALSE))</f>
        <v/>
      </c>
      <c r="L1003" s="32" t="str">
        <f>IF($A1003="","",VLOOKUP($J1003,APOIO!$H:$J,3,FALSE))</f>
        <v/>
      </c>
      <c r="M1003" s="31"/>
      <c r="N1003" s="34"/>
      <c r="O1003" s="32"/>
      <c r="P1003" s="32"/>
      <c r="Q1003" s="32"/>
      <c r="R1003" s="32"/>
      <c r="S1003" s="35"/>
      <c r="T1003" s="91"/>
      <c r="U1003" s="60"/>
      <c r="V1003" s="36"/>
      <c r="W1003" s="31"/>
      <c r="X1003" s="59"/>
      <c r="Y1003" s="59" t="str">
        <f>IFERROR(VLOOKUP($A1003,APOIO!$A:$A,1,FALSE),"ERRO")</f>
        <v>ERRO</v>
      </c>
      <c r="Z1003"/>
    </row>
    <row r="1004" spans="1:26" ht="15" x14ac:dyDescent="0.25">
      <c r="A1004" s="94"/>
      <c r="B1004" s="32" t="str">
        <f>IF($A1004="","",VLOOKUP($A1004,APOIO!$A:$E,2,FALSE))</f>
        <v/>
      </c>
      <c r="C1004" s="94"/>
      <c r="D1004" s="32" t="str">
        <f>IF($A1004="","",INDEX(APOIO!$D:$D,MATCH(CONCATENATE($A1004,"_",$B1004,"_",$C1004),APOIO!$F:$F,0)))</f>
        <v/>
      </c>
      <c r="E1004" s="31"/>
      <c r="F1004" s="31"/>
      <c r="G1004" s="33"/>
      <c r="H1004" s="105"/>
      <c r="I1004" s="32" t="str">
        <f>IF($A1004="","",VLOOKUP($H1004,APOIO!$L:$M,2,FALSE))</f>
        <v/>
      </c>
      <c r="J1004" s="31"/>
      <c r="K1004" s="32" t="str">
        <f>IF($A1004="","",VLOOKUP($J1004,APOIO!$H:$J,2,FALSE))</f>
        <v/>
      </c>
      <c r="L1004" s="32" t="str">
        <f>IF($A1004="","",VLOOKUP($J1004,APOIO!$H:$J,3,FALSE))</f>
        <v/>
      </c>
      <c r="M1004" s="31"/>
      <c r="N1004" s="34"/>
      <c r="O1004" s="32"/>
      <c r="P1004" s="32"/>
      <c r="Q1004" s="32"/>
      <c r="R1004" s="32"/>
      <c r="S1004" s="35"/>
      <c r="T1004" s="91"/>
      <c r="U1004" s="60"/>
      <c r="V1004" s="36"/>
      <c r="W1004" s="31"/>
      <c r="X1004" s="59"/>
      <c r="Y1004" s="59" t="str">
        <f>IFERROR(VLOOKUP($A1004,APOIO!$A:$A,1,FALSE),"ERRO")</f>
        <v>ERRO</v>
      </c>
      <c r="Z1004"/>
    </row>
    <row r="1005" spans="1:26" ht="15" x14ac:dyDescent="0.25">
      <c r="A1005" s="94"/>
      <c r="B1005" s="32" t="str">
        <f>IF($A1005="","",VLOOKUP($A1005,APOIO!$A:$E,2,FALSE))</f>
        <v/>
      </c>
      <c r="C1005" s="94"/>
      <c r="D1005" s="32" t="str">
        <f>IF($A1005="","",INDEX(APOIO!$D:$D,MATCH(CONCATENATE($A1005,"_",$B1005,"_",$C1005),APOIO!$F:$F,0)))</f>
        <v/>
      </c>
      <c r="E1005" s="31"/>
      <c r="F1005" s="31"/>
      <c r="G1005" s="33"/>
      <c r="H1005" s="105"/>
      <c r="I1005" s="32" t="str">
        <f>IF($A1005="","",VLOOKUP($H1005,APOIO!$L:$M,2,FALSE))</f>
        <v/>
      </c>
      <c r="J1005" s="31"/>
      <c r="K1005" s="32" t="str">
        <f>IF($A1005="","",VLOOKUP($J1005,APOIO!$H:$J,2,FALSE))</f>
        <v/>
      </c>
      <c r="L1005" s="32" t="str">
        <f>IF($A1005="","",VLOOKUP($J1005,APOIO!$H:$J,3,FALSE))</f>
        <v/>
      </c>
      <c r="M1005" s="31"/>
      <c r="N1005" s="34"/>
      <c r="O1005" s="32"/>
      <c r="P1005" s="32"/>
      <c r="Q1005" s="32"/>
      <c r="R1005" s="32"/>
      <c r="S1005" s="35"/>
      <c r="T1005" s="91"/>
      <c r="U1005" s="60"/>
      <c r="V1005" s="36"/>
      <c r="W1005" s="31"/>
      <c r="X1005" s="59"/>
      <c r="Y1005" s="59" t="str">
        <f>IFERROR(VLOOKUP($A1005,APOIO!$A:$A,1,FALSE),"ERRO")</f>
        <v>ERRO</v>
      </c>
      <c r="Z1005"/>
    </row>
    <row r="1006" spans="1:26" ht="15" x14ac:dyDescent="0.25">
      <c r="A1006" s="94"/>
      <c r="B1006" s="32" t="str">
        <f>IF($A1006="","",VLOOKUP($A1006,APOIO!$A:$E,2,FALSE))</f>
        <v/>
      </c>
      <c r="C1006" s="94"/>
      <c r="D1006" s="32" t="str">
        <f>IF($A1006="","",INDEX(APOIO!$D:$D,MATCH(CONCATENATE($A1006,"_",$B1006,"_",$C1006),APOIO!$F:$F,0)))</f>
        <v/>
      </c>
      <c r="E1006" s="31"/>
      <c r="F1006" s="31"/>
      <c r="G1006" s="33"/>
      <c r="H1006" s="105"/>
      <c r="I1006" s="32" t="str">
        <f>IF($A1006="","",VLOOKUP($H1006,APOIO!$L:$M,2,FALSE))</f>
        <v/>
      </c>
      <c r="J1006" s="31"/>
      <c r="K1006" s="32" t="str">
        <f>IF($A1006="","",VLOOKUP($J1006,APOIO!$H:$J,2,FALSE))</f>
        <v/>
      </c>
      <c r="L1006" s="32" t="str">
        <f>IF($A1006="","",VLOOKUP($J1006,APOIO!$H:$J,3,FALSE))</f>
        <v/>
      </c>
      <c r="M1006" s="31"/>
      <c r="N1006" s="34"/>
      <c r="O1006" s="32"/>
      <c r="P1006" s="32"/>
      <c r="Q1006" s="32"/>
      <c r="R1006" s="32"/>
      <c r="S1006" s="35"/>
      <c r="T1006" s="91"/>
      <c r="U1006" s="60"/>
      <c r="V1006" s="36"/>
      <c r="W1006" s="31"/>
      <c r="X1006" s="59"/>
      <c r="Y1006" s="59" t="str">
        <f>IFERROR(VLOOKUP($A1006,APOIO!$A:$A,1,FALSE),"ERRO")</f>
        <v>ERRO</v>
      </c>
      <c r="Z1006"/>
    </row>
    <row r="1007" spans="1:26" ht="15" x14ac:dyDescent="0.25">
      <c r="A1007" s="94"/>
      <c r="B1007" s="32" t="str">
        <f>IF($A1007="","",VLOOKUP($A1007,APOIO!$A:$E,2,FALSE))</f>
        <v/>
      </c>
      <c r="C1007" s="94"/>
      <c r="D1007" s="32" t="str">
        <f>IF($A1007="","",INDEX(APOIO!$D:$D,MATCH(CONCATENATE($A1007,"_",$B1007,"_",$C1007),APOIO!$F:$F,0)))</f>
        <v/>
      </c>
      <c r="E1007" s="31"/>
      <c r="F1007" s="31"/>
      <c r="G1007" s="33"/>
      <c r="H1007" s="105"/>
      <c r="I1007" s="32" t="str">
        <f>IF($A1007="","",VLOOKUP($H1007,APOIO!$L:$M,2,FALSE))</f>
        <v/>
      </c>
      <c r="J1007" s="31"/>
      <c r="K1007" s="32" t="str">
        <f>IF($A1007="","",VLOOKUP($J1007,APOIO!$H:$J,2,FALSE))</f>
        <v/>
      </c>
      <c r="L1007" s="32" t="str">
        <f>IF($A1007="","",VLOOKUP($J1007,APOIO!$H:$J,3,FALSE))</f>
        <v/>
      </c>
      <c r="M1007" s="31"/>
      <c r="N1007" s="34"/>
      <c r="O1007" s="32"/>
      <c r="P1007" s="32"/>
      <c r="Q1007" s="32"/>
      <c r="R1007" s="32"/>
      <c r="S1007" s="35"/>
      <c r="T1007" s="91"/>
      <c r="U1007" s="60"/>
      <c r="V1007" s="36"/>
      <c r="W1007" s="31"/>
      <c r="X1007" s="59"/>
      <c r="Y1007" s="59" t="str">
        <f>IFERROR(VLOOKUP($A1007,APOIO!$A:$A,1,FALSE),"ERRO")</f>
        <v>ERRO</v>
      </c>
      <c r="Z1007"/>
    </row>
    <row r="1008" spans="1:26" ht="15" x14ac:dyDescent="0.25">
      <c r="A1008" s="94"/>
      <c r="B1008" s="32" t="str">
        <f>IF($A1008="","",VLOOKUP($A1008,APOIO!$A:$E,2,FALSE))</f>
        <v/>
      </c>
      <c r="C1008" s="94"/>
      <c r="D1008" s="32" t="str">
        <f>IF($A1008="","",INDEX(APOIO!$D:$D,MATCH(CONCATENATE($A1008,"_",$B1008,"_",$C1008),APOIO!$F:$F,0)))</f>
        <v/>
      </c>
      <c r="E1008" s="31"/>
      <c r="F1008" s="31"/>
      <c r="G1008" s="33"/>
      <c r="H1008" s="105"/>
      <c r="I1008" s="32" t="str">
        <f>IF($A1008="","",VLOOKUP($H1008,APOIO!$L:$M,2,FALSE))</f>
        <v/>
      </c>
      <c r="J1008" s="31"/>
      <c r="K1008" s="32" t="str">
        <f>IF($A1008="","",VLOOKUP($J1008,APOIO!$H:$J,2,FALSE))</f>
        <v/>
      </c>
      <c r="L1008" s="32" t="str">
        <f>IF($A1008="","",VLOOKUP($J1008,APOIO!$H:$J,3,FALSE))</f>
        <v/>
      </c>
      <c r="M1008" s="31"/>
      <c r="N1008" s="34"/>
      <c r="O1008" s="32"/>
      <c r="P1008" s="32"/>
      <c r="Q1008" s="32"/>
      <c r="R1008" s="32"/>
      <c r="S1008" s="35"/>
      <c r="T1008" s="91"/>
      <c r="U1008" s="60"/>
      <c r="V1008" s="36"/>
      <c r="W1008" s="31"/>
      <c r="X1008" s="59"/>
      <c r="Y1008" s="59" t="str">
        <f>IFERROR(VLOOKUP($A1008,APOIO!$A:$A,1,FALSE),"ERRO")</f>
        <v>ERRO</v>
      </c>
      <c r="Z1008"/>
    </row>
    <row r="1009" spans="1:26" ht="15" x14ac:dyDescent="0.25">
      <c r="A1009" s="94"/>
      <c r="B1009" s="32" t="str">
        <f>IF($A1009="","",VLOOKUP($A1009,APOIO!$A:$E,2,FALSE))</f>
        <v/>
      </c>
      <c r="C1009" s="94"/>
      <c r="D1009" s="32" t="str">
        <f>IF($A1009="","",INDEX(APOIO!$D:$D,MATCH(CONCATENATE($A1009,"_",$B1009,"_",$C1009),APOIO!$F:$F,0)))</f>
        <v/>
      </c>
      <c r="E1009" s="31"/>
      <c r="F1009" s="31"/>
      <c r="G1009" s="33"/>
      <c r="H1009" s="105"/>
      <c r="I1009" s="32" t="str">
        <f>IF($A1009="","",VLOOKUP($H1009,APOIO!$L:$M,2,FALSE))</f>
        <v/>
      </c>
      <c r="J1009" s="31"/>
      <c r="K1009" s="32" t="str">
        <f>IF($A1009="","",VLOOKUP($J1009,APOIO!$H:$J,2,FALSE))</f>
        <v/>
      </c>
      <c r="L1009" s="32" t="str">
        <f>IF($A1009="","",VLOOKUP($J1009,APOIO!$H:$J,3,FALSE))</f>
        <v/>
      </c>
      <c r="M1009" s="31"/>
      <c r="N1009" s="34"/>
      <c r="O1009" s="32"/>
      <c r="P1009" s="32"/>
      <c r="Q1009" s="32"/>
      <c r="R1009" s="32"/>
      <c r="S1009" s="35"/>
      <c r="T1009" s="91"/>
      <c r="U1009" s="60"/>
      <c r="V1009" s="36"/>
      <c r="W1009" s="31"/>
      <c r="X1009" s="59"/>
      <c r="Y1009" s="59" t="str">
        <f>IFERROR(VLOOKUP($A1009,APOIO!$A:$A,1,FALSE),"ERRO")</f>
        <v>ERRO</v>
      </c>
      <c r="Z1009"/>
    </row>
    <row r="1010" spans="1:26" ht="15" x14ac:dyDescent="0.25">
      <c r="A1010" s="94"/>
      <c r="B1010" s="32" t="str">
        <f>IF($A1010="","",VLOOKUP($A1010,APOIO!$A:$E,2,FALSE))</f>
        <v/>
      </c>
      <c r="C1010" s="94"/>
      <c r="D1010" s="32" t="str">
        <f>IF($A1010="","",INDEX(APOIO!$D:$D,MATCH(CONCATENATE($A1010,"_",$B1010,"_",$C1010),APOIO!$F:$F,0)))</f>
        <v/>
      </c>
      <c r="E1010" s="31"/>
      <c r="F1010" s="31"/>
      <c r="G1010" s="33"/>
      <c r="H1010" s="105"/>
      <c r="I1010" s="32" t="str">
        <f>IF($A1010="","",VLOOKUP($H1010,APOIO!$L:$M,2,FALSE))</f>
        <v/>
      </c>
      <c r="J1010" s="31"/>
      <c r="K1010" s="32" t="str">
        <f>IF($A1010="","",VLOOKUP($J1010,APOIO!$H:$J,2,FALSE))</f>
        <v/>
      </c>
      <c r="L1010" s="32" t="str">
        <f>IF($A1010="","",VLOOKUP($J1010,APOIO!$H:$J,3,FALSE))</f>
        <v/>
      </c>
      <c r="M1010" s="31"/>
      <c r="N1010" s="34"/>
      <c r="O1010" s="32"/>
      <c r="P1010" s="32"/>
      <c r="Q1010" s="32"/>
      <c r="R1010" s="32"/>
      <c r="S1010" s="35"/>
      <c r="T1010" s="91"/>
      <c r="U1010" s="60"/>
      <c r="V1010" s="36"/>
      <c r="W1010" s="31"/>
      <c r="X1010" s="59"/>
      <c r="Y1010" s="59" t="str">
        <f>IFERROR(VLOOKUP($A1010,APOIO!$A:$A,1,FALSE),"ERRO")</f>
        <v>ERRO</v>
      </c>
      <c r="Z1010"/>
    </row>
    <row r="1011" spans="1:26" ht="15" x14ac:dyDescent="0.25">
      <c r="A1011" s="94"/>
      <c r="B1011" s="32" t="str">
        <f>IF($A1011="","",VLOOKUP($A1011,APOIO!$A:$E,2,FALSE))</f>
        <v/>
      </c>
      <c r="C1011" s="94"/>
      <c r="D1011" s="32" t="str">
        <f>IF($A1011="","",INDEX(APOIO!$D:$D,MATCH(CONCATENATE($A1011,"_",$B1011,"_",$C1011),APOIO!$F:$F,0)))</f>
        <v/>
      </c>
      <c r="E1011" s="31"/>
      <c r="F1011" s="31"/>
      <c r="G1011" s="33"/>
      <c r="H1011" s="105"/>
      <c r="I1011" s="32" t="str">
        <f>IF($A1011="","",VLOOKUP($H1011,APOIO!$L:$M,2,FALSE))</f>
        <v/>
      </c>
      <c r="J1011" s="31"/>
      <c r="K1011" s="32" t="str">
        <f>IF($A1011="","",VLOOKUP($J1011,APOIO!$H:$J,2,FALSE))</f>
        <v/>
      </c>
      <c r="L1011" s="32" t="str">
        <f>IF($A1011="","",VLOOKUP($J1011,APOIO!$H:$J,3,FALSE))</f>
        <v/>
      </c>
      <c r="M1011" s="31"/>
      <c r="N1011" s="34"/>
      <c r="O1011" s="32"/>
      <c r="P1011" s="32"/>
      <c r="Q1011" s="32"/>
      <c r="R1011" s="32"/>
      <c r="S1011" s="35"/>
      <c r="T1011" s="91"/>
      <c r="U1011" s="60"/>
      <c r="V1011" s="36"/>
      <c r="W1011" s="31"/>
      <c r="X1011" s="59"/>
      <c r="Y1011" s="59" t="str">
        <f>IFERROR(VLOOKUP($A1011,APOIO!$A:$A,1,FALSE),"ERRO")</f>
        <v>ERRO</v>
      </c>
      <c r="Z1011"/>
    </row>
    <row r="1012" spans="1:26" ht="15" x14ac:dyDescent="0.25">
      <c r="A1012" s="94"/>
      <c r="B1012" s="32" t="str">
        <f>IF($A1012="","",VLOOKUP($A1012,APOIO!$A:$E,2,FALSE))</f>
        <v/>
      </c>
      <c r="C1012" s="94"/>
      <c r="D1012" s="32" t="str">
        <f>IF($A1012="","",INDEX(APOIO!$D:$D,MATCH(CONCATENATE($A1012,"_",$B1012,"_",$C1012),APOIO!$F:$F,0)))</f>
        <v/>
      </c>
      <c r="E1012" s="31"/>
      <c r="F1012" s="31"/>
      <c r="G1012" s="33"/>
      <c r="H1012" s="105"/>
      <c r="I1012" s="32" t="str">
        <f>IF($A1012="","",VLOOKUP($H1012,APOIO!$L:$M,2,FALSE))</f>
        <v/>
      </c>
      <c r="J1012" s="31"/>
      <c r="K1012" s="32" t="str">
        <f>IF($A1012="","",VLOOKUP($J1012,APOIO!$H:$J,2,FALSE))</f>
        <v/>
      </c>
      <c r="L1012" s="32" t="str">
        <f>IF($A1012="","",VLOOKUP($J1012,APOIO!$H:$J,3,FALSE))</f>
        <v/>
      </c>
      <c r="M1012" s="31"/>
      <c r="N1012" s="34"/>
      <c r="O1012" s="32"/>
      <c r="P1012" s="32"/>
      <c r="Q1012" s="32"/>
      <c r="R1012" s="32"/>
      <c r="S1012" s="35"/>
      <c r="T1012" s="91"/>
      <c r="U1012" s="60"/>
      <c r="V1012" s="36"/>
      <c r="W1012" s="31"/>
      <c r="X1012" s="59"/>
      <c r="Y1012" s="59" t="str">
        <f>IFERROR(VLOOKUP($A1012,APOIO!$A:$A,1,FALSE),"ERRO")</f>
        <v>ERRO</v>
      </c>
      <c r="Z1012"/>
    </row>
    <row r="1013" spans="1:26" ht="15" x14ac:dyDescent="0.25">
      <c r="A1013" s="94"/>
      <c r="B1013" s="32" t="str">
        <f>IF($A1013="","",VLOOKUP($A1013,APOIO!$A:$E,2,FALSE))</f>
        <v/>
      </c>
      <c r="C1013" s="94"/>
      <c r="D1013" s="32" t="str">
        <f>IF($A1013="","",INDEX(APOIO!$D:$D,MATCH(CONCATENATE($A1013,"_",$B1013,"_",$C1013),APOIO!$F:$F,0)))</f>
        <v/>
      </c>
      <c r="E1013" s="31"/>
      <c r="F1013" s="31"/>
      <c r="G1013" s="33"/>
      <c r="H1013" s="105"/>
      <c r="I1013" s="32" t="str">
        <f>IF($A1013="","",VLOOKUP($H1013,APOIO!$L:$M,2,FALSE))</f>
        <v/>
      </c>
      <c r="J1013" s="31"/>
      <c r="K1013" s="32" t="str">
        <f>IF($A1013="","",VLOOKUP($J1013,APOIO!$H:$J,2,FALSE))</f>
        <v/>
      </c>
      <c r="L1013" s="32" t="str">
        <f>IF($A1013="","",VLOOKUP($J1013,APOIO!$H:$J,3,FALSE))</f>
        <v/>
      </c>
      <c r="M1013" s="31"/>
      <c r="N1013" s="34"/>
      <c r="O1013" s="32"/>
      <c r="P1013" s="32"/>
      <c r="Q1013" s="32"/>
      <c r="R1013" s="32"/>
      <c r="S1013" s="35"/>
      <c r="T1013" s="91"/>
      <c r="U1013" s="60"/>
      <c r="V1013" s="36"/>
      <c r="W1013" s="31"/>
      <c r="X1013" s="59"/>
      <c r="Y1013" s="59" t="str">
        <f>IFERROR(VLOOKUP($A1013,APOIO!$A:$A,1,FALSE),"ERRO")</f>
        <v>ERRO</v>
      </c>
      <c r="Z1013"/>
    </row>
    <row r="1014" spans="1:26" ht="15" x14ac:dyDescent="0.25">
      <c r="A1014" s="94"/>
      <c r="B1014" s="32" t="str">
        <f>IF($A1014="","",VLOOKUP($A1014,APOIO!$A:$E,2,FALSE))</f>
        <v/>
      </c>
      <c r="C1014" s="94"/>
      <c r="D1014" s="32" t="str">
        <f>IF($A1014="","",INDEX(APOIO!$D:$D,MATCH(CONCATENATE($A1014,"_",$B1014,"_",$C1014),APOIO!$F:$F,0)))</f>
        <v/>
      </c>
      <c r="E1014" s="31"/>
      <c r="F1014" s="31"/>
      <c r="G1014" s="33"/>
      <c r="H1014" s="105"/>
      <c r="I1014" s="32" t="str">
        <f>IF($A1014="","",VLOOKUP($H1014,APOIO!$L:$M,2,FALSE))</f>
        <v/>
      </c>
      <c r="J1014" s="31"/>
      <c r="K1014" s="32" t="str">
        <f>IF($A1014="","",VLOOKUP($J1014,APOIO!$H:$J,2,FALSE))</f>
        <v/>
      </c>
      <c r="L1014" s="32" t="str">
        <f>IF($A1014="","",VLOOKUP($J1014,APOIO!$H:$J,3,FALSE))</f>
        <v/>
      </c>
      <c r="M1014" s="31"/>
      <c r="N1014" s="34"/>
      <c r="O1014" s="32"/>
      <c r="P1014" s="32"/>
      <c r="Q1014" s="32"/>
      <c r="R1014" s="32"/>
      <c r="S1014" s="35"/>
      <c r="T1014" s="91"/>
      <c r="U1014" s="60"/>
      <c r="V1014" s="36"/>
      <c r="W1014" s="31"/>
      <c r="X1014" s="59"/>
      <c r="Y1014" s="59" t="str">
        <f>IFERROR(VLOOKUP($A1014,APOIO!$A:$A,1,FALSE),"ERRO")</f>
        <v>ERRO</v>
      </c>
      <c r="Z1014"/>
    </row>
    <row r="1015" spans="1:26" ht="15" x14ac:dyDescent="0.25">
      <c r="A1015" s="94"/>
      <c r="B1015" s="32" t="str">
        <f>IF($A1015="","",VLOOKUP($A1015,APOIO!$A:$E,2,FALSE))</f>
        <v/>
      </c>
      <c r="C1015" s="94"/>
      <c r="D1015" s="32" t="str">
        <f>IF($A1015="","",INDEX(APOIO!$D:$D,MATCH(CONCATENATE($A1015,"_",$B1015,"_",$C1015),APOIO!$F:$F,0)))</f>
        <v/>
      </c>
      <c r="E1015" s="31"/>
      <c r="F1015" s="31"/>
      <c r="G1015" s="33"/>
      <c r="H1015" s="105"/>
      <c r="I1015" s="32" t="str">
        <f>IF($A1015="","",VLOOKUP($H1015,APOIO!$L:$M,2,FALSE))</f>
        <v/>
      </c>
      <c r="J1015" s="31"/>
      <c r="K1015" s="32" t="str">
        <f>IF($A1015="","",VLOOKUP($J1015,APOIO!$H:$J,2,FALSE))</f>
        <v/>
      </c>
      <c r="L1015" s="32" t="str">
        <f>IF($A1015="","",VLOOKUP($J1015,APOIO!$H:$J,3,FALSE))</f>
        <v/>
      </c>
      <c r="M1015" s="31"/>
      <c r="N1015" s="34"/>
      <c r="O1015" s="32"/>
      <c r="P1015" s="32"/>
      <c r="Q1015" s="32"/>
      <c r="R1015" s="32"/>
      <c r="S1015" s="35"/>
      <c r="T1015" s="91"/>
      <c r="U1015" s="60"/>
      <c r="V1015" s="36"/>
      <c r="W1015" s="31"/>
      <c r="X1015" s="59"/>
      <c r="Y1015" s="59" t="str">
        <f>IFERROR(VLOOKUP($A1015,APOIO!$A:$A,1,FALSE),"ERRO")</f>
        <v>ERRO</v>
      </c>
      <c r="Z1015"/>
    </row>
    <row r="1016" spans="1:26" ht="15" x14ac:dyDescent="0.25">
      <c r="A1016" s="94"/>
      <c r="B1016" s="32" t="str">
        <f>IF($A1016="","",VLOOKUP($A1016,APOIO!$A:$E,2,FALSE))</f>
        <v/>
      </c>
      <c r="C1016" s="94"/>
      <c r="D1016" s="32" t="str">
        <f>IF($A1016="","",INDEX(APOIO!$D:$D,MATCH(CONCATENATE($A1016,"_",$B1016,"_",$C1016),APOIO!$F:$F,0)))</f>
        <v/>
      </c>
      <c r="E1016" s="31"/>
      <c r="F1016" s="31"/>
      <c r="G1016" s="33"/>
      <c r="H1016" s="105"/>
      <c r="I1016" s="32" t="str">
        <f>IF($A1016="","",VLOOKUP($H1016,APOIO!$L:$M,2,FALSE))</f>
        <v/>
      </c>
      <c r="J1016" s="31"/>
      <c r="K1016" s="32" t="str">
        <f>IF($A1016="","",VLOOKUP($J1016,APOIO!$H:$J,2,FALSE))</f>
        <v/>
      </c>
      <c r="L1016" s="32" t="str">
        <f>IF($A1016="","",VLOOKUP($J1016,APOIO!$H:$J,3,FALSE))</f>
        <v/>
      </c>
      <c r="M1016" s="31"/>
      <c r="N1016" s="34"/>
      <c r="O1016" s="32"/>
      <c r="P1016" s="32"/>
      <c r="Q1016" s="32"/>
      <c r="R1016" s="32"/>
      <c r="S1016" s="35"/>
      <c r="T1016" s="91"/>
      <c r="U1016" s="60"/>
      <c r="V1016" s="36"/>
      <c r="W1016" s="31"/>
      <c r="X1016" s="59"/>
      <c r="Y1016" s="59" t="str">
        <f>IFERROR(VLOOKUP($A1016,APOIO!$A:$A,1,FALSE),"ERRO")</f>
        <v>ERRO</v>
      </c>
      <c r="Z1016"/>
    </row>
    <row r="1017" spans="1:26" ht="15" x14ac:dyDescent="0.25">
      <c r="A1017" s="94"/>
      <c r="B1017" s="32" t="str">
        <f>IF($A1017="","",VLOOKUP($A1017,APOIO!$A:$E,2,FALSE))</f>
        <v/>
      </c>
      <c r="C1017" s="94"/>
      <c r="D1017" s="32" t="str">
        <f>IF($A1017="","",INDEX(APOIO!$D:$D,MATCH(CONCATENATE($A1017,"_",$B1017,"_",$C1017),APOIO!$F:$F,0)))</f>
        <v/>
      </c>
      <c r="E1017" s="31"/>
      <c r="F1017" s="31"/>
      <c r="G1017" s="33"/>
      <c r="H1017" s="105"/>
      <c r="I1017" s="32" t="str">
        <f>IF($A1017="","",VLOOKUP($H1017,APOIO!$L:$M,2,FALSE))</f>
        <v/>
      </c>
      <c r="J1017" s="31"/>
      <c r="K1017" s="32" t="str">
        <f>IF($A1017="","",VLOOKUP($J1017,APOIO!$H:$J,2,FALSE))</f>
        <v/>
      </c>
      <c r="L1017" s="32" t="str">
        <f>IF($A1017="","",VLOOKUP($J1017,APOIO!$H:$J,3,FALSE))</f>
        <v/>
      </c>
      <c r="M1017" s="31"/>
      <c r="N1017" s="34"/>
      <c r="O1017" s="32"/>
      <c r="P1017" s="32"/>
      <c r="Q1017" s="32"/>
      <c r="R1017" s="32"/>
      <c r="S1017" s="35"/>
      <c r="T1017" s="91"/>
      <c r="U1017" s="60"/>
      <c r="V1017" s="36"/>
      <c r="W1017" s="31"/>
      <c r="X1017" s="59"/>
      <c r="Y1017" s="59" t="str">
        <f>IFERROR(VLOOKUP($A1017,APOIO!$A:$A,1,FALSE),"ERRO")</f>
        <v>ERRO</v>
      </c>
      <c r="Z1017"/>
    </row>
    <row r="1018" spans="1:26" ht="15" x14ac:dyDescent="0.25">
      <c r="A1018" s="94"/>
      <c r="B1018" s="32" t="str">
        <f>IF($A1018="","",VLOOKUP($A1018,APOIO!$A:$E,2,FALSE))</f>
        <v/>
      </c>
      <c r="C1018" s="94"/>
      <c r="D1018" s="32" t="str">
        <f>IF($A1018="","",INDEX(APOIO!$D:$D,MATCH(CONCATENATE($A1018,"_",$B1018,"_",$C1018),APOIO!$F:$F,0)))</f>
        <v/>
      </c>
      <c r="E1018" s="31"/>
      <c r="F1018" s="31"/>
      <c r="G1018" s="33"/>
      <c r="H1018" s="105"/>
      <c r="I1018" s="32" t="str">
        <f>IF($A1018="","",VLOOKUP($H1018,APOIO!$L:$M,2,FALSE))</f>
        <v/>
      </c>
      <c r="J1018" s="31"/>
      <c r="K1018" s="32" t="str">
        <f>IF($A1018="","",VLOOKUP($J1018,APOIO!$H:$J,2,FALSE))</f>
        <v/>
      </c>
      <c r="L1018" s="32" t="str">
        <f>IF($A1018="","",VLOOKUP($J1018,APOIO!$H:$J,3,FALSE))</f>
        <v/>
      </c>
      <c r="M1018" s="31"/>
      <c r="N1018" s="34"/>
      <c r="O1018" s="32"/>
      <c r="P1018" s="32"/>
      <c r="Q1018" s="32"/>
      <c r="R1018" s="32"/>
      <c r="S1018" s="35"/>
      <c r="T1018" s="91"/>
      <c r="U1018" s="60"/>
      <c r="V1018" s="36"/>
      <c r="W1018" s="31"/>
      <c r="X1018" s="59"/>
      <c r="Y1018" s="59" t="str">
        <f>IFERROR(VLOOKUP($A1018,APOIO!$A:$A,1,FALSE),"ERRO")</f>
        <v>ERRO</v>
      </c>
      <c r="Z1018"/>
    </row>
    <row r="1019" spans="1:26" ht="15" x14ac:dyDescent="0.25">
      <c r="A1019" s="94"/>
      <c r="B1019" s="32" t="str">
        <f>IF($A1019="","",VLOOKUP($A1019,APOIO!$A:$E,2,FALSE))</f>
        <v/>
      </c>
      <c r="C1019" s="94"/>
      <c r="D1019" s="32" t="str">
        <f>IF($A1019="","",INDEX(APOIO!$D:$D,MATCH(CONCATENATE($A1019,"_",$B1019,"_",$C1019),APOIO!$F:$F,0)))</f>
        <v/>
      </c>
      <c r="E1019" s="31"/>
      <c r="F1019" s="31"/>
      <c r="G1019" s="33"/>
      <c r="H1019" s="105"/>
      <c r="I1019" s="32" t="str">
        <f>IF($A1019="","",VLOOKUP($H1019,APOIO!$L:$M,2,FALSE))</f>
        <v/>
      </c>
      <c r="J1019" s="31"/>
      <c r="K1019" s="32" t="str">
        <f>IF($A1019="","",VLOOKUP($J1019,APOIO!$H:$J,2,FALSE))</f>
        <v/>
      </c>
      <c r="L1019" s="32" t="str">
        <f>IF($A1019="","",VLOOKUP($J1019,APOIO!$H:$J,3,FALSE))</f>
        <v/>
      </c>
      <c r="M1019" s="31"/>
      <c r="N1019" s="34"/>
      <c r="O1019" s="32"/>
      <c r="P1019" s="32"/>
      <c r="Q1019" s="32"/>
      <c r="R1019" s="32"/>
      <c r="S1019" s="35"/>
      <c r="T1019" s="91"/>
      <c r="U1019" s="60"/>
      <c r="V1019" s="36"/>
      <c r="W1019" s="31"/>
      <c r="X1019" s="59"/>
      <c r="Y1019" s="59" t="str">
        <f>IFERROR(VLOOKUP($A1019,APOIO!$A:$A,1,FALSE),"ERRO")</f>
        <v>ERRO</v>
      </c>
      <c r="Z1019"/>
    </row>
    <row r="1020" spans="1:26" ht="15" x14ac:dyDescent="0.25">
      <c r="A1020" s="94"/>
      <c r="B1020" s="32" t="str">
        <f>IF($A1020="","",VLOOKUP($A1020,APOIO!$A:$E,2,FALSE))</f>
        <v/>
      </c>
      <c r="C1020" s="94"/>
      <c r="D1020" s="32" t="str">
        <f>IF($A1020="","",INDEX(APOIO!$D:$D,MATCH(CONCATENATE($A1020,"_",$B1020,"_",$C1020),APOIO!$F:$F,0)))</f>
        <v/>
      </c>
      <c r="E1020" s="31"/>
      <c r="F1020" s="31"/>
      <c r="G1020" s="33"/>
      <c r="H1020" s="105"/>
      <c r="I1020" s="32" t="str">
        <f>IF($A1020="","",VLOOKUP($H1020,APOIO!$L:$M,2,FALSE))</f>
        <v/>
      </c>
      <c r="J1020" s="31"/>
      <c r="K1020" s="32" t="str">
        <f>IF($A1020="","",VLOOKUP($J1020,APOIO!$H:$J,2,FALSE))</f>
        <v/>
      </c>
      <c r="L1020" s="32" t="str">
        <f>IF($A1020="","",VLOOKUP($J1020,APOIO!$H:$J,3,FALSE))</f>
        <v/>
      </c>
      <c r="M1020" s="31"/>
      <c r="N1020" s="34"/>
      <c r="O1020" s="32"/>
      <c r="P1020" s="32"/>
      <c r="Q1020" s="32"/>
      <c r="R1020" s="32"/>
      <c r="S1020" s="35"/>
      <c r="T1020" s="91"/>
      <c r="U1020" s="60"/>
      <c r="V1020" s="36"/>
      <c r="W1020" s="31"/>
      <c r="X1020" s="59"/>
      <c r="Y1020" s="59" t="str">
        <f>IFERROR(VLOOKUP($A1020,APOIO!$A:$A,1,FALSE),"ERRO")</f>
        <v>ERRO</v>
      </c>
      <c r="Z1020"/>
    </row>
    <row r="1021" spans="1:26" ht="15" x14ac:dyDescent="0.25">
      <c r="A1021" s="94"/>
      <c r="B1021" s="32" t="str">
        <f>IF($A1021="","",VLOOKUP($A1021,APOIO!$A:$E,2,FALSE))</f>
        <v/>
      </c>
      <c r="C1021" s="94"/>
      <c r="D1021" s="32" t="str">
        <f>IF($A1021="","",INDEX(APOIO!$D:$D,MATCH(CONCATENATE($A1021,"_",$B1021,"_",$C1021),APOIO!$F:$F,0)))</f>
        <v/>
      </c>
      <c r="E1021" s="31"/>
      <c r="F1021" s="31"/>
      <c r="G1021" s="33"/>
      <c r="H1021" s="105"/>
      <c r="I1021" s="32" t="str">
        <f>IF($A1021="","",VLOOKUP($H1021,APOIO!$L:$M,2,FALSE))</f>
        <v/>
      </c>
      <c r="J1021" s="31"/>
      <c r="K1021" s="32" t="str">
        <f>IF($A1021="","",VLOOKUP($J1021,APOIO!$H:$J,2,FALSE))</f>
        <v/>
      </c>
      <c r="L1021" s="32" t="str">
        <f>IF($A1021="","",VLOOKUP($J1021,APOIO!$H:$J,3,FALSE))</f>
        <v/>
      </c>
      <c r="M1021" s="31"/>
      <c r="N1021" s="34"/>
      <c r="O1021" s="32"/>
      <c r="P1021" s="32"/>
      <c r="Q1021" s="32"/>
      <c r="R1021" s="32"/>
      <c r="S1021" s="35"/>
      <c r="T1021" s="91"/>
      <c r="U1021" s="60"/>
      <c r="V1021" s="36"/>
      <c r="W1021" s="31"/>
      <c r="X1021" s="59"/>
      <c r="Y1021" s="59" t="str">
        <f>IFERROR(VLOOKUP($A1021,APOIO!$A:$A,1,FALSE),"ERRO")</f>
        <v>ERRO</v>
      </c>
      <c r="Z1021"/>
    </row>
    <row r="1022" spans="1:26" ht="15" x14ac:dyDescent="0.25">
      <c r="A1022" s="94"/>
      <c r="B1022" s="32" t="str">
        <f>IF($A1022="","",VLOOKUP($A1022,APOIO!$A:$E,2,FALSE))</f>
        <v/>
      </c>
      <c r="C1022" s="94"/>
      <c r="D1022" s="32" t="str">
        <f>IF($A1022="","",INDEX(APOIO!$D:$D,MATCH(CONCATENATE($A1022,"_",$B1022,"_",$C1022),APOIO!$F:$F,0)))</f>
        <v/>
      </c>
      <c r="E1022" s="31"/>
      <c r="F1022" s="31"/>
      <c r="G1022" s="33"/>
      <c r="H1022" s="105"/>
      <c r="I1022" s="32" t="str">
        <f>IF($A1022="","",VLOOKUP($H1022,APOIO!$L:$M,2,FALSE))</f>
        <v/>
      </c>
      <c r="J1022" s="31"/>
      <c r="K1022" s="32" t="str">
        <f>IF($A1022="","",VLOOKUP($J1022,APOIO!$H:$J,2,FALSE))</f>
        <v/>
      </c>
      <c r="L1022" s="32" t="str">
        <f>IF($A1022="","",VLOOKUP($J1022,APOIO!$H:$J,3,FALSE))</f>
        <v/>
      </c>
      <c r="M1022" s="31"/>
      <c r="N1022" s="34"/>
      <c r="O1022" s="32"/>
      <c r="P1022" s="32"/>
      <c r="Q1022" s="32"/>
      <c r="R1022" s="32"/>
      <c r="S1022" s="35"/>
      <c r="T1022" s="91"/>
      <c r="U1022" s="60"/>
      <c r="V1022" s="36"/>
      <c r="W1022" s="31"/>
      <c r="X1022" s="59"/>
      <c r="Y1022" s="59" t="str">
        <f>IFERROR(VLOOKUP($A1022,APOIO!$A:$A,1,FALSE),"ERRO")</f>
        <v>ERRO</v>
      </c>
      <c r="Z1022"/>
    </row>
    <row r="1023" spans="1:26" ht="15" x14ac:dyDescent="0.25">
      <c r="A1023" s="94"/>
      <c r="B1023" s="32" t="str">
        <f>IF($A1023="","",VLOOKUP($A1023,APOIO!$A:$E,2,FALSE))</f>
        <v/>
      </c>
      <c r="C1023" s="94"/>
      <c r="D1023" s="32" t="str">
        <f>IF($A1023="","",INDEX(APOIO!$D:$D,MATCH(CONCATENATE($A1023,"_",$B1023,"_",$C1023),APOIO!$F:$F,0)))</f>
        <v/>
      </c>
      <c r="E1023" s="31"/>
      <c r="F1023" s="31"/>
      <c r="G1023" s="33"/>
      <c r="H1023" s="105"/>
      <c r="I1023" s="32" t="str">
        <f>IF($A1023="","",VLOOKUP($H1023,APOIO!$L:$M,2,FALSE))</f>
        <v/>
      </c>
      <c r="J1023" s="31"/>
      <c r="K1023" s="32" t="str">
        <f>IF($A1023="","",VLOOKUP($J1023,APOIO!$H:$J,2,FALSE))</f>
        <v/>
      </c>
      <c r="L1023" s="32" t="str">
        <f>IF($A1023="","",VLOOKUP($J1023,APOIO!$H:$J,3,FALSE))</f>
        <v/>
      </c>
      <c r="M1023" s="31"/>
      <c r="N1023" s="34"/>
      <c r="O1023" s="32"/>
      <c r="P1023" s="32"/>
      <c r="Q1023" s="32"/>
      <c r="R1023" s="32"/>
      <c r="S1023" s="35"/>
      <c r="T1023" s="91"/>
      <c r="U1023" s="60"/>
      <c r="V1023" s="36"/>
      <c r="W1023" s="31"/>
      <c r="X1023" s="59"/>
      <c r="Y1023" s="59" t="str">
        <f>IFERROR(VLOOKUP($A1023,APOIO!$A:$A,1,FALSE),"ERRO")</f>
        <v>ERRO</v>
      </c>
      <c r="Z1023"/>
    </row>
    <row r="1024" spans="1:26" ht="15" x14ac:dyDescent="0.25">
      <c r="A1024" s="94"/>
      <c r="B1024" s="32" t="str">
        <f>IF($A1024="","",VLOOKUP($A1024,APOIO!$A:$E,2,FALSE))</f>
        <v/>
      </c>
      <c r="C1024" s="94"/>
      <c r="D1024" s="32" t="str">
        <f>IF($A1024="","",INDEX(APOIO!$D:$D,MATCH(CONCATENATE($A1024,"_",$B1024,"_",$C1024),APOIO!$F:$F,0)))</f>
        <v/>
      </c>
      <c r="E1024" s="31"/>
      <c r="F1024" s="31"/>
      <c r="G1024" s="33"/>
      <c r="H1024" s="105"/>
      <c r="I1024" s="32" t="str">
        <f>IF($A1024="","",VLOOKUP($H1024,APOIO!$L:$M,2,FALSE))</f>
        <v/>
      </c>
      <c r="J1024" s="31"/>
      <c r="K1024" s="32" t="str">
        <f>IF($A1024="","",VLOOKUP($J1024,APOIO!$H:$J,2,FALSE))</f>
        <v/>
      </c>
      <c r="L1024" s="32" t="str">
        <f>IF($A1024="","",VLOOKUP($J1024,APOIO!$H:$J,3,FALSE))</f>
        <v/>
      </c>
      <c r="M1024" s="31"/>
      <c r="N1024" s="34"/>
      <c r="O1024" s="32"/>
      <c r="P1024" s="32"/>
      <c r="Q1024" s="32"/>
      <c r="R1024" s="32"/>
      <c r="S1024" s="35"/>
      <c r="T1024" s="91"/>
      <c r="U1024" s="60"/>
      <c r="V1024" s="36"/>
      <c r="W1024" s="31"/>
      <c r="X1024" s="59"/>
      <c r="Y1024" s="59" t="str">
        <f>IFERROR(VLOOKUP($A1024,APOIO!$A:$A,1,FALSE),"ERRO")</f>
        <v>ERRO</v>
      </c>
      <c r="Z1024"/>
    </row>
    <row r="1025" spans="1:26" ht="15" x14ac:dyDescent="0.25">
      <c r="A1025" s="94"/>
      <c r="B1025" s="32" t="str">
        <f>IF($A1025="","",VLOOKUP($A1025,APOIO!$A:$E,2,FALSE))</f>
        <v/>
      </c>
      <c r="C1025" s="94"/>
      <c r="D1025" s="32" t="str">
        <f>IF($A1025="","",INDEX(APOIO!$D:$D,MATCH(CONCATENATE($A1025,"_",$B1025,"_",$C1025),APOIO!$F:$F,0)))</f>
        <v/>
      </c>
      <c r="E1025" s="31"/>
      <c r="F1025" s="31"/>
      <c r="G1025" s="33"/>
      <c r="H1025" s="105"/>
      <c r="I1025" s="32" t="str">
        <f>IF($A1025="","",VLOOKUP($H1025,APOIO!$L:$M,2,FALSE))</f>
        <v/>
      </c>
      <c r="J1025" s="31"/>
      <c r="K1025" s="32" t="str">
        <f>IF($A1025="","",VLOOKUP($J1025,APOIO!$H:$J,2,FALSE))</f>
        <v/>
      </c>
      <c r="L1025" s="32" t="str">
        <f>IF($A1025="","",VLOOKUP($J1025,APOIO!$H:$J,3,FALSE))</f>
        <v/>
      </c>
      <c r="M1025" s="31"/>
      <c r="N1025" s="34"/>
      <c r="O1025" s="32"/>
      <c r="P1025" s="32"/>
      <c r="Q1025" s="32"/>
      <c r="R1025" s="32"/>
      <c r="S1025" s="35"/>
      <c r="T1025" s="91"/>
      <c r="U1025" s="60"/>
      <c r="V1025" s="36"/>
      <c r="W1025" s="31"/>
      <c r="X1025" s="59"/>
      <c r="Y1025" s="59" t="str">
        <f>IFERROR(VLOOKUP($A1025,APOIO!$A:$A,1,FALSE),"ERRO")</f>
        <v>ERRO</v>
      </c>
      <c r="Z1025"/>
    </row>
    <row r="1026" spans="1:26" ht="15" x14ac:dyDescent="0.25">
      <c r="A1026" s="94"/>
      <c r="B1026" s="32" t="str">
        <f>IF($A1026="","",VLOOKUP($A1026,APOIO!$A:$E,2,FALSE))</f>
        <v/>
      </c>
      <c r="C1026" s="94"/>
      <c r="D1026" s="32" t="str">
        <f>IF($A1026="","",INDEX(APOIO!$D:$D,MATCH(CONCATENATE($A1026,"_",$B1026,"_",$C1026),APOIO!$F:$F,0)))</f>
        <v/>
      </c>
      <c r="E1026" s="31"/>
      <c r="F1026" s="31"/>
      <c r="G1026" s="33"/>
      <c r="H1026" s="105"/>
      <c r="I1026" s="32" t="str">
        <f>IF($A1026="","",VLOOKUP($H1026,APOIO!$L:$M,2,FALSE))</f>
        <v/>
      </c>
      <c r="J1026" s="31"/>
      <c r="K1026" s="32" t="str">
        <f>IF($A1026="","",VLOOKUP($J1026,APOIO!$H:$J,2,FALSE))</f>
        <v/>
      </c>
      <c r="L1026" s="32" t="str">
        <f>IF($A1026="","",VLOOKUP($J1026,APOIO!$H:$J,3,FALSE))</f>
        <v/>
      </c>
      <c r="M1026" s="31"/>
      <c r="N1026" s="34"/>
      <c r="O1026" s="32"/>
      <c r="P1026" s="32"/>
      <c r="Q1026" s="32"/>
      <c r="R1026" s="32"/>
      <c r="S1026" s="35"/>
      <c r="T1026" s="91"/>
      <c r="U1026" s="60"/>
      <c r="V1026" s="36"/>
      <c r="W1026" s="31"/>
      <c r="X1026" s="59"/>
      <c r="Y1026" s="59" t="str">
        <f>IFERROR(VLOOKUP($A1026,APOIO!$A:$A,1,FALSE),"ERRO")</f>
        <v>ERRO</v>
      </c>
      <c r="Z1026"/>
    </row>
    <row r="1027" spans="1:26" ht="15" x14ac:dyDescent="0.25">
      <c r="A1027" s="94"/>
      <c r="B1027" s="32" t="str">
        <f>IF($A1027="","",VLOOKUP($A1027,APOIO!$A:$E,2,FALSE))</f>
        <v/>
      </c>
      <c r="C1027" s="94"/>
      <c r="D1027" s="32" t="str">
        <f>IF($A1027="","",INDEX(APOIO!$D:$D,MATCH(CONCATENATE($A1027,"_",$B1027,"_",$C1027),APOIO!$F:$F,0)))</f>
        <v/>
      </c>
      <c r="E1027" s="31"/>
      <c r="F1027" s="31"/>
      <c r="G1027" s="33"/>
      <c r="H1027" s="105"/>
      <c r="I1027" s="32" t="str">
        <f>IF($A1027="","",VLOOKUP($H1027,APOIO!$L:$M,2,FALSE))</f>
        <v/>
      </c>
      <c r="J1027" s="31"/>
      <c r="K1027" s="32" t="str">
        <f>IF($A1027="","",VLOOKUP($J1027,APOIO!$H:$J,2,FALSE))</f>
        <v/>
      </c>
      <c r="L1027" s="32" t="str">
        <f>IF($A1027="","",VLOOKUP($J1027,APOIO!$H:$J,3,FALSE))</f>
        <v/>
      </c>
      <c r="M1027" s="31"/>
      <c r="N1027" s="34"/>
      <c r="O1027" s="32"/>
      <c r="P1027" s="32"/>
      <c r="Q1027" s="32"/>
      <c r="R1027" s="32"/>
      <c r="S1027" s="35"/>
      <c r="T1027" s="91"/>
      <c r="U1027" s="60"/>
      <c r="V1027" s="36"/>
      <c r="W1027" s="31"/>
      <c r="X1027" s="59"/>
      <c r="Y1027" s="59" t="str">
        <f>IFERROR(VLOOKUP($A1027,APOIO!$A:$A,1,FALSE),"ERRO")</f>
        <v>ERRO</v>
      </c>
      <c r="Z1027"/>
    </row>
    <row r="1028" spans="1:26" ht="15" x14ac:dyDescent="0.25">
      <c r="A1028" s="94"/>
      <c r="B1028" s="32" t="str">
        <f>IF($A1028="","",VLOOKUP($A1028,APOIO!$A:$E,2,FALSE))</f>
        <v/>
      </c>
      <c r="C1028" s="94"/>
      <c r="D1028" s="32" t="str">
        <f>IF($A1028="","",INDEX(APOIO!$D:$D,MATCH(CONCATENATE($A1028,"_",$B1028,"_",$C1028),APOIO!$F:$F,0)))</f>
        <v/>
      </c>
      <c r="E1028" s="31"/>
      <c r="F1028" s="31"/>
      <c r="G1028" s="33"/>
      <c r="H1028" s="105"/>
      <c r="I1028" s="32" t="str">
        <f>IF($A1028="","",VLOOKUP($H1028,APOIO!$L:$M,2,FALSE))</f>
        <v/>
      </c>
      <c r="J1028" s="31"/>
      <c r="K1028" s="32" t="str">
        <f>IF($A1028="","",VLOOKUP($J1028,APOIO!$H:$J,2,FALSE))</f>
        <v/>
      </c>
      <c r="L1028" s="32" t="str">
        <f>IF($A1028="","",VLOOKUP($J1028,APOIO!$H:$J,3,FALSE))</f>
        <v/>
      </c>
      <c r="M1028" s="31"/>
      <c r="N1028" s="34"/>
      <c r="O1028" s="32"/>
      <c r="P1028" s="32"/>
      <c r="Q1028" s="32"/>
      <c r="R1028" s="32"/>
      <c r="S1028" s="35"/>
      <c r="T1028" s="91"/>
      <c r="U1028" s="60"/>
      <c r="V1028" s="36"/>
      <c r="W1028" s="31"/>
      <c r="X1028" s="59"/>
      <c r="Y1028" s="59" t="str">
        <f>IFERROR(VLOOKUP($A1028,APOIO!$A:$A,1,FALSE),"ERRO")</f>
        <v>ERRO</v>
      </c>
      <c r="Z1028"/>
    </row>
    <row r="1029" spans="1:26" ht="15" x14ac:dyDescent="0.25">
      <c r="A1029" s="94"/>
      <c r="B1029" s="32" t="str">
        <f>IF($A1029="","",VLOOKUP($A1029,APOIO!$A:$E,2,FALSE))</f>
        <v/>
      </c>
      <c r="C1029" s="94"/>
      <c r="D1029" s="32" t="str">
        <f>IF($A1029="","",INDEX(APOIO!$D:$D,MATCH(CONCATENATE($A1029,"_",$B1029,"_",$C1029),APOIO!$F:$F,0)))</f>
        <v/>
      </c>
      <c r="E1029" s="31"/>
      <c r="F1029" s="31"/>
      <c r="G1029" s="33"/>
      <c r="H1029" s="105"/>
      <c r="I1029" s="32" t="str">
        <f>IF($A1029="","",VLOOKUP($H1029,APOIO!$L:$M,2,FALSE))</f>
        <v/>
      </c>
      <c r="J1029" s="31"/>
      <c r="K1029" s="32" t="str">
        <f>IF($A1029="","",VLOOKUP($J1029,APOIO!$H:$J,2,FALSE))</f>
        <v/>
      </c>
      <c r="L1029" s="32" t="str">
        <f>IF($A1029="","",VLOOKUP($J1029,APOIO!$H:$J,3,FALSE))</f>
        <v/>
      </c>
      <c r="M1029" s="31"/>
      <c r="N1029" s="34"/>
      <c r="O1029" s="32"/>
      <c r="P1029" s="32"/>
      <c r="Q1029" s="32"/>
      <c r="R1029" s="32"/>
      <c r="S1029" s="35"/>
      <c r="T1029" s="91"/>
      <c r="U1029" s="60"/>
      <c r="V1029" s="36"/>
      <c r="W1029" s="31"/>
      <c r="X1029" s="59"/>
      <c r="Y1029" s="59" t="str">
        <f>IFERROR(VLOOKUP($A1029,APOIO!$A:$A,1,FALSE),"ERRO")</f>
        <v>ERRO</v>
      </c>
      <c r="Z1029"/>
    </row>
    <row r="1030" spans="1:26" ht="15" x14ac:dyDescent="0.25">
      <c r="A1030" s="94"/>
      <c r="B1030" s="32" t="str">
        <f>IF($A1030="","",VLOOKUP($A1030,APOIO!$A:$E,2,FALSE))</f>
        <v/>
      </c>
      <c r="C1030" s="94"/>
      <c r="D1030" s="32" t="str">
        <f>IF($A1030="","",INDEX(APOIO!$D:$D,MATCH(CONCATENATE($A1030,"_",$B1030,"_",$C1030),APOIO!$F:$F,0)))</f>
        <v/>
      </c>
      <c r="E1030" s="31"/>
      <c r="F1030" s="31"/>
      <c r="G1030" s="33"/>
      <c r="H1030" s="105"/>
      <c r="I1030" s="32" t="str">
        <f>IF($A1030="","",VLOOKUP($H1030,APOIO!$L:$M,2,FALSE))</f>
        <v/>
      </c>
      <c r="J1030" s="31"/>
      <c r="K1030" s="32" t="str">
        <f>IF($A1030="","",VLOOKUP($J1030,APOIO!$H:$J,2,FALSE))</f>
        <v/>
      </c>
      <c r="L1030" s="32" t="str">
        <f>IF($A1030="","",VLOOKUP($J1030,APOIO!$H:$J,3,FALSE))</f>
        <v/>
      </c>
      <c r="M1030" s="31"/>
      <c r="N1030" s="34"/>
      <c r="O1030" s="32"/>
      <c r="P1030" s="32"/>
      <c r="Q1030" s="32"/>
      <c r="R1030" s="32"/>
      <c r="S1030" s="35"/>
      <c r="T1030" s="91"/>
      <c r="U1030" s="60"/>
      <c r="V1030" s="36"/>
      <c r="W1030" s="31"/>
      <c r="X1030" s="59"/>
      <c r="Y1030" s="59" t="str">
        <f>IFERROR(VLOOKUP($A1030,APOIO!$A:$A,1,FALSE),"ERRO")</f>
        <v>ERRO</v>
      </c>
      <c r="Z1030"/>
    </row>
    <row r="1031" spans="1:26" ht="15" x14ac:dyDescent="0.25">
      <c r="A1031" s="94"/>
      <c r="B1031" s="32" t="str">
        <f>IF($A1031="","",VLOOKUP($A1031,APOIO!$A:$E,2,FALSE))</f>
        <v/>
      </c>
      <c r="C1031" s="94"/>
      <c r="D1031" s="32" t="str">
        <f>IF($A1031="","",INDEX(APOIO!$D:$D,MATCH(CONCATENATE($A1031,"_",$B1031,"_",$C1031),APOIO!$F:$F,0)))</f>
        <v/>
      </c>
      <c r="E1031" s="31"/>
      <c r="F1031" s="31"/>
      <c r="G1031" s="33"/>
      <c r="H1031" s="105"/>
      <c r="I1031" s="32" t="str">
        <f>IF($A1031="","",VLOOKUP($H1031,APOIO!$L:$M,2,FALSE))</f>
        <v/>
      </c>
      <c r="J1031" s="31"/>
      <c r="K1031" s="32" t="str">
        <f>IF($A1031="","",VLOOKUP($J1031,APOIO!$H:$J,2,FALSE))</f>
        <v/>
      </c>
      <c r="L1031" s="32" t="str">
        <f>IF($A1031="","",VLOOKUP($J1031,APOIO!$H:$J,3,FALSE))</f>
        <v/>
      </c>
      <c r="M1031" s="31"/>
      <c r="N1031" s="34"/>
      <c r="O1031" s="32"/>
      <c r="P1031" s="32"/>
      <c r="Q1031" s="32"/>
      <c r="R1031" s="32"/>
      <c r="S1031" s="35"/>
      <c r="T1031" s="91"/>
      <c r="U1031" s="60"/>
      <c r="V1031" s="36"/>
      <c r="W1031" s="31"/>
      <c r="X1031" s="59"/>
      <c r="Y1031" s="59" t="str">
        <f>IFERROR(VLOOKUP($A1031,APOIO!$A:$A,1,FALSE),"ERRO")</f>
        <v>ERRO</v>
      </c>
      <c r="Z1031"/>
    </row>
    <row r="1032" spans="1:26" ht="15" x14ac:dyDescent="0.25">
      <c r="A1032" s="94"/>
      <c r="B1032" s="32" t="str">
        <f>IF($A1032="","",VLOOKUP($A1032,APOIO!$A:$E,2,FALSE))</f>
        <v/>
      </c>
      <c r="C1032" s="94"/>
      <c r="D1032" s="32" t="str">
        <f>IF($A1032="","",INDEX(APOIO!$D:$D,MATCH(CONCATENATE($A1032,"_",$B1032,"_",$C1032),APOIO!$F:$F,0)))</f>
        <v/>
      </c>
      <c r="E1032" s="31"/>
      <c r="F1032" s="31"/>
      <c r="G1032" s="33"/>
      <c r="H1032" s="105"/>
      <c r="I1032" s="32" t="str">
        <f>IF($A1032="","",VLOOKUP($H1032,APOIO!$L:$M,2,FALSE))</f>
        <v/>
      </c>
      <c r="J1032" s="31"/>
      <c r="K1032" s="32" t="str">
        <f>IF($A1032="","",VLOOKUP($J1032,APOIO!$H:$J,2,FALSE))</f>
        <v/>
      </c>
      <c r="L1032" s="32" t="str">
        <f>IF($A1032="","",VLOOKUP($J1032,APOIO!$H:$J,3,FALSE))</f>
        <v/>
      </c>
      <c r="M1032" s="31"/>
      <c r="N1032" s="34"/>
      <c r="O1032" s="32"/>
      <c r="P1032" s="32"/>
      <c r="Q1032" s="32"/>
      <c r="R1032" s="32"/>
      <c r="S1032" s="35"/>
      <c r="T1032" s="91"/>
      <c r="U1032" s="60"/>
      <c r="V1032" s="36"/>
      <c r="W1032" s="31"/>
      <c r="X1032" s="59"/>
      <c r="Y1032" s="59" t="str">
        <f>IFERROR(VLOOKUP($A1032,APOIO!$A:$A,1,FALSE),"ERRO")</f>
        <v>ERRO</v>
      </c>
      <c r="Z1032"/>
    </row>
    <row r="1033" spans="1:26" ht="15" x14ac:dyDescent="0.25">
      <c r="A1033" s="94"/>
      <c r="B1033" s="32" t="str">
        <f>IF($A1033="","",VLOOKUP($A1033,APOIO!$A:$E,2,FALSE))</f>
        <v/>
      </c>
      <c r="C1033" s="94"/>
      <c r="D1033" s="32" t="str">
        <f>IF($A1033="","",INDEX(APOIO!$D:$D,MATCH(CONCATENATE($A1033,"_",$B1033,"_",$C1033),APOIO!$F:$F,0)))</f>
        <v/>
      </c>
      <c r="E1033" s="31"/>
      <c r="F1033" s="31"/>
      <c r="G1033" s="33"/>
      <c r="H1033" s="105"/>
      <c r="I1033" s="32" t="str">
        <f>IF($A1033="","",VLOOKUP($H1033,APOIO!$L:$M,2,FALSE))</f>
        <v/>
      </c>
      <c r="J1033" s="31"/>
      <c r="K1033" s="32" t="str">
        <f>IF($A1033="","",VLOOKUP($J1033,APOIO!$H:$J,2,FALSE))</f>
        <v/>
      </c>
      <c r="L1033" s="32" t="str">
        <f>IF($A1033="","",VLOOKUP($J1033,APOIO!$H:$J,3,FALSE))</f>
        <v/>
      </c>
      <c r="M1033" s="31"/>
      <c r="N1033" s="34"/>
      <c r="O1033" s="32"/>
      <c r="P1033" s="32"/>
      <c r="Q1033" s="32"/>
      <c r="R1033" s="32"/>
      <c r="S1033" s="35"/>
      <c r="T1033" s="91"/>
      <c r="U1033" s="60"/>
      <c r="V1033" s="36"/>
      <c r="W1033" s="31"/>
      <c r="X1033" s="59"/>
      <c r="Y1033" s="59" t="str">
        <f>IFERROR(VLOOKUP($A1033,APOIO!$A:$A,1,FALSE),"ERRO")</f>
        <v>ERRO</v>
      </c>
      <c r="Z1033"/>
    </row>
    <row r="1034" spans="1:26" ht="15" x14ac:dyDescent="0.25">
      <c r="A1034" s="94"/>
      <c r="B1034" s="32" t="str">
        <f>IF($A1034="","",VLOOKUP($A1034,APOIO!$A:$E,2,FALSE))</f>
        <v/>
      </c>
      <c r="C1034" s="94"/>
      <c r="D1034" s="32" t="str">
        <f>IF($A1034="","",INDEX(APOIO!$D:$D,MATCH(CONCATENATE($A1034,"_",$B1034,"_",$C1034),APOIO!$F:$F,0)))</f>
        <v/>
      </c>
      <c r="E1034" s="31"/>
      <c r="F1034" s="31"/>
      <c r="G1034" s="33"/>
      <c r="H1034" s="105"/>
      <c r="I1034" s="32" t="str">
        <f>IF($A1034="","",VLOOKUP($H1034,APOIO!$L:$M,2,FALSE))</f>
        <v/>
      </c>
      <c r="J1034" s="31"/>
      <c r="K1034" s="32" t="str">
        <f>IF($A1034="","",VLOOKUP($J1034,APOIO!$H:$J,2,FALSE))</f>
        <v/>
      </c>
      <c r="L1034" s="32" t="str">
        <f>IF($A1034="","",VLOOKUP($J1034,APOIO!$H:$J,3,FALSE))</f>
        <v/>
      </c>
      <c r="M1034" s="31"/>
      <c r="N1034" s="34"/>
      <c r="O1034" s="32"/>
      <c r="P1034" s="32"/>
      <c r="Q1034" s="32"/>
      <c r="R1034" s="32"/>
      <c r="S1034" s="35"/>
      <c r="T1034" s="91"/>
      <c r="U1034" s="60"/>
      <c r="V1034" s="36"/>
      <c r="W1034" s="31"/>
      <c r="X1034" s="59"/>
      <c r="Y1034" s="59" t="str">
        <f>IFERROR(VLOOKUP($A1034,APOIO!$A:$A,1,FALSE),"ERRO")</f>
        <v>ERRO</v>
      </c>
      <c r="Z1034"/>
    </row>
    <row r="1035" spans="1:26" ht="15" x14ac:dyDescent="0.25">
      <c r="A1035" s="94"/>
      <c r="B1035" s="32" t="str">
        <f>IF($A1035="","",VLOOKUP($A1035,APOIO!$A:$E,2,FALSE))</f>
        <v/>
      </c>
      <c r="C1035" s="94"/>
      <c r="D1035" s="32" t="str">
        <f>IF($A1035="","",INDEX(APOIO!$D:$D,MATCH(CONCATENATE($A1035,"_",$B1035,"_",$C1035),APOIO!$F:$F,0)))</f>
        <v/>
      </c>
      <c r="E1035" s="31"/>
      <c r="F1035" s="31"/>
      <c r="G1035" s="33"/>
      <c r="H1035" s="105"/>
      <c r="I1035" s="32" t="str">
        <f>IF($A1035="","",VLOOKUP($H1035,APOIO!$L:$M,2,FALSE))</f>
        <v/>
      </c>
      <c r="J1035" s="31"/>
      <c r="K1035" s="32" t="str">
        <f>IF($A1035="","",VLOOKUP($J1035,APOIO!$H:$J,2,FALSE))</f>
        <v/>
      </c>
      <c r="L1035" s="32" t="str">
        <f>IF($A1035="","",VLOOKUP($J1035,APOIO!$H:$J,3,FALSE))</f>
        <v/>
      </c>
      <c r="M1035" s="31"/>
      <c r="N1035" s="34"/>
      <c r="O1035" s="32"/>
      <c r="P1035" s="32"/>
      <c r="Q1035" s="32"/>
      <c r="R1035" s="32"/>
      <c r="S1035" s="35"/>
      <c r="T1035" s="91"/>
      <c r="U1035" s="60"/>
      <c r="V1035" s="36"/>
      <c r="W1035" s="31"/>
      <c r="X1035" s="59"/>
      <c r="Y1035" s="59" t="str">
        <f>IFERROR(VLOOKUP($A1035,APOIO!$A:$A,1,FALSE),"ERRO")</f>
        <v>ERRO</v>
      </c>
      <c r="Z1035"/>
    </row>
    <row r="1036" spans="1:26" ht="15" x14ac:dyDescent="0.25">
      <c r="A1036" s="94"/>
      <c r="B1036" s="32" t="str">
        <f>IF($A1036="","",VLOOKUP($A1036,APOIO!$A:$E,2,FALSE))</f>
        <v/>
      </c>
      <c r="C1036" s="94"/>
      <c r="D1036" s="32" t="str">
        <f>IF($A1036="","",INDEX(APOIO!$D:$D,MATCH(CONCATENATE($A1036,"_",$B1036,"_",$C1036),APOIO!$F:$F,0)))</f>
        <v/>
      </c>
      <c r="E1036" s="31"/>
      <c r="F1036" s="31"/>
      <c r="G1036" s="33"/>
      <c r="H1036" s="105"/>
      <c r="I1036" s="32" t="str">
        <f>IF($A1036="","",VLOOKUP($H1036,APOIO!$L:$M,2,FALSE))</f>
        <v/>
      </c>
      <c r="J1036" s="31"/>
      <c r="K1036" s="32" t="str">
        <f>IF($A1036="","",VLOOKUP($J1036,APOIO!$H:$J,2,FALSE))</f>
        <v/>
      </c>
      <c r="L1036" s="32" t="str">
        <f>IF($A1036="","",VLOOKUP($J1036,APOIO!$H:$J,3,FALSE))</f>
        <v/>
      </c>
      <c r="M1036" s="31"/>
      <c r="N1036" s="34"/>
      <c r="O1036" s="32"/>
      <c r="P1036" s="32"/>
      <c r="Q1036" s="32"/>
      <c r="R1036" s="32"/>
      <c r="S1036" s="35"/>
      <c r="T1036" s="91"/>
      <c r="U1036" s="60"/>
      <c r="V1036" s="36"/>
      <c r="W1036" s="31"/>
      <c r="X1036" s="59"/>
      <c r="Y1036" s="59" t="str">
        <f>IFERROR(VLOOKUP($A1036,APOIO!$A:$A,1,FALSE),"ERRO")</f>
        <v>ERRO</v>
      </c>
      <c r="Z1036"/>
    </row>
    <row r="1037" spans="1:26" ht="15" x14ac:dyDescent="0.25">
      <c r="A1037" s="94"/>
      <c r="B1037" s="32" t="str">
        <f>IF($A1037="","",VLOOKUP($A1037,APOIO!$A:$E,2,FALSE))</f>
        <v/>
      </c>
      <c r="C1037" s="94"/>
      <c r="D1037" s="32" t="str">
        <f>IF($A1037="","",INDEX(APOIO!$D:$D,MATCH(CONCATENATE($A1037,"_",$B1037,"_",$C1037),APOIO!$F:$F,0)))</f>
        <v/>
      </c>
      <c r="E1037" s="31"/>
      <c r="F1037" s="31"/>
      <c r="G1037" s="33"/>
      <c r="H1037" s="105"/>
      <c r="I1037" s="32" t="str">
        <f>IF($A1037="","",VLOOKUP($H1037,APOIO!$L:$M,2,FALSE))</f>
        <v/>
      </c>
      <c r="J1037" s="31"/>
      <c r="K1037" s="32" t="str">
        <f>IF($A1037="","",VLOOKUP($J1037,APOIO!$H:$J,2,FALSE))</f>
        <v/>
      </c>
      <c r="L1037" s="32" t="str">
        <f>IF($A1037="","",VLOOKUP($J1037,APOIO!$H:$J,3,FALSE))</f>
        <v/>
      </c>
      <c r="M1037" s="31"/>
      <c r="N1037" s="34"/>
      <c r="O1037" s="32"/>
      <c r="P1037" s="32"/>
      <c r="Q1037" s="32"/>
      <c r="R1037" s="32"/>
      <c r="S1037" s="35"/>
      <c r="T1037" s="91"/>
      <c r="U1037" s="60"/>
      <c r="V1037" s="36"/>
      <c r="W1037" s="31"/>
      <c r="X1037" s="59"/>
      <c r="Y1037" s="59" t="str">
        <f>IFERROR(VLOOKUP($A1037,APOIO!$A:$A,1,FALSE),"ERRO")</f>
        <v>ERRO</v>
      </c>
      <c r="Z1037"/>
    </row>
    <row r="1038" spans="1:26" ht="15" x14ac:dyDescent="0.25">
      <c r="A1038" s="94"/>
      <c r="B1038" s="32" t="str">
        <f>IF($A1038="","",VLOOKUP($A1038,APOIO!$A:$E,2,FALSE))</f>
        <v/>
      </c>
      <c r="C1038" s="94"/>
      <c r="D1038" s="32" t="str">
        <f>IF($A1038="","",INDEX(APOIO!$D:$D,MATCH(CONCATENATE($A1038,"_",$B1038,"_",$C1038),APOIO!$F:$F,0)))</f>
        <v/>
      </c>
      <c r="E1038" s="31"/>
      <c r="F1038" s="31"/>
      <c r="G1038" s="33"/>
      <c r="H1038" s="105"/>
      <c r="I1038" s="32" t="str">
        <f>IF($A1038="","",VLOOKUP($H1038,APOIO!$L:$M,2,FALSE))</f>
        <v/>
      </c>
      <c r="J1038" s="31"/>
      <c r="K1038" s="32" t="str">
        <f>IF($A1038="","",VLOOKUP($J1038,APOIO!$H:$J,2,FALSE))</f>
        <v/>
      </c>
      <c r="L1038" s="32" t="str">
        <f>IF($A1038="","",VLOOKUP($J1038,APOIO!$H:$J,3,FALSE))</f>
        <v/>
      </c>
      <c r="M1038" s="31"/>
      <c r="N1038" s="34"/>
      <c r="O1038" s="32"/>
      <c r="P1038" s="32"/>
      <c r="Q1038" s="32"/>
      <c r="R1038" s="32"/>
      <c r="S1038" s="35"/>
      <c r="T1038" s="91"/>
      <c r="U1038" s="60"/>
      <c r="V1038" s="36"/>
      <c r="W1038" s="31"/>
      <c r="X1038" s="59"/>
      <c r="Y1038" s="59" t="str">
        <f>IFERROR(VLOOKUP($A1038,APOIO!$A:$A,1,FALSE),"ERRO")</f>
        <v>ERRO</v>
      </c>
      <c r="Z1038"/>
    </row>
    <row r="1039" spans="1:26" ht="15" x14ac:dyDescent="0.25">
      <c r="A1039" s="94"/>
      <c r="B1039" s="32" t="str">
        <f>IF($A1039="","",VLOOKUP($A1039,APOIO!$A:$E,2,FALSE))</f>
        <v/>
      </c>
      <c r="C1039" s="94"/>
      <c r="D1039" s="32" t="str">
        <f>IF($A1039="","",INDEX(APOIO!$D:$D,MATCH(CONCATENATE($A1039,"_",$B1039,"_",$C1039),APOIO!$F:$F,0)))</f>
        <v/>
      </c>
      <c r="E1039" s="31"/>
      <c r="F1039" s="31"/>
      <c r="G1039" s="33"/>
      <c r="H1039" s="105"/>
      <c r="I1039" s="32" t="str">
        <f>IF($A1039="","",VLOOKUP($H1039,APOIO!$L:$M,2,FALSE))</f>
        <v/>
      </c>
      <c r="J1039" s="31"/>
      <c r="K1039" s="32" t="str">
        <f>IF($A1039="","",VLOOKUP($J1039,APOIO!$H:$J,2,FALSE))</f>
        <v/>
      </c>
      <c r="L1039" s="32" t="str">
        <f>IF($A1039="","",VLOOKUP($J1039,APOIO!$H:$J,3,FALSE))</f>
        <v/>
      </c>
      <c r="M1039" s="31"/>
      <c r="N1039" s="34"/>
      <c r="O1039" s="32"/>
      <c r="P1039" s="32"/>
      <c r="Q1039" s="32"/>
      <c r="R1039" s="32"/>
      <c r="S1039" s="35"/>
      <c r="T1039" s="91"/>
      <c r="U1039" s="60"/>
      <c r="V1039" s="36"/>
      <c r="W1039" s="31"/>
      <c r="X1039" s="59"/>
      <c r="Y1039" s="59" t="str">
        <f>IFERROR(VLOOKUP($A1039,APOIO!$A:$A,1,FALSE),"ERRO")</f>
        <v>ERRO</v>
      </c>
      <c r="Z1039"/>
    </row>
    <row r="1040" spans="1:26" ht="15" x14ac:dyDescent="0.25">
      <c r="A1040" s="94"/>
      <c r="B1040" s="32" t="str">
        <f>IF($A1040="","",VLOOKUP($A1040,APOIO!$A:$E,2,FALSE))</f>
        <v/>
      </c>
      <c r="C1040" s="94"/>
      <c r="D1040" s="32" t="str">
        <f>IF($A1040="","",INDEX(APOIO!$D:$D,MATCH(CONCATENATE($A1040,"_",$B1040,"_",$C1040),APOIO!$F:$F,0)))</f>
        <v/>
      </c>
      <c r="E1040" s="31"/>
      <c r="F1040" s="31"/>
      <c r="G1040" s="33"/>
      <c r="H1040" s="105"/>
      <c r="I1040" s="32" t="str">
        <f>IF($A1040="","",VLOOKUP($H1040,APOIO!$L:$M,2,FALSE))</f>
        <v/>
      </c>
      <c r="J1040" s="31"/>
      <c r="K1040" s="32" t="str">
        <f>IF($A1040="","",VLOOKUP($J1040,APOIO!$H:$J,2,FALSE))</f>
        <v/>
      </c>
      <c r="L1040" s="32" t="str">
        <f>IF($A1040="","",VLOOKUP($J1040,APOIO!$H:$J,3,FALSE))</f>
        <v/>
      </c>
      <c r="M1040" s="31"/>
      <c r="N1040" s="34"/>
      <c r="O1040" s="32"/>
      <c r="P1040" s="32"/>
      <c r="Q1040" s="32"/>
      <c r="R1040" s="32"/>
      <c r="S1040" s="35"/>
      <c r="T1040" s="91"/>
      <c r="U1040" s="60"/>
      <c r="V1040" s="36"/>
      <c r="W1040" s="31"/>
      <c r="X1040" s="59"/>
      <c r="Y1040" s="59" t="str">
        <f>IFERROR(VLOOKUP($A1040,APOIO!$A:$A,1,FALSE),"ERRO")</f>
        <v>ERRO</v>
      </c>
      <c r="Z1040"/>
    </row>
    <row r="1041" spans="1:26" ht="15" x14ac:dyDescent="0.25">
      <c r="A1041" s="94"/>
      <c r="B1041" s="32" t="str">
        <f>IF($A1041="","",VLOOKUP($A1041,APOIO!$A:$E,2,FALSE))</f>
        <v/>
      </c>
      <c r="C1041" s="94"/>
      <c r="D1041" s="32" t="str">
        <f>IF($A1041="","",INDEX(APOIO!$D:$D,MATCH(CONCATENATE($A1041,"_",$B1041,"_",$C1041),APOIO!$F:$F,0)))</f>
        <v/>
      </c>
      <c r="E1041" s="31"/>
      <c r="F1041" s="31"/>
      <c r="G1041" s="33"/>
      <c r="H1041" s="105"/>
      <c r="I1041" s="32" t="str">
        <f>IF($A1041="","",VLOOKUP($H1041,APOIO!$L:$M,2,FALSE))</f>
        <v/>
      </c>
      <c r="J1041" s="31"/>
      <c r="K1041" s="32" t="str">
        <f>IF($A1041="","",VLOOKUP($J1041,APOIO!$H:$J,2,FALSE))</f>
        <v/>
      </c>
      <c r="L1041" s="32" t="str">
        <f>IF($A1041="","",VLOOKUP($J1041,APOIO!$H:$J,3,FALSE))</f>
        <v/>
      </c>
      <c r="M1041" s="31"/>
      <c r="N1041" s="34"/>
      <c r="O1041" s="32"/>
      <c r="P1041" s="32"/>
      <c r="Q1041" s="32"/>
      <c r="R1041" s="32"/>
      <c r="S1041" s="35"/>
      <c r="T1041" s="91"/>
      <c r="U1041" s="60"/>
      <c r="V1041" s="36"/>
      <c r="W1041" s="31"/>
      <c r="X1041" s="59"/>
      <c r="Y1041" s="59" t="str">
        <f>IFERROR(VLOOKUP($A1041,APOIO!$A:$A,1,FALSE),"ERRO")</f>
        <v>ERRO</v>
      </c>
      <c r="Z1041"/>
    </row>
    <row r="1042" spans="1:26" ht="15" x14ac:dyDescent="0.25">
      <c r="A1042" s="94"/>
      <c r="B1042" s="32" t="str">
        <f>IF($A1042="","",VLOOKUP($A1042,APOIO!$A:$E,2,FALSE))</f>
        <v/>
      </c>
      <c r="C1042" s="94"/>
      <c r="D1042" s="32" t="str">
        <f>IF($A1042="","",INDEX(APOIO!$D:$D,MATCH(CONCATENATE($A1042,"_",$B1042,"_",$C1042),APOIO!$F:$F,0)))</f>
        <v/>
      </c>
      <c r="E1042" s="31"/>
      <c r="F1042" s="31"/>
      <c r="G1042" s="33"/>
      <c r="H1042" s="105"/>
      <c r="I1042" s="32" t="str">
        <f>IF($A1042="","",VLOOKUP($H1042,APOIO!$L:$M,2,FALSE))</f>
        <v/>
      </c>
      <c r="J1042" s="31"/>
      <c r="K1042" s="32" t="str">
        <f>IF($A1042="","",VLOOKUP($J1042,APOIO!$H:$J,2,FALSE))</f>
        <v/>
      </c>
      <c r="L1042" s="32" t="str">
        <f>IF($A1042="","",VLOOKUP($J1042,APOIO!$H:$J,3,FALSE))</f>
        <v/>
      </c>
      <c r="M1042" s="31"/>
      <c r="N1042" s="34"/>
      <c r="O1042" s="32"/>
      <c r="P1042" s="32"/>
      <c r="Q1042" s="32"/>
      <c r="R1042" s="32"/>
      <c r="S1042" s="35"/>
      <c r="T1042" s="91"/>
      <c r="U1042" s="60"/>
      <c r="V1042" s="36"/>
      <c r="W1042" s="31"/>
      <c r="X1042" s="59"/>
      <c r="Y1042" s="59" t="str">
        <f>IFERROR(VLOOKUP($A1042,APOIO!$A:$A,1,FALSE),"ERRO")</f>
        <v>ERRO</v>
      </c>
      <c r="Z1042"/>
    </row>
    <row r="1043" spans="1:26" ht="15" x14ac:dyDescent="0.25">
      <c r="A1043" s="94"/>
      <c r="B1043" s="32" t="str">
        <f>IF($A1043="","",VLOOKUP($A1043,APOIO!$A:$E,2,FALSE))</f>
        <v/>
      </c>
      <c r="C1043" s="94"/>
      <c r="D1043" s="32" t="str">
        <f>IF($A1043="","",INDEX(APOIO!$D:$D,MATCH(CONCATENATE($A1043,"_",$B1043,"_",$C1043),APOIO!$F:$F,0)))</f>
        <v/>
      </c>
      <c r="E1043" s="31"/>
      <c r="F1043" s="31"/>
      <c r="G1043" s="33"/>
      <c r="H1043" s="105"/>
      <c r="I1043" s="32" t="str">
        <f>IF($A1043="","",VLOOKUP($H1043,APOIO!$L:$M,2,FALSE))</f>
        <v/>
      </c>
      <c r="J1043" s="31"/>
      <c r="K1043" s="32" t="str">
        <f>IF($A1043="","",VLOOKUP($J1043,APOIO!$H:$J,2,FALSE))</f>
        <v/>
      </c>
      <c r="L1043" s="32" t="str">
        <f>IF($A1043="","",VLOOKUP($J1043,APOIO!$H:$J,3,FALSE))</f>
        <v/>
      </c>
      <c r="M1043" s="31"/>
      <c r="N1043" s="34"/>
      <c r="O1043" s="32"/>
      <c r="P1043" s="32"/>
      <c r="Q1043" s="32"/>
      <c r="R1043" s="32"/>
      <c r="S1043" s="35"/>
      <c r="T1043" s="91"/>
      <c r="U1043" s="60"/>
      <c r="V1043" s="36"/>
      <c r="W1043" s="31"/>
      <c r="X1043" s="59"/>
      <c r="Y1043" s="59" t="str">
        <f>IFERROR(VLOOKUP($A1043,APOIO!$A:$A,1,FALSE),"ERRO")</f>
        <v>ERRO</v>
      </c>
      <c r="Z1043"/>
    </row>
    <row r="1044" spans="1:26" ht="15" x14ac:dyDescent="0.25">
      <c r="A1044" s="94"/>
      <c r="B1044" s="32" t="str">
        <f>IF($A1044="","",VLOOKUP($A1044,APOIO!$A:$E,2,FALSE))</f>
        <v/>
      </c>
      <c r="C1044" s="94"/>
      <c r="D1044" s="32" t="str">
        <f>IF($A1044="","",INDEX(APOIO!$D:$D,MATCH(CONCATENATE($A1044,"_",$B1044,"_",$C1044),APOIO!$F:$F,0)))</f>
        <v/>
      </c>
      <c r="E1044" s="31"/>
      <c r="F1044" s="31"/>
      <c r="G1044" s="33"/>
      <c r="H1044" s="105"/>
      <c r="I1044" s="32" t="str">
        <f>IF($A1044="","",VLOOKUP($H1044,APOIO!$L:$M,2,FALSE))</f>
        <v/>
      </c>
      <c r="J1044" s="31"/>
      <c r="K1044" s="32" t="str">
        <f>IF($A1044="","",VLOOKUP($J1044,APOIO!$H:$J,2,FALSE))</f>
        <v/>
      </c>
      <c r="L1044" s="32" t="str">
        <f>IF($A1044="","",VLOOKUP($J1044,APOIO!$H:$J,3,FALSE))</f>
        <v/>
      </c>
      <c r="M1044" s="31"/>
      <c r="N1044" s="34"/>
      <c r="O1044" s="32"/>
      <c r="P1044" s="32"/>
      <c r="Q1044" s="32"/>
      <c r="R1044" s="32"/>
      <c r="S1044" s="35"/>
      <c r="T1044" s="91"/>
      <c r="U1044" s="60"/>
      <c r="V1044" s="36"/>
      <c r="W1044" s="31"/>
      <c r="X1044" s="59"/>
      <c r="Y1044" s="59" t="str">
        <f>IFERROR(VLOOKUP($A1044,APOIO!$A:$A,1,FALSE),"ERRO")</f>
        <v>ERRO</v>
      </c>
      <c r="Z1044"/>
    </row>
    <row r="1045" spans="1:26" ht="15" x14ac:dyDescent="0.25">
      <c r="A1045" s="94"/>
      <c r="B1045" s="32" t="str">
        <f>IF($A1045="","",VLOOKUP($A1045,APOIO!$A:$E,2,FALSE))</f>
        <v/>
      </c>
      <c r="C1045" s="94"/>
      <c r="D1045" s="32" t="str">
        <f>IF($A1045="","",INDEX(APOIO!$D:$D,MATCH(CONCATENATE($A1045,"_",$B1045,"_",$C1045),APOIO!$F:$F,0)))</f>
        <v/>
      </c>
      <c r="E1045" s="31"/>
      <c r="F1045" s="31"/>
      <c r="G1045" s="33"/>
      <c r="H1045" s="105"/>
      <c r="I1045" s="32" t="str">
        <f>IF($A1045="","",VLOOKUP($H1045,APOIO!$L:$M,2,FALSE))</f>
        <v/>
      </c>
      <c r="J1045" s="31"/>
      <c r="K1045" s="32" t="str">
        <f>IF($A1045="","",VLOOKUP($J1045,APOIO!$H:$J,2,FALSE))</f>
        <v/>
      </c>
      <c r="L1045" s="32" t="str">
        <f>IF($A1045="","",VLOOKUP($J1045,APOIO!$H:$J,3,FALSE))</f>
        <v/>
      </c>
      <c r="M1045" s="31"/>
      <c r="N1045" s="34"/>
      <c r="O1045" s="32"/>
      <c r="P1045" s="32"/>
      <c r="Q1045" s="32"/>
      <c r="R1045" s="32"/>
      <c r="S1045" s="35"/>
      <c r="T1045" s="91"/>
      <c r="U1045" s="60"/>
      <c r="V1045" s="36"/>
      <c r="W1045" s="31"/>
      <c r="X1045" s="59"/>
      <c r="Y1045" s="59" t="str">
        <f>IFERROR(VLOOKUP($A1045,APOIO!$A:$A,1,FALSE),"ERRO")</f>
        <v>ERRO</v>
      </c>
      <c r="Z1045"/>
    </row>
    <row r="1046" spans="1:26" ht="15" x14ac:dyDescent="0.25">
      <c r="A1046" s="94"/>
      <c r="B1046" s="32" t="str">
        <f>IF($A1046="","",VLOOKUP($A1046,APOIO!$A:$E,2,FALSE))</f>
        <v/>
      </c>
      <c r="C1046" s="94"/>
      <c r="D1046" s="32" t="str">
        <f>IF($A1046="","",INDEX(APOIO!$D:$D,MATCH(CONCATENATE($A1046,"_",$B1046,"_",$C1046),APOIO!$F:$F,0)))</f>
        <v/>
      </c>
      <c r="E1046" s="31"/>
      <c r="F1046" s="31"/>
      <c r="G1046" s="33"/>
      <c r="H1046" s="105"/>
      <c r="I1046" s="32" t="str">
        <f>IF($A1046="","",VLOOKUP($H1046,APOIO!$L:$M,2,FALSE))</f>
        <v/>
      </c>
      <c r="J1046" s="31"/>
      <c r="K1046" s="32" t="str">
        <f>IF($A1046="","",VLOOKUP($J1046,APOIO!$H:$J,2,FALSE))</f>
        <v/>
      </c>
      <c r="L1046" s="32" t="str">
        <f>IF($A1046="","",VLOOKUP($J1046,APOIO!$H:$J,3,FALSE))</f>
        <v/>
      </c>
      <c r="M1046" s="31"/>
      <c r="N1046" s="34"/>
      <c r="O1046" s="32"/>
      <c r="P1046" s="32"/>
      <c r="Q1046" s="32"/>
      <c r="R1046" s="32"/>
      <c r="S1046" s="35"/>
      <c r="T1046" s="91"/>
      <c r="U1046" s="60"/>
      <c r="V1046" s="36"/>
      <c r="W1046" s="31"/>
      <c r="X1046" s="59"/>
      <c r="Y1046" s="59" t="str">
        <f>IFERROR(VLOOKUP($A1046,APOIO!$A:$A,1,FALSE),"ERRO")</f>
        <v>ERRO</v>
      </c>
      <c r="Z1046"/>
    </row>
    <row r="1047" spans="1:26" ht="15" x14ac:dyDescent="0.25">
      <c r="A1047" s="94"/>
      <c r="B1047" s="32" t="str">
        <f>IF($A1047="","",VLOOKUP($A1047,APOIO!$A:$E,2,FALSE))</f>
        <v/>
      </c>
      <c r="C1047" s="94"/>
      <c r="D1047" s="32" t="str">
        <f>IF($A1047="","",INDEX(APOIO!$D:$D,MATCH(CONCATENATE($A1047,"_",$B1047,"_",$C1047),APOIO!$F:$F,0)))</f>
        <v/>
      </c>
      <c r="E1047" s="31"/>
      <c r="F1047" s="31"/>
      <c r="G1047" s="33"/>
      <c r="H1047" s="105"/>
      <c r="I1047" s="32" t="str">
        <f>IF($A1047="","",VLOOKUP($H1047,APOIO!$L:$M,2,FALSE))</f>
        <v/>
      </c>
      <c r="J1047" s="31"/>
      <c r="K1047" s="32" t="str">
        <f>IF($A1047="","",VLOOKUP($J1047,APOIO!$H:$J,2,FALSE))</f>
        <v/>
      </c>
      <c r="L1047" s="32" t="str">
        <f>IF($A1047="","",VLOOKUP($J1047,APOIO!$H:$J,3,FALSE))</f>
        <v/>
      </c>
      <c r="M1047" s="31"/>
      <c r="N1047" s="34"/>
      <c r="O1047" s="32"/>
      <c r="P1047" s="32"/>
      <c r="Q1047" s="32"/>
      <c r="R1047" s="32"/>
      <c r="S1047" s="35"/>
      <c r="T1047" s="91"/>
      <c r="U1047" s="60"/>
      <c r="V1047" s="36"/>
      <c r="W1047" s="31"/>
      <c r="X1047" s="59"/>
      <c r="Y1047" s="59" t="str">
        <f>IFERROR(VLOOKUP($A1047,APOIO!$A:$A,1,FALSE),"ERRO")</f>
        <v>ERRO</v>
      </c>
      <c r="Z1047"/>
    </row>
    <row r="1048" spans="1:26" ht="15" x14ac:dyDescent="0.25">
      <c r="A1048" s="94"/>
      <c r="B1048" s="32" t="str">
        <f>IF($A1048="","",VLOOKUP($A1048,APOIO!$A:$E,2,FALSE))</f>
        <v/>
      </c>
      <c r="C1048" s="94"/>
      <c r="D1048" s="32" t="str">
        <f>IF($A1048="","",INDEX(APOIO!$D:$D,MATCH(CONCATENATE($A1048,"_",$B1048,"_",$C1048),APOIO!$F:$F,0)))</f>
        <v/>
      </c>
      <c r="E1048" s="31"/>
      <c r="F1048" s="31"/>
      <c r="G1048" s="33"/>
      <c r="H1048" s="105"/>
      <c r="I1048" s="32" t="str">
        <f>IF($A1048="","",VLOOKUP($H1048,APOIO!$L:$M,2,FALSE))</f>
        <v/>
      </c>
      <c r="J1048" s="31"/>
      <c r="K1048" s="32" t="str">
        <f>IF($A1048="","",VLOOKUP($J1048,APOIO!$H:$J,2,FALSE))</f>
        <v/>
      </c>
      <c r="L1048" s="32" t="str">
        <f>IF($A1048="","",VLOOKUP($J1048,APOIO!$H:$J,3,FALSE))</f>
        <v/>
      </c>
      <c r="M1048" s="31"/>
      <c r="N1048" s="34"/>
      <c r="O1048" s="32"/>
      <c r="P1048" s="32"/>
      <c r="Q1048" s="32"/>
      <c r="R1048" s="32"/>
      <c r="S1048" s="35"/>
      <c r="T1048" s="91"/>
      <c r="U1048" s="60"/>
      <c r="V1048" s="36"/>
      <c r="W1048" s="31"/>
      <c r="X1048" s="59"/>
      <c r="Y1048" s="59" t="str">
        <f>IFERROR(VLOOKUP($A1048,APOIO!$A:$A,1,FALSE),"ERRO")</f>
        <v>ERRO</v>
      </c>
      <c r="Z1048"/>
    </row>
    <row r="1049" spans="1:26" ht="15" x14ac:dyDescent="0.25">
      <c r="A1049" s="94"/>
      <c r="B1049" s="32" t="str">
        <f>IF($A1049="","",VLOOKUP($A1049,APOIO!$A:$E,2,FALSE))</f>
        <v/>
      </c>
      <c r="C1049" s="94"/>
      <c r="D1049" s="32" t="str">
        <f>IF($A1049="","",INDEX(APOIO!$D:$D,MATCH(CONCATENATE($A1049,"_",$B1049,"_",$C1049),APOIO!$F:$F,0)))</f>
        <v/>
      </c>
      <c r="E1049" s="31"/>
      <c r="F1049" s="31"/>
      <c r="G1049" s="33"/>
      <c r="H1049" s="105"/>
      <c r="I1049" s="32" t="str">
        <f>IF($A1049="","",VLOOKUP($H1049,APOIO!$L:$M,2,FALSE))</f>
        <v/>
      </c>
      <c r="J1049" s="31"/>
      <c r="K1049" s="32" t="str">
        <f>IF($A1049="","",VLOOKUP($J1049,APOIO!$H:$J,2,FALSE))</f>
        <v/>
      </c>
      <c r="L1049" s="32" t="str">
        <f>IF($A1049="","",VLOOKUP($J1049,APOIO!$H:$J,3,FALSE))</f>
        <v/>
      </c>
      <c r="M1049" s="31"/>
      <c r="N1049" s="34"/>
      <c r="O1049" s="32"/>
      <c r="P1049" s="32"/>
      <c r="Q1049" s="32"/>
      <c r="R1049" s="32"/>
      <c r="S1049" s="35"/>
      <c r="T1049" s="91"/>
      <c r="U1049" s="60"/>
      <c r="V1049" s="36"/>
      <c r="W1049" s="31"/>
      <c r="X1049" s="59"/>
      <c r="Y1049" s="59" t="str">
        <f>IFERROR(VLOOKUP($A1049,APOIO!$A:$A,1,FALSE),"ERRO")</f>
        <v>ERRO</v>
      </c>
      <c r="Z1049"/>
    </row>
    <row r="1050" spans="1:26" ht="15" x14ac:dyDescent="0.25">
      <c r="A1050" s="94"/>
      <c r="B1050" s="32" t="str">
        <f>IF($A1050="","",VLOOKUP($A1050,APOIO!$A:$E,2,FALSE))</f>
        <v/>
      </c>
      <c r="C1050" s="94"/>
      <c r="D1050" s="32" t="str">
        <f>IF($A1050="","",INDEX(APOIO!$D:$D,MATCH(CONCATENATE($A1050,"_",$B1050,"_",$C1050),APOIO!$F:$F,0)))</f>
        <v/>
      </c>
      <c r="E1050" s="31"/>
      <c r="F1050" s="31"/>
      <c r="G1050" s="33"/>
      <c r="H1050" s="105"/>
      <c r="I1050" s="32" t="str">
        <f>IF($A1050="","",VLOOKUP($H1050,APOIO!$L:$M,2,FALSE))</f>
        <v/>
      </c>
      <c r="J1050" s="31"/>
      <c r="K1050" s="32" t="str">
        <f>IF($A1050="","",VLOOKUP($J1050,APOIO!$H:$J,2,FALSE))</f>
        <v/>
      </c>
      <c r="L1050" s="32" t="str">
        <f>IF($A1050="","",VLOOKUP($J1050,APOIO!$H:$J,3,FALSE))</f>
        <v/>
      </c>
      <c r="M1050" s="31"/>
      <c r="N1050" s="34"/>
      <c r="O1050" s="32"/>
      <c r="P1050" s="32"/>
      <c r="Q1050" s="32"/>
      <c r="R1050" s="32"/>
      <c r="S1050" s="35"/>
      <c r="T1050" s="91"/>
      <c r="U1050" s="60"/>
      <c r="V1050" s="36"/>
      <c r="W1050" s="31"/>
      <c r="X1050" s="59"/>
      <c r="Y1050" s="59" t="str">
        <f>IFERROR(VLOOKUP($A1050,APOIO!$A:$A,1,FALSE),"ERRO")</f>
        <v>ERRO</v>
      </c>
      <c r="Z1050"/>
    </row>
    <row r="1051" spans="1:26" ht="15" x14ac:dyDescent="0.25">
      <c r="A1051" s="94"/>
      <c r="B1051" s="32" t="str">
        <f>IF($A1051="","",VLOOKUP($A1051,APOIO!$A:$E,2,FALSE))</f>
        <v/>
      </c>
      <c r="C1051" s="94"/>
      <c r="D1051" s="32" t="str">
        <f>IF($A1051="","",INDEX(APOIO!$D:$D,MATCH(CONCATENATE($A1051,"_",$B1051,"_",$C1051),APOIO!$F:$F,0)))</f>
        <v/>
      </c>
      <c r="E1051" s="31"/>
      <c r="F1051" s="31"/>
      <c r="G1051" s="33"/>
      <c r="H1051" s="105"/>
      <c r="I1051" s="32" t="str">
        <f>IF($A1051="","",VLOOKUP($H1051,APOIO!$L:$M,2,FALSE))</f>
        <v/>
      </c>
      <c r="J1051" s="31"/>
      <c r="K1051" s="32" t="str">
        <f>IF($A1051="","",VLOOKUP($J1051,APOIO!$H:$J,2,FALSE))</f>
        <v/>
      </c>
      <c r="L1051" s="32" t="str">
        <f>IF($A1051="","",VLOOKUP($J1051,APOIO!$H:$J,3,FALSE))</f>
        <v/>
      </c>
      <c r="M1051" s="31"/>
      <c r="N1051" s="34"/>
      <c r="O1051" s="32"/>
      <c r="P1051" s="32"/>
      <c r="Q1051" s="32"/>
      <c r="R1051" s="32"/>
      <c r="S1051" s="35"/>
      <c r="T1051" s="91"/>
      <c r="U1051" s="60"/>
      <c r="V1051" s="36"/>
      <c r="W1051" s="31"/>
      <c r="X1051" s="59"/>
      <c r="Y1051" s="59" t="str">
        <f>IFERROR(VLOOKUP($A1051,APOIO!$A:$A,1,FALSE),"ERRO")</f>
        <v>ERRO</v>
      </c>
      <c r="Z1051"/>
    </row>
    <row r="1052" spans="1:26" ht="15" x14ac:dyDescent="0.25">
      <c r="A1052" s="94"/>
      <c r="B1052" s="32" t="str">
        <f>IF($A1052="","",VLOOKUP($A1052,APOIO!$A:$E,2,FALSE))</f>
        <v/>
      </c>
      <c r="C1052" s="94"/>
      <c r="D1052" s="32" t="str">
        <f>IF($A1052="","",INDEX(APOIO!$D:$D,MATCH(CONCATENATE($A1052,"_",$B1052,"_",$C1052),APOIO!$F:$F,0)))</f>
        <v/>
      </c>
      <c r="E1052" s="31"/>
      <c r="F1052" s="31"/>
      <c r="G1052" s="33"/>
      <c r="H1052" s="105"/>
      <c r="I1052" s="32" t="str">
        <f>IF($A1052="","",VLOOKUP($H1052,APOIO!$L:$M,2,FALSE))</f>
        <v/>
      </c>
      <c r="J1052" s="31"/>
      <c r="K1052" s="32" t="str">
        <f>IF($A1052="","",VLOOKUP($J1052,APOIO!$H:$J,2,FALSE))</f>
        <v/>
      </c>
      <c r="L1052" s="32" t="str">
        <f>IF($A1052="","",VLOOKUP($J1052,APOIO!$H:$J,3,FALSE))</f>
        <v/>
      </c>
      <c r="M1052" s="31"/>
      <c r="N1052" s="34"/>
      <c r="O1052" s="32"/>
      <c r="P1052" s="32"/>
      <c r="Q1052" s="32"/>
      <c r="R1052" s="32"/>
      <c r="S1052" s="35"/>
      <c r="T1052" s="91"/>
      <c r="U1052" s="60"/>
      <c r="V1052" s="36"/>
      <c r="W1052" s="31"/>
      <c r="X1052" s="59"/>
      <c r="Y1052" s="59" t="str">
        <f>IFERROR(VLOOKUP($A1052,APOIO!$A:$A,1,FALSE),"ERRO")</f>
        <v>ERRO</v>
      </c>
      <c r="Z1052"/>
    </row>
    <row r="1053" spans="1:26" ht="15" x14ac:dyDescent="0.25">
      <c r="A1053" s="94"/>
      <c r="B1053" s="32" t="str">
        <f>IF($A1053="","",VLOOKUP($A1053,APOIO!$A:$E,2,FALSE))</f>
        <v/>
      </c>
      <c r="C1053" s="94"/>
      <c r="D1053" s="32" t="str">
        <f>IF($A1053="","",INDEX(APOIO!$D:$D,MATCH(CONCATENATE($A1053,"_",$B1053,"_",$C1053),APOIO!$F:$F,0)))</f>
        <v/>
      </c>
      <c r="E1053" s="31"/>
      <c r="F1053" s="31"/>
      <c r="G1053" s="33"/>
      <c r="H1053" s="105"/>
      <c r="I1053" s="32" t="str">
        <f>IF($A1053="","",VLOOKUP($H1053,APOIO!$L:$M,2,FALSE))</f>
        <v/>
      </c>
      <c r="J1053" s="31"/>
      <c r="K1053" s="32" t="str">
        <f>IF($A1053="","",VLOOKUP($J1053,APOIO!$H:$J,2,FALSE))</f>
        <v/>
      </c>
      <c r="L1053" s="32" t="str">
        <f>IF($A1053="","",VLOOKUP($J1053,APOIO!$H:$J,3,FALSE))</f>
        <v/>
      </c>
      <c r="M1053" s="31"/>
      <c r="N1053" s="34"/>
      <c r="O1053" s="32"/>
      <c r="P1053" s="32"/>
      <c r="Q1053" s="32"/>
      <c r="R1053" s="32"/>
      <c r="S1053" s="35"/>
      <c r="T1053" s="91"/>
      <c r="U1053" s="60"/>
      <c r="V1053" s="36"/>
      <c r="W1053" s="31"/>
      <c r="X1053" s="59"/>
      <c r="Y1053" s="59" t="str">
        <f>IFERROR(VLOOKUP($A1053,APOIO!$A:$A,1,FALSE),"ERRO")</f>
        <v>ERRO</v>
      </c>
      <c r="Z1053"/>
    </row>
    <row r="1054" spans="1:26" ht="15" x14ac:dyDescent="0.25">
      <c r="A1054" s="94"/>
      <c r="B1054" s="32" t="str">
        <f>IF($A1054="","",VLOOKUP($A1054,APOIO!$A:$E,2,FALSE))</f>
        <v/>
      </c>
      <c r="C1054" s="94"/>
      <c r="D1054" s="32" t="str">
        <f>IF($A1054="","",INDEX(APOIO!$D:$D,MATCH(CONCATENATE($A1054,"_",$B1054,"_",$C1054),APOIO!$F:$F,0)))</f>
        <v/>
      </c>
      <c r="E1054" s="31"/>
      <c r="F1054" s="31"/>
      <c r="G1054" s="33"/>
      <c r="H1054" s="105"/>
      <c r="I1054" s="32" t="str">
        <f>IF($A1054="","",VLOOKUP($H1054,APOIO!$L:$M,2,FALSE))</f>
        <v/>
      </c>
      <c r="J1054" s="31"/>
      <c r="K1054" s="32" t="str">
        <f>IF($A1054="","",VLOOKUP($J1054,APOIO!$H:$J,2,FALSE))</f>
        <v/>
      </c>
      <c r="L1054" s="32" t="str">
        <f>IF($A1054="","",VLOOKUP($J1054,APOIO!$H:$J,3,FALSE))</f>
        <v/>
      </c>
      <c r="M1054" s="31"/>
      <c r="N1054" s="34"/>
      <c r="O1054" s="32"/>
      <c r="P1054" s="32"/>
      <c r="Q1054" s="32"/>
      <c r="R1054" s="32"/>
      <c r="S1054" s="35"/>
      <c r="T1054" s="91"/>
      <c r="U1054" s="60"/>
      <c r="V1054" s="36"/>
      <c r="W1054" s="31"/>
      <c r="X1054" s="59"/>
      <c r="Y1054" s="59" t="str">
        <f>IFERROR(VLOOKUP($A1054,APOIO!$A:$A,1,FALSE),"ERRO")</f>
        <v>ERRO</v>
      </c>
      <c r="Z1054"/>
    </row>
    <row r="1055" spans="1:26" ht="15" x14ac:dyDescent="0.25">
      <c r="A1055" s="94"/>
      <c r="B1055" s="32" t="str">
        <f>IF($A1055="","",VLOOKUP($A1055,APOIO!$A:$E,2,FALSE))</f>
        <v/>
      </c>
      <c r="C1055" s="94"/>
      <c r="D1055" s="32" t="str">
        <f>IF($A1055="","",INDEX(APOIO!$D:$D,MATCH(CONCATENATE($A1055,"_",$B1055,"_",$C1055),APOIO!$F:$F,0)))</f>
        <v/>
      </c>
      <c r="E1055" s="31"/>
      <c r="F1055" s="31"/>
      <c r="G1055" s="33"/>
      <c r="H1055" s="105"/>
      <c r="I1055" s="32" t="str">
        <f>IF($A1055="","",VLOOKUP($H1055,APOIO!$L:$M,2,FALSE))</f>
        <v/>
      </c>
      <c r="J1055" s="31"/>
      <c r="K1055" s="32" t="str">
        <f>IF($A1055="","",VLOOKUP($J1055,APOIO!$H:$J,2,FALSE))</f>
        <v/>
      </c>
      <c r="L1055" s="32" t="str">
        <f>IF($A1055="","",VLOOKUP($J1055,APOIO!$H:$J,3,FALSE))</f>
        <v/>
      </c>
      <c r="M1055" s="31"/>
      <c r="N1055" s="34"/>
      <c r="O1055" s="32"/>
      <c r="P1055" s="32"/>
      <c r="Q1055" s="32"/>
      <c r="R1055" s="32"/>
      <c r="S1055" s="35"/>
      <c r="T1055" s="91"/>
      <c r="U1055" s="60"/>
      <c r="V1055" s="36"/>
      <c r="W1055" s="31"/>
      <c r="X1055" s="59"/>
      <c r="Y1055" s="59" t="str">
        <f>IFERROR(VLOOKUP($A1055,APOIO!$A:$A,1,FALSE),"ERRO")</f>
        <v>ERRO</v>
      </c>
      <c r="Z1055"/>
    </row>
    <row r="1056" spans="1:26" ht="15" x14ac:dyDescent="0.25">
      <c r="A1056" s="94"/>
      <c r="B1056" s="32" t="str">
        <f>IF($A1056="","",VLOOKUP($A1056,APOIO!$A:$E,2,FALSE))</f>
        <v/>
      </c>
      <c r="C1056" s="94"/>
      <c r="D1056" s="32" t="str">
        <f>IF($A1056="","",INDEX(APOIO!$D:$D,MATCH(CONCATENATE($A1056,"_",$B1056,"_",$C1056),APOIO!$F:$F,0)))</f>
        <v/>
      </c>
      <c r="E1056" s="31"/>
      <c r="F1056" s="31"/>
      <c r="G1056" s="33"/>
      <c r="H1056" s="105"/>
      <c r="I1056" s="32" t="str">
        <f>IF($A1056="","",VLOOKUP($H1056,APOIO!$L:$M,2,FALSE))</f>
        <v/>
      </c>
      <c r="J1056" s="31"/>
      <c r="K1056" s="32" t="str">
        <f>IF($A1056="","",VLOOKUP($J1056,APOIO!$H:$J,2,FALSE))</f>
        <v/>
      </c>
      <c r="L1056" s="32" t="str">
        <f>IF($A1056="","",VLOOKUP($J1056,APOIO!$H:$J,3,FALSE))</f>
        <v/>
      </c>
      <c r="M1056" s="31"/>
      <c r="N1056" s="34"/>
      <c r="O1056" s="32"/>
      <c r="P1056" s="32"/>
      <c r="Q1056" s="32"/>
      <c r="R1056" s="32"/>
      <c r="S1056" s="35"/>
      <c r="T1056" s="91"/>
      <c r="U1056" s="60"/>
      <c r="V1056" s="36"/>
      <c r="W1056" s="31"/>
      <c r="X1056" s="59"/>
      <c r="Y1056" s="59" t="str">
        <f>IFERROR(VLOOKUP($A1056,APOIO!$A:$A,1,FALSE),"ERRO")</f>
        <v>ERRO</v>
      </c>
      <c r="Z1056"/>
    </row>
    <row r="1057" spans="1:26" ht="15" x14ac:dyDescent="0.25">
      <c r="A1057" s="94"/>
      <c r="B1057" s="32" t="str">
        <f>IF($A1057="","",VLOOKUP($A1057,APOIO!$A:$E,2,FALSE))</f>
        <v/>
      </c>
      <c r="C1057" s="94"/>
      <c r="D1057" s="32" t="str">
        <f>IF($A1057="","",INDEX(APOIO!$D:$D,MATCH(CONCATENATE($A1057,"_",$B1057,"_",$C1057),APOIO!$F:$F,0)))</f>
        <v/>
      </c>
      <c r="E1057" s="31"/>
      <c r="F1057" s="31"/>
      <c r="G1057" s="33"/>
      <c r="H1057" s="105"/>
      <c r="I1057" s="32" t="str">
        <f>IF($A1057="","",VLOOKUP($H1057,APOIO!$L:$M,2,FALSE))</f>
        <v/>
      </c>
      <c r="J1057" s="31"/>
      <c r="K1057" s="32" t="str">
        <f>IF($A1057="","",VLOOKUP($J1057,APOIO!$H:$J,2,FALSE))</f>
        <v/>
      </c>
      <c r="L1057" s="32" t="str">
        <f>IF($A1057="","",VLOOKUP($J1057,APOIO!$H:$J,3,FALSE))</f>
        <v/>
      </c>
      <c r="M1057" s="31"/>
      <c r="N1057" s="34"/>
      <c r="O1057" s="32"/>
      <c r="P1057" s="32"/>
      <c r="Q1057" s="32"/>
      <c r="R1057" s="32"/>
      <c r="S1057" s="35"/>
      <c r="T1057" s="91"/>
      <c r="U1057" s="60"/>
      <c r="V1057" s="36"/>
      <c r="W1057" s="31"/>
      <c r="X1057" s="59"/>
      <c r="Y1057" s="59" t="str">
        <f>IFERROR(VLOOKUP($A1057,APOIO!$A:$A,1,FALSE),"ERRO")</f>
        <v>ERRO</v>
      </c>
      <c r="Z1057"/>
    </row>
    <row r="1058" spans="1:26" ht="15" x14ac:dyDescent="0.25">
      <c r="A1058" s="94"/>
      <c r="B1058" s="32" t="str">
        <f>IF($A1058="","",VLOOKUP($A1058,APOIO!$A:$E,2,FALSE))</f>
        <v/>
      </c>
      <c r="C1058" s="94"/>
      <c r="D1058" s="32" t="str">
        <f>IF($A1058="","",INDEX(APOIO!$D:$D,MATCH(CONCATENATE($A1058,"_",$B1058,"_",$C1058),APOIO!$F:$F,0)))</f>
        <v/>
      </c>
      <c r="E1058" s="31"/>
      <c r="F1058" s="31"/>
      <c r="G1058" s="33"/>
      <c r="H1058" s="105"/>
      <c r="I1058" s="32" t="str">
        <f>IF($A1058="","",VLOOKUP($H1058,APOIO!$L:$M,2,FALSE))</f>
        <v/>
      </c>
      <c r="J1058" s="31"/>
      <c r="K1058" s="32" t="str">
        <f>IF($A1058="","",VLOOKUP($J1058,APOIO!$H:$J,2,FALSE))</f>
        <v/>
      </c>
      <c r="L1058" s="32" t="str">
        <f>IF($A1058="","",VLOOKUP($J1058,APOIO!$H:$J,3,FALSE))</f>
        <v/>
      </c>
      <c r="M1058" s="31"/>
      <c r="N1058" s="34"/>
      <c r="O1058" s="32"/>
      <c r="P1058" s="32"/>
      <c r="Q1058" s="32"/>
      <c r="R1058" s="32"/>
      <c r="S1058" s="35"/>
      <c r="T1058" s="91"/>
      <c r="U1058" s="60"/>
      <c r="V1058" s="36"/>
      <c r="W1058" s="31"/>
      <c r="X1058" s="59"/>
      <c r="Y1058" s="59" t="str">
        <f>IFERROR(VLOOKUP($A1058,APOIO!$A:$A,1,FALSE),"ERRO")</f>
        <v>ERRO</v>
      </c>
      <c r="Z1058"/>
    </row>
    <row r="1059" spans="1:26" ht="15" x14ac:dyDescent="0.25">
      <c r="A1059" s="94"/>
      <c r="B1059" s="32" t="str">
        <f>IF($A1059="","",VLOOKUP($A1059,APOIO!$A:$E,2,FALSE))</f>
        <v/>
      </c>
      <c r="C1059" s="94"/>
      <c r="D1059" s="32" t="str">
        <f>IF($A1059="","",INDEX(APOIO!$D:$D,MATCH(CONCATENATE($A1059,"_",$B1059,"_",$C1059),APOIO!$F:$F,0)))</f>
        <v/>
      </c>
      <c r="E1059" s="31"/>
      <c r="F1059" s="31"/>
      <c r="G1059" s="33"/>
      <c r="H1059" s="105"/>
      <c r="I1059" s="32" t="str">
        <f>IF($A1059="","",VLOOKUP($H1059,APOIO!$L:$M,2,FALSE))</f>
        <v/>
      </c>
      <c r="J1059" s="31"/>
      <c r="K1059" s="32" t="str">
        <f>IF($A1059="","",VLOOKUP($J1059,APOIO!$H:$J,2,FALSE))</f>
        <v/>
      </c>
      <c r="L1059" s="32" t="str">
        <f>IF($A1059="","",VLOOKUP($J1059,APOIO!$H:$J,3,FALSE))</f>
        <v/>
      </c>
      <c r="M1059" s="31"/>
      <c r="N1059" s="34"/>
      <c r="O1059" s="32"/>
      <c r="P1059" s="32"/>
      <c r="Q1059" s="32"/>
      <c r="R1059" s="32"/>
      <c r="S1059" s="35"/>
      <c r="T1059" s="91"/>
      <c r="U1059" s="60"/>
      <c r="V1059" s="36"/>
      <c r="W1059" s="31"/>
      <c r="X1059" s="59"/>
      <c r="Y1059" s="59" t="str">
        <f>IFERROR(VLOOKUP($A1059,APOIO!$A:$A,1,FALSE),"ERRO")</f>
        <v>ERRO</v>
      </c>
      <c r="Z1059"/>
    </row>
    <row r="1060" spans="1:26" ht="15" x14ac:dyDescent="0.25">
      <c r="A1060" s="94"/>
      <c r="B1060" s="32" t="str">
        <f>IF($A1060="","",VLOOKUP($A1060,APOIO!$A:$E,2,FALSE))</f>
        <v/>
      </c>
      <c r="C1060" s="94"/>
      <c r="D1060" s="32" t="str">
        <f>IF($A1060="","",INDEX(APOIO!$D:$D,MATCH(CONCATENATE($A1060,"_",$B1060,"_",$C1060),APOIO!$F:$F,0)))</f>
        <v/>
      </c>
      <c r="E1060" s="31"/>
      <c r="F1060" s="31"/>
      <c r="G1060" s="33"/>
      <c r="H1060" s="105"/>
      <c r="I1060" s="32" t="str">
        <f>IF($A1060="","",VLOOKUP($H1060,APOIO!$L:$M,2,FALSE))</f>
        <v/>
      </c>
      <c r="J1060" s="31"/>
      <c r="K1060" s="32" t="str">
        <f>IF($A1060="","",VLOOKUP($J1060,APOIO!$H:$J,2,FALSE))</f>
        <v/>
      </c>
      <c r="L1060" s="32" t="str">
        <f>IF($A1060="","",VLOOKUP($J1060,APOIO!$H:$J,3,FALSE))</f>
        <v/>
      </c>
      <c r="M1060" s="31"/>
      <c r="N1060" s="34"/>
      <c r="O1060" s="32"/>
      <c r="P1060" s="32"/>
      <c r="Q1060" s="32"/>
      <c r="R1060" s="32"/>
      <c r="S1060" s="35"/>
      <c r="T1060" s="91"/>
      <c r="U1060" s="60"/>
      <c r="V1060" s="36"/>
      <c r="W1060" s="31"/>
      <c r="X1060" s="59"/>
      <c r="Y1060" s="59" t="str">
        <f>IFERROR(VLOOKUP($A1060,APOIO!$A:$A,1,FALSE),"ERRO")</f>
        <v>ERRO</v>
      </c>
      <c r="Z1060"/>
    </row>
    <row r="1061" spans="1:26" ht="15" x14ac:dyDescent="0.25">
      <c r="A1061" s="94"/>
      <c r="B1061" s="32" t="str">
        <f>IF($A1061="","",VLOOKUP($A1061,APOIO!$A:$E,2,FALSE))</f>
        <v/>
      </c>
      <c r="C1061" s="94"/>
      <c r="D1061" s="32" t="str">
        <f>IF($A1061="","",INDEX(APOIO!$D:$D,MATCH(CONCATENATE($A1061,"_",$B1061,"_",$C1061),APOIO!$F:$F,0)))</f>
        <v/>
      </c>
      <c r="E1061" s="31"/>
      <c r="F1061" s="31"/>
      <c r="G1061" s="33"/>
      <c r="H1061" s="105"/>
      <c r="I1061" s="32" t="str">
        <f>IF($A1061="","",VLOOKUP($H1061,APOIO!$L:$M,2,FALSE))</f>
        <v/>
      </c>
      <c r="J1061" s="31"/>
      <c r="K1061" s="32" t="str">
        <f>IF($A1061="","",VLOOKUP($J1061,APOIO!$H:$J,2,FALSE))</f>
        <v/>
      </c>
      <c r="L1061" s="32" t="str">
        <f>IF($A1061="","",VLOOKUP($J1061,APOIO!$H:$J,3,FALSE))</f>
        <v/>
      </c>
      <c r="M1061" s="31"/>
      <c r="N1061" s="34"/>
      <c r="O1061" s="32"/>
      <c r="P1061" s="32"/>
      <c r="Q1061" s="32"/>
      <c r="R1061" s="32"/>
      <c r="S1061" s="35"/>
      <c r="T1061" s="91"/>
      <c r="U1061" s="60"/>
      <c r="V1061" s="36"/>
      <c r="W1061" s="31"/>
      <c r="X1061" s="59"/>
      <c r="Y1061" s="59" t="str">
        <f>IFERROR(VLOOKUP($A1061,APOIO!$A:$A,1,FALSE),"ERRO")</f>
        <v>ERRO</v>
      </c>
      <c r="Z1061"/>
    </row>
    <row r="1062" spans="1:26" ht="15" x14ac:dyDescent="0.25">
      <c r="A1062" s="94"/>
      <c r="B1062" s="32" t="str">
        <f>IF($A1062="","",VLOOKUP($A1062,APOIO!$A:$E,2,FALSE))</f>
        <v/>
      </c>
      <c r="C1062" s="94"/>
      <c r="D1062" s="32" t="str">
        <f>IF($A1062="","",INDEX(APOIO!$D:$D,MATCH(CONCATENATE($A1062,"_",$B1062,"_",$C1062),APOIO!$F:$F,0)))</f>
        <v/>
      </c>
      <c r="E1062" s="31"/>
      <c r="F1062" s="31"/>
      <c r="G1062" s="33"/>
      <c r="H1062" s="105"/>
      <c r="I1062" s="32" t="str">
        <f>IF($A1062="","",VLOOKUP($H1062,APOIO!$L:$M,2,FALSE))</f>
        <v/>
      </c>
      <c r="J1062" s="31"/>
      <c r="K1062" s="32" t="str">
        <f>IF($A1062="","",VLOOKUP($J1062,APOIO!$H:$J,2,FALSE))</f>
        <v/>
      </c>
      <c r="L1062" s="32" t="str">
        <f>IF($A1062="","",VLOOKUP($J1062,APOIO!$H:$J,3,FALSE))</f>
        <v/>
      </c>
      <c r="M1062" s="31"/>
      <c r="N1062" s="34"/>
      <c r="O1062" s="32"/>
      <c r="P1062" s="32"/>
      <c r="Q1062" s="32"/>
      <c r="R1062" s="32"/>
      <c r="S1062" s="35"/>
      <c r="T1062" s="91"/>
      <c r="U1062" s="60"/>
      <c r="V1062" s="36"/>
      <c r="W1062" s="31"/>
      <c r="X1062" s="59"/>
      <c r="Y1062" s="59" t="str">
        <f>IFERROR(VLOOKUP($A1062,APOIO!$A:$A,1,FALSE),"ERRO")</f>
        <v>ERRO</v>
      </c>
      <c r="Z1062"/>
    </row>
    <row r="1063" spans="1:26" ht="15" x14ac:dyDescent="0.25">
      <c r="A1063" s="94"/>
      <c r="B1063" s="32" t="str">
        <f>IF($A1063="","",VLOOKUP($A1063,APOIO!$A:$E,2,FALSE))</f>
        <v/>
      </c>
      <c r="C1063" s="94"/>
      <c r="D1063" s="32" t="str">
        <f>IF($A1063="","",INDEX(APOIO!$D:$D,MATCH(CONCATENATE($A1063,"_",$B1063,"_",$C1063),APOIO!$F:$F,0)))</f>
        <v/>
      </c>
      <c r="E1063" s="31"/>
      <c r="F1063" s="31"/>
      <c r="G1063" s="33"/>
      <c r="H1063" s="105"/>
      <c r="I1063" s="32" t="str">
        <f>IF($A1063="","",VLOOKUP($H1063,APOIO!$L:$M,2,FALSE))</f>
        <v/>
      </c>
      <c r="J1063" s="31"/>
      <c r="K1063" s="32" t="str">
        <f>IF($A1063="","",VLOOKUP($J1063,APOIO!$H:$J,2,FALSE))</f>
        <v/>
      </c>
      <c r="L1063" s="32" t="str">
        <f>IF($A1063="","",VLOOKUP($J1063,APOIO!$H:$J,3,FALSE))</f>
        <v/>
      </c>
      <c r="M1063" s="31"/>
      <c r="N1063" s="34"/>
      <c r="O1063" s="32"/>
      <c r="P1063" s="32"/>
      <c r="Q1063" s="32"/>
      <c r="R1063" s="32"/>
      <c r="S1063" s="35"/>
      <c r="T1063" s="91"/>
      <c r="U1063" s="60"/>
      <c r="V1063" s="36"/>
      <c r="W1063" s="31"/>
      <c r="X1063" s="59"/>
      <c r="Y1063" s="59" t="str">
        <f>IFERROR(VLOOKUP($A1063,APOIO!$A:$A,1,FALSE),"ERRO")</f>
        <v>ERRO</v>
      </c>
      <c r="Z1063"/>
    </row>
    <row r="1064" spans="1:26" ht="15" x14ac:dyDescent="0.25">
      <c r="A1064" s="94"/>
      <c r="B1064" s="32" t="str">
        <f>IF($A1064="","",VLOOKUP($A1064,APOIO!$A:$E,2,FALSE))</f>
        <v/>
      </c>
      <c r="C1064" s="94"/>
      <c r="D1064" s="32" t="str">
        <f>IF($A1064="","",INDEX(APOIO!$D:$D,MATCH(CONCATENATE($A1064,"_",$B1064,"_",$C1064),APOIO!$F:$F,0)))</f>
        <v/>
      </c>
      <c r="E1064" s="31"/>
      <c r="F1064" s="31"/>
      <c r="G1064" s="33"/>
      <c r="H1064" s="105"/>
      <c r="I1064" s="32" t="str">
        <f>IF($A1064="","",VLOOKUP($H1064,APOIO!$L:$M,2,FALSE))</f>
        <v/>
      </c>
      <c r="J1064" s="31"/>
      <c r="K1064" s="32" t="str">
        <f>IF($A1064="","",VLOOKUP($J1064,APOIO!$H:$J,2,FALSE))</f>
        <v/>
      </c>
      <c r="L1064" s="32" t="str">
        <f>IF($A1064="","",VLOOKUP($J1064,APOIO!$H:$J,3,FALSE))</f>
        <v/>
      </c>
      <c r="M1064" s="31"/>
      <c r="N1064" s="34"/>
      <c r="O1064" s="32"/>
      <c r="P1064" s="32"/>
      <c r="Q1064" s="32"/>
      <c r="R1064" s="32"/>
      <c r="S1064" s="35"/>
      <c r="T1064" s="91"/>
      <c r="U1064" s="60"/>
      <c r="V1064" s="36"/>
      <c r="W1064" s="31"/>
      <c r="X1064" s="59"/>
      <c r="Y1064" s="59" t="str">
        <f>IFERROR(VLOOKUP($A1064,APOIO!$A:$A,1,FALSE),"ERRO")</f>
        <v>ERRO</v>
      </c>
      <c r="Z1064"/>
    </row>
    <row r="1065" spans="1:26" ht="15" x14ac:dyDescent="0.25">
      <c r="A1065" s="94"/>
      <c r="B1065" s="32" t="str">
        <f>IF($A1065="","",VLOOKUP($A1065,APOIO!$A:$E,2,FALSE))</f>
        <v/>
      </c>
      <c r="C1065" s="94"/>
      <c r="D1065" s="32" t="str">
        <f>IF($A1065="","",INDEX(APOIO!$D:$D,MATCH(CONCATENATE($A1065,"_",$B1065,"_",$C1065),APOIO!$F:$F,0)))</f>
        <v/>
      </c>
      <c r="E1065" s="31"/>
      <c r="F1065" s="31"/>
      <c r="G1065" s="33"/>
      <c r="H1065" s="105"/>
      <c r="I1065" s="32" t="str">
        <f>IF($A1065="","",VLOOKUP($H1065,APOIO!$L:$M,2,FALSE))</f>
        <v/>
      </c>
      <c r="J1065" s="31"/>
      <c r="K1065" s="32" t="str">
        <f>IF($A1065="","",VLOOKUP($J1065,APOIO!$H:$J,2,FALSE))</f>
        <v/>
      </c>
      <c r="L1065" s="32" t="str">
        <f>IF($A1065="","",VLOOKUP($J1065,APOIO!$H:$J,3,FALSE))</f>
        <v/>
      </c>
      <c r="M1065" s="31"/>
      <c r="N1065" s="34"/>
      <c r="O1065" s="32"/>
      <c r="P1065" s="32"/>
      <c r="Q1065" s="32"/>
      <c r="R1065" s="32"/>
      <c r="S1065" s="35"/>
      <c r="T1065" s="91"/>
      <c r="U1065" s="60"/>
      <c r="V1065" s="36"/>
      <c r="W1065" s="31"/>
      <c r="X1065" s="59"/>
      <c r="Y1065" s="59" t="str">
        <f>IFERROR(VLOOKUP($A1065,APOIO!$A:$A,1,FALSE),"ERRO")</f>
        <v>ERRO</v>
      </c>
      <c r="Z1065"/>
    </row>
    <row r="1066" spans="1:26" ht="15" x14ac:dyDescent="0.25">
      <c r="A1066" s="94"/>
      <c r="B1066" s="32" t="str">
        <f>IF($A1066="","",VLOOKUP($A1066,APOIO!$A:$E,2,FALSE))</f>
        <v/>
      </c>
      <c r="C1066" s="94"/>
      <c r="D1066" s="32" t="str">
        <f>IF($A1066="","",INDEX(APOIO!$D:$D,MATCH(CONCATENATE($A1066,"_",$B1066,"_",$C1066),APOIO!$F:$F,0)))</f>
        <v/>
      </c>
      <c r="E1066" s="31"/>
      <c r="F1066" s="31"/>
      <c r="G1066" s="33"/>
      <c r="H1066" s="105"/>
      <c r="I1066" s="32" t="str">
        <f>IF($A1066="","",VLOOKUP($H1066,APOIO!$L:$M,2,FALSE))</f>
        <v/>
      </c>
      <c r="J1066" s="31"/>
      <c r="K1066" s="32" t="str">
        <f>IF($A1066="","",VLOOKUP($J1066,APOIO!$H:$J,2,FALSE))</f>
        <v/>
      </c>
      <c r="L1066" s="32" t="str">
        <f>IF($A1066="","",VLOOKUP($J1066,APOIO!$H:$J,3,FALSE))</f>
        <v/>
      </c>
      <c r="M1066" s="31"/>
      <c r="N1066" s="34"/>
      <c r="O1066" s="32"/>
      <c r="P1066" s="32"/>
      <c r="Q1066" s="32"/>
      <c r="R1066" s="32"/>
      <c r="S1066" s="35"/>
      <c r="T1066" s="91"/>
      <c r="U1066" s="60"/>
      <c r="V1066" s="36"/>
      <c r="W1066" s="31"/>
      <c r="X1066" s="59"/>
      <c r="Y1066" s="59" t="str">
        <f>IFERROR(VLOOKUP($A1066,APOIO!$A:$A,1,FALSE),"ERRO")</f>
        <v>ERRO</v>
      </c>
      <c r="Z1066"/>
    </row>
    <row r="1067" spans="1:26" ht="15" x14ac:dyDescent="0.25">
      <c r="A1067" s="94"/>
      <c r="B1067" s="32" t="str">
        <f>IF($A1067="","",VLOOKUP($A1067,APOIO!$A:$E,2,FALSE))</f>
        <v/>
      </c>
      <c r="C1067" s="94"/>
      <c r="D1067" s="32" t="str">
        <f>IF($A1067="","",INDEX(APOIO!$D:$D,MATCH(CONCATENATE($A1067,"_",$B1067,"_",$C1067),APOIO!$F:$F,0)))</f>
        <v/>
      </c>
      <c r="E1067" s="31"/>
      <c r="F1067" s="31"/>
      <c r="G1067" s="33"/>
      <c r="H1067" s="105"/>
      <c r="I1067" s="32" t="str">
        <f>IF($A1067="","",VLOOKUP($H1067,APOIO!$L:$M,2,FALSE))</f>
        <v/>
      </c>
      <c r="J1067" s="31"/>
      <c r="K1067" s="32" t="str">
        <f>IF($A1067="","",VLOOKUP($J1067,APOIO!$H:$J,2,FALSE))</f>
        <v/>
      </c>
      <c r="L1067" s="32" t="str">
        <f>IF($A1067="","",VLOOKUP($J1067,APOIO!$H:$J,3,FALSE))</f>
        <v/>
      </c>
      <c r="M1067" s="31"/>
      <c r="N1067" s="34"/>
      <c r="O1067" s="32"/>
      <c r="P1067" s="32"/>
      <c r="Q1067" s="32"/>
      <c r="R1067" s="32"/>
      <c r="S1067" s="35"/>
      <c r="T1067" s="91"/>
      <c r="U1067" s="60"/>
      <c r="V1067" s="36"/>
      <c r="W1067" s="31"/>
      <c r="X1067" s="59"/>
      <c r="Y1067" s="59" t="str">
        <f>IFERROR(VLOOKUP($A1067,APOIO!$A:$A,1,FALSE),"ERRO")</f>
        <v>ERRO</v>
      </c>
      <c r="Z1067"/>
    </row>
    <row r="1068" spans="1:26" ht="15" x14ac:dyDescent="0.25">
      <c r="A1068" s="94"/>
      <c r="B1068" s="32" t="str">
        <f>IF($A1068="","",VLOOKUP($A1068,APOIO!$A:$E,2,FALSE))</f>
        <v/>
      </c>
      <c r="C1068" s="94"/>
      <c r="D1068" s="32" t="str">
        <f>IF($A1068="","",INDEX(APOIO!$D:$D,MATCH(CONCATENATE($A1068,"_",$B1068,"_",$C1068),APOIO!$F:$F,0)))</f>
        <v/>
      </c>
      <c r="E1068" s="31"/>
      <c r="F1068" s="31"/>
      <c r="G1068" s="33"/>
      <c r="H1068" s="105"/>
      <c r="I1068" s="32" t="str">
        <f>IF($A1068="","",VLOOKUP($H1068,APOIO!$L:$M,2,FALSE))</f>
        <v/>
      </c>
      <c r="J1068" s="31"/>
      <c r="K1068" s="32" t="str">
        <f>IF($A1068="","",VLOOKUP($J1068,APOIO!$H:$J,2,FALSE))</f>
        <v/>
      </c>
      <c r="L1068" s="32" t="str">
        <f>IF($A1068="","",VLOOKUP($J1068,APOIO!$H:$J,3,FALSE))</f>
        <v/>
      </c>
      <c r="M1068" s="31"/>
      <c r="N1068" s="34"/>
      <c r="O1068" s="32"/>
      <c r="P1068" s="32"/>
      <c r="Q1068" s="32"/>
      <c r="R1068" s="32"/>
      <c r="S1068" s="35"/>
      <c r="T1068" s="91"/>
      <c r="U1068" s="60"/>
      <c r="V1068" s="36"/>
      <c r="W1068" s="31"/>
      <c r="X1068" s="59"/>
      <c r="Y1068" s="59" t="str">
        <f>IFERROR(VLOOKUP($A1068,APOIO!$A:$A,1,FALSE),"ERRO")</f>
        <v>ERRO</v>
      </c>
      <c r="Z1068"/>
    </row>
    <row r="1069" spans="1:26" ht="15" x14ac:dyDescent="0.25">
      <c r="A1069" s="94"/>
      <c r="B1069" s="32" t="str">
        <f>IF($A1069="","",VLOOKUP($A1069,APOIO!$A:$E,2,FALSE))</f>
        <v/>
      </c>
      <c r="C1069" s="94"/>
      <c r="D1069" s="32" t="str">
        <f>IF($A1069="","",INDEX(APOIO!$D:$D,MATCH(CONCATENATE($A1069,"_",$B1069,"_",$C1069),APOIO!$F:$F,0)))</f>
        <v/>
      </c>
      <c r="E1069" s="31"/>
      <c r="F1069" s="31"/>
      <c r="G1069" s="33"/>
      <c r="H1069" s="105"/>
      <c r="I1069" s="32" t="str">
        <f>IF($A1069="","",VLOOKUP($H1069,APOIO!$L:$M,2,FALSE))</f>
        <v/>
      </c>
      <c r="J1069" s="31"/>
      <c r="K1069" s="32" t="str">
        <f>IF($A1069="","",VLOOKUP($J1069,APOIO!$H:$J,2,FALSE))</f>
        <v/>
      </c>
      <c r="L1069" s="32" t="str">
        <f>IF($A1069="","",VLOOKUP($J1069,APOIO!$H:$J,3,FALSE))</f>
        <v/>
      </c>
      <c r="M1069" s="31"/>
      <c r="N1069" s="34"/>
      <c r="O1069" s="32"/>
      <c r="P1069" s="32"/>
      <c r="Q1069" s="32"/>
      <c r="R1069" s="32"/>
      <c r="S1069" s="35"/>
      <c r="T1069" s="91"/>
      <c r="U1069" s="60"/>
      <c r="V1069" s="36"/>
      <c r="W1069" s="31"/>
      <c r="X1069" s="59"/>
      <c r="Y1069" s="59" t="str">
        <f>IFERROR(VLOOKUP($A1069,APOIO!$A:$A,1,FALSE),"ERRO")</f>
        <v>ERRO</v>
      </c>
      <c r="Z1069"/>
    </row>
    <row r="1070" spans="1:26" ht="15" x14ac:dyDescent="0.25">
      <c r="A1070" s="94"/>
      <c r="B1070" s="32" t="str">
        <f>IF($A1070="","",VLOOKUP($A1070,APOIO!$A:$E,2,FALSE))</f>
        <v/>
      </c>
      <c r="C1070" s="94"/>
      <c r="D1070" s="32" t="str">
        <f>IF($A1070="","",INDEX(APOIO!$D:$D,MATCH(CONCATENATE($A1070,"_",$B1070,"_",$C1070),APOIO!$F:$F,0)))</f>
        <v/>
      </c>
      <c r="E1070" s="31"/>
      <c r="F1070" s="31"/>
      <c r="G1070" s="33"/>
      <c r="H1070" s="105"/>
      <c r="I1070" s="32" t="str">
        <f>IF($A1070="","",VLOOKUP($H1070,APOIO!$L:$M,2,FALSE))</f>
        <v/>
      </c>
      <c r="J1070" s="31"/>
      <c r="K1070" s="32" t="str">
        <f>IF($A1070="","",VLOOKUP($J1070,APOIO!$H:$J,2,FALSE))</f>
        <v/>
      </c>
      <c r="L1070" s="32" t="str">
        <f>IF($A1070="","",VLOOKUP($J1070,APOIO!$H:$J,3,FALSE))</f>
        <v/>
      </c>
      <c r="M1070" s="31"/>
      <c r="N1070" s="34"/>
      <c r="O1070" s="32"/>
      <c r="P1070" s="32"/>
      <c r="Q1070" s="32"/>
      <c r="R1070" s="32"/>
      <c r="S1070" s="35"/>
      <c r="T1070" s="91"/>
      <c r="U1070" s="60"/>
      <c r="V1070" s="36"/>
      <c r="W1070" s="31"/>
      <c r="X1070" s="59"/>
      <c r="Y1070" s="59" t="str">
        <f>IFERROR(VLOOKUP($A1070,APOIO!$A:$A,1,FALSE),"ERRO")</f>
        <v>ERRO</v>
      </c>
      <c r="Z1070"/>
    </row>
    <row r="1071" spans="1:26" ht="15" x14ac:dyDescent="0.25">
      <c r="A1071" s="94"/>
      <c r="B1071" s="32" t="str">
        <f>IF($A1071="","",VLOOKUP($A1071,APOIO!$A:$E,2,FALSE))</f>
        <v/>
      </c>
      <c r="C1071" s="94"/>
      <c r="D1071" s="32" t="str">
        <f>IF($A1071="","",INDEX(APOIO!$D:$D,MATCH(CONCATENATE($A1071,"_",$B1071,"_",$C1071),APOIO!$F:$F,0)))</f>
        <v/>
      </c>
      <c r="E1071" s="31"/>
      <c r="F1071" s="31"/>
      <c r="G1071" s="33"/>
      <c r="H1071" s="105"/>
      <c r="I1071" s="32" t="str">
        <f>IF($A1071="","",VLOOKUP($H1071,APOIO!$L:$M,2,FALSE))</f>
        <v/>
      </c>
      <c r="J1071" s="31"/>
      <c r="K1071" s="32" t="str">
        <f>IF($A1071="","",VLOOKUP($J1071,APOIO!$H:$J,2,FALSE))</f>
        <v/>
      </c>
      <c r="L1071" s="32" t="str">
        <f>IF($A1071="","",VLOOKUP($J1071,APOIO!$H:$J,3,FALSE))</f>
        <v/>
      </c>
      <c r="M1071" s="31"/>
      <c r="N1071" s="34"/>
      <c r="O1071" s="32"/>
      <c r="P1071" s="32"/>
      <c r="Q1071" s="32"/>
      <c r="R1071" s="32"/>
      <c r="S1071" s="35"/>
      <c r="T1071" s="91"/>
      <c r="U1071" s="60"/>
      <c r="V1071" s="36"/>
      <c r="W1071" s="31"/>
      <c r="X1071" s="59"/>
      <c r="Y1071" s="59" t="str">
        <f>IFERROR(VLOOKUP($A1071,APOIO!$A:$A,1,FALSE),"ERRO")</f>
        <v>ERRO</v>
      </c>
      <c r="Z1071"/>
    </row>
    <row r="1072" spans="1:26" ht="15" x14ac:dyDescent="0.25">
      <c r="A1072" s="94"/>
      <c r="B1072" s="32" t="str">
        <f>IF($A1072="","",VLOOKUP($A1072,APOIO!$A:$E,2,FALSE))</f>
        <v/>
      </c>
      <c r="C1072" s="94"/>
      <c r="D1072" s="32" t="str">
        <f>IF($A1072="","",INDEX(APOIO!$D:$D,MATCH(CONCATENATE($A1072,"_",$B1072,"_",$C1072),APOIO!$F:$F,0)))</f>
        <v/>
      </c>
      <c r="E1072" s="31"/>
      <c r="F1072" s="31"/>
      <c r="G1072" s="33"/>
      <c r="H1072" s="105"/>
      <c r="I1072" s="32" t="str">
        <f>IF($A1072="","",VLOOKUP($H1072,APOIO!$L:$M,2,FALSE))</f>
        <v/>
      </c>
      <c r="J1072" s="31"/>
      <c r="K1072" s="32" t="str">
        <f>IF($A1072="","",VLOOKUP($J1072,APOIO!$H:$J,2,FALSE))</f>
        <v/>
      </c>
      <c r="L1072" s="32" t="str">
        <f>IF($A1072="","",VLOOKUP($J1072,APOIO!$H:$J,3,FALSE))</f>
        <v/>
      </c>
      <c r="M1072" s="31"/>
      <c r="N1072" s="34"/>
      <c r="O1072" s="32"/>
      <c r="P1072" s="32"/>
      <c r="Q1072" s="32"/>
      <c r="R1072" s="32"/>
      <c r="S1072" s="35"/>
      <c r="T1072" s="91"/>
      <c r="U1072" s="60"/>
      <c r="V1072" s="36"/>
      <c r="W1072" s="31"/>
      <c r="X1072" s="59"/>
      <c r="Y1072" s="59" t="str">
        <f>IFERROR(VLOOKUP($A1072,APOIO!$A:$A,1,FALSE),"ERRO")</f>
        <v>ERRO</v>
      </c>
      <c r="Z1072"/>
    </row>
    <row r="1073" spans="1:26" ht="15" x14ac:dyDescent="0.25">
      <c r="A1073" s="94"/>
      <c r="B1073" s="32" t="str">
        <f>IF($A1073="","",VLOOKUP($A1073,APOIO!$A:$E,2,FALSE))</f>
        <v/>
      </c>
      <c r="C1073" s="94"/>
      <c r="D1073" s="32" t="str">
        <f>IF($A1073="","",INDEX(APOIO!$D:$D,MATCH(CONCATENATE($A1073,"_",$B1073,"_",$C1073),APOIO!$F:$F,0)))</f>
        <v/>
      </c>
      <c r="E1073" s="31"/>
      <c r="F1073" s="31"/>
      <c r="G1073" s="33"/>
      <c r="H1073" s="105"/>
      <c r="I1073" s="32" t="str">
        <f>IF($A1073="","",VLOOKUP($H1073,APOIO!$L:$M,2,FALSE))</f>
        <v/>
      </c>
      <c r="J1073" s="31"/>
      <c r="K1073" s="32" t="str">
        <f>IF($A1073="","",VLOOKUP($J1073,APOIO!$H:$J,2,FALSE))</f>
        <v/>
      </c>
      <c r="L1073" s="32" t="str">
        <f>IF($A1073="","",VLOOKUP($J1073,APOIO!$H:$J,3,FALSE))</f>
        <v/>
      </c>
      <c r="M1073" s="31"/>
      <c r="N1073" s="34"/>
      <c r="O1073" s="32"/>
      <c r="P1073" s="32"/>
      <c r="Q1073" s="32"/>
      <c r="R1073" s="32"/>
      <c r="S1073" s="35"/>
      <c r="T1073" s="91"/>
      <c r="U1073" s="60"/>
      <c r="V1073" s="36"/>
      <c r="W1073" s="31"/>
      <c r="X1073" s="59"/>
      <c r="Y1073" s="59" t="str">
        <f>IFERROR(VLOOKUP($A1073,APOIO!$A:$A,1,FALSE),"ERRO")</f>
        <v>ERRO</v>
      </c>
      <c r="Z1073"/>
    </row>
    <row r="1074" spans="1:26" ht="15" x14ac:dyDescent="0.25">
      <c r="A1074" s="94"/>
      <c r="B1074" s="32" t="str">
        <f>IF($A1074="","",VLOOKUP($A1074,APOIO!$A:$E,2,FALSE))</f>
        <v/>
      </c>
      <c r="C1074" s="94"/>
      <c r="D1074" s="32" t="str">
        <f>IF($A1074="","",INDEX(APOIO!$D:$D,MATCH(CONCATENATE($A1074,"_",$B1074,"_",$C1074),APOIO!$F:$F,0)))</f>
        <v/>
      </c>
      <c r="E1074" s="31"/>
      <c r="F1074" s="31"/>
      <c r="G1074" s="33"/>
      <c r="H1074" s="105"/>
      <c r="I1074" s="32" t="str">
        <f>IF($A1074="","",VLOOKUP($H1074,APOIO!$L:$M,2,FALSE))</f>
        <v/>
      </c>
      <c r="J1074" s="31"/>
      <c r="K1074" s="32" t="str">
        <f>IF($A1074="","",VLOOKUP($J1074,APOIO!$H:$J,2,FALSE))</f>
        <v/>
      </c>
      <c r="L1074" s="32" t="str">
        <f>IF($A1074="","",VLOOKUP($J1074,APOIO!$H:$J,3,FALSE))</f>
        <v/>
      </c>
      <c r="M1074" s="31"/>
      <c r="N1074" s="34"/>
      <c r="O1074" s="32"/>
      <c r="P1074" s="32"/>
      <c r="Q1074" s="32"/>
      <c r="R1074" s="32"/>
      <c r="S1074" s="35"/>
      <c r="T1074" s="91"/>
      <c r="U1074" s="60"/>
      <c r="V1074" s="36"/>
      <c r="W1074" s="31"/>
      <c r="X1074" s="59"/>
      <c r="Y1074" s="59" t="str">
        <f>IFERROR(VLOOKUP($A1074,APOIO!$A:$A,1,FALSE),"ERRO")</f>
        <v>ERRO</v>
      </c>
      <c r="Z1074"/>
    </row>
    <row r="1075" spans="1:26" ht="15" x14ac:dyDescent="0.25">
      <c r="A1075" s="94"/>
      <c r="B1075" s="32" t="str">
        <f>IF($A1075="","",VLOOKUP($A1075,APOIO!$A:$E,2,FALSE))</f>
        <v/>
      </c>
      <c r="C1075" s="94"/>
      <c r="D1075" s="32" t="str">
        <f>IF($A1075="","",INDEX(APOIO!$D:$D,MATCH(CONCATENATE($A1075,"_",$B1075,"_",$C1075),APOIO!$F:$F,0)))</f>
        <v/>
      </c>
      <c r="E1075" s="31"/>
      <c r="F1075" s="31"/>
      <c r="G1075" s="33"/>
      <c r="H1075" s="105"/>
      <c r="I1075" s="32" t="str">
        <f>IF($A1075="","",VLOOKUP($H1075,APOIO!$L:$M,2,FALSE))</f>
        <v/>
      </c>
      <c r="J1075" s="31"/>
      <c r="K1075" s="32" t="str">
        <f>IF($A1075="","",VLOOKUP($J1075,APOIO!$H:$J,2,FALSE))</f>
        <v/>
      </c>
      <c r="L1075" s="32" t="str">
        <f>IF($A1075="","",VLOOKUP($J1075,APOIO!$H:$J,3,FALSE))</f>
        <v/>
      </c>
      <c r="M1075" s="31"/>
      <c r="N1075" s="34"/>
      <c r="O1075" s="32"/>
      <c r="P1075" s="32"/>
      <c r="Q1075" s="32"/>
      <c r="R1075" s="32"/>
      <c r="S1075" s="35"/>
      <c r="T1075" s="91"/>
      <c r="U1075" s="60"/>
      <c r="V1075" s="36"/>
      <c r="W1075" s="31"/>
      <c r="X1075" s="59"/>
      <c r="Y1075" s="59" t="str">
        <f>IFERROR(VLOOKUP($A1075,APOIO!$A:$A,1,FALSE),"ERRO")</f>
        <v>ERRO</v>
      </c>
      <c r="Z1075"/>
    </row>
    <row r="1076" spans="1:26" ht="15" x14ac:dyDescent="0.25">
      <c r="A1076" s="94"/>
      <c r="B1076" s="32" t="str">
        <f>IF($A1076="","",VLOOKUP($A1076,APOIO!$A:$E,2,FALSE))</f>
        <v/>
      </c>
      <c r="C1076" s="94"/>
      <c r="D1076" s="32" t="str">
        <f>IF($A1076="","",INDEX(APOIO!$D:$D,MATCH(CONCATENATE($A1076,"_",$B1076,"_",$C1076),APOIO!$F:$F,0)))</f>
        <v/>
      </c>
      <c r="E1076" s="31"/>
      <c r="F1076" s="31"/>
      <c r="G1076" s="33"/>
      <c r="H1076" s="105"/>
      <c r="I1076" s="32" t="str">
        <f>IF($A1076="","",VLOOKUP($H1076,APOIO!$L:$M,2,FALSE))</f>
        <v/>
      </c>
      <c r="J1076" s="31"/>
      <c r="K1076" s="32" t="str">
        <f>IF($A1076="","",VLOOKUP($J1076,APOIO!$H:$J,2,FALSE))</f>
        <v/>
      </c>
      <c r="L1076" s="32" t="str">
        <f>IF($A1076="","",VLOOKUP($J1076,APOIO!$H:$J,3,FALSE))</f>
        <v/>
      </c>
      <c r="M1076" s="31"/>
      <c r="N1076" s="34"/>
      <c r="O1076" s="32"/>
      <c r="P1076" s="32"/>
      <c r="Q1076" s="32"/>
      <c r="R1076" s="32"/>
      <c r="S1076" s="35"/>
      <c r="T1076" s="91"/>
      <c r="U1076" s="60"/>
      <c r="V1076" s="36"/>
      <c r="W1076" s="31"/>
      <c r="X1076" s="59"/>
      <c r="Y1076" s="59" t="str">
        <f>IFERROR(VLOOKUP($A1076,APOIO!$A:$A,1,FALSE),"ERRO")</f>
        <v>ERRO</v>
      </c>
      <c r="Z1076"/>
    </row>
    <row r="1077" spans="1:26" ht="15" x14ac:dyDescent="0.25">
      <c r="A1077" s="94"/>
      <c r="B1077" s="32" t="str">
        <f>IF($A1077="","",VLOOKUP($A1077,APOIO!$A:$E,2,FALSE))</f>
        <v/>
      </c>
      <c r="C1077" s="94"/>
      <c r="D1077" s="32" t="str">
        <f>IF($A1077="","",INDEX(APOIO!$D:$D,MATCH(CONCATENATE($A1077,"_",$B1077,"_",$C1077),APOIO!$F:$F,0)))</f>
        <v/>
      </c>
      <c r="E1077" s="31"/>
      <c r="F1077" s="31"/>
      <c r="G1077" s="33"/>
      <c r="H1077" s="105"/>
      <c r="I1077" s="32" t="str">
        <f>IF($A1077="","",VLOOKUP($H1077,APOIO!$L:$M,2,FALSE))</f>
        <v/>
      </c>
      <c r="J1077" s="31"/>
      <c r="K1077" s="32" t="str">
        <f>IF($A1077="","",VLOOKUP($J1077,APOIO!$H:$J,2,FALSE))</f>
        <v/>
      </c>
      <c r="L1077" s="32" t="str">
        <f>IF($A1077="","",VLOOKUP($J1077,APOIO!$H:$J,3,FALSE))</f>
        <v/>
      </c>
      <c r="M1077" s="31"/>
      <c r="N1077" s="34"/>
      <c r="O1077" s="32"/>
      <c r="P1077" s="32"/>
      <c r="Q1077" s="32"/>
      <c r="R1077" s="32"/>
      <c r="S1077" s="35"/>
      <c r="T1077" s="91"/>
      <c r="U1077" s="60"/>
      <c r="V1077" s="36"/>
      <c r="W1077" s="31"/>
      <c r="X1077" s="59"/>
      <c r="Y1077" s="59" t="str">
        <f>IFERROR(VLOOKUP($A1077,APOIO!$A:$A,1,FALSE),"ERRO")</f>
        <v>ERRO</v>
      </c>
      <c r="Z1077"/>
    </row>
    <row r="1078" spans="1:26" ht="15" x14ac:dyDescent="0.25">
      <c r="A1078" s="94"/>
      <c r="B1078" s="32" t="str">
        <f>IF($A1078="","",VLOOKUP($A1078,APOIO!$A:$E,2,FALSE))</f>
        <v/>
      </c>
      <c r="C1078" s="94"/>
      <c r="D1078" s="32" t="str">
        <f>IF($A1078="","",INDEX(APOIO!$D:$D,MATCH(CONCATENATE($A1078,"_",$B1078,"_",$C1078),APOIO!$F:$F,0)))</f>
        <v/>
      </c>
      <c r="E1078" s="31"/>
      <c r="F1078" s="31"/>
      <c r="G1078" s="33"/>
      <c r="H1078" s="105"/>
      <c r="I1078" s="32" t="str">
        <f>IF($A1078="","",VLOOKUP($H1078,APOIO!$L:$M,2,FALSE))</f>
        <v/>
      </c>
      <c r="J1078" s="31"/>
      <c r="K1078" s="32" t="str">
        <f>IF($A1078="","",VLOOKUP($J1078,APOIO!$H:$J,2,FALSE))</f>
        <v/>
      </c>
      <c r="L1078" s="32" t="str">
        <f>IF($A1078="","",VLOOKUP($J1078,APOIO!$H:$J,3,FALSE))</f>
        <v/>
      </c>
      <c r="M1078" s="31"/>
      <c r="N1078" s="34"/>
      <c r="O1078" s="32"/>
      <c r="P1078" s="32"/>
      <c r="Q1078" s="32"/>
      <c r="R1078" s="32"/>
      <c r="S1078" s="35"/>
      <c r="T1078" s="91"/>
      <c r="U1078" s="60"/>
      <c r="V1078" s="36"/>
      <c r="W1078" s="31"/>
      <c r="X1078" s="59"/>
      <c r="Y1078" s="59" t="str">
        <f>IFERROR(VLOOKUP($A1078,APOIO!$A:$A,1,FALSE),"ERRO")</f>
        <v>ERRO</v>
      </c>
      <c r="Z1078"/>
    </row>
    <row r="1079" spans="1:26" ht="15" x14ac:dyDescent="0.25">
      <c r="A1079" s="94"/>
      <c r="B1079" s="32" t="str">
        <f>IF($A1079="","",VLOOKUP($A1079,APOIO!$A:$E,2,FALSE))</f>
        <v/>
      </c>
      <c r="C1079" s="94"/>
      <c r="D1079" s="32" t="str">
        <f>IF($A1079="","",INDEX(APOIO!$D:$D,MATCH(CONCATENATE($A1079,"_",$B1079,"_",$C1079),APOIO!$F:$F,0)))</f>
        <v/>
      </c>
      <c r="E1079" s="31"/>
      <c r="F1079" s="31"/>
      <c r="G1079" s="33"/>
      <c r="H1079" s="105"/>
      <c r="I1079" s="32" t="str">
        <f>IF($A1079="","",VLOOKUP($H1079,APOIO!$L:$M,2,FALSE))</f>
        <v/>
      </c>
      <c r="J1079" s="31"/>
      <c r="K1079" s="32" t="str">
        <f>IF($A1079="","",VLOOKUP($J1079,APOIO!$H:$J,2,FALSE))</f>
        <v/>
      </c>
      <c r="L1079" s="32" t="str">
        <f>IF($A1079="","",VLOOKUP($J1079,APOIO!$H:$J,3,FALSE))</f>
        <v/>
      </c>
      <c r="M1079" s="31"/>
      <c r="N1079" s="34"/>
      <c r="O1079" s="32"/>
      <c r="P1079" s="32"/>
      <c r="Q1079" s="32"/>
      <c r="R1079" s="32"/>
      <c r="S1079" s="35"/>
      <c r="T1079" s="91"/>
      <c r="U1079" s="60"/>
      <c r="V1079" s="36"/>
      <c r="W1079" s="31"/>
      <c r="X1079" s="59"/>
      <c r="Y1079" s="59" t="str">
        <f>IFERROR(VLOOKUP($A1079,APOIO!$A:$A,1,FALSE),"ERRO")</f>
        <v>ERRO</v>
      </c>
      <c r="Z1079"/>
    </row>
    <row r="1080" spans="1:26" ht="15" x14ac:dyDescent="0.25">
      <c r="A1080" s="94"/>
      <c r="B1080" s="32" t="str">
        <f>IF($A1080="","",VLOOKUP($A1080,APOIO!$A:$E,2,FALSE))</f>
        <v/>
      </c>
      <c r="C1080" s="94"/>
      <c r="D1080" s="32" t="str">
        <f>IF($A1080="","",INDEX(APOIO!$D:$D,MATCH(CONCATENATE($A1080,"_",$B1080,"_",$C1080),APOIO!$F:$F,0)))</f>
        <v/>
      </c>
      <c r="E1080" s="31"/>
      <c r="F1080" s="31"/>
      <c r="G1080" s="33"/>
      <c r="H1080" s="105"/>
      <c r="I1080" s="32" t="str">
        <f>IF($A1080="","",VLOOKUP($H1080,APOIO!$L:$M,2,FALSE))</f>
        <v/>
      </c>
      <c r="J1080" s="31"/>
      <c r="K1080" s="32" t="str">
        <f>IF($A1080="","",VLOOKUP($J1080,APOIO!$H:$J,2,FALSE))</f>
        <v/>
      </c>
      <c r="L1080" s="32" t="str">
        <f>IF($A1080="","",VLOOKUP($J1080,APOIO!$H:$J,3,FALSE))</f>
        <v/>
      </c>
      <c r="M1080" s="31"/>
      <c r="N1080" s="34"/>
      <c r="O1080" s="32"/>
      <c r="P1080" s="32"/>
      <c r="Q1080" s="32"/>
      <c r="R1080" s="32"/>
      <c r="S1080" s="35"/>
      <c r="T1080" s="91"/>
      <c r="U1080" s="60"/>
      <c r="V1080" s="36"/>
      <c r="W1080" s="31"/>
      <c r="X1080" s="59"/>
      <c r="Y1080" s="59" t="str">
        <f>IFERROR(VLOOKUP($A1080,APOIO!$A:$A,1,FALSE),"ERRO")</f>
        <v>ERRO</v>
      </c>
      <c r="Z1080"/>
    </row>
    <row r="1081" spans="1:26" ht="15" x14ac:dyDescent="0.25">
      <c r="A1081" s="94"/>
      <c r="B1081" s="32" t="str">
        <f>IF($A1081="","",VLOOKUP($A1081,APOIO!$A:$E,2,FALSE))</f>
        <v/>
      </c>
      <c r="C1081" s="94"/>
      <c r="D1081" s="32" t="str">
        <f>IF($A1081="","",INDEX(APOIO!$D:$D,MATCH(CONCATENATE($A1081,"_",$B1081,"_",$C1081),APOIO!$F:$F,0)))</f>
        <v/>
      </c>
      <c r="E1081" s="31"/>
      <c r="F1081" s="31"/>
      <c r="G1081" s="33"/>
      <c r="H1081" s="105"/>
      <c r="I1081" s="32" t="str">
        <f>IF($A1081="","",VLOOKUP($H1081,APOIO!$L:$M,2,FALSE))</f>
        <v/>
      </c>
      <c r="J1081" s="31"/>
      <c r="K1081" s="32" t="str">
        <f>IF($A1081="","",VLOOKUP($J1081,APOIO!$H:$J,2,FALSE))</f>
        <v/>
      </c>
      <c r="L1081" s="32" t="str">
        <f>IF($A1081="","",VLOOKUP($J1081,APOIO!$H:$J,3,FALSE))</f>
        <v/>
      </c>
      <c r="M1081" s="31"/>
      <c r="N1081" s="34"/>
      <c r="O1081" s="32"/>
      <c r="P1081" s="32"/>
      <c r="Q1081" s="32"/>
      <c r="R1081" s="32"/>
      <c r="S1081" s="35"/>
      <c r="T1081" s="91"/>
      <c r="U1081" s="60"/>
      <c r="V1081" s="36"/>
      <c r="W1081" s="31"/>
      <c r="X1081" s="59"/>
      <c r="Y1081" s="59" t="str">
        <f>IFERROR(VLOOKUP($A1081,APOIO!$A:$A,1,FALSE),"ERRO")</f>
        <v>ERRO</v>
      </c>
      <c r="Z1081"/>
    </row>
    <row r="1082" spans="1:26" ht="15" x14ac:dyDescent="0.25">
      <c r="A1082" s="94"/>
      <c r="B1082" s="32" t="str">
        <f>IF($A1082="","",VLOOKUP($A1082,APOIO!$A:$E,2,FALSE))</f>
        <v/>
      </c>
      <c r="C1082" s="94"/>
      <c r="D1082" s="32" t="str">
        <f>IF($A1082="","",INDEX(APOIO!$D:$D,MATCH(CONCATENATE($A1082,"_",$B1082,"_",$C1082),APOIO!$F:$F,0)))</f>
        <v/>
      </c>
      <c r="E1082" s="31"/>
      <c r="F1082" s="31"/>
      <c r="G1082" s="33"/>
      <c r="H1082" s="105"/>
      <c r="I1082" s="32" t="str">
        <f>IF($A1082="","",VLOOKUP($H1082,APOIO!$L:$M,2,FALSE))</f>
        <v/>
      </c>
      <c r="J1082" s="31"/>
      <c r="K1082" s="32" t="str">
        <f>IF($A1082="","",VLOOKUP($J1082,APOIO!$H:$J,2,FALSE))</f>
        <v/>
      </c>
      <c r="L1082" s="32" t="str">
        <f>IF($A1082="","",VLOOKUP($J1082,APOIO!$H:$J,3,FALSE))</f>
        <v/>
      </c>
      <c r="M1082" s="31"/>
      <c r="N1082" s="34"/>
      <c r="O1082" s="32"/>
      <c r="P1082" s="32"/>
      <c r="Q1082" s="32"/>
      <c r="R1082" s="32"/>
      <c r="S1082" s="35"/>
      <c r="T1082" s="91"/>
      <c r="U1082" s="60"/>
      <c r="V1082" s="36"/>
      <c r="W1082" s="31"/>
      <c r="X1082" s="59"/>
      <c r="Y1082" s="59" t="str">
        <f>IFERROR(VLOOKUP($A1082,APOIO!$A:$A,1,FALSE),"ERRO")</f>
        <v>ERRO</v>
      </c>
      <c r="Z1082"/>
    </row>
    <row r="1083" spans="1:26" ht="15" x14ac:dyDescent="0.25">
      <c r="A1083" s="94"/>
      <c r="B1083" s="32" t="str">
        <f>IF($A1083="","",VLOOKUP($A1083,APOIO!$A:$E,2,FALSE))</f>
        <v/>
      </c>
      <c r="C1083" s="94"/>
      <c r="D1083" s="32" t="str">
        <f>IF($A1083="","",INDEX(APOIO!$D:$D,MATCH(CONCATENATE($A1083,"_",$B1083,"_",$C1083),APOIO!$F:$F,0)))</f>
        <v/>
      </c>
      <c r="E1083" s="31"/>
      <c r="F1083" s="31"/>
      <c r="G1083" s="33"/>
      <c r="H1083" s="105"/>
      <c r="I1083" s="32" t="str">
        <f>IF($A1083="","",VLOOKUP($H1083,APOIO!$L:$M,2,FALSE))</f>
        <v/>
      </c>
      <c r="J1083" s="31"/>
      <c r="K1083" s="32" t="str">
        <f>IF($A1083="","",VLOOKUP($J1083,APOIO!$H:$J,2,FALSE))</f>
        <v/>
      </c>
      <c r="L1083" s="32" t="str">
        <f>IF($A1083="","",VLOOKUP($J1083,APOIO!$H:$J,3,FALSE))</f>
        <v/>
      </c>
      <c r="M1083" s="31"/>
      <c r="N1083" s="34"/>
      <c r="O1083" s="32"/>
      <c r="P1083" s="32"/>
      <c r="Q1083" s="32"/>
      <c r="R1083" s="32"/>
      <c r="S1083" s="35"/>
      <c r="T1083" s="91"/>
      <c r="U1083" s="60"/>
      <c r="V1083" s="36"/>
      <c r="W1083" s="31"/>
      <c r="X1083" s="59"/>
      <c r="Y1083" s="59" t="str">
        <f>IFERROR(VLOOKUP($A1083,APOIO!$A:$A,1,FALSE),"ERRO")</f>
        <v>ERRO</v>
      </c>
      <c r="Z1083"/>
    </row>
    <row r="1084" spans="1:26" ht="15" x14ac:dyDescent="0.25">
      <c r="A1084" s="94"/>
      <c r="B1084" s="32" t="str">
        <f>IF($A1084="","",VLOOKUP($A1084,APOIO!$A:$E,2,FALSE))</f>
        <v/>
      </c>
      <c r="C1084" s="94"/>
      <c r="D1084" s="32" t="str">
        <f>IF($A1084="","",INDEX(APOIO!$D:$D,MATCH(CONCATENATE($A1084,"_",$B1084,"_",$C1084),APOIO!$F:$F,0)))</f>
        <v/>
      </c>
      <c r="E1084" s="31"/>
      <c r="F1084" s="31"/>
      <c r="G1084" s="33"/>
      <c r="H1084" s="105"/>
      <c r="I1084" s="32" t="str">
        <f>IF($A1084="","",VLOOKUP($H1084,APOIO!$L:$M,2,FALSE))</f>
        <v/>
      </c>
      <c r="J1084" s="31"/>
      <c r="K1084" s="32" t="str">
        <f>IF($A1084="","",VLOOKUP($J1084,APOIO!$H:$J,2,FALSE))</f>
        <v/>
      </c>
      <c r="L1084" s="32" t="str">
        <f>IF($A1084="","",VLOOKUP($J1084,APOIO!$H:$J,3,FALSE))</f>
        <v/>
      </c>
      <c r="M1084" s="31"/>
      <c r="N1084" s="34"/>
      <c r="O1084" s="32"/>
      <c r="P1084" s="32"/>
      <c r="Q1084" s="32"/>
      <c r="R1084" s="32"/>
      <c r="S1084" s="35"/>
      <c r="T1084" s="91"/>
      <c r="U1084" s="60"/>
      <c r="V1084" s="36"/>
      <c r="W1084" s="31"/>
      <c r="X1084" s="59"/>
      <c r="Y1084" s="59" t="str">
        <f>IFERROR(VLOOKUP($A1084,APOIO!$A:$A,1,FALSE),"ERRO")</f>
        <v>ERRO</v>
      </c>
      <c r="Z1084"/>
    </row>
    <row r="1085" spans="1:26" ht="15" x14ac:dyDescent="0.25">
      <c r="A1085" s="94"/>
      <c r="B1085" s="32" t="str">
        <f>IF($A1085="","",VLOOKUP($A1085,APOIO!$A:$E,2,FALSE))</f>
        <v/>
      </c>
      <c r="C1085" s="94"/>
      <c r="D1085" s="32" t="str">
        <f>IF($A1085="","",INDEX(APOIO!$D:$D,MATCH(CONCATENATE($A1085,"_",$B1085,"_",$C1085),APOIO!$F:$F,0)))</f>
        <v/>
      </c>
      <c r="E1085" s="31"/>
      <c r="F1085" s="31"/>
      <c r="G1085" s="33"/>
      <c r="H1085" s="105"/>
      <c r="I1085" s="32" t="str">
        <f>IF($A1085="","",VLOOKUP($H1085,APOIO!$L:$M,2,FALSE))</f>
        <v/>
      </c>
      <c r="J1085" s="31"/>
      <c r="K1085" s="32" t="str">
        <f>IF($A1085="","",VLOOKUP($J1085,APOIO!$H:$J,2,FALSE))</f>
        <v/>
      </c>
      <c r="L1085" s="32" t="str">
        <f>IF($A1085="","",VLOOKUP($J1085,APOIO!$H:$J,3,FALSE))</f>
        <v/>
      </c>
      <c r="M1085" s="31"/>
      <c r="N1085" s="34"/>
      <c r="O1085" s="32"/>
      <c r="P1085" s="32"/>
      <c r="Q1085" s="32"/>
      <c r="R1085" s="32"/>
      <c r="S1085" s="35"/>
      <c r="T1085" s="91"/>
      <c r="U1085" s="60"/>
      <c r="V1085" s="36"/>
      <c r="W1085" s="31"/>
      <c r="X1085" s="59"/>
      <c r="Y1085" s="59" t="str">
        <f>IFERROR(VLOOKUP($A1085,APOIO!$A:$A,1,FALSE),"ERRO")</f>
        <v>ERRO</v>
      </c>
      <c r="Z1085"/>
    </row>
    <row r="1086" spans="1:26" ht="15" x14ac:dyDescent="0.25">
      <c r="A1086" s="94"/>
      <c r="B1086" s="32" t="str">
        <f>IF($A1086="","",VLOOKUP($A1086,APOIO!$A:$E,2,FALSE))</f>
        <v/>
      </c>
      <c r="C1086" s="94"/>
      <c r="D1086" s="32" t="str">
        <f>IF($A1086="","",INDEX(APOIO!$D:$D,MATCH(CONCATENATE($A1086,"_",$B1086,"_",$C1086),APOIO!$F:$F,0)))</f>
        <v/>
      </c>
      <c r="E1086" s="31"/>
      <c r="F1086" s="31"/>
      <c r="G1086" s="33"/>
      <c r="H1086" s="105"/>
      <c r="I1086" s="32" t="str">
        <f>IF($A1086="","",VLOOKUP($H1086,APOIO!$L:$M,2,FALSE))</f>
        <v/>
      </c>
      <c r="J1086" s="31"/>
      <c r="K1086" s="32" t="str">
        <f>IF($A1086="","",VLOOKUP($J1086,APOIO!$H:$J,2,FALSE))</f>
        <v/>
      </c>
      <c r="L1086" s="32" t="str">
        <f>IF($A1086="","",VLOOKUP($J1086,APOIO!$H:$J,3,FALSE))</f>
        <v/>
      </c>
      <c r="M1086" s="31"/>
      <c r="N1086" s="34"/>
      <c r="O1086" s="32"/>
      <c r="P1086" s="32"/>
      <c r="Q1086" s="32"/>
      <c r="R1086" s="32"/>
      <c r="S1086" s="35"/>
      <c r="T1086" s="91"/>
      <c r="U1086" s="60"/>
      <c r="V1086" s="36"/>
      <c r="W1086" s="31"/>
      <c r="X1086" s="59"/>
      <c r="Y1086" s="59" t="str">
        <f>IFERROR(VLOOKUP($A1086,APOIO!$A:$A,1,FALSE),"ERRO")</f>
        <v>ERRO</v>
      </c>
      <c r="Z1086"/>
    </row>
    <row r="1087" spans="1:26" ht="15" x14ac:dyDescent="0.25">
      <c r="A1087" s="94"/>
      <c r="B1087" s="32" t="str">
        <f>IF($A1087="","",VLOOKUP($A1087,APOIO!$A:$E,2,FALSE))</f>
        <v/>
      </c>
      <c r="C1087" s="94"/>
      <c r="D1087" s="32" t="str">
        <f>IF($A1087="","",INDEX(APOIO!$D:$D,MATCH(CONCATENATE($A1087,"_",$B1087,"_",$C1087),APOIO!$F:$F,0)))</f>
        <v/>
      </c>
      <c r="E1087" s="31"/>
      <c r="F1087" s="31"/>
      <c r="G1087" s="33"/>
      <c r="H1087" s="105"/>
      <c r="I1087" s="32" t="str">
        <f>IF($A1087="","",VLOOKUP($H1087,APOIO!$L:$M,2,FALSE))</f>
        <v/>
      </c>
      <c r="J1087" s="31"/>
      <c r="K1087" s="32" t="str">
        <f>IF($A1087="","",VLOOKUP($J1087,APOIO!$H:$J,2,FALSE))</f>
        <v/>
      </c>
      <c r="L1087" s="32" t="str">
        <f>IF($A1087="","",VLOOKUP($J1087,APOIO!$H:$J,3,FALSE))</f>
        <v/>
      </c>
      <c r="M1087" s="31"/>
      <c r="N1087" s="34"/>
      <c r="O1087" s="32"/>
      <c r="P1087" s="32"/>
      <c r="Q1087" s="32"/>
      <c r="R1087" s="32"/>
      <c r="S1087" s="35"/>
      <c r="T1087" s="91"/>
      <c r="U1087" s="60"/>
      <c r="V1087" s="36"/>
      <c r="W1087" s="31"/>
      <c r="X1087" s="59"/>
      <c r="Y1087" s="59" t="str">
        <f>IFERROR(VLOOKUP($A1087,APOIO!$A:$A,1,FALSE),"ERRO")</f>
        <v>ERRO</v>
      </c>
      <c r="Z1087"/>
    </row>
    <row r="1088" spans="1:26" ht="15" x14ac:dyDescent="0.25">
      <c r="A1088" s="94"/>
      <c r="B1088" s="32" t="str">
        <f>IF($A1088="","",VLOOKUP($A1088,APOIO!$A:$E,2,FALSE))</f>
        <v/>
      </c>
      <c r="C1088" s="94"/>
      <c r="D1088" s="32" t="str">
        <f>IF($A1088="","",INDEX(APOIO!$D:$D,MATCH(CONCATENATE($A1088,"_",$B1088,"_",$C1088),APOIO!$F:$F,0)))</f>
        <v/>
      </c>
      <c r="E1088" s="31"/>
      <c r="F1088" s="31"/>
      <c r="G1088" s="33"/>
      <c r="H1088" s="105"/>
      <c r="I1088" s="32" t="str">
        <f>IF($A1088="","",VLOOKUP($H1088,APOIO!$L:$M,2,FALSE))</f>
        <v/>
      </c>
      <c r="J1088" s="31"/>
      <c r="K1088" s="32" t="str">
        <f>IF($A1088="","",VLOOKUP($J1088,APOIO!$H:$J,2,FALSE))</f>
        <v/>
      </c>
      <c r="L1088" s="32" t="str">
        <f>IF($A1088="","",VLOOKUP($J1088,APOIO!$H:$J,3,FALSE))</f>
        <v/>
      </c>
      <c r="M1088" s="31"/>
      <c r="N1088" s="34"/>
      <c r="O1088" s="32"/>
      <c r="P1088" s="32"/>
      <c r="Q1088" s="32"/>
      <c r="R1088" s="32"/>
      <c r="S1088" s="35"/>
      <c r="T1088" s="91"/>
      <c r="U1088" s="60"/>
      <c r="V1088" s="36"/>
      <c r="W1088" s="31"/>
      <c r="X1088" s="59"/>
      <c r="Y1088" s="59" t="str">
        <f>IFERROR(VLOOKUP($A1088,APOIO!$A:$A,1,FALSE),"ERRO")</f>
        <v>ERRO</v>
      </c>
      <c r="Z1088"/>
    </row>
    <row r="1089" spans="1:26" ht="15" x14ac:dyDescent="0.25">
      <c r="A1089" s="94"/>
      <c r="B1089" s="32" t="str">
        <f>IF($A1089="","",VLOOKUP($A1089,APOIO!$A:$E,2,FALSE))</f>
        <v/>
      </c>
      <c r="C1089" s="94"/>
      <c r="D1089" s="32" t="str">
        <f>IF($A1089="","",INDEX(APOIO!$D:$D,MATCH(CONCATENATE($A1089,"_",$B1089,"_",$C1089),APOIO!$F:$F,0)))</f>
        <v/>
      </c>
      <c r="E1089" s="31"/>
      <c r="F1089" s="31"/>
      <c r="G1089" s="33"/>
      <c r="H1089" s="105"/>
      <c r="I1089" s="32" t="str">
        <f>IF($A1089="","",VLOOKUP($H1089,APOIO!$L:$M,2,FALSE))</f>
        <v/>
      </c>
      <c r="J1089" s="31"/>
      <c r="K1089" s="32" t="str">
        <f>IF($A1089="","",VLOOKUP($J1089,APOIO!$H:$J,2,FALSE))</f>
        <v/>
      </c>
      <c r="L1089" s="32" t="str">
        <f>IF($A1089="","",VLOOKUP($J1089,APOIO!$H:$J,3,FALSE))</f>
        <v/>
      </c>
      <c r="M1089" s="31"/>
      <c r="N1089" s="34"/>
      <c r="O1089" s="32"/>
      <c r="P1089" s="32"/>
      <c r="Q1089" s="32"/>
      <c r="R1089" s="32"/>
      <c r="S1089" s="35"/>
      <c r="T1089" s="91"/>
      <c r="U1089" s="60"/>
      <c r="V1089" s="36"/>
      <c r="W1089" s="31"/>
      <c r="X1089" s="59"/>
      <c r="Y1089" s="59" t="str">
        <f>IFERROR(VLOOKUP($A1089,APOIO!$A:$A,1,FALSE),"ERRO")</f>
        <v>ERRO</v>
      </c>
      <c r="Z1089"/>
    </row>
    <row r="1090" spans="1:26" ht="15" x14ac:dyDescent="0.25">
      <c r="A1090" s="94"/>
      <c r="B1090" s="32" t="str">
        <f>IF($A1090="","",VLOOKUP($A1090,APOIO!$A:$E,2,FALSE))</f>
        <v/>
      </c>
      <c r="C1090" s="94"/>
      <c r="D1090" s="32" t="str">
        <f>IF($A1090="","",INDEX(APOIO!$D:$D,MATCH(CONCATENATE($A1090,"_",$B1090,"_",$C1090),APOIO!$F:$F,0)))</f>
        <v/>
      </c>
      <c r="E1090" s="31"/>
      <c r="F1090" s="31"/>
      <c r="G1090" s="33"/>
      <c r="H1090" s="105"/>
      <c r="I1090" s="32" t="str">
        <f>IF($A1090="","",VLOOKUP($H1090,APOIO!$L:$M,2,FALSE))</f>
        <v/>
      </c>
      <c r="J1090" s="31"/>
      <c r="K1090" s="32" t="str">
        <f>IF($A1090="","",VLOOKUP($J1090,APOIO!$H:$J,2,FALSE))</f>
        <v/>
      </c>
      <c r="L1090" s="32" t="str">
        <f>IF($A1090="","",VLOOKUP($J1090,APOIO!$H:$J,3,FALSE))</f>
        <v/>
      </c>
      <c r="M1090" s="31"/>
      <c r="N1090" s="34"/>
      <c r="O1090" s="32"/>
      <c r="P1090" s="32"/>
      <c r="Q1090" s="32"/>
      <c r="R1090" s="32"/>
      <c r="S1090" s="35"/>
      <c r="T1090" s="91"/>
      <c r="U1090" s="60"/>
      <c r="V1090" s="36"/>
      <c r="W1090" s="31"/>
      <c r="X1090" s="59"/>
      <c r="Y1090" s="59" t="str">
        <f>IFERROR(VLOOKUP($A1090,APOIO!$A:$A,1,FALSE),"ERRO")</f>
        <v>ERRO</v>
      </c>
      <c r="Z1090"/>
    </row>
    <row r="1091" spans="1:26" ht="15" x14ac:dyDescent="0.25">
      <c r="A1091" s="94"/>
      <c r="B1091" s="32" t="str">
        <f>IF($A1091="","",VLOOKUP($A1091,APOIO!$A:$E,2,FALSE))</f>
        <v/>
      </c>
      <c r="C1091" s="94"/>
      <c r="D1091" s="32" t="str">
        <f>IF($A1091="","",INDEX(APOIO!$D:$D,MATCH(CONCATENATE($A1091,"_",$B1091,"_",$C1091),APOIO!$F:$F,0)))</f>
        <v/>
      </c>
      <c r="E1091" s="31"/>
      <c r="F1091" s="31"/>
      <c r="G1091" s="33"/>
      <c r="H1091" s="105"/>
      <c r="I1091" s="32" t="str">
        <f>IF($A1091="","",VLOOKUP($H1091,APOIO!$L:$M,2,FALSE))</f>
        <v/>
      </c>
      <c r="J1091" s="31"/>
      <c r="K1091" s="32" t="str">
        <f>IF($A1091="","",VLOOKUP($J1091,APOIO!$H:$J,2,FALSE))</f>
        <v/>
      </c>
      <c r="L1091" s="32" t="str">
        <f>IF($A1091="","",VLOOKUP($J1091,APOIO!$H:$J,3,FALSE))</f>
        <v/>
      </c>
      <c r="M1091" s="31"/>
      <c r="N1091" s="34"/>
      <c r="O1091" s="32"/>
      <c r="P1091" s="32"/>
      <c r="Q1091" s="32"/>
      <c r="R1091" s="32"/>
      <c r="S1091" s="35"/>
      <c r="T1091" s="91"/>
      <c r="U1091" s="60"/>
      <c r="V1091" s="36"/>
      <c r="W1091" s="31"/>
      <c r="X1091" s="59"/>
      <c r="Y1091" s="59" t="str">
        <f>IFERROR(VLOOKUP($A1091,APOIO!$A:$A,1,FALSE),"ERRO")</f>
        <v>ERRO</v>
      </c>
      <c r="Z1091"/>
    </row>
    <row r="1092" spans="1:26" ht="15" x14ac:dyDescent="0.25">
      <c r="A1092" s="94"/>
      <c r="B1092" s="32" t="str">
        <f>IF($A1092="","",VLOOKUP($A1092,APOIO!$A:$E,2,FALSE))</f>
        <v/>
      </c>
      <c r="C1092" s="94"/>
      <c r="D1092" s="32" t="str">
        <f>IF($A1092="","",INDEX(APOIO!$D:$D,MATCH(CONCATENATE($A1092,"_",$B1092,"_",$C1092),APOIO!$F:$F,0)))</f>
        <v/>
      </c>
      <c r="E1092" s="31"/>
      <c r="F1092" s="31"/>
      <c r="G1092" s="33"/>
      <c r="H1092" s="105"/>
      <c r="I1092" s="32" t="str">
        <f>IF($A1092="","",VLOOKUP($H1092,APOIO!$L:$M,2,FALSE))</f>
        <v/>
      </c>
      <c r="J1092" s="31"/>
      <c r="K1092" s="32" t="str">
        <f>IF($A1092="","",VLOOKUP($J1092,APOIO!$H:$J,2,FALSE))</f>
        <v/>
      </c>
      <c r="L1092" s="32" t="str">
        <f>IF($A1092="","",VLOOKUP($J1092,APOIO!$H:$J,3,FALSE))</f>
        <v/>
      </c>
      <c r="M1092" s="31"/>
      <c r="N1092" s="34"/>
      <c r="O1092" s="32"/>
      <c r="P1092" s="32"/>
      <c r="Q1092" s="32"/>
      <c r="R1092" s="32"/>
      <c r="S1092" s="35"/>
      <c r="T1092" s="91"/>
      <c r="U1092" s="60"/>
      <c r="V1092" s="36"/>
      <c r="W1092" s="31"/>
      <c r="X1092" s="59"/>
      <c r="Y1092" s="59" t="str">
        <f>IFERROR(VLOOKUP($A1092,APOIO!$A:$A,1,FALSE),"ERRO")</f>
        <v>ERRO</v>
      </c>
      <c r="Z1092"/>
    </row>
    <row r="1093" spans="1:26" ht="15" x14ac:dyDescent="0.25">
      <c r="A1093" s="94"/>
      <c r="B1093" s="32" t="str">
        <f>IF($A1093="","",VLOOKUP($A1093,APOIO!$A:$E,2,FALSE))</f>
        <v/>
      </c>
      <c r="C1093" s="94"/>
      <c r="D1093" s="32" t="str">
        <f>IF($A1093="","",INDEX(APOIO!$D:$D,MATCH(CONCATENATE($A1093,"_",$B1093,"_",$C1093),APOIO!$F:$F,0)))</f>
        <v/>
      </c>
      <c r="E1093" s="31"/>
      <c r="F1093" s="31"/>
      <c r="G1093" s="33"/>
      <c r="H1093" s="105"/>
      <c r="I1093" s="32" t="str">
        <f>IF($A1093="","",VLOOKUP($H1093,APOIO!$L:$M,2,FALSE))</f>
        <v/>
      </c>
      <c r="J1093" s="31"/>
      <c r="K1093" s="32" t="str">
        <f>IF($A1093="","",VLOOKUP($J1093,APOIO!$H:$J,2,FALSE))</f>
        <v/>
      </c>
      <c r="L1093" s="32" t="str">
        <f>IF($A1093="","",VLOOKUP($J1093,APOIO!$H:$J,3,FALSE))</f>
        <v/>
      </c>
      <c r="M1093" s="31"/>
      <c r="N1093" s="34"/>
      <c r="O1093" s="32"/>
      <c r="P1093" s="32"/>
      <c r="Q1093" s="32"/>
      <c r="R1093" s="32"/>
      <c r="S1093" s="35"/>
      <c r="T1093" s="91"/>
      <c r="U1093" s="60"/>
      <c r="V1093" s="36"/>
      <c r="W1093" s="31"/>
      <c r="X1093" s="59"/>
      <c r="Y1093" s="59" t="str">
        <f>IFERROR(VLOOKUP($A1093,APOIO!$A:$A,1,FALSE),"ERRO")</f>
        <v>ERRO</v>
      </c>
      <c r="Z1093"/>
    </row>
    <row r="1094" spans="1:26" ht="15" x14ac:dyDescent="0.25">
      <c r="A1094" s="94"/>
      <c r="B1094" s="32" t="str">
        <f>IF($A1094="","",VLOOKUP($A1094,APOIO!$A:$E,2,FALSE))</f>
        <v/>
      </c>
      <c r="C1094" s="94"/>
      <c r="D1094" s="32" t="str">
        <f>IF($A1094="","",INDEX(APOIO!$D:$D,MATCH(CONCATENATE($A1094,"_",$B1094,"_",$C1094),APOIO!$F:$F,0)))</f>
        <v/>
      </c>
      <c r="E1094" s="31"/>
      <c r="F1094" s="31"/>
      <c r="G1094" s="33"/>
      <c r="H1094" s="105"/>
      <c r="I1094" s="32" t="str">
        <f>IF($A1094="","",VLOOKUP($H1094,APOIO!$L:$M,2,FALSE))</f>
        <v/>
      </c>
      <c r="J1094" s="31"/>
      <c r="K1094" s="32" t="str">
        <f>IF($A1094="","",VLOOKUP($J1094,APOIO!$H:$J,2,FALSE))</f>
        <v/>
      </c>
      <c r="L1094" s="32" t="str">
        <f>IF($A1094="","",VLOOKUP($J1094,APOIO!$H:$J,3,FALSE))</f>
        <v/>
      </c>
      <c r="M1094" s="31"/>
      <c r="N1094" s="34"/>
      <c r="O1094" s="32"/>
      <c r="P1094" s="32"/>
      <c r="Q1094" s="32"/>
      <c r="R1094" s="32"/>
      <c r="S1094" s="35"/>
      <c r="T1094" s="91"/>
      <c r="U1094" s="60"/>
      <c r="V1094" s="36"/>
      <c r="W1094" s="31"/>
      <c r="X1094" s="59"/>
      <c r="Y1094" s="59" t="str">
        <f>IFERROR(VLOOKUP($A1094,APOIO!$A:$A,1,FALSE),"ERRO")</f>
        <v>ERRO</v>
      </c>
      <c r="Z1094"/>
    </row>
    <row r="1095" spans="1:26" ht="15" x14ac:dyDescent="0.25">
      <c r="A1095" s="94"/>
      <c r="B1095" s="32" t="str">
        <f>IF($A1095="","",VLOOKUP($A1095,APOIO!$A:$E,2,FALSE))</f>
        <v/>
      </c>
      <c r="C1095" s="94"/>
      <c r="D1095" s="32" t="str">
        <f>IF($A1095="","",INDEX(APOIO!$D:$D,MATCH(CONCATENATE($A1095,"_",$B1095,"_",$C1095),APOIO!$F:$F,0)))</f>
        <v/>
      </c>
      <c r="E1095" s="31"/>
      <c r="F1095" s="31"/>
      <c r="G1095" s="33"/>
      <c r="H1095" s="105"/>
      <c r="I1095" s="32" t="str">
        <f>IF($A1095="","",VLOOKUP($H1095,APOIO!$L:$M,2,FALSE))</f>
        <v/>
      </c>
      <c r="J1095" s="31"/>
      <c r="K1095" s="32" t="str">
        <f>IF($A1095="","",VLOOKUP($J1095,APOIO!$H:$J,2,FALSE))</f>
        <v/>
      </c>
      <c r="L1095" s="32" t="str">
        <f>IF($A1095="","",VLOOKUP($J1095,APOIO!$H:$J,3,FALSE))</f>
        <v/>
      </c>
      <c r="M1095" s="31"/>
      <c r="N1095" s="34"/>
      <c r="O1095" s="32"/>
      <c r="P1095" s="32"/>
      <c r="Q1095" s="32"/>
      <c r="R1095" s="32"/>
      <c r="S1095" s="35"/>
      <c r="T1095" s="91"/>
      <c r="U1095" s="60"/>
      <c r="V1095" s="36"/>
      <c r="W1095" s="31"/>
      <c r="X1095" s="59"/>
      <c r="Y1095" s="59" t="str">
        <f>IFERROR(VLOOKUP($A1095,APOIO!$A:$A,1,FALSE),"ERRO")</f>
        <v>ERRO</v>
      </c>
      <c r="Z1095"/>
    </row>
    <row r="1096" spans="1:26" ht="15" x14ac:dyDescent="0.25">
      <c r="A1096" s="94"/>
      <c r="B1096" s="32" t="str">
        <f>IF($A1096="","",VLOOKUP($A1096,APOIO!$A:$E,2,FALSE))</f>
        <v/>
      </c>
      <c r="C1096" s="94"/>
      <c r="D1096" s="32" t="str">
        <f>IF($A1096="","",INDEX(APOIO!$D:$D,MATCH(CONCATENATE($A1096,"_",$B1096,"_",$C1096),APOIO!$F:$F,0)))</f>
        <v/>
      </c>
      <c r="E1096" s="31"/>
      <c r="F1096" s="31"/>
      <c r="G1096" s="33"/>
      <c r="H1096" s="105"/>
      <c r="I1096" s="32" t="str">
        <f>IF($A1096="","",VLOOKUP($H1096,APOIO!$L:$M,2,FALSE))</f>
        <v/>
      </c>
      <c r="J1096" s="31"/>
      <c r="K1096" s="32" t="str">
        <f>IF($A1096="","",VLOOKUP($J1096,APOIO!$H:$J,2,FALSE))</f>
        <v/>
      </c>
      <c r="L1096" s="32" t="str">
        <f>IF($A1096="","",VLOOKUP($J1096,APOIO!$H:$J,3,FALSE))</f>
        <v/>
      </c>
      <c r="M1096" s="31"/>
      <c r="N1096" s="34"/>
      <c r="O1096" s="32"/>
      <c r="P1096" s="32"/>
      <c r="Q1096" s="32"/>
      <c r="R1096" s="32"/>
      <c r="S1096" s="35"/>
      <c r="T1096" s="91"/>
      <c r="U1096" s="60"/>
      <c r="V1096" s="36"/>
      <c r="W1096" s="31"/>
      <c r="X1096" s="59"/>
      <c r="Y1096" s="59" t="str">
        <f>IFERROR(VLOOKUP($A1096,APOIO!$A:$A,1,FALSE),"ERRO")</f>
        <v>ERRO</v>
      </c>
      <c r="Z1096"/>
    </row>
    <row r="1097" spans="1:26" ht="15" x14ac:dyDescent="0.25">
      <c r="A1097" s="94"/>
      <c r="B1097" s="32" t="str">
        <f>IF($A1097="","",VLOOKUP($A1097,APOIO!$A:$E,2,FALSE))</f>
        <v/>
      </c>
      <c r="C1097" s="94"/>
      <c r="D1097" s="32" t="str">
        <f>IF($A1097="","",INDEX(APOIO!$D:$D,MATCH(CONCATENATE($A1097,"_",$B1097,"_",$C1097),APOIO!$F:$F,0)))</f>
        <v/>
      </c>
      <c r="E1097" s="31"/>
      <c r="F1097" s="31"/>
      <c r="G1097" s="33"/>
      <c r="H1097" s="105"/>
      <c r="I1097" s="32" t="str">
        <f>IF($A1097="","",VLOOKUP($H1097,APOIO!$L:$M,2,FALSE))</f>
        <v/>
      </c>
      <c r="J1097" s="31"/>
      <c r="K1097" s="32" t="str">
        <f>IF($A1097="","",VLOOKUP($J1097,APOIO!$H:$J,2,FALSE))</f>
        <v/>
      </c>
      <c r="L1097" s="32" t="str">
        <f>IF($A1097="","",VLOOKUP($J1097,APOIO!$H:$J,3,FALSE))</f>
        <v/>
      </c>
      <c r="M1097" s="31"/>
      <c r="N1097" s="34"/>
      <c r="O1097" s="32"/>
      <c r="P1097" s="32"/>
      <c r="Q1097" s="32"/>
      <c r="R1097" s="32"/>
      <c r="S1097" s="35"/>
      <c r="T1097" s="91"/>
      <c r="U1097" s="60"/>
      <c r="V1097" s="36"/>
      <c r="W1097" s="31"/>
      <c r="X1097" s="59"/>
      <c r="Y1097" s="59" t="str">
        <f>IFERROR(VLOOKUP($A1097,APOIO!$A:$A,1,FALSE),"ERRO")</f>
        <v>ERRO</v>
      </c>
      <c r="Z1097"/>
    </row>
    <row r="1098" spans="1:26" ht="15" x14ac:dyDescent="0.25">
      <c r="A1098" s="94"/>
      <c r="B1098" s="32" t="str">
        <f>IF($A1098="","",VLOOKUP($A1098,APOIO!$A:$E,2,FALSE))</f>
        <v/>
      </c>
      <c r="C1098" s="94"/>
      <c r="D1098" s="32" t="str">
        <f>IF($A1098="","",INDEX(APOIO!$D:$D,MATCH(CONCATENATE($A1098,"_",$B1098,"_",$C1098),APOIO!$F:$F,0)))</f>
        <v/>
      </c>
      <c r="E1098" s="31"/>
      <c r="F1098" s="31"/>
      <c r="G1098" s="33"/>
      <c r="H1098" s="105"/>
      <c r="I1098" s="32" t="str">
        <f>IF($A1098="","",VLOOKUP($H1098,APOIO!$L:$M,2,FALSE))</f>
        <v/>
      </c>
      <c r="J1098" s="31"/>
      <c r="K1098" s="32" t="str">
        <f>IF($A1098="","",VLOOKUP($J1098,APOIO!$H:$J,2,FALSE))</f>
        <v/>
      </c>
      <c r="L1098" s="32" t="str">
        <f>IF($A1098="","",VLOOKUP($J1098,APOIO!$H:$J,3,FALSE))</f>
        <v/>
      </c>
      <c r="M1098" s="31"/>
      <c r="N1098" s="34"/>
      <c r="O1098" s="32"/>
      <c r="P1098" s="32"/>
      <c r="Q1098" s="32"/>
      <c r="R1098" s="32"/>
      <c r="S1098" s="35"/>
      <c r="T1098" s="91"/>
      <c r="U1098" s="60"/>
      <c r="V1098" s="36"/>
      <c r="W1098" s="31"/>
      <c r="X1098" s="59"/>
      <c r="Y1098" s="59" t="str">
        <f>IFERROR(VLOOKUP($A1098,APOIO!$A:$A,1,FALSE),"ERRO")</f>
        <v>ERRO</v>
      </c>
      <c r="Z1098"/>
    </row>
    <row r="1099" spans="1:26" ht="15" x14ac:dyDescent="0.25">
      <c r="A1099" s="94"/>
      <c r="B1099" s="32" t="str">
        <f>IF($A1099="","",VLOOKUP($A1099,APOIO!$A:$E,2,FALSE))</f>
        <v/>
      </c>
      <c r="C1099" s="94"/>
      <c r="D1099" s="32" t="str">
        <f>IF($A1099="","",INDEX(APOIO!$D:$D,MATCH(CONCATENATE($A1099,"_",$B1099,"_",$C1099),APOIO!$F:$F,0)))</f>
        <v/>
      </c>
      <c r="E1099" s="31"/>
      <c r="F1099" s="31"/>
      <c r="G1099" s="33"/>
      <c r="H1099" s="105"/>
      <c r="I1099" s="32" t="str">
        <f>IF($A1099="","",VLOOKUP($H1099,APOIO!$L:$M,2,FALSE))</f>
        <v/>
      </c>
      <c r="J1099" s="31"/>
      <c r="K1099" s="32" t="str">
        <f>IF($A1099="","",VLOOKUP($J1099,APOIO!$H:$J,2,FALSE))</f>
        <v/>
      </c>
      <c r="L1099" s="32" t="str">
        <f>IF($A1099="","",VLOOKUP($J1099,APOIO!$H:$J,3,FALSE))</f>
        <v/>
      </c>
      <c r="M1099" s="31"/>
      <c r="N1099" s="34"/>
      <c r="O1099" s="32"/>
      <c r="P1099" s="32"/>
      <c r="Q1099" s="32"/>
      <c r="R1099" s="32"/>
      <c r="S1099" s="35"/>
      <c r="T1099" s="91"/>
      <c r="U1099" s="60"/>
      <c r="V1099" s="36"/>
      <c r="W1099" s="31"/>
      <c r="X1099" s="59"/>
      <c r="Y1099" s="59" t="str">
        <f>IFERROR(VLOOKUP($A1099,APOIO!$A:$A,1,FALSE),"ERRO")</f>
        <v>ERRO</v>
      </c>
      <c r="Z1099"/>
    </row>
    <row r="1100" spans="1:26" ht="15" x14ac:dyDescent="0.25">
      <c r="A1100" s="94"/>
      <c r="B1100" s="32" t="str">
        <f>IF($A1100="","",VLOOKUP($A1100,APOIO!$A:$E,2,FALSE))</f>
        <v/>
      </c>
      <c r="C1100" s="94"/>
      <c r="D1100" s="32" t="str">
        <f>IF($A1100="","",INDEX(APOIO!$D:$D,MATCH(CONCATENATE($A1100,"_",$B1100,"_",$C1100),APOIO!$F:$F,0)))</f>
        <v/>
      </c>
      <c r="E1100" s="31"/>
      <c r="F1100" s="31"/>
      <c r="G1100" s="33"/>
      <c r="H1100" s="105"/>
      <c r="I1100" s="32" t="str">
        <f>IF($A1100="","",VLOOKUP($H1100,APOIO!$L:$M,2,FALSE))</f>
        <v/>
      </c>
      <c r="J1100" s="31"/>
      <c r="K1100" s="32" t="str">
        <f>IF($A1100="","",VLOOKUP($J1100,APOIO!$H:$J,2,FALSE))</f>
        <v/>
      </c>
      <c r="L1100" s="32" t="str">
        <f>IF($A1100="","",VLOOKUP($J1100,APOIO!$H:$J,3,FALSE))</f>
        <v/>
      </c>
      <c r="M1100" s="31"/>
      <c r="N1100" s="34"/>
      <c r="O1100" s="32"/>
      <c r="P1100" s="32"/>
      <c r="Q1100" s="32"/>
      <c r="R1100" s="32"/>
      <c r="S1100" s="35"/>
      <c r="T1100" s="91"/>
      <c r="U1100" s="60"/>
      <c r="V1100" s="36"/>
      <c r="W1100" s="31"/>
      <c r="X1100" s="59"/>
      <c r="Y1100" s="59" t="str">
        <f>IFERROR(VLOOKUP($A1100,APOIO!$A:$A,1,FALSE),"ERRO")</f>
        <v>ERRO</v>
      </c>
      <c r="Z1100"/>
    </row>
    <row r="1101" spans="1:26" ht="15" x14ac:dyDescent="0.25">
      <c r="A1101" s="94"/>
      <c r="B1101" s="32" t="str">
        <f>IF($A1101="","",VLOOKUP($A1101,APOIO!$A:$E,2,FALSE))</f>
        <v/>
      </c>
      <c r="C1101" s="94"/>
      <c r="D1101" s="32" t="str">
        <f>IF($A1101="","",INDEX(APOIO!$D:$D,MATCH(CONCATENATE($A1101,"_",$B1101,"_",$C1101),APOIO!$F:$F,0)))</f>
        <v/>
      </c>
      <c r="E1101" s="31"/>
      <c r="F1101" s="31"/>
      <c r="G1101" s="33"/>
      <c r="H1101" s="105"/>
      <c r="I1101" s="32" t="str">
        <f>IF($A1101="","",VLOOKUP($H1101,APOIO!$L:$M,2,FALSE))</f>
        <v/>
      </c>
      <c r="J1101" s="31"/>
      <c r="K1101" s="32" t="str">
        <f>IF($A1101="","",VLOOKUP($J1101,APOIO!$H:$J,2,FALSE))</f>
        <v/>
      </c>
      <c r="L1101" s="32" t="str">
        <f>IF($A1101="","",VLOOKUP($J1101,APOIO!$H:$J,3,FALSE))</f>
        <v/>
      </c>
      <c r="M1101" s="31"/>
      <c r="N1101" s="34"/>
      <c r="O1101" s="32"/>
      <c r="P1101" s="32"/>
      <c r="Q1101" s="32"/>
      <c r="R1101" s="32"/>
      <c r="S1101" s="35"/>
      <c r="T1101" s="91"/>
      <c r="U1101" s="60"/>
      <c r="V1101" s="36"/>
      <c r="W1101" s="31"/>
      <c r="X1101" s="59"/>
      <c r="Y1101" s="59" t="str">
        <f>IFERROR(VLOOKUP($A1101,APOIO!$A:$A,1,FALSE),"ERRO")</f>
        <v>ERRO</v>
      </c>
      <c r="Z1101"/>
    </row>
    <row r="1102" spans="1:26" ht="15" x14ac:dyDescent="0.25">
      <c r="A1102" s="94"/>
      <c r="B1102" s="32" t="str">
        <f>IF($A1102="","",VLOOKUP($A1102,APOIO!$A:$E,2,FALSE))</f>
        <v/>
      </c>
      <c r="C1102" s="94"/>
      <c r="D1102" s="32" t="str">
        <f>IF($A1102="","",INDEX(APOIO!$D:$D,MATCH(CONCATENATE($A1102,"_",$B1102,"_",$C1102),APOIO!$F:$F,0)))</f>
        <v/>
      </c>
      <c r="E1102" s="31"/>
      <c r="F1102" s="31"/>
      <c r="G1102" s="33"/>
      <c r="H1102" s="105"/>
      <c r="I1102" s="32" t="str">
        <f>IF($A1102="","",VLOOKUP($H1102,APOIO!$L:$M,2,FALSE))</f>
        <v/>
      </c>
      <c r="J1102" s="31"/>
      <c r="K1102" s="32" t="str">
        <f>IF($A1102="","",VLOOKUP($J1102,APOIO!$H:$J,2,FALSE))</f>
        <v/>
      </c>
      <c r="L1102" s="32" t="str">
        <f>IF($A1102="","",VLOOKUP($J1102,APOIO!$H:$J,3,FALSE))</f>
        <v/>
      </c>
      <c r="M1102" s="31"/>
      <c r="N1102" s="34"/>
      <c r="O1102" s="32"/>
      <c r="P1102" s="32"/>
      <c r="Q1102" s="32"/>
      <c r="R1102" s="32"/>
      <c r="S1102" s="35"/>
      <c r="T1102" s="91"/>
      <c r="U1102" s="60"/>
      <c r="V1102" s="36"/>
      <c r="W1102" s="31"/>
      <c r="X1102" s="59"/>
      <c r="Y1102" s="59" t="str">
        <f>IFERROR(VLOOKUP($A1102,APOIO!$A:$A,1,FALSE),"ERRO")</f>
        <v>ERRO</v>
      </c>
      <c r="Z1102"/>
    </row>
    <row r="1103" spans="1:26" ht="15" x14ac:dyDescent="0.25">
      <c r="A1103" s="94"/>
      <c r="B1103" s="32" t="str">
        <f>IF($A1103="","",VLOOKUP($A1103,APOIO!$A:$E,2,FALSE))</f>
        <v/>
      </c>
      <c r="C1103" s="94"/>
      <c r="D1103" s="32" t="str">
        <f>IF($A1103="","",INDEX(APOIO!$D:$D,MATCH(CONCATENATE($A1103,"_",$B1103,"_",$C1103),APOIO!$F:$F,0)))</f>
        <v/>
      </c>
      <c r="E1103" s="31"/>
      <c r="F1103" s="31"/>
      <c r="G1103" s="33"/>
      <c r="H1103" s="105"/>
      <c r="I1103" s="32" t="str">
        <f>IF($A1103="","",VLOOKUP($H1103,APOIO!$L:$M,2,FALSE))</f>
        <v/>
      </c>
      <c r="J1103" s="31"/>
      <c r="K1103" s="32" t="str">
        <f>IF($A1103="","",VLOOKUP($J1103,APOIO!$H:$J,2,FALSE))</f>
        <v/>
      </c>
      <c r="L1103" s="32" t="str">
        <f>IF($A1103="","",VLOOKUP($J1103,APOIO!$H:$J,3,FALSE))</f>
        <v/>
      </c>
      <c r="M1103" s="31"/>
      <c r="N1103" s="34"/>
      <c r="O1103" s="32"/>
      <c r="P1103" s="32"/>
      <c r="Q1103" s="32"/>
      <c r="R1103" s="32"/>
      <c r="S1103" s="35"/>
      <c r="T1103" s="91"/>
      <c r="U1103" s="60"/>
      <c r="V1103" s="36"/>
      <c r="W1103" s="31"/>
      <c r="X1103" s="59"/>
      <c r="Y1103" s="59" t="str">
        <f>IFERROR(VLOOKUP($A1103,APOIO!$A:$A,1,FALSE),"ERRO")</f>
        <v>ERRO</v>
      </c>
      <c r="Z1103"/>
    </row>
    <row r="1104" spans="1:26" ht="15" x14ac:dyDescent="0.25">
      <c r="A1104" s="94"/>
      <c r="B1104" s="32" t="str">
        <f>IF($A1104="","",VLOOKUP($A1104,APOIO!$A:$E,2,FALSE))</f>
        <v/>
      </c>
      <c r="C1104" s="94"/>
      <c r="D1104" s="32" t="str">
        <f>IF($A1104="","",INDEX(APOIO!$D:$D,MATCH(CONCATENATE($A1104,"_",$B1104,"_",$C1104),APOIO!$F:$F,0)))</f>
        <v/>
      </c>
      <c r="E1104" s="31"/>
      <c r="F1104" s="31"/>
      <c r="G1104" s="33"/>
      <c r="H1104" s="105"/>
      <c r="I1104" s="32" t="str">
        <f>IF($A1104="","",VLOOKUP($H1104,APOIO!$L:$M,2,FALSE))</f>
        <v/>
      </c>
      <c r="J1104" s="31"/>
      <c r="K1104" s="32" t="str">
        <f>IF($A1104="","",VLOOKUP($J1104,APOIO!$H:$J,2,FALSE))</f>
        <v/>
      </c>
      <c r="L1104" s="32" t="str">
        <f>IF($A1104="","",VLOOKUP($J1104,APOIO!$H:$J,3,FALSE))</f>
        <v/>
      </c>
      <c r="M1104" s="31"/>
      <c r="N1104" s="34"/>
      <c r="O1104" s="32"/>
      <c r="P1104" s="32"/>
      <c r="Q1104" s="32"/>
      <c r="R1104" s="32"/>
      <c r="S1104" s="35"/>
      <c r="T1104" s="91"/>
      <c r="U1104" s="60"/>
      <c r="V1104" s="36"/>
      <c r="W1104" s="31"/>
      <c r="X1104" s="59"/>
      <c r="Y1104" s="59" t="str">
        <f>IFERROR(VLOOKUP($A1104,APOIO!$A:$A,1,FALSE),"ERRO")</f>
        <v>ERRO</v>
      </c>
      <c r="Z1104"/>
    </row>
    <row r="1105" spans="1:26" ht="15" x14ac:dyDescent="0.25">
      <c r="A1105" s="94"/>
      <c r="B1105" s="32" t="str">
        <f>IF($A1105="","",VLOOKUP($A1105,APOIO!$A:$E,2,FALSE))</f>
        <v/>
      </c>
      <c r="C1105" s="94"/>
      <c r="D1105" s="32" t="str">
        <f>IF($A1105="","",INDEX(APOIO!$D:$D,MATCH(CONCATENATE($A1105,"_",$B1105,"_",$C1105),APOIO!$F:$F,0)))</f>
        <v/>
      </c>
      <c r="E1105" s="31"/>
      <c r="F1105" s="31"/>
      <c r="G1105" s="33"/>
      <c r="H1105" s="105"/>
      <c r="I1105" s="32" t="str">
        <f>IF($A1105="","",VLOOKUP($H1105,APOIO!$L:$M,2,FALSE))</f>
        <v/>
      </c>
      <c r="J1105" s="31"/>
      <c r="K1105" s="32" t="str">
        <f>IF($A1105="","",VLOOKUP($J1105,APOIO!$H:$J,2,FALSE))</f>
        <v/>
      </c>
      <c r="L1105" s="32" t="str">
        <f>IF($A1105="","",VLOOKUP($J1105,APOIO!$H:$J,3,FALSE))</f>
        <v/>
      </c>
      <c r="M1105" s="31"/>
      <c r="N1105" s="34"/>
      <c r="O1105" s="32"/>
      <c r="P1105" s="32"/>
      <c r="Q1105" s="32"/>
      <c r="R1105" s="32"/>
      <c r="S1105" s="35"/>
      <c r="T1105" s="91"/>
      <c r="U1105" s="60"/>
      <c r="V1105" s="36"/>
      <c r="W1105" s="31"/>
      <c r="X1105" s="59"/>
      <c r="Y1105" s="59" t="str">
        <f>IFERROR(VLOOKUP($A1105,APOIO!$A:$A,1,FALSE),"ERRO")</f>
        <v>ERRO</v>
      </c>
      <c r="Z1105"/>
    </row>
    <row r="1106" spans="1:26" ht="15" x14ac:dyDescent="0.25">
      <c r="A1106" s="94"/>
      <c r="B1106" s="32" t="str">
        <f>IF($A1106="","",VLOOKUP($A1106,APOIO!$A:$E,2,FALSE))</f>
        <v/>
      </c>
      <c r="C1106" s="94"/>
      <c r="D1106" s="32" t="str">
        <f>IF($A1106="","",INDEX(APOIO!$D:$D,MATCH(CONCATENATE($A1106,"_",$B1106,"_",$C1106),APOIO!$F:$F,0)))</f>
        <v/>
      </c>
      <c r="E1106" s="31"/>
      <c r="F1106" s="31"/>
      <c r="G1106" s="33"/>
      <c r="H1106" s="105"/>
      <c r="I1106" s="32" t="str">
        <f>IF($A1106="","",VLOOKUP($H1106,APOIO!$L:$M,2,FALSE))</f>
        <v/>
      </c>
      <c r="J1106" s="31"/>
      <c r="K1106" s="32" t="str">
        <f>IF($A1106="","",VLOOKUP($J1106,APOIO!$H:$J,2,FALSE))</f>
        <v/>
      </c>
      <c r="L1106" s="32" t="str">
        <f>IF($A1106="","",VLOOKUP($J1106,APOIO!$H:$J,3,FALSE))</f>
        <v/>
      </c>
      <c r="M1106" s="31"/>
      <c r="N1106" s="34"/>
      <c r="O1106" s="32"/>
      <c r="P1106" s="32"/>
      <c r="Q1106" s="32"/>
      <c r="R1106" s="32"/>
      <c r="S1106" s="35"/>
      <c r="T1106" s="91"/>
      <c r="U1106" s="60"/>
      <c r="V1106" s="36"/>
      <c r="W1106" s="31"/>
      <c r="X1106" s="59"/>
      <c r="Y1106" s="59" t="str">
        <f>IFERROR(VLOOKUP($A1106,APOIO!$A:$A,1,FALSE),"ERRO")</f>
        <v>ERRO</v>
      </c>
      <c r="Z1106"/>
    </row>
    <row r="1107" spans="1:26" ht="15" x14ac:dyDescent="0.25">
      <c r="A1107" s="94"/>
      <c r="B1107" s="32" t="str">
        <f>IF($A1107="","",VLOOKUP($A1107,APOIO!$A:$E,2,FALSE))</f>
        <v/>
      </c>
      <c r="C1107" s="94"/>
      <c r="D1107" s="32" t="str">
        <f>IF($A1107="","",INDEX(APOIO!$D:$D,MATCH(CONCATENATE($A1107,"_",$B1107,"_",$C1107),APOIO!$F:$F,0)))</f>
        <v/>
      </c>
      <c r="E1107" s="31"/>
      <c r="F1107" s="31"/>
      <c r="G1107" s="33"/>
      <c r="H1107" s="105"/>
      <c r="I1107" s="32" t="str">
        <f>IF($A1107="","",VLOOKUP($H1107,APOIO!$L:$M,2,FALSE))</f>
        <v/>
      </c>
      <c r="J1107" s="31"/>
      <c r="K1107" s="32" t="str">
        <f>IF($A1107="","",VLOOKUP($J1107,APOIO!$H:$J,2,FALSE))</f>
        <v/>
      </c>
      <c r="L1107" s="32" t="str">
        <f>IF($A1107="","",VLOOKUP($J1107,APOIO!$H:$J,3,FALSE))</f>
        <v/>
      </c>
      <c r="M1107" s="31"/>
      <c r="N1107" s="34"/>
      <c r="O1107" s="32"/>
      <c r="P1107" s="32"/>
      <c r="Q1107" s="32"/>
      <c r="R1107" s="32"/>
      <c r="S1107" s="35"/>
      <c r="T1107" s="91"/>
      <c r="U1107" s="60"/>
      <c r="V1107" s="36"/>
      <c r="W1107" s="31"/>
      <c r="X1107" s="59"/>
      <c r="Y1107" s="59" t="str">
        <f>IFERROR(VLOOKUP($A1107,APOIO!$A:$A,1,FALSE),"ERRO")</f>
        <v>ERRO</v>
      </c>
      <c r="Z1107"/>
    </row>
    <row r="1108" spans="1:26" ht="15" x14ac:dyDescent="0.25">
      <c r="A1108" s="94"/>
      <c r="B1108" s="32" t="str">
        <f>IF($A1108="","",VLOOKUP($A1108,APOIO!$A:$E,2,FALSE))</f>
        <v/>
      </c>
      <c r="C1108" s="94"/>
      <c r="D1108" s="32" t="str">
        <f>IF($A1108="","",INDEX(APOIO!$D:$D,MATCH(CONCATENATE($A1108,"_",$B1108,"_",$C1108),APOIO!$F:$F,0)))</f>
        <v/>
      </c>
      <c r="E1108" s="31"/>
      <c r="F1108" s="31"/>
      <c r="G1108" s="33"/>
      <c r="H1108" s="105"/>
      <c r="I1108" s="32" t="str">
        <f>IF($A1108="","",VLOOKUP($H1108,APOIO!$L:$M,2,FALSE))</f>
        <v/>
      </c>
      <c r="J1108" s="31"/>
      <c r="K1108" s="32" t="str">
        <f>IF($A1108="","",VLOOKUP($J1108,APOIO!$H:$J,2,FALSE))</f>
        <v/>
      </c>
      <c r="L1108" s="32" t="str">
        <f>IF($A1108="","",VLOOKUP($J1108,APOIO!$H:$J,3,FALSE))</f>
        <v/>
      </c>
      <c r="M1108" s="31"/>
      <c r="N1108" s="34"/>
      <c r="O1108" s="32"/>
      <c r="P1108" s="32"/>
      <c r="Q1108" s="32"/>
      <c r="R1108" s="32"/>
      <c r="S1108" s="35"/>
      <c r="T1108" s="91"/>
      <c r="U1108" s="60"/>
      <c r="V1108" s="36"/>
      <c r="W1108" s="31"/>
      <c r="X1108" s="59"/>
      <c r="Y1108" s="59" t="str">
        <f>IFERROR(VLOOKUP($A1108,APOIO!$A:$A,1,FALSE),"ERRO")</f>
        <v>ERRO</v>
      </c>
      <c r="Z1108"/>
    </row>
    <row r="1109" spans="1:26" ht="15" x14ac:dyDescent="0.25">
      <c r="A1109" s="94"/>
      <c r="B1109" s="32" t="str">
        <f>IF($A1109="","",VLOOKUP($A1109,APOIO!$A:$E,2,FALSE))</f>
        <v/>
      </c>
      <c r="C1109" s="94"/>
      <c r="D1109" s="32" t="str">
        <f>IF($A1109="","",INDEX(APOIO!$D:$D,MATCH(CONCATENATE($A1109,"_",$B1109,"_",$C1109),APOIO!$F:$F,0)))</f>
        <v/>
      </c>
      <c r="E1109" s="31"/>
      <c r="F1109" s="31"/>
      <c r="G1109" s="33"/>
      <c r="H1109" s="105"/>
      <c r="I1109" s="32" t="str">
        <f>IF($A1109="","",VLOOKUP($H1109,APOIO!$L:$M,2,FALSE))</f>
        <v/>
      </c>
      <c r="J1109" s="31"/>
      <c r="K1109" s="32" t="str">
        <f>IF($A1109="","",VLOOKUP($J1109,APOIO!$H:$J,2,FALSE))</f>
        <v/>
      </c>
      <c r="L1109" s="32" t="str">
        <f>IF($A1109="","",VLOOKUP($J1109,APOIO!$H:$J,3,FALSE))</f>
        <v/>
      </c>
      <c r="M1109" s="31"/>
      <c r="N1109" s="34"/>
      <c r="O1109" s="32"/>
      <c r="P1109" s="32"/>
      <c r="Q1109" s="32"/>
      <c r="R1109" s="32"/>
      <c r="S1109" s="35"/>
      <c r="T1109" s="91"/>
      <c r="U1109" s="60"/>
      <c r="V1109" s="36"/>
      <c r="W1109" s="31"/>
      <c r="X1109" s="59"/>
      <c r="Y1109" s="59" t="str">
        <f>IFERROR(VLOOKUP($A1109,APOIO!$A:$A,1,FALSE),"ERRO")</f>
        <v>ERRO</v>
      </c>
      <c r="Z1109"/>
    </row>
    <row r="1110" spans="1:26" ht="15" x14ac:dyDescent="0.25">
      <c r="A1110" s="94"/>
      <c r="B1110" s="32" t="str">
        <f>IF($A1110="","",VLOOKUP($A1110,APOIO!$A:$E,2,FALSE))</f>
        <v/>
      </c>
      <c r="C1110" s="94"/>
      <c r="D1110" s="32" t="str">
        <f>IF($A1110="","",INDEX(APOIO!$D:$D,MATCH(CONCATENATE($A1110,"_",$B1110,"_",$C1110),APOIO!$F:$F,0)))</f>
        <v/>
      </c>
      <c r="E1110" s="31"/>
      <c r="F1110" s="31"/>
      <c r="G1110" s="33"/>
      <c r="H1110" s="105"/>
      <c r="I1110" s="32" t="str">
        <f>IF($A1110="","",VLOOKUP($H1110,APOIO!$L:$M,2,FALSE))</f>
        <v/>
      </c>
      <c r="J1110" s="31"/>
      <c r="K1110" s="32" t="str">
        <f>IF($A1110="","",VLOOKUP($J1110,APOIO!$H:$J,2,FALSE))</f>
        <v/>
      </c>
      <c r="L1110" s="32" t="str">
        <f>IF($A1110="","",VLOOKUP($J1110,APOIO!$H:$J,3,FALSE))</f>
        <v/>
      </c>
      <c r="M1110" s="31"/>
      <c r="N1110" s="34"/>
      <c r="O1110" s="32"/>
      <c r="P1110" s="32"/>
      <c r="Q1110" s="32"/>
      <c r="R1110" s="32"/>
      <c r="S1110" s="35"/>
      <c r="T1110" s="91"/>
      <c r="U1110" s="60"/>
      <c r="V1110" s="36"/>
      <c r="W1110" s="31"/>
      <c r="X1110" s="59"/>
      <c r="Y1110" s="59" t="str">
        <f>IFERROR(VLOOKUP($A1110,APOIO!$A:$A,1,FALSE),"ERRO")</f>
        <v>ERRO</v>
      </c>
      <c r="Z1110"/>
    </row>
    <row r="1111" spans="1:26" ht="15" x14ac:dyDescent="0.25">
      <c r="A1111" s="94"/>
      <c r="B1111" s="32" t="str">
        <f>IF($A1111="","",VLOOKUP($A1111,APOIO!$A:$E,2,FALSE))</f>
        <v/>
      </c>
      <c r="C1111" s="94"/>
      <c r="D1111" s="32" t="str">
        <f>IF($A1111="","",INDEX(APOIO!$D:$D,MATCH(CONCATENATE($A1111,"_",$B1111,"_",$C1111),APOIO!$F:$F,0)))</f>
        <v/>
      </c>
      <c r="E1111" s="31"/>
      <c r="F1111" s="31"/>
      <c r="G1111" s="33"/>
      <c r="H1111" s="105"/>
      <c r="I1111" s="32" t="str">
        <f>IF($A1111="","",VLOOKUP($H1111,APOIO!$L:$M,2,FALSE))</f>
        <v/>
      </c>
      <c r="J1111" s="31"/>
      <c r="K1111" s="32" t="str">
        <f>IF($A1111="","",VLOOKUP($J1111,APOIO!$H:$J,2,FALSE))</f>
        <v/>
      </c>
      <c r="L1111" s="32" t="str">
        <f>IF($A1111="","",VLOOKUP($J1111,APOIO!$H:$J,3,FALSE))</f>
        <v/>
      </c>
      <c r="M1111" s="31"/>
      <c r="N1111" s="34"/>
      <c r="O1111" s="32"/>
      <c r="P1111" s="32"/>
      <c r="Q1111" s="32"/>
      <c r="R1111" s="32"/>
      <c r="S1111" s="35"/>
      <c r="T1111" s="91"/>
      <c r="U1111" s="60"/>
      <c r="V1111" s="36"/>
      <c r="W1111" s="31"/>
      <c r="X1111" s="59"/>
      <c r="Y1111" s="59" t="str">
        <f>IFERROR(VLOOKUP($A1111,APOIO!$A:$A,1,FALSE),"ERRO")</f>
        <v>ERRO</v>
      </c>
      <c r="Z1111"/>
    </row>
    <row r="1112" spans="1:26" ht="15" x14ac:dyDescent="0.25">
      <c r="A1112" s="94"/>
      <c r="B1112" s="32" t="str">
        <f>IF($A1112="","",VLOOKUP($A1112,APOIO!$A:$E,2,FALSE))</f>
        <v/>
      </c>
      <c r="C1112" s="94"/>
      <c r="D1112" s="32" t="str">
        <f>IF($A1112="","",INDEX(APOIO!$D:$D,MATCH(CONCATENATE($A1112,"_",$B1112,"_",$C1112),APOIO!$F:$F,0)))</f>
        <v/>
      </c>
      <c r="E1112" s="31"/>
      <c r="F1112" s="31"/>
      <c r="G1112" s="33"/>
      <c r="H1112" s="105"/>
      <c r="I1112" s="32" t="str">
        <f>IF($A1112="","",VLOOKUP($H1112,APOIO!$L:$M,2,FALSE))</f>
        <v/>
      </c>
      <c r="J1112" s="31"/>
      <c r="K1112" s="32" t="str">
        <f>IF($A1112="","",VLOOKUP($J1112,APOIO!$H:$J,2,FALSE))</f>
        <v/>
      </c>
      <c r="L1112" s="32" t="str">
        <f>IF($A1112="","",VLOOKUP($J1112,APOIO!$H:$J,3,FALSE))</f>
        <v/>
      </c>
      <c r="M1112" s="31"/>
      <c r="N1112" s="34"/>
      <c r="O1112" s="32"/>
      <c r="P1112" s="32"/>
      <c r="Q1112" s="32"/>
      <c r="R1112" s="32"/>
      <c r="S1112" s="35"/>
      <c r="T1112" s="91"/>
      <c r="U1112" s="60"/>
      <c r="V1112" s="36"/>
      <c r="W1112" s="31"/>
      <c r="X1112" s="59"/>
      <c r="Y1112" s="59" t="str">
        <f>IFERROR(VLOOKUP($A1112,APOIO!$A:$A,1,FALSE),"ERRO")</f>
        <v>ERRO</v>
      </c>
      <c r="Z1112"/>
    </row>
    <row r="1113" spans="1:26" ht="15" x14ac:dyDescent="0.25">
      <c r="A1113" s="94"/>
      <c r="B1113" s="32" t="str">
        <f>IF($A1113="","",VLOOKUP($A1113,APOIO!$A:$E,2,FALSE))</f>
        <v/>
      </c>
      <c r="C1113" s="94"/>
      <c r="D1113" s="32" t="str">
        <f>IF($A1113="","",INDEX(APOIO!$D:$D,MATCH(CONCATENATE($A1113,"_",$B1113,"_",$C1113),APOIO!$F:$F,0)))</f>
        <v/>
      </c>
      <c r="E1113" s="31"/>
      <c r="F1113" s="31"/>
      <c r="G1113" s="33"/>
      <c r="H1113" s="105"/>
      <c r="I1113" s="32" t="str">
        <f>IF($A1113="","",VLOOKUP($H1113,APOIO!$L:$M,2,FALSE))</f>
        <v/>
      </c>
      <c r="J1113" s="31"/>
      <c r="K1113" s="32" t="str">
        <f>IF($A1113="","",VLOOKUP($J1113,APOIO!$H:$J,2,FALSE))</f>
        <v/>
      </c>
      <c r="L1113" s="32" t="str">
        <f>IF($A1113="","",VLOOKUP($J1113,APOIO!$H:$J,3,FALSE))</f>
        <v/>
      </c>
      <c r="M1113" s="31"/>
      <c r="N1113" s="34"/>
      <c r="O1113" s="32"/>
      <c r="P1113" s="32"/>
      <c r="Q1113" s="32"/>
      <c r="R1113" s="32"/>
      <c r="S1113" s="35"/>
      <c r="T1113" s="91"/>
      <c r="U1113" s="60"/>
      <c r="V1113" s="36"/>
      <c r="W1113" s="31"/>
      <c r="X1113" s="59"/>
      <c r="Y1113" s="59" t="str">
        <f>IFERROR(VLOOKUP($A1113,APOIO!$A:$A,1,FALSE),"ERRO")</f>
        <v>ERRO</v>
      </c>
      <c r="Z1113"/>
    </row>
    <row r="1114" spans="1:26" ht="15" x14ac:dyDescent="0.25">
      <c r="A1114" s="94"/>
      <c r="B1114" s="32" t="str">
        <f>IF($A1114="","",VLOOKUP($A1114,APOIO!$A:$E,2,FALSE))</f>
        <v/>
      </c>
      <c r="C1114" s="94"/>
      <c r="D1114" s="32" t="str">
        <f>IF($A1114="","",INDEX(APOIO!$D:$D,MATCH(CONCATENATE($A1114,"_",$B1114,"_",$C1114),APOIO!$F:$F,0)))</f>
        <v/>
      </c>
      <c r="E1114" s="31"/>
      <c r="F1114" s="31"/>
      <c r="G1114" s="33"/>
      <c r="H1114" s="105"/>
      <c r="I1114" s="32" t="str">
        <f>IF($A1114="","",VLOOKUP($H1114,APOIO!$L:$M,2,FALSE))</f>
        <v/>
      </c>
      <c r="J1114" s="31"/>
      <c r="K1114" s="32" t="str">
        <f>IF($A1114="","",VLOOKUP($J1114,APOIO!$H:$J,2,FALSE))</f>
        <v/>
      </c>
      <c r="L1114" s="32" t="str">
        <f>IF($A1114="","",VLOOKUP($J1114,APOIO!$H:$J,3,FALSE))</f>
        <v/>
      </c>
      <c r="M1114" s="31"/>
      <c r="N1114" s="34"/>
      <c r="O1114" s="32"/>
      <c r="P1114" s="32"/>
      <c r="Q1114" s="32"/>
      <c r="R1114" s="32"/>
      <c r="S1114" s="35"/>
      <c r="T1114" s="91"/>
      <c r="U1114" s="60"/>
      <c r="V1114" s="36"/>
      <c r="W1114" s="31"/>
      <c r="X1114" s="59"/>
      <c r="Y1114" s="59" t="str">
        <f>IFERROR(VLOOKUP($A1114,APOIO!$A:$A,1,FALSE),"ERRO")</f>
        <v>ERRO</v>
      </c>
      <c r="Z1114"/>
    </row>
    <row r="1115" spans="1:26" ht="15" x14ac:dyDescent="0.25">
      <c r="A1115" s="94"/>
      <c r="B1115" s="32" t="str">
        <f>IF($A1115="","",VLOOKUP($A1115,APOIO!$A:$E,2,FALSE))</f>
        <v/>
      </c>
      <c r="C1115" s="94"/>
      <c r="D1115" s="32" t="str">
        <f>IF($A1115="","",INDEX(APOIO!$D:$D,MATCH(CONCATENATE($A1115,"_",$B1115,"_",$C1115),APOIO!$F:$F,0)))</f>
        <v/>
      </c>
      <c r="E1115" s="31"/>
      <c r="F1115" s="31"/>
      <c r="G1115" s="33"/>
      <c r="H1115" s="105"/>
      <c r="I1115" s="32" t="str">
        <f>IF($A1115="","",VLOOKUP($H1115,APOIO!$L:$M,2,FALSE))</f>
        <v/>
      </c>
      <c r="J1115" s="31"/>
      <c r="K1115" s="32" t="str">
        <f>IF($A1115="","",VLOOKUP($J1115,APOIO!$H:$J,2,FALSE))</f>
        <v/>
      </c>
      <c r="L1115" s="32" t="str">
        <f>IF($A1115="","",VLOOKUP($J1115,APOIO!$H:$J,3,FALSE))</f>
        <v/>
      </c>
      <c r="M1115" s="31"/>
      <c r="N1115" s="34"/>
      <c r="O1115" s="32"/>
      <c r="P1115" s="32"/>
      <c r="Q1115" s="32"/>
      <c r="R1115" s="32"/>
      <c r="S1115" s="35"/>
      <c r="T1115" s="91"/>
      <c r="U1115" s="60"/>
      <c r="V1115" s="36"/>
      <c r="W1115" s="31"/>
      <c r="X1115" s="59"/>
      <c r="Y1115" s="59" t="str">
        <f>IFERROR(VLOOKUP($A1115,APOIO!$A:$A,1,FALSE),"ERRO")</f>
        <v>ERRO</v>
      </c>
      <c r="Z1115"/>
    </row>
    <row r="1116" spans="1:26" ht="15" x14ac:dyDescent="0.25">
      <c r="A1116" s="94"/>
      <c r="B1116" s="32" t="str">
        <f>IF($A1116="","",VLOOKUP($A1116,APOIO!$A:$E,2,FALSE))</f>
        <v/>
      </c>
      <c r="C1116" s="94"/>
      <c r="D1116" s="32" t="str">
        <f>IF($A1116="","",INDEX(APOIO!$D:$D,MATCH(CONCATENATE($A1116,"_",$B1116,"_",$C1116),APOIO!$F:$F,0)))</f>
        <v/>
      </c>
      <c r="E1116" s="31"/>
      <c r="F1116" s="31"/>
      <c r="G1116" s="33"/>
      <c r="H1116" s="105"/>
      <c r="I1116" s="32" t="str">
        <f>IF($A1116="","",VLOOKUP($H1116,APOIO!$L:$M,2,FALSE))</f>
        <v/>
      </c>
      <c r="J1116" s="31"/>
      <c r="K1116" s="32" t="str">
        <f>IF($A1116="","",VLOOKUP($J1116,APOIO!$H:$J,2,FALSE))</f>
        <v/>
      </c>
      <c r="L1116" s="32" t="str">
        <f>IF($A1116="","",VLOOKUP($J1116,APOIO!$H:$J,3,FALSE))</f>
        <v/>
      </c>
      <c r="M1116" s="31"/>
      <c r="N1116" s="34"/>
      <c r="O1116" s="32"/>
      <c r="P1116" s="32"/>
      <c r="Q1116" s="32"/>
      <c r="R1116" s="32"/>
      <c r="S1116" s="35"/>
      <c r="T1116" s="91"/>
      <c r="U1116" s="60"/>
      <c r="V1116" s="36"/>
      <c r="W1116" s="31"/>
      <c r="X1116" s="59"/>
      <c r="Y1116" s="59" t="str">
        <f>IFERROR(VLOOKUP($A1116,APOIO!$A:$A,1,FALSE),"ERRO")</f>
        <v>ERRO</v>
      </c>
      <c r="Z1116"/>
    </row>
    <row r="1117" spans="1:26" ht="15" x14ac:dyDescent="0.25">
      <c r="A1117" s="94"/>
      <c r="B1117" s="32" t="str">
        <f>IF($A1117="","",VLOOKUP($A1117,APOIO!$A:$E,2,FALSE))</f>
        <v/>
      </c>
      <c r="C1117" s="94"/>
      <c r="D1117" s="32" t="str">
        <f>IF($A1117="","",INDEX(APOIO!$D:$D,MATCH(CONCATENATE($A1117,"_",$B1117,"_",$C1117),APOIO!$F:$F,0)))</f>
        <v/>
      </c>
      <c r="E1117" s="31"/>
      <c r="F1117" s="31"/>
      <c r="G1117" s="33"/>
      <c r="H1117" s="105"/>
      <c r="I1117" s="32" t="str">
        <f>IF($A1117="","",VLOOKUP($H1117,APOIO!$L:$M,2,FALSE))</f>
        <v/>
      </c>
      <c r="J1117" s="31"/>
      <c r="K1117" s="32" t="str">
        <f>IF($A1117="","",VLOOKUP($J1117,APOIO!$H:$J,2,FALSE))</f>
        <v/>
      </c>
      <c r="L1117" s="32" t="str">
        <f>IF($A1117="","",VLOOKUP($J1117,APOIO!$H:$J,3,FALSE))</f>
        <v/>
      </c>
      <c r="M1117" s="31"/>
      <c r="N1117" s="34"/>
      <c r="O1117" s="32"/>
      <c r="P1117" s="32"/>
      <c r="Q1117" s="32"/>
      <c r="R1117" s="32"/>
      <c r="S1117" s="35"/>
      <c r="T1117" s="91"/>
      <c r="U1117" s="60"/>
      <c r="V1117" s="36"/>
      <c r="W1117" s="31"/>
      <c r="X1117" s="59"/>
      <c r="Y1117" s="59" t="str">
        <f>IFERROR(VLOOKUP($A1117,APOIO!$A:$A,1,FALSE),"ERRO")</f>
        <v>ERRO</v>
      </c>
      <c r="Z1117"/>
    </row>
    <row r="1118" spans="1:26" ht="15" x14ac:dyDescent="0.25">
      <c r="A1118" s="94"/>
      <c r="B1118" s="32" t="str">
        <f>IF($A1118="","",VLOOKUP($A1118,APOIO!$A:$E,2,FALSE))</f>
        <v/>
      </c>
      <c r="C1118" s="94"/>
      <c r="D1118" s="32" t="str">
        <f>IF($A1118="","",INDEX(APOIO!$D:$D,MATCH(CONCATENATE($A1118,"_",$B1118,"_",$C1118),APOIO!$F:$F,0)))</f>
        <v/>
      </c>
      <c r="E1118" s="31"/>
      <c r="F1118" s="31"/>
      <c r="G1118" s="33"/>
      <c r="H1118" s="105"/>
      <c r="I1118" s="32" t="str">
        <f>IF($A1118="","",VLOOKUP($H1118,APOIO!$L:$M,2,FALSE))</f>
        <v/>
      </c>
      <c r="J1118" s="31"/>
      <c r="K1118" s="32" t="str">
        <f>IF($A1118="","",VLOOKUP($J1118,APOIO!$H:$J,2,FALSE))</f>
        <v/>
      </c>
      <c r="L1118" s="32" t="str">
        <f>IF($A1118="","",VLOOKUP($J1118,APOIO!$H:$J,3,FALSE))</f>
        <v/>
      </c>
      <c r="M1118" s="31"/>
      <c r="N1118" s="34"/>
      <c r="O1118" s="32"/>
      <c r="P1118" s="32"/>
      <c r="Q1118" s="32"/>
      <c r="R1118" s="32"/>
      <c r="S1118" s="35"/>
      <c r="T1118" s="91"/>
      <c r="U1118" s="60"/>
      <c r="V1118" s="36"/>
      <c r="W1118" s="31"/>
      <c r="X1118" s="59"/>
      <c r="Y1118" s="59" t="str">
        <f>IFERROR(VLOOKUP($A1118,APOIO!$A:$A,1,FALSE),"ERRO")</f>
        <v>ERRO</v>
      </c>
      <c r="Z1118"/>
    </row>
    <row r="1119" spans="1:26" ht="15" x14ac:dyDescent="0.25">
      <c r="A1119" s="94"/>
      <c r="B1119" s="32" t="str">
        <f>IF($A1119="","",VLOOKUP($A1119,APOIO!$A:$E,2,FALSE))</f>
        <v/>
      </c>
      <c r="C1119" s="94"/>
      <c r="D1119" s="32" t="str">
        <f>IF($A1119="","",INDEX(APOIO!$D:$D,MATCH(CONCATENATE($A1119,"_",$B1119,"_",$C1119),APOIO!$F:$F,0)))</f>
        <v/>
      </c>
      <c r="E1119" s="31"/>
      <c r="F1119" s="31"/>
      <c r="G1119" s="33"/>
      <c r="H1119" s="105"/>
      <c r="I1119" s="32" t="str">
        <f>IF($A1119="","",VLOOKUP($H1119,APOIO!$L:$M,2,FALSE))</f>
        <v/>
      </c>
      <c r="J1119" s="31"/>
      <c r="K1119" s="32" t="str">
        <f>IF($A1119="","",VLOOKUP($J1119,APOIO!$H:$J,2,FALSE))</f>
        <v/>
      </c>
      <c r="L1119" s="32" t="str">
        <f>IF($A1119="","",VLOOKUP($J1119,APOIO!$H:$J,3,FALSE))</f>
        <v/>
      </c>
      <c r="M1119" s="31"/>
      <c r="N1119" s="34"/>
      <c r="O1119" s="32"/>
      <c r="P1119" s="32"/>
      <c r="Q1119" s="32"/>
      <c r="R1119" s="32"/>
      <c r="S1119" s="35"/>
      <c r="T1119" s="91"/>
      <c r="U1119" s="60"/>
      <c r="V1119" s="36"/>
      <c r="W1119" s="31"/>
      <c r="X1119" s="59"/>
      <c r="Y1119" s="59" t="str">
        <f>IFERROR(VLOOKUP($A1119,APOIO!$A:$A,1,FALSE),"ERRO")</f>
        <v>ERRO</v>
      </c>
      <c r="Z1119"/>
    </row>
    <row r="1120" spans="1:26" ht="15" x14ac:dyDescent="0.25">
      <c r="A1120" s="94"/>
      <c r="B1120" s="32" t="str">
        <f>IF($A1120="","",VLOOKUP($A1120,APOIO!$A:$E,2,FALSE))</f>
        <v/>
      </c>
      <c r="C1120" s="94"/>
      <c r="D1120" s="32" t="str">
        <f>IF($A1120="","",INDEX(APOIO!$D:$D,MATCH(CONCATENATE($A1120,"_",$B1120,"_",$C1120),APOIO!$F:$F,0)))</f>
        <v/>
      </c>
      <c r="E1120" s="31"/>
      <c r="F1120" s="31"/>
      <c r="G1120" s="33"/>
      <c r="H1120" s="105"/>
      <c r="I1120" s="32" t="str">
        <f>IF($A1120="","",VLOOKUP($H1120,APOIO!$L:$M,2,FALSE))</f>
        <v/>
      </c>
      <c r="J1120" s="31"/>
      <c r="K1120" s="32" t="str">
        <f>IF($A1120="","",VLOOKUP($J1120,APOIO!$H:$J,2,FALSE))</f>
        <v/>
      </c>
      <c r="L1120" s="32" t="str">
        <f>IF($A1120="","",VLOOKUP($J1120,APOIO!$H:$J,3,FALSE))</f>
        <v/>
      </c>
      <c r="M1120" s="31"/>
      <c r="N1120" s="34"/>
      <c r="O1120" s="32"/>
      <c r="P1120" s="32"/>
      <c r="Q1120" s="32"/>
      <c r="R1120" s="32"/>
      <c r="S1120" s="35"/>
      <c r="T1120" s="91"/>
      <c r="U1120" s="60"/>
      <c r="V1120" s="36"/>
      <c r="W1120" s="31"/>
      <c r="X1120" s="59"/>
      <c r="Y1120" s="59" t="str">
        <f>IFERROR(VLOOKUP($A1120,APOIO!$A:$A,1,FALSE),"ERRO")</f>
        <v>ERRO</v>
      </c>
      <c r="Z1120"/>
    </row>
    <row r="1121" spans="1:26" ht="15" x14ac:dyDescent="0.25">
      <c r="A1121" s="94"/>
      <c r="B1121" s="32" t="str">
        <f>IF($A1121="","",VLOOKUP($A1121,APOIO!$A:$E,2,FALSE))</f>
        <v/>
      </c>
      <c r="C1121" s="94"/>
      <c r="D1121" s="32" t="str">
        <f>IF($A1121="","",INDEX(APOIO!$D:$D,MATCH(CONCATENATE($A1121,"_",$B1121,"_",$C1121),APOIO!$F:$F,0)))</f>
        <v/>
      </c>
      <c r="E1121" s="31"/>
      <c r="F1121" s="31"/>
      <c r="G1121" s="33"/>
      <c r="H1121" s="105"/>
      <c r="I1121" s="32" t="str">
        <f>IF($A1121="","",VLOOKUP($H1121,APOIO!$L:$M,2,FALSE))</f>
        <v/>
      </c>
      <c r="J1121" s="31"/>
      <c r="K1121" s="32" t="str">
        <f>IF($A1121="","",VLOOKUP($J1121,APOIO!$H:$J,2,FALSE))</f>
        <v/>
      </c>
      <c r="L1121" s="32" t="str">
        <f>IF($A1121="","",VLOOKUP($J1121,APOIO!$H:$J,3,FALSE))</f>
        <v/>
      </c>
      <c r="M1121" s="31"/>
      <c r="N1121" s="34"/>
      <c r="O1121" s="32"/>
      <c r="P1121" s="32"/>
      <c r="Q1121" s="32"/>
      <c r="R1121" s="32"/>
      <c r="S1121" s="35"/>
      <c r="T1121" s="91"/>
      <c r="U1121" s="60"/>
      <c r="V1121" s="36"/>
      <c r="W1121" s="31"/>
      <c r="X1121" s="59"/>
      <c r="Y1121" s="59" t="str">
        <f>IFERROR(VLOOKUP($A1121,APOIO!$A:$A,1,FALSE),"ERRO")</f>
        <v>ERRO</v>
      </c>
      <c r="Z1121"/>
    </row>
    <row r="1122" spans="1:26" ht="15" x14ac:dyDescent="0.25">
      <c r="A1122" s="94"/>
      <c r="B1122" s="32" t="str">
        <f>IF($A1122="","",VLOOKUP($A1122,APOIO!$A:$E,2,FALSE))</f>
        <v/>
      </c>
      <c r="C1122" s="94"/>
      <c r="D1122" s="32" t="str">
        <f>IF($A1122="","",INDEX(APOIO!$D:$D,MATCH(CONCATENATE($A1122,"_",$B1122,"_",$C1122),APOIO!$F:$F,0)))</f>
        <v/>
      </c>
      <c r="E1122" s="31"/>
      <c r="F1122" s="31"/>
      <c r="G1122" s="33"/>
      <c r="H1122" s="105"/>
      <c r="I1122" s="32" t="str">
        <f>IF($A1122="","",VLOOKUP($H1122,APOIO!$L:$M,2,FALSE))</f>
        <v/>
      </c>
      <c r="J1122" s="31"/>
      <c r="K1122" s="32" t="str">
        <f>IF($A1122="","",VLOOKUP($J1122,APOIO!$H:$J,2,FALSE))</f>
        <v/>
      </c>
      <c r="L1122" s="32" t="str">
        <f>IF($A1122="","",VLOOKUP($J1122,APOIO!$H:$J,3,FALSE))</f>
        <v/>
      </c>
      <c r="M1122" s="31"/>
      <c r="N1122" s="34"/>
      <c r="O1122" s="32"/>
      <c r="P1122" s="32"/>
      <c r="Q1122" s="32"/>
      <c r="R1122" s="32"/>
      <c r="S1122" s="35"/>
      <c r="T1122" s="91"/>
      <c r="U1122" s="60"/>
      <c r="V1122" s="36"/>
      <c r="W1122" s="31"/>
      <c r="X1122" s="59"/>
      <c r="Y1122" s="59" t="str">
        <f>IFERROR(VLOOKUP($A1122,APOIO!$A:$A,1,FALSE),"ERRO")</f>
        <v>ERRO</v>
      </c>
      <c r="Z1122"/>
    </row>
    <row r="1123" spans="1:26" ht="15" x14ac:dyDescent="0.25">
      <c r="A1123" s="94"/>
      <c r="B1123" s="32" t="str">
        <f>IF($A1123="","",VLOOKUP($A1123,APOIO!$A:$E,2,FALSE))</f>
        <v/>
      </c>
      <c r="C1123" s="94"/>
      <c r="D1123" s="32" t="str">
        <f>IF($A1123="","",INDEX(APOIO!$D:$D,MATCH(CONCATENATE($A1123,"_",$B1123,"_",$C1123),APOIO!$F:$F,0)))</f>
        <v/>
      </c>
      <c r="E1123" s="31"/>
      <c r="F1123" s="31"/>
      <c r="G1123" s="33"/>
      <c r="H1123" s="105"/>
      <c r="I1123" s="32" t="str">
        <f>IF($A1123="","",VLOOKUP($H1123,APOIO!$L:$M,2,FALSE))</f>
        <v/>
      </c>
      <c r="J1123" s="31"/>
      <c r="K1123" s="32" t="str">
        <f>IF($A1123="","",VLOOKUP($J1123,APOIO!$H:$J,2,FALSE))</f>
        <v/>
      </c>
      <c r="L1123" s="32" t="str">
        <f>IF($A1123="","",VLOOKUP($J1123,APOIO!$H:$J,3,FALSE))</f>
        <v/>
      </c>
      <c r="M1123" s="31"/>
      <c r="N1123" s="34"/>
      <c r="O1123" s="32"/>
      <c r="P1123" s="32"/>
      <c r="Q1123" s="32"/>
      <c r="R1123" s="32"/>
      <c r="S1123" s="35"/>
      <c r="T1123" s="91"/>
      <c r="U1123" s="60"/>
      <c r="V1123" s="36"/>
      <c r="W1123" s="31"/>
      <c r="X1123" s="59"/>
      <c r="Y1123" s="59" t="str">
        <f>IFERROR(VLOOKUP($A1123,APOIO!$A:$A,1,FALSE),"ERRO")</f>
        <v>ERRO</v>
      </c>
      <c r="Z1123"/>
    </row>
    <row r="1124" spans="1:26" ht="15" x14ac:dyDescent="0.25">
      <c r="A1124" s="94"/>
      <c r="B1124" s="32" t="str">
        <f>IF($A1124="","",VLOOKUP($A1124,APOIO!$A:$E,2,FALSE))</f>
        <v/>
      </c>
      <c r="C1124" s="94"/>
      <c r="D1124" s="32" t="str">
        <f>IF($A1124="","",INDEX(APOIO!$D:$D,MATCH(CONCATENATE($A1124,"_",$B1124,"_",$C1124),APOIO!$F:$F,0)))</f>
        <v/>
      </c>
      <c r="E1124" s="31"/>
      <c r="F1124" s="31"/>
      <c r="G1124" s="33"/>
      <c r="H1124" s="105"/>
      <c r="I1124" s="32" t="str">
        <f>IF($A1124="","",VLOOKUP($H1124,APOIO!$L:$M,2,FALSE))</f>
        <v/>
      </c>
      <c r="J1124" s="31"/>
      <c r="K1124" s="32" t="str">
        <f>IF($A1124="","",VLOOKUP($J1124,APOIO!$H:$J,2,FALSE))</f>
        <v/>
      </c>
      <c r="L1124" s="32" t="str">
        <f>IF($A1124="","",VLOOKUP($J1124,APOIO!$H:$J,3,FALSE))</f>
        <v/>
      </c>
      <c r="M1124" s="31"/>
      <c r="N1124" s="34"/>
      <c r="O1124" s="32"/>
      <c r="P1124" s="32"/>
      <c r="Q1124" s="32"/>
      <c r="R1124" s="32"/>
      <c r="S1124" s="35"/>
      <c r="T1124" s="91"/>
      <c r="U1124" s="60"/>
      <c r="V1124" s="36"/>
      <c r="W1124" s="31"/>
      <c r="X1124" s="59"/>
      <c r="Y1124" s="59" t="str">
        <f>IFERROR(VLOOKUP($A1124,APOIO!$A:$A,1,FALSE),"ERRO")</f>
        <v>ERRO</v>
      </c>
      <c r="Z1124"/>
    </row>
    <row r="1125" spans="1:26" ht="15" x14ac:dyDescent="0.25">
      <c r="A1125" s="94"/>
      <c r="B1125" s="32" t="str">
        <f>IF($A1125="","",VLOOKUP($A1125,APOIO!$A:$E,2,FALSE))</f>
        <v/>
      </c>
      <c r="C1125" s="94"/>
      <c r="D1125" s="32" t="str">
        <f>IF($A1125="","",INDEX(APOIO!$D:$D,MATCH(CONCATENATE($A1125,"_",$B1125,"_",$C1125),APOIO!$F:$F,0)))</f>
        <v/>
      </c>
      <c r="E1125" s="31"/>
      <c r="F1125" s="31"/>
      <c r="G1125" s="33"/>
      <c r="H1125" s="105"/>
      <c r="I1125" s="32" t="str">
        <f>IF($A1125="","",VLOOKUP($H1125,APOIO!$L:$M,2,FALSE))</f>
        <v/>
      </c>
      <c r="J1125" s="31"/>
      <c r="K1125" s="32" t="str">
        <f>IF($A1125="","",VLOOKUP($J1125,APOIO!$H:$J,2,FALSE))</f>
        <v/>
      </c>
      <c r="L1125" s="32" t="str">
        <f>IF($A1125="","",VLOOKUP($J1125,APOIO!$H:$J,3,FALSE))</f>
        <v/>
      </c>
      <c r="M1125" s="31"/>
      <c r="N1125" s="34"/>
      <c r="O1125" s="32"/>
      <c r="P1125" s="32"/>
      <c r="Q1125" s="32"/>
      <c r="R1125" s="32"/>
      <c r="S1125" s="35"/>
      <c r="T1125" s="91"/>
      <c r="U1125" s="60"/>
      <c r="V1125" s="36"/>
      <c r="W1125" s="31"/>
      <c r="X1125" s="59"/>
      <c r="Y1125" s="59" t="str">
        <f>IFERROR(VLOOKUP($A1125,APOIO!$A:$A,1,FALSE),"ERRO")</f>
        <v>ERRO</v>
      </c>
      <c r="Z1125"/>
    </row>
    <row r="1126" spans="1:26" ht="15" x14ac:dyDescent="0.25">
      <c r="A1126" s="94"/>
      <c r="B1126" s="32" t="str">
        <f>IF($A1126="","",VLOOKUP($A1126,APOIO!$A:$E,2,FALSE))</f>
        <v/>
      </c>
      <c r="C1126" s="94"/>
      <c r="D1126" s="32" t="str">
        <f>IF($A1126="","",INDEX(APOIO!$D:$D,MATCH(CONCATENATE($A1126,"_",$B1126,"_",$C1126),APOIO!$F:$F,0)))</f>
        <v/>
      </c>
      <c r="E1126" s="31"/>
      <c r="F1126" s="31"/>
      <c r="G1126" s="33"/>
      <c r="H1126" s="105"/>
      <c r="I1126" s="32" t="str">
        <f>IF($A1126="","",VLOOKUP($H1126,APOIO!$L:$M,2,FALSE))</f>
        <v/>
      </c>
      <c r="J1126" s="31"/>
      <c r="K1126" s="32" t="str">
        <f>IF($A1126="","",VLOOKUP($J1126,APOIO!$H:$J,2,FALSE))</f>
        <v/>
      </c>
      <c r="L1126" s="32" t="str">
        <f>IF($A1126="","",VLOOKUP($J1126,APOIO!$H:$J,3,FALSE))</f>
        <v/>
      </c>
      <c r="M1126" s="31"/>
      <c r="N1126" s="34"/>
      <c r="O1126" s="32"/>
      <c r="P1126" s="32"/>
      <c r="Q1126" s="32"/>
      <c r="R1126" s="32"/>
      <c r="S1126" s="35"/>
      <c r="T1126" s="91"/>
      <c r="U1126" s="60"/>
      <c r="V1126" s="36"/>
      <c r="W1126" s="31"/>
      <c r="X1126" s="59"/>
      <c r="Y1126" s="59" t="str">
        <f>IFERROR(VLOOKUP($A1126,APOIO!$A:$A,1,FALSE),"ERRO")</f>
        <v>ERRO</v>
      </c>
      <c r="Z1126"/>
    </row>
    <row r="1127" spans="1:26" ht="15" x14ac:dyDescent="0.25">
      <c r="A1127" s="94"/>
      <c r="B1127" s="32" t="str">
        <f>IF($A1127="","",VLOOKUP($A1127,APOIO!$A:$E,2,FALSE))</f>
        <v/>
      </c>
      <c r="C1127" s="94"/>
      <c r="D1127" s="32" t="str">
        <f>IF($A1127="","",INDEX(APOIO!$D:$D,MATCH(CONCATENATE($A1127,"_",$B1127,"_",$C1127),APOIO!$F:$F,0)))</f>
        <v/>
      </c>
      <c r="E1127" s="31"/>
      <c r="F1127" s="31"/>
      <c r="G1127" s="33"/>
      <c r="H1127" s="105"/>
      <c r="I1127" s="32" t="str">
        <f>IF($A1127="","",VLOOKUP($H1127,APOIO!$L:$M,2,FALSE))</f>
        <v/>
      </c>
      <c r="J1127" s="31"/>
      <c r="K1127" s="32" t="str">
        <f>IF($A1127="","",VLOOKUP($J1127,APOIO!$H:$J,2,FALSE))</f>
        <v/>
      </c>
      <c r="L1127" s="32" t="str">
        <f>IF($A1127="","",VLOOKUP($J1127,APOIO!$H:$J,3,FALSE))</f>
        <v/>
      </c>
      <c r="M1127" s="31"/>
      <c r="N1127" s="34"/>
      <c r="O1127" s="32"/>
      <c r="P1127" s="32"/>
      <c r="Q1127" s="32"/>
      <c r="R1127" s="32"/>
      <c r="S1127" s="35"/>
      <c r="T1127" s="91"/>
      <c r="U1127" s="60"/>
      <c r="V1127" s="36"/>
      <c r="W1127" s="31"/>
      <c r="X1127" s="59"/>
      <c r="Y1127" s="59" t="str">
        <f>IFERROR(VLOOKUP($A1127,APOIO!$A:$A,1,FALSE),"ERRO")</f>
        <v>ERRO</v>
      </c>
      <c r="Z1127"/>
    </row>
    <row r="1128" spans="1:26" ht="15" x14ac:dyDescent="0.25">
      <c r="A1128" s="94"/>
      <c r="B1128" s="32" t="str">
        <f>IF($A1128="","",VLOOKUP($A1128,APOIO!$A:$E,2,FALSE))</f>
        <v/>
      </c>
      <c r="C1128" s="94"/>
      <c r="D1128" s="32" t="str">
        <f>IF($A1128="","",INDEX(APOIO!$D:$D,MATCH(CONCATENATE($A1128,"_",$B1128,"_",$C1128),APOIO!$F:$F,0)))</f>
        <v/>
      </c>
      <c r="E1128" s="31"/>
      <c r="F1128" s="31"/>
      <c r="G1128" s="33"/>
      <c r="H1128" s="105"/>
      <c r="I1128" s="32" t="str">
        <f>IF($A1128="","",VLOOKUP($H1128,APOIO!$L:$M,2,FALSE))</f>
        <v/>
      </c>
      <c r="J1128" s="31"/>
      <c r="K1128" s="32" t="str">
        <f>IF($A1128="","",VLOOKUP($J1128,APOIO!$H:$J,2,FALSE))</f>
        <v/>
      </c>
      <c r="L1128" s="32" t="str">
        <f>IF($A1128="","",VLOOKUP($J1128,APOIO!$H:$J,3,FALSE))</f>
        <v/>
      </c>
      <c r="M1128" s="31"/>
      <c r="N1128" s="34"/>
      <c r="O1128" s="32"/>
      <c r="P1128" s="32"/>
      <c r="Q1128" s="32"/>
      <c r="R1128" s="32"/>
      <c r="S1128" s="35"/>
      <c r="T1128" s="91"/>
      <c r="U1128" s="60"/>
      <c r="V1128" s="36"/>
      <c r="W1128" s="31"/>
      <c r="X1128" s="59"/>
      <c r="Y1128" s="59" t="str">
        <f>IFERROR(VLOOKUP($A1128,APOIO!$A:$A,1,FALSE),"ERRO")</f>
        <v>ERRO</v>
      </c>
      <c r="Z1128"/>
    </row>
    <row r="1129" spans="1:26" ht="15" x14ac:dyDescent="0.25">
      <c r="A1129" s="94"/>
      <c r="B1129" s="32" t="str">
        <f>IF($A1129="","",VLOOKUP($A1129,APOIO!$A:$E,2,FALSE))</f>
        <v/>
      </c>
      <c r="C1129" s="94"/>
      <c r="D1129" s="32" t="str">
        <f>IF($A1129="","",INDEX(APOIO!$D:$D,MATCH(CONCATENATE($A1129,"_",$B1129,"_",$C1129),APOIO!$F:$F,0)))</f>
        <v/>
      </c>
      <c r="E1129" s="31"/>
      <c r="F1129" s="31"/>
      <c r="G1129" s="33"/>
      <c r="H1129" s="105"/>
      <c r="I1129" s="32" t="str">
        <f>IF($A1129="","",VLOOKUP($H1129,APOIO!$L:$M,2,FALSE))</f>
        <v/>
      </c>
      <c r="J1129" s="31"/>
      <c r="K1129" s="32" t="str">
        <f>IF($A1129="","",VLOOKUP($J1129,APOIO!$H:$J,2,FALSE))</f>
        <v/>
      </c>
      <c r="L1129" s="32" t="str">
        <f>IF($A1129="","",VLOOKUP($J1129,APOIO!$H:$J,3,FALSE))</f>
        <v/>
      </c>
      <c r="M1129" s="31"/>
      <c r="N1129" s="34"/>
      <c r="O1129" s="32"/>
      <c r="P1129" s="32"/>
      <c r="Q1129" s="32"/>
      <c r="R1129" s="32"/>
      <c r="S1129" s="35"/>
      <c r="T1129" s="91"/>
      <c r="U1129" s="60"/>
      <c r="V1129" s="36"/>
      <c r="W1129" s="31"/>
      <c r="X1129" s="59"/>
      <c r="Y1129" s="59" t="str">
        <f>IFERROR(VLOOKUP($A1129,APOIO!$A:$A,1,FALSE),"ERRO")</f>
        <v>ERRO</v>
      </c>
      <c r="Z1129"/>
    </row>
    <row r="1130" spans="1:26" ht="15" x14ac:dyDescent="0.25">
      <c r="A1130" s="94"/>
      <c r="B1130" s="32" t="str">
        <f>IF($A1130="","",VLOOKUP($A1130,APOIO!$A:$E,2,FALSE))</f>
        <v/>
      </c>
      <c r="C1130" s="94"/>
      <c r="D1130" s="32" t="str">
        <f>IF($A1130="","",INDEX(APOIO!$D:$D,MATCH(CONCATENATE($A1130,"_",$B1130,"_",$C1130),APOIO!$F:$F,0)))</f>
        <v/>
      </c>
      <c r="E1130" s="31"/>
      <c r="F1130" s="31"/>
      <c r="G1130" s="33"/>
      <c r="H1130" s="105"/>
      <c r="I1130" s="32" t="str">
        <f>IF($A1130="","",VLOOKUP($H1130,APOIO!$L:$M,2,FALSE))</f>
        <v/>
      </c>
      <c r="J1130" s="31"/>
      <c r="K1130" s="32" t="str">
        <f>IF($A1130="","",VLOOKUP($J1130,APOIO!$H:$J,2,FALSE))</f>
        <v/>
      </c>
      <c r="L1130" s="32" t="str">
        <f>IF($A1130="","",VLOOKUP($J1130,APOIO!$H:$J,3,FALSE))</f>
        <v/>
      </c>
      <c r="M1130" s="31"/>
      <c r="N1130" s="34"/>
      <c r="O1130" s="32"/>
      <c r="P1130" s="32"/>
      <c r="Q1130" s="32"/>
      <c r="R1130" s="32"/>
      <c r="S1130" s="35"/>
      <c r="T1130" s="91"/>
      <c r="U1130" s="60"/>
      <c r="V1130" s="36"/>
      <c r="W1130" s="31"/>
      <c r="X1130" s="59"/>
      <c r="Y1130" s="59" t="str">
        <f>IFERROR(VLOOKUP($A1130,APOIO!$A:$A,1,FALSE),"ERRO")</f>
        <v>ERRO</v>
      </c>
      <c r="Z1130"/>
    </row>
    <row r="1131" spans="1:26" ht="15" x14ac:dyDescent="0.25">
      <c r="A1131" s="94"/>
      <c r="B1131" s="32" t="str">
        <f>IF($A1131="","",VLOOKUP($A1131,APOIO!$A:$E,2,FALSE))</f>
        <v/>
      </c>
      <c r="C1131" s="94"/>
      <c r="D1131" s="32" t="str">
        <f>IF($A1131="","",INDEX(APOIO!$D:$D,MATCH(CONCATENATE($A1131,"_",$B1131,"_",$C1131),APOIO!$F:$F,0)))</f>
        <v/>
      </c>
      <c r="E1131" s="31"/>
      <c r="F1131" s="31"/>
      <c r="G1131" s="33"/>
      <c r="H1131" s="105"/>
      <c r="I1131" s="32" t="str">
        <f>IF($A1131="","",VLOOKUP($H1131,APOIO!$L:$M,2,FALSE))</f>
        <v/>
      </c>
      <c r="J1131" s="31"/>
      <c r="K1131" s="32" t="str">
        <f>IF($A1131="","",VLOOKUP($J1131,APOIO!$H:$J,2,FALSE))</f>
        <v/>
      </c>
      <c r="L1131" s="32" t="str">
        <f>IF($A1131="","",VLOOKUP($J1131,APOIO!$H:$J,3,FALSE))</f>
        <v/>
      </c>
      <c r="M1131" s="31"/>
      <c r="N1131" s="34"/>
      <c r="O1131" s="32"/>
      <c r="P1131" s="32"/>
      <c r="Q1131" s="32"/>
      <c r="R1131" s="32"/>
      <c r="S1131" s="35"/>
      <c r="T1131" s="91"/>
      <c r="U1131" s="60"/>
      <c r="V1131" s="36"/>
      <c r="W1131" s="31"/>
      <c r="X1131" s="59"/>
      <c r="Y1131" s="59" t="str">
        <f>IFERROR(VLOOKUP($A1131,APOIO!$A:$A,1,FALSE),"ERRO")</f>
        <v>ERRO</v>
      </c>
      <c r="Z1131"/>
    </row>
    <row r="1132" spans="1:26" ht="15" x14ac:dyDescent="0.25">
      <c r="A1132" s="94"/>
      <c r="B1132" s="32" t="str">
        <f>IF($A1132="","",VLOOKUP($A1132,APOIO!$A:$E,2,FALSE))</f>
        <v/>
      </c>
      <c r="C1132" s="94"/>
      <c r="D1132" s="32" t="str">
        <f>IF($A1132="","",INDEX(APOIO!$D:$D,MATCH(CONCATENATE($A1132,"_",$B1132,"_",$C1132),APOIO!$F:$F,0)))</f>
        <v/>
      </c>
      <c r="E1132" s="31"/>
      <c r="F1132" s="31"/>
      <c r="G1132" s="33"/>
      <c r="H1132" s="105"/>
      <c r="I1132" s="32" t="str">
        <f>IF($A1132="","",VLOOKUP($H1132,APOIO!$L:$M,2,FALSE))</f>
        <v/>
      </c>
      <c r="J1132" s="31"/>
      <c r="K1132" s="32" t="str">
        <f>IF($A1132="","",VLOOKUP($J1132,APOIO!$H:$J,2,FALSE))</f>
        <v/>
      </c>
      <c r="L1132" s="32" t="str">
        <f>IF($A1132="","",VLOOKUP($J1132,APOIO!$H:$J,3,FALSE))</f>
        <v/>
      </c>
      <c r="M1132" s="31"/>
      <c r="N1132" s="34"/>
      <c r="O1132" s="32"/>
      <c r="P1132" s="32"/>
      <c r="Q1132" s="32"/>
      <c r="R1132" s="32"/>
      <c r="S1132" s="35"/>
      <c r="T1132" s="91"/>
      <c r="U1132" s="60"/>
      <c r="V1132" s="36"/>
      <c r="W1132" s="31"/>
      <c r="X1132" s="59"/>
      <c r="Y1132" s="59" t="str">
        <f>IFERROR(VLOOKUP($A1132,APOIO!$A:$A,1,FALSE),"ERRO")</f>
        <v>ERRO</v>
      </c>
      <c r="Z1132"/>
    </row>
    <row r="1133" spans="1:26" ht="15" x14ac:dyDescent="0.25">
      <c r="A1133" s="94"/>
      <c r="B1133" s="32" t="str">
        <f>IF($A1133="","",VLOOKUP($A1133,APOIO!$A:$E,2,FALSE))</f>
        <v/>
      </c>
      <c r="C1133" s="94"/>
      <c r="D1133" s="32" t="str">
        <f>IF($A1133="","",INDEX(APOIO!$D:$D,MATCH(CONCATENATE($A1133,"_",$B1133,"_",$C1133),APOIO!$F:$F,0)))</f>
        <v/>
      </c>
      <c r="E1133" s="31"/>
      <c r="F1133" s="31"/>
      <c r="G1133" s="33"/>
      <c r="H1133" s="105"/>
      <c r="I1133" s="32" t="str">
        <f>IF($A1133="","",VLOOKUP($H1133,APOIO!$L:$M,2,FALSE))</f>
        <v/>
      </c>
      <c r="J1133" s="31"/>
      <c r="K1133" s="32" t="str">
        <f>IF($A1133="","",VLOOKUP($J1133,APOIO!$H:$J,2,FALSE))</f>
        <v/>
      </c>
      <c r="L1133" s="32" t="str">
        <f>IF($A1133="","",VLOOKUP($J1133,APOIO!$H:$J,3,FALSE))</f>
        <v/>
      </c>
      <c r="M1133" s="31"/>
      <c r="N1133" s="34"/>
      <c r="O1133" s="32"/>
      <c r="P1133" s="32"/>
      <c r="Q1133" s="32"/>
      <c r="R1133" s="32"/>
      <c r="S1133" s="35"/>
      <c r="T1133" s="91"/>
      <c r="U1133" s="60"/>
      <c r="V1133" s="36"/>
      <c r="W1133" s="31"/>
      <c r="X1133" s="59"/>
      <c r="Y1133" s="59" t="str">
        <f>IFERROR(VLOOKUP($A1133,APOIO!$A:$A,1,FALSE),"ERRO")</f>
        <v>ERRO</v>
      </c>
      <c r="Z1133"/>
    </row>
    <row r="1134" spans="1:26" ht="15" x14ac:dyDescent="0.25">
      <c r="A1134" s="94"/>
      <c r="B1134" s="32" t="str">
        <f>IF($A1134="","",VLOOKUP($A1134,APOIO!$A:$E,2,FALSE))</f>
        <v/>
      </c>
      <c r="C1134" s="94"/>
      <c r="D1134" s="32" t="str">
        <f>IF($A1134="","",INDEX(APOIO!$D:$D,MATCH(CONCATENATE($A1134,"_",$B1134,"_",$C1134),APOIO!$F:$F,0)))</f>
        <v/>
      </c>
      <c r="E1134" s="31"/>
      <c r="F1134" s="31"/>
      <c r="G1134" s="33"/>
      <c r="H1134" s="105"/>
      <c r="I1134" s="32" t="str">
        <f>IF($A1134="","",VLOOKUP($H1134,APOIO!$L:$M,2,FALSE))</f>
        <v/>
      </c>
      <c r="J1134" s="31"/>
      <c r="K1134" s="32" t="str">
        <f>IF($A1134="","",VLOOKUP($J1134,APOIO!$H:$J,2,FALSE))</f>
        <v/>
      </c>
      <c r="L1134" s="32" t="str">
        <f>IF($A1134="","",VLOOKUP($J1134,APOIO!$H:$J,3,FALSE))</f>
        <v/>
      </c>
      <c r="M1134" s="31"/>
      <c r="N1134" s="34"/>
      <c r="O1134" s="32"/>
      <c r="P1134" s="32"/>
      <c r="Q1134" s="32"/>
      <c r="R1134" s="32"/>
      <c r="S1134" s="35"/>
      <c r="T1134" s="91"/>
      <c r="U1134" s="60"/>
      <c r="V1134" s="36"/>
      <c r="W1134" s="31"/>
      <c r="X1134" s="59"/>
      <c r="Y1134" s="59" t="str">
        <f>IFERROR(VLOOKUP($A1134,APOIO!$A:$A,1,FALSE),"ERRO")</f>
        <v>ERRO</v>
      </c>
      <c r="Z1134"/>
    </row>
    <row r="1135" spans="1:26" ht="15" x14ac:dyDescent="0.25">
      <c r="A1135" s="94"/>
      <c r="B1135" s="32" t="str">
        <f>IF($A1135="","",VLOOKUP($A1135,APOIO!$A:$E,2,FALSE))</f>
        <v/>
      </c>
      <c r="C1135" s="94"/>
      <c r="D1135" s="32" t="str">
        <f>IF($A1135="","",INDEX(APOIO!$D:$D,MATCH(CONCATENATE($A1135,"_",$B1135,"_",$C1135),APOIO!$F:$F,0)))</f>
        <v/>
      </c>
      <c r="E1135" s="31"/>
      <c r="F1135" s="31"/>
      <c r="G1135" s="33"/>
      <c r="H1135" s="105"/>
      <c r="I1135" s="32" t="str">
        <f>IF($A1135="","",VLOOKUP($H1135,APOIO!$L:$M,2,FALSE))</f>
        <v/>
      </c>
      <c r="J1135" s="31"/>
      <c r="K1135" s="32" t="str">
        <f>IF($A1135="","",VLOOKUP($J1135,APOIO!$H:$J,2,FALSE))</f>
        <v/>
      </c>
      <c r="L1135" s="32" t="str">
        <f>IF($A1135="","",VLOOKUP($J1135,APOIO!$H:$J,3,FALSE))</f>
        <v/>
      </c>
      <c r="M1135" s="31"/>
      <c r="N1135" s="34"/>
      <c r="O1135" s="32"/>
      <c r="P1135" s="32"/>
      <c r="Q1135" s="32"/>
      <c r="R1135" s="32"/>
      <c r="S1135" s="35"/>
      <c r="T1135" s="91"/>
      <c r="U1135" s="60"/>
      <c r="V1135" s="36"/>
      <c r="W1135" s="31"/>
      <c r="X1135" s="59"/>
      <c r="Y1135" s="59" t="str">
        <f>IFERROR(VLOOKUP($A1135,APOIO!$A:$A,1,FALSE),"ERRO")</f>
        <v>ERRO</v>
      </c>
      <c r="Z1135"/>
    </row>
    <row r="1136" spans="1:26" ht="15" x14ac:dyDescent="0.25">
      <c r="A1136" s="94"/>
      <c r="B1136" s="32" t="str">
        <f>IF($A1136="","",VLOOKUP($A1136,APOIO!$A:$E,2,FALSE))</f>
        <v/>
      </c>
      <c r="C1136" s="94"/>
      <c r="D1136" s="32" t="str">
        <f>IF($A1136="","",INDEX(APOIO!$D:$D,MATCH(CONCATENATE($A1136,"_",$B1136,"_",$C1136),APOIO!$F:$F,0)))</f>
        <v/>
      </c>
      <c r="E1136" s="31"/>
      <c r="F1136" s="31"/>
      <c r="G1136" s="33"/>
      <c r="H1136" s="105"/>
      <c r="I1136" s="32" t="str">
        <f>IF($A1136="","",VLOOKUP($H1136,APOIO!$L:$M,2,FALSE))</f>
        <v/>
      </c>
      <c r="J1136" s="31"/>
      <c r="K1136" s="32" t="str">
        <f>IF($A1136="","",VLOOKUP($J1136,APOIO!$H:$J,2,FALSE))</f>
        <v/>
      </c>
      <c r="L1136" s="32" t="str">
        <f>IF($A1136="","",VLOOKUP($J1136,APOIO!$H:$J,3,FALSE))</f>
        <v/>
      </c>
      <c r="M1136" s="31"/>
      <c r="N1136" s="34"/>
      <c r="O1136" s="32"/>
      <c r="P1136" s="32"/>
      <c r="Q1136" s="32"/>
      <c r="R1136" s="32"/>
      <c r="S1136" s="35"/>
      <c r="T1136" s="91"/>
      <c r="U1136" s="60"/>
      <c r="V1136" s="36"/>
      <c r="W1136" s="31"/>
      <c r="X1136" s="59"/>
      <c r="Y1136" s="59" t="str">
        <f>IFERROR(VLOOKUP($A1136,APOIO!$A:$A,1,FALSE),"ERRO")</f>
        <v>ERRO</v>
      </c>
      <c r="Z1136"/>
    </row>
    <row r="1137" spans="1:26" ht="15" x14ac:dyDescent="0.25">
      <c r="A1137" s="94"/>
      <c r="B1137" s="32" t="str">
        <f>IF($A1137="","",VLOOKUP($A1137,APOIO!$A:$E,2,FALSE))</f>
        <v/>
      </c>
      <c r="C1137" s="94"/>
      <c r="D1137" s="32" t="str">
        <f>IF($A1137="","",INDEX(APOIO!$D:$D,MATCH(CONCATENATE($A1137,"_",$B1137,"_",$C1137),APOIO!$F:$F,0)))</f>
        <v/>
      </c>
      <c r="E1137" s="31"/>
      <c r="F1137" s="31"/>
      <c r="G1137" s="33"/>
      <c r="H1137" s="105"/>
      <c r="I1137" s="32" t="str">
        <f>IF($A1137="","",VLOOKUP($H1137,APOIO!$L:$M,2,FALSE))</f>
        <v/>
      </c>
      <c r="J1137" s="31"/>
      <c r="K1137" s="32" t="str">
        <f>IF($A1137="","",VLOOKUP($J1137,APOIO!$H:$J,2,FALSE))</f>
        <v/>
      </c>
      <c r="L1137" s="32" t="str">
        <f>IF($A1137="","",VLOOKUP($J1137,APOIO!$H:$J,3,FALSE))</f>
        <v/>
      </c>
      <c r="M1137" s="31"/>
      <c r="N1137" s="34"/>
      <c r="O1137" s="32"/>
      <c r="P1137" s="32"/>
      <c r="Q1137" s="32"/>
      <c r="R1137" s="32"/>
      <c r="S1137" s="35"/>
      <c r="T1137" s="91"/>
      <c r="U1137" s="60"/>
      <c r="V1137" s="36"/>
      <c r="W1137" s="31"/>
      <c r="X1137" s="59"/>
      <c r="Y1137" s="59" t="str">
        <f>IFERROR(VLOOKUP($A1137,APOIO!$A:$A,1,FALSE),"ERRO")</f>
        <v>ERRO</v>
      </c>
      <c r="Z1137"/>
    </row>
    <row r="1138" spans="1:26" ht="15" x14ac:dyDescent="0.25">
      <c r="A1138" s="94"/>
      <c r="B1138" s="32" t="str">
        <f>IF($A1138="","",VLOOKUP($A1138,APOIO!$A:$E,2,FALSE))</f>
        <v/>
      </c>
      <c r="C1138" s="94"/>
      <c r="D1138" s="32" t="str">
        <f>IF($A1138="","",INDEX(APOIO!$D:$D,MATCH(CONCATENATE($A1138,"_",$B1138,"_",$C1138),APOIO!$F:$F,0)))</f>
        <v/>
      </c>
      <c r="E1138" s="31"/>
      <c r="F1138" s="31"/>
      <c r="G1138" s="33"/>
      <c r="H1138" s="105"/>
      <c r="I1138" s="32" t="str">
        <f>IF($A1138="","",VLOOKUP($H1138,APOIO!$L:$M,2,FALSE))</f>
        <v/>
      </c>
      <c r="J1138" s="31"/>
      <c r="K1138" s="32" t="str">
        <f>IF($A1138="","",VLOOKUP($J1138,APOIO!$H:$J,2,FALSE))</f>
        <v/>
      </c>
      <c r="L1138" s="32" t="str">
        <f>IF($A1138="","",VLOOKUP($J1138,APOIO!$H:$J,3,FALSE))</f>
        <v/>
      </c>
      <c r="M1138" s="31"/>
      <c r="N1138" s="34"/>
      <c r="O1138" s="32"/>
      <c r="P1138" s="32"/>
      <c r="Q1138" s="32"/>
      <c r="R1138" s="32"/>
      <c r="S1138" s="35"/>
      <c r="T1138" s="91"/>
      <c r="U1138" s="60"/>
      <c r="V1138" s="36"/>
      <c r="W1138" s="31"/>
      <c r="X1138" s="59"/>
      <c r="Y1138" s="59" t="str">
        <f>IFERROR(VLOOKUP($A1138,APOIO!$A:$A,1,FALSE),"ERRO")</f>
        <v>ERRO</v>
      </c>
      <c r="Z1138"/>
    </row>
    <row r="1139" spans="1:26" ht="15" x14ac:dyDescent="0.25">
      <c r="A1139" s="94"/>
      <c r="B1139" s="32" t="str">
        <f>IF($A1139="","",VLOOKUP($A1139,APOIO!$A:$E,2,FALSE))</f>
        <v/>
      </c>
      <c r="C1139" s="94"/>
      <c r="D1139" s="32" t="str">
        <f>IF($A1139="","",INDEX(APOIO!$D:$D,MATCH(CONCATENATE($A1139,"_",$B1139,"_",$C1139),APOIO!$F:$F,0)))</f>
        <v/>
      </c>
      <c r="E1139" s="31"/>
      <c r="F1139" s="31"/>
      <c r="G1139" s="33"/>
      <c r="H1139" s="105"/>
      <c r="I1139" s="32" t="str">
        <f>IF($A1139="","",VLOOKUP($H1139,APOIO!$L:$M,2,FALSE))</f>
        <v/>
      </c>
      <c r="J1139" s="31"/>
      <c r="K1139" s="32" t="str">
        <f>IF($A1139="","",VLOOKUP($J1139,APOIO!$H:$J,2,FALSE))</f>
        <v/>
      </c>
      <c r="L1139" s="32" t="str">
        <f>IF($A1139="","",VLOOKUP($J1139,APOIO!$H:$J,3,FALSE))</f>
        <v/>
      </c>
      <c r="M1139" s="31"/>
      <c r="N1139" s="34"/>
      <c r="O1139" s="32"/>
      <c r="P1139" s="32"/>
      <c r="Q1139" s="32"/>
      <c r="R1139" s="32"/>
      <c r="S1139" s="35"/>
      <c r="T1139" s="91"/>
      <c r="U1139" s="60"/>
      <c r="V1139" s="36"/>
      <c r="W1139" s="31"/>
      <c r="X1139" s="59"/>
      <c r="Y1139" s="59" t="str">
        <f>IFERROR(VLOOKUP($A1139,APOIO!$A:$A,1,FALSE),"ERRO")</f>
        <v>ERRO</v>
      </c>
      <c r="Z1139"/>
    </row>
    <row r="1140" spans="1:26" ht="15" x14ac:dyDescent="0.25">
      <c r="A1140" s="94"/>
      <c r="B1140" s="32" t="str">
        <f>IF($A1140="","",VLOOKUP($A1140,APOIO!$A:$E,2,FALSE))</f>
        <v/>
      </c>
      <c r="C1140" s="94"/>
      <c r="D1140" s="32" t="str">
        <f>IF($A1140="","",INDEX(APOIO!$D:$D,MATCH(CONCATENATE($A1140,"_",$B1140,"_",$C1140),APOIO!$F:$F,0)))</f>
        <v/>
      </c>
      <c r="E1140" s="31"/>
      <c r="F1140" s="31"/>
      <c r="G1140" s="33"/>
      <c r="H1140" s="105"/>
      <c r="I1140" s="32" t="str">
        <f>IF($A1140="","",VLOOKUP($H1140,APOIO!$L:$M,2,FALSE))</f>
        <v/>
      </c>
      <c r="J1140" s="31"/>
      <c r="K1140" s="32" t="str">
        <f>IF($A1140="","",VLOOKUP($J1140,APOIO!$H:$J,2,FALSE))</f>
        <v/>
      </c>
      <c r="L1140" s="32" t="str">
        <f>IF($A1140="","",VLOOKUP($J1140,APOIO!$H:$J,3,FALSE))</f>
        <v/>
      </c>
      <c r="M1140" s="31"/>
      <c r="N1140" s="34"/>
      <c r="O1140" s="32"/>
      <c r="P1140" s="32"/>
      <c r="Q1140" s="32"/>
      <c r="R1140" s="32"/>
      <c r="S1140" s="35"/>
      <c r="T1140" s="91"/>
      <c r="U1140" s="60"/>
      <c r="V1140" s="36"/>
      <c r="W1140" s="31"/>
      <c r="X1140" s="59"/>
      <c r="Y1140" s="59" t="str">
        <f>IFERROR(VLOOKUP($A1140,APOIO!$A:$A,1,FALSE),"ERRO")</f>
        <v>ERRO</v>
      </c>
      <c r="Z1140"/>
    </row>
    <row r="1141" spans="1:26" ht="15" x14ac:dyDescent="0.25">
      <c r="A1141" s="94"/>
      <c r="B1141" s="32" t="str">
        <f>IF($A1141="","",VLOOKUP($A1141,APOIO!$A:$E,2,FALSE))</f>
        <v/>
      </c>
      <c r="C1141" s="94"/>
      <c r="D1141" s="32" t="str">
        <f>IF($A1141="","",INDEX(APOIO!$D:$D,MATCH(CONCATENATE($A1141,"_",$B1141,"_",$C1141),APOIO!$F:$F,0)))</f>
        <v/>
      </c>
      <c r="E1141" s="31"/>
      <c r="F1141" s="31"/>
      <c r="G1141" s="33"/>
      <c r="H1141" s="105"/>
      <c r="I1141" s="32" t="str">
        <f>IF($A1141="","",VLOOKUP($H1141,APOIO!$L:$M,2,FALSE))</f>
        <v/>
      </c>
      <c r="J1141" s="31"/>
      <c r="K1141" s="32" t="str">
        <f>IF($A1141="","",VLOOKUP($J1141,APOIO!$H:$J,2,FALSE))</f>
        <v/>
      </c>
      <c r="L1141" s="32" t="str">
        <f>IF($A1141="","",VLOOKUP($J1141,APOIO!$H:$J,3,FALSE))</f>
        <v/>
      </c>
      <c r="M1141" s="31"/>
      <c r="N1141" s="34"/>
      <c r="O1141" s="32"/>
      <c r="P1141" s="32"/>
      <c r="Q1141" s="32"/>
      <c r="R1141" s="32"/>
      <c r="S1141" s="35"/>
      <c r="T1141" s="91"/>
      <c r="U1141" s="60"/>
      <c r="V1141" s="36"/>
      <c r="W1141" s="31"/>
      <c r="X1141" s="59"/>
      <c r="Y1141" s="59" t="str">
        <f>IFERROR(VLOOKUP($A1141,APOIO!$A:$A,1,FALSE),"ERRO")</f>
        <v>ERRO</v>
      </c>
      <c r="Z1141"/>
    </row>
    <row r="1142" spans="1:26" ht="15" x14ac:dyDescent="0.25">
      <c r="A1142" s="94"/>
      <c r="B1142" s="32" t="str">
        <f>IF($A1142="","",VLOOKUP($A1142,APOIO!$A:$E,2,FALSE))</f>
        <v/>
      </c>
      <c r="C1142" s="94"/>
      <c r="D1142" s="32" t="str">
        <f>IF($A1142="","",INDEX(APOIO!$D:$D,MATCH(CONCATENATE($A1142,"_",$B1142,"_",$C1142),APOIO!$F:$F,0)))</f>
        <v/>
      </c>
      <c r="E1142" s="31"/>
      <c r="F1142" s="31"/>
      <c r="G1142" s="33"/>
      <c r="H1142" s="105"/>
      <c r="I1142" s="32" t="str">
        <f>IF($A1142="","",VLOOKUP($H1142,APOIO!$L:$M,2,FALSE))</f>
        <v/>
      </c>
      <c r="J1142" s="31"/>
      <c r="K1142" s="32" t="str">
        <f>IF($A1142="","",VLOOKUP($J1142,APOIO!$H:$J,2,FALSE))</f>
        <v/>
      </c>
      <c r="L1142" s="32" t="str">
        <f>IF($A1142="","",VLOOKUP($J1142,APOIO!$H:$J,3,FALSE))</f>
        <v/>
      </c>
      <c r="M1142" s="31"/>
      <c r="N1142" s="34"/>
      <c r="O1142" s="32"/>
      <c r="P1142" s="32"/>
      <c r="Q1142" s="32"/>
      <c r="R1142" s="32"/>
      <c r="S1142" s="35"/>
      <c r="T1142" s="91"/>
      <c r="U1142" s="60"/>
      <c r="V1142" s="36"/>
      <c r="W1142" s="31"/>
      <c r="X1142" s="59"/>
      <c r="Y1142" s="59" t="str">
        <f>IFERROR(VLOOKUP($A1142,APOIO!$A:$A,1,FALSE),"ERRO")</f>
        <v>ERRO</v>
      </c>
      <c r="Z1142"/>
    </row>
    <row r="1143" spans="1:26" ht="15" x14ac:dyDescent="0.25">
      <c r="A1143" s="94"/>
      <c r="B1143" s="32" t="str">
        <f>IF($A1143="","",VLOOKUP($A1143,APOIO!$A:$E,2,FALSE))</f>
        <v/>
      </c>
      <c r="C1143" s="94"/>
      <c r="D1143" s="32" t="str">
        <f>IF($A1143="","",INDEX(APOIO!$D:$D,MATCH(CONCATENATE($A1143,"_",$B1143,"_",$C1143),APOIO!$F:$F,0)))</f>
        <v/>
      </c>
      <c r="E1143" s="31"/>
      <c r="F1143" s="31"/>
      <c r="G1143" s="33"/>
      <c r="H1143" s="105"/>
      <c r="I1143" s="32" t="str">
        <f>IF($A1143="","",VLOOKUP($H1143,APOIO!$L:$M,2,FALSE))</f>
        <v/>
      </c>
      <c r="J1143" s="31"/>
      <c r="K1143" s="32" t="str">
        <f>IF($A1143="","",VLOOKUP($J1143,APOIO!$H:$J,2,FALSE))</f>
        <v/>
      </c>
      <c r="L1143" s="32" t="str">
        <f>IF($A1143="","",VLOOKUP($J1143,APOIO!$H:$J,3,FALSE))</f>
        <v/>
      </c>
      <c r="M1143" s="31"/>
      <c r="N1143" s="34"/>
      <c r="O1143" s="32"/>
      <c r="P1143" s="32"/>
      <c r="Q1143" s="32"/>
      <c r="R1143" s="32"/>
      <c r="S1143" s="35"/>
      <c r="T1143" s="91"/>
      <c r="U1143" s="60"/>
      <c r="V1143" s="36"/>
      <c r="W1143" s="31"/>
      <c r="X1143" s="59"/>
      <c r="Y1143" s="59" t="str">
        <f>IFERROR(VLOOKUP($A1143,APOIO!$A:$A,1,FALSE),"ERRO")</f>
        <v>ERRO</v>
      </c>
      <c r="Z1143"/>
    </row>
    <row r="1144" spans="1:26" ht="15" x14ac:dyDescent="0.25">
      <c r="A1144" s="94"/>
      <c r="B1144" s="32" t="str">
        <f>IF($A1144="","",VLOOKUP($A1144,APOIO!$A:$E,2,FALSE))</f>
        <v/>
      </c>
      <c r="C1144" s="94"/>
      <c r="D1144" s="32" t="str">
        <f>IF($A1144="","",INDEX(APOIO!$D:$D,MATCH(CONCATENATE($A1144,"_",$B1144,"_",$C1144),APOIO!$F:$F,0)))</f>
        <v/>
      </c>
      <c r="E1144" s="31"/>
      <c r="F1144" s="31"/>
      <c r="G1144" s="33"/>
      <c r="H1144" s="105"/>
      <c r="I1144" s="32" t="str">
        <f>IF($A1144="","",VLOOKUP($H1144,APOIO!$L:$M,2,FALSE))</f>
        <v/>
      </c>
      <c r="J1144" s="31"/>
      <c r="K1144" s="32" t="str">
        <f>IF($A1144="","",VLOOKUP($J1144,APOIO!$H:$J,2,FALSE))</f>
        <v/>
      </c>
      <c r="L1144" s="32" t="str">
        <f>IF($A1144="","",VLOOKUP($J1144,APOIO!$H:$J,3,FALSE))</f>
        <v/>
      </c>
      <c r="M1144" s="31"/>
      <c r="N1144" s="34"/>
      <c r="O1144" s="32"/>
      <c r="P1144" s="32"/>
      <c r="Q1144" s="32"/>
      <c r="R1144" s="32"/>
      <c r="S1144" s="35"/>
      <c r="T1144" s="91"/>
      <c r="U1144" s="60"/>
      <c r="V1144" s="36"/>
      <c r="W1144" s="31"/>
      <c r="X1144" s="59"/>
      <c r="Y1144" s="59" t="str">
        <f>IFERROR(VLOOKUP($A1144,APOIO!$A:$A,1,FALSE),"ERRO")</f>
        <v>ERRO</v>
      </c>
      <c r="Z1144"/>
    </row>
    <row r="1145" spans="1:26" ht="15" x14ac:dyDescent="0.25">
      <c r="A1145" s="94"/>
      <c r="B1145" s="32" t="str">
        <f>IF($A1145="","",VLOOKUP($A1145,APOIO!$A:$E,2,FALSE))</f>
        <v/>
      </c>
      <c r="C1145" s="94"/>
      <c r="D1145" s="32" t="str">
        <f>IF($A1145="","",INDEX(APOIO!$D:$D,MATCH(CONCATENATE($A1145,"_",$B1145,"_",$C1145),APOIO!$F:$F,0)))</f>
        <v/>
      </c>
      <c r="E1145" s="31"/>
      <c r="F1145" s="31"/>
      <c r="G1145" s="33"/>
      <c r="H1145" s="105"/>
      <c r="I1145" s="32" t="str">
        <f>IF($A1145="","",VLOOKUP($H1145,APOIO!$L:$M,2,FALSE))</f>
        <v/>
      </c>
      <c r="J1145" s="31"/>
      <c r="K1145" s="32" t="str">
        <f>IF($A1145="","",VLOOKUP($J1145,APOIO!$H:$J,2,FALSE))</f>
        <v/>
      </c>
      <c r="L1145" s="32" t="str">
        <f>IF($A1145="","",VLOOKUP($J1145,APOIO!$H:$J,3,FALSE))</f>
        <v/>
      </c>
      <c r="M1145" s="31"/>
      <c r="N1145" s="34"/>
      <c r="O1145" s="32"/>
      <c r="P1145" s="32"/>
      <c r="Q1145" s="32"/>
      <c r="R1145" s="32"/>
      <c r="S1145" s="35"/>
      <c r="T1145" s="91"/>
      <c r="U1145" s="60"/>
      <c r="V1145" s="36"/>
      <c r="W1145" s="31"/>
      <c r="X1145" s="59"/>
      <c r="Y1145" s="59" t="str">
        <f>IFERROR(VLOOKUP($A1145,APOIO!$A:$A,1,FALSE),"ERRO")</f>
        <v>ERRO</v>
      </c>
      <c r="Z1145"/>
    </row>
    <row r="1146" spans="1:26" ht="15" x14ac:dyDescent="0.25">
      <c r="A1146" s="94"/>
      <c r="B1146" s="32" t="str">
        <f>IF($A1146="","",VLOOKUP($A1146,APOIO!$A:$E,2,FALSE))</f>
        <v/>
      </c>
      <c r="C1146" s="94"/>
      <c r="D1146" s="32" t="str">
        <f>IF($A1146="","",INDEX(APOIO!$D:$D,MATCH(CONCATENATE($A1146,"_",$B1146,"_",$C1146),APOIO!$F:$F,0)))</f>
        <v/>
      </c>
      <c r="E1146" s="31"/>
      <c r="F1146" s="31"/>
      <c r="G1146" s="33"/>
      <c r="H1146" s="105"/>
      <c r="I1146" s="32" t="str">
        <f>IF($A1146="","",VLOOKUP($H1146,APOIO!$L:$M,2,FALSE))</f>
        <v/>
      </c>
      <c r="J1146" s="31"/>
      <c r="K1146" s="32" t="str">
        <f>IF($A1146="","",VLOOKUP($J1146,APOIO!$H:$J,2,FALSE))</f>
        <v/>
      </c>
      <c r="L1146" s="32" t="str">
        <f>IF($A1146="","",VLOOKUP($J1146,APOIO!$H:$J,3,FALSE))</f>
        <v/>
      </c>
      <c r="M1146" s="31"/>
      <c r="N1146" s="34"/>
      <c r="O1146" s="32"/>
      <c r="P1146" s="32"/>
      <c r="Q1146" s="32"/>
      <c r="R1146" s="32"/>
      <c r="S1146" s="35"/>
      <c r="T1146" s="91"/>
      <c r="U1146" s="60"/>
      <c r="V1146" s="36"/>
      <c r="W1146" s="31"/>
      <c r="X1146" s="59"/>
      <c r="Y1146" s="59" t="str">
        <f>IFERROR(VLOOKUP($A1146,APOIO!$A:$A,1,FALSE),"ERRO")</f>
        <v>ERRO</v>
      </c>
      <c r="Z1146"/>
    </row>
    <row r="1147" spans="1:26" ht="15" x14ac:dyDescent="0.25">
      <c r="A1147" s="94"/>
      <c r="B1147" s="32" t="str">
        <f>IF($A1147="","",VLOOKUP($A1147,APOIO!$A:$E,2,FALSE))</f>
        <v/>
      </c>
      <c r="C1147" s="94"/>
      <c r="D1147" s="32" t="str">
        <f>IF($A1147="","",INDEX(APOIO!$D:$D,MATCH(CONCATENATE($A1147,"_",$B1147,"_",$C1147),APOIO!$F:$F,0)))</f>
        <v/>
      </c>
      <c r="E1147" s="31"/>
      <c r="F1147" s="31"/>
      <c r="G1147" s="33"/>
      <c r="H1147" s="105"/>
      <c r="I1147" s="32" t="str">
        <f>IF($A1147="","",VLOOKUP($H1147,APOIO!$L:$M,2,FALSE))</f>
        <v/>
      </c>
      <c r="J1147" s="31"/>
      <c r="K1147" s="32" t="str">
        <f>IF($A1147="","",VLOOKUP($J1147,APOIO!$H:$J,2,FALSE))</f>
        <v/>
      </c>
      <c r="L1147" s="32" t="str">
        <f>IF($A1147="","",VLOOKUP($J1147,APOIO!$H:$J,3,FALSE))</f>
        <v/>
      </c>
      <c r="M1147" s="31"/>
      <c r="N1147" s="34"/>
      <c r="O1147" s="32"/>
      <c r="P1147" s="32"/>
      <c r="Q1147" s="32"/>
      <c r="R1147" s="32"/>
      <c r="S1147" s="35"/>
      <c r="T1147" s="91"/>
      <c r="U1147" s="60"/>
      <c r="V1147" s="36"/>
      <c r="W1147" s="31"/>
      <c r="X1147" s="59"/>
      <c r="Y1147" s="59" t="str">
        <f>IFERROR(VLOOKUP($A1147,APOIO!$A:$A,1,FALSE),"ERRO")</f>
        <v>ERRO</v>
      </c>
      <c r="Z1147"/>
    </row>
    <row r="1148" spans="1:26" ht="15" x14ac:dyDescent="0.25">
      <c r="A1148" s="94"/>
      <c r="B1148" s="32" t="str">
        <f>IF($A1148="","",VLOOKUP($A1148,APOIO!$A:$E,2,FALSE))</f>
        <v/>
      </c>
      <c r="C1148" s="94"/>
      <c r="D1148" s="32" t="str">
        <f>IF($A1148="","",INDEX(APOIO!$D:$D,MATCH(CONCATENATE($A1148,"_",$B1148,"_",$C1148),APOIO!$F:$F,0)))</f>
        <v/>
      </c>
      <c r="E1148" s="31"/>
      <c r="F1148" s="31"/>
      <c r="G1148" s="33"/>
      <c r="H1148" s="105"/>
      <c r="I1148" s="32" t="str">
        <f>IF($A1148="","",VLOOKUP($H1148,APOIO!$L:$M,2,FALSE))</f>
        <v/>
      </c>
      <c r="J1148" s="31"/>
      <c r="K1148" s="32" t="str">
        <f>IF($A1148="","",VLOOKUP($J1148,APOIO!$H:$J,2,FALSE))</f>
        <v/>
      </c>
      <c r="L1148" s="32" t="str">
        <f>IF($A1148="","",VLOOKUP($J1148,APOIO!$H:$J,3,FALSE))</f>
        <v/>
      </c>
      <c r="M1148" s="31"/>
      <c r="N1148" s="34"/>
      <c r="O1148" s="32"/>
      <c r="P1148" s="32"/>
      <c r="Q1148" s="32"/>
      <c r="R1148" s="32"/>
      <c r="S1148" s="35"/>
      <c r="T1148" s="91"/>
      <c r="U1148" s="60"/>
      <c r="V1148" s="36"/>
      <c r="W1148" s="31"/>
      <c r="X1148" s="59"/>
      <c r="Y1148" s="59" t="str">
        <f>IFERROR(VLOOKUP($A1148,APOIO!$A:$A,1,FALSE),"ERRO")</f>
        <v>ERRO</v>
      </c>
      <c r="Z1148"/>
    </row>
    <row r="1149" spans="1:26" ht="15" x14ac:dyDescent="0.25">
      <c r="A1149" s="94"/>
      <c r="B1149" s="32" t="str">
        <f>IF($A1149="","",VLOOKUP($A1149,APOIO!$A:$E,2,FALSE))</f>
        <v/>
      </c>
      <c r="C1149" s="94"/>
      <c r="D1149" s="32" t="str">
        <f>IF($A1149="","",INDEX(APOIO!$D:$D,MATCH(CONCATENATE($A1149,"_",$B1149,"_",$C1149),APOIO!$F:$F,0)))</f>
        <v/>
      </c>
      <c r="E1149" s="31"/>
      <c r="F1149" s="31"/>
      <c r="G1149" s="33"/>
      <c r="H1149" s="105"/>
      <c r="I1149" s="32" t="str">
        <f>IF($A1149="","",VLOOKUP($H1149,APOIO!$L:$M,2,FALSE))</f>
        <v/>
      </c>
      <c r="J1149" s="31"/>
      <c r="K1149" s="32" t="str">
        <f>IF($A1149="","",VLOOKUP($J1149,APOIO!$H:$J,2,FALSE))</f>
        <v/>
      </c>
      <c r="L1149" s="32" t="str">
        <f>IF($A1149="","",VLOOKUP($J1149,APOIO!$H:$J,3,FALSE))</f>
        <v/>
      </c>
      <c r="M1149" s="31"/>
      <c r="N1149" s="34"/>
      <c r="O1149" s="32"/>
      <c r="P1149" s="32"/>
      <c r="Q1149" s="32"/>
      <c r="R1149" s="32"/>
      <c r="S1149" s="35"/>
      <c r="T1149" s="91"/>
      <c r="U1149" s="60"/>
      <c r="V1149" s="36"/>
      <c r="W1149" s="31"/>
      <c r="X1149" s="59"/>
      <c r="Y1149" s="59" t="str">
        <f>IFERROR(VLOOKUP($A1149,APOIO!$A:$A,1,FALSE),"ERRO")</f>
        <v>ERRO</v>
      </c>
      <c r="Z1149"/>
    </row>
    <row r="1150" spans="1:26" ht="15" x14ac:dyDescent="0.25">
      <c r="A1150" s="94"/>
      <c r="B1150" s="32" t="str">
        <f>IF($A1150="","",VLOOKUP($A1150,APOIO!$A:$E,2,FALSE))</f>
        <v/>
      </c>
      <c r="C1150" s="94"/>
      <c r="D1150" s="32" t="str">
        <f>IF($A1150="","",INDEX(APOIO!$D:$D,MATCH(CONCATENATE($A1150,"_",$B1150,"_",$C1150),APOIO!$F:$F,0)))</f>
        <v/>
      </c>
      <c r="E1150" s="31"/>
      <c r="F1150" s="31"/>
      <c r="G1150" s="33"/>
      <c r="H1150" s="105"/>
      <c r="I1150" s="32" t="str">
        <f>IF($A1150="","",VLOOKUP($H1150,APOIO!$L:$M,2,FALSE))</f>
        <v/>
      </c>
      <c r="J1150" s="31"/>
      <c r="K1150" s="32" t="str">
        <f>IF($A1150="","",VLOOKUP($J1150,APOIO!$H:$J,2,FALSE))</f>
        <v/>
      </c>
      <c r="L1150" s="32" t="str">
        <f>IF($A1150="","",VLOOKUP($J1150,APOIO!$H:$J,3,FALSE))</f>
        <v/>
      </c>
      <c r="M1150" s="31"/>
      <c r="N1150" s="34"/>
      <c r="O1150" s="32"/>
      <c r="P1150" s="32"/>
      <c r="Q1150" s="32"/>
      <c r="R1150" s="32"/>
      <c r="S1150" s="35"/>
      <c r="T1150" s="91"/>
      <c r="U1150" s="60"/>
      <c r="V1150" s="36"/>
      <c r="W1150" s="31"/>
      <c r="X1150" s="59"/>
      <c r="Y1150" s="59" t="str">
        <f>IFERROR(VLOOKUP($A1150,APOIO!$A:$A,1,FALSE),"ERRO")</f>
        <v>ERRO</v>
      </c>
      <c r="Z1150"/>
    </row>
    <row r="1151" spans="1:26" ht="15" x14ac:dyDescent="0.25">
      <c r="A1151" s="94"/>
      <c r="B1151" s="32" t="str">
        <f>IF($A1151="","",VLOOKUP($A1151,APOIO!$A:$E,2,FALSE))</f>
        <v/>
      </c>
      <c r="C1151" s="94"/>
      <c r="D1151" s="32" t="str">
        <f>IF($A1151="","",INDEX(APOIO!$D:$D,MATCH(CONCATENATE($A1151,"_",$B1151,"_",$C1151),APOIO!$F:$F,0)))</f>
        <v/>
      </c>
      <c r="E1151" s="31"/>
      <c r="F1151" s="31"/>
      <c r="G1151" s="33"/>
      <c r="H1151" s="105"/>
      <c r="I1151" s="32" t="str">
        <f>IF($A1151="","",VLOOKUP($H1151,APOIO!$L:$M,2,FALSE))</f>
        <v/>
      </c>
      <c r="J1151" s="31"/>
      <c r="K1151" s="32" t="str">
        <f>IF($A1151="","",VLOOKUP($J1151,APOIO!$H:$J,2,FALSE))</f>
        <v/>
      </c>
      <c r="L1151" s="32" t="str">
        <f>IF($A1151="","",VLOOKUP($J1151,APOIO!$H:$J,3,FALSE))</f>
        <v/>
      </c>
      <c r="M1151" s="31"/>
      <c r="N1151" s="34"/>
      <c r="O1151" s="32"/>
      <c r="P1151" s="32"/>
      <c r="Q1151" s="32"/>
      <c r="R1151" s="32"/>
      <c r="S1151" s="35"/>
      <c r="T1151" s="91"/>
      <c r="U1151" s="60"/>
      <c r="V1151" s="36"/>
      <c r="W1151" s="31"/>
      <c r="X1151" s="59"/>
      <c r="Y1151" s="59" t="str">
        <f>IFERROR(VLOOKUP($A1151,APOIO!$A:$A,1,FALSE),"ERRO")</f>
        <v>ERRO</v>
      </c>
      <c r="Z1151"/>
    </row>
    <row r="1152" spans="1:26" ht="15" x14ac:dyDescent="0.25">
      <c r="A1152" s="94"/>
      <c r="B1152" s="32" t="str">
        <f>IF($A1152="","",VLOOKUP($A1152,APOIO!$A:$E,2,FALSE))</f>
        <v/>
      </c>
      <c r="C1152" s="94"/>
      <c r="D1152" s="32" t="str">
        <f>IF($A1152="","",INDEX(APOIO!$D:$D,MATCH(CONCATENATE($A1152,"_",$B1152,"_",$C1152),APOIO!$F:$F,0)))</f>
        <v/>
      </c>
      <c r="E1152" s="31"/>
      <c r="F1152" s="31"/>
      <c r="G1152" s="33"/>
      <c r="H1152" s="105"/>
      <c r="I1152" s="32" t="str">
        <f>IF($A1152="","",VLOOKUP($H1152,APOIO!$L:$M,2,FALSE))</f>
        <v/>
      </c>
      <c r="J1152" s="31"/>
      <c r="K1152" s="32" t="str">
        <f>IF($A1152="","",VLOOKUP($J1152,APOIO!$H:$J,2,FALSE))</f>
        <v/>
      </c>
      <c r="L1152" s="32" t="str">
        <f>IF($A1152="","",VLOOKUP($J1152,APOIO!$H:$J,3,FALSE))</f>
        <v/>
      </c>
      <c r="M1152" s="31"/>
      <c r="N1152" s="34"/>
      <c r="O1152" s="32"/>
      <c r="P1152" s="32"/>
      <c r="Q1152" s="32"/>
      <c r="R1152" s="32"/>
      <c r="S1152" s="35"/>
      <c r="T1152" s="91"/>
      <c r="U1152" s="60"/>
      <c r="V1152" s="36"/>
      <c r="W1152" s="31"/>
      <c r="X1152" s="59"/>
      <c r="Y1152" s="59" t="str">
        <f>IFERROR(VLOOKUP($A1152,APOIO!$A:$A,1,FALSE),"ERRO")</f>
        <v>ERRO</v>
      </c>
      <c r="Z1152"/>
    </row>
    <row r="1153" spans="1:26" ht="15" x14ac:dyDescent="0.25">
      <c r="A1153" s="94"/>
      <c r="B1153" s="32" t="str">
        <f>IF($A1153="","",VLOOKUP($A1153,APOIO!$A:$E,2,FALSE))</f>
        <v/>
      </c>
      <c r="C1153" s="94"/>
      <c r="D1153" s="32" t="str">
        <f>IF($A1153="","",INDEX(APOIO!$D:$D,MATCH(CONCATENATE($A1153,"_",$B1153,"_",$C1153),APOIO!$F:$F,0)))</f>
        <v/>
      </c>
      <c r="E1153" s="31"/>
      <c r="F1153" s="31"/>
      <c r="G1153" s="33"/>
      <c r="H1153" s="105"/>
      <c r="I1153" s="32" t="str">
        <f>IF($A1153="","",VLOOKUP($H1153,APOIO!$L:$M,2,FALSE))</f>
        <v/>
      </c>
      <c r="J1153" s="31"/>
      <c r="K1153" s="32" t="str">
        <f>IF($A1153="","",VLOOKUP($J1153,APOIO!$H:$J,2,FALSE))</f>
        <v/>
      </c>
      <c r="L1153" s="32" t="str">
        <f>IF($A1153="","",VLOOKUP($J1153,APOIO!$H:$J,3,FALSE))</f>
        <v/>
      </c>
      <c r="M1153" s="31"/>
      <c r="N1153" s="34"/>
      <c r="O1153" s="32"/>
      <c r="P1153" s="32"/>
      <c r="Q1153" s="32"/>
      <c r="R1153" s="32"/>
      <c r="S1153" s="35"/>
      <c r="T1153" s="91"/>
      <c r="U1153" s="60"/>
      <c r="V1153" s="36"/>
      <c r="W1153" s="31"/>
      <c r="X1153" s="59"/>
      <c r="Y1153" s="59" t="str">
        <f>IFERROR(VLOOKUP($A1153,APOIO!$A:$A,1,FALSE),"ERRO")</f>
        <v>ERRO</v>
      </c>
      <c r="Z1153"/>
    </row>
    <row r="1154" spans="1:26" ht="15" x14ac:dyDescent="0.25">
      <c r="A1154" s="94"/>
      <c r="B1154" s="32" t="str">
        <f>IF($A1154="","",VLOOKUP($A1154,APOIO!$A:$E,2,FALSE))</f>
        <v/>
      </c>
      <c r="C1154" s="94"/>
      <c r="D1154" s="32" t="str">
        <f>IF($A1154="","",INDEX(APOIO!$D:$D,MATCH(CONCATENATE($A1154,"_",$B1154,"_",$C1154),APOIO!$F:$F,0)))</f>
        <v/>
      </c>
      <c r="E1154" s="31"/>
      <c r="F1154" s="31"/>
      <c r="G1154" s="33"/>
      <c r="H1154" s="105"/>
      <c r="I1154" s="32" t="str">
        <f>IF($A1154="","",VLOOKUP($H1154,APOIO!$L:$M,2,FALSE))</f>
        <v/>
      </c>
      <c r="J1154" s="31"/>
      <c r="K1154" s="32" t="str">
        <f>IF($A1154="","",VLOOKUP($J1154,APOIO!$H:$J,2,FALSE))</f>
        <v/>
      </c>
      <c r="L1154" s="32" t="str">
        <f>IF($A1154="","",VLOOKUP($J1154,APOIO!$H:$J,3,FALSE))</f>
        <v/>
      </c>
      <c r="M1154" s="31"/>
      <c r="N1154" s="34"/>
      <c r="O1154" s="32"/>
      <c r="P1154" s="32"/>
      <c r="Q1154" s="32"/>
      <c r="R1154" s="32"/>
      <c r="S1154" s="35"/>
      <c r="T1154" s="91"/>
      <c r="U1154" s="60"/>
      <c r="V1154" s="36"/>
      <c r="W1154" s="31"/>
      <c r="X1154" s="59"/>
      <c r="Y1154" s="59" t="str">
        <f>IFERROR(VLOOKUP($A1154,APOIO!$A:$A,1,FALSE),"ERRO")</f>
        <v>ERRO</v>
      </c>
      <c r="Z1154"/>
    </row>
    <row r="1155" spans="1:26" ht="15" x14ac:dyDescent="0.25">
      <c r="A1155" s="94"/>
      <c r="B1155" s="32" t="str">
        <f>IF($A1155="","",VLOOKUP($A1155,APOIO!$A:$E,2,FALSE))</f>
        <v/>
      </c>
      <c r="C1155" s="94"/>
      <c r="D1155" s="32" t="str">
        <f>IF($A1155="","",INDEX(APOIO!$D:$D,MATCH(CONCATENATE($A1155,"_",$B1155,"_",$C1155),APOIO!$F:$F,0)))</f>
        <v/>
      </c>
      <c r="E1155" s="31"/>
      <c r="F1155" s="31"/>
      <c r="G1155" s="33"/>
      <c r="H1155" s="105"/>
      <c r="I1155" s="32" t="str">
        <f>IF($A1155="","",VLOOKUP($H1155,APOIO!$L:$M,2,FALSE))</f>
        <v/>
      </c>
      <c r="J1155" s="31"/>
      <c r="K1155" s="32" t="str">
        <f>IF($A1155="","",VLOOKUP($J1155,APOIO!$H:$J,2,FALSE))</f>
        <v/>
      </c>
      <c r="L1155" s="32" t="str">
        <f>IF($A1155="","",VLOOKUP($J1155,APOIO!$H:$J,3,FALSE))</f>
        <v/>
      </c>
      <c r="M1155" s="31"/>
      <c r="N1155" s="34"/>
      <c r="O1155" s="32"/>
      <c r="P1155" s="32"/>
      <c r="Q1155" s="32"/>
      <c r="R1155" s="32"/>
      <c r="S1155" s="35"/>
      <c r="T1155" s="91"/>
      <c r="U1155" s="60"/>
      <c r="V1155" s="36"/>
      <c r="W1155" s="31"/>
      <c r="X1155" s="59"/>
      <c r="Y1155" s="59" t="str">
        <f>IFERROR(VLOOKUP($A1155,APOIO!$A:$A,1,FALSE),"ERRO")</f>
        <v>ERRO</v>
      </c>
      <c r="Z1155"/>
    </row>
    <row r="1156" spans="1:26" ht="15" x14ac:dyDescent="0.25">
      <c r="A1156" s="94"/>
      <c r="B1156" s="32" t="str">
        <f>IF($A1156="","",VLOOKUP($A1156,APOIO!$A:$E,2,FALSE))</f>
        <v/>
      </c>
      <c r="C1156" s="94"/>
      <c r="D1156" s="32" t="str">
        <f>IF($A1156="","",INDEX(APOIO!$D:$D,MATCH(CONCATENATE($A1156,"_",$B1156,"_",$C1156),APOIO!$F:$F,0)))</f>
        <v/>
      </c>
      <c r="E1156" s="31"/>
      <c r="F1156" s="31"/>
      <c r="G1156" s="33"/>
      <c r="H1156" s="105"/>
      <c r="I1156" s="32" t="str">
        <f>IF($A1156="","",VLOOKUP($H1156,APOIO!$L:$M,2,FALSE))</f>
        <v/>
      </c>
      <c r="J1156" s="31"/>
      <c r="K1156" s="32" t="str">
        <f>IF($A1156="","",VLOOKUP($J1156,APOIO!$H:$J,2,FALSE))</f>
        <v/>
      </c>
      <c r="L1156" s="32" t="str">
        <f>IF($A1156="","",VLOOKUP($J1156,APOIO!$H:$J,3,FALSE))</f>
        <v/>
      </c>
      <c r="M1156" s="31"/>
      <c r="N1156" s="34"/>
      <c r="O1156" s="32"/>
      <c r="P1156" s="32"/>
      <c r="Q1156" s="32"/>
      <c r="R1156" s="32"/>
      <c r="S1156" s="35"/>
      <c r="T1156" s="91"/>
      <c r="U1156" s="60"/>
      <c r="V1156" s="36"/>
      <c r="W1156" s="31"/>
      <c r="X1156" s="59"/>
      <c r="Y1156" s="59" t="str">
        <f>IFERROR(VLOOKUP($A1156,APOIO!$A:$A,1,FALSE),"ERRO")</f>
        <v>ERRO</v>
      </c>
      <c r="Z1156"/>
    </row>
    <row r="1157" spans="1:26" ht="15" x14ac:dyDescent="0.25">
      <c r="A1157" s="94"/>
      <c r="B1157" s="32" t="str">
        <f>IF($A1157="","",VLOOKUP($A1157,APOIO!$A:$E,2,FALSE))</f>
        <v/>
      </c>
      <c r="C1157" s="94"/>
      <c r="D1157" s="32" t="str">
        <f>IF($A1157="","",INDEX(APOIO!$D:$D,MATCH(CONCATENATE($A1157,"_",$B1157,"_",$C1157),APOIO!$F:$F,0)))</f>
        <v/>
      </c>
      <c r="E1157" s="31"/>
      <c r="F1157" s="31"/>
      <c r="G1157" s="33"/>
      <c r="H1157" s="105"/>
      <c r="I1157" s="32" t="str">
        <f>IF($A1157="","",VLOOKUP($H1157,APOIO!$L:$M,2,FALSE))</f>
        <v/>
      </c>
      <c r="J1157" s="31"/>
      <c r="K1157" s="32" t="str">
        <f>IF($A1157="","",VLOOKUP($J1157,APOIO!$H:$J,2,FALSE))</f>
        <v/>
      </c>
      <c r="L1157" s="32" t="str">
        <f>IF($A1157="","",VLOOKUP($J1157,APOIO!$H:$J,3,FALSE))</f>
        <v/>
      </c>
      <c r="M1157" s="31"/>
      <c r="N1157" s="34"/>
      <c r="O1157" s="32"/>
      <c r="P1157" s="32"/>
      <c r="Q1157" s="32"/>
      <c r="R1157" s="32"/>
      <c r="S1157" s="35"/>
      <c r="T1157" s="91"/>
      <c r="U1157" s="60"/>
      <c r="V1157" s="36"/>
      <c r="W1157" s="31"/>
      <c r="X1157" s="59"/>
      <c r="Y1157" s="59" t="str">
        <f>IFERROR(VLOOKUP($A1157,APOIO!$A:$A,1,FALSE),"ERRO")</f>
        <v>ERRO</v>
      </c>
      <c r="Z1157"/>
    </row>
    <row r="1158" spans="1:26" ht="15" x14ac:dyDescent="0.25">
      <c r="A1158" s="94"/>
      <c r="B1158" s="32" t="str">
        <f>IF($A1158="","",VLOOKUP($A1158,APOIO!$A:$E,2,FALSE))</f>
        <v/>
      </c>
      <c r="C1158" s="94"/>
      <c r="D1158" s="32" t="str">
        <f>IF($A1158="","",INDEX(APOIO!$D:$D,MATCH(CONCATENATE($A1158,"_",$B1158,"_",$C1158),APOIO!$F:$F,0)))</f>
        <v/>
      </c>
      <c r="E1158" s="31"/>
      <c r="F1158" s="31"/>
      <c r="G1158" s="33"/>
      <c r="H1158" s="105"/>
      <c r="I1158" s="32" t="str">
        <f>IF($A1158="","",VLOOKUP($H1158,APOIO!$L:$M,2,FALSE))</f>
        <v/>
      </c>
      <c r="J1158" s="31"/>
      <c r="K1158" s="32" t="str">
        <f>IF($A1158="","",VLOOKUP($J1158,APOIO!$H:$J,2,FALSE))</f>
        <v/>
      </c>
      <c r="L1158" s="32" t="str">
        <f>IF($A1158="","",VLOOKUP($J1158,APOIO!$H:$J,3,FALSE))</f>
        <v/>
      </c>
      <c r="M1158" s="31"/>
      <c r="N1158" s="34"/>
      <c r="O1158" s="32"/>
      <c r="P1158" s="32"/>
      <c r="Q1158" s="32"/>
      <c r="R1158" s="32"/>
      <c r="S1158" s="35"/>
      <c r="T1158" s="91"/>
      <c r="U1158" s="60"/>
      <c r="V1158" s="36"/>
      <c r="W1158" s="31"/>
      <c r="X1158" s="59"/>
      <c r="Y1158" s="59" t="str">
        <f>IFERROR(VLOOKUP($A1158,APOIO!$A:$A,1,FALSE),"ERRO")</f>
        <v>ERRO</v>
      </c>
      <c r="Z1158"/>
    </row>
    <row r="1159" spans="1:26" ht="15" x14ac:dyDescent="0.25">
      <c r="A1159" s="94"/>
      <c r="B1159" s="32" t="str">
        <f>IF($A1159="","",VLOOKUP($A1159,APOIO!$A:$E,2,FALSE))</f>
        <v/>
      </c>
      <c r="C1159" s="94"/>
      <c r="D1159" s="32" t="str">
        <f>IF($A1159="","",INDEX(APOIO!$D:$D,MATCH(CONCATENATE($A1159,"_",$B1159,"_",$C1159),APOIO!$F:$F,0)))</f>
        <v/>
      </c>
      <c r="E1159" s="31"/>
      <c r="F1159" s="31"/>
      <c r="G1159" s="33"/>
      <c r="H1159" s="105"/>
      <c r="I1159" s="32" t="str">
        <f>IF($A1159="","",VLOOKUP($H1159,APOIO!$L:$M,2,FALSE))</f>
        <v/>
      </c>
      <c r="J1159" s="31"/>
      <c r="K1159" s="32" t="str">
        <f>IF($A1159="","",VLOOKUP($J1159,APOIO!$H:$J,2,FALSE))</f>
        <v/>
      </c>
      <c r="L1159" s="32" t="str">
        <f>IF($A1159="","",VLOOKUP($J1159,APOIO!$H:$J,3,FALSE))</f>
        <v/>
      </c>
      <c r="M1159" s="31"/>
      <c r="N1159" s="34"/>
      <c r="O1159" s="32"/>
      <c r="P1159" s="32"/>
      <c r="Q1159" s="32"/>
      <c r="R1159" s="32"/>
      <c r="S1159" s="35"/>
      <c r="T1159" s="91"/>
      <c r="U1159" s="60"/>
      <c r="V1159" s="36"/>
      <c r="W1159" s="31"/>
      <c r="X1159" s="59"/>
      <c r="Y1159" s="59" t="str">
        <f>IFERROR(VLOOKUP($A1159,APOIO!$A:$A,1,FALSE),"ERRO")</f>
        <v>ERRO</v>
      </c>
      <c r="Z1159"/>
    </row>
    <row r="1160" spans="1:26" ht="15" x14ac:dyDescent="0.25">
      <c r="A1160" s="94"/>
      <c r="B1160" s="32" t="str">
        <f>IF($A1160="","",VLOOKUP($A1160,APOIO!$A:$E,2,FALSE))</f>
        <v/>
      </c>
      <c r="C1160" s="94"/>
      <c r="D1160" s="32" t="str">
        <f>IF($A1160="","",INDEX(APOIO!$D:$D,MATCH(CONCATENATE($A1160,"_",$B1160,"_",$C1160),APOIO!$F:$F,0)))</f>
        <v/>
      </c>
      <c r="E1160" s="31"/>
      <c r="F1160" s="31"/>
      <c r="G1160" s="33"/>
      <c r="H1160" s="105"/>
      <c r="I1160" s="32" t="str">
        <f>IF($A1160="","",VLOOKUP($H1160,APOIO!$L:$M,2,FALSE))</f>
        <v/>
      </c>
      <c r="J1160" s="31"/>
      <c r="K1160" s="32" t="str">
        <f>IF($A1160="","",VLOOKUP($J1160,APOIO!$H:$J,2,FALSE))</f>
        <v/>
      </c>
      <c r="L1160" s="32" t="str">
        <f>IF($A1160="","",VLOOKUP($J1160,APOIO!$H:$J,3,FALSE))</f>
        <v/>
      </c>
      <c r="M1160" s="31"/>
      <c r="N1160" s="34"/>
      <c r="O1160" s="32"/>
      <c r="P1160" s="32"/>
      <c r="Q1160" s="32"/>
      <c r="R1160" s="32"/>
      <c r="S1160" s="35"/>
      <c r="T1160" s="91"/>
      <c r="U1160" s="60"/>
      <c r="V1160" s="36"/>
      <c r="W1160" s="31"/>
      <c r="X1160" s="59"/>
      <c r="Y1160" s="59" t="str">
        <f>IFERROR(VLOOKUP($A1160,APOIO!$A:$A,1,FALSE),"ERRO")</f>
        <v>ERRO</v>
      </c>
      <c r="Z1160"/>
    </row>
    <row r="1161" spans="1:26" ht="15" x14ac:dyDescent="0.25">
      <c r="A1161" s="94"/>
      <c r="B1161" s="32" t="str">
        <f>IF($A1161="","",VLOOKUP($A1161,APOIO!$A:$E,2,FALSE))</f>
        <v/>
      </c>
      <c r="C1161" s="94"/>
      <c r="D1161" s="32" t="str">
        <f>IF($A1161="","",INDEX(APOIO!$D:$D,MATCH(CONCATENATE($A1161,"_",$B1161,"_",$C1161),APOIO!$F:$F,0)))</f>
        <v/>
      </c>
      <c r="E1161" s="31"/>
      <c r="F1161" s="31"/>
      <c r="G1161" s="33"/>
      <c r="H1161" s="105"/>
      <c r="I1161" s="32" t="str">
        <f>IF($A1161="","",VLOOKUP($H1161,APOIO!$L:$M,2,FALSE))</f>
        <v/>
      </c>
      <c r="J1161" s="31"/>
      <c r="K1161" s="32" t="str">
        <f>IF($A1161="","",VLOOKUP($J1161,APOIO!$H:$J,2,FALSE))</f>
        <v/>
      </c>
      <c r="L1161" s="32" t="str">
        <f>IF($A1161="","",VLOOKUP($J1161,APOIO!$H:$J,3,FALSE))</f>
        <v/>
      </c>
      <c r="M1161" s="31"/>
      <c r="N1161" s="34"/>
      <c r="O1161" s="32"/>
      <c r="P1161" s="32"/>
      <c r="Q1161" s="32"/>
      <c r="R1161" s="32"/>
      <c r="S1161" s="35"/>
      <c r="T1161" s="91"/>
      <c r="U1161" s="60"/>
      <c r="V1161" s="36"/>
      <c r="W1161" s="31"/>
      <c r="X1161" s="59"/>
      <c r="Y1161" s="59" t="str">
        <f>IFERROR(VLOOKUP($A1161,APOIO!$A:$A,1,FALSE),"ERRO")</f>
        <v>ERRO</v>
      </c>
      <c r="Z1161"/>
    </row>
    <row r="1162" spans="1:26" ht="15" x14ac:dyDescent="0.25">
      <c r="A1162" s="94"/>
      <c r="B1162" s="32" t="str">
        <f>IF($A1162="","",VLOOKUP($A1162,APOIO!$A:$E,2,FALSE))</f>
        <v/>
      </c>
      <c r="C1162" s="94"/>
      <c r="D1162" s="32" t="str">
        <f>IF($A1162="","",INDEX(APOIO!$D:$D,MATCH(CONCATENATE($A1162,"_",$B1162,"_",$C1162),APOIO!$F:$F,0)))</f>
        <v/>
      </c>
      <c r="E1162" s="31"/>
      <c r="F1162" s="31"/>
      <c r="G1162" s="33"/>
      <c r="H1162" s="105"/>
      <c r="I1162" s="32" t="str">
        <f>IF($A1162="","",VLOOKUP($H1162,APOIO!$L:$M,2,FALSE))</f>
        <v/>
      </c>
      <c r="J1162" s="31"/>
      <c r="K1162" s="32" t="str">
        <f>IF($A1162="","",VLOOKUP($J1162,APOIO!$H:$J,2,FALSE))</f>
        <v/>
      </c>
      <c r="L1162" s="32" t="str">
        <f>IF($A1162="","",VLOOKUP($J1162,APOIO!$H:$J,3,FALSE))</f>
        <v/>
      </c>
      <c r="M1162" s="31"/>
      <c r="N1162" s="34"/>
      <c r="O1162" s="32"/>
      <c r="P1162" s="32"/>
      <c r="Q1162" s="32"/>
      <c r="R1162" s="32"/>
      <c r="S1162" s="35"/>
      <c r="T1162" s="91"/>
      <c r="U1162" s="60"/>
      <c r="V1162" s="36"/>
      <c r="W1162" s="31"/>
      <c r="X1162" s="59"/>
      <c r="Y1162" s="59" t="str">
        <f>IFERROR(VLOOKUP($A1162,APOIO!$A:$A,1,FALSE),"ERRO")</f>
        <v>ERRO</v>
      </c>
      <c r="Z1162"/>
    </row>
    <row r="1163" spans="1:26" ht="15" x14ac:dyDescent="0.25">
      <c r="A1163" s="94"/>
      <c r="B1163" s="32" t="str">
        <f>IF($A1163="","",VLOOKUP($A1163,APOIO!$A:$E,2,FALSE))</f>
        <v/>
      </c>
      <c r="C1163" s="94"/>
      <c r="D1163" s="32" t="str">
        <f>IF($A1163="","",INDEX(APOIO!$D:$D,MATCH(CONCATENATE($A1163,"_",$B1163,"_",$C1163),APOIO!$F:$F,0)))</f>
        <v/>
      </c>
      <c r="E1163" s="31"/>
      <c r="F1163" s="31"/>
      <c r="G1163" s="33"/>
      <c r="H1163" s="105"/>
      <c r="I1163" s="32" t="str">
        <f>IF($A1163="","",VLOOKUP($H1163,APOIO!$L:$M,2,FALSE))</f>
        <v/>
      </c>
      <c r="J1163" s="31"/>
      <c r="K1163" s="32" t="str">
        <f>IF($A1163="","",VLOOKUP($J1163,APOIO!$H:$J,2,FALSE))</f>
        <v/>
      </c>
      <c r="L1163" s="32" t="str">
        <f>IF($A1163="","",VLOOKUP($J1163,APOIO!$H:$J,3,FALSE))</f>
        <v/>
      </c>
      <c r="M1163" s="31"/>
      <c r="N1163" s="34"/>
      <c r="O1163" s="32"/>
      <c r="P1163" s="32"/>
      <c r="Q1163" s="32"/>
      <c r="R1163" s="32"/>
      <c r="S1163" s="35"/>
      <c r="T1163" s="91"/>
      <c r="U1163" s="60"/>
      <c r="V1163" s="36"/>
      <c r="W1163" s="31"/>
      <c r="X1163" s="59"/>
      <c r="Y1163" s="59" t="str">
        <f>IFERROR(VLOOKUP($A1163,APOIO!$A:$A,1,FALSE),"ERRO")</f>
        <v>ERRO</v>
      </c>
      <c r="Z1163"/>
    </row>
    <row r="1164" spans="1:26" ht="15" x14ac:dyDescent="0.25">
      <c r="A1164" s="94"/>
      <c r="B1164" s="32" t="str">
        <f>IF($A1164="","",VLOOKUP($A1164,APOIO!$A:$E,2,FALSE))</f>
        <v/>
      </c>
      <c r="C1164" s="94"/>
      <c r="D1164" s="32" t="str">
        <f>IF($A1164="","",INDEX(APOIO!$D:$D,MATCH(CONCATENATE($A1164,"_",$B1164,"_",$C1164),APOIO!$F:$F,0)))</f>
        <v/>
      </c>
      <c r="E1164" s="31"/>
      <c r="F1164" s="31"/>
      <c r="G1164" s="33"/>
      <c r="H1164" s="105"/>
      <c r="I1164" s="32" t="str">
        <f>IF($A1164="","",VLOOKUP($H1164,APOIO!$L:$M,2,FALSE))</f>
        <v/>
      </c>
      <c r="J1164" s="31"/>
      <c r="K1164" s="32" t="str">
        <f>IF($A1164="","",VLOOKUP($J1164,APOIO!$H:$J,2,FALSE))</f>
        <v/>
      </c>
      <c r="L1164" s="32" t="str">
        <f>IF($A1164="","",VLOOKUP($J1164,APOIO!$H:$J,3,FALSE))</f>
        <v/>
      </c>
      <c r="M1164" s="31"/>
      <c r="N1164" s="34"/>
      <c r="O1164" s="32"/>
      <c r="P1164" s="32"/>
      <c r="Q1164" s="32"/>
      <c r="R1164" s="32"/>
      <c r="S1164" s="35"/>
      <c r="T1164" s="91"/>
      <c r="U1164" s="60"/>
      <c r="V1164" s="36"/>
      <c r="W1164" s="31"/>
      <c r="X1164" s="59"/>
      <c r="Y1164" s="59" t="str">
        <f>IFERROR(VLOOKUP($A1164,APOIO!$A:$A,1,FALSE),"ERRO")</f>
        <v>ERRO</v>
      </c>
      <c r="Z1164"/>
    </row>
    <row r="1165" spans="1:26" ht="15" x14ac:dyDescent="0.25">
      <c r="A1165" s="94"/>
      <c r="B1165" s="32" t="str">
        <f>IF($A1165="","",VLOOKUP($A1165,APOIO!$A:$E,2,FALSE))</f>
        <v/>
      </c>
      <c r="C1165" s="94"/>
      <c r="D1165" s="32" t="str">
        <f>IF($A1165="","",INDEX(APOIO!$D:$D,MATCH(CONCATENATE($A1165,"_",$B1165,"_",$C1165),APOIO!$F:$F,0)))</f>
        <v/>
      </c>
      <c r="E1165" s="31"/>
      <c r="F1165" s="31"/>
      <c r="G1165" s="33"/>
      <c r="H1165" s="105"/>
      <c r="I1165" s="32" t="str">
        <f>IF($A1165="","",VLOOKUP($H1165,APOIO!$L:$M,2,FALSE))</f>
        <v/>
      </c>
      <c r="J1165" s="31"/>
      <c r="K1165" s="32" t="str">
        <f>IF($A1165="","",VLOOKUP($J1165,APOIO!$H:$J,2,FALSE))</f>
        <v/>
      </c>
      <c r="L1165" s="32" t="str">
        <f>IF($A1165="","",VLOOKUP($J1165,APOIO!$H:$J,3,FALSE))</f>
        <v/>
      </c>
      <c r="M1165" s="31"/>
      <c r="N1165" s="34"/>
      <c r="O1165" s="32"/>
      <c r="P1165" s="32"/>
      <c r="Q1165" s="32"/>
      <c r="R1165" s="32"/>
      <c r="S1165" s="35"/>
      <c r="T1165" s="91"/>
      <c r="U1165" s="60"/>
      <c r="V1165" s="36"/>
      <c r="W1165" s="31"/>
      <c r="X1165" s="59"/>
      <c r="Y1165" s="59" t="str">
        <f>IFERROR(VLOOKUP($A1165,APOIO!$A:$A,1,FALSE),"ERRO")</f>
        <v>ERRO</v>
      </c>
      <c r="Z1165"/>
    </row>
    <row r="1166" spans="1:26" ht="15" x14ac:dyDescent="0.25">
      <c r="A1166" s="94"/>
      <c r="B1166" s="32" t="str">
        <f>IF($A1166="","",VLOOKUP($A1166,APOIO!$A:$E,2,FALSE))</f>
        <v/>
      </c>
      <c r="C1166" s="94"/>
      <c r="D1166" s="32" t="str">
        <f>IF($A1166="","",INDEX(APOIO!$D:$D,MATCH(CONCATENATE($A1166,"_",$B1166,"_",$C1166),APOIO!$F:$F,0)))</f>
        <v/>
      </c>
      <c r="E1166" s="31"/>
      <c r="F1166" s="31"/>
      <c r="G1166" s="33"/>
      <c r="H1166" s="105"/>
      <c r="I1166" s="32" t="str">
        <f>IF($A1166="","",VLOOKUP($H1166,APOIO!$L:$M,2,FALSE))</f>
        <v/>
      </c>
      <c r="J1166" s="31"/>
      <c r="K1166" s="32" t="str">
        <f>IF($A1166="","",VLOOKUP($J1166,APOIO!$H:$J,2,FALSE))</f>
        <v/>
      </c>
      <c r="L1166" s="32" t="str">
        <f>IF($A1166="","",VLOOKUP($J1166,APOIO!$H:$J,3,FALSE))</f>
        <v/>
      </c>
      <c r="M1166" s="31"/>
      <c r="N1166" s="34"/>
      <c r="O1166" s="32"/>
      <c r="P1166" s="32"/>
      <c r="Q1166" s="32"/>
      <c r="R1166" s="32"/>
      <c r="S1166" s="35"/>
      <c r="T1166" s="91"/>
      <c r="U1166" s="60"/>
      <c r="V1166" s="36"/>
      <c r="W1166" s="31"/>
      <c r="X1166" s="59"/>
      <c r="Y1166" s="59" t="str">
        <f>IFERROR(VLOOKUP($A1166,APOIO!$A:$A,1,FALSE),"ERRO")</f>
        <v>ERRO</v>
      </c>
      <c r="Z1166"/>
    </row>
    <row r="1167" spans="1:26" ht="15" x14ac:dyDescent="0.25">
      <c r="A1167" s="94"/>
      <c r="B1167" s="32" t="str">
        <f>IF($A1167="","",VLOOKUP($A1167,APOIO!$A:$E,2,FALSE))</f>
        <v/>
      </c>
      <c r="C1167" s="94"/>
      <c r="D1167" s="32" t="str">
        <f>IF($A1167="","",INDEX(APOIO!$D:$D,MATCH(CONCATENATE($A1167,"_",$B1167,"_",$C1167),APOIO!$F:$F,0)))</f>
        <v/>
      </c>
      <c r="E1167" s="31"/>
      <c r="F1167" s="31"/>
      <c r="G1167" s="33"/>
      <c r="H1167" s="105"/>
      <c r="I1167" s="32" t="str">
        <f>IF($A1167="","",VLOOKUP($H1167,APOIO!$L:$M,2,FALSE))</f>
        <v/>
      </c>
      <c r="J1167" s="31"/>
      <c r="K1167" s="32" t="str">
        <f>IF($A1167="","",VLOOKUP($J1167,APOIO!$H:$J,2,FALSE))</f>
        <v/>
      </c>
      <c r="L1167" s="32" t="str">
        <f>IF($A1167="","",VLOOKUP($J1167,APOIO!$H:$J,3,FALSE))</f>
        <v/>
      </c>
      <c r="M1167" s="31"/>
      <c r="N1167" s="34"/>
      <c r="O1167" s="32"/>
      <c r="P1167" s="32"/>
      <c r="Q1167" s="32"/>
      <c r="R1167" s="32"/>
      <c r="S1167" s="35"/>
      <c r="T1167" s="91"/>
      <c r="U1167" s="60"/>
      <c r="V1167" s="36"/>
      <c r="W1167" s="31"/>
      <c r="X1167" s="59"/>
      <c r="Y1167" s="59" t="str">
        <f>IFERROR(VLOOKUP($A1167,APOIO!$A:$A,1,FALSE),"ERRO")</f>
        <v>ERRO</v>
      </c>
      <c r="Z1167"/>
    </row>
    <row r="1168" spans="1:26" ht="15" x14ac:dyDescent="0.25">
      <c r="A1168" s="94"/>
      <c r="B1168" s="32" t="str">
        <f>IF($A1168="","",VLOOKUP($A1168,APOIO!$A:$E,2,FALSE))</f>
        <v/>
      </c>
      <c r="C1168" s="94"/>
      <c r="D1168" s="32" t="str">
        <f>IF($A1168="","",INDEX(APOIO!$D:$D,MATCH(CONCATENATE($A1168,"_",$B1168,"_",$C1168),APOIO!$F:$F,0)))</f>
        <v/>
      </c>
      <c r="E1168" s="31"/>
      <c r="F1168" s="31"/>
      <c r="G1168" s="33"/>
      <c r="H1168" s="105"/>
      <c r="I1168" s="32" t="str">
        <f>IF($A1168="","",VLOOKUP($H1168,APOIO!$L:$M,2,FALSE))</f>
        <v/>
      </c>
      <c r="J1168" s="31"/>
      <c r="K1168" s="32" t="str">
        <f>IF($A1168="","",VLOOKUP($J1168,APOIO!$H:$J,2,FALSE))</f>
        <v/>
      </c>
      <c r="L1168" s="32" t="str">
        <f>IF($A1168="","",VLOOKUP($J1168,APOIO!$H:$J,3,FALSE))</f>
        <v/>
      </c>
      <c r="M1168" s="31"/>
      <c r="N1168" s="34"/>
      <c r="O1168" s="32"/>
      <c r="P1168" s="32"/>
      <c r="Q1168" s="32"/>
      <c r="R1168" s="32"/>
      <c r="S1168" s="35"/>
      <c r="T1168" s="91"/>
      <c r="U1168" s="60"/>
      <c r="V1168" s="36"/>
      <c r="W1168" s="31"/>
      <c r="X1168" s="59"/>
      <c r="Y1168" s="59" t="str">
        <f>IFERROR(VLOOKUP($A1168,APOIO!$A:$A,1,FALSE),"ERRO")</f>
        <v>ERRO</v>
      </c>
      <c r="Z1168"/>
    </row>
    <row r="1169" spans="1:26" ht="15" x14ac:dyDescent="0.25">
      <c r="A1169" s="94"/>
      <c r="B1169" s="32" t="str">
        <f>IF($A1169="","",VLOOKUP($A1169,APOIO!$A:$E,2,FALSE))</f>
        <v/>
      </c>
      <c r="C1169" s="94"/>
      <c r="D1169" s="32" t="str">
        <f>IF($A1169="","",INDEX(APOIO!$D:$D,MATCH(CONCATENATE($A1169,"_",$B1169,"_",$C1169),APOIO!$F:$F,0)))</f>
        <v/>
      </c>
      <c r="E1169" s="31"/>
      <c r="F1169" s="31"/>
      <c r="G1169" s="33"/>
      <c r="H1169" s="105"/>
      <c r="I1169" s="32" t="str">
        <f>IF($A1169="","",VLOOKUP($H1169,APOIO!$L:$M,2,FALSE))</f>
        <v/>
      </c>
      <c r="J1169" s="31"/>
      <c r="K1169" s="32" t="str">
        <f>IF($A1169="","",VLOOKUP($J1169,APOIO!$H:$J,2,FALSE))</f>
        <v/>
      </c>
      <c r="L1169" s="32" t="str">
        <f>IF($A1169="","",VLOOKUP($J1169,APOIO!$H:$J,3,FALSE))</f>
        <v/>
      </c>
      <c r="M1169" s="31"/>
      <c r="N1169" s="34"/>
      <c r="O1169" s="32"/>
      <c r="P1169" s="32"/>
      <c r="Q1169" s="32"/>
      <c r="R1169" s="32"/>
      <c r="S1169" s="35"/>
      <c r="T1169" s="91"/>
      <c r="U1169" s="60"/>
      <c r="V1169" s="36"/>
      <c r="W1169" s="31"/>
      <c r="X1169" s="59"/>
      <c r="Y1169" s="59" t="str">
        <f>IFERROR(VLOOKUP($A1169,APOIO!$A:$A,1,FALSE),"ERRO")</f>
        <v>ERRO</v>
      </c>
      <c r="Z1169"/>
    </row>
    <row r="1170" spans="1:26" ht="15" x14ac:dyDescent="0.25">
      <c r="A1170" s="94"/>
      <c r="B1170" s="32" t="str">
        <f>IF($A1170="","",VLOOKUP($A1170,APOIO!$A:$E,2,FALSE))</f>
        <v/>
      </c>
      <c r="C1170" s="94"/>
      <c r="D1170" s="32" t="str">
        <f>IF($A1170="","",INDEX(APOIO!$D:$D,MATCH(CONCATENATE($A1170,"_",$B1170,"_",$C1170),APOIO!$F:$F,0)))</f>
        <v/>
      </c>
      <c r="E1170" s="31"/>
      <c r="F1170" s="31"/>
      <c r="G1170" s="33"/>
      <c r="H1170" s="105"/>
      <c r="I1170" s="32" t="str">
        <f>IF($A1170="","",VLOOKUP($H1170,APOIO!$L:$M,2,FALSE))</f>
        <v/>
      </c>
      <c r="J1170" s="31"/>
      <c r="K1170" s="32" t="str">
        <f>IF($A1170="","",VLOOKUP($J1170,APOIO!$H:$J,2,FALSE))</f>
        <v/>
      </c>
      <c r="L1170" s="32" t="str">
        <f>IF($A1170="","",VLOOKUP($J1170,APOIO!$H:$J,3,FALSE))</f>
        <v/>
      </c>
      <c r="M1170" s="31"/>
      <c r="N1170" s="34"/>
      <c r="O1170" s="32"/>
      <c r="P1170" s="32"/>
      <c r="Q1170" s="32"/>
      <c r="R1170" s="32"/>
      <c r="S1170" s="35"/>
      <c r="T1170" s="91"/>
      <c r="U1170" s="60"/>
      <c r="V1170" s="36"/>
      <c r="W1170" s="31"/>
      <c r="X1170" s="59"/>
      <c r="Y1170" s="59" t="str">
        <f>IFERROR(VLOOKUP($A1170,APOIO!$A:$A,1,FALSE),"ERRO")</f>
        <v>ERRO</v>
      </c>
      <c r="Z1170"/>
    </row>
    <row r="1171" spans="1:26" ht="15" x14ac:dyDescent="0.25">
      <c r="A1171" s="94"/>
      <c r="B1171" s="32" t="str">
        <f>IF($A1171="","",VLOOKUP($A1171,APOIO!$A:$E,2,FALSE))</f>
        <v/>
      </c>
      <c r="C1171" s="94"/>
      <c r="D1171" s="32" t="str">
        <f>IF($A1171="","",INDEX(APOIO!$D:$D,MATCH(CONCATENATE($A1171,"_",$B1171,"_",$C1171),APOIO!$F:$F,0)))</f>
        <v/>
      </c>
      <c r="E1171" s="31"/>
      <c r="F1171" s="31"/>
      <c r="G1171" s="33"/>
      <c r="H1171" s="105"/>
      <c r="I1171" s="32" t="str">
        <f>IF($A1171="","",VLOOKUP($H1171,APOIO!$L:$M,2,FALSE))</f>
        <v/>
      </c>
      <c r="J1171" s="31"/>
      <c r="K1171" s="32" t="str">
        <f>IF($A1171="","",VLOOKUP($J1171,APOIO!$H:$J,2,FALSE))</f>
        <v/>
      </c>
      <c r="L1171" s="32" t="str">
        <f>IF($A1171="","",VLOOKUP($J1171,APOIO!$H:$J,3,FALSE))</f>
        <v/>
      </c>
      <c r="M1171" s="31"/>
      <c r="N1171" s="34"/>
      <c r="O1171" s="32"/>
      <c r="P1171" s="32"/>
      <c r="Q1171" s="32"/>
      <c r="R1171" s="32"/>
      <c r="S1171" s="35"/>
      <c r="T1171" s="91"/>
      <c r="U1171" s="60"/>
      <c r="V1171" s="36"/>
      <c r="W1171" s="31"/>
      <c r="X1171" s="59"/>
      <c r="Y1171" s="59" t="str">
        <f>IFERROR(VLOOKUP($A1171,APOIO!$A:$A,1,FALSE),"ERRO")</f>
        <v>ERRO</v>
      </c>
      <c r="Z1171"/>
    </row>
    <row r="1172" spans="1:26" ht="15" x14ac:dyDescent="0.25">
      <c r="A1172" s="94"/>
      <c r="B1172" s="32" t="str">
        <f>IF($A1172="","",VLOOKUP($A1172,APOIO!$A:$E,2,FALSE))</f>
        <v/>
      </c>
      <c r="C1172" s="94"/>
      <c r="D1172" s="32" t="str">
        <f>IF($A1172="","",INDEX(APOIO!$D:$D,MATCH(CONCATENATE($A1172,"_",$B1172,"_",$C1172),APOIO!$F:$F,0)))</f>
        <v/>
      </c>
      <c r="E1172" s="31"/>
      <c r="F1172" s="31"/>
      <c r="G1172" s="33"/>
      <c r="H1172" s="105"/>
      <c r="I1172" s="32" t="str">
        <f>IF($A1172="","",VLOOKUP($H1172,APOIO!$L:$M,2,FALSE))</f>
        <v/>
      </c>
      <c r="J1172" s="31"/>
      <c r="K1172" s="32" t="str">
        <f>IF($A1172="","",VLOOKUP($J1172,APOIO!$H:$J,2,FALSE))</f>
        <v/>
      </c>
      <c r="L1172" s="32" t="str">
        <f>IF($A1172="","",VLOOKUP($J1172,APOIO!$H:$J,3,FALSE))</f>
        <v/>
      </c>
      <c r="M1172" s="31"/>
      <c r="N1172" s="34"/>
      <c r="O1172" s="32"/>
      <c r="P1172" s="32"/>
      <c r="Q1172" s="32"/>
      <c r="R1172" s="32"/>
      <c r="S1172" s="35"/>
      <c r="T1172" s="91"/>
      <c r="U1172" s="60"/>
      <c r="V1172" s="36"/>
      <c r="W1172" s="31"/>
      <c r="X1172" s="59"/>
      <c r="Y1172" s="59" t="str">
        <f>IFERROR(VLOOKUP($A1172,APOIO!$A:$A,1,FALSE),"ERRO")</f>
        <v>ERRO</v>
      </c>
      <c r="Z1172"/>
    </row>
    <row r="1173" spans="1:26" ht="15" x14ac:dyDescent="0.25">
      <c r="A1173" s="94"/>
      <c r="B1173" s="32" t="str">
        <f>IF($A1173="","",VLOOKUP($A1173,APOIO!$A:$E,2,FALSE))</f>
        <v/>
      </c>
      <c r="C1173" s="94"/>
      <c r="D1173" s="32" t="str">
        <f>IF($A1173="","",INDEX(APOIO!$D:$D,MATCH(CONCATENATE($A1173,"_",$B1173,"_",$C1173),APOIO!$F:$F,0)))</f>
        <v/>
      </c>
      <c r="E1173" s="31"/>
      <c r="F1173" s="31"/>
      <c r="G1173" s="33"/>
      <c r="H1173" s="105"/>
      <c r="I1173" s="32" t="str">
        <f>IF($A1173="","",VLOOKUP($H1173,APOIO!$L:$M,2,FALSE))</f>
        <v/>
      </c>
      <c r="J1173" s="31"/>
      <c r="K1173" s="32" t="str">
        <f>IF($A1173="","",VLOOKUP($J1173,APOIO!$H:$J,2,FALSE))</f>
        <v/>
      </c>
      <c r="L1173" s="32" t="str">
        <f>IF($A1173="","",VLOOKUP($J1173,APOIO!$H:$J,3,FALSE))</f>
        <v/>
      </c>
      <c r="M1173" s="31"/>
      <c r="N1173" s="34"/>
      <c r="O1173" s="32"/>
      <c r="P1173" s="32"/>
      <c r="Q1173" s="32"/>
      <c r="R1173" s="32"/>
      <c r="S1173" s="35"/>
      <c r="T1173" s="91"/>
      <c r="U1173" s="60"/>
      <c r="V1173" s="36"/>
      <c r="W1173" s="31"/>
      <c r="X1173" s="59"/>
      <c r="Y1173" s="59" t="str">
        <f>IFERROR(VLOOKUP($A1173,APOIO!$A:$A,1,FALSE),"ERRO")</f>
        <v>ERRO</v>
      </c>
      <c r="Z1173"/>
    </row>
    <row r="1174" spans="1:26" ht="15" x14ac:dyDescent="0.25">
      <c r="A1174" s="94"/>
      <c r="B1174" s="32" t="str">
        <f>IF($A1174="","",VLOOKUP($A1174,APOIO!$A:$E,2,FALSE))</f>
        <v/>
      </c>
      <c r="C1174" s="94"/>
      <c r="D1174" s="32" t="str">
        <f>IF($A1174="","",INDEX(APOIO!$D:$D,MATCH(CONCATENATE($A1174,"_",$B1174,"_",$C1174),APOIO!$F:$F,0)))</f>
        <v/>
      </c>
      <c r="E1174" s="31"/>
      <c r="F1174" s="31"/>
      <c r="G1174" s="33"/>
      <c r="H1174" s="105"/>
      <c r="I1174" s="32" t="str">
        <f>IF($A1174="","",VLOOKUP($H1174,APOIO!$L:$M,2,FALSE))</f>
        <v/>
      </c>
      <c r="J1174" s="31"/>
      <c r="K1174" s="32" t="str">
        <f>IF($A1174="","",VLOOKUP($J1174,APOIO!$H:$J,2,FALSE))</f>
        <v/>
      </c>
      <c r="L1174" s="32" t="str">
        <f>IF($A1174="","",VLOOKUP($J1174,APOIO!$H:$J,3,FALSE))</f>
        <v/>
      </c>
      <c r="M1174" s="31"/>
      <c r="N1174" s="34"/>
      <c r="O1174" s="32"/>
      <c r="P1174" s="32"/>
      <c r="Q1174" s="32"/>
      <c r="R1174" s="32"/>
      <c r="S1174" s="35"/>
      <c r="T1174" s="91"/>
      <c r="U1174" s="60"/>
      <c r="V1174" s="36"/>
      <c r="W1174" s="31"/>
      <c r="X1174" s="59"/>
      <c r="Y1174" s="59" t="str">
        <f>IFERROR(VLOOKUP($A1174,APOIO!$A:$A,1,FALSE),"ERRO")</f>
        <v>ERRO</v>
      </c>
      <c r="Z1174"/>
    </row>
    <row r="1175" spans="1:26" ht="15" x14ac:dyDescent="0.25">
      <c r="A1175" s="94"/>
      <c r="B1175" s="32" t="str">
        <f>IF($A1175="","",VLOOKUP($A1175,APOIO!$A:$E,2,FALSE))</f>
        <v/>
      </c>
      <c r="C1175" s="94"/>
      <c r="D1175" s="32" t="str">
        <f>IF($A1175="","",INDEX(APOIO!$D:$D,MATCH(CONCATENATE($A1175,"_",$B1175,"_",$C1175),APOIO!$F:$F,0)))</f>
        <v/>
      </c>
      <c r="E1175" s="31"/>
      <c r="F1175" s="31"/>
      <c r="G1175" s="33"/>
      <c r="H1175" s="105"/>
      <c r="I1175" s="32" t="str">
        <f>IF($A1175="","",VLOOKUP($H1175,APOIO!$L:$M,2,FALSE))</f>
        <v/>
      </c>
      <c r="J1175" s="31"/>
      <c r="K1175" s="32" t="str">
        <f>IF($A1175="","",VLOOKUP($J1175,APOIO!$H:$J,2,FALSE))</f>
        <v/>
      </c>
      <c r="L1175" s="32" t="str">
        <f>IF($A1175="","",VLOOKUP($J1175,APOIO!$H:$J,3,FALSE))</f>
        <v/>
      </c>
      <c r="M1175" s="31"/>
      <c r="N1175" s="34"/>
      <c r="O1175" s="32"/>
      <c r="P1175" s="32"/>
      <c r="Q1175" s="32"/>
      <c r="R1175" s="32"/>
      <c r="S1175" s="35"/>
      <c r="T1175" s="91"/>
      <c r="U1175" s="60"/>
      <c r="V1175" s="36"/>
      <c r="W1175" s="31"/>
      <c r="X1175" s="59"/>
      <c r="Y1175" s="59" t="str">
        <f>IFERROR(VLOOKUP($A1175,APOIO!$A:$A,1,FALSE),"ERRO")</f>
        <v>ERRO</v>
      </c>
      <c r="Z1175"/>
    </row>
    <row r="1176" spans="1:26" ht="15" x14ac:dyDescent="0.25">
      <c r="A1176" s="94"/>
      <c r="B1176" s="32" t="str">
        <f>IF($A1176="","",VLOOKUP($A1176,APOIO!$A:$E,2,FALSE))</f>
        <v/>
      </c>
      <c r="C1176" s="94"/>
      <c r="D1176" s="32" t="str">
        <f>IF($A1176="","",INDEX(APOIO!$D:$D,MATCH(CONCATENATE($A1176,"_",$B1176,"_",$C1176),APOIO!$F:$F,0)))</f>
        <v/>
      </c>
      <c r="E1176" s="31"/>
      <c r="F1176" s="31"/>
      <c r="G1176" s="33"/>
      <c r="H1176" s="105"/>
      <c r="I1176" s="32" t="str">
        <f>IF($A1176="","",VLOOKUP($H1176,APOIO!$L:$M,2,FALSE))</f>
        <v/>
      </c>
      <c r="J1176" s="31"/>
      <c r="K1176" s="32" t="str">
        <f>IF($A1176="","",VLOOKUP($J1176,APOIO!$H:$J,2,FALSE))</f>
        <v/>
      </c>
      <c r="L1176" s="32" t="str">
        <f>IF($A1176="","",VLOOKUP($J1176,APOIO!$H:$J,3,FALSE))</f>
        <v/>
      </c>
      <c r="M1176" s="31"/>
      <c r="N1176" s="34"/>
      <c r="O1176" s="32"/>
      <c r="P1176" s="32"/>
      <c r="Q1176" s="32"/>
      <c r="R1176" s="32"/>
      <c r="S1176" s="35"/>
      <c r="T1176" s="91"/>
      <c r="U1176" s="60"/>
      <c r="V1176" s="36"/>
      <c r="W1176" s="31"/>
      <c r="X1176" s="59"/>
      <c r="Y1176" s="59" t="str">
        <f>IFERROR(VLOOKUP($A1176,APOIO!$A:$A,1,FALSE),"ERRO")</f>
        <v>ERRO</v>
      </c>
      <c r="Z1176"/>
    </row>
    <row r="1177" spans="1:26" ht="15" x14ac:dyDescent="0.25">
      <c r="A1177" s="94"/>
      <c r="B1177" s="32" t="str">
        <f>IF($A1177="","",VLOOKUP($A1177,APOIO!$A:$E,2,FALSE))</f>
        <v/>
      </c>
      <c r="C1177" s="94"/>
      <c r="D1177" s="32" t="str">
        <f>IF($A1177="","",INDEX(APOIO!$D:$D,MATCH(CONCATENATE($A1177,"_",$B1177,"_",$C1177),APOIO!$F:$F,0)))</f>
        <v/>
      </c>
      <c r="E1177" s="31"/>
      <c r="F1177" s="31"/>
      <c r="G1177" s="33"/>
      <c r="H1177" s="105"/>
      <c r="I1177" s="32" t="str">
        <f>IF($A1177="","",VLOOKUP($H1177,APOIO!$L:$M,2,FALSE))</f>
        <v/>
      </c>
      <c r="J1177" s="31"/>
      <c r="K1177" s="32" t="str">
        <f>IF($A1177="","",VLOOKUP($J1177,APOIO!$H:$J,2,FALSE))</f>
        <v/>
      </c>
      <c r="L1177" s="32" t="str">
        <f>IF($A1177="","",VLOOKUP($J1177,APOIO!$H:$J,3,FALSE))</f>
        <v/>
      </c>
      <c r="M1177" s="31"/>
      <c r="N1177" s="34"/>
      <c r="O1177" s="32"/>
      <c r="P1177" s="32"/>
      <c r="Q1177" s="32"/>
      <c r="R1177" s="32"/>
      <c r="S1177" s="35"/>
      <c r="T1177" s="91"/>
      <c r="U1177" s="60"/>
      <c r="V1177" s="36"/>
      <c r="W1177" s="31"/>
      <c r="X1177" s="59"/>
      <c r="Y1177" s="59" t="str">
        <f>IFERROR(VLOOKUP($A1177,APOIO!$A:$A,1,FALSE),"ERRO")</f>
        <v>ERRO</v>
      </c>
      <c r="Z1177"/>
    </row>
    <row r="1178" spans="1:26" ht="15" x14ac:dyDescent="0.25">
      <c r="A1178" s="94"/>
      <c r="B1178" s="32" t="str">
        <f>IF($A1178="","",VLOOKUP($A1178,APOIO!$A:$E,2,FALSE))</f>
        <v/>
      </c>
      <c r="C1178" s="94"/>
      <c r="D1178" s="32" t="str">
        <f>IF($A1178="","",INDEX(APOIO!$D:$D,MATCH(CONCATENATE($A1178,"_",$B1178,"_",$C1178),APOIO!$F:$F,0)))</f>
        <v/>
      </c>
      <c r="E1178" s="31"/>
      <c r="F1178" s="31"/>
      <c r="G1178" s="33"/>
      <c r="H1178" s="105"/>
      <c r="I1178" s="32" t="str">
        <f>IF($A1178="","",VLOOKUP($H1178,APOIO!$L:$M,2,FALSE))</f>
        <v/>
      </c>
      <c r="J1178" s="31"/>
      <c r="K1178" s="32" t="str">
        <f>IF($A1178="","",VLOOKUP($J1178,APOIO!$H:$J,2,FALSE))</f>
        <v/>
      </c>
      <c r="L1178" s="32" t="str">
        <f>IF($A1178="","",VLOOKUP($J1178,APOIO!$H:$J,3,FALSE))</f>
        <v/>
      </c>
      <c r="M1178" s="31"/>
      <c r="N1178" s="34"/>
      <c r="O1178" s="32"/>
      <c r="P1178" s="32"/>
      <c r="Q1178" s="32"/>
      <c r="R1178" s="32"/>
      <c r="S1178" s="35"/>
      <c r="T1178" s="91"/>
      <c r="U1178" s="60"/>
      <c r="V1178" s="36"/>
      <c r="W1178" s="31"/>
      <c r="X1178" s="59"/>
      <c r="Y1178" s="59" t="str">
        <f>IFERROR(VLOOKUP($A1178,APOIO!$A:$A,1,FALSE),"ERRO")</f>
        <v>ERRO</v>
      </c>
      <c r="Z1178"/>
    </row>
    <row r="1179" spans="1:26" ht="15" x14ac:dyDescent="0.25">
      <c r="A1179" s="94"/>
      <c r="B1179" s="32" t="str">
        <f>IF($A1179="","",VLOOKUP($A1179,APOIO!$A:$E,2,FALSE))</f>
        <v/>
      </c>
      <c r="C1179" s="94"/>
      <c r="D1179" s="32" t="str">
        <f>IF($A1179="","",INDEX(APOIO!$D:$D,MATCH(CONCATENATE($A1179,"_",$B1179,"_",$C1179),APOIO!$F:$F,0)))</f>
        <v/>
      </c>
      <c r="E1179" s="31"/>
      <c r="F1179" s="31"/>
      <c r="G1179" s="33"/>
      <c r="H1179" s="105"/>
      <c r="I1179" s="32" t="str">
        <f>IF($A1179="","",VLOOKUP($H1179,APOIO!$L:$M,2,FALSE))</f>
        <v/>
      </c>
      <c r="J1179" s="31"/>
      <c r="K1179" s="32" t="str">
        <f>IF($A1179="","",VLOOKUP($J1179,APOIO!$H:$J,2,FALSE))</f>
        <v/>
      </c>
      <c r="L1179" s="32" t="str">
        <f>IF($A1179="","",VLOOKUP($J1179,APOIO!$H:$J,3,FALSE))</f>
        <v/>
      </c>
      <c r="M1179" s="31"/>
      <c r="N1179" s="34"/>
      <c r="O1179" s="32"/>
      <c r="P1179" s="32"/>
      <c r="Q1179" s="32"/>
      <c r="R1179" s="32"/>
      <c r="S1179" s="35"/>
      <c r="T1179" s="91"/>
      <c r="U1179" s="60"/>
      <c r="V1179" s="36"/>
      <c r="W1179" s="31"/>
      <c r="X1179" s="59"/>
      <c r="Y1179" s="59" t="str">
        <f>IFERROR(VLOOKUP($A1179,APOIO!$A:$A,1,FALSE),"ERRO")</f>
        <v>ERRO</v>
      </c>
      <c r="Z1179"/>
    </row>
    <row r="1180" spans="1:26" ht="15" x14ac:dyDescent="0.25">
      <c r="A1180" s="94"/>
      <c r="B1180" s="32" t="str">
        <f>IF($A1180="","",VLOOKUP($A1180,APOIO!$A:$E,2,FALSE))</f>
        <v/>
      </c>
      <c r="C1180" s="94"/>
      <c r="D1180" s="32" t="str">
        <f>IF($A1180="","",INDEX(APOIO!$D:$D,MATCH(CONCATENATE($A1180,"_",$B1180,"_",$C1180),APOIO!$F:$F,0)))</f>
        <v/>
      </c>
      <c r="E1180" s="31"/>
      <c r="F1180" s="31"/>
      <c r="G1180" s="33"/>
      <c r="H1180" s="105"/>
      <c r="I1180" s="32" t="str">
        <f>IF($A1180="","",VLOOKUP($H1180,APOIO!$L:$M,2,FALSE))</f>
        <v/>
      </c>
      <c r="J1180" s="31"/>
      <c r="K1180" s="32" t="str">
        <f>IF($A1180="","",VLOOKUP($J1180,APOIO!$H:$J,2,FALSE))</f>
        <v/>
      </c>
      <c r="L1180" s="32" t="str">
        <f>IF($A1180="","",VLOOKUP($J1180,APOIO!$H:$J,3,FALSE))</f>
        <v/>
      </c>
      <c r="M1180" s="31"/>
      <c r="N1180" s="34"/>
      <c r="O1180" s="32"/>
      <c r="P1180" s="32"/>
      <c r="Q1180" s="32"/>
      <c r="R1180" s="32"/>
      <c r="S1180" s="35"/>
      <c r="T1180" s="91"/>
      <c r="U1180" s="60"/>
      <c r="V1180" s="36"/>
      <c r="W1180" s="31"/>
      <c r="X1180" s="59"/>
      <c r="Y1180" s="59" t="str">
        <f>IFERROR(VLOOKUP($A1180,APOIO!$A:$A,1,FALSE),"ERRO")</f>
        <v>ERRO</v>
      </c>
      <c r="Z1180"/>
    </row>
    <row r="1181" spans="1:26" ht="15" x14ac:dyDescent="0.25">
      <c r="A1181" s="94"/>
      <c r="B1181" s="32" t="str">
        <f>IF($A1181="","",VLOOKUP($A1181,APOIO!$A:$E,2,FALSE))</f>
        <v/>
      </c>
      <c r="C1181" s="94"/>
      <c r="D1181" s="32" t="str">
        <f>IF($A1181="","",INDEX(APOIO!$D:$D,MATCH(CONCATENATE($A1181,"_",$B1181,"_",$C1181),APOIO!$F:$F,0)))</f>
        <v/>
      </c>
      <c r="E1181" s="31"/>
      <c r="F1181" s="31"/>
      <c r="G1181" s="33"/>
      <c r="H1181" s="105"/>
      <c r="I1181" s="32" t="str">
        <f>IF($A1181="","",VLOOKUP($H1181,APOIO!$L:$M,2,FALSE))</f>
        <v/>
      </c>
      <c r="J1181" s="31"/>
      <c r="K1181" s="32" t="str">
        <f>IF($A1181="","",VLOOKUP($J1181,APOIO!$H:$J,2,FALSE))</f>
        <v/>
      </c>
      <c r="L1181" s="32" t="str">
        <f>IF($A1181="","",VLOOKUP($J1181,APOIO!$H:$J,3,FALSE))</f>
        <v/>
      </c>
      <c r="M1181" s="31"/>
      <c r="N1181" s="34"/>
      <c r="O1181" s="32"/>
      <c r="P1181" s="32"/>
      <c r="Q1181" s="32"/>
      <c r="R1181" s="32"/>
      <c r="S1181" s="35"/>
      <c r="T1181" s="91"/>
      <c r="U1181" s="60"/>
      <c r="V1181" s="36"/>
      <c r="W1181" s="31"/>
      <c r="X1181" s="59"/>
      <c r="Y1181" s="59" t="str">
        <f>IFERROR(VLOOKUP($A1181,APOIO!$A:$A,1,FALSE),"ERRO")</f>
        <v>ERRO</v>
      </c>
      <c r="Z1181"/>
    </row>
    <row r="1182" spans="1:26" ht="15" x14ac:dyDescent="0.25">
      <c r="A1182" s="94"/>
      <c r="B1182" s="32" t="str">
        <f>IF($A1182="","",VLOOKUP($A1182,APOIO!$A:$E,2,FALSE))</f>
        <v/>
      </c>
      <c r="C1182" s="94"/>
      <c r="D1182" s="32" t="str">
        <f>IF($A1182="","",INDEX(APOIO!$D:$D,MATCH(CONCATENATE($A1182,"_",$B1182,"_",$C1182),APOIO!$F:$F,0)))</f>
        <v/>
      </c>
      <c r="E1182" s="31"/>
      <c r="F1182" s="31"/>
      <c r="G1182" s="33"/>
      <c r="H1182" s="105"/>
      <c r="I1182" s="32" t="str">
        <f>IF($A1182="","",VLOOKUP($H1182,APOIO!$L:$M,2,FALSE))</f>
        <v/>
      </c>
      <c r="J1182" s="31"/>
      <c r="K1182" s="32" t="str">
        <f>IF($A1182="","",VLOOKUP($J1182,APOIO!$H:$J,2,FALSE))</f>
        <v/>
      </c>
      <c r="L1182" s="32" t="str">
        <f>IF($A1182="","",VLOOKUP($J1182,APOIO!$H:$J,3,FALSE))</f>
        <v/>
      </c>
      <c r="M1182" s="31"/>
      <c r="N1182" s="34"/>
      <c r="O1182" s="32"/>
      <c r="P1182" s="32"/>
      <c r="Q1182" s="32"/>
      <c r="R1182" s="32"/>
      <c r="S1182" s="35"/>
      <c r="T1182" s="91"/>
      <c r="U1182" s="60"/>
      <c r="V1182" s="36"/>
      <c r="W1182" s="31"/>
      <c r="X1182" s="59"/>
      <c r="Y1182" s="59" t="str">
        <f>IFERROR(VLOOKUP($A1182,APOIO!$A:$A,1,FALSE),"ERRO")</f>
        <v>ERRO</v>
      </c>
      <c r="Z1182"/>
    </row>
    <row r="1183" spans="1:26" ht="15" x14ac:dyDescent="0.25">
      <c r="A1183" s="94"/>
      <c r="B1183" s="32" t="str">
        <f>IF($A1183="","",VLOOKUP($A1183,APOIO!$A:$E,2,FALSE))</f>
        <v/>
      </c>
      <c r="C1183" s="94"/>
      <c r="D1183" s="32" t="str">
        <f>IF($A1183="","",INDEX(APOIO!$D:$D,MATCH(CONCATENATE($A1183,"_",$B1183,"_",$C1183),APOIO!$F:$F,0)))</f>
        <v/>
      </c>
      <c r="E1183" s="31"/>
      <c r="F1183" s="31"/>
      <c r="G1183" s="33"/>
      <c r="H1183" s="105"/>
      <c r="I1183" s="32" t="str">
        <f>IF($A1183="","",VLOOKUP($H1183,APOIO!$L:$M,2,FALSE))</f>
        <v/>
      </c>
      <c r="J1183" s="31"/>
      <c r="K1183" s="32" t="str">
        <f>IF($A1183="","",VLOOKUP($J1183,APOIO!$H:$J,2,FALSE))</f>
        <v/>
      </c>
      <c r="L1183" s="32" t="str">
        <f>IF($A1183="","",VLOOKUP($J1183,APOIO!$H:$J,3,FALSE))</f>
        <v/>
      </c>
      <c r="M1183" s="31"/>
      <c r="N1183" s="34"/>
      <c r="O1183" s="32"/>
      <c r="P1183" s="32"/>
      <c r="Q1183" s="32"/>
      <c r="R1183" s="32"/>
      <c r="S1183" s="35"/>
      <c r="T1183" s="91"/>
      <c r="U1183" s="60"/>
      <c r="V1183" s="36"/>
      <c r="W1183" s="31"/>
      <c r="X1183" s="59"/>
      <c r="Y1183" s="59" t="str">
        <f>IFERROR(VLOOKUP($A1183,APOIO!$A:$A,1,FALSE),"ERRO")</f>
        <v>ERRO</v>
      </c>
      <c r="Z1183"/>
    </row>
    <row r="1184" spans="1:26" ht="15" x14ac:dyDescent="0.25">
      <c r="A1184" s="94"/>
      <c r="B1184" s="32" t="str">
        <f>IF($A1184="","",VLOOKUP($A1184,APOIO!$A:$E,2,FALSE))</f>
        <v/>
      </c>
      <c r="C1184" s="94"/>
      <c r="D1184" s="32" t="str">
        <f>IF($A1184="","",INDEX(APOIO!$D:$D,MATCH(CONCATENATE($A1184,"_",$B1184,"_",$C1184),APOIO!$F:$F,0)))</f>
        <v/>
      </c>
      <c r="E1184" s="31"/>
      <c r="F1184" s="31"/>
      <c r="G1184" s="33"/>
      <c r="H1184" s="105"/>
      <c r="I1184" s="32" t="str">
        <f>IF($A1184="","",VLOOKUP($H1184,APOIO!$L:$M,2,FALSE))</f>
        <v/>
      </c>
      <c r="J1184" s="31"/>
      <c r="K1184" s="32" t="str">
        <f>IF($A1184="","",VLOOKUP($J1184,APOIO!$H:$J,2,FALSE))</f>
        <v/>
      </c>
      <c r="L1184" s="32" t="str">
        <f>IF($A1184="","",VLOOKUP($J1184,APOIO!$H:$J,3,FALSE))</f>
        <v/>
      </c>
      <c r="M1184" s="31"/>
      <c r="N1184" s="34"/>
      <c r="O1184" s="32"/>
      <c r="P1184" s="32"/>
      <c r="Q1184" s="32"/>
      <c r="R1184" s="32"/>
      <c r="S1184" s="35"/>
      <c r="T1184" s="91"/>
      <c r="U1184" s="60"/>
      <c r="V1184" s="36"/>
      <c r="W1184" s="31"/>
      <c r="X1184" s="59"/>
      <c r="Y1184" s="59" t="str">
        <f>IFERROR(VLOOKUP($A1184,APOIO!$A:$A,1,FALSE),"ERRO")</f>
        <v>ERRO</v>
      </c>
      <c r="Z1184"/>
    </row>
    <row r="1185" spans="1:26" ht="15" x14ac:dyDescent="0.25">
      <c r="A1185" s="94"/>
      <c r="B1185" s="32" t="str">
        <f>IF($A1185="","",VLOOKUP($A1185,APOIO!$A:$E,2,FALSE))</f>
        <v/>
      </c>
      <c r="C1185" s="94"/>
      <c r="D1185" s="32" t="str">
        <f>IF($A1185="","",INDEX(APOIO!$D:$D,MATCH(CONCATENATE($A1185,"_",$B1185,"_",$C1185),APOIO!$F:$F,0)))</f>
        <v/>
      </c>
      <c r="E1185" s="31"/>
      <c r="F1185" s="31"/>
      <c r="G1185" s="33"/>
      <c r="H1185" s="105"/>
      <c r="I1185" s="32" t="str">
        <f>IF($A1185="","",VLOOKUP($H1185,APOIO!$L:$M,2,FALSE))</f>
        <v/>
      </c>
      <c r="J1185" s="31"/>
      <c r="K1185" s="32" t="str">
        <f>IF($A1185="","",VLOOKUP($J1185,APOIO!$H:$J,2,FALSE))</f>
        <v/>
      </c>
      <c r="L1185" s="32" t="str">
        <f>IF($A1185="","",VLOOKUP($J1185,APOIO!$H:$J,3,FALSE))</f>
        <v/>
      </c>
      <c r="M1185" s="31"/>
      <c r="N1185" s="34"/>
      <c r="O1185" s="32"/>
      <c r="P1185" s="32"/>
      <c r="Q1185" s="32"/>
      <c r="R1185" s="32"/>
      <c r="S1185" s="35"/>
      <c r="T1185" s="91"/>
      <c r="U1185" s="60"/>
      <c r="V1185" s="36"/>
      <c r="W1185" s="31"/>
      <c r="X1185" s="59"/>
      <c r="Y1185" s="59" t="str">
        <f>IFERROR(VLOOKUP($A1185,APOIO!$A:$A,1,FALSE),"ERRO")</f>
        <v>ERRO</v>
      </c>
      <c r="Z1185"/>
    </row>
    <row r="1186" spans="1:26" ht="15" x14ac:dyDescent="0.25">
      <c r="A1186" s="94"/>
      <c r="B1186" s="32" t="str">
        <f>IF($A1186="","",VLOOKUP($A1186,APOIO!$A:$E,2,FALSE))</f>
        <v/>
      </c>
      <c r="C1186" s="94"/>
      <c r="D1186" s="32" t="str">
        <f>IF($A1186="","",INDEX(APOIO!$D:$D,MATCH(CONCATENATE($A1186,"_",$B1186,"_",$C1186),APOIO!$F:$F,0)))</f>
        <v/>
      </c>
      <c r="E1186" s="31"/>
      <c r="F1186" s="31"/>
      <c r="G1186" s="33"/>
      <c r="H1186" s="105"/>
      <c r="I1186" s="32" t="str">
        <f>IF($A1186="","",VLOOKUP($H1186,APOIO!$L:$M,2,FALSE))</f>
        <v/>
      </c>
      <c r="J1186" s="31"/>
      <c r="K1186" s="32" t="str">
        <f>IF($A1186="","",VLOOKUP($J1186,APOIO!$H:$J,2,FALSE))</f>
        <v/>
      </c>
      <c r="L1186" s="32" t="str">
        <f>IF($A1186="","",VLOOKUP($J1186,APOIO!$H:$J,3,FALSE))</f>
        <v/>
      </c>
      <c r="M1186" s="31"/>
      <c r="N1186" s="34"/>
      <c r="O1186" s="32"/>
      <c r="P1186" s="32"/>
      <c r="Q1186" s="32"/>
      <c r="R1186" s="32"/>
      <c r="S1186" s="35"/>
      <c r="T1186" s="91"/>
      <c r="U1186" s="60"/>
      <c r="V1186" s="36"/>
      <c r="W1186" s="31"/>
      <c r="X1186" s="59"/>
      <c r="Y1186" s="59" t="str">
        <f>IFERROR(VLOOKUP($A1186,APOIO!$A:$A,1,FALSE),"ERRO")</f>
        <v>ERRO</v>
      </c>
      <c r="Z1186"/>
    </row>
    <row r="1187" spans="1:26" ht="15" x14ac:dyDescent="0.25">
      <c r="A1187" s="94"/>
      <c r="B1187" s="32" t="str">
        <f>IF($A1187="","",VLOOKUP($A1187,APOIO!$A:$E,2,FALSE))</f>
        <v/>
      </c>
      <c r="C1187" s="94"/>
      <c r="D1187" s="32" t="str">
        <f>IF($A1187="","",INDEX(APOIO!$D:$D,MATCH(CONCATENATE($A1187,"_",$B1187,"_",$C1187),APOIO!$F:$F,0)))</f>
        <v/>
      </c>
      <c r="E1187" s="31"/>
      <c r="F1187" s="31"/>
      <c r="G1187" s="33"/>
      <c r="H1187" s="105"/>
      <c r="I1187" s="32" t="str">
        <f>IF($A1187="","",VLOOKUP($H1187,APOIO!$L:$M,2,FALSE))</f>
        <v/>
      </c>
      <c r="J1187" s="31"/>
      <c r="K1187" s="32" t="str">
        <f>IF($A1187="","",VLOOKUP($J1187,APOIO!$H:$J,2,FALSE))</f>
        <v/>
      </c>
      <c r="L1187" s="32" t="str">
        <f>IF($A1187="","",VLOOKUP($J1187,APOIO!$H:$J,3,FALSE))</f>
        <v/>
      </c>
      <c r="M1187" s="31"/>
      <c r="N1187" s="34"/>
      <c r="O1187" s="32"/>
      <c r="P1187" s="32"/>
      <c r="Q1187" s="32"/>
      <c r="R1187" s="32"/>
      <c r="S1187" s="35"/>
      <c r="T1187" s="91"/>
      <c r="U1187" s="60"/>
      <c r="V1187" s="36"/>
      <c r="W1187" s="31"/>
      <c r="X1187" s="59"/>
      <c r="Y1187" s="59" t="str">
        <f>IFERROR(VLOOKUP($A1187,APOIO!$A:$A,1,FALSE),"ERRO")</f>
        <v>ERRO</v>
      </c>
      <c r="Z1187"/>
    </row>
    <row r="1188" spans="1:26" ht="15" x14ac:dyDescent="0.25">
      <c r="A1188" s="94"/>
      <c r="B1188" s="32" t="str">
        <f>IF($A1188="","",VLOOKUP($A1188,APOIO!$A:$E,2,FALSE))</f>
        <v/>
      </c>
      <c r="C1188" s="94"/>
      <c r="D1188" s="32" t="str">
        <f>IF($A1188="","",INDEX(APOIO!$D:$D,MATCH(CONCATENATE($A1188,"_",$B1188,"_",$C1188),APOIO!$F:$F,0)))</f>
        <v/>
      </c>
      <c r="E1188" s="31"/>
      <c r="F1188" s="31"/>
      <c r="G1188" s="33"/>
      <c r="H1188" s="105"/>
      <c r="I1188" s="32" t="str">
        <f>IF($A1188="","",VLOOKUP($H1188,APOIO!$L:$M,2,FALSE))</f>
        <v/>
      </c>
      <c r="J1188" s="31"/>
      <c r="K1188" s="32" t="str">
        <f>IF($A1188="","",VLOOKUP($J1188,APOIO!$H:$J,2,FALSE))</f>
        <v/>
      </c>
      <c r="L1188" s="32" t="str">
        <f>IF($A1188="","",VLOOKUP($J1188,APOIO!$H:$J,3,FALSE))</f>
        <v/>
      </c>
      <c r="M1188" s="31"/>
      <c r="N1188" s="34"/>
      <c r="O1188" s="32"/>
      <c r="P1188" s="32"/>
      <c r="Q1188" s="32"/>
      <c r="R1188" s="32"/>
      <c r="S1188" s="35"/>
      <c r="T1188" s="91"/>
      <c r="U1188" s="60"/>
      <c r="V1188" s="36"/>
      <c r="W1188" s="31"/>
      <c r="X1188" s="59"/>
      <c r="Y1188" s="59" t="str">
        <f>IFERROR(VLOOKUP($A1188,APOIO!$A:$A,1,FALSE),"ERRO")</f>
        <v>ERRO</v>
      </c>
      <c r="Z1188"/>
    </row>
    <row r="1189" spans="1:26" ht="15" x14ac:dyDescent="0.25">
      <c r="A1189" s="94"/>
      <c r="B1189" s="32" t="str">
        <f>IF($A1189="","",VLOOKUP($A1189,APOIO!$A:$E,2,FALSE))</f>
        <v/>
      </c>
      <c r="C1189" s="94"/>
      <c r="D1189" s="32" t="str">
        <f>IF($A1189="","",INDEX(APOIO!$D:$D,MATCH(CONCATENATE($A1189,"_",$B1189,"_",$C1189),APOIO!$F:$F,0)))</f>
        <v/>
      </c>
      <c r="E1189" s="31"/>
      <c r="F1189" s="31"/>
      <c r="G1189" s="33"/>
      <c r="H1189" s="105"/>
      <c r="I1189" s="32" t="str">
        <f>IF($A1189="","",VLOOKUP($H1189,APOIO!$L:$M,2,FALSE))</f>
        <v/>
      </c>
      <c r="J1189" s="31"/>
      <c r="K1189" s="32" t="str">
        <f>IF($A1189="","",VLOOKUP($J1189,APOIO!$H:$J,2,FALSE))</f>
        <v/>
      </c>
      <c r="L1189" s="32" t="str">
        <f>IF($A1189="","",VLOOKUP($J1189,APOIO!$H:$J,3,FALSE))</f>
        <v/>
      </c>
      <c r="M1189" s="31"/>
      <c r="N1189" s="34"/>
      <c r="O1189" s="32"/>
      <c r="P1189" s="32"/>
      <c r="Q1189" s="32"/>
      <c r="R1189" s="32"/>
      <c r="S1189" s="35"/>
      <c r="T1189" s="91"/>
      <c r="U1189" s="60"/>
      <c r="V1189" s="36"/>
      <c r="W1189" s="31"/>
      <c r="X1189" s="59"/>
      <c r="Y1189" s="59" t="str">
        <f>IFERROR(VLOOKUP($A1189,APOIO!$A:$A,1,FALSE),"ERRO")</f>
        <v>ERRO</v>
      </c>
      <c r="Z1189"/>
    </row>
    <row r="1190" spans="1:26" ht="15" x14ac:dyDescent="0.25">
      <c r="A1190" s="94"/>
      <c r="B1190" s="32" t="str">
        <f>IF($A1190="","",VLOOKUP($A1190,APOIO!$A:$E,2,FALSE))</f>
        <v/>
      </c>
      <c r="C1190" s="94"/>
      <c r="D1190" s="32" t="str">
        <f>IF($A1190="","",INDEX(APOIO!$D:$D,MATCH(CONCATENATE($A1190,"_",$B1190,"_",$C1190),APOIO!$F:$F,0)))</f>
        <v/>
      </c>
      <c r="E1190" s="31"/>
      <c r="F1190" s="31"/>
      <c r="G1190" s="33"/>
      <c r="H1190" s="105"/>
      <c r="I1190" s="32" t="str">
        <f>IF($A1190="","",VLOOKUP($H1190,APOIO!$L:$M,2,FALSE))</f>
        <v/>
      </c>
      <c r="J1190" s="31"/>
      <c r="K1190" s="32" t="str">
        <f>IF($A1190="","",VLOOKUP($J1190,APOIO!$H:$J,2,FALSE))</f>
        <v/>
      </c>
      <c r="L1190" s="32" t="str">
        <f>IF($A1190="","",VLOOKUP($J1190,APOIO!$H:$J,3,FALSE))</f>
        <v/>
      </c>
      <c r="M1190" s="31"/>
      <c r="N1190" s="34"/>
      <c r="O1190" s="32"/>
      <c r="P1190" s="32"/>
      <c r="Q1190" s="32"/>
      <c r="R1190" s="32"/>
      <c r="S1190" s="35"/>
      <c r="T1190" s="91"/>
      <c r="U1190" s="60"/>
      <c r="V1190" s="36"/>
      <c r="W1190" s="31"/>
      <c r="X1190" s="59"/>
      <c r="Y1190" s="59" t="str">
        <f>IFERROR(VLOOKUP($A1190,APOIO!$A:$A,1,FALSE),"ERRO")</f>
        <v>ERRO</v>
      </c>
      <c r="Z1190"/>
    </row>
    <row r="1191" spans="1:26" ht="15" x14ac:dyDescent="0.25">
      <c r="A1191" s="94"/>
      <c r="B1191" s="32" t="str">
        <f>IF($A1191="","",VLOOKUP($A1191,APOIO!$A:$E,2,FALSE))</f>
        <v/>
      </c>
      <c r="C1191" s="94"/>
      <c r="D1191" s="32" t="str">
        <f>IF($A1191="","",INDEX(APOIO!$D:$D,MATCH(CONCATENATE($A1191,"_",$B1191,"_",$C1191),APOIO!$F:$F,0)))</f>
        <v/>
      </c>
      <c r="E1191" s="31"/>
      <c r="F1191" s="31"/>
      <c r="G1191" s="33"/>
      <c r="H1191" s="105"/>
      <c r="I1191" s="32" t="str">
        <f>IF($A1191="","",VLOOKUP($H1191,APOIO!$L:$M,2,FALSE))</f>
        <v/>
      </c>
      <c r="J1191" s="31"/>
      <c r="K1191" s="32" t="str">
        <f>IF($A1191="","",VLOOKUP($J1191,APOIO!$H:$J,2,FALSE))</f>
        <v/>
      </c>
      <c r="L1191" s="32" t="str">
        <f>IF($A1191="","",VLOOKUP($J1191,APOIO!$H:$J,3,FALSE))</f>
        <v/>
      </c>
      <c r="M1191" s="31"/>
      <c r="N1191" s="34"/>
      <c r="O1191" s="32"/>
      <c r="P1191" s="32"/>
      <c r="Q1191" s="32"/>
      <c r="R1191" s="32"/>
      <c r="S1191" s="35"/>
      <c r="T1191" s="91"/>
      <c r="U1191" s="60"/>
      <c r="V1191" s="36"/>
      <c r="W1191" s="31"/>
      <c r="X1191" s="59"/>
      <c r="Y1191" s="59" t="str">
        <f>IFERROR(VLOOKUP($A1191,APOIO!$A:$A,1,FALSE),"ERRO")</f>
        <v>ERRO</v>
      </c>
      <c r="Z1191"/>
    </row>
    <row r="1192" spans="1:26" ht="15" x14ac:dyDescent="0.25">
      <c r="A1192" s="94"/>
      <c r="B1192" s="32" t="str">
        <f>IF($A1192="","",VLOOKUP($A1192,APOIO!$A:$E,2,FALSE))</f>
        <v/>
      </c>
      <c r="C1192" s="94"/>
      <c r="D1192" s="32" t="str">
        <f>IF($A1192="","",INDEX(APOIO!$D:$D,MATCH(CONCATENATE($A1192,"_",$B1192,"_",$C1192),APOIO!$F:$F,0)))</f>
        <v/>
      </c>
      <c r="E1192" s="31"/>
      <c r="F1192" s="31"/>
      <c r="G1192" s="33"/>
      <c r="H1192" s="105"/>
      <c r="I1192" s="32" t="str">
        <f>IF($A1192="","",VLOOKUP($H1192,APOIO!$L:$M,2,FALSE))</f>
        <v/>
      </c>
      <c r="J1192" s="31"/>
      <c r="K1192" s="32" t="str">
        <f>IF($A1192="","",VLOOKUP($J1192,APOIO!$H:$J,2,FALSE))</f>
        <v/>
      </c>
      <c r="L1192" s="32" t="str">
        <f>IF($A1192="","",VLOOKUP($J1192,APOIO!$H:$J,3,FALSE))</f>
        <v/>
      </c>
      <c r="M1192" s="31"/>
      <c r="N1192" s="34"/>
      <c r="O1192" s="32"/>
      <c r="P1192" s="32"/>
      <c r="Q1192" s="32"/>
      <c r="R1192" s="32"/>
      <c r="S1192" s="35"/>
      <c r="T1192" s="91"/>
      <c r="U1192" s="60"/>
      <c r="V1192" s="36"/>
      <c r="W1192" s="31"/>
      <c r="X1192" s="59"/>
      <c r="Y1192" s="59" t="str">
        <f>IFERROR(VLOOKUP($A1192,APOIO!$A:$A,1,FALSE),"ERRO")</f>
        <v>ERRO</v>
      </c>
      <c r="Z1192"/>
    </row>
    <row r="1193" spans="1:26" ht="15" x14ac:dyDescent="0.25">
      <c r="A1193" s="94"/>
      <c r="B1193" s="32" t="str">
        <f>IF($A1193="","",VLOOKUP($A1193,APOIO!$A:$E,2,FALSE))</f>
        <v/>
      </c>
      <c r="C1193" s="94"/>
      <c r="D1193" s="32" t="str">
        <f>IF($A1193="","",INDEX(APOIO!$D:$D,MATCH(CONCATENATE($A1193,"_",$B1193,"_",$C1193),APOIO!$F:$F,0)))</f>
        <v/>
      </c>
      <c r="E1193" s="31"/>
      <c r="F1193" s="31"/>
      <c r="G1193" s="33"/>
      <c r="H1193" s="105"/>
      <c r="I1193" s="32" t="str">
        <f>IF($A1193="","",VLOOKUP($H1193,APOIO!$L:$M,2,FALSE))</f>
        <v/>
      </c>
      <c r="J1193" s="31"/>
      <c r="K1193" s="32" t="str">
        <f>IF($A1193="","",VLOOKUP($J1193,APOIO!$H:$J,2,FALSE))</f>
        <v/>
      </c>
      <c r="L1193" s="32" t="str">
        <f>IF($A1193="","",VLOOKUP($J1193,APOIO!$H:$J,3,FALSE))</f>
        <v/>
      </c>
      <c r="M1193" s="31"/>
      <c r="N1193" s="34"/>
      <c r="O1193" s="32"/>
      <c r="P1193" s="32"/>
      <c r="Q1193" s="32"/>
      <c r="R1193" s="32"/>
      <c r="S1193" s="35"/>
      <c r="T1193" s="91"/>
      <c r="U1193" s="60"/>
      <c r="V1193" s="36"/>
      <c r="W1193" s="31"/>
      <c r="X1193" s="59"/>
      <c r="Y1193" s="59" t="str">
        <f>IFERROR(VLOOKUP($A1193,APOIO!$A:$A,1,FALSE),"ERRO")</f>
        <v>ERRO</v>
      </c>
      <c r="Z1193"/>
    </row>
    <row r="1194" spans="1:26" ht="15" x14ac:dyDescent="0.25">
      <c r="A1194" s="94"/>
      <c r="B1194" s="32" t="str">
        <f>IF($A1194="","",VLOOKUP($A1194,APOIO!$A:$E,2,FALSE))</f>
        <v/>
      </c>
      <c r="C1194" s="94"/>
      <c r="D1194" s="32" t="str">
        <f>IF($A1194="","",INDEX(APOIO!$D:$D,MATCH(CONCATENATE($A1194,"_",$B1194,"_",$C1194),APOIO!$F:$F,0)))</f>
        <v/>
      </c>
      <c r="E1194" s="31"/>
      <c r="F1194" s="31"/>
      <c r="G1194" s="33"/>
      <c r="H1194" s="105"/>
      <c r="I1194" s="32" t="str">
        <f>IF($A1194="","",VLOOKUP($H1194,APOIO!$L:$M,2,FALSE))</f>
        <v/>
      </c>
      <c r="J1194" s="31"/>
      <c r="K1194" s="32" t="str">
        <f>IF($A1194="","",VLOOKUP($J1194,APOIO!$H:$J,2,FALSE))</f>
        <v/>
      </c>
      <c r="L1194" s="32" t="str">
        <f>IF($A1194="","",VLOOKUP($J1194,APOIO!$H:$J,3,FALSE))</f>
        <v/>
      </c>
      <c r="M1194" s="31"/>
      <c r="N1194" s="34"/>
      <c r="O1194" s="32"/>
      <c r="P1194" s="32"/>
      <c r="Q1194" s="32"/>
      <c r="R1194" s="32"/>
      <c r="S1194" s="35"/>
      <c r="T1194" s="91"/>
      <c r="U1194" s="60"/>
      <c r="V1194" s="36"/>
      <c r="W1194" s="31"/>
      <c r="X1194" s="59"/>
      <c r="Y1194" s="59" t="str">
        <f>IFERROR(VLOOKUP($A1194,APOIO!$A:$A,1,FALSE),"ERRO")</f>
        <v>ERRO</v>
      </c>
      <c r="Z1194"/>
    </row>
    <row r="1195" spans="1:26" ht="15" x14ac:dyDescent="0.25">
      <c r="A1195" s="94"/>
      <c r="B1195" s="32" t="str">
        <f>IF($A1195="","",VLOOKUP($A1195,APOIO!$A:$E,2,FALSE))</f>
        <v/>
      </c>
      <c r="C1195" s="94"/>
      <c r="D1195" s="32" t="str">
        <f>IF($A1195="","",INDEX(APOIO!$D:$D,MATCH(CONCATENATE($A1195,"_",$B1195,"_",$C1195),APOIO!$F:$F,0)))</f>
        <v/>
      </c>
      <c r="E1195" s="31"/>
      <c r="F1195" s="31"/>
      <c r="G1195" s="33"/>
      <c r="H1195" s="105"/>
      <c r="I1195" s="32" t="str">
        <f>IF($A1195="","",VLOOKUP($H1195,APOIO!$L:$M,2,FALSE))</f>
        <v/>
      </c>
      <c r="J1195" s="31"/>
      <c r="K1195" s="32" t="str">
        <f>IF($A1195="","",VLOOKUP($J1195,APOIO!$H:$J,2,FALSE))</f>
        <v/>
      </c>
      <c r="L1195" s="32" t="str">
        <f>IF($A1195="","",VLOOKUP($J1195,APOIO!$H:$J,3,FALSE))</f>
        <v/>
      </c>
      <c r="M1195" s="31"/>
      <c r="N1195" s="34"/>
      <c r="O1195" s="32"/>
      <c r="P1195" s="32"/>
      <c r="Q1195" s="32"/>
      <c r="R1195" s="32"/>
      <c r="S1195" s="35"/>
      <c r="T1195" s="91"/>
      <c r="U1195" s="60"/>
      <c r="V1195" s="36"/>
      <c r="W1195" s="31"/>
      <c r="X1195" s="59"/>
      <c r="Y1195" s="59" t="str">
        <f>IFERROR(VLOOKUP($A1195,APOIO!$A:$A,1,FALSE),"ERRO")</f>
        <v>ERRO</v>
      </c>
      <c r="Z1195"/>
    </row>
    <row r="1196" spans="1:26" ht="15" x14ac:dyDescent="0.25">
      <c r="A1196" s="94"/>
      <c r="B1196" s="32" t="str">
        <f>IF($A1196="","",VLOOKUP($A1196,APOIO!$A:$E,2,FALSE))</f>
        <v/>
      </c>
      <c r="C1196" s="94"/>
      <c r="D1196" s="32" t="str">
        <f>IF($A1196="","",INDEX(APOIO!$D:$D,MATCH(CONCATENATE($A1196,"_",$B1196,"_",$C1196),APOIO!$F:$F,0)))</f>
        <v/>
      </c>
      <c r="E1196" s="31"/>
      <c r="F1196" s="31"/>
      <c r="G1196" s="33"/>
      <c r="H1196" s="105"/>
      <c r="I1196" s="32" t="str">
        <f>IF($A1196="","",VLOOKUP($H1196,APOIO!$L:$M,2,FALSE))</f>
        <v/>
      </c>
      <c r="J1196" s="31"/>
      <c r="K1196" s="32" t="str">
        <f>IF($A1196="","",VLOOKUP($J1196,APOIO!$H:$J,2,FALSE))</f>
        <v/>
      </c>
      <c r="L1196" s="32" t="str">
        <f>IF($A1196="","",VLOOKUP($J1196,APOIO!$H:$J,3,FALSE))</f>
        <v/>
      </c>
      <c r="M1196" s="31"/>
      <c r="N1196" s="34"/>
      <c r="O1196" s="32"/>
      <c r="P1196" s="32"/>
      <c r="Q1196" s="32"/>
      <c r="R1196" s="32"/>
      <c r="S1196" s="35"/>
      <c r="T1196" s="91"/>
      <c r="U1196" s="60"/>
      <c r="V1196" s="36"/>
      <c r="W1196" s="31"/>
      <c r="X1196" s="59"/>
      <c r="Y1196" s="59" t="str">
        <f>IFERROR(VLOOKUP($A1196,APOIO!$A:$A,1,FALSE),"ERRO")</f>
        <v>ERRO</v>
      </c>
      <c r="Z1196"/>
    </row>
    <row r="1197" spans="1:26" ht="15" x14ac:dyDescent="0.25">
      <c r="A1197" s="94"/>
      <c r="B1197" s="32" t="str">
        <f>IF($A1197="","",VLOOKUP($A1197,APOIO!$A:$E,2,FALSE))</f>
        <v/>
      </c>
      <c r="C1197" s="94"/>
      <c r="D1197" s="32" t="str">
        <f>IF($A1197="","",INDEX(APOIO!$D:$D,MATCH(CONCATENATE($A1197,"_",$B1197,"_",$C1197),APOIO!$F:$F,0)))</f>
        <v/>
      </c>
      <c r="E1197" s="31"/>
      <c r="F1197" s="31"/>
      <c r="G1197" s="33"/>
      <c r="H1197" s="105"/>
      <c r="I1197" s="32" t="str">
        <f>IF($A1197="","",VLOOKUP($H1197,APOIO!$L:$M,2,FALSE))</f>
        <v/>
      </c>
      <c r="J1197" s="31"/>
      <c r="K1197" s="32" t="str">
        <f>IF($A1197="","",VLOOKUP($J1197,APOIO!$H:$J,2,FALSE))</f>
        <v/>
      </c>
      <c r="L1197" s="32" t="str">
        <f>IF($A1197="","",VLOOKUP($J1197,APOIO!$H:$J,3,FALSE))</f>
        <v/>
      </c>
      <c r="M1197" s="31"/>
      <c r="N1197" s="34"/>
      <c r="O1197" s="32"/>
      <c r="P1197" s="32"/>
      <c r="Q1197" s="32"/>
      <c r="R1197" s="32"/>
      <c r="S1197" s="35"/>
      <c r="T1197" s="91"/>
      <c r="U1197" s="60"/>
      <c r="V1197" s="36"/>
      <c r="W1197" s="31"/>
      <c r="X1197" s="59"/>
      <c r="Y1197" s="59" t="str">
        <f>IFERROR(VLOOKUP($A1197,APOIO!$A:$A,1,FALSE),"ERRO")</f>
        <v>ERRO</v>
      </c>
      <c r="Z1197"/>
    </row>
    <row r="1198" spans="1:26" ht="15" x14ac:dyDescent="0.25">
      <c r="A1198" s="94"/>
      <c r="B1198" s="32" t="str">
        <f>IF($A1198="","",VLOOKUP($A1198,APOIO!$A:$E,2,FALSE))</f>
        <v/>
      </c>
      <c r="C1198" s="94"/>
      <c r="D1198" s="32" t="str">
        <f>IF($A1198="","",INDEX(APOIO!$D:$D,MATCH(CONCATENATE($A1198,"_",$B1198,"_",$C1198),APOIO!$F:$F,0)))</f>
        <v/>
      </c>
      <c r="E1198" s="31"/>
      <c r="F1198" s="31"/>
      <c r="G1198" s="33"/>
      <c r="H1198" s="105"/>
      <c r="I1198" s="32" t="str">
        <f>IF($A1198="","",VLOOKUP($H1198,APOIO!$L:$M,2,FALSE))</f>
        <v/>
      </c>
      <c r="J1198" s="31"/>
      <c r="K1198" s="32" t="str">
        <f>IF($A1198="","",VLOOKUP($J1198,APOIO!$H:$J,2,FALSE))</f>
        <v/>
      </c>
      <c r="L1198" s="32" t="str">
        <f>IF($A1198="","",VLOOKUP($J1198,APOIO!$H:$J,3,FALSE))</f>
        <v/>
      </c>
      <c r="M1198" s="31"/>
      <c r="N1198" s="34"/>
      <c r="O1198" s="32"/>
      <c r="P1198" s="32"/>
      <c r="Q1198" s="32"/>
      <c r="R1198" s="32"/>
      <c r="S1198" s="35"/>
      <c r="T1198" s="91"/>
      <c r="U1198" s="60"/>
      <c r="V1198" s="36"/>
      <c r="W1198" s="31"/>
      <c r="X1198" s="59"/>
      <c r="Y1198" s="59" t="str">
        <f>IFERROR(VLOOKUP($A1198,APOIO!$A:$A,1,FALSE),"ERRO")</f>
        <v>ERRO</v>
      </c>
      <c r="Z1198"/>
    </row>
    <row r="1199" spans="1:26" ht="15" x14ac:dyDescent="0.25">
      <c r="A1199" s="94"/>
      <c r="B1199" s="32" t="str">
        <f>IF($A1199="","",VLOOKUP($A1199,APOIO!$A:$E,2,FALSE))</f>
        <v/>
      </c>
      <c r="C1199" s="94"/>
      <c r="D1199" s="32" t="str">
        <f>IF($A1199="","",INDEX(APOIO!$D:$D,MATCH(CONCATENATE($A1199,"_",$B1199,"_",$C1199),APOIO!$F:$F,0)))</f>
        <v/>
      </c>
      <c r="E1199" s="31"/>
      <c r="F1199" s="31"/>
      <c r="G1199" s="33"/>
      <c r="H1199" s="105"/>
      <c r="I1199" s="32" t="str">
        <f>IF($A1199="","",VLOOKUP($H1199,APOIO!$L:$M,2,FALSE))</f>
        <v/>
      </c>
      <c r="J1199" s="31"/>
      <c r="K1199" s="32" t="str">
        <f>IF($A1199="","",VLOOKUP($J1199,APOIO!$H:$J,2,FALSE))</f>
        <v/>
      </c>
      <c r="L1199" s="32" t="str">
        <f>IF($A1199="","",VLOOKUP($J1199,APOIO!$H:$J,3,FALSE))</f>
        <v/>
      </c>
      <c r="M1199" s="31"/>
      <c r="N1199" s="34"/>
      <c r="O1199" s="32"/>
      <c r="P1199" s="32"/>
      <c r="Q1199" s="32"/>
      <c r="R1199" s="32"/>
      <c r="S1199" s="35"/>
      <c r="T1199" s="91"/>
      <c r="U1199" s="60"/>
      <c r="V1199" s="36"/>
      <c r="W1199" s="31"/>
      <c r="X1199" s="59"/>
      <c r="Y1199" s="59" t="str">
        <f>IFERROR(VLOOKUP($A1199,APOIO!$A:$A,1,FALSE),"ERRO")</f>
        <v>ERRO</v>
      </c>
      <c r="Z1199"/>
    </row>
    <row r="1200" spans="1:26" ht="15" x14ac:dyDescent="0.25">
      <c r="A1200" s="94"/>
      <c r="B1200" s="32" t="str">
        <f>IF($A1200="","",VLOOKUP($A1200,APOIO!$A:$E,2,FALSE))</f>
        <v/>
      </c>
      <c r="C1200" s="94"/>
      <c r="D1200" s="32" t="str">
        <f>IF($A1200="","",INDEX(APOIO!$D:$D,MATCH(CONCATENATE($A1200,"_",$B1200,"_",$C1200),APOIO!$F:$F,0)))</f>
        <v/>
      </c>
      <c r="E1200" s="31"/>
      <c r="F1200" s="31"/>
      <c r="G1200" s="33"/>
      <c r="H1200" s="105"/>
      <c r="I1200" s="32" t="str">
        <f>IF($A1200="","",VLOOKUP($H1200,APOIO!$L:$M,2,FALSE))</f>
        <v/>
      </c>
      <c r="J1200" s="31"/>
      <c r="K1200" s="32" t="str">
        <f>IF($A1200="","",VLOOKUP($J1200,APOIO!$H:$J,2,FALSE))</f>
        <v/>
      </c>
      <c r="L1200" s="32" t="str">
        <f>IF($A1200="","",VLOOKUP($J1200,APOIO!$H:$J,3,FALSE))</f>
        <v/>
      </c>
      <c r="M1200" s="31"/>
      <c r="N1200" s="34"/>
      <c r="O1200" s="32"/>
      <c r="P1200" s="32"/>
      <c r="Q1200" s="32"/>
      <c r="R1200" s="32"/>
      <c r="S1200" s="35"/>
      <c r="T1200" s="91"/>
      <c r="U1200" s="60"/>
      <c r="V1200" s="36"/>
      <c r="W1200" s="31"/>
      <c r="X1200" s="59"/>
      <c r="Y1200" s="59" t="str">
        <f>IFERROR(VLOOKUP($A1200,APOIO!$A:$A,1,FALSE),"ERRO")</f>
        <v>ERRO</v>
      </c>
      <c r="Z1200"/>
    </row>
    <row r="1201" spans="1:26" ht="15" x14ac:dyDescent="0.25">
      <c r="A1201" s="94"/>
      <c r="B1201" s="32" t="str">
        <f>IF($A1201="","",VLOOKUP($A1201,APOIO!$A:$E,2,FALSE))</f>
        <v/>
      </c>
      <c r="C1201" s="94"/>
      <c r="D1201" s="32" t="str">
        <f>IF($A1201="","",INDEX(APOIO!$D:$D,MATCH(CONCATENATE($A1201,"_",$B1201,"_",$C1201),APOIO!$F:$F,0)))</f>
        <v/>
      </c>
      <c r="E1201" s="31"/>
      <c r="F1201" s="31"/>
      <c r="G1201" s="33"/>
      <c r="H1201" s="105"/>
      <c r="I1201" s="32" t="str">
        <f>IF($A1201="","",VLOOKUP($H1201,APOIO!$L:$M,2,FALSE))</f>
        <v/>
      </c>
      <c r="J1201" s="31"/>
      <c r="K1201" s="32" t="str">
        <f>IF($A1201="","",VLOOKUP($J1201,APOIO!$H:$J,2,FALSE))</f>
        <v/>
      </c>
      <c r="L1201" s="32" t="str">
        <f>IF($A1201="","",VLOOKUP($J1201,APOIO!$H:$J,3,FALSE))</f>
        <v/>
      </c>
      <c r="M1201" s="31"/>
      <c r="N1201" s="34"/>
      <c r="O1201" s="32"/>
      <c r="P1201" s="32"/>
      <c r="Q1201" s="32"/>
      <c r="R1201" s="32"/>
      <c r="S1201" s="35"/>
      <c r="T1201" s="91"/>
      <c r="U1201" s="60"/>
      <c r="V1201" s="36"/>
      <c r="W1201" s="31"/>
      <c r="X1201" s="59"/>
      <c r="Y1201" s="59" t="str">
        <f>IFERROR(VLOOKUP($A1201,APOIO!$A:$A,1,FALSE),"ERRO")</f>
        <v>ERRO</v>
      </c>
      <c r="Z1201"/>
    </row>
    <row r="1202" spans="1:26" ht="15" x14ac:dyDescent="0.25">
      <c r="A1202" s="94"/>
      <c r="B1202" s="32" t="str">
        <f>IF($A1202="","",VLOOKUP($A1202,APOIO!$A:$E,2,FALSE))</f>
        <v/>
      </c>
      <c r="C1202" s="94"/>
      <c r="D1202" s="32" t="str">
        <f>IF($A1202="","",INDEX(APOIO!$D:$D,MATCH(CONCATENATE($A1202,"_",$B1202,"_",$C1202),APOIO!$F:$F,0)))</f>
        <v/>
      </c>
      <c r="E1202" s="31"/>
      <c r="F1202" s="31"/>
      <c r="G1202" s="33"/>
      <c r="H1202" s="105"/>
      <c r="I1202" s="32" t="str">
        <f>IF($A1202="","",VLOOKUP($H1202,APOIO!$L:$M,2,FALSE))</f>
        <v/>
      </c>
      <c r="J1202" s="31"/>
      <c r="K1202" s="32" t="str">
        <f>IF($A1202="","",VLOOKUP($J1202,APOIO!$H:$J,2,FALSE))</f>
        <v/>
      </c>
      <c r="L1202" s="32" t="str">
        <f>IF($A1202="","",VLOOKUP($J1202,APOIO!$H:$J,3,FALSE))</f>
        <v/>
      </c>
      <c r="M1202" s="31"/>
      <c r="N1202" s="34"/>
      <c r="O1202" s="32"/>
      <c r="P1202" s="32"/>
      <c r="Q1202" s="32"/>
      <c r="R1202" s="32"/>
      <c r="S1202" s="35"/>
      <c r="T1202" s="91"/>
      <c r="U1202" s="60"/>
      <c r="V1202" s="36"/>
      <c r="W1202" s="31"/>
      <c r="X1202" s="59"/>
      <c r="Y1202" s="59" t="str">
        <f>IFERROR(VLOOKUP($A1202,APOIO!$A:$A,1,FALSE),"ERRO")</f>
        <v>ERRO</v>
      </c>
      <c r="Z1202"/>
    </row>
    <row r="1203" spans="1:26" ht="15" x14ac:dyDescent="0.25">
      <c r="A1203" s="94"/>
      <c r="B1203" s="32" t="str">
        <f>IF($A1203="","",VLOOKUP($A1203,APOIO!$A:$E,2,FALSE))</f>
        <v/>
      </c>
      <c r="C1203" s="94"/>
      <c r="D1203" s="32" t="str">
        <f>IF($A1203="","",INDEX(APOIO!$D:$D,MATCH(CONCATENATE($A1203,"_",$B1203,"_",$C1203),APOIO!$F:$F,0)))</f>
        <v/>
      </c>
      <c r="E1203" s="31"/>
      <c r="F1203" s="31"/>
      <c r="G1203" s="33"/>
      <c r="H1203" s="105"/>
      <c r="I1203" s="32" t="str">
        <f>IF($A1203="","",VLOOKUP($H1203,APOIO!$L:$M,2,FALSE))</f>
        <v/>
      </c>
      <c r="J1203" s="31"/>
      <c r="K1203" s="32" t="str">
        <f>IF($A1203="","",VLOOKUP($J1203,APOIO!$H:$J,2,FALSE))</f>
        <v/>
      </c>
      <c r="L1203" s="32" t="str">
        <f>IF($A1203="","",VLOOKUP($J1203,APOIO!$H:$J,3,FALSE))</f>
        <v/>
      </c>
      <c r="M1203" s="31"/>
      <c r="N1203" s="34"/>
      <c r="O1203" s="32"/>
      <c r="P1203" s="32"/>
      <c r="Q1203" s="32"/>
      <c r="R1203" s="32"/>
      <c r="S1203" s="35"/>
      <c r="T1203" s="91"/>
      <c r="U1203" s="60"/>
      <c r="V1203" s="36"/>
      <c r="W1203" s="31"/>
      <c r="X1203" s="59"/>
      <c r="Y1203" s="59" t="str">
        <f>IFERROR(VLOOKUP($A1203,APOIO!$A:$A,1,FALSE),"ERRO")</f>
        <v>ERRO</v>
      </c>
      <c r="Z1203"/>
    </row>
    <row r="1204" spans="1:26" ht="15" x14ac:dyDescent="0.25">
      <c r="A1204" s="94"/>
      <c r="B1204" s="32" t="str">
        <f>IF($A1204="","",VLOOKUP($A1204,APOIO!$A:$E,2,FALSE))</f>
        <v/>
      </c>
      <c r="C1204" s="94"/>
      <c r="D1204" s="32" t="str">
        <f>IF($A1204="","",INDEX(APOIO!$D:$D,MATCH(CONCATENATE($A1204,"_",$B1204,"_",$C1204),APOIO!$F:$F,0)))</f>
        <v/>
      </c>
      <c r="E1204" s="31"/>
      <c r="F1204" s="31"/>
      <c r="G1204" s="33"/>
      <c r="H1204" s="105"/>
      <c r="I1204" s="32" t="str">
        <f>IF($A1204="","",VLOOKUP($H1204,APOIO!$L:$M,2,FALSE))</f>
        <v/>
      </c>
      <c r="J1204" s="31"/>
      <c r="K1204" s="32" t="str">
        <f>IF($A1204="","",VLOOKUP($J1204,APOIO!$H:$J,2,FALSE))</f>
        <v/>
      </c>
      <c r="L1204" s="32" t="str">
        <f>IF($A1204="","",VLOOKUP($J1204,APOIO!$H:$J,3,FALSE))</f>
        <v/>
      </c>
      <c r="M1204" s="31"/>
      <c r="N1204" s="34"/>
      <c r="O1204" s="32"/>
      <c r="P1204" s="32"/>
      <c r="Q1204" s="32"/>
      <c r="R1204" s="32"/>
      <c r="S1204" s="35"/>
      <c r="T1204" s="91"/>
      <c r="U1204" s="60"/>
      <c r="V1204" s="36"/>
      <c r="W1204" s="31"/>
      <c r="X1204" s="59"/>
      <c r="Y1204" s="59" t="str">
        <f>IFERROR(VLOOKUP($A1204,APOIO!$A:$A,1,FALSE),"ERRO")</f>
        <v>ERRO</v>
      </c>
      <c r="Z1204"/>
    </row>
    <row r="1205" spans="1:26" ht="15" x14ac:dyDescent="0.25">
      <c r="A1205" s="94"/>
      <c r="B1205" s="32" t="str">
        <f>IF($A1205="","",VLOOKUP($A1205,APOIO!$A:$E,2,FALSE))</f>
        <v/>
      </c>
      <c r="C1205" s="94"/>
      <c r="D1205" s="32" t="str">
        <f>IF($A1205="","",INDEX(APOIO!$D:$D,MATCH(CONCATENATE($A1205,"_",$B1205,"_",$C1205),APOIO!$F:$F,0)))</f>
        <v/>
      </c>
      <c r="E1205" s="31"/>
      <c r="F1205" s="31"/>
      <c r="G1205" s="33"/>
      <c r="H1205" s="105"/>
      <c r="I1205" s="32" t="str">
        <f>IF($A1205="","",VLOOKUP($H1205,APOIO!$L:$M,2,FALSE))</f>
        <v/>
      </c>
      <c r="J1205" s="31"/>
      <c r="K1205" s="32" t="str">
        <f>IF($A1205="","",VLOOKUP($J1205,APOIO!$H:$J,2,FALSE))</f>
        <v/>
      </c>
      <c r="L1205" s="32" t="str">
        <f>IF($A1205="","",VLOOKUP($J1205,APOIO!$H:$J,3,FALSE))</f>
        <v/>
      </c>
      <c r="M1205" s="31"/>
      <c r="N1205" s="34"/>
      <c r="O1205" s="32"/>
      <c r="P1205" s="32"/>
      <c r="Q1205" s="32"/>
      <c r="R1205" s="32"/>
      <c r="S1205" s="35"/>
      <c r="T1205" s="91"/>
      <c r="U1205" s="60"/>
      <c r="V1205" s="36"/>
      <c r="W1205" s="31"/>
      <c r="X1205" s="59"/>
      <c r="Y1205" s="59" t="str">
        <f>IFERROR(VLOOKUP($A1205,APOIO!$A:$A,1,FALSE),"ERRO")</f>
        <v>ERRO</v>
      </c>
      <c r="Z1205"/>
    </row>
    <row r="1206" spans="1:26" ht="15" x14ac:dyDescent="0.25">
      <c r="A1206" s="94"/>
      <c r="B1206" s="32" t="str">
        <f>IF($A1206="","",VLOOKUP($A1206,APOIO!$A:$E,2,FALSE))</f>
        <v/>
      </c>
      <c r="C1206" s="94"/>
      <c r="D1206" s="32" t="str">
        <f>IF($A1206="","",INDEX(APOIO!$D:$D,MATCH(CONCATENATE($A1206,"_",$B1206,"_",$C1206),APOIO!$F:$F,0)))</f>
        <v/>
      </c>
      <c r="E1206" s="31"/>
      <c r="F1206" s="31"/>
      <c r="G1206" s="33"/>
      <c r="H1206" s="105"/>
      <c r="I1206" s="32" t="str">
        <f>IF($A1206="","",VLOOKUP($H1206,APOIO!$L:$M,2,FALSE))</f>
        <v/>
      </c>
      <c r="J1206" s="31"/>
      <c r="K1206" s="32" t="str">
        <f>IF($A1206="","",VLOOKUP($J1206,APOIO!$H:$J,2,FALSE))</f>
        <v/>
      </c>
      <c r="L1206" s="32" t="str">
        <f>IF($A1206="","",VLOOKUP($J1206,APOIO!$H:$J,3,FALSE))</f>
        <v/>
      </c>
      <c r="M1206" s="31"/>
      <c r="N1206" s="34"/>
      <c r="O1206" s="32"/>
      <c r="P1206" s="32"/>
      <c r="Q1206" s="32"/>
      <c r="R1206" s="32"/>
      <c r="S1206" s="35"/>
      <c r="T1206" s="91"/>
      <c r="U1206" s="60"/>
      <c r="V1206" s="36"/>
      <c r="W1206" s="31"/>
      <c r="X1206" s="59"/>
      <c r="Y1206" s="59" t="str">
        <f>IFERROR(VLOOKUP($A1206,APOIO!$A:$A,1,FALSE),"ERRO")</f>
        <v>ERRO</v>
      </c>
      <c r="Z1206"/>
    </row>
    <row r="1207" spans="1:26" ht="15" x14ac:dyDescent="0.25">
      <c r="A1207" s="94"/>
      <c r="B1207" s="32" t="str">
        <f>IF($A1207="","",VLOOKUP($A1207,APOIO!$A:$E,2,FALSE))</f>
        <v/>
      </c>
      <c r="C1207" s="94"/>
      <c r="D1207" s="32" t="str">
        <f>IF($A1207="","",INDEX(APOIO!$D:$D,MATCH(CONCATENATE($A1207,"_",$B1207,"_",$C1207),APOIO!$F:$F,0)))</f>
        <v/>
      </c>
      <c r="E1207" s="31"/>
      <c r="F1207" s="31"/>
      <c r="G1207" s="33"/>
      <c r="H1207" s="105"/>
      <c r="I1207" s="32" t="str">
        <f>IF($A1207="","",VLOOKUP($H1207,APOIO!$L:$M,2,FALSE))</f>
        <v/>
      </c>
      <c r="J1207" s="31"/>
      <c r="K1207" s="32" t="str">
        <f>IF($A1207="","",VLOOKUP($J1207,APOIO!$H:$J,2,FALSE))</f>
        <v/>
      </c>
      <c r="L1207" s="32" t="str">
        <f>IF($A1207="","",VLOOKUP($J1207,APOIO!$H:$J,3,FALSE))</f>
        <v/>
      </c>
      <c r="M1207" s="31"/>
      <c r="N1207" s="34"/>
      <c r="O1207" s="32"/>
      <c r="P1207" s="32"/>
      <c r="Q1207" s="32"/>
      <c r="R1207" s="32"/>
      <c r="S1207" s="35"/>
      <c r="T1207" s="91"/>
      <c r="U1207" s="60"/>
      <c r="V1207" s="36"/>
      <c r="W1207" s="31"/>
      <c r="X1207" s="59"/>
      <c r="Y1207" s="59" t="str">
        <f>IFERROR(VLOOKUP($A1207,APOIO!$A:$A,1,FALSE),"ERRO")</f>
        <v>ERRO</v>
      </c>
      <c r="Z1207"/>
    </row>
    <row r="1208" spans="1:26" ht="15" x14ac:dyDescent="0.25">
      <c r="A1208" s="94"/>
      <c r="B1208" s="32" t="str">
        <f>IF($A1208="","",VLOOKUP($A1208,APOIO!$A:$E,2,FALSE))</f>
        <v/>
      </c>
      <c r="C1208" s="94"/>
      <c r="D1208" s="32" t="str">
        <f>IF($A1208="","",INDEX(APOIO!$D:$D,MATCH(CONCATENATE($A1208,"_",$B1208,"_",$C1208),APOIO!$F:$F,0)))</f>
        <v/>
      </c>
      <c r="E1208" s="31"/>
      <c r="F1208" s="31"/>
      <c r="G1208" s="33"/>
      <c r="H1208" s="105"/>
      <c r="I1208" s="32" t="str">
        <f>IF($A1208="","",VLOOKUP($H1208,APOIO!$L:$M,2,FALSE))</f>
        <v/>
      </c>
      <c r="J1208" s="31"/>
      <c r="K1208" s="32" t="str">
        <f>IF($A1208="","",VLOOKUP($J1208,APOIO!$H:$J,2,FALSE))</f>
        <v/>
      </c>
      <c r="L1208" s="32" t="str">
        <f>IF($A1208="","",VLOOKUP($J1208,APOIO!$H:$J,3,FALSE))</f>
        <v/>
      </c>
      <c r="M1208" s="31"/>
      <c r="N1208" s="34"/>
      <c r="O1208" s="32"/>
      <c r="P1208" s="32"/>
      <c r="Q1208" s="32"/>
      <c r="R1208" s="32"/>
      <c r="S1208" s="35"/>
      <c r="T1208" s="91"/>
      <c r="U1208" s="60"/>
      <c r="V1208" s="36"/>
      <c r="W1208" s="31"/>
      <c r="X1208" s="59"/>
      <c r="Y1208" s="59" t="str">
        <f>IFERROR(VLOOKUP($A1208,APOIO!$A:$A,1,FALSE),"ERRO")</f>
        <v>ERRO</v>
      </c>
      <c r="Z1208"/>
    </row>
    <row r="1209" spans="1:26" ht="15" x14ac:dyDescent="0.25">
      <c r="A1209" s="94"/>
      <c r="B1209" s="32" t="str">
        <f>IF($A1209="","",VLOOKUP($A1209,APOIO!$A:$E,2,FALSE))</f>
        <v/>
      </c>
      <c r="C1209" s="94"/>
      <c r="D1209" s="32" t="str">
        <f>IF($A1209="","",INDEX(APOIO!$D:$D,MATCH(CONCATENATE($A1209,"_",$B1209,"_",$C1209),APOIO!$F:$F,0)))</f>
        <v/>
      </c>
      <c r="E1209" s="31"/>
      <c r="F1209" s="31"/>
      <c r="G1209" s="33"/>
      <c r="H1209" s="105"/>
      <c r="I1209" s="32" t="str">
        <f>IF($A1209="","",VLOOKUP($H1209,APOIO!$L:$M,2,FALSE))</f>
        <v/>
      </c>
      <c r="J1209" s="31"/>
      <c r="K1209" s="32" t="str">
        <f>IF($A1209="","",VLOOKUP($J1209,APOIO!$H:$J,2,FALSE))</f>
        <v/>
      </c>
      <c r="L1209" s="32" t="str">
        <f>IF($A1209="","",VLOOKUP($J1209,APOIO!$H:$J,3,FALSE))</f>
        <v/>
      </c>
      <c r="M1209" s="31"/>
      <c r="N1209" s="34"/>
      <c r="O1209" s="32"/>
      <c r="P1209" s="32"/>
      <c r="Q1209" s="32"/>
      <c r="R1209" s="32"/>
      <c r="S1209" s="35"/>
      <c r="T1209" s="91"/>
      <c r="U1209" s="60"/>
      <c r="V1209" s="36"/>
      <c r="W1209" s="31"/>
      <c r="X1209" s="59"/>
      <c r="Y1209" s="59" t="str">
        <f>IFERROR(VLOOKUP($A1209,APOIO!$A:$A,1,FALSE),"ERRO")</f>
        <v>ERRO</v>
      </c>
      <c r="Z1209"/>
    </row>
    <row r="1210" spans="1:26" ht="15" x14ac:dyDescent="0.25">
      <c r="A1210" s="94"/>
      <c r="B1210" s="32" t="str">
        <f>IF($A1210="","",VLOOKUP($A1210,APOIO!$A:$E,2,FALSE))</f>
        <v/>
      </c>
      <c r="C1210" s="94"/>
      <c r="D1210" s="32" t="str">
        <f>IF($A1210="","",INDEX(APOIO!$D:$D,MATCH(CONCATENATE($A1210,"_",$B1210,"_",$C1210),APOIO!$F:$F,0)))</f>
        <v/>
      </c>
      <c r="E1210" s="31"/>
      <c r="F1210" s="31"/>
      <c r="G1210" s="33"/>
      <c r="H1210" s="105"/>
      <c r="I1210" s="32" t="str">
        <f>IF($A1210="","",VLOOKUP($H1210,APOIO!$L:$M,2,FALSE))</f>
        <v/>
      </c>
      <c r="J1210" s="31"/>
      <c r="K1210" s="32" t="str">
        <f>IF($A1210="","",VLOOKUP($J1210,APOIO!$H:$J,2,FALSE))</f>
        <v/>
      </c>
      <c r="L1210" s="32" t="str">
        <f>IF($A1210="","",VLOOKUP($J1210,APOIO!$H:$J,3,FALSE))</f>
        <v/>
      </c>
      <c r="M1210" s="31"/>
      <c r="N1210" s="34"/>
      <c r="O1210" s="32"/>
      <c r="P1210" s="32"/>
      <c r="Q1210" s="32"/>
      <c r="R1210" s="32"/>
      <c r="S1210" s="35"/>
      <c r="T1210" s="91"/>
      <c r="U1210" s="60"/>
      <c r="V1210" s="36"/>
      <c r="W1210" s="31"/>
      <c r="X1210" s="59"/>
      <c r="Y1210" s="59" t="str">
        <f>IFERROR(VLOOKUP($A1210,APOIO!$A:$A,1,FALSE),"ERRO")</f>
        <v>ERRO</v>
      </c>
      <c r="Z1210"/>
    </row>
    <row r="1211" spans="1:26" ht="15" x14ac:dyDescent="0.25">
      <c r="A1211" s="94"/>
      <c r="B1211" s="32" t="str">
        <f>IF($A1211="","",VLOOKUP($A1211,APOIO!$A:$E,2,FALSE))</f>
        <v/>
      </c>
      <c r="C1211" s="94"/>
      <c r="D1211" s="32" t="str">
        <f>IF($A1211="","",INDEX(APOIO!$D:$D,MATCH(CONCATENATE($A1211,"_",$B1211,"_",$C1211),APOIO!$F:$F,0)))</f>
        <v/>
      </c>
      <c r="E1211" s="31"/>
      <c r="F1211" s="31"/>
      <c r="G1211" s="33"/>
      <c r="H1211" s="105"/>
      <c r="I1211" s="32" t="str">
        <f>IF($A1211="","",VLOOKUP($H1211,APOIO!$L:$M,2,FALSE))</f>
        <v/>
      </c>
      <c r="J1211" s="31"/>
      <c r="K1211" s="32" t="str">
        <f>IF($A1211="","",VLOOKUP($J1211,APOIO!$H:$J,2,FALSE))</f>
        <v/>
      </c>
      <c r="L1211" s="32" t="str">
        <f>IF($A1211="","",VLOOKUP($J1211,APOIO!$H:$J,3,FALSE))</f>
        <v/>
      </c>
      <c r="M1211" s="31"/>
      <c r="N1211" s="34"/>
      <c r="O1211" s="32"/>
      <c r="P1211" s="32"/>
      <c r="Q1211" s="32"/>
      <c r="R1211" s="32"/>
      <c r="S1211" s="35"/>
      <c r="T1211" s="91"/>
      <c r="U1211" s="60"/>
      <c r="V1211" s="36"/>
      <c r="W1211" s="31"/>
      <c r="X1211" s="59"/>
      <c r="Y1211" s="59" t="str">
        <f>IFERROR(VLOOKUP($A1211,APOIO!$A:$A,1,FALSE),"ERRO")</f>
        <v>ERRO</v>
      </c>
      <c r="Z1211"/>
    </row>
    <row r="1212" spans="1:26" ht="15" x14ac:dyDescent="0.25">
      <c r="A1212" s="94"/>
      <c r="B1212" s="32" t="str">
        <f>IF($A1212="","",VLOOKUP($A1212,APOIO!$A:$E,2,FALSE))</f>
        <v/>
      </c>
      <c r="C1212" s="94"/>
      <c r="D1212" s="32" t="str">
        <f>IF($A1212="","",INDEX(APOIO!$D:$D,MATCH(CONCATENATE($A1212,"_",$B1212,"_",$C1212),APOIO!$F:$F,0)))</f>
        <v/>
      </c>
      <c r="E1212" s="31"/>
      <c r="F1212" s="31"/>
      <c r="G1212" s="33"/>
      <c r="H1212" s="105"/>
      <c r="I1212" s="32" t="str">
        <f>IF($A1212="","",VLOOKUP($H1212,APOIO!$L:$M,2,FALSE))</f>
        <v/>
      </c>
      <c r="J1212" s="31"/>
      <c r="K1212" s="32" t="str">
        <f>IF($A1212="","",VLOOKUP($J1212,APOIO!$H:$J,2,FALSE))</f>
        <v/>
      </c>
      <c r="L1212" s="32" t="str">
        <f>IF($A1212="","",VLOOKUP($J1212,APOIO!$H:$J,3,FALSE))</f>
        <v/>
      </c>
      <c r="M1212" s="31"/>
      <c r="N1212" s="34"/>
      <c r="O1212" s="32"/>
      <c r="P1212" s="32"/>
      <c r="Q1212" s="32"/>
      <c r="R1212" s="32"/>
      <c r="S1212" s="35"/>
      <c r="T1212" s="91"/>
      <c r="U1212" s="60"/>
      <c r="V1212" s="36"/>
      <c r="W1212" s="31"/>
      <c r="X1212" s="59"/>
      <c r="Y1212" s="59" t="str">
        <f>IFERROR(VLOOKUP($A1212,APOIO!$A:$A,1,FALSE),"ERRO")</f>
        <v>ERRO</v>
      </c>
      <c r="Z1212"/>
    </row>
    <row r="1213" spans="1:26" ht="15" x14ac:dyDescent="0.25">
      <c r="A1213" s="94"/>
      <c r="B1213" s="32" t="str">
        <f>IF($A1213="","",VLOOKUP($A1213,APOIO!$A:$E,2,FALSE))</f>
        <v/>
      </c>
      <c r="C1213" s="94"/>
      <c r="D1213" s="32" t="str">
        <f>IF($A1213="","",INDEX(APOIO!$D:$D,MATCH(CONCATENATE($A1213,"_",$B1213,"_",$C1213),APOIO!$F:$F,0)))</f>
        <v/>
      </c>
      <c r="E1213" s="31"/>
      <c r="F1213" s="31"/>
      <c r="G1213" s="33"/>
      <c r="H1213" s="105"/>
      <c r="I1213" s="32" t="str">
        <f>IF($A1213="","",VLOOKUP($H1213,APOIO!$L:$M,2,FALSE))</f>
        <v/>
      </c>
      <c r="J1213" s="31"/>
      <c r="K1213" s="32" t="str">
        <f>IF($A1213="","",VLOOKUP($J1213,APOIO!$H:$J,2,FALSE))</f>
        <v/>
      </c>
      <c r="L1213" s="32" t="str">
        <f>IF($A1213="","",VLOOKUP($J1213,APOIO!$H:$J,3,FALSE))</f>
        <v/>
      </c>
      <c r="M1213" s="31"/>
      <c r="N1213" s="34"/>
      <c r="O1213" s="32"/>
      <c r="P1213" s="32"/>
      <c r="Q1213" s="32"/>
      <c r="R1213" s="32"/>
      <c r="S1213" s="35"/>
      <c r="T1213" s="91"/>
      <c r="U1213" s="60"/>
      <c r="V1213" s="36"/>
      <c r="W1213" s="31"/>
      <c r="X1213" s="59"/>
      <c r="Y1213" s="59" t="str">
        <f>IFERROR(VLOOKUP($A1213,APOIO!$A:$A,1,FALSE),"ERRO")</f>
        <v>ERRO</v>
      </c>
      <c r="Z1213"/>
    </row>
    <row r="1214" spans="1:26" ht="15" x14ac:dyDescent="0.25">
      <c r="A1214" s="94"/>
      <c r="B1214" s="32" t="str">
        <f>IF($A1214="","",VLOOKUP($A1214,APOIO!$A:$E,2,FALSE))</f>
        <v/>
      </c>
      <c r="C1214" s="94"/>
      <c r="D1214" s="32" t="str">
        <f>IF($A1214="","",INDEX(APOIO!$D:$D,MATCH(CONCATENATE($A1214,"_",$B1214,"_",$C1214),APOIO!$F:$F,0)))</f>
        <v/>
      </c>
      <c r="E1214" s="31"/>
      <c r="F1214" s="31"/>
      <c r="G1214" s="33"/>
      <c r="H1214" s="105"/>
      <c r="I1214" s="32" t="str">
        <f>IF($A1214="","",VLOOKUP($H1214,APOIO!$L:$M,2,FALSE))</f>
        <v/>
      </c>
      <c r="J1214" s="31"/>
      <c r="K1214" s="32" t="str">
        <f>IF($A1214="","",VLOOKUP($J1214,APOIO!$H:$J,2,FALSE))</f>
        <v/>
      </c>
      <c r="L1214" s="32" t="str">
        <f>IF($A1214="","",VLOOKUP($J1214,APOIO!$H:$J,3,FALSE))</f>
        <v/>
      </c>
      <c r="M1214" s="31"/>
      <c r="N1214" s="34"/>
      <c r="O1214" s="32"/>
      <c r="P1214" s="32"/>
      <c r="Q1214" s="32"/>
      <c r="R1214" s="32"/>
      <c r="S1214" s="35"/>
      <c r="T1214" s="91"/>
      <c r="U1214" s="60"/>
      <c r="V1214" s="36"/>
      <c r="W1214" s="31"/>
      <c r="X1214" s="59"/>
      <c r="Y1214" s="59" t="str">
        <f>IFERROR(VLOOKUP($A1214,APOIO!$A:$A,1,FALSE),"ERRO")</f>
        <v>ERRO</v>
      </c>
      <c r="Z1214"/>
    </row>
    <row r="1215" spans="1:26" ht="15" x14ac:dyDescent="0.25">
      <c r="A1215" s="94"/>
      <c r="B1215" s="32" t="str">
        <f>IF($A1215="","",VLOOKUP($A1215,APOIO!$A:$E,2,FALSE))</f>
        <v/>
      </c>
      <c r="C1215" s="94"/>
      <c r="D1215" s="32" t="str">
        <f>IF($A1215="","",INDEX(APOIO!$D:$D,MATCH(CONCATENATE($A1215,"_",$B1215,"_",$C1215),APOIO!$F:$F,0)))</f>
        <v/>
      </c>
      <c r="E1215" s="31"/>
      <c r="F1215" s="31"/>
      <c r="G1215" s="33"/>
      <c r="H1215" s="105"/>
      <c r="I1215" s="32" t="str">
        <f>IF($A1215="","",VLOOKUP($H1215,APOIO!$L:$M,2,FALSE))</f>
        <v/>
      </c>
      <c r="J1215" s="31"/>
      <c r="K1215" s="32" t="str">
        <f>IF($A1215="","",VLOOKUP($J1215,APOIO!$H:$J,2,FALSE))</f>
        <v/>
      </c>
      <c r="L1215" s="32" t="str">
        <f>IF($A1215="","",VLOOKUP($J1215,APOIO!$H:$J,3,FALSE))</f>
        <v/>
      </c>
      <c r="M1215" s="31"/>
      <c r="N1215" s="34"/>
      <c r="O1215" s="32"/>
      <c r="P1215" s="32"/>
      <c r="Q1215" s="32"/>
      <c r="R1215" s="32"/>
      <c r="S1215" s="35"/>
      <c r="T1215" s="91"/>
      <c r="U1215" s="60"/>
      <c r="V1215" s="36"/>
      <c r="W1215" s="31"/>
      <c r="X1215" s="59"/>
      <c r="Y1215" s="59" t="str">
        <f>IFERROR(VLOOKUP($A1215,APOIO!$A:$A,1,FALSE),"ERRO")</f>
        <v>ERRO</v>
      </c>
      <c r="Z1215"/>
    </row>
    <row r="1216" spans="1:26" ht="15" x14ac:dyDescent="0.25">
      <c r="A1216" s="94"/>
      <c r="B1216" s="32" t="str">
        <f>IF($A1216="","",VLOOKUP($A1216,APOIO!$A:$E,2,FALSE))</f>
        <v/>
      </c>
      <c r="C1216" s="94"/>
      <c r="D1216" s="32" t="str">
        <f>IF($A1216="","",INDEX(APOIO!$D:$D,MATCH(CONCATENATE($A1216,"_",$B1216,"_",$C1216),APOIO!$F:$F,0)))</f>
        <v/>
      </c>
      <c r="E1216" s="31"/>
      <c r="F1216" s="31"/>
      <c r="G1216" s="33"/>
      <c r="H1216" s="105"/>
      <c r="I1216" s="32" t="str">
        <f>IF($A1216="","",VLOOKUP($H1216,APOIO!$L:$M,2,FALSE))</f>
        <v/>
      </c>
      <c r="J1216" s="31"/>
      <c r="K1216" s="32" t="str">
        <f>IF($A1216="","",VLOOKUP($J1216,APOIO!$H:$J,2,FALSE))</f>
        <v/>
      </c>
      <c r="L1216" s="32" t="str">
        <f>IF($A1216="","",VLOOKUP($J1216,APOIO!$H:$J,3,FALSE))</f>
        <v/>
      </c>
      <c r="M1216" s="31"/>
      <c r="N1216" s="34"/>
      <c r="O1216" s="32"/>
      <c r="P1216" s="32"/>
      <c r="Q1216" s="32"/>
      <c r="R1216" s="32"/>
      <c r="S1216" s="35"/>
      <c r="T1216" s="91"/>
      <c r="U1216" s="60"/>
      <c r="V1216" s="36"/>
      <c r="W1216" s="31"/>
      <c r="X1216" s="59"/>
      <c r="Y1216" s="59" t="str">
        <f>IFERROR(VLOOKUP($A1216,APOIO!$A:$A,1,FALSE),"ERRO")</f>
        <v>ERRO</v>
      </c>
      <c r="Z1216"/>
    </row>
    <row r="1217" spans="1:26" ht="15" x14ac:dyDescent="0.25">
      <c r="A1217" s="94"/>
      <c r="B1217" s="32" t="str">
        <f>IF($A1217="","",VLOOKUP($A1217,APOIO!$A:$E,2,FALSE))</f>
        <v/>
      </c>
      <c r="C1217" s="94"/>
      <c r="D1217" s="32" t="str">
        <f>IF($A1217="","",INDEX(APOIO!$D:$D,MATCH(CONCATENATE($A1217,"_",$B1217,"_",$C1217),APOIO!$F:$F,0)))</f>
        <v/>
      </c>
      <c r="E1217" s="31"/>
      <c r="F1217" s="31"/>
      <c r="G1217" s="33"/>
      <c r="H1217" s="105"/>
      <c r="I1217" s="32" t="str">
        <f>IF($A1217="","",VLOOKUP($H1217,APOIO!$L:$M,2,FALSE))</f>
        <v/>
      </c>
      <c r="J1217" s="31"/>
      <c r="K1217" s="32" t="str">
        <f>IF($A1217="","",VLOOKUP($J1217,APOIO!$H:$J,2,FALSE))</f>
        <v/>
      </c>
      <c r="L1217" s="32" t="str">
        <f>IF($A1217="","",VLOOKUP($J1217,APOIO!$H:$J,3,FALSE))</f>
        <v/>
      </c>
      <c r="M1217" s="31"/>
      <c r="N1217" s="34"/>
      <c r="O1217" s="32"/>
      <c r="P1217" s="32"/>
      <c r="Q1217" s="32"/>
      <c r="R1217" s="32"/>
      <c r="S1217" s="35"/>
      <c r="T1217" s="91"/>
      <c r="U1217" s="60"/>
      <c r="V1217" s="36"/>
      <c r="W1217" s="31"/>
      <c r="X1217" s="59"/>
      <c r="Y1217" s="59" t="str">
        <f>IFERROR(VLOOKUP($A1217,APOIO!$A:$A,1,FALSE),"ERRO")</f>
        <v>ERRO</v>
      </c>
      <c r="Z1217"/>
    </row>
    <row r="1218" spans="1:26" ht="15" x14ac:dyDescent="0.25">
      <c r="A1218" s="94"/>
      <c r="B1218" s="32" t="str">
        <f>IF($A1218="","",VLOOKUP($A1218,APOIO!$A:$E,2,FALSE))</f>
        <v/>
      </c>
      <c r="C1218" s="94"/>
      <c r="D1218" s="32" t="str">
        <f>IF($A1218="","",INDEX(APOIO!$D:$D,MATCH(CONCATENATE($A1218,"_",$B1218,"_",$C1218),APOIO!$F:$F,0)))</f>
        <v/>
      </c>
      <c r="E1218" s="31"/>
      <c r="F1218" s="31"/>
      <c r="G1218" s="33"/>
      <c r="H1218" s="105"/>
      <c r="I1218" s="32" t="str">
        <f>IF($A1218="","",VLOOKUP($H1218,APOIO!$L:$M,2,FALSE))</f>
        <v/>
      </c>
      <c r="J1218" s="31"/>
      <c r="K1218" s="32" t="str">
        <f>IF($A1218="","",VLOOKUP($J1218,APOIO!$H:$J,2,FALSE))</f>
        <v/>
      </c>
      <c r="L1218" s="32" t="str">
        <f>IF($A1218="","",VLOOKUP($J1218,APOIO!$H:$J,3,FALSE))</f>
        <v/>
      </c>
      <c r="M1218" s="31"/>
      <c r="N1218" s="34"/>
      <c r="O1218" s="32"/>
      <c r="P1218" s="32"/>
      <c r="Q1218" s="32"/>
      <c r="R1218" s="32"/>
      <c r="S1218" s="35"/>
      <c r="T1218" s="91"/>
      <c r="U1218" s="60"/>
      <c r="V1218" s="36"/>
      <c r="W1218" s="31"/>
      <c r="X1218" s="59"/>
      <c r="Y1218" s="59" t="str">
        <f>IFERROR(VLOOKUP($A1218,APOIO!$A:$A,1,FALSE),"ERRO")</f>
        <v>ERRO</v>
      </c>
      <c r="Z1218"/>
    </row>
    <row r="1219" spans="1:26" ht="15" x14ac:dyDescent="0.25">
      <c r="A1219" s="94"/>
      <c r="B1219" s="32" t="str">
        <f>IF($A1219="","",VLOOKUP($A1219,APOIO!$A:$E,2,FALSE))</f>
        <v/>
      </c>
      <c r="C1219" s="94"/>
      <c r="D1219" s="32" t="str">
        <f>IF($A1219="","",INDEX(APOIO!$D:$D,MATCH(CONCATENATE($A1219,"_",$B1219,"_",$C1219),APOIO!$F:$F,0)))</f>
        <v/>
      </c>
      <c r="E1219" s="31"/>
      <c r="F1219" s="31"/>
      <c r="G1219" s="33"/>
      <c r="H1219" s="105"/>
      <c r="I1219" s="32" t="str">
        <f>IF($A1219="","",VLOOKUP($H1219,APOIO!$L:$M,2,FALSE))</f>
        <v/>
      </c>
      <c r="J1219" s="31"/>
      <c r="K1219" s="32" t="str">
        <f>IF($A1219="","",VLOOKUP($J1219,APOIO!$H:$J,2,FALSE))</f>
        <v/>
      </c>
      <c r="L1219" s="32" t="str">
        <f>IF($A1219="","",VLOOKUP($J1219,APOIO!$H:$J,3,FALSE))</f>
        <v/>
      </c>
      <c r="M1219" s="31"/>
      <c r="N1219" s="34"/>
      <c r="O1219" s="32"/>
      <c r="P1219" s="32"/>
      <c r="Q1219" s="32"/>
      <c r="R1219" s="32"/>
      <c r="S1219" s="35"/>
      <c r="T1219" s="91"/>
      <c r="U1219" s="60"/>
      <c r="V1219" s="36"/>
      <c r="W1219" s="31"/>
      <c r="X1219" s="59"/>
      <c r="Y1219" s="59" t="str">
        <f>IFERROR(VLOOKUP($A1219,APOIO!$A:$A,1,FALSE),"ERRO")</f>
        <v>ERRO</v>
      </c>
      <c r="Z1219"/>
    </row>
    <row r="1220" spans="1:26" ht="15" x14ac:dyDescent="0.25">
      <c r="A1220" s="94"/>
      <c r="B1220" s="32" t="str">
        <f>IF($A1220="","",VLOOKUP($A1220,APOIO!$A:$E,2,FALSE))</f>
        <v/>
      </c>
      <c r="C1220" s="94"/>
      <c r="D1220" s="32" t="str">
        <f>IF($A1220="","",INDEX(APOIO!$D:$D,MATCH(CONCATENATE($A1220,"_",$B1220,"_",$C1220),APOIO!$F:$F,0)))</f>
        <v/>
      </c>
      <c r="E1220" s="31"/>
      <c r="F1220" s="31"/>
      <c r="G1220" s="33"/>
      <c r="H1220" s="105"/>
      <c r="I1220" s="32" t="str">
        <f>IF($A1220="","",VLOOKUP($H1220,APOIO!$L:$M,2,FALSE))</f>
        <v/>
      </c>
      <c r="J1220" s="31"/>
      <c r="K1220" s="32" t="str">
        <f>IF($A1220="","",VLOOKUP($J1220,APOIO!$H:$J,2,FALSE))</f>
        <v/>
      </c>
      <c r="L1220" s="32" t="str">
        <f>IF($A1220="","",VLOOKUP($J1220,APOIO!$H:$J,3,FALSE))</f>
        <v/>
      </c>
      <c r="M1220" s="31"/>
      <c r="N1220" s="34"/>
      <c r="O1220" s="32"/>
      <c r="P1220" s="32"/>
      <c r="Q1220" s="32"/>
      <c r="R1220" s="32"/>
      <c r="S1220" s="35"/>
      <c r="T1220" s="91"/>
      <c r="U1220" s="60"/>
      <c r="V1220" s="36"/>
      <c r="W1220" s="31"/>
      <c r="X1220" s="59"/>
      <c r="Y1220" s="59" t="str">
        <f>IFERROR(VLOOKUP($A1220,APOIO!$A:$A,1,FALSE),"ERRO")</f>
        <v>ERRO</v>
      </c>
      <c r="Z1220"/>
    </row>
    <row r="1221" spans="1:26" ht="15" x14ac:dyDescent="0.25">
      <c r="A1221" s="94"/>
      <c r="B1221" s="32" t="str">
        <f>IF($A1221="","",VLOOKUP($A1221,APOIO!$A:$E,2,FALSE))</f>
        <v/>
      </c>
      <c r="C1221" s="94"/>
      <c r="D1221" s="32" t="str">
        <f>IF($A1221="","",INDEX(APOIO!$D:$D,MATCH(CONCATENATE($A1221,"_",$B1221,"_",$C1221),APOIO!$F:$F,0)))</f>
        <v/>
      </c>
      <c r="E1221" s="31"/>
      <c r="F1221" s="31"/>
      <c r="G1221" s="33"/>
      <c r="H1221" s="105"/>
      <c r="I1221" s="32" t="str">
        <f>IF($A1221="","",VLOOKUP($H1221,APOIO!$L:$M,2,FALSE))</f>
        <v/>
      </c>
      <c r="J1221" s="31"/>
      <c r="K1221" s="32" t="str">
        <f>IF($A1221="","",VLOOKUP($J1221,APOIO!$H:$J,2,FALSE))</f>
        <v/>
      </c>
      <c r="L1221" s="32" t="str">
        <f>IF($A1221="","",VLOOKUP($J1221,APOIO!$H:$J,3,FALSE))</f>
        <v/>
      </c>
      <c r="M1221" s="31"/>
      <c r="N1221" s="34"/>
      <c r="O1221" s="32"/>
      <c r="P1221" s="32"/>
      <c r="Q1221" s="32"/>
      <c r="R1221" s="32"/>
      <c r="S1221" s="35"/>
      <c r="T1221" s="91"/>
      <c r="U1221" s="60"/>
      <c r="V1221" s="36"/>
      <c r="W1221" s="31"/>
      <c r="X1221" s="59"/>
      <c r="Y1221" s="59" t="str">
        <f>IFERROR(VLOOKUP($A1221,APOIO!$A:$A,1,FALSE),"ERRO")</f>
        <v>ERRO</v>
      </c>
      <c r="Z1221"/>
    </row>
    <row r="1222" spans="1:26" ht="15" x14ac:dyDescent="0.25">
      <c r="A1222" s="94"/>
      <c r="B1222" s="32" t="str">
        <f>IF($A1222="","",VLOOKUP($A1222,APOIO!$A:$E,2,FALSE))</f>
        <v/>
      </c>
      <c r="C1222" s="94"/>
      <c r="D1222" s="32" t="str">
        <f>IF($A1222="","",INDEX(APOIO!$D:$D,MATCH(CONCATENATE($A1222,"_",$B1222,"_",$C1222),APOIO!$F:$F,0)))</f>
        <v/>
      </c>
      <c r="E1222" s="31"/>
      <c r="F1222" s="31"/>
      <c r="G1222" s="33"/>
      <c r="H1222" s="105"/>
      <c r="I1222" s="32" t="str">
        <f>IF($A1222="","",VLOOKUP($H1222,APOIO!$L:$M,2,FALSE))</f>
        <v/>
      </c>
      <c r="J1222" s="31"/>
      <c r="K1222" s="32" t="str">
        <f>IF($A1222="","",VLOOKUP($J1222,APOIO!$H:$J,2,FALSE))</f>
        <v/>
      </c>
      <c r="L1222" s="32" t="str">
        <f>IF($A1222="","",VLOOKUP($J1222,APOIO!$H:$J,3,FALSE))</f>
        <v/>
      </c>
      <c r="M1222" s="31"/>
      <c r="N1222" s="34"/>
      <c r="O1222" s="32"/>
      <c r="P1222" s="32"/>
      <c r="Q1222" s="32"/>
      <c r="R1222" s="32"/>
      <c r="S1222" s="35"/>
      <c r="T1222" s="91"/>
      <c r="U1222" s="60"/>
      <c r="V1222" s="36"/>
      <c r="W1222" s="31"/>
      <c r="X1222" s="59"/>
      <c r="Y1222" s="59" t="str">
        <f>IFERROR(VLOOKUP($A1222,APOIO!$A:$A,1,FALSE),"ERRO")</f>
        <v>ERRO</v>
      </c>
      <c r="Z1222"/>
    </row>
    <row r="1223" spans="1:26" ht="15" x14ac:dyDescent="0.25">
      <c r="A1223" s="94"/>
      <c r="B1223" s="32" t="str">
        <f>IF($A1223="","",VLOOKUP($A1223,APOIO!$A:$E,2,FALSE))</f>
        <v/>
      </c>
      <c r="C1223" s="94"/>
      <c r="D1223" s="32" t="str">
        <f>IF($A1223="","",INDEX(APOIO!$D:$D,MATCH(CONCATENATE($A1223,"_",$B1223,"_",$C1223),APOIO!$F:$F,0)))</f>
        <v/>
      </c>
      <c r="E1223" s="31"/>
      <c r="F1223" s="31"/>
      <c r="G1223" s="33"/>
      <c r="H1223" s="105"/>
      <c r="I1223" s="32" t="str">
        <f>IF($A1223="","",VLOOKUP($H1223,APOIO!$L:$M,2,FALSE))</f>
        <v/>
      </c>
      <c r="J1223" s="31"/>
      <c r="K1223" s="32" t="str">
        <f>IF($A1223="","",VLOOKUP($J1223,APOIO!$H:$J,2,FALSE))</f>
        <v/>
      </c>
      <c r="L1223" s="32" t="str">
        <f>IF($A1223="","",VLOOKUP($J1223,APOIO!$H:$J,3,FALSE))</f>
        <v/>
      </c>
      <c r="M1223" s="31"/>
      <c r="N1223" s="34"/>
      <c r="O1223" s="32"/>
      <c r="P1223" s="32"/>
      <c r="Q1223" s="32"/>
      <c r="R1223" s="32"/>
      <c r="S1223" s="35"/>
      <c r="T1223" s="91"/>
      <c r="U1223" s="60"/>
      <c r="V1223" s="36"/>
      <c r="W1223" s="31"/>
      <c r="X1223" s="59"/>
      <c r="Y1223" s="59" t="str">
        <f>IFERROR(VLOOKUP($A1223,APOIO!$A:$A,1,FALSE),"ERRO")</f>
        <v>ERRO</v>
      </c>
      <c r="Z1223"/>
    </row>
    <row r="1224" spans="1:26" ht="15" x14ac:dyDescent="0.25">
      <c r="A1224" s="94"/>
      <c r="B1224" s="32" t="str">
        <f>IF($A1224="","",VLOOKUP($A1224,APOIO!$A:$E,2,FALSE))</f>
        <v/>
      </c>
      <c r="C1224" s="94"/>
      <c r="D1224" s="32" t="str">
        <f>IF($A1224="","",INDEX(APOIO!$D:$D,MATCH(CONCATENATE($A1224,"_",$B1224,"_",$C1224),APOIO!$F:$F,0)))</f>
        <v/>
      </c>
      <c r="E1224" s="31"/>
      <c r="F1224" s="31"/>
      <c r="G1224" s="33"/>
      <c r="H1224" s="105"/>
      <c r="I1224" s="32" t="str">
        <f>IF($A1224="","",VLOOKUP($H1224,APOIO!$L:$M,2,FALSE))</f>
        <v/>
      </c>
      <c r="J1224" s="31"/>
      <c r="K1224" s="32" t="str">
        <f>IF($A1224="","",VLOOKUP($J1224,APOIO!$H:$J,2,FALSE))</f>
        <v/>
      </c>
      <c r="L1224" s="32" t="str">
        <f>IF($A1224="","",VLOOKUP($J1224,APOIO!$H:$J,3,FALSE))</f>
        <v/>
      </c>
      <c r="M1224" s="31"/>
      <c r="N1224" s="34"/>
      <c r="O1224" s="32"/>
      <c r="P1224" s="32"/>
      <c r="Q1224" s="32"/>
      <c r="R1224" s="32"/>
      <c r="S1224" s="35"/>
      <c r="T1224" s="91"/>
      <c r="U1224" s="60"/>
      <c r="V1224" s="36"/>
      <c r="W1224" s="31"/>
      <c r="X1224" s="59"/>
      <c r="Y1224" s="59" t="str">
        <f>IFERROR(VLOOKUP($A1224,APOIO!$A:$A,1,FALSE),"ERRO")</f>
        <v>ERRO</v>
      </c>
      <c r="Z1224"/>
    </row>
    <row r="1225" spans="1:26" ht="15" x14ac:dyDescent="0.25">
      <c r="A1225" s="94"/>
      <c r="B1225" s="32" t="str">
        <f>IF($A1225="","",VLOOKUP($A1225,APOIO!$A:$E,2,FALSE))</f>
        <v/>
      </c>
      <c r="C1225" s="94"/>
      <c r="D1225" s="32" t="str">
        <f>IF($A1225="","",INDEX(APOIO!$D:$D,MATCH(CONCATENATE($A1225,"_",$B1225,"_",$C1225),APOIO!$F:$F,0)))</f>
        <v/>
      </c>
      <c r="E1225" s="31"/>
      <c r="F1225" s="31"/>
      <c r="G1225" s="33"/>
      <c r="H1225" s="105"/>
      <c r="I1225" s="32" t="str">
        <f>IF($A1225="","",VLOOKUP($H1225,APOIO!$L:$M,2,FALSE))</f>
        <v/>
      </c>
      <c r="J1225" s="31"/>
      <c r="K1225" s="32" t="str">
        <f>IF($A1225="","",VLOOKUP($J1225,APOIO!$H:$J,2,FALSE))</f>
        <v/>
      </c>
      <c r="L1225" s="32" t="str">
        <f>IF($A1225="","",VLOOKUP($J1225,APOIO!$H:$J,3,FALSE))</f>
        <v/>
      </c>
      <c r="M1225" s="31"/>
      <c r="N1225" s="34"/>
      <c r="O1225" s="32"/>
      <c r="P1225" s="32"/>
      <c r="Q1225" s="32"/>
      <c r="R1225" s="32"/>
      <c r="S1225" s="35"/>
      <c r="T1225" s="91"/>
      <c r="U1225" s="60"/>
      <c r="V1225" s="36"/>
      <c r="W1225" s="31"/>
      <c r="X1225" s="59"/>
      <c r="Y1225" s="59" t="str">
        <f>IFERROR(VLOOKUP($A1225,APOIO!$A:$A,1,FALSE),"ERRO")</f>
        <v>ERRO</v>
      </c>
      <c r="Z1225"/>
    </row>
    <row r="1226" spans="1:26" ht="15" x14ac:dyDescent="0.25">
      <c r="A1226" s="94"/>
      <c r="B1226" s="32" t="str">
        <f>IF($A1226="","",VLOOKUP($A1226,APOIO!$A:$E,2,FALSE))</f>
        <v/>
      </c>
      <c r="C1226" s="94"/>
      <c r="D1226" s="32" t="str">
        <f>IF($A1226="","",INDEX(APOIO!$D:$D,MATCH(CONCATENATE($A1226,"_",$B1226,"_",$C1226),APOIO!$F:$F,0)))</f>
        <v/>
      </c>
      <c r="E1226" s="31"/>
      <c r="F1226" s="31"/>
      <c r="G1226" s="33"/>
      <c r="H1226" s="105"/>
      <c r="I1226" s="32" t="str">
        <f>IF($A1226="","",VLOOKUP($H1226,APOIO!$L:$M,2,FALSE))</f>
        <v/>
      </c>
      <c r="J1226" s="31"/>
      <c r="K1226" s="32" t="str">
        <f>IF($A1226="","",VLOOKUP($J1226,APOIO!$H:$J,2,FALSE))</f>
        <v/>
      </c>
      <c r="L1226" s="32" t="str">
        <f>IF($A1226="","",VLOOKUP($J1226,APOIO!$H:$J,3,FALSE))</f>
        <v/>
      </c>
      <c r="M1226" s="31"/>
      <c r="N1226" s="34"/>
      <c r="O1226" s="32"/>
      <c r="P1226" s="32"/>
      <c r="Q1226" s="32"/>
      <c r="R1226" s="32"/>
      <c r="S1226" s="35"/>
      <c r="T1226" s="91"/>
      <c r="U1226" s="60"/>
      <c r="V1226" s="36"/>
      <c r="W1226" s="31"/>
      <c r="X1226" s="59"/>
      <c r="Y1226" s="59" t="str">
        <f>IFERROR(VLOOKUP($A1226,APOIO!$A:$A,1,FALSE),"ERRO")</f>
        <v>ERRO</v>
      </c>
      <c r="Z1226"/>
    </row>
    <row r="1227" spans="1:26" ht="15" x14ac:dyDescent="0.25">
      <c r="A1227" s="94"/>
      <c r="B1227" s="32" t="str">
        <f>IF($A1227="","",VLOOKUP($A1227,APOIO!$A:$E,2,FALSE))</f>
        <v/>
      </c>
      <c r="C1227" s="94"/>
      <c r="D1227" s="32" t="str">
        <f>IF($A1227="","",INDEX(APOIO!$D:$D,MATCH(CONCATENATE($A1227,"_",$B1227,"_",$C1227),APOIO!$F:$F,0)))</f>
        <v/>
      </c>
      <c r="E1227" s="31"/>
      <c r="F1227" s="31"/>
      <c r="G1227" s="33"/>
      <c r="H1227" s="105"/>
      <c r="I1227" s="32" t="str">
        <f>IF($A1227="","",VLOOKUP($H1227,APOIO!$L:$M,2,FALSE))</f>
        <v/>
      </c>
      <c r="J1227" s="31"/>
      <c r="K1227" s="32" t="str">
        <f>IF($A1227="","",VLOOKUP($J1227,APOIO!$H:$J,2,FALSE))</f>
        <v/>
      </c>
      <c r="L1227" s="32" t="str">
        <f>IF($A1227="","",VLOOKUP($J1227,APOIO!$H:$J,3,FALSE))</f>
        <v/>
      </c>
      <c r="M1227" s="31"/>
      <c r="N1227" s="34"/>
      <c r="O1227" s="32"/>
      <c r="P1227" s="32"/>
      <c r="Q1227" s="32"/>
      <c r="R1227" s="32"/>
      <c r="S1227" s="35"/>
      <c r="T1227" s="91"/>
      <c r="U1227" s="60"/>
      <c r="V1227" s="36"/>
      <c r="W1227" s="31"/>
      <c r="X1227" s="59"/>
      <c r="Y1227" s="59" t="str">
        <f>IFERROR(VLOOKUP($A1227,APOIO!$A:$A,1,FALSE),"ERRO")</f>
        <v>ERRO</v>
      </c>
      <c r="Z1227"/>
    </row>
    <row r="1228" spans="1:26" ht="15" x14ac:dyDescent="0.25">
      <c r="A1228" s="94"/>
      <c r="B1228" s="32" t="str">
        <f>IF($A1228="","",VLOOKUP($A1228,APOIO!$A:$E,2,FALSE))</f>
        <v/>
      </c>
      <c r="C1228" s="94"/>
      <c r="D1228" s="32" t="str">
        <f>IF($A1228="","",INDEX(APOIO!$D:$D,MATCH(CONCATENATE($A1228,"_",$B1228,"_",$C1228),APOIO!$F:$F,0)))</f>
        <v/>
      </c>
      <c r="E1228" s="31"/>
      <c r="F1228" s="31"/>
      <c r="G1228" s="33"/>
      <c r="H1228" s="105"/>
      <c r="I1228" s="32" t="str">
        <f>IF($A1228="","",VLOOKUP($H1228,APOIO!$L:$M,2,FALSE))</f>
        <v/>
      </c>
      <c r="J1228" s="31"/>
      <c r="K1228" s="32" t="str">
        <f>IF($A1228="","",VLOOKUP($J1228,APOIO!$H:$J,2,FALSE))</f>
        <v/>
      </c>
      <c r="L1228" s="32" t="str">
        <f>IF($A1228="","",VLOOKUP($J1228,APOIO!$H:$J,3,FALSE))</f>
        <v/>
      </c>
      <c r="M1228" s="31"/>
      <c r="N1228" s="34"/>
      <c r="O1228" s="32"/>
      <c r="P1228" s="32"/>
      <c r="Q1228" s="32"/>
      <c r="R1228" s="32"/>
      <c r="S1228" s="35"/>
      <c r="T1228" s="91"/>
      <c r="U1228" s="60"/>
      <c r="V1228" s="36"/>
      <c r="W1228" s="31"/>
      <c r="X1228" s="59"/>
      <c r="Y1228" s="59" t="str">
        <f>IFERROR(VLOOKUP($A1228,APOIO!$A:$A,1,FALSE),"ERRO")</f>
        <v>ERRO</v>
      </c>
      <c r="Z1228"/>
    </row>
    <row r="1229" spans="1:26" ht="15" x14ac:dyDescent="0.25">
      <c r="A1229" s="94"/>
      <c r="B1229" s="32" t="str">
        <f>IF($A1229="","",VLOOKUP($A1229,APOIO!$A:$E,2,FALSE))</f>
        <v/>
      </c>
      <c r="C1229" s="94"/>
      <c r="D1229" s="32" t="str">
        <f>IF($A1229="","",INDEX(APOIO!$D:$D,MATCH(CONCATENATE($A1229,"_",$B1229,"_",$C1229),APOIO!$F:$F,0)))</f>
        <v/>
      </c>
      <c r="E1229" s="31"/>
      <c r="F1229" s="31"/>
      <c r="G1229" s="33"/>
      <c r="H1229" s="105"/>
      <c r="I1229" s="32" t="str">
        <f>IF($A1229="","",VLOOKUP($H1229,APOIO!$L:$M,2,FALSE))</f>
        <v/>
      </c>
      <c r="J1229" s="31"/>
      <c r="K1229" s="32" t="str">
        <f>IF($A1229="","",VLOOKUP($J1229,APOIO!$H:$J,2,FALSE))</f>
        <v/>
      </c>
      <c r="L1229" s="32" t="str">
        <f>IF($A1229="","",VLOOKUP($J1229,APOIO!$H:$J,3,FALSE))</f>
        <v/>
      </c>
      <c r="M1229" s="31"/>
      <c r="N1229" s="34"/>
      <c r="O1229" s="32"/>
      <c r="P1229" s="32"/>
      <c r="Q1229" s="32"/>
      <c r="R1229" s="32"/>
      <c r="S1229" s="35"/>
      <c r="T1229" s="91"/>
      <c r="U1229" s="60"/>
      <c r="V1229" s="36"/>
      <c r="W1229" s="31"/>
      <c r="X1229" s="59"/>
      <c r="Y1229" s="59" t="str">
        <f>IFERROR(VLOOKUP($A1229,APOIO!$A:$A,1,FALSE),"ERRO")</f>
        <v>ERRO</v>
      </c>
      <c r="Z1229"/>
    </row>
    <row r="1230" spans="1:26" ht="15" x14ac:dyDescent="0.25">
      <c r="A1230" s="94"/>
      <c r="B1230" s="32" t="str">
        <f>IF($A1230="","",VLOOKUP($A1230,APOIO!$A:$E,2,FALSE))</f>
        <v/>
      </c>
      <c r="C1230" s="94"/>
      <c r="D1230" s="32" t="str">
        <f>IF($A1230="","",INDEX(APOIO!$D:$D,MATCH(CONCATENATE($A1230,"_",$B1230,"_",$C1230),APOIO!$F:$F,0)))</f>
        <v/>
      </c>
      <c r="E1230" s="31"/>
      <c r="F1230" s="31"/>
      <c r="G1230" s="33"/>
      <c r="H1230" s="105"/>
      <c r="I1230" s="32" t="str">
        <f>IF($A1230="","",VLOOKUP($H1230,APOIO!$L:$M,2,FALSE))</f>
        <v/>
      </c>
      <c r="J1230" s="31"/>
      <c r="K1230" s="32" t="str">
        <f>IF($A1230="","",VLOOKUP($J1230,APOIO!$H:$J,2,FALSE))</f>
        <v/>
      </c>
      <c r="L1230" s="32" t="str">
        <f>IF($A1230="","",VLOOKUP($J1230,APOIO!$H:$J,3,FALSE))</f>
        <v/>
      </c>
      <c r="M1230" s="31"/>
      <c r="N1230" s="34"/>
      <c r="O1230" s="32"/>
      <c r="P1230" s="32"/>
      <c r="Q1230" s="32"/>
      <c r="R1230" s="32"/>
      <c r="S1230" s="35"/>
      <c r="T1230" s="91"/>
      <c r="U1230" s="60"/>
      <c r="V1230" s="36"/>
      <c r="W1230" s="31"/>
      <c r="X1230" s="59"/>
      <c r="Y1230" s="59" t="str">
        <f>IFERROR(VLOOKUP($A1230,APOIO!$A:$A,1,FALSE),"ERRO")</f>
        <v>ERRO</v>
      </c>
      <c r="Z1230"/>
    </row>
    <row r="1231" spans="1:26" ht="15" x14ac:dyDescent="0.25">
      <c r="A1231" s="94"/>
      <c r="B1231" s="32" t="str">
        <f>IF($A1231="","",VLOOKUP($A1231,APOIO!$A:$E,2,FALSE))</f>
        <v/>
      </c>
      <c r="C1231" s="94"/>
      <c r="D1231" s="32" t="str">
        <f>IF($A1231="","",INDEX(APOIO!$D:$D,MATCH(CONCATENATE($A1231,"_",$B1231,"_",$C1231),APOIO!$F:$F,0)))</f>
        <v/>
      </c>
      <c r="E1231" s="31"/>
      <c r="F1231" s="31"/>
      <c r="G1231" s="33"/>
      <c r="H1231" s="105"/>
      <c r="I1231" s="32" t="str">
        <f>IF($A1231="","",VLOOKUP($H1231,APOIO!$L:$M,2,FALSE))</f>
        <v/>
      </c>
      <c r="J1231" s="31"/>
      <c r="K1231" s="32" t="str">
        <f>IF($A1231="","",VLOOKUP($J1231,APOIO!$H:$J,2,FALSE))</f>
        <v/>
      </c>
      <c r="L1231" s="32" t="str">
        <f>IF($A1231="","",VLOOKUP($J1231,APOIO!$H:$J,3,FALSE))</f>
        <v/>
      </c>
      <c r="M1231" s="31"/>
      <c r="N1231" s="34"/>
      <c r="O1231" s="32"/>
      <c r="P1231" s="32"/>
      <c r="Q1231" s="32"/>
      <c r="R1231" s="32"/>
      <c r="S1231" s="35"/>
      <c r="T1231" s="91"/>
      <c r="U1231" s="60"/>
      <c r="V1231" s="36"/>
      <c r="W1231" s="31"/>
      <c r="X1231" s="59"/>
      <c r="Y1231" s="59" t="str">
        <f>IFERROR(VLOOKUP($A1231,APOIO!$A:$A,1,FALSE),"ERRO")</f>
        <v>ERRO</v>
      </c>
      <c r="Z1231"/>
    </row>
    <row r="1232" spans="1:26" ht="15" x14ac:dyDescent="0.25">
      <c r="A1232" s="94"/>
      <c r="B1232" s="32" t="str">
        <f>IF($A1232="","",VLOOKUP($A1232,APOIO!$A:$E,2,FALSE))</f>
        <v/>
      </c>
      <c r="C1232" s="94"/>
      <c r="D1232" s="32" t="str">
        <f>IF($A1232="","",INDEX(APOIO!$D:$D,MATCH(CONCATENATE($A1232,"_",$B1232,"_",$C1232),APOIO!$F:$F,0)))</f>
        <v/>
      </c>
      <c r="E1232" s="31"/>
      <c r="F1232" s="31"/>
      <c r="G1232" s="33"/>
      <c r="H1232" s="105"/>
      <c r="I1232" s="32" t="str">
        <f>IF($A1232="","",VLOOKUP($H1232,APOIO!$L:$M,2,FALSE))</f>
        <v/>
      </c>
      <c r="J1232" s="31"/>
      <c r="K1232" s="32" t="str">
        <f>IF($A1232="","",VLOOKUP($J1232,APOIO!$H:$J,2,FALSE))</f>
        <v/>
      </c>
      <c r="L1232" s="32" t="str">
        <f>IF($A1232="","",VLOOKUP($J1232,APOIO!$H:$J,3,FALSE))</f>
        <v/>
      </c>
      <c r="M1232" s="31"/>
      <c r="N1232" s="34"/>
      <c r="O1232" s="32"/>
      <c r="P1232" s="32"/>
      <c r="Q1232" s="32"/>
      <c r="R1232" s="32"/>
      <c r="S1232" s="35"/>
      <c r="T1232" s="91"/>
      <c r="U1232" s="60"/>
      <c r="V1232" s="36"/>
      <c r="W1232" s="31"/>
      <c r="X1232" s="59"/>
      <c r="Y1232" s="59" t="str">
        <f>IFERROR(VLOOKUP($A1232,APOIO!$A:$A,1,FALSE),"ERRO")</f>
        <v>ERRO</v>
      </c>
      <c r="Z1232"/>
    </row>
    <row r="1233" spans="1:26" ht="15" x14ac:dyDescent="0.25">
      <c r="A1233" s="94"/>
      <c r="B1233" s="32" t="str">
        <f>IF($A1233="","",VLOOKUP($A1233,APOIO!$A:$E,2,FALSE))</f>
        <v/>
      </c>
      <c r="C1233" s="94"/>
      <c r="D1233" s="32" t="str">
        <f>IF($A1233="","",INDEX(APOIO!$D:$D,MATCH(CONCATENATE($A1233,"_",$B1233,"_",$C1233),APOIO!$F:$F,0)))</f>
        <v/>
      </c>
      <c r="E1233" s="31"/>
      <c r="F1233" s="31"/>
      <c r="G1233" s="33"/>
      <c r="H1233" s="105"/>
      <c r="I1233" s="32" t="str">
        <f>IF($A1233="","",VLOOKUP($H1233,APOIO!$L:$M,2,FALSE))</f>
        <v/>
      </c>
      <c r="J1233" s="31"/>
      <c r="K1233" s="32" t="str">
        <f>IF($A1233="","",VLOOKUP($J1233,APOIO!$H:$J,2,FALSE))</f>
        <v/>
      </c>
      <c r="L1233" s="32" t="str">
        <f>IF($A1233="","",VLOOKUP($J1233,APOIO!$H:$J,3,FALSE))</f>
        <v/>
      </c>
      <c r="M1233" s="31"/>
      <c r="N1233" s="34"/>
      <c r="O1233" s="32"/>
      <c r="P1233" s="32"/>
      <c r="Q1233" s="32"/>
      <c r="R1233" s="32"/>
      <c r="S1233" s="35"/>
      <c r="T1233" s="91"/>
      <c r="U1233" s="60"/>
      <c r="V1233" s="36"/>
      <c r="W1233" s="31"/>
      <c r="X1233" s="59"/>
      <c r="Y1233" s="59" t="str">
        <f>IFERROR(VLOOKUP($A1233,APOIO!$A:$A,1,FALSE),"ERRO")</f>
        <v>ERRO</v>
      </c>
      <c r="Z1233"/>
    </row>
    <row r="1234" spans="1:26" ht="15" x14ac:dyDescent="0.25">
      <c r="A1234" s="94"/>
      <c r="B1234" s="32" t="str">
        <f>IF($A1234="","",VLOOKUP($A1234,APOIO!$A:$E,2,FALSE))</f>
        <v/>
      </c>
      <c r="C1234" s="94"/>
      <c r="D1234" s="32" t="str">
        <f>IF($A1234="","",INDEX(APOIO!$D:$D,MATCH(CONCATENATE($A1234,"_",$B1234,"_",$C1234),APOIO!$F:$F,0)))</f>
        <v/>
      </c>
      <c r="E1234" s="31"/>
      <c r="F1234" s="31"/>
      <c r="G1234" s="33"/>
      <c r="H1234" s="105"/>
      <c r="I1234" s="32" t="str">
        <f>IF($A1234="","",VLOOKUP($H1234,APOIO!$L:$M,2,FALSE))</f>
        <v/>
      </c>
      <c r="J1234" s="31"/>
      <c r="K1234" s="32" t="str">
        <f>IF($A1234="","",VLOOKUP($J1234,APOIO!$H:$J,2,FALSE))</f>
        <v/>
      </c>
      <c r="L1234" s="32" t="str">
        <f>IF($A1234="","",VLOOKUP($J1234,APOIO!$H:$J,3,FALSE))</f>
        <v/>
      </c>
      <c r="M1234" s="31"/>
      <c r="N1234" s="34"/>
      <c r="O1234" s="32"/>
      <c r="P1234" s="32"/>
      <c r="Q1234" s="32"/>
      <c r="R1234" s="32"/>
      <c r="S1234" s="35"/>
      <c r="T1234" s="91"/>
      <c r="U1234" s="60"/>
      <c r="V1234" s="36"/>
      <c r="W1234" s="31"/>
      <c r="X1234" s="59"/>
      <c r="Y1234" s="59" t="str">
        <f>IFERROR(VLOOKUP($A1234,APOIO!$A:$A,1,FALSE),"ERRO")</f>
        <v>ERRO</v>
      </c>
      <c r="Z1234"/>
    </row>
    <row r="1235" spans="1:26" ht="15" x14ac:dyDescent="0.25">
      <c r="A1235" s="94"/>
      <c r="B1235" s="32" t="str">
        <f>IF($A1235="","",VLOOKUP($A1235,APOIO!$A:$E,2,FALSE))</f>
        <v/>
      </c>
      <c r="C1235" s="94"/>
      <c r="D1235" s="32" t="str">
        <f>IF($A1235="","",INDEX(APOIO!$D:$D,MATCH(CONCATENATE($A1235,"_",$B1235,"_",$C1235),APOIO!$F:$F,0)))</f>
        <v/>
      </c>
      <c r="E1235" s="31"/>
      <c r="F1235" s="31"/>
      <c r="G1235" s="33"/>
      <c r="H1235" s="105"/>
      <c r="I1235" s="32" t="str">
        <f>IF($A1235="","",VLOOKUP($H1235,APOIO!$L:$M,2,FALSE))</f>
        <v/>
      </c>
      <c r="J1235" s="31"/>
      <c r="K1235" s="32" t="str">
        <f>IF($A1235="","",VLOOKUP($J1235,APOIO!$H:$J,2,FALSE))</f>
        <v/>
      </c>
      <c r="L1235" s="32" t="str">
        <f>IF($A1235="","",VLOOKUP($J1235,APOIO!$H:$J,3,FALSE))</f>
        <v/>
      </c>
      <c r="M1235" s="31"/>
      <c r="N1235" s="34"/>
      <c r="O1235" s="32"/>
      <c r="P1235" s="32"/>
      <c r="Q1235" s="32"/>
      <c r="R1235" s="32"/>
      <c r="S1235" s="35"/>
      <c r="T1235" s="91"/>
      <c r="U1235" s="60"/>
      <c r="V1235" s="36"/>
      <c r="W1235" s="31"/>
      <c r="X1235" s="59"/>
      <c r="Y1235" s="59" t="str">
        <f>IFERROR(VLOOKUP($A1235,APOIO!$A:$A,1,FALSE),"ERRO")</f>
        <v>ERRO</v>
      </c>
      <c r="Z1235"/>
    </row>
    <row r="1236" spans="1:26" ht="15" x14ac:dyDescent="0.25">
      <c r="A1236" s="94"/>
      <c r="B1236" s="32" t="str">
        <f>IF($A1236="","",VLOOKUP($A1236,APOIO!$A:$E,2,FALSE))</f>
        <v/>
      </c>
      <c r="C1236" s="94"/>
      <c r="D1236" s="32" t="str">
        <f>IF($A1236="","",INDEX(APOIO!$D:$D,MATCH(CONCATENATE($A1236,"_",$B1236,"_",$C1236),APOIO!$F:$F,0)))</f>
        <v/>
      </c>
      <c r="E1236" s="31"/>
      <c r="F1236" s="31"/>
      <c r="G1236" s="33"/>
      <c r="H1236" s="105"/>
      <c r="I1236" s="32" t="str">
        <f>IF($A1236="","",VLOOKUP($H1236,APOIO!$L:$M,2,FALSE))</f>
        <v/>
      </c>
      <c r="J1236" s="31"/>
      <c r="K1236" s="32" t="str">
        <f>IF($A1236="","",VLOOKUP($J1236,APOIO!$H:$J,2,FALSE))</f>
        <v/>
      </c>
      <c r="L1236" s="32" t="str">
        <f>IF($A1236="","",VLOOKUP($J1236,APOIO!$H:$J,3,FALSE))</f>
        <v/>
      </c>
      <c r="M1236" s="31"/>
      <c r="N1236" s="34"/>
      <c r="O1236" s="32"/>
      <c r="P1236" s="32"/>
      <c r="Q1236" s="32"/>
      <c r="R1236" s="32"/>
      <c r="S1236" s="35"/>
      <c r="T1236" s="91"/>
      <c r="U1236" s="60"/>
      <c r="V1236" s="36"/>
      <c r="W1236" s="31"/>
      <c r="X1236" s="59"/>
      <c r="Y1236" s="59" t="str">
        <f>IFERROR(VLOOKUP($A1236,APOIO!$A:$A,1,FALSE),"ERRO")</f>
        <v>ERRO</v>
      </c>
      <c r="Z1236"/>
    </row>
    <row r="1237" spans="1:26" ht="15" x14ac:dyDescent="0.25">
      <c r="A1237" s="94"/>
      <c r="B1237" s="32" t="str">
        <f>IF($A1237="","",VLOOKUP($A1237,APOIO!$A:$E,2,FALSE))</f>
        <v/>
      </c>
      <c r="C1237" s="94"/>
      <c r="D1237" s="32" t="str">
        <f>IF($A1237="","",INDEX(APOIO!$D:$D,MATCH(CONCATENATE($A1237,"_",$B1237,"_",$C1237),APOIO!$F:$F,0)))</f>
        <v/>
      </c>
      <c r="E1237" s="31"/>
      <c r="F1237" s="31"/>
      <c r="G1237" s="33"/>
      <c r="H1237" s="105"/>
      <c r="I1237" s="32" t="str">
        <f>IF($A1237="","",VLOOKUP($H1237,APOIO!$L:$M,2,FALSE))</f>
        <v/>
      </c>
      <c r="J1237" s="31"/>
      <c r="K1237" s="32" t="str">
        <f>IF($A1237="","",VLOOKUP($J1237,APOIO!$H:$J,2,FALSE))</f>
        <v/>
      </c>
      <c r="L1237" s="32" t="str">
        <f>IF($A1237="","",VLOOKUP($J1237,APOIO!$H:$J,3,FALSE))</f>
        <v/>
      </c>
      <c r="M1237" s="31"/>
      <c r="N1237" s="34"/>
      <c r="O1237" s="32"/>
      <c r="P1237" s="32"/>
      <c r="Q1237" s="32"/>
      <c r="R1237" s="32"/>
      <c r="S1237" s="35"/>
      <c r="T1237" s="91"/>
      <c r="U1237" s="60"/>
      <c r="V1237" s="36"/>
      <c r="W1237" s="31"/>
      <c r="X1237" s="59"/>
      <c r="Y1237" s="59" t="str">
        <f>IFERROR(VLOOKUP($A1237,APOIO!$A:$A,1,FALSE),"ERRO")</f>
        <v>ERRO</v>
      </c>
      <c r="Z1237"/>
    </row>
    <row r="1238" spans="1:26" ht="15" x14ac:dyDescent="0.25">
      <c r="A1238" s="94"/>
      <c r="B1238" s="32" t="str">
        <f>IF($A1238="","",VLOOKUP($A1238,APOIO!$A:$E,2,FALSE))</f>
        <v/>
      </c>
      <c r="C1238" s="94"/>
      <c r="D1238" s="32" t="str">
        <f>IF($A1238="","",INDEX(APOIO!$D:$D,MATCH(CONCATENATE($A1238,"_",$B1238,"_",$C1238),APOIO!$F:$F,0)))</f>
        <v/>
      </c>
      <c r="E1238" s="31"/>
      <c r="F1238" s="31"/>
      <c r="G1238" s="33"/>
      <c r="H1238" s="105"/>
      <c r="I1238" s="32" t="str">
        <f>IF($A1238="","",VLOOKUP($H1238,APOIO!$L:$M,2,FALSE))</f>
        <v/>
      </c>
      <c r="J1238" s="31"/>
      <c r="K1238" s="32" t="str">
        <f>IF($A1238="","",VLOOKUP($J1238,APOIO!$H:$J,2,FALSE))</f>
        <v/>
      </c>
      <c r="L1238" s="32" t="str">
        <f>IF($A1238="","",VLOOKUP($J1238,APOIO!$H:$J,3,FALSE))</f>
        <v/>
      </c>
      <c r="M1238" s="31"/>
      <c r="N1238" s="34"/>
      <c r="O1238" s="32"/>
      <c r="P1238" s="32"/>
      <c r="Q1238" s="32"/>
      <c r="R1238" s="32"/>
      <c r="S1238" s="35"/>
      <c r="T1238" s="91"/>
      <c r="U1238" s="60"/>
      <c r="V1238" s="36"/>
      <c r="W1238" s="31"/>
      <c r="X1238" s="59"/>
      <c r="Y1238" s="59" t="str">
        <f>IFERROR(VLOOKUP($A1238,APOIO!$A:$A,1,FALSE),"ERRO")</f>
        <v>ERRO</v>
      </c>
      <c r="Z1238"/>
    </row>
    <row r="1239" spans="1:26" ht="15" x14ac:dyDescent="0.25">
      <c r="A1239" s="94"/>
      <c r="B1239" s="32" t="str">
        <f>IF($A1239="","",VLOOKUP($A1239,APOIO!$A:$E,2,FALSE))</f>
        <v/>
      </c>
      <c r="C1239" s="94"/>
      <c r="D1239" s="32" t="str">
        <f>IF($A1239="","",INDEX(APOIO!$D:$D,MATCH(CONCATENATE($A1239,"_",$B1239,"_",$C1239),APOIO!$F:$F,0)))</f>
        <v/>
      </c>
      <c r="E1239" s="31"/>
      <c r="F1239" s="31"/>
      <c r="G1239" s="33"/>
      <c r="H1239" s="105"/>
      <c r="I1239" s="32" t="str">
        <f>IF($A1239="","",VLOOKUP($H1239,APOIO!$L:$M,2,FALSE))</f>
        <v/>
      </c>
      <c r="J1239" s="31"/>
      <c r="K1239" s="32" t="str">
        <f>IF($A1239="","",VLOOKUP($J1239,APOIO!$H:$J,2,FALSE))</f>
        <v/>
      </c>
      <c r="L1239" s="32" t="str">
        <f>IF($A1239="","",VLOOKUP($J1239,APOIO!$H:$J,3,FALSE))</f>
        <v/>
      </c>
      <c r="M1239" s="31"/>
      <c r="N1239" s="34"/>
      <c r="O1239" s="32"/>
      <c r="P1239" s="32"/>
      <c r="Q1239" s="32"/>
      <c r="R1239" s="32"/>
      <c r="S1239" s="35"/>
      <c r="T1239" s="91"/>
      <c r="U1239" s="60"/>
      <c r="V1239" s="36"/>
      <c r="W1239" s="31"/>
      <c r="X1239" s="59"/>
      <c r="Y1239" s="59" t="str">
        <f>IFERROR(VLOOKUP($A1239,APOIO!$A:$A,1,FALSE),"ERRO")</f>
        <v>ERRO</v>
      </c>
      <c r="Z1239"/>
    </row>
    <row r="1240" spans="1:26" ht="15" x14ac:dyDescent="0.25">
      <c r="A1240" s="94"/>
      <c r="B1240" s="32" t="str">
        <f>IF($A1240="","",VLOOKUP($A1240,APOIO!$A:$E,2,FALSE))</f>
        <v/>
      </c>
      <c r="C1240" s="94"/>
      <c r="D1240" s="32" t="str">
        <f>IF($A1240="","",INDEX(APOIO!$D:$D,MATCH(CONCATENATE($A1240,"_",$B1240,"_",$C1240),APOIO!$F:$F,0)))</f>
        <v/>
      </c>
      <c r="E1240" s="31"/>
      <c r="F1240" s="31"/>
      <c r="G1240" s="33"/>
      <c r="H1240" s="105"/>
      <c r="I1240" s="32" t="str">
        <f>IF($A1240="","",VLOOKUP($H1240,APOIO!$L:$M,2,FALSE))</f>
        <v/>
      </c>
      <c r="J1240" s="31"/>
      <c r="K1240" s="32" t="str">
        <f>IF($A1240="","",VLOOKUP($J1240,APOIO!$H:$J,2,FALSE))</f>
        <v/>
      </c>
      <c r="L1240" s="32" t="str">
        <f>IF($A1240="","",VLOOKUP($J1240,APOIO!$H:$J,3,FALSE))</f>
        <v/>
      </c>
      <c r="M1240" s="31"/>
      <c r="N1240" s="34"/>
      <c r="O1240" s="32"/>
      <c r="P1240" s="32"/>
      <c r="Q1240" s="32"/>
      <c r="R1240" s="32"/>
      <c r="S1240" s="35"/>
      <c r="T1240" s="91"/>
      <c r="U1240" s="60"/>
      <c r="V1240" s="36"/>
      <c r="W1240" s="31"/>
      <c r="X1240" s="59"/>
      <c r="Y1240" s="59" t="str">
        <f>IFERROR(VLOOKUP($A1240,APOIO!$A:$A,1,FALSE),"ERRO")</f>
        <v>ERRO</v>
      </c>
      <c r="Z1240"/>
    </row>
    <row r="1241" spans="1:26" ht="15" x14ac:dyDescent="0.25">
      <c r="A1241" s="94"/>
      <c r="B1241" s="32" t="str">
        <f>IF($A1241="","",VLOOKUP($A1241,APOIO!$A:$E,2,FALSE))</f>
        <v/>
      </c>
      <c r="C1241" s="94"/>
      <c r="D1241" s="32" t="str">
        <f>IF($A1241="","",INDEX(APOIO!$D:$D,MATCH(CONCATENATE($A1241,"_",$B1241,"_",$C1241),APOIO!$F:$F,0)))</f>
        <v/>
      </c>
      <c r="E1241" s="31"/>
      <c r="F1241" s="31"/>
      <c r="G1241" s="33"/>
      <c r="H1241" s="105"/>
      <c r="I1241" s="32" t="str">
        <f>IF($A1241="","",VLOOKUP($H1241,APOIO!$L:$M,2,FALSE))</f>
        <v/>
      </c>
      <c r="J1241" s="31"/>
      <c r="K1241" s="32" t="str">
        <f>IF($A1241="","",VLOOKUP($J1241,APOIO!$H:$J,2,FALSE))</f>
        <v/>
      </c>
      <c r="L1241" s="32" t="str">
        <f>IF($A1241="","",VLOOKUP($J1241,APOIO!$H:$J,3,FALSE))</f>
        <v/>
      </c>
      <c r="M1241" s="31"/>
      <c r="N1241" s="34"/>
      <c r="O1241" s="32"/>
      <c r="P1241" s="32"/>
      <c r="Q1241" s="32"/>
      <c r="R1241" s="32"/>
      <c r="S1241" s="35"/>
      <c r="T1241" s="91"/>
      <c r="U1241" s="60"/>
      <c r="V1241" s="36"/>
      <c r="W1241" s="31"/>
      <c r="X1241" s="59"/>
      <c r="Y1241" s="59" t="str">
        <f>IFERROR(VLOOKUP($A1241,APOIO!$A:$A,1,FALSE),"ERRO")</f>
        <v>ERRO</v>
      </c>
      <c r="Z1241"/>
    </row>
    <row r="1242" spans="1:26" ht="15" x14ac:dyDescent="0.25">
      <c r="A1242" s="94"/>
      <c r="B1242" s="32" t="str">
        <f>IF($A1242="","",VLOOKUP($A1242,APOIO!$A:$E,2,FALSE))</f>
        <v/>
      </c>
      <c r="C1242" s="94"/>
      <c r="D1242" s="32" t="str">
        <f>IF($A1242="","",INDEX(APOIO!$D:$D,MATCH(CONCATENATE($A1242,"_",$B1242,"_",$C1242),APOIO!$F:$F,0)))</f>
        <v/>
      </c>
      <c r="E1242" s="31"/>
      <c r="F1242" s="31"/>
      <c r="G1242" s="33"/>
      <c r="H1242" s="105"/>
      <c r="I1242" s="32" t="str">
        <f>IF($A1242="","",VLOOKUP($H1242,APOIO!$L:$M,2,FALSE))</f>
        <v/>
      </c>
      <c r="J1242" s="31"/>
      <c r="K1242" s="32" t="str">
        <f>IF($A1242="","",VLOOKUP($J1242,APOIO!$H:$J,2,FALSE))</f>
        <v/>
      </c>
      <c r="L1242" s="32" t="str">
        <f>IF($A1242="","",VLOOKUP($J1242,APOIO!$H:$J,3,FALSE))</f>
        <v/>
      </c>
      <c r="M1242" s="31"/>
      <c r="N1242" s="34"/>
      <c r="O1242" s="32"/>
      <c r="P1242" s="32"/>
      <c r="Q1242" s="32"/>
      <c r="R1242" s="32"/>
      <c r="S1242" s="35"/>
      <c r="T1242" s="91"/>
      <c r="U1242" s="60"/>
      <c r="V1242" s="36"/>
      <c r="W1242" s="31"/>
      <c r="X1242" s="59"/>
      <c r="Y1242" s="59" t="str">
        <f>IFERROR(VLOOKUP($A1242,APOIO!$A:$A,1,FALSE),"ERRO")</f>
        <v>ERRO</v>
      </c>
      <c r="Z1242"/>
    </row>
    <row r="1243" spans="1:26" ht="15" x14ac:dyDescent="0.25">
      <c r="A1243" s="94"/>
      <c r="B1243" s="32" t="str">
        <f>IF($A1243="","",VLOOKUP($A1243,APOIO!$A:$E,2,FALSE))</f>
        <v/>
      </c>
      <c r="C1243" s="94"/>
      <c r="D1243" s="32" t="str">
        <f>IF($A1243="","",INDEX(APOIO!$D:$D,MATCH(CONCATENATE($A1243,"_",$B1243,"_",$C1243),APOIO!$F:$F,0)))</f>
        <v/>
      </c>
      <c r="E1243" s="31"/>
      <c r="F1243" s="31"/>
      <c r="G1243" s="33"/>
      <c r="H1243" s="105"/>
      <c r="I1243" s="32" t="str">
        <f>IF($A1243="","",VLOOKUP($H1243,APOIO!$L:$M,2,FALSE))</f>
        <v/>
      </c>
      <c r="J1243" s="31"/>
      <c r="K1243" s="32" t="str">
        <f>IF($A1243="","",VLOOKUP($J1243,APOIO!$H:$J,2,FALSE))</f>
        <v/>
      </c>
      <c r="L1243" s="32" t="str">
        <f>IF($A1243="","",VLOOKUP($J1243,APOIO!$H:$J,3,FALSE))</f>
        <v/>
      </c>
      <c r="M1243" s="31"/>
      <c r="N1243" s="34"/>
      <c r="O1243" s="32"/>
      <c r="P1243" s="32"/>
      <c r="Q1243" s="32"/>
      <c r="R1243" s="32"/>
      <c r="S1243" s="35"/>
      <c r="T1243" s="91"/>
      <c r="U1243" s="60"/>
      <c r="V1243" s="36"/>
      <c r="W1243" s="31"/>
      <c r="X1243" s="59"/>
      <c r="Y1243" s="59" t="str">
        <f>IFERROR(VLOOKUP($A1243,APOIO!$A:$A,1,FALSE),"ERRO")</f>
        <v>ERRO</v>
      </c>
      <c r="Z1243"/>
    </row>
    <row r="1244" spans="1:26" ht="15" x14ac:dyDescent="0.25">
      <c r="A1244" s="94"/>
      <c r="B1244" s="32" t="str">
        <f>IF($A1244="","",VLOOKUP($A1244,APOIO!$A:$E,2,FALSE))</f>
        <v/>
      </c>
      <c r="C1244" s="94"/>
      <c r="D1244" s="32" t="str">
        <f>IF($A1244="","",INDEX(APOIO!$D:$D,MATCH(CONCATENATE($A1244,"_",$B1244,"_",$C1244),APOIO!$F:$F,0)))</f>
        <v/>
      </c>
      <c r="E1244" s="31"/>
      <c r="F1244" s="31"/>
      <c r="G1244" s="33"/>
      <c r="H1244" s="105"/>
      <c r="I1244" s="32" t="str">
        <f>IF($A1244="","",VLOOKUP($H1244,APOIO!$L:$M,2,FALSE))</f>
        <v/>
      </c>
      <c r="J1244" s="31"/>
      <c r="K1244" s="32" t="str">
        <f>IF($A1244="","",VLOOKUP($J1244,APOIO!$H:$J,2,FALSE))</f>
        <v/>
      </c>
      <c r="L1244" s="32" t="str">
        <f>IF($A1244="","",VLOOKUP($J1244,APOIO!$H:$J,3,FALSE))</f>
        <v/>
      </c>
      <c r="M1244" s="31"/>
      <c r="N1244" s="34"/>
      <c r="O1244" s="32"/>
      <c r="P1244" s="32"/>
      <c r="Q1244" s="32"/>
      <c r="R1244" s="32"/>
      <c r="S1244" s="35"/>
      <c r="T1244" s="91"/>
      <c r="U1244" s="60"/>
      <c r="V1244" s="36"/>
      <c r="W1244" s="31"/>
      <c r="X1244" s="59"/>
      <c r="Y1244" s="59" t="str">
        <f>IFERROR(VLOOKUP($A1244,APOIO!$A:$A,1,FALSE),"ERRO")</f>
        <v>ERRO</v>
      </c>
      <c r="Z1244"/>
    </row>
    <row r="1245" spans="1:26" ht="15" x14ac:dyDescent="0.25">
      <c r="A1245" s="94"/>
      <c r="B1245" s="32" t="str">
        <f>IF($A1245="","",VLOOKUP($A1245,APOIO!$A:$E,2,FALSE))</f>
        <v/>
      </c>
      <c r="C1245" s="94"/>
      <c r="D1245" s="32" t="str">
        <f>IF($A1245="","",INDEX(APOIO!$D:$D,MATCH(CONCATENATE($A1245,"_",$B1245,"_",$C1245),APOIO!$F:$F,0)))</f>
        <v/>
      </c>
      <c r="E1245" s="31"/>
      <c r="F1245" s="31"/>
      <c r="G1245" s="33"/>
      <c r="H1245" s="105"/>
      <c r="I1245" s="32" t="str">
        <f>IF($A1245="","",VLOOKUP($H1245,APOIO!$L:$M,2,FALSE))</f>
        <v/>
      </c>
      <c r="J1245" s="31"/>
      <c r="K1245" s="32" t="str">
        <f>IF($A1245="","",VLOOKUP($J1245,APOIO!$H:$J,2,FALSE))</f>
        <v/>
      </c>
      <c r="L1245" s="32" t="str">
        <f>IF($A1245="","",VLOOKUP($J1245,APOIO!$H:$J,3,FALSE))</f>
        <v/>
      </c>
      <c r="M1245" s="31"/>
      <c r="N1245" s="34"/>
      <c r="O1245" s="32"/>
      <c r="P1245" s="32"/>
      <c r="Q1245" s="32"/>
      <c r="R1245" s="32"/>
      <c r="S1245" s="35"/>
      <c r="T1245" s="91"/>
      <c r="U1245" s="60"/>
      <c r="V1245" s="36"/>
      <c r="W1245" s="31"/>
      <c r="X1245" s="59"/>
      <c r="Y1245" s="59" t="str">
        <f>IFERROR(VLOOKUP($A1245,APOIO!$A:$A,1,FALSE),"ERRO")</f>
        <v>ERRO</v>
      </c>
      <c r="Z1245"/>
    </row>
    <row r="1246" spans="1:26" ht="15" x14ac:dyDescent="0.25">
      <c r="A1246" s="94"/>
      <c r="B1246" s="32" t="str">
        <f>IF($A1246="","",VLOOKUP($A1246,APOIO!$A:$E,2,FALSE))</f>
        <v/>
      </c>
      <c r="C1246" s="94"/>
      <c r="D1246" s="32" t="str">
        <f>IF($A1246="","",INDEX(APOIO!$D:$D,MATCH(CONCATENATE($A1246,"_",$B1246,"_",$C1246),APOIO!$F:$F,0)))</f>
        <v/>
      </c>
      <c r="E1246" s="31"/>
      <c r="F1246" s="31"/>
      <c r="G1246" s="33"/>
      <c r="H1246" s="105"/>
      <c r="I1246" s="32" t="str">
        <f>IF($A1246="","",VLOOKUP($H1246,APOIO!$L:$M,2,FALSE))</f>
        <v/>
      </c>
      <c r="J1246" s="31"/>
      <c r="K1246" s="32" t="str">
        <f>IF($A1246="","",VLOOKUP($J1246,APOIO!$H:$J,2,FALSE))</f>
        <v/>
      </c>
      <c r="L1246" s="32" t="str">
        <f>IF($A1246="","",VLOOKUP($J1246,APOIO!$H:$J,3,FALSE))</f>
        <v/>
      </c>
      <c r="M1246" s="31"/>
      <c r="N1246" s="34"/>
      <c r="O1246" s="32"/>
      <c r="P1246" s="32"/>
      <c r="Q1246" s="32"/>
      <c r="R1246" s="32"/>
      <c r="S1246" s="35"/>
      <c r="T1246" s="91"/>
      <c r="U1246" s="60"/>
      <c r="V1246" s="36"/>
      <c r="W1246" s="31"/>
      <c r="X1246" s="59"/>
      <c r="Y1246" s="59" t="str">
        <f>IFERROR(VLOOKUP($A1246,APOIO!$A:$A,1,FALSE),"ERRO")</f>
        <v>ERRO</v>
      </c>
      <c r="Z1246"/>
    </row>
    <row r="1247" spans="1:26" ht="15" x14ac:dyDescent="0.25">
      <c r="A1247" s="94"/>
      <c r="B1247" s="32" t="str">
        <f>IF($A1247="","",VLOOKUP($A1247,APOIO!$A:$E,2,FALSE))</f>
        <v/>
      </c>
      <c r="C1247" s="94"/>
      <c r="D1247" s="32" t="str">
        <f>IF($A1247="","",INDEX(APOIO!$D:$D,MATCH(CONCATENATE($A1247,"_",$B1247,"_",$C1247),APOIO!$F:$F,0)))</f>
        <v/>
      </c>
      <c r="E1247" s="31"/>
      <c r="F1247" s="31"/>
      <c r="G1247" s="33"/>
      <c r="H1247" s="105"/>
      <c r="I1247" s="32" t="str">
        <f>IF($A1247="","",VLOOKUP($H1247,APOIO!$L:$M,2,FALSE))</f>
        <v/>
      </c>
      <c r="J1247" s="31"/>
      <c r="K1247" s="32" t="str">
        <f>IF($A1247="","",VLOOKUP($J1247,APOIO!$H:$J,2,FALSE))</f>
        <v/>
      </c>
      <c r="L1247" s="32" t="str">
        <f>IF($A1247="","",VLOOKUP($J1247,APOIO!$H:$J,3,FALSE))</f>
        <v/>
      </c>
      <c r="M1247" s="31"/>
      <c r="N1247" s="34"/>
      <c r="O1247" s="32"/>
      <c r="P1247" s="32"/>
      <c r="Q1247" s="32"/>
      <c r="R1247" s="32"/>
      <c r="S1247" s="35"/>
      <c r="T1247" s="91"/>
      <c r="U1247" s="60"/>
      <c r="V1247" s="36"/>
      <c r="W1247" s="31"/>
      <c r="X1247" s="59"/>
      <c r="Y1247" s="59" t="str">
        <f>IFERROR(VLOOKUP($A1247,APOIO!$A:$A,1,FALSE),"ERRO")</f>
        <v>ERRO</v>
      </c>
      <c r="Z1247"/>
    </row>
    <row r="1248" spans="1:26" ht="15" x14ac:dyDescent="0.25">
      <c r="A1248" s="94"/>
      <c r="B1248" s="32" t="str">
        <f>IF($A1248="","",VLOOKUP($A1248,APOIO!$A:$E,2,FALSE))</f>
        <v/>
      </c>
      <c r="C1248" s="94"/>
      <c r="D1248" s="32" t="str">
        <f>IF($A1248="","",INDEX(APOIO!$D:$D,MATCH(CONCATENATE($A1248,"_",$B1248,"_",$C1248),APOIO!$F:$F,0)))</f>
        <v/>
      </c>
      <c r="E1248" s="31"/>
      <c r="F1248" s="31"/>
      <c r="G1248" s="33"/>
      <c r="H1248" s="105"/>
      <c r="I1248" s="32" t="str">
        <f>IF($A1248="","",VLOOKUP($H1248,APOIO!$L:$M,2,FALSE))</f>
        <v/>
      </c>
      <c r="J1248" s="31"/>
      <c r="K1248" s="32" t="str">
        <f>IF($A1248="","",VLOOKUP($J1248,APOIO!$H:$J,2,FALSE))</f>
        <v/>
      </c>
      <c r="L1248" s="32" t="str">
        <f>IF($A1248="","",VLOOKUP($J1248,APOIO!$H:$J,3,FALSE))</f>
        <v/>
      </c>
      <c r="M1248" s="31"/>
      <c r="N1248" s="34"/>
      <c r="O1248" s="32"/>
      <c r="P1248" s="32"/>
      <c r="Q1248" s="32"/>
      <c r="R1248" s="32"/>
      <c r="S1248" s="35"/>
      <c r="T1248" s="91"/>
      <c r="U1248" s="60"/>
      <c r="V1248" s="36"/>
      <c r="W1248" s="31"/>
      <c r="X1248" s="59"/>
      <c r="Y1248" s="59" t="str">
        <f>IFERROR(VLOOKUP($A1248,APOIO!$A:$A,1,FALSE),"ERRO")</f>
        <v>ERRO</v>
      </c>
      <c r="Z1248"/>
    </row>
    <row r="1249" spans="1:26" ht="15" x14ac:dyDescent="0.25">
      <c r="A1249" s="94"/>
      <c r="B1249" s="32" t="str">
        <f>IF($A1249="","",VLOOKUP($A1249,APOIO!$A:$E,2,FALSE))</f>
        <v/>
      </c>
      <c r="C1249" s="94"/>
      <c r="D1249" s="32" t="str">
        <f>IF($A1249="","",INDEX(APOIO!$D:$D,MATCH(CONCATENATE($A1249,"_",$B1249,"_",$C1249),APOIO!$F:$F,0)))</f>
        <v/>
      </c>
      <c r="E1249" s="31"/>
      <c r="F1249" s="31"/>
      <c r="G1249" s="33"/>
      <c r="H1249" s="105"/>
      <c r="I1249" s="32" t="str">
        <f>IF($A1249="","",VLOOKUP($H1249,APOIO!$L:$M,2,FALSE))</f>
        <v/>
      </c>
      <c r="J1249" s="31"/>
      <c r="K1249" s="32" t="str">
        <f>IF($A1249="","",VLOOKUP($J1249,APOIO!$H:$J,2,FALSE))</f>
        <v/>
      </c>
      <c r="L1249" s="32" t="str">
        <f>IF($A1249="","",VLOOKUP($J1249,APOIO!$H:$J,3,FALSE))</f>
        <v/>
      </c>
      <c r="M1249" s="31"/>
      <c r="N1249" s="34"/>
      <c r="O1249" s="32"/>
      <c r="P1249" s="32"/>
      <c r="Q1249" s="32"/>
      <c r="R1249" s="32"/>
      <c r="S1249" s="35"/>
      <c r="T1249" s="91"/>
      <c r="U1249" s="60"/>
      <c r="V1249" s="36"/>
      <c r="W1249" s="31"/>
      <c r="X1249" s="59"/>
      <c r="Y1249" s="59" t="str">
        <f>IFERROR(VLOOKUP($A1249,APOIO!$A:$A,1,FALSE),"ERRO")</f>
        <v>ERRO</v>
      </c>
      <c r="Z1249"/>
    </row>
    <row r="1250" spans="1:26" ht="15" x14ac:dyDescent="0.25">
      <c r="A1250" s="94"/>
      <c r="B1250" s="32" t="str">
        <f>IF($A1250="","",VLOOKUP($A1250,APOIO!$A:$E,2,FALSE))</f>
        <v/>
      </c>
      <c r="C1250" s="94"/>
      <c r="D1250" s="32" t="str">
        <f>IF($A1250="","",INDEX(APOIO!$D:$D,MATCH(CONCATENATE($A1250,"_",$B1250,"_",$C1250),APOIO!$F:$F,0)))</f>
        <v/>
      </c>
      <c r="E1250" s="31"/>
      <c r="F1250" s="31"/>
      <c r="G1250" s="33"/>
      <c r="H1250" s="105"/>
      <c r="I1250" s="32" t="str">
        <f>IF($A1250="","",VLOOKUP($H1250,APOIO!$L:$M,2,FALSE))</f>
        <v/>
      </c>
      <c r="J1250" s="31"/>
      <c r="K1250" s="32" t="str">
        <f>IF($A1250="","",VLOOKUP($J1250,APOIO!$H:$J,2,FALSE))</f>
        <v/>
      </c>
      <c r="L1250" s="32" t="str">
        <f>IF($A1250="","",VLOOKUP($J1250,APOIO!$H:$J,3,FALSE))</f>
        <v/>
      </c>
      <c r="M1250" s="31"/>
      <c r="N1250" s="34"/>
      <c r="O1250" s="32"/>
      <c r="P1250" s="32"/>
      <c r="Q1250" s="32"/>
      <c r="R1250" s="32"/>
      <c r="S1250" s="35"/>
      <c r="T1250" s="91"/>
      <c r="U1250" s="60"/>
      <c r="V1250" s="36"/>
      <c r="W1250" s="31"/>
      <c r="X1250" s="59"/>
      <c r="Y1250" s="59" t="str">
        <f>IFERROR(VLOOKUP($A1250,APOIO!$A:$A,1,FALSE),"ERRO")</f>
        <v>ERRO</v>
      </c>
      <c r="Z1250"/>
    </row>
    <row r="1251" spans="1:26" ht="15" x14ac:dyDescent="0.25">
      <c r="A1251" s="94"/>
      <c r="B1251" s="32" t="str">
        <f>IF($A1251="","",VLOOKUP($A1251,APOIO!$A:$E,2,FALSE))</f>
        <v/>
      </c>
      <c r="C1251" s="94"/>
      <c r="D1251" s="32" t="str">
        <f>IF($A1251="","",INDEX(APOIO!$D:$D,MATCH(CONCATENATE($A1251,"_",$B1251,"_",$C1251),APOIO!$F:$F,0)))</f>
        <v/>
      </c>
      <c r="E1251" s="31"/>
      <c r="F1251" s="31"/>
      <c r="G1251" s="33"/>
      <c r="H1251" s="105"/>
      <c r="I1251" s="32" t="str">
        <f>IF($A1251="","",VLOOKUP($H1251,APOIO!$L:$M,2,FALSE))</f>
        <v/>
      </c>
      <c r="J1251" s="31"/>
      <c r="K1251" s="32" t="str">
        <f>IF($A1251="","",VLOOKUP($J1251,APOIO!$H:$J,2,FALSE))</f>
        <v/>
      </c>
      <c r="L1251" s="32" t="str">
        <f>IF($A1251="","",VLOOKUP($J1251,APOIO!$H:$J,3,FALSE))</f>
        <v/>
      </c>
      <c r="M1251" s="31"/>
      <c r="N1251" s="34"/>
      <c r="O1251" s="32"/>
      <c r="P1251" s="32"/>
      <c r="Q1251" s="32"/>
      <c r="R1251" s="32"/>
      <c r="S1251" s="35"/>
      <c r="T1251" s="91"/>
      <c r="U1251" s="60"/>
      <c r="V1251" s="36"/>
      <c r="W1251" s="31"/>
      <c r="X1251" s="59"/>
      <c r="Y1251" s="59" t="str">
        <f>IFERROR(VLOOKUP($A1251,APOIO!$A:$A,1,FALSE),"ERRO")</f>
        <v>ERRO</v>
      </c>
      <c r="Z1251"/>
    </row>
    <row r="1252" spans="1:26" ht="15" x14ac:dyDescent="0.25">
      <c r="A1252" s="94"/>
      <c r="B1252" s="32" t="str">
        <f>IF($A1252="","",VLOOKUP($A1252,APOIO!$A:$E,2,FALSE))</f>
        <v/>
      </c>
      <c r="C1252" s="94"/>
      <c r="D1252" s="32" t="str">
        <f>IF($A1252="","",INDEX(APOIO!$D:$D,MATCH(CONCATENATE($A1252,"_",$B1252,"_",$C1252),APOIO!$F:$F,0)))</f>
        <v/>
      </c>
      <c r="E1252" s="31"/>
      <c r="F1252" s="31"/>
      <c r="G1252" s="33"/>
      <c r="H1252" s="105"/>
      <c r="I1252" s="32" t="str">
        <f>IF($A1252="","",VLOOKUP($H1252,APOIO!$L:$M,2,FALSE))</f>
        <v/>
      </c>
      <c r="J1252" s="31"/>
      <c r="K1252" s="32" t="str">
        <f>IF($A1252="","",VLOOKUP($J1252,APOIO!$H:$J,2,FALSE))</f>
        <v/>
      </c>
      <c r="L1252" s="32" t="str">
        <f>IF($A1252="","",VLOOKUP($J1252,APOIO!$H:$J,3,FALSE))</f>
        <v/>
      </c>
      <c r="M1252" s="31"/>
      <c r="N1252" s="34"/>
      <c r="O1252" s="32"/>
      <c r="P1252" s="32"/>
      <c r="Q1252" s="32"/>
      <c r="R1252" s="32"/>
      <c r="S1252" s="35"/>
      <c r="T1252" s="91"/>
      <c r="U1252" s="60"/>
      <c r="V1252" s="36"/>
      <c r="W1252" s="31"/>
      <c r="X1252" s="59"/>
      <c r="Y1252" s="59" t="str">
        <f>IFERROR(VLOOKUP($A1252,APOIO!$A:$A,1,FALSE),"ERRO")</f>
        <v>ERRO</v>
      </c>
      <c r="Z1252"/>
    </row>
    <row r="1253" spans="1:26" ht="15" x14ac:dyDescent="0.25">
      <c r="A1253" s="94"/>
      <c r="B1253" s="32" t="str">
        <f>IF($A1253="","",VLOOKUP($A1253,APOIO!$A:$E,2,FALSE))</f>
        <v/>
      </c>
      <c r="C1253" s="94"/>
      <c r="D1253" s="32" t="str">
        <f>IF($A1253="","",INDEX(APOIO!$D:$D,MATCH(CONCATENATE($A1253,"_",$B1253,"_",$C1253),APOIO!$F:$F,0)))</f>
        <v/>
      </c>
      <c r="E1253" s="31"/>
      <c r="F1253" s="31"/>
      <c r="G1253" s="33"/>
      <c r="H1253" s="105"/>
      <c r="I1253" s="32" t="str">
        <f>IF($A1253="","",VLOOKUP($H1253,APOIO!$L:$M,2,FALSE))</f>
        <v/>
      </c>
      <c r="J1253" s="31"/>
      <c r="K1253" s="32" t="str">
        <f>IF($A1253="","",VLOOKUP($J1253,APOIO!$H:$J,2,FALSE))</f>
        <v/>
      </c>
      <c r="L1253" s="32" t="str">
        <f>IF($A1253="","",VLOOKUP($J1253,APOIO!$H:$J,3,FALSE))</f>
        <v/>
      </c>
      <c r="M1253" s="31"/>
      <c r="N1253" s="34"/>
      <c r="O1253" s="32"/>
      <c r="P1253" s="32"/>
      <c r="Q1253" s="32"/>
      <c r="R1253" s="32"/>
      <c r="S1253" s="35"/>
      <c r="T1253" s="91"/>
      <c r="U1253" s="60"/>
      <c r="V1253" s="36"/>
      <c r="W1253" s="31"/>
      <c r="X1253" s="59"/>
      <c r="Y1253" s="59" t="str">
        <f>IFERROR(VLOOKUP($A1253,APOIO!$A:$A,1,FALSE),"ERRO")</f>
        <v>ERRO</v>
      </c>
      <c r="Z1253"/>
    </row>
    <row r="1254" spans="1:26" ht="15" x14ac:dyDescent="0.25">
      <c r="A1254" s="94"/>
      <c r="B1254" s="32" t="str">
        <f>IF($A1254="","",VLOOKUP($A1254,APOIO!$A:$E,2,FALSE))</f>
        <v/>
      </c>
      <c r="C1254" s="94"/>
      <c r="D1254" s="32" t="str">
        <f>IF($A1254="","",INDEX(APOIO!$D:$D,MATCH(CONCATENATE($A1254,"_",$B1254,"_",$C1254),APOIO!$F:$F,0)))</f>
        <v/>
      </c>
      <c r="E1254" s="31"/>
      <c r="F1254" s="31"/>
      <c r="G1254" s="33"/>
      <c r="H1254" s="105"/>
      <c r="I1254" s="32" t="str">
        <f>IF($A1254="","",VLOOKUP($H1254,APOIO!$L:$M,2,FALSE))</f>
        <v/>
      </c>
      <c r="J1254" s="31"/>
      <c r="K1254" s="32" t="str">
        <f>IF($A1254="","",VLOOKUP($J1254,APOIO!$H:$J,2,FALSE))</f>
        <v/>
      </c>
      <c r="L1254" s="32" t="str">
        <f>IF($A1254="","",VLOOKUP($J1254,APOIO!$H:$J,3,FALSE))</f>
        <v/>
      </c>
      <c r="M1254" s="31"/>
      <c r="N1254" s="34"/>
      <c r="O1254" s="32"/>
      <c r="P1254" s="32"/>
      <c r="Q1254" s="32"/>
      <c r="R1254" s="32"/>
      <c r="S1254" s="35"/>
      <c r="T1254" s="91"/>
      <c r="U1254" s="60"/>
      <c r="V1254" s="36"/>
      <c r="W1254" s="31"/>
      <c r="X1254" s="59"/>
      <c r="Y1254" s="59" t="str">
        <f>IFERROR(VLOOKUP($A1254,APOIO!$A:$A,1,FALSE),"ERRO")</f>
        <v>ERRO</v>
      </c>
      <c r="Z1254"/>
    </row>
    <row r="1255" spans="1:26" ht="15" x14ac:dyDescent="0.25">
      <c r="A1255" s="94"/>
      <c r="B1255" s="32" t="str">
        <f>IF($A1255="","",VLOOKUP($A1255,APOIO!$A:$E,2,FALSE))</f>
        <v/>
      </c>
      <c r="C1255" s="94"/>
      <c r="D1255" s="32" t="str">
        <f>IF($A1255="","",INDEX(APOIO!$D:$D,MATCH(CONCATENATE($A1255,"_",$B1255,"_",$C1255),APOIO!$F:$F,0)))</f>
        <v/>
      </c>
      <c r="E1255" s="31"/>
      <c r="F1255" s="31"/>
      <c r="G1255" s="33"/>
      <c r="H1255" s="105"/>
      <c r="I1255" s="32" t="str">
        <f>IF($A1255="","",VLOOKUP($H1255,APOIO!$L:$M,2,FALSE))</f>
        <v/>
      </c>
      <c r="J1255" s="31"/>
      <c r="K1255" s="32" t="str">
        <f>IF($A1255="","",VLOOKUP($J1255,APOIO!$H:$J,2,FALSE))</f>
        <v/>
      </c>
      <c r="L1255" s="32" t="str">
        <f>IF($A1255="","",VLOOKUP($J1255,APOIO!$H:$J,3,FALSE))</f>
        <v/>
      </c>
      <c r="M1255" s="31"/>
      <c r="N1255" s="34"/>
      <c r="O1255" s="32"/>
      <c r="P1255" s="32"/>
      <c r="Q1255" s="32"/>
      <c r="R1255" s="32"/>
      <c r="S1255" s="35"/>
      <c r="T1255" s="91"/>
      <c r="U1255" s="60"/>
      <c r="V1255" s="36"/>
      <c r="W1255" s="31"/>
      <c r="X1255" s="59"/>
      <c r="Y1255" s="59" t="str">
        <f>IFERROR(VLOOKUP($A1255,APOIO!$A:$A,1,FALSE),"ERRO")</f>
        <v>ERRO</v>
      </c>
      <c r="Z1255"/>
    </row>
    <row r="1256" spans="1:26" ht="15" x14ac:dyDescent="0.25">
      <c r="A1256" s="94"/>
      <c r="B1256" s="32" t="str">
        <f>IF($A1256="","",VLOOKUP($A1256,APOIO!$A:$E,2,FALSE))</f>
        <v/>
      </c>
      <c r="C1256" s="94"/>
      <c r="D1256" s="32" t="str">
        <f>IF($A1256="","",INDEX(APOIO!$D:$D,MATCH(CONCATENATE($A1256,"_",$B1256,"_",$C1256),APOIO!$F:$F,0)))</f>
        <v/>
      </c>
      <c r="E1256" s="31"/>
      <c r="F1256" s="31"/>
      <c r="G1256" s="33"/>
      <c r="H1256" s="105"/>
      <c r="I1256" s="32" t="str">
        <f>IF($A1256="","",VLOOKUP($H1256,APOIO!$L:$M,2,FALSE))</f>
        <v/>
      </c>
      <c r="J1256" s="31"/>
      <c r="K1256" s="32" t="str">
        <f>IF($A1256="","",VLOOKUP($J1256,APOIO!$H:$J,2,FALSE))</f>
        <v/>
      </c>
      <c r="L1256" s="32" t="str">
        <f>IF($A1256="","",VLOOKUP($J1256,APOIO!$H:$J,3,FALSE))</f>
        <v/>
      </c>
      <c r="M1256" s="31"/>
      <c r="N1256" s="34"/>
      <c r="O1256" s="32"/>
      <c r="P1256" s="32"/>
      <c r="Q1256" s="32"/>
      <c r="R1256" s="32"/>
      <c r="S1256" s="35"/>
      <c r="T1256" s="91"/>
      <c r="U1256" s="60"/>
      <c r="V1256" s="36"/>
      <c r="W1256" s="31"/>
      <c r="X1256" s="59"/>
      <c r="Y1256" s="59" t="str">
        <f>IFERROR(VLOOKUP($A1256,APOIO!$A:$A,1,FALSE),"ERRO")</f>
        <v>ERRO</v>
      </c>
      <c r="Z1256"/>
    </row>
    <row r="1257" spans="1:26" ht="15" x14ac:dyDescent="0.25">
      <c r="A1257" s="94"/>
      <c r="B1257" s="32" t="str">
        <f>IF($A1257="","",VLOOKUP($A1257,APOIO!$A:$E,2,FALSE))</f>
        <v/>
      </c>
      <c r="C1257" s="94"/>
      <c r="D1257" s="32" t="str">
        <f>IF($A1257="","",INDEX(APOIO!$D:$D,MATCH(CONCATENATE($A1257,"_",$B1257,"_",$C1257),APOIO!$F:$F,0)))</f>
        <v/>
      </c>
      <c r="E1257" s="31"/>
      <c r="F1257" s="31"/>
      <c r="G1257" s="33"/>
      <c r="H1257" s="105"/>
      <c r="I1257" s="32" t="str">
        <f>IF($A1257="","",VLOOKUP($H1257,APOIO!$L:$M,2,FALSE))</f>
        <v/>
      </c>
      <c r="J1257" s="31"/>
      <c r="K1257" s="32" t="str">
        <f>IF($A1257="","",VLOOKUP($J1257,APOIO!$H:$J,2,FALSE))</f>
        <v/>
      </c>
      <c r="L1257" s="32" t="str">
        <f>IF($A1257="","",VLOOKUP($J1257,APOIO!$H:$J,3,FALSE))</f>
        <v/>
      </c>
      <c r="M1257" s="31"/>
      <c r="N1257" s="34"/>
      <c r="O1257" s="32"/>
      <c r="P1257" s="32"/>
      <c r="Q1257" s="32"/>
      <c r="R1257" s="32"/>
      <c r="S1257" s="35"/>
      <c r="T1257" s="91"/>
      <c r="U1257" s="60"/>
      <c r="V1257" s="36"/>
      <c r="W1257" s="31"/>
      <c r="X1257" s="59"/>
      <c r="Y1257" s="59" t="str">
        <f>IFERROR(VLOOKUP($A1257,APOIO!$A:$A,1,FALSE),"ERRO")</f>
        <v>ERRO</v>
      </c>
      <c r="Z1257"/>
    </row>
    <row r="1258" spans="1:26" ht="15" x14ac:dyDescent="0.25">
      <c r="A1258" s="94"/>
      <c r="B1258" s="32" t="str">
        <f>IF($A1258="","",VLOOKUP($A1258,APOIO!$A:$E,2,FALSE))</f>
        <v/>
      </c>
      <c r="C1258" s="94"/>
      <c r="D1258" s="32" t="str">
        <f>IF($A1258="","",INDEX(APOIO!$D:$D,MATCH(CONCATENATE($A1258,"_",$B1258,"_",$C1258),APOIO!$F:$F,0)))</f>
        <v/>
      </c>
      <c r="E1258" s="31"/>
      <c r="F1258" s="31"/>
      <c r="G1258" s="33"/>
      <c r="H1258" s="105"/>
      <c r="I1258" s="32" t="str">
        <f>IF($A1258="","",VLOOKUP($H1258,APOIO!$L:$M,2,FALSE))</f>
        <v/>
      </c>
      <c r="J1258" s="31"/>
      <c r="K1258" s="32" t="str">
        <f>IF($A1258="","",VLOOKUP($J1258,APOIO!$H:$J,2,FALSE))</f>
        <v/>
      </c>
      <c r="L1258" s="32" t="str">
        <f>IF($A1258="","",VLOOKUP($J1258,APOIO!$H:$J,3,FALSE))</f>
        <v/>
      </c>
      <c r="M1258" s="31"/>
      <c r="N1258" s="34"/>
      <c r="O1258" s="32"/>
      <c r="P1258" s="32"/>
      <c r="Q1258" s="32"/>
      <c r="R1258" s="32"/>
      <c r="S1258" s="35"/>
      <c r="T1258" s="91"/>
      <c r="U1258" s="60"/>
      <c r="V1258" s="36"/>
      <c r="W1258" s="31"/>
      <c r="X1258" s="59"/>
      <c r="Y1258" s="59" t="str">
        <f>IFERROR(VLOOKUP($A1258,APOIO!$A:$A,1,FALSE),"ERRO")</f>
        <v>ERRO</v>
      </c>
      <c r="Z1258"/>
    </row>
    <row r="1259" spans="1:26" ht="15" x14ac:dyDescent="0.25">
      <c r="A1259" s="94"/>
      <c r="B1259" s="32" t="str">
        <f>IF($A1259="","",VLOOKUP($A1259,APOIO!$A:$E,2,FALSE))</f>
        <v/>
      </c>
      <c r="C1259" s="94"/>
      <c r="D1259" s="32" t="str">
        <f>IF($A1259="","",INDEX(APOIO!$D:$D,MATCH(CONCATENATE($A1259,"_",$B1259,"_",$C1259),APOIO!$F:$F,0)))</f>
        <v/>
      </c>
      <c r="E1259" s="31"/>
      <c r="F1259" s="31"/>
      <c r="G1259" s="33"/>
      <c r="H1259" s="105"/>
      <c r="I1259" s="32" t="str">
        <f>IF($A1259="","",VLOOKUP($H1259,APOIO!$L:$M,2,FALSE))</f>
        <v/>
      </c>
      <c r="J1259" s="31"/>
      <c r="K1259" s="32" t="str">
        <f>IF($A1259="","",VLOOKUP($J1259,APOIO!$H:$J,2,FALSE))</f>
        <v/>
      </c>
      <c r="L1259" s="32" t="str">
        <f>IF($A1259="","",VLOOKUP($J1259,APOIO!$H:$J,3,FALSE))</f>
        <v/>
      </c>
      <c r="M1259" s="31"/>
      <c r="N1259" s="34"/>
      <c r="O1259" s="32"/>
      <c r="P1259" s="32"/>
      <c r="Q1259" s="32"/>
      <c r="R1259" s="32"/>
      <c r="S1259" s="35"/>
      <c r="T1259" s="91"/>
      <c r="U1259" s="60"/>
      <c r="V1259" s="36"/>
      <c r="W1259" s="31"/>
      <c r="X1259" s="59"/>
      <c r="Y1259" s="59" t="str">
        <f>IFERROR(VLOOKUP($A1259,APOIO!$A:$A,1,FALSE),"ERRO")</f>
        <v>ERRO</v>
      </c>
      <c r="Z1259"/>
    </row>
    <row r="1260" spans="1:26" ht="15" x14ac:dyDescent="0.25">
      <c r="A1260" s="94"/>
      <c r="B1260" s="32" t="str">
        <f>IF($A1260="","",VLOOKUP($A1260,APOIO!$A:$E,2,FALSE))</f>
        <v/>
      </c>
      <c r="C1260" s="94"/>
      <c r="D1260" s="32" t="str">
        <f>IF($A1260="","",INDEX(APOIO!$D:$D,MATCH(CONCATENATE($A1260,"_",$B1260,"_",$C1260),APOIO!$F:$F,0)))</f>
        <v/>
      </c>
      <c r="E1260" s="31"/>
      <c r="F1260" s="31"/>
      <c r="G1260" s="33"/>
      <c r="H1260" s="105"/>
      <c r="I1260" s="32" t="str">
        <f>IF($A1260="","",VLOOKUP($H1260,APOIO!$L:$M,2,FALSE))</f>
        <v/>
      </c>
      <c r="J1260" s="31"/>
      <c r="K1260" s="32" t="str">
        <f>IF($A1260="","",VLOOKUP($J1260,APOIO!$H:$J,2,FALSE))</f>
        <v/>
      </c>
      <c r="L1260" s="32" t="str">
        <f>IF($A1260="","",VLOOKUP($J1260,APOIO!$H:$J,3,FALSE))</f>
        <v/>
      </c>
      <c r="M1260" s="31"/>
      <c r="N1260" s="34"/>
      <c r="O1260" s="32"/>
      <c r="P1260" s="32"/>
      <c r="Q1260" s="32"/>
      <c r="R1260" s="32"/>
      <c r="S1260" s="35"/>
      <c r="T1260" s="91"/>
      <c r="U1260" s="60"/>
      <c r="V1260" s="36"/>
      <c r="W1260" s="31"/>
      <c r="X1260" s="59"/>
      <c r="Y1260" s="59" t="str">
        <f>IFERROR(VLOOKUP($A1260,APOIO!$A:$A,1,FALSE),"ERRO")</f>
        <v>ERRO</v>
      </c>
      <c r="Z1260"/>
    </row>
    <row r="1261" spans="1:26" ht="15" x14ac:dyDescent="0.25">
      <c r="A1261" s="94"/>
      <c r="B1261" s="32" t="str">
        <f>IF($A1261="","",VLOOKUP($A1261,APOIO!$A:$E,2,FALSE))</f>
        <v/>
      </c>
      <c r="C1261" s="94"/>
      <c r="D1261" s="32" t="str">
        <f>IF($A1261="","",INDEX(APOIO!$D:$D,MATCH(CONCATENATE($A1261,"_",$B1261,"_",$C1261),APOIO!$F:$F,0)))</f>
        <v/>
      </c>
      <c r="E1261" s="31"/>
      <c r="F1261" s="31"/>
      <c r="G1261" s="33"/>
      <c r="H1261" s="105"/>
      <c r="I1261" s="32" t="str">
        <f>IF($A1261="","",VLOOKUP($H1261,APOIO!$L:$M,2,FALSE))</f>
        <v/>
      </c>
      <c r="J1261" s="31"/>
      <c r="K1261" s="32" t="str">
        <f>IF($A1261="","",VLOOKUP($J1261,APOIO!$H:$J,2,FALSE))</f>
        <v/>
      </c>
      <c r="L1261" s="32" t="str">
        <f>IF($A1261="","",VLOOKUP($J1261,APOIO!$H:$J,3,FALSE))</f>
        <v/>
      </c>
      <c r="M1261" s="31"/>
      <c r="N1261" s="34"/>
      <c r="O1261" s="32"/>
      <c r="P1261" s="32"/>
      <c r="Q1261" s="32"/>
      <c r="R1261" s="32"/>
      <c r="S1261" s="35"/>
      <c r="T1261" s="91"/>
      <c r="U1261" s="60"/>
      <c r="V1261" s="36"/>
      <c r="W1261" s="31"/>
      <c r="X1261" s="59"/>
      <c r="Y1261" s="59" t="str">
        <f>IFERROR(VLOOKUP($A1261,APOIO!$A:$A,1,FALSE),"ERRO")</f>
        <v>ERRO</v>
      </c>
      <c r="Z1261"/>
    </row>
    <row r="1262" spans="1:26" ht="15" x14ac:dyDescent="0.25">
      <c r="A1262" s="94"/>
      <c r="B1262" s="32" t="str">
        <f>IF($A1262="","",VLOOKUP($A1262,APOIO!$A:$E,2,FALSE))</f>
        <v/>
      </c>
      <c r="C1262" s="94"/>
      <c r="D1262" s="32" t="str">
        <f>IF($A1262="","",INDEX(APOIO!$D:$D,MATCH(CONCATENATE($A1262,"_",$B1262,"_",$C1262),APOIO!$F:$F,0)))</f>
        <v/>
      </c>
      <c r="E1262" s="31"/>
      <c r="F1262" s="31"/>
      <c r="G1262" s="33"/>
      <c r="H1262" s="105"/>
      <c r="I1262" s="32" t="str">
        <f>IF($A1262="","",VLOOKUP($H1262,APOIO!$L:$M,2,FALSE))</f>
        <v/>
      </c>
      <c r="J1262" s="31"/>
      <c r="K1262" s="32" t="str">
        <f>IF($A1262="","",VLOOKUP($J1262,APOIO!$H:$J,2,FALSE))</f>
        <v/>
      </c>
      <c r="L1262" s="32" t="str">
        <f>IF($A1262="","",VLOOKUP($J1262,APOIO!$H:$J,3,FALSE))</f>
        <v/>
      </c>
      <c r="M1262" s="31"/>
      <c r="N1262" s="34"/>
      <c r="O1262" s="32"/>
      <c r="P1262" s="32"/>
      <c r="Q1262" s="32"/>
      <c r="R1262" s="32"/>
      <c r="S1262" s="35"/>
      <c r="T1262" s="91"/>
      <c r="U1262" s="60"/>
      <c r="V1262" s="36"/>
      <c r="W1262" s="31"/>
      <c r="X1262" s="59"/>
      <c r="Y1262" s="59" t="str">
        <f>IFERROR(VLOOKUP($A1262,APOIO!$A:$A,1,FALSE),"ERRO")</f>
        <v>ERRO</v>
      </c>
      <c r="Z1262"/>
    </row>
    <row r="1263" spans="1:26" ht="15" x14ac:dyDescent="0.25">
      <c r="A1263" s="94"/>
      <c r="B1263" s="32" t="str">
        <f>IF($A1263="","",VLOOKUP($A1263,APOIO!$A:$E,2,FALSE))</f>
        <v/>
      </c>
      <c r="C1263" s="94"/>
      <c r="D1263" s="32" t="str">
        <f>IF($A1263="","",INDEX(APOIO!$D:$D,MATCH(CONCATENATE($A1263,"_",$B1263,"_",$C1263),APOIO!$F:$F,0)))</f>
        <v/>
      </c>
      <c r="E1263" s="31"/>
      <c r="F1263" s="31"/>
      <c r="G1263" s="33"/>
      <c r="H1263" s="105"/>
      <c r="I1263" s="32" t="str">
        <f>IF($A1263="","",VLOOKUP($H1263,APOIO!$L:$M,2,FALSE))</f>
        <v/>
      </c>
      <c r="J1263" s="31"/>
      <c r="K1263" s="32" t="str">
        <f>IF($A1263="","",VLOOKUP($J1263,APOIO!$H:$J,2,FALSE))</f>
        <v/>
      </c>
      <c r="L1263" s="32" t="str">
        <f>IF($A1263="","",VLOOKUP($J1263,APOIO!$H:$J,3,FALSE))</f>
        <v/>
      </c>
      <c r="M1263" s="31"/>
      <c r="N1263" s="34"/>
      <c r="O1263" s="32"/>
      <c r="P1263" s="32"/>
      <c r="Q1263" s="32"/>
      <c r="R1263" s="32"/>
      <c r="S1263" s="35"/>
      <c r="T1263" s="91"/>
      <c r="U1263" s="60"/>
      <c r="V1263" s="36"/>
      <c r="W1263" s="31"/>
      <c r="X1263" s="59"/>
      <c r="Y1263" s="59" t="str">
        <f>IFERROR(VLOOKUP($A1263,APOIO!$A:$A,1,FALSE),"ERRO")</f>
        <v>ERRO</v>
      </c>
      <c r="Z1263"/>
    </row>
    <row r="1264" spans="1:26" ht="15" x14ac:dyDescent="0.25">
      <c r="A1264" s="94"/>
      <c r="B1264" s="32" t="str">
        <f>IF($A1264="","",VLOOKUP($A1264,APOIO!$A:$E,2,FALSE))</f>
        <v/>
      </c>
      <c r="C1264" s="94"/>
      <c r="D1264" s="32" t="str">
        <f>IF($A1264="","",INDEX(APOIO!$D:$D,MATCH(CONCATENATE($A1264,"_",$B1264,"_",$C1264),APOIO!$F:$F,0)))</f>
        <v/>
      </c>
      <c r="E1264" s="31"/>
      <c r="F1264" s="31"/>
      <c r="G1264" s="33"/>
      <c r="H1264" s="105"/>
      <c r="I1264" s="32" t="str">
        <f>IF($A1264="","",VLOOKUP($H1264,APOIO!$L:$M,2,FALSE))</f>
        <v/>
      </c>
      <c r="J1264" s="31"/>
      <c r="K1264" s="32" t="str">
        <f>IF($A1264="","",VLOOKUP($J1264,APOIO!$H:$J,2,FALSE))</f>
        <v/>
      </c>
      <c r="L1264" s="32" t="str">
        <f>IF($A1264="","",VLOOKUP($J1264,APOIO!$H:$J,3,FALSE))</f>
        <v/>
      </c>
      <c r="M1264" s="31"/>
      <c r="N1264" s="34"/>
      <c r="O1264" s="32"/>
      <c r="P1264" s="32"/>
      <c r="Q1264" s="32"/>
      <c r="R1264" s="32"/>
      <c r="S1264" s="35"/>
      <c r="T1264" s="91"/>
      <c r="U1264" s="60"/>
      <c r="V1264" s="36"/>
      <c r="W1264" s="31"/>
      <c r="X1264" s="59"/>
      <c r="Y1264" s="59" t="str">
        <f>IFERROR(VLOOKUP($A1264,APOIO!$A:$A,1,FALSE),"ERRO")</f>
        <v>ERRO</v>
      </c>
      <c r="Z1264"/>
    </row>
    <row r="1265" spans="1:26" ht="15" x14ac:dyDescent="0.25">
      <c r="A1265" s="94"/>
      <c r="B1265" s="32" t="str">
        <f>IF($A1265="","",VLOOKUP($A1265,APOIO!$A:$E,2,FALSE))</f>
        <v/>
      </c>
      <c r="C1265" s="94"/>
      <c r="D1265" s="32" t="str">
        <f>IF($A1265="","",INDEX(APOIO!$D:$D,MATCH(CONCATENATE($A1265,"_",$B1265,"_",$C1265),APOIO!$F:$F,0)))</f>
        <v/>
      </c>
      <c r="E1265" s="31"/>
      <c r="F1265" s="31"/>
      <c r="G1265" s="33"/>
      <c r="H1265" s="105"/>
      <c r="I1265" s="32" t="str">
        <f>IF($A1265="","",VLOOKUP($H1265,APOIO!$L:$M,2,FALSE))</f>
        <v/>
      </c>
      <c r="J1265" s="31"/>
      <c r="K1265" s="32" t="str">
        <f>IF($A1265="","",VLOOKUP($J1265,APOIO!$H:$J,2,FALSE))</f>
        <v/>
      </c>
      <c r="L1265" s="32" t="str">
        <f>IF($A1265="","",VLOOKUP($J1265,APOIO!$H:$J,3,FALSE))</f>
        <v/>
      </c>
      <c r="M1265" s="31"/>
      <c r="N1265" s="34"/>
      <c r="O1265" s="32"/>
      <c r="P1265" s="32"/>
      <c r="Q1265" s="32"/>
      <c r="R1265" s="32"/>
      <c r="S1265" s="35"/>
      <c r="T1265" s="91"/>
      <c r="U1265" s="60"/>
      <c r="V1265" s="36"/>
      <c r="W1265" s="31"/>
      <c r="X1265" s="59"/>
      <c r="Y1265" s="59" t="str">
        <f>IFERROR(VLOOKUP($A1265,APOIO!$A:$A,1,FALSE),"ERRO")</f>
        <v>ERRO</v>
      </c>
      <c r="Z1265"/>
    </row>
    <row r="1266" spans="1:26" ht="15" x14ac:dyDescent="0.25">
      <c r="A1266" s="94"/>
      <c r="B1266" s="32" t="str">
        <f>IF($A1266="","",VLOOKUP($A1266,APOIO!$A:$E,2,FALSE))</f>
        <v/>
      </c>
      <c r="C1266" s="94"/>
      <c r="D1266" s="32" t="str">
        <f>IF($A1266="","",INDEX(APOIO!$D:$D,MATCH(CONCATENATE($A1266,"_",$B1266,"_",$C1266),APOIO!$F:$F,0)))</f>
        <v/>
      </c>
      <c r="E1266" s="31"/>
      <c r="F1266" s="31"/>
      <c r="G1266" s="33"/>
      <c r="H1266" s="105"/>
      <c r="I1266" s="32" t="str">
        <f>IF($A1266="","",VLOOKUP($H1266,APOIO!$L:$M,2,FALSE))</f>
        <v/>
      </c>
      <c r="J1266" s="31"/>
      <c r="K1266" s="32" t="str">
        <f>IF($A1266="","",VLOOKUP($J1266,APOIO!$H:$J,2,FALSE))</f>
        <v/>
      </c>
      <c r="L1266" s="32" t="str">
        <f>IF($A1266="","",VLOOKUP($J1266,APOIO!$H:$J,3,FALSE))</f>
        <v/>
      </c>
      <c r="M1266" s="31"/>
      <c r="N1266" s="34"/>
      <c r="O1266" s="32"/>
      <c r="P1266" s="32"/>
      <c r="Q1266" s="32"/>
      <c r="R1266" s="32"/>
      <c r="S1266" s="35"/>
      <c r="T1266" s="91"/>
      <c r="U1266" s="60"/>
      <c r="V1266" s="36"/>
      <c r="W1266" s="31"/>
      <c r="X1266" s="59"/>
      <c r="Y1266" s="59" t="str">
        <f>IFERROR(VLOOKUP($A1266,APOIO!$A:$A,1,FALSE),"ERRO")</f>
        <v>ERRO</v>
      </c>
      <c r="Z1266"/>
    </row>
    <row r="1267" spans="1:26" ht="15" x14ac:dyDescent="0.25">
      <c r="A1267" s="94"/>
      <c r="B1267" s="32" t="str">
        <f>IF($A1267="","",VLOOKUP($A1267,APOIO!$A:$E,2,FALSE))</f>
        <v/>
      </c>
      <c r="C1267" s="94"/>
      <c r="D1267" s="32" t="str">
        <f>IF($A1267="","",INDEX(APOIO!$D:$D,MATCH(CONCATENATE($A1267,"_",$B1267,"_",$C1267),APOIO!$F:$F,0)))</f>
        <v/>
      </c>
      <c r="E1267" s="31"/>
      <c r="F1267" s="31"/>
      <c r="G1267" s="33"/>
      <c r="H1267" s="105"/>
      <c r="I1267" s="32" t="str">
        <f>IF($A1267="","",VLOOKUP($H1267,APOIO!$L:$M,2,FALSE))</f>
        <v/>
      </c>
      <c r="J1267" s="31"/>
      <c r="K1267" s="32" t="str">
        <f>IF($A1267="","",VLOOKUP($J1267,APOIO!$H:$J,2,FALSE))</f>
        <v/>
      </c>
      <c r="L1267" s="32" t="str">
        <f>IF($A1267="","",VLOOKUP($J1267,APOIO!$H:$J,3,FALSE))</f>
        <v/>
      </c>
      <c r="M1267" s="31"/>
      <c r="N1267" s="34"/>
      <c r="O1267" s="32"/>
      <c r="P1267" s="32"/>
      <c r="Q1267" s="32"/>
      <c r="R1267" s="32"/>
      <c r="S1267" s="35"/>
      <c r="T1267" s="91"/>
      <c r="U1267" s="60"/>
      <c r="V1267" s="36"/>
      <c r="W1267" s="31"/>
      <c r="X1267" s="59"/>
      <c r="Y1267" s="59" t="str">
        <f>IFERROR(VLOOKUP($A1267,APOIO!$A:$A,1,FALSE),"ERRO")</f>
        <v>ERRO</v>
      </c>
      <c r="Z1267"/>
    </row>
    <row r="1268" spans="1:26" ht="15" x14ac:dyDescent="0.25">
      <c r="A1268" s="94"/>
      <c r="B1268" s="32" t="str">
        <f>IF($A1268="","",VLOOKUP($A1268,APOIO!$A:$E,2,FALSE))</f>
        <v/>
      </c>
      <c r="C1268" s="94"/>
      <c r="D1268" s="32" t="str">
        <f>IF($A1268="","",INDEX(APOIO!$D:$D,MATCH(CONCATENATE($A1268,"_",$B1268,"_",$C1268),APOIO!$F:$F,0)))</f>
        <v/>
      </c>
      <c r="E1268" s="31"/>
      <c r="F1268" s="31"/>
      <c r="G1268" s="33"/>
      <c r="H1268" s="105"/>
      <c r="I1268" s="32" t="str">
        <f>IF($A1268="","",VLOOKUP($H1268,APOIO!$L:$M,2,FALSE))</f>
        <v/>
      </c>
      <c r="J1268" s="31"/>
      <c r="K1268" s="32" t="str">
        <f>IF($A1268="","",VLOOKUP($J1268,APOIO!$H:$J,2,FALSE))</f>
        <v/>
      </c>
      <c r="L1268" s="32" t="str">
        <f>IF($A1268="","",VLOOKUP($J1268,APOIO!$H:$J,3,FALSE))</f>
        <v/>
      </c>
      <c r="M1268" s="31"/>
      <c r="N1268" s="34"/>
      <c r="O1268" s="32"/>
      <c r="P1268" s="32"/>
      <c r="Q1268" s="32"/>
      <c r="R1268" s="32"/>
      <c r="S1268" s="35"/>
      <c r="T1268" s="91"/>
      <c r="U1268" s="60"/>
      <c r="V1268" s="36"/>
      <c r="W1268" s="31"/>
      <c r="X1268" s="59"/>
      <c r="Y1268" s="59" t="str">
        <f>IFERROR(VLOOKUP($A1268,APOIO!$A:$A,1,FALSE),"ERRO")</f>
        <v>ERRO</v>
      </c>
      <c r="Z1268"/>
    </row>
    <row r="1269" spans="1:26" ht="15" x14ac:dyDescent="0.25">
      <c r="A1269" s="94"/>
      <c r="B1269" s="32" t="str">
        <f>IF($A1269="","",VLOOKUP($A1269,APOIO!$A:$E,2,FALSE))</f>
        <v/>
      </c>
      <c r="C1269" s="94"/>
      <c r="D1269" s="32" t="str">
        <f>IF($A1269="","",INDEX(APOIO!$D:$D,MATCH(CONCATENATE($A1269,"_",$B1269,"_",$C1269),APOIO!$F:$F,0)))</f>
        <v/>
      </c>
      <c r="E1269" s="31"/>
      <c r="F1269" s="31"/>
      <c r="G1269" s="33"/>
      <c r="H1269" s="105"/>
      <c r="I1269" s="32" t="str">
        <f>IF($A1269="","",VLOOKUP($H1269,APOIO!$L:$M,2,FALSE))</f>
        <v/>
      </c>
      <c r="J1269" s="31"/>
      <c r="K1269" s="32" t="str">
        <f>IF($A1269="","",VLOOKUP($J1269,APOIO!$H:$J,2,FALSE))</f>
        <v/>
      </c>
      <c r="L1269" s="32" t="str">
        <f>IF($A1269="","",VLOOKUP($J1269,APOIO!$H:$J,3,FALSE))</f>
        <v/>
      </c>
      <c r="M1269" s="31"/>
      <c r="N1269" s="34"/>
      <c r="O1269" s="32"/>
      <c r="P1269" s="32"/>
      <c r="Q1269" s="32"/>
      <c r="R1269" s="32"/>
      <c r="S1269" s="35"/>
      <c r="T1269" s="91"/>
      <c r="U1269" s="60"/>
      <c r="V1269" s="36"/>
      <c r="W1269" s="31"/>
      <c r="X1269" s="59"/>
      <c r="Y1269" s="59" t="str">
        <f>IFERROR(VLOOKUP($A1269,APOIO!$A:$A,1,FALSE),"ERRO")</f>
        <v>ERRO</v>
      </c>
      <c r="Z1269"/>
    </row>
    <row r="1270" spans="1:26" ht="15" x14ac:dyDescent="0.25">
      <c r="A1270" s="94"/>
      <c r="B1270" s="32" t="str">
        <f>IF($A1270="","",VLOOKUP($A1270,APOIO!$A:$E,2,FALSE))</f>
        <v/>
      </c>
      <c r="C1270" s="94"/>
      <c r="D1270" s="32" t="str">
        <f>IF($A1270="","",INDEX(APOIO!$D:$D,MATCH(CONCATENATE($A1270,"_",$B1270,"_",$C1270),APOIO!$F:$F,0)))</f>
        <v/>
      </c>
      <c r="E1270" s="31"/>
      <c r="F1270" s="31"/>
      <c r="G1270" s="33"/>
      <c r="H1270" s="105"/>
      <c r="I1270" s="32" t="str">
        <f>IF($A1270="","",VLOOKUP($H1270,APOIO!$L:$M,2,FALSE))</f>
        <v/>
      </c>
      <c r="J1270" s="31"/>
      <c r="K1270" s="32" t="str">
        <f>IF($A1270="","",VLOOKUP($J1270,APOIO!$H:$J,2,FALSE))</f>
        <v/>
      </c>
      <c r="L1270" s="32" t="str">
        <f>IF($A1270="","",VLOOKUP($J1270,APOIO!$H:$J,3,FALSE))</f>
        <v/>
      </c>
      <c r="M1270" s="31"/>
      <c r="N1270" s="34"/>
      <c r="O1270" s="32"/>
      <c r="P1270" s="32"/>
      <c r="Q1270" s="32"/>
      <c r="R1270" s="32"/>
      <c r="S1270" s="35"/>
      <c r="T1270" s="91"/>
      <c r="U1270" s="60"/>
      <c r="V1270" s="36"/>
      <c r="W1270" s="31"/>
      <c r="X1270" s="59"/>
      <c r="Y1270" s="59" t="str">
        <f>IFERROR(VLOOKUP($A1270,APOIO!$A:$A,1,FALSE),"ERRO")</f>
        <v>ERRO</v>
      </c>
      <c r="Z1270"/>
    </row>
    <row r="1271" spans="1:26" ht="15" x14ac:dyDescent="0.25">
      <c r="A1271" s="94"/>
      <c r="B1271" s="32" t="str">
        <f>IF($A1271="","",VLOOKUP($A1271,APOIO!$A:$E,2,FALSE))</f>
        <v/>
      </c>
      <c r="C1271" s="94"/>
      <c r="D1271" s="32" t="str">
        <f>IF($A1271="","",INDEX(APOIO!$D:$D,MATCH(CONCATENATE($A1271,"_",$B1271,"_",$C1271),APOIO!$F:$F,0)))</f>
        <v/>
      </c>
      <c r="E1271" s="31"/>
      <c r="F1271" s="31"/>
      <c r="G1271" s="33"/>
      <c r="H1271" s="105"/>
      <c r="I1271" s="32" t="str">
        <f>IF($A1271="","",VLOOKUP($H1271,APOIO!$L:$M,2,FALSE))</f>
        <v/>
      </c>
      <c r="J1271" s="31"/>
      <c r="K1271" s="32" t="str">
        <f>IF($A1271="","",VLOOKUP($J1271,APOIO!$H:$J,2,FALSE))</f>
        <v/>
      </c>
      <c r="L1271" s="32" t="str">
        <f>IF($A1271="","",VLOOKUP($J1271,APOIO!$H:$J,3,FALSE))</f>
        <v/>
      </c>
      <c r="M1271" s="31"/>
      <c r="N1271" s="34"/>
      <c r="O1271" s="32"/>
      <c r="P1271" s="32"/>
      <c r="Q1271" s="32"/>
      <c r="R1271" s="32"/>
      <c r="S1271" s="35"/>
      <c r="T1271" s="91"/>
      <c r="U1271" s="60"/>
      <c r="V1271" s="36"/>
      <c r="W1271" s="31"/>
      <c r="X1271" s="59"/>
      <c r="Y1271" s="59" t="str">
        <f>IFERROR(VLOOKUP($A1271,APOIO!$A:$A,1,FALSE),"ERRO")</f>
        <v>ERRO</v>
      </c>
      <c r="Z1271"/>
    </row>
    <row r="1272" spans="1:26" ht="15" x14ac:dyDescent="0.25">
      <c r="A1272" s="94"/>
      <c r="B1272" s="32" t="str">
        <f>IF($A1272="","",VLOOKUP($A1272,APOIO!$A:$E,2,FALSE))</f>
        <v/>
      </c>
      <c r="C1272" s="94"/>
      <c r="D1272" s="32" t="str">
        <f>IF($A1272="","",INDEX(APOIO!$D:$D,MATCH(CONCATENATE($A1272,"_",$B1272,"_",$C1272),APOIO!$F:$F,0)))</f>
        <v/>
      </c>
      <c r="E1272" s="31"/>
      <c r="F1272" s="31"/>
      <c r="G1272" s="33"/>
      <c r="H1272" s="105"/>
      <c r="I1272" s="32" t="str">
        <f>IF($A1272="","",VLOOKUP($H1272,APOIO!$L:$M,2,FALSE))</f>
        <v/>
      </c>
      <c r="J1272" s="31"/>
      <c r="K1272" s="32" t="str">
        <f>IF($A1272="","",VLOOKUP($J1272,APOIO!$H:$J,2,FALSE))</f>
        <v/>
      </c>
      <c r="L1272" s="32" t="str">
        <f>IF($A1272="","",VLOOKUP($J1272,APOIO!$H:$J,3,FALSE))</f>
        <v/>
      </c>
      <c r="M1272" s="31"/>
      <c r="N1272" s="34"/>
      <c r="O1272" s="32"/>
      <c r="P1272" s="32"/>
      <c r="Q1272" s="32"/>
      <c r="R1272" s="32"/>
      <c r="S1272" s="35"/>
      <c r="T1272" s="91"/>
      <c r="U1272" s="60"/>
      <c r="V1272" s="36"/>
      <c r="W1272" s="31"/>
      <c r="X1272" s="59"/>
      <c r="Y1272" s="59" t="str">
        <f>IFERROR(VLOOKUP($A1272,APOIO!$A:$A,1,FALSE),"ERRO")</f>
        <v>ERRO</v>
      </c>
      <c r="Z1272"/>
    </row>
    <row r="1273" spans="1:26" ht="15" x14ac:dyDescent="0.25">
      <c r="A1273" s="94"/>
      <c r="B1273" s="32" t="str">
        <f>IF($A1273="","",VLOOKUP($A1273,APOIO!$A:$E,2,FALSE))</f>
        <v/>
      </c>
      <c r="C1273" s="94"/>
      <c r="D1273" s="32" t="str">
        <f>IF($A1273="","",INDEX(APOIO!$D:$D,MATCH(CONCATENATE($A1273,"_",$B1273,"_",$C1273),APOIO!$F:$F,0)))</f>
        <v/>
      </c>
      <c r="E1273" s="31"/>
      <c r="F1273" s="31"/>
      <c r="G1273" s="33"/>
      <c r="H1273" s="105"/>
      <c r="I1273" s="32" t="str">
        <f>IF($A1273="","",VLOOKUP($H1273,APOIO!$L:$M,2,FALSE))</f>
        <v/>
      </c>
      <c r="J1273" s="31"/>
      <c r="K1273" s="32" t="str">
        <f>IF($A1273="","",VLOOKUP($J1273,APOIO!$H:$J,2,FALSE))</f>
        <v/>
      </c>
      <c r="L1273" s="32" t="str">
        <f>IF($A1273="","",VLOOKUP($J1273,APOIO!$H:$J,3,FALSE))</f>
        <v/>
      </c>
      <c r="M1273" s="31"/>
      <c r="N1273" s="34"/>
      <c r="O1273" s="32"/>
      <c r="P1273" s="32"/>
      <c r="Q1273" s="32"/>
      <c r="R1273" s="32"/>
      <c r="S1273" s="35"/>
      <c r="T1273" s="91"/>
      <c r="U1273" s="60"/>
      <c r="V1273" s="36"/>
      <c r="W1273" s="31"/>
      <c r="X1273" s="59"/>
      <c r="Y1273" s="59" t="str">
        <f>IFERROR(VLOOKUP($A1273,APOIO!$A:$A,1,FALSE),"ERRO")</f>
        <v>ERRO</v>
      </c>
      <c r="Z1273"/>
    </row>
    <row r="1274" spans="1:26" ht="15" x14ac:dyDescent="0.25">
      <c r="A1274" s="94"/>
      <c r="B1274" s="32" t="str">
        <f>IF($A1274="","",VLOOKUP($A1274,APOIO!$A:$E,2,FALSE))</f>
        <v/>
      </c>
      <c r="C1274" s="94"/>
      <c r="D1274" s="32" t="str">
        <f>IF($A1274="","",INDEX(APOIO!$D:$D,MATCH(CONCATENATE($A1274,"_",$B1274,"_",$C1274),APOIO!$F:$F,0)))</f>
        <v/>
      </c>
      <c r="E1274" s="31"/>
      <c r="F1274" s="31"/>
      <c r="G1274" s="33"/>
      <c r="H1274" s="105"/>
      <c r="I1274" s="32" t="str">
        <f>IF($A1274="","",VLOOKUP($H1274,APOIO!$L:$M,2,FALSE))</f>
        <v/>
      </c>
      <c r="J1274" s="31"/>
      <c r="K1274" s="32" t="str">
        <f>IF($A1274="","",VLOOKUP($J1274,APOIO!$H:$J,2,FALSE))</f>
        <v/>
      </c>
      <c r="L1274" s="32" t="str">
        <f>IF($A1274="","",VLOOKUP($J1274,APOIO!$H:$J,3,FALSE))</f>
        <v/>
      </c>
      <c r="M1274" s="31"/>
      <c r="N1274" s="34"/>
      <c r="O1274" s="32"/>
      <c r="P1274" s="32"/>
      <c r="Q1274" s="32"/>
      <c r="R1274" s="32"/>
      <c r="S1274" s="35"/>
      <c r="T1274" s="91"/>
      <c r="U1274" s="60"/>
      <c r="V1274" s="36"/>
      <c r="W1274" s="31"/>
      <c r="X1274" s="59"/>
      <c r="Y1274" s="59" t="str">
        <f>IFERROR(VLOOKUP($A1274,APOIO!$A:$A,1,FALSE),"ERRO")</f>
        <v>ERRO</v>
      </c>
      <c r="Z1274"/>
    </row>
    <row r="1275" spans="1:26" ht="15" x14ac:dyDescent="0.25">
      <c r="A1275" s="94"/>
      <c r="B1275" s="32" t="str">
        <f>IF($A1275="","",VLOOKUP($A1275,APOIO!$A:$E,2,FALSE))</f>
        <v/>
      </c>
      <c r="C1275" s="94"/>
      <c r="D1275" s="32" t="str">
        <f>IF($A1275="","",INDEX(APOIO!$D:$D,MATCH(CONCATENATE($A1275,"_",$B1275,"_",$C1275),APOIO!$F:$F,0)))</f>
        <v/>
      </c>
      <c r="E1275" s="31"/>
      <c r="F1275" s="31"/>
      <c r="G1275" s="33"/>
      <c r="H1275" s="105"/>
      <c r="I1275" s="32" t="str">
        <f>IF($A1275="","",VLOOKUP($H1275,APOIO!$L:$M,2,FALSE))</f>
        <v/>
      </c>
      <c r="J1275" s="31"/>
      <c r="K1275" s="32" t="str">
        <f>IF($A1275="","",VLOOKUP($J1275,APOIO!$H:$J,2,FALSE))</f>
        <v/>
      </c>
      <c r="L1275" s="32" t="str">
        <f>IF($A1275="","",VLOOKUP($J1275,APOIO!$H:$J,3,FALSE))</f>
        <v/>
      </c>
      <c r="M1275" s="31"/>
      <c r="N1275" s="34"/>
      <c r="O1275" s="32"/>
      <c r="P1275" s="32"/>
      <c r="Q1275" s="32"/>
      <c r="R1275" s="32"/>
      <c r="S1275" s="35"/>
      <c r="T1275" s="91"/>
      <c r="U1275" s="60"/>
      <c r="V1275" s="36"/>
      <c r="W1275" s="31"/>
      <c r="X1275" s="59"/>
      <c r="Y1275" s="59" t="str">
        <f>IFERROR(VLOOKUP($A1275,APOIO!$A:$A,1,FALSE),"ERRO")</f>
        <v>ERRO</v>
      </c>
      <c r="Z1275"/>
    </row>
    <row r="1276" spans="1:26" ht="15" x14ac:dyDescent="0.25">
      <c r="A1276" s="94"/>
      <c r="B1276" s="32" t="str">
        <f>IF($A1276="","",VLOOKUP($A1276,APOIO!$A:$E,2,FALSE))</f>
        <v/>
      </c>
      <c r="C1276" s="94"/>
      <c r="D1276" s="32" t="str">
        <f>IF($A1276="","",INDEX(APOIO!$D:$D,MATCH(CONCATENATE($A1276,"_",$B1276,"_",$C1276),APOIO!$F:$F,0)))</f>
        <v/>
      </c>
      <c r="E1276" s="31"/>
      <c r="F1276" s="31"/>
      <c r="G1276" s="33"/>
      <c r="H1276" s="105"/>
      <c r="I1276" s="32" t="str">
        <f>IF($A1276="","",VLOOKUP($H1276,APOIO!$L:$M,2,FALSE))</f>
        <v/>
      </c>
      <c r="J1276" s="31"/>
      <c r="K1276" s="32" t="str">
        <f>IF($A1276="","",VLOOKUP($J1276,APOIO!$H:$J,2,FALSE))</f>
        <v/>
      </c>
      <c r="L1276" s="32" t="str">
        <f>IF($A1276="","",VLOOKUP($J1276,APOIO!$H:$J,3,FALSE))</f>
        <v/>
      </c>
      <c r="M1276" s="31"/>
      <c r="N1276" s="34"/>
      <c r="O1276" s="32"/>
      <c r="P1276" s="32"/>
      <c r="Q1276" s="32"/>
      <c r="R1276" s="32"/>
      <c r="S1276" s="35"/>
      <c r="T1276" s="91"/>
      <c r="U1276" s="60"/>
      <c r="V1276" s="36"/>
      <c r="W1276" s="31"/>
      <c r="X1276" s="59"/>
      <c r="Y1276" s="59" t="str">
        <f>IFERROR(VLOOKUP($A1276,APOIO!$A:$A,1,FALSE),"ERRO")</f>
        <v>ERRO</v>
      </c>
      <c r="Z1276"/>
    </row>
    <row r="1277" spans="1:26" ht="15" x14ac:dyDescent="0.25">
      <c r="A1277" s="94"/>
      <c r="B1277" s="32" t="str">
        <f>IF($A1277="","",VLOOKUP($A1277,APOIO!$A:$E,2,FALSE))</f>
        <v/>
      </c>
      <c r="C1277" s="94"/>
      <c r="D1277" s="32" t="str">
        <f>IF($A1277="","",INDEX(APOIO!$D:$D,MATCH(CONCATENATE($A1277,"_",$B1277,"_",$C1277),APOIO!$F:$F,0)))</f>
        <v/>
      </c>
      <c r="E1277" s="31"/>
      <c r="F1277" s="31"/>
      <c r="G1277" s="33"/>
      <c r="H1277" s="105"/>
      <c r="I1277" s="32" t="str">
        <f>IF($A1277="","",VLOOKUP($H1277,APOIO!$L:$M,2,FALSE))</f>
        <v/>
      </c>
      <c r="J1277" s="31"/>
      <c r="K1277" s="32" t="str">
        <f>IF($A1277="","",VLOOKUP($J1277,APOIO!$H:$J,2,FALSE))</f>
        <v/>
      </c>
      <c r="L1277" s="32" t="str">
        <f>IF($A1277="","",VLOOKUP($J1277,APOIO!$H:$J,3,FALSE))</f>
        <v/>
      </c>
      <c r="M1277" s="31"/>
      <c r="N1277" s="34"/>
      <c r="O1277" s="32"/>
      <c r="P1277" s="32"/>
      <c r="Q1277" s="32"/>
      <c r="R1277" s="32"/>
      <c r="S1277" s="35"/>
      <c r="T1277" s="91"/>
      <c r="U1277" s="60"/>
      <c r="V1277" s="36"/>
      <c r="W1277" s="31"/>
      <c r="X1277" s="59"/>
      <c r="Y1277" s="59" t="str">
        <f>IFERROR(VLOOKUP($A1277,APOIO!$A:$A,1,FALSE),"ERRO")</f>
        <v>ERRO</v>
      </c>
      <c r="Z1277"/>
    </row>
    <row r="1278" spans="1:26" ht="15" x14ac:dyDescent="0.25">
      <c r="A1278" s="94"/>
      <c r="B1278" s="32" t="str">
        <f>IF($A1278="","",VLOOKUP($A1278,APOIO!$A:$E,2,FALSE))</f>
        <v/>
      </c>
      <c r="C1278" s="94"/>
      <c r="D1278" s="32" t="str">
        <f>IF($A1278="","",INDEX(APOIO!$D:$D,MATCH(CONCATENATE($A1278,"_",$B1278,"_",$C1278),APOIO!$F:$F,0)))</f>
        <v/>
      </c>
      <c r="E1278" s="31"/>
      <c r="F1278" s="31"/>
      <c r="G1278" s="33"/>
      <c r="H1278" s="105"/>
      <c r="I1278" s="32" t="str">
        <f>IF($A1278="","",VLOOKUP($H1278,APOIO!$L:$M,2,FALSE))</f>
        <v/>
      </c>
      <c r="J1278" s="31"/>
      <c r="K1278" s="32" t="str">
        <f>IF($A1278="","",VLOOKUP($J1278,APOIO!$H:$J,2,FALSE))</f>
        <v/>
      </c>
      <c r="L1278" s="32" t="str">
        <f>IF($A1278="","",VLOOKUP($J1278,APOIO!$H:$J,3,FALSE))</f>
        <v/>
      </c>
      <c r="M1278" s="31"/>
      <c r="N1278" s="34"/>
      <c r="O1278" s="32"/>
      <c r="P1278" s="32"/>
      <c r="Q1278" s="32"/>
      <c r="R1278" s="32"/>
      <c r="S1278" s="35"/>
      <c r="T1278" s="91"/>
      <c r="U1278" s="60"/>
      <c r="V1278" s="36"/>
      <c r="W1278" s="31"/>
      <c r="X1278" s="59"/>
      <c r="Y1278" s="59" t="str">
        <f>IFERROR(VLOOKUP($A1278,APOIO!$A:$A,1,FALSE),"ERRO")</f>
        <v>ERRO</v>
      </c>
      <c r="Z1278"/>
    </row>
    <row r="1279" spans="1:26" ht="15" x14ac:dyDescent="0.25">
      <c r="A1279" s="94"/>
      <c r="B1279" s="32" t="str">
        <f>IF($A1279="","",VLOOKUP($A1279,APOIO!$A:$E,2,FALSE))</f>
        <v/>
      </c>
      <c r="C1279" s="94"/>
      <c r="D1279" s="32" t="str">
        <f>IF($A1279="","",INDEX(APOIO!$D:$D,MATCH(CONCATENATE($A1279,"_",$B1279,"_",$C1279),APOIO!$F:$F,0)))</f>
        <v/>
      </c>
      <c r="E1279" s="31"/>
      <c r="F1279" s="31"/>
      <c r="G1279" s="33"/>
      <c r="H1279" s="105"/>
      <c r="I1279" s="32" t="str">
        <f>IF($A1279="","",VLOOKUP($H1279,APOIO!$L:$M,2,FALSE))</f>
        <v/>
      </c>
      <c r="J1279" s="31"/>
      <c r="K1279" s="32" t="str">
        <f>IF($A1279="","",VLOOKUP($J1279,APOIO!$H:$J,2,FALSE))</f>
        <v/>
      </c>
      <c r="L1279" s="32" t="str">
        <f>IF($A1279="","",VLOOKUP($J1279,APOIO!$H:$J,3,FALSE))</f>
        <v/>
      </c>
      <c r="M1279" s="31"/>
      <c r="N1279" s="34"/>
      <c r="O1279" s="32"/>
      <c r="P1279" s="32"/>
      <c r="Q1279" s="32"/>
      <c r="R1279" s="32"/>
      <c r="S1279" s="35"/>
      <c r="T1279" s="91"/>
      <c r="U1279" s="60"/>
      <c r="V1279" s="36"/>
      <c r="W1279" s="31"/>
      <c r="X1279" s="59"/>
      <c r="Y1279" s="59" t="str">
        <f>IFERROR(VLOOKUP($A1279,APOIO!$A:$A,1,FALSE),"ERRO")</f>
        <v>ERRO</v>
      </c>
      <c r="Z1279"/>
    </row>
    <row r="1280" spans="1:26" ht="15" x14ac:dyDescent="0.25">
      <c r="A1280" s="94"/>
      <c r="B1280" s="32" t="str">
        <f>IF($A1280="","",VLOOKUP($A1280,APOIO!$A:$E,2,FALSE))</f>
        <v/>
      </c>
      <c r="C1280" s="94"/>
      <c r="D1280" s="32" t="str">
        <f>IF($A1280="","",INDEX(APOIO!$D:$D,MATCH(CONCATENATE($A1280,"_",$B1280,"_",$C1280),APOIO!$F:$F,0)))</f>
        <v/>
      </c>
      <c r="E1280" s="31"/>
      <c r="F1280" s="31"/>
      <c r="G1280" s="33"/>
      <c r="H1280" s="105"/>
      <c r="I1280" s="32" t="str">
        <f>IF($A1280="","",VLOOKUP($H1280,APOIO!$L:$M,2,FALSE))</f>
        <v/>
      </c>
      <c r="J1280" s="31"/>
      <c r="K1280" s="32" t="str">
        <f>IF($A1280="","",VLOOKUP($J1280,APOIO!$H:$J,2,FALSE))</f>
        <v/>
      </c>
      <c r="L1280" s="32" t="str">
        <f>IF($A1280="","",VLOOKUP($J1280,APOIO!$H:$J,3,FALSE))</f>
        <v/>
      </c>
      <c r="M1280" s="31"/>
      <c r="N1280" s="34"/>
      <c r="O1280" s="32"/>
      <c r="P1280" s="32"/>
      <c r="Q1280" s="32"/>
      <c r="R1280" s="32"/>
      <c r="S1280" s="35"/>
      <c r="T1280" s="91"/>
      <c r="U1280" s="60"/>
      <c r="V1280" s="36"/>
      <c r="W1280" s="31"/>
      <c r="X1280" s="59"/>
      <c r="Y1280" s="59" t="str">
        <f>IFERROR(VLOOKUP($A1280,APOIO!$A:$A,1,FALSE),"ERRO")</f>
        <v>ERRO</v>
      </c>
      <c r="Z1280"/>
    </row>
    <row r="1281" spans="1:26" ht="15" x14ac:dyDescent="0.25">
      <c r="A1281" s="94"/>
      <c r="B1281" s="32" t="str">
        <f>IF($A1281="","",VLOOKUP($A1281,APOIO!$A:$E,2,FALSE))</f>
        <v/>
      </c>
      <c r="C1281" s="94"/>
      <c r="D1281" s="32" t="str">
        <f>IF($A1281="","",INDEX(APOIO!$D:$D,MATCH(CONCATENATE($A1281,"_",$B1281,"_",$C1281),APOIO!$F:$F,0)))</f>
        <v/>
      </c>
      <c r="E1281" s="31"/>
      <c r="F1281" s="31"/>
      <c r="G1281" s="33"/>
      <c r="H1281" s="105"/>
      <c r="I1281" s="32" t="str">
        <f>IF($A1281="","",VLOOKUP($H1281,APOIO!$L:$M,2,FALSE))</f>
        <v/>
      </c>
      <c r="J1281" s="31"/>
      <c r="K1281" s="32" t="str">
        <f>IF($A1281="","",VLOOKUP($J1281,APOIO!$H:$J,2,FALSE))</f>
        <v/>
      </c>
      <c r="L1281" s="32" t="str">
        <f>IF($A1281="","",VLOOKUP($J1281,APOIO!$H:$J,3,FALSE))</f>
        <v/>
      </c>
      <c r="M1281" s="31"/>
      <c r="N1281" s="34"/>
      <c r="O1281" s="32"/>
      <c r="P1281" s="32"/>
      <c r="Q1281" s="32"/>
      <c r="R1281" s="32"/>
      <c r="S1281" s="35"/>
      <c r="T1281" s="91"/>
      <c r="U1281" s="60"/>
      <c r="V1281" s="36"/>
      <c r="W1281" s="31"/>
      <c r="X1281" s="59"/>
      <c r="Y1281" s="59" t="str">
        <f>IFERROR(VLOOKUP($A1281,APOIO!$A:$A,1,FALSE),"ERRO")</f>
        <v>ERRO</v>
      </c>
      <c r="Z1281"/>
    </row>
    <row r="1282" spans="1:26" ht="15" x14ac:dyDescent="0.25">
      <c r="A1282" s="94"/>
      <c r="B1282" s="32" t="str">
        <f>IF($A1282="","",VLOOKUP($A1282,APOIO!$A:$E,2,FALSE))</f>
        <v/>
      </c>
      <c r="C1282" s="94"/>
      <c r="D1282" s="32" t="str">
        <f>IF($A1282="","",INDEX(APOIO!$D:$D,MATCH(CONCATENATE($A1282,"_",$B1282,"_",$C1282),APOIO!$F:$F,0)))</f>
        <v/>
      </c>
      <c r="E1282" s="31"/>
      <c r="F1282" s="31"/>
      <c r="G1282" s="33"/>
      <c r="H1282" s="105"/>
      <c r="I1282" s="32" t="str">
        <f>IF($A1282="","",VLOOKUP($H1282,APOIO!$L:$M,2,FALSE))</f>
        <v/>
      </c>
      <c r="J1282" s="31"/>
      <c r="K1282" s="32" t="str">
        <f>IF($A1282="","",VLOOKUP($J1282,APOIO!$H:$J,2,FALSE))</f>
        <v/>
      </c>
      <c r="L1282" s="32" t="str">
        <f>IF($A1282="","",VLOOKUP($J1282,APOIO!$H:$J,3,FALSE))</f>
        <v/>
      </c>
      <c r="M1282" s="31"/>
      <c r="N1282" s="34"/>
      <c r="O1282" s="32"/>
      <c r="P1282" s="32"/>
      <c r="Q1282" s="32"/>
      <c r="R1282" s="32"/>
      <c r="S1282" s="35"/>
      <c r="T1282" s="91"/>
      <c r="U1282" s="60"/>
      <c r="V1282" s="36"/>
      <c r="W1282" s="31"/>
      <c r="X1282" s="59"/>
      <c r="Y1282" s="59" t="str">
        <f>IFERROR(VLOOKUP($A1282,APOIO!$A:$A,1,FALSE),"ERRO")</f>
        <v>ERRO</v>
      </c>
      <c r="Z1282"/>
    </row>
    <row r="1283" spans="1:26" ht="15" x14ac:dyDescent="0.25">
      <c r="A1283" s="94"/>
      <c r="B1283" s="32" t="str">
        <f>IF($A1283="","",VLOOKUP($A1283,APOIO!$A:$E,2,FALSE))</f>
        <v/>
      </c>
      <c r="C1283" s="94"/>
      <c r="D1283" s="32" t="str">
        <f>IF($A1283="","",INDEX(APOIO!$D:$D,MATCH(CONCATENATE($A1283,"_",$B1283,"_",$C1283),APOIO!$F:$F,0)))</f>
        <v/>
      </c>
      <c r="E1283" s="31"/>
      <c r="F1283" s="31"/>
      <c r="G1283" s="33"/>
      <c r="H1283" s="105"/>
      <c r="I1283" s="32" t="str">
        <f>IF($A1283="","",VLOOKUP($H1283,APOIO!$L:$M,2,FALSE))</f>
        <v/>
      </c>
      <c r="J1283" s="31"/>
      <c r="K1283" s="32" t="str">
        <f>IF($A1283="","",VLOOKUP($J1283,APOIO!$H:$J,2,FALSE))</f>
        <v/>
      </c>
      <c r="L1283" s="32" t="str">
        <f>IF($A1283="","",VLOOKUP($J1283,APOIO!$H:$J,3,FALSE))</f>
        <v/>
      </c>
      <c r="M1283" s="31"/>
      <c r="N1283" s="34"/>
      <c r="O1283" s="32"/>
      <c r="P1283" s="32"/>
      <c r="Q1283" s="32"/>
      <c r="R1283" s="32"/>
      <c r="S1283" s="35"/>
      <c r="T1283" s="91"/>
      <c r="U1283" s="60"/>
      <c r="V1283" s="36"/>
      <c r="W1283" s="31"/>
      <c r="X1283" s="59"/>
      <c r="Y1283" s="59" t="str">
        <f>IFERROR(VLOOKUP($A1283,APOIO!$A:$A,1,FALSE),"ERRO")</f>
        <v>ERRO</v>
      </c>
      <c r="Z1283"/>
    </row>
    <row r="1284" spans="1:26" ht="15" x14ac:dyDescent="0.25">
      <c r="A1284" s="94"/>
      <c r="B1284" s="32" t="str">
        <f>IF($A1284="","",VLOOKUP($A1284,APOIO!$A:$E,2,FALSE))</f>
        <v/>
      </c>
      <c r="C1284" s="94"/>
      <c r="D1284" s="32" t="str">
        <f>IF($A1284="","",INDEX(APOIO!$D:$D,MATCH(CONCATENATE($A1284,"_",$B1284,"_",$C1284),APOIO!$F:$F,0)))</f>
        <v/>
      </c>
      <c r="E1284" s="31"/>
      <c r="F1284" s="31"/>
      <c r="G1284" s="33"/>
      <c r="H1284" s="105"/>
      <c r="I1284" s="32" t="str">
        <f>IF($A1284="","",VLOOKUP($H1284,APOIO!$L:$M,2,FALSE))</f>
        <v/>
      </c>
      <c r="J1284" s="31"/>
      <c r="K1284" s="32" t="str">
        <f>IF($A1284="","",VLOOKUP($J1284,APOIO!$H:$J,2,FALSE))</f>
        <v/>
      </c>
      <c r="L1284" s="32" t="str">
        <f>IF($A1284="","",VLOOKUP($J1284,APOIO!$H:$J,3,FALSE))</f>
        <v/>
      </c>
      <c r="M1284" s="31"/>
      <c r="N1284" s="34"/>
      <c r="O1284" s="32"/>
      <c r="P1284" s="32"/>
      <c r="Q1284" s="32"/>
      <c r="R1284" s="32"/>
      <c r="S1284" s="35"/>
      <c r="T1284" s="91"/>
      <c r="U1284" s="60"/>
      <c r="V1284" s="36"/>
      <c r="W1284" s="31"/>
      <c r="X1284" s="59"/>
      <c r="Y1284" s="59" t="str">
        <f>IFERROR(VLOOKUP($A1284,APOIO!$A:$A,1,FALSE),"ERRO")</f>
        <v>ERRO</v>
      </c>
      <c r="Z1284"/>
    </row>
    <row r="1285" spans="1:26" ht="15" x14ac:dyDescent="0.25">
      <c r="A1285" s="94"/>
      <c r="B1285" s="32" t="str">
        <f>IF($A1285="","",VLOOKUP($A1285,APOIO!$A:$E,2,FALSE))</f>
        <v/>
      </c>
      <c r="C1285" s="94"/>
      <c r="D1285" s="32" t="str">
        <f>IF($A1285="","",INDEX(APOIO!$D:$D,MATCH(CONCATENATE($A1285,"_",$B1285,"_",$C1285),APOIO!$F:$F,0)))</f>
        <v/>
      </c>
      <c r="E1285" s="31"/>
      <c r="F1285" s="31"/>
      <c r="G1285" s="33"/>
      <c r="H1285" s="105"/>
      <c r="I1285" s="32" t="str">
        <f>IF($A1285="","",VLOOKUP($H1285,APOIO!$L:$M,2,FALSE))</f>
        <v/>
      </c>
      <c r="J1285" s="31"/>
      <c r="K1285" s="32" t="str">
        <f>IF($A1285="","",VLOOKUP($J1285,APOIO!$H:$J,2,FALSE))</f>
        <v/>
      </c>
      <c r="L1285" s="32" t="str">
        <f>IF($A1285="","",VLOOKUP($J1285,APOIO!$H:$J,3,FALSE))</f>
        <v/>
      </c>
      <c r="M1285" s="31"/>
      <c r="N1285" s="34"/>
      <c r="O1285" s="32"/>
      <c r="P1285" s="32"/>
      <c r="Q1285" s="32"/>
      <c r="R1285" s="32"/>
      <c r="S1285" s="35"/>
      <c r="T1285" s="91"/>
      <c r="U1285" s="60"/>
      <c r="V1285" s="36"/>
      <c r="W1285" s="31"/>
      <c r="X1285" s="59"/>
      <c r="Y1285" s="59" t="str">
        <f>IFERROR(VLOOKUP($A1285,APOIO!$A:$A,1,FALSE),"ERRO")</f>
        <v>ERRO</v>
      </c>
      <c r="Z1285"/>
    </row>
    <row r="1286" spans="1:26" ht="15" x14ac:dyDescent="0.25">
      <c r="A1286" s="94"/>
      <c r="B1286" s="32" t="str">
        <f>IF($A1286="","",VLOOKUP($A1286,APOIO!$A:$E,2,FALSE))</f>
        <v/>
      </c>
      <c r="C1286" s="94"/>
      <c r="D1286" s="32" t="str">
        <f>IF($A1286="","",INDEX(APOIO!$D:$D,MATCH(CONCATENATE($A1286,"_",$B1286,"_",$C1286),APOIO!$F:$F,0)))</f>
        <v/>
      </c>
      <c r="E1286" s="31"/>
      <c r="F1286" s="31"/>
      <c r="G1286" s="33"/>
      <c r="H1286" s="105"/>
      <c r="I1286" s="32" t="str">
        <f>IF($A1286="","",VLOOKUP($H1286,APOIO!$L:$M,2,FALSE))</f>
        <v/>
      </c>
      <c r="J1286" s="31"/>
      <c r="K1286" s="32" t="str">
        <f>IF($A1286="","",VLOOKUP($J1286,APOIO!$H:$J,2,FALSE))</f>
        <v/>
      </c>
      <c r="L1286" s="32" t="str">
        <f>IF($A1286="","",VLOOKUP($J1286,APOIO!$H:$J,3,FALSE))</f>
        <v/>
      </c>
      <c r="M1286" s="31"/>
      <c r="N1286" s="34"/>
      <c r="O1286" s="32"/>
      <c r="P1286" s="32"/>
      <c r="Q1286" s="32"/>
      <c r="R1286" s="32"/>
      <c r="S1286" s="35"/>
      <c r="T1286" s="91"/>
      <c r="U1286" s="60"/>
      <c r="V1286" s="36"/>
      <c r="W1286" s="31"/>
      <c r="X1286" s="59"/>
      <c r="Y1286" s="59" t="str">
        <f>IFERROR(VLOOKUP($A1286,APOIO!$A:$A,1,FALSE),"ERRO")</f>
        <v>ERRO</v>
      </c>
      <c r="Z1286"/>
    </row>
    <row r="1287" spans="1:26" ht="15" x14ac:dyDescent="0.25">
      <c r="A1287" s="94"/>
      <c r="B1287" s="32" t="str">
        <f>IF($A1287="","",VLOOKUP($A1287,APOIO!$A:$E,2,FALSE))</f>
        <v/>
      </c>
      <c r="C1287" s="94"/>
      <c r="D1287" s="32" t="str">
        <f>IF($A1287="","",INDEX(APOIO!$D:$D,MATCH(CONCATENATE($A1287,"_",$B1287,"_",$C1287),APOIO!$F:$F,0)))</f>
        <v/>
      </c>
      <c r="E1287" s="31"/>
      <c r="F1287" s="31"/>
      <c r="G1287" s="33"/>
      <c r="H1287" s="105"/>
      <c r="I1287" s="32" t="str">
        <f>IF($A1287="","",VLOOKUP($H1287,APOIO!$L:$M,2,FALSE))</f>
        <v/>
      </c>
      <c r="J1287" s="31"/>
      <c r="K1287" s="32" t="str">
        <f>IF($A1287="","",VLOOKUP($J1287,APOIO!$H:$J,2,FALSE))</f>
        <v/>
      </c>
      <c r="L1287" s="32" t="str">
        <f>IF($A1287="","",VLOOKUP($J1287,APOIO!$H:$J,3,FALSE))</f>
        <v/>
      </c>
      <c r="M1287" s="31"/>
      <c r="N1287" s="34"/>
      <c r="O1287" s="32"/>
      <c r="P1287" s="32"/>
      <c r="Q1287" s="32"/>
      <c r="R1287" s="32"/>
      <c r="S1287" s="35"/>
      <c r="T1287" s="91"/>
      <c r="U1287" s="60"/>
      <c r="V1287" s="36"/>
      <c r="W1287" s="31"/>
      <c r="X1287" s="59"/>
      <c r="Y1287" s="59" t="str">
        <f>IFERROR(VLOOKUP($A1287,APOIO!$A:$A,1,FALSE),"ERRO")</f>
        <v>ERRO</v>
      </c>
      <c r="Z1287"/>
    </row>
    <row r="1288" spans="1:26" ht="15" x14ac:dyDescent="0.25">
      <c r="A1288" s="94"/>
      <c r="B1288" s="32" t="str">
        <f>IF($A1288="","",VLOOKUP($A1288,APOIO!$A:$E,2,FALSE))</f>
        <v/>
      </c>
      <c r="C1288" s="94"/>
      <c r="D1288" s="32" t="str">
        <f>IF($A1288="","",INDEX(APOIO!$D:$D,MATCH(CONCATENATE($A1288,"_",$B1288,"_",$C1288),APOIO!$F:$F,0)))</f>
        <v/>
      </c>
      <c r="E1288" s="31"/>
      <c r="F1288" s="31"/>
      <c r="G1288" s="33"/>
      <c r="H1288" s="105"/>
      <c r="I1288" s="32" t="str">
        <f>IF($A1288="","",VLOOKUP($H1288,APOIO!$L:$M,2,FALSE))</f>
        <v/>
      </c>
      <c r="J1288" s="31"/>
      <c r="K1288" s="32" t="str">
        <f>IF($A1288="","",VLOOKUP($J1288,APOIO!$H:$J,2,FALSE))</f>
        <v/>
      </c>
      <c r="L1288" s="32" t="str">
        <f>IF($A1288="","",VLOOKUP($J1288,APOIO!$H:$J,3,FALSE))</f>
        <v/>
      </c>
      <c r="M1288" s="31"/>
      <c r="N1288" s="34"/>
      <c r="O1288" s="32"/>
      <c r="P1288" s="32"/>
      <c r="Q1288" s="32"/>
      <c r="R1288" s="32"/>
      <c r="S1288" s="35"/>
      <c r="T1288" s="91"/>
      <c r="U1288" s="60"/>
      <c r="V1288" s="36"/>
      <c r="W1288" s="31"/>
      <c r="X1288" s="59"/>
      <c r="Y1288" s="59" t="str">
        <f>IFERROR(VLOOKUP($A1288,APOIO!$A:$A,1,FALSE),"ERRO")</f>
        <v>ERRO</v>
      </c>
      <c r="Z1288"/>
    </row>
    <row r="1289" spans="1:26" ht="15" x14ac:dyDescent="0.25">
      <c r="A1289" s="94"/>
      <c r="B1289" s="32" t="str">
        <f>IF($A1289="","",VLOOKUP($A1289,APOIO!$A:$E,2,FALSE))</f>
        <v/>
      </c>
      <c r="C1289" s="94"/>
      <c r="D1289" s="32" t="str">
        <f>IF($A1289="","",INDEX(APOIO!$D:$D,MATCH(CONCATENATE($A1289,"_",$B1289,"_",$C1289),APOIO!$F:$F,0)))</f>
        <v/>
      </c>
      <c r="E1289" s="31"/>
      <c r="F1289" s="31"/>
      <c r="G1289" s="33"/>
      <c r="H1289" s="105"/>
      <c r="I1289" s="32" t="str">
        <f>IF($A1289="","",VLOOKUP($H1289,APOIO!$L:$M,2,FALSE))</f>
        <v/>
      </c>
      <c r="J1289" s="31"/>
      <c r="K1289" s="32" t="str">
        <f>IF($A1289="","",VLOOKUP($J1289,APOIO!$H:$J,2,FALSE))</f>
        <v/>
      </c>
      <c r="L1289" s="32" t="str">
        <f>IF($A1289="","",VLOOKUP($J1289,APOIO!$H:$J,3,FALSE))</f>
        <v/>
      </c>
      <c r="M1289" s="31"/>
      <c r="N1289" s="34"/>
      <c r="O1289" s="32"/>
      <c r="P1289" s="32"/>
      <c r="Q1289" s="32"/>
      <c r="R1289" s="32"/>
      <c r="S1289" s="35"/>
      <c r="T1289" s="91"/>
      <c r="U1289" s="60"/>
      <c r="V1289" s="36"/>
      <c r="W1289" s="31"/>
      <c r="X1289" s="59"/>
      <c r="Y1289" s="59" t="str">
        <f>IFERROR(VLOOKUP($A1289,APOIO!$A:$A,1,FALSE),"ERRO")</f>
        <v>ERRO</v>
      </c>
      <c r="Z1289"/>
    </row>
    <row r="1290" spans="1:26" ht="15" x14ac:dyDescent="0.25">
      <c r="A1290" s="94"/>
      <c r="B1290" s="32" t="str">
        <f>IF($A1290="","",VLOOKUP($A1290,APOIO!$A:$E,2,FALSE))</f>
        <v/>
      </c>
      <c r="C1290" s="94"/>
      <c r="D1290" s="32" t="str">
        <f>IF($A1290="","",INDEX(APOIO!$D:$D,MATCH(CONCATENATE($A1290,"_",$B1290,"_",$C1290),APOIO!$F:$F,0)))</f>
        <v/>
      </c>
      <c r="E1290" s="31"/>
      <c r="F1290" s="31"/>
      <c r="G1290" s="33"/>
      <c r="H1290" s="105"/>
      <c r="I1290" s="32" t="str">
        <f>IF($A1290="","",VLOOKUP($H1290,APOIO!$L:$M,2,FALSE))</f>
        <v/>
      </c>
      <c r="J1290" s="31"/>
      <c r="K1290" s="32" t="str">
        <f>IF($A1290="","",VLOOKUP($J1290,APOIO!$H:$J,2,FALSE))</f>
        <v/>
      </c>
      <c r="L1290" s="32" t="str">
        <f>IF($A1290="","",VLOOKUP($J1290,APOIO!$H:$J,3,FALSE))</f>
        <v/>
      </c>
      <c r="M1290" s="31"/>
      <c r="N1290" s="34"/>
      <c r="O1290" s="32"/>
      <c r="P1290" s="32"/>
      <c r="Q1290" s="32"/>
      <c r="R1290" s="32"/>
      <c r="S1290" s="35"/>
      <c r="T1290" s="91"/>
      <c r="U1290" s="60"/>
      <c r="V1290" s="36"/>
      <c r="W1290" s="31"/>
      <c r="X1290" s="59"/>
      <c r="Y1290" s="59" t="str">
        <f>IFERROR(VLOOKUP($A1290,APOIO!$A:$A,1,FALSE),"ERRO")</f>
        <v>ERRO</v>
      </c>
      <c r="Z1290"/>
    </row>
    <row r="1291" spans="1:26" ht="15" x14ac:dyDescent="0.25">
      <c r="A1291" s="94"/>
      <c r="B1291" s="32" t="str">
        <f>IF($A1291="","",VLOOKUP($A1291,APOIO!$A:$E,2,FALSE))</f>
        <v/>
      </c>
      <c r="C1291" s="94"/>
      <c r="D1291" s="32" t="str">
        <f>IF($A1291="","",INDEX(APOIO!$D:$D,MATCH(CONCATENATE($A1291,"_",$B1291,"_",$C1291),APOIO!$F:$F,0)))</f>
        <v/>
      </c>
      <c r="E1291" s="31"/>
      <c r="F1291" s="31"/>
      <c r="G1291" s="33"/>
      <c r="H1291" s="105"/>
      <c r="I1291" s="32" t="str">
        <f>IF($A1291="","",VLOOKUP($H1291,APOIO!$L:$M,2,FALSE))</f>
        <v/>
      </c>
      <c r="J1291" s="31"/>
      <c r="K1291" s="32" t="str">
        <f>IF($A1291="","",VLOOKUP($J1291,APOIO!$H:$J,2,FALSE))</f>
        <v/>
      </c>
      <c r="L1291" s="32" t="str">
        <f>IF($A1291="","",VLOOKUP($J1291,APOIO!$H:$J,3,FALSE))</f>
        <v/>
      </c>
      <c r="M1291" s="31"/>
      <c r="N1291" s="34"/>
      <c r="O1291" s="32"/>
      <c r="P1291" s="32"/>
      <c r="Q1291" s="32"/>
      <c r="R1291" s="32"/>
      <c r="S1291" s="35"/>
      <c r="T1291" s="91"/>
      <c r="U1291" s="60"/>
      <c r="V1291" s="36"/>
      <c r="W1291" s="31"/>
      <c r="X1291" s="59"/>
      <c r="Y1291" s="59" t="str">
        <f>IFERROR(VLOOKUP($A1291,APOIO!$A:$A,1,FALSE),"ERRO")</f>
        <v>ERRO</v>
      </c>
      <c r="Z1291"/>
    </row>
    <row r="1292" spans="1:26" ht="15" x14ac:dyDescent="0.25">
      <c r="A1292" s="94"/>
      <c r="B1292" s="32" t="str">
        <f>IF($A1292="","",VLOOKUP($A1292,APOIO!$A:$E,2,FALSE))</f>
        <v/>
      </c>
      <c r="C1292" s="94"/>
      <c r="D1292" s="32" t="str">
        <f>IF($A1292="","",INDEX(APOIO!$D:$D,MATCH(CONCATENATE($A1292,"_",$B1292,"_",$C1292),APOIO!$F:$F,0)))</f>
        <v/>
      </c>
      <c r="E1292" s="31"/>
      <c r="F1292" s="31"/>
      <c r="G1292" s="33"/>
      <c r="H1292" s="105"/>
      <c r="I1292" s="32" t="str">
        <f>IF($A1292="","",VLOOKUP($H1292,APOIO!$L:$M,2,FALSE))</f>
        <v/>
      </c>
      <c r="J1292" s="31"/>
      <c r="K1292" s="32" t="str">
        <f>IF($A1292="","",VLOOKUP($J1292,APOIO!$H:$J,2,FALSE))</f>
        <v/>
      </c>
      <c r="L1292" s="32" t="str">
        <f>IF($A1292="","",VLOOKUP($J1292,APOIO!$H:$J,3,FALSE))</f>
        <v/>
      </c>
      <c r="M1292" s="31"/>
      <c r="N1292" s="34"/>
      <c r="O1292" s="32"/>
      <c r="P1292" s="32"/>
      <c r="Q1292" s="32"/>
      <c r="R1292" s="32"/>
      <c r="S1292" s="35"/>
      <c r="T1292" s="91"/>
      <c r="U1292" s="60"/>
      <c r="V1292" s="36"/>
      <c r="W1292" s="31"/>
      <c r="X1292" s="59"/>
      <c r="Y1292" s="59" t="str">
        <f>IFERROR(VLOOKUP($A1292,APOIO!$A:$A,1,FALSE),"ERRO")</f>
        <v>ERRO</v>
      </c>
      <c r="Z1292"/>
    </row>
    <row r="1293" spans="1:26" ht="15" x14ac:dyDescent="0.25">
      <c r="A1293" s="94"/>
      <c r="B1293" s="32" t="str">
        <f>IF($A1293="","",VLOOKUP($A1293,APOIO!$A:$E,2,FALSE))</f>
        <v/>
      </c>
      <c r="C1293" s="94"/>
      <c r="D1293" s="32" t="str">
        <f>IF($A1293="","",INDEX(APOIO!$D:$D,MATCH(CONCATENATE($A1293,"_",$B1293,"_",$C1293),APOIO!$F:$F,0)))</f>
        <v/>
      </c>
      <c r="E1293" s="31"/>
      <c r="F1293" s="31"/>
      <c r="G1293" s="33"/>
      <c r="H1293" s="105"/>
      <c r="I1293" s="32" t="str">
        <f>IF($A1293="","",VLOOKUP($H1293,APOIO!$L:$M,2,FALSE))</f>
        <v/>
      </c>
      <c r="J1293" s="31"/>
      <c r="K1293" s="32" t="str">
        <f>IF($A1293="","",VLOOKUP($J1293,APOIO!$H:$J,2,FALSE))</f>
        <v/>
      </c>
      <c r="L1293" s="32" t="str">
        <f>IF($A1293="","",VLOOKUP($J1293,APOIO!$H:$J,3,FALSE))</f>
        <v/>
      </c>
      <c r="M1293" s="31"/>
      <c r="N1293" s="34"/>
      <c r="O1293" s="32"/>
      <c r="P1293" s="32"/>
      <c r="Q1293" s="32"/>
      <c r="R1293" s="32"/>
      <c r="S1293" s="35"/>
      <c r="T1293" s="91"/>
      <c r="U1293" s="60"/>
      <c r="V1293" s="36"/>
      <c r="W1293" s="31"/>
      <c r="X1293" s="59"/>
      <c r="Y1293" s="59" t="str">
        <f>IFERROR(VLOOKUP($A1293,APOIO!$A:$A,1,FALSE),"ERRO")</f>
        <v>ERRO</v>
      </c>
      <c r="Z1293"/>
    </row>
    <row r="1294" spans="1:26" ht="15" x14ac:dyDescent="0.25">
      <c r="A1294" s="94"/>
      <c r="B1294" s="32" t="str">
        <f>IF($A1294="","",VLOOKUP($A1294,APOIO!$A:$E,2,FALSE))</f>
        <v/>
      </c>
      <c r="C1294" s="94"/>
      <c r="D1294" s="32" t="str">
        <f>IF($A1294="","",INDEX(APOIO!$D:$D,MATCH(CONCATENATE($A1294,"_",$B1294,"_",$C1294),APOIO!$F:$F,0)))</f>
        <v/>
      </c>
      <c r="E1294" s="31"/>
      <c r="F1294" s="31"/>
      <c r="G1294" s="33"/>
      <c r="H1294" s="105"/>
      <c r="I1294" s="32" t="str">
        <f>IF($A1294="","",VLOOKUP($H1294,APOIO!$L:$M,2,FALSE))</f>
        <v/>
      </c>
      <c r="J1294" s="31"/>
      <c r="K1294" s="32" t="str">
        <f>IF($A1294="","",VLOOKUP($J1294,APOIO!$H:$J,2,FALSE))</f>
        <v/>
      </c>
      <c r="L1294" s="32" t="str">
        <f>IF($A1294="","",VLOOKUP($J1294,APOIO!$H:$J,3,FALSE))</f>
        <v/>
      </c>
      <c r="M1294" s="31"/>
      <c r="N1294" s="34"/>
      <c r="O1294" s="32"/>
      <c r="P1294" s="32"/>
      <c r="Q1294" s="32"/>
      <c r="R1294" s="32"/>
      <c r="S1294" s="35"/>
      <c r="T1294" s="91"/>
      <c r="U1294" s="60"/>
      <c r="V1294" s="36"/>
      <c r="W1294" s="31"/>
      <c r="X1294" s="59"/>
      <c r="Y1294" s="59" t="str">
        <f>IFERROR(VLOOKUP($A1294,APOIO!$A:$A,1,FALSE),"ERRO")</f>
        <v>ERRO</v>
      </c>
      <c r="Z1294"/>
    </row>
    <row r="1295" spans="1:26" ht="15" x14ac:dyDescent="0.25">
      <c r="A1295" s="94"/>
      <c r="B1295" s="32" t="str">
        <f>IF($A1295="","",VLOOKUP($A1295,APOIO!$A:$E,2,FALSE))</f>
        <v/>
      </c>
      <c r="C1295" s="94"/>
      <c r="D1295" s="32" t="str">
        <f>IF($A1295="","",INDEX(APOIO!$D:$D,MATCH(CONCATENATE($A1295,"_",$B1295,"_",$C1295),APOIO!$F:$F,0)))</f>
        <v/>
      </c>
      <c r="E1295" s="31"/>
      <c r="F1295" s="31"/>
      <c r="G1295" s="33"/>
      <c r="H1295" s="105"/>
      <c r="I1295" s="32" t="str">
        <f>IF($A1295="","",VLOOKUP($H1295,APOIO!$L:$M,2,FALSE))</f>
        <v/>
      </c>
      <c r="J1295" s="31"/>
      <c r="K1295" s="32" t="str">
        <f>IF($A1295="","",VLOOKUP($J1295,APOIO!$H:$J,2,FALSE))</f>
        <v/>
      </c>
      <c r="L1295" s="32" t="str">
        <f>IF($A1295="","",VLOOKUP($J1295,APOIO!$H:$J,3,FALSE))</f>
        <v/>
      </c>
      <c r="M1295" s="31"/>
      <c r="N1295" s="34"/>
      <c r="O1295" s="32"/>
      <c r="P1295" s="32"/>
      <c r="Q1295" s="32"/>
      <c r="R1295" s="32"/>
      <c r="S1295" s="35"/>
      <c r="T1295" s="91"/>
      <c r="U1295" s="60"/>
      <c r="V1295" s="36"/>
      <c r="W1295" s="31"/>
      <c r="X1295" s="59"/>
      <c r="Y1295" s="59" t="str">
        <f>IFERROR(VLOOKUP($A1295,APOIO!$A:$A,1,FALSE),"ERRO")</f>
        <v>ERRO</v>
      </c>
      <c r="Z1295"/>
    </row>
    <row r="1296" spans="1:26" ht="15" x14ac:dyDescent="0.25">
      <c r="A1296" s="94"/>
      <c r="B1296" s="32" t="str">
        <f>IF($A1296="","",VLOOKUP($A1296,APOIO!$A:$E,2,FALSE))</f>
        <v/>
      </c>
      <c r="C1296" s="94"/>
      <c r="D1296" s="32" t="str">
        <f>IF($A1296="","",INDEX(APOIO!$D:$D,MATCH(CONCATENATE($A1296,"_",$B1296,"_",$C1296),APOIO!$F:$F,0)))</f>
        <v/>
      </c>
      <c r="E1296" s="31"/>
      <c r="F1296" s="31"/>
      <c r="G1296" s="33"/>
      <c r="H1296" s="105"/>
      <c r="I1296" s="32" t="str">
        <f>IF($A1296="","",VLOOKUP($H1296,APOIO!$L:$M,2,FALSE))</f>
        <v/>
      </c>
      <c r="J1296" s="31"/>
      <c r="K1296" s="32" t="str">
        <f>IF($A1296="","",VLOOKUP($J1296,APOIO!$H:$J,2,FALSE))</f>
        <v/>
      </c>
      <c r="L1296" s="32" t="str">
        <f>IF($A1296="","",VLOOKUP($J1296,APOIO!$H:$J,3,FALSE))</f>
        <v/>
      </c>
      <c r="M1296" s="31"/>
      <c r="N1296" s="34"/>
      <c r="O1296" s="32"/>
      <c r="P1296" s="32"/>
      <c r="Q1296" s="32"/>
      <c r="R1296" s="32"/>
      <c r="S1296" s="35"/>
      <c r="T1296" s="91"/>
      <c r="U1296" s="60"/>
      <c r="V1296" s="36"/>
      <c r="W1296" s="31"/>
      <c r="X1296" s="59"/>
      <c r="Y1296" s="59" t="str">
        <f>IFERROR(VLOOKUP($A1296,APOIO!$A:$A,1,FALSE),"ERRO")</f>
        <v>ERRO</v>
      </c>
      <c r="Z1296"/>
    </row>
    <row r="1297" spans="1:26" ht="15" x14ac:dyDescent="0.25">
      <c r="A1297" s="94"/>
      <c r="B1297" s="32" t="str">
        <f>IF($A1297="","",VLOOKUP($A1297,APOIO!$A:$E,2,FALSE))</f>
        <v/>
      </c>
      <c r="C1297" s="94"/>
      <c r="D1297" s="32" t="str">
        <f>IF($A1297="","",INDEX(APOIO!$D:$D,MATCH(CONCATENATE($A1297,"_",$B1297,"_",$C1297),APOIO!$F:$F,0)))</f>
        <v/>
      </c>
      <c r="E1297" s="31"/>
      <c r="F1297" s="31"/>
      <c r="G1297" s="33"/>
      <c r="H1297" s="105"/>
      <c r="I1297" s="32" t="str">
        <f>IF($A1297="","",VLOOKUP($H1297,APOIO!$L:$M,2,FALSE))</f>
        <v/>
      </c>
      <c r="J1297" s="31"/>
      <c r="K1297" s="32" t="str">
        <f>IF($A1297="","",VLOOKUP($J1297,APOIO!$H:$J,2,FALSE))</f>
        <v/>
      </c>
      <c r="L1297" s="32" t="str">
        <f>IF($A1297="","",VLOOKUP($J1297,APOIO!$H:$J,3,FALSE))</f>
        <v/>
      </c>
      <c r="M1297" s="31"/>
      <c r="N1297" s="34"/>
      <c r="O1297" s="32"/>
      <c r="P1297" s="32"/>
      <c r="Q1297" s="32"/>
      <c r="R1297" s="32"/>
      <c r="S1297" s="35"/>
      <c r="T1297" s="91"/>
      <c r="U1297" s="60"/>
      <c r="V1297" s="36"/>
      <c r="W1297" s="31"/>
      <c r="X1297" s="59"/>
      <c r="Y1297" s="59" t="str">
        <f>IFERROR(VLOOKUP($A1297,APOIO!$A:$A,1,FALSE),"ERRO")</f>
        <v>ERRO</v>
      </c>
      <c r="Z1297"/>
    </row>
    <row r="1298" spans="1:26" ht="15" x14ac:dyDescent="0.25">
      <c r="A1298" s="94"/>
      <c r="B1298" s="32" t="str">
        <f>IF($A1298="","",VLOOKUP($A1298,APOIO!$A:$E,2,FALSE))</f>
        <v/>
      </c>
      <c r="C1298" s="94"/>
      <c r="D1298" s="32" t="str">
        <f>IF($A1298="","",INDEX(APOIO!$D:$D,MATCH(CONCATENATE($A1298,"_",$B1298,"_",$C1298),APOIO!$F:$F,0)))</f>
        <v/>
      </c>
      <c r="E1298" s="31"/>
      <c r="F1298" s="31"/>
      <c r="G1298" s="33"/>
      <c r="H1298" s="105"/>
      <c r="I1298" s="32" t="str">
        <f>IF($A1298="","",VLOOKUP($H1298,APOIO!$L:$M,2,FALSE))</f>
        <v/>
      </c>
      <c r="J1298" s="31"/>
      <c r="K1298" s="32" t="str">
        <f>IF($A1298="","",VLOOKUP($J1298,APOIO!$H:$J,2,FALSE))</f>
        <v/>
      </c>
      <c r="L1298" s="32" t="str">
        <f>IF($A1298="","",VLOOKUP($J1298,APOIO!$H:$J,3,FALSE))</f>
        <v/>
      </c>
      <c r="M1298" s="31"/>
      <c r="N1298" s="34"/>
      <c r="O1298" s="32"/>
      <c r="P1298" s="32"/>
      <c r="Q1298" s="32"/>
      <c r="R1298" s="32"/>
      <c r="S1298" s="35"/>
      <c r="T1298" s="91"/>
      <c r="U1298" s="60"/>
      <c r="V1298" s="36"/>
      <c r="W1298" s="31"/>
      <c r="X1298" s="59"/>
      <c r="Y1298" s="59" t="str">
        <f>IFERROR(VLOOKUP($A1298,APOIO!$A:$A,1,FALSE),"ERRO")</f>
        <v>ERRO</v>
      </c>
      <c r="Z1298"/>
    </row>
    <row r="1299" spans="1:26" ht="15" x14ac:dyDescent="0.25">
      <c r="A1299" s="94"/>
      <c r="B1299" s="32" t="str">
        <f>IF($A1299="","",VLOOKUP($A1299,APOIO!$A:$E,2,FALSE))</f>
        <v/>
      </c>
      <c r="C1299" s="94"/>
      <c r="D1299" s="32" t="str">
        <f>IF($A1299="","",INDEX(APOIO!$D:$D,MATCH(CONCATENATE($A1299,"_",$B1299,"_",$C1299),APOIO!$F:$F,0)))</f>
        <v/>
      </c>
      <c r="E1299" s="31"/>
      <c r="F1299" s="31"/>
      <c r="G1299" s="33"/>
      <c r="H1299" s="105"/>
      <c r="I1299" s="32" t="str">
        <f>IF($A1299="","",VLOOKUP($H1299,APOIO!$L:$M,2,FALSE))</f>
        <v/>
      </c>
      <c r="J1299" s="31"/>
      <c r="K1299" s="32" t="str">
        <f>IF($A1299="","",VLOOKUP($J1299,APOIO!$H:$J,2,FALSE))</f>
        <v/>
      </c>
      <c r="L1299" s="32" t="str">
        <f>IF($A1299="","",VLOOKUP($J1299,APOIO!$H:$J,3,FALSE))</f>
        <v/>
      </c>
      <c r="M1299" s="31"/>
      <c r="N1299" s="34"/>
      <c r="O1299" s="32"/>
      <c r="P1299" s="32"/>
      <c r="Q1299" s="32"/>
      <c r="R1299" s="32"/>
      <c r="S1299" s="35"/>
      <c r="T1299" s="91"/>
      <c r="U1299" s="60"/>
      <c r="V1299" s="36"/>
      <c r="W1299" s="31"/>
      <c r="X1299" s="59"/>
      <c r="Y1299" s="59" t="str">
        <f>IFERROR(VLOOKUP($A1299,APOIO!$A:$A,1,FALSE),"ERRO")</f>
        <v>ERRO</v>
      </c>
      <c r="Z1299"/>
    </row>
    <row r="1300" spans="1:26" ht="15" x14ac:dyDescent="0.25">
      <c r="A1300" s="94"/>
      <c r="B1300" s="32" t="str">
        <f>IF($A1300="","",VLOOKUP($A1300,APOIO!$A:$E,2,FALSE))</f>
        <v/>
      </c>
      <c r="C1300" s="94"/>
      <c r="D1300" s="32" t="str">
        <f>IF($A1300="","",INDEX(APOIO!$D:$D,MATCH(CONCATENATE($A1300,"_",$B1300,"_",$C1300),APOIO!$F:$F,0)))</f>
        <v/>
      </c>
      <c r="E1300" s="31"/>
      <c r="F1300" s="31"/>
      <c r="G1300" s="33"/>
      <c r="H1300" s="105"/>
      <c r="I1300" s="32" t="str">
        <f>IF($A1300="","",VLOOKUP($H1300,APOIO!$L:$M,2,FALSE))</f>
        <v/>
      </c>
      <c r="J1300" s="31"/>
      <c r="K1300" s="32" t="str">
        <f>IF($A1300="","",VLOOKUP($J1300,APOIO!$H:$J,2,FALSE))</f>
        <v/>
      </c>
      <c r="L1300" s="32" t="str">
        <f>IF($A1300="","",VLOOKUP($J1300,APOIO!$H:$J,3,FALSE))</f>
        <v/>
      </c>
      <c r="M1300" s="31"/>
      <c r="N1300" s="34"/>
      <c r="O1300" s="32"/>
      <c r="P1300" s="32"/>
      <c r="Q1300" s="32"/>
      <c r="R1300" s="32"/>
      <c r="S1300" s="35"/>
      <c r="T1300" s="91"/>
      <c r="U1300" s="60"/>
      <c r="V1300" s="36"/>
      <c r="W1300" s="31"/>
      <c r="X1300" s="59"/>
      <c r="Y1300" s="59" t="str">
        <f>IFERROR(VLOOKUP($A1300,APOIO!$A:$A,1,FALSE),"ERRO")</f>
        <v>ERRO</v>
      </c>
      <c r="Z1300"/>
    </row>
    <row r="1301" spans="1:26" ht="15" x14ac:dyDescent="0.25">
      <c r="A1301" s="94"/>
      <c r="B1301" s="32" t="str">
        <f>IF($A1301="","",VLOOKUP($A1301,APOIO!$A:$E,2,FALSE))</f>
        <v/>
      </c>
      <c r="C1301" s="94"/>
      <c r="D1301" s="32" t="str">
        <f>IF($A1301="","",INDEX(APOIO!$D:$D,MATCH(CONCATENATE($A1301,"_",$B1301,"_",$C1301),APOIO!$F:$F,0)))</f>
        <v/>
      </c>
      <c r="E1301" s="31"/>
      <c r="F1301" s="31"/>
      <c r="G1301" s="33"/>
      <c r="H1301" s="105"/>
      <c r="I1301" s="32" t="str">
        <f>IF($A1301="","",VLOOKUP($H1301,APOIO!$L:$M,2,FALSE))</f>
        <v/>
      </c>
      <c r="J1301" s="31"/>
      <c r="K1301" s="32" t="str">
        <f>IF($A1301="","",VLOOKUP($J1301,APOIO!$H:$J,2,FALSE))</f>
        <v/>
      </c>
      <c r="L1301" s="32" t="str">
        <f>IF($A1301="","",VLOOKUP($J1301,APOIO!$H:$J,3,FALSE))</f>
        <v/>
      </c>
      <c r="M1301" s="31"/>
      <c r="N1301" s="34"/>
      <c r="O1301" s="32"/>
      <c r="P1301" s="32"/>
      <c r="Q1301" s="32"/>
      <c r="R1301" s="32"/>
      <c r="S1301" s="35"/>
      <c r="T1301" s="91"/>
      <c r="U1301" s="60"/>
      <c r="V1301" s="36"/>
      <c r="W1301" s="31"/>
      <c r="X1301" s="59"/>
      <c r="Y1301" s="59" t="str">
        <f>IFERROR(VLOOKUP($A1301,APOIO!$A:$A,1,FALSE),"ERRO")</f>
        <v>ERRO</v>
      </c>
      <c r="Z1301"/>
    </row>
    <row r="1302" spans="1:26" ht="15" x14ac:dyDescent="0.25">
      <c r="A1302" s="94"/>
      <c r="B1302" s="32" t="str">
        <f>IF($A1302="","",VLOOKUP($A1302,APOIO!$A:$E,2,FALSE))</f>
        <v/>
      </c>
      <c r="C1302" s="94"/>
      <c r="D1302" s="32" t="str">
        <f>IF($A1302="","",INDEX(APOIO!$D:$D,MATCH(CONCATENATE($A1302,"_",$B1302,"_",$C1302),APOIO!$F:$F,0)))</f>
        <v/>
      </c>
      <c r="E1302" s="31"/>
      <c r="F1302" s="31"/>
      <c r="G1302" s="33"/>
      <c r="H1302" s="105"/>
      <c r="I1302" s="32" t="str">
        <f>IF($A1302="","",VLOOKUP($H1302,APOIO!$L:$M,2,FALSE))</f>
        <v/>
      </c>
      <c r="J1302" s="31"/>
      <c r="K1302" s="32" t="str">
        <f>IF($A1302="","",VLOOKUP($J1302,APOIO!$H:$J,2,FALSE))</f>
        <v/>
      </c>
      <c r="L1302" s="32" t="str">
        <f>IF($A1302="","",VLOOKUP($J1302,APOIO!$H:$J,3,FALSE))</f>
        <v/>
      </c>
      <c r="M1302" s="31"/>
      <c r="N1302" s="34"/>
      <c r="O1302" s="32"/>
      <c r="P1302" s="32"/>
      <c r="Q1302" s="32"/>
      <c r="R1302" s="32"/>
      <c r="S1302" s="35"/>
      <c r="T1302" s="91"/>
      <c r="U1302" s="60"/>
      <c r="V1302" s="36"/>
      <c r="W1302" s="31"/>
      <c r="X1302" s="59"/>
      <c r="Y1302" s="59" t="str">
        <f>IFERROR(VLOOKUP($A1302,APOIO!$A:$A,1,FALSE),"ERRO")</f>
        <v>ERRO</v>
      </c>
      <c r="Z1302"/>
    </row>
    <row r="1303" spans="1:26" ht="15" x14ac:dyDescent="0.25">
      <c r="A1303" s="94"/>
      <c r="B1303" s="32" t="str">
        <f>IF($A1303="","",VLOOKUP($A1303,APOIO!$A:$E,2,FALSE))</f>
        <v/>
      </c>
      <c r="C1303" s="94"/>
      <c r="D1303" s="32" t="str">
        <f>IF($A1303="","",INDEX(APOIO!$D:$D,MATCH(CONCATENATE($A1303,"_",$B1303,"_",$C1303),APOIO!$F:$F,0)))</f>
        <v/>
      </c>
      <c r="E1303" s="31"/>
      <c r="F1303" s="31"/>
      <c r="G1303" s="33"/>
      <c r="H1303" s="105"/>
      <c r="I1303" s="32" t="str">
        <f>IF($A1303="","",VLOOKUP($H1303,APOIO!$L:$M,2,FALSE))</f>
        <v/>
      </c>
      <c r="J1303" s="31"/>
      <c r="K1303" s="32" t="str">
        <f>IF($A1303="","",VLOOKUP($J1303,APOIO!$H:$J,2,FALSE))</f>
        <v/>
      </c>
      <c r="L1303" s="32" t="str">
        <f>IF($A1303="","",VLOOKUP($J1303,APOIO!$H:$J,3,FALSE))</f>
        <v/>
      </c>
      <c r="M1303" s="31"/>
      <c r="N1303" s="34"/>
      <c r="O1303" s="32"/>
      <c r="P1303" s="32"/>
      <c r="Q1303" s="32"/>
      <c r="R1303" s="32"/>
      <c r="S1303" s="35"/>
      <c r="T1303" s="91"/>
      <c r="U1303" s="60"/>
      <c r="V1303" s="36"/>
      <c r="W1303" s="31"/>
      <c r="X1303" s="59"/>
      <c r="Y1303" s="59" t="str">
        <f>IFERROR(VLOOKUP($A1303,APOIO!$A:$A,1,FALSE),"ERRO")</f>
        <v>ERRO</v>
      </c>
      <c r="Z1303"/>
    </row>
    <row r="1304" spans="1:26" ht="15" x14ac:dyDescent="0.25">
      <c r="A1304" s="94"/>
      <c r="B1304" s="32" t="str">
        <f>IF($A1304="","",VLOOKUP($A1304,APOIO!$A:$E,2,FALSE))</f>
        <v/>
      </c>
      <c r="C1304" s="94"/>
      <c r="D1304" s="32" t="str">
        <f>IF($A1304="","",INDEX(APOIO!$D:$D,MATCH(CONCATENATE($A1304,"_",$B1304,"_",$C1304),APOIO!$F:$F,0)))</f>
        <v/>
      </c>
      <c r="E1304" s="31"/>
      <c r="F1304" s="31"/>
      <c r="G1304" s="33"/>
      <c r="H1304" s="105"/>
      <c r="I1304" s="32" t="str">
        <f>IF($A1304="","",VLOOKUP($H1304,APOIO!$L:$M,2,FALSE))</f>
        <v/>
      </c>
      <c r="J1304" s="31"/>
      <c r="K1304" s="32" t="str">
        <f>IF($A1304="","",VLOOKUP($J1304,APOIO!$H:$J,2,FALSE))</f>
        <v/>
      </c>
      <c r="L1304" s="32" t="str">
        <f>IF($A1304="","",VLOOKUP($J1304,APOIO!$H:$J,3,FALSE))</f>
        <v/>
      </c>
      <c r="M1304" s="31"/>
      <c r="N1304" s="34"/>
      <c r="O1304" s="32"/>
      <c r="P1304" s="32"/>
      <c r="Q1304" s="32"/>
      <c r="R1304" s="32"/>
      <c r="S1304" s="35"/>
      <c r="T1304" s="91"/>
      <c r="U1304" s="60"/>
      <c r="V1304" s="36"/>
      <c r="W1304" s="31"/>
      <c r="X1304" s="59"/>
      <c r="Y1304" s="59" t="str">
        <f>IFERROR(VLOOKUP($A1304,APOIO!$A:$A,1,FALSE),"ERRO")</f>
        <v>ERRO</v>
      </c>
      <c r="Z1304"/>
    </row>
    <row r="1305" spans="1:26" ht="15" x14ac:dyDescent="0.25">
      <c r="A1305" s="94"/>
      <c r="B1305" s="32" t="str">
        <f>IF($A1305="","",VLOOKUP($A1305,APOIO!$A:$E,2,FALSE))</f>
        <v/>
      </c>
      <c r="C1305" s="94"/>
      <c r="D1305" s="32" t="str">
        <f>IF($A1305="","",INDEX(APOIO!$D:$D,MATCH(CONCATENATE($A1305,"_",$B1305,"_",$C1305),APOIO!$F:$F,0)))</f>
        <v/>
      </c>
      <c r="E1305" s="31"/>
      <c r="F1305" s="31"/>
      <c r="G1305" s="33"/>
      <c r="H1305" s="105"/>
      <c r="I1305" s="32" t="str">
        <f>IF($A1305="","",VLOOKUP($H1305,APOIO!$L:$M,2,FALSE))</f>
        <v/>
      </c>
      <c r="J1305" s="31"/>
      <c r="K1305" s="32" t="str">
        <f>IF($A1305="","",VLOOKUP($J1305,APOIO!$H:$J,2,FALSE))</f>
        <v/>
      </c>
      <c r="L1305" s="32" t="str">
        <f>IF($A1305="","",VLOOKUP($J1305,APOIO!$H:$J,3,FALSE))</f>
        <v/>
      </c>
      <c r="M1305" s="31"/>
      <c r="N1305" s="34"/>
      <c r="O1305" s="32"/>
      <c r="P1305" s="32"/>
      <c r="Q1305" s="32"/>
      <c r="R1305" s="32"/>
      <c r="S1305" s="35"/>
      <c r="T1305" s="91"/>
      <c r="U1305" s="60"/>
      <c r="V1305" s="36"/>
      <c r="W1305" s="31"/>
      <c r="X1305" s="59"/>
      <c r="Y1305" s="59" t="str">
        <f>IFERROR(VLOOKUP($A1305,APOIO!$A:$A,1,FALSE),"ERRO")</f>
        <v>ERRO</v>
      </c>
      <c r="Z1305"/>
    </row>
    <row r="1306" spans="1:26" ht="15" x14ac:dyDescent="0.25">
      <c r="A1306" s="94"/>
      <c r="B1306" s="32" t="str">
        <f>IF($A1306="","",VLOOKUP($A1306,APOIO!$A:$E,2,FALSE))</f>
        <v/>
      </c>
      <c r="C1306" s="94"/>
      <c r="D1306" s="32" t="str">
        <f>IF($A1306="","",INDEX(APOIO!$D:$D,MATCH(CONCATENATE($A1306,"_",$B1306,"_",$C1306),APOIO!$F:$F,0)))</f>
        <v/>
      </c>
      <c r="E1306" s="31"/>
      <c r="F1306" s="31"/>
      <c r="G1306" s="33"/>
      <c r="H1306" s="105"/>
      <c r="I1306" s="32" t="str">
        <f>IF($A1306="","",VLOOKUP($H1306,APOIO!$L:$M,2,FALSE))</f>
        <v/>
      </c>
      <c r="J1306" s="31"/>
      <c r="K1306" s="32" t="str">
        <f>IF($A1306="","",VLOOKUP($J1306,APOIO!$H:$J,2,FALSE))</f>
        <v/>
      </c>
      <c r="L1306" s="32" t="str">
        <f>IF($A1306="","",VLOOKUP($J1306,APOIO!$H:$J,3,FALSE))</f>
        <v/>
      </c>
      <c r="M1306" s="31"/>
      <c r="N1306" s="34"/>
      <c r="O1306" s="32"/>
      <c r="P1306" s="32"/>
      <c r="Q1306" s="32"/>
      <c r="R1306" s="32"/>
      <c r="S1306" s="35"/>
      <c r="T1306" s="91"/>
      <c r="U1306" s="60"/>
      <c r="V1306" s="36"/>
      <c r="W1306" s="31"/>
      <c r="X1306" s="59"/>
      <c r="Y1306" s="59" t="str">
        <f>IFERROR(VLOOKUP($A1306,APOIO!$A:$A,1,FALSE),"ERRO")</f>
        <v>ERRO</v>
      </c>
      <c r="Z1306"/>
    </row>
    <row r="1307" spans="1:26" ht="15" x14ac:dyDescent="0.25">
      <c r="A1307" s="94"/>
      <c r="B1307" s="32" t="str">
        <f>IF($A1307="","",VLOOKUP($A1307,APOIO!$A:$E,2,FALSE))</f>
        <v/>
      </c>
      <c r="C1307" s="94"/>
      <c r="D1307" s="32" t="str">
        <f>IF($A1307="","",INDEX(APOIO!$D:$D,MATCH(CONCATENATE($A1307,"_",$B1307,"_",$C1307),APOIO!$F:$F,0)))</f>
        <v/>
      </c>
      <c r="E1307" s="31"/>
      <c r="F1307" s="31"/>
      <c r="G1307" s="33"/>
      <c r="H1307" s="105"/>
      <c r="I1307" s="32" t="str">
        <f>IF($A1307="","",VLOOKUP($H1307,APOIO!$L:$M,2,FALSE))</f>
        <v/>
      </c>
      <c r="J1307" s="31"/>
      <c r="K1307" s="32" t="str">
        <f>IF($A1307="","",VLOOKUP($J1307,APOIO!$H:$J,2,FALSE))</f>
        <v/>
      </c>
      <c r="L1307" s="32" t="str">
        <f>IF($A1307="","",VLOOKUP($J1307,APOIO!$H:$J,3,FALSE))</f>
        <v/>
      </c>
      <c r="M1307" s="31"/>
      <c r="N1307" s="34"/>
      <c r="O1307" s="32"/>
      <c r="P1307" s="32"/>
      <c r="Q1307" s="32"/>
      <c r="R1307" s="32"/>
      <c r="S1307" s="35"/>
      <c r="T1307" s="91"/>
      <c r="U1307" s="60"/>
      <c r="V1307" s="36"/>
      <c r="W1307" s="31"/>
      <c r="X1307" s="59"/>
      <c r="Y1307" s="59" t="str">
        <f>IFERROR(VLOOKUP($A1307,APOIO!$A:$A,1,FALSE),"ERRO")</f>
        <v>ERRO</v>
      </c>
      <c r="Z1307"/>
    </row>
    <row r="1308" spans="1:26" ht="15" x14ac:dyDescent="0.25">
      <c r="A1308" s="94"/>
      <c r="B1308" s="32" t="str">
        <f>IF($A1308="","",VLOOKUP($A1308,APOIO!$A:$E,2,FALSE))</f>
        <v/>
      </c>
      <c r="C1308" s="94"/>
      <c r="D1308" s="32" t="str">
        <f>IF($A1308="","",INDEX(APOIO!$D:$D,MATCH(CONCATENATE($A1308,"_",$B1308,"_",$C1308),APOIO!$F:$F,0)))</f>
        <v/>
      </c>
      <c r="E1308" s="31"/>
      <c r="F1308" s="31"/>
      <c r="G1308" s="33"/>
      <c r="H1308" s="105"/>
      <c r="I1308" s="32" t="str">
        <f>IF($A1308="","",VLOOKUP($H1308,APOIO!$L:$M,2,FALSE))</f>
        <v/>
      </c>
      <c r="J1308" s="31"/>
      <c r="K1308" s="32" t="str">
        <f>IF($A1308="","",VLOOKUP($J1308,APOIO!$H:$J,2,FALSE))</f>
        <v/>
      </c>
      <c r="L1308" s="32" t="str">
        <f>IF($A1308="","",VLOOKUP($J1308,APOIO!$H:$J,3,FALSE))</f>
        <v/>
      </c>
      <c r="M1308" s="31"/>
      <c r="N1308" s="34"/>
      <c r="O1308" s="32"/>
      <c r="P1308" s="32"/>
      <c r="Q1308" s="32"/>
      <c r="R1308" s="32"/>
      <c r="S1308" s="35"/>
      <c r="T1308" s="91"/>
      <c r="U1308" s="60"/>
      <c r="V1308" s="36"/>
      <c r="W1308" s="31"/>
      <c r="X1308" s="59"/>
      <c r="Y1308" s="59" t="str">
        <f>IFERROR(VLOOKUP($A1308,APOIO!$A:$A,1,FALSE),"ERRO")</f>
        <v>ERRO</v>
      </c>
      <c r="Z1308"/>
    </row>
    <row r="1309" spans="1:26" ht="15" x14ac:dyDescent="0.25">
      <c r="A1309" s="94"/>
      <c r="B1309" s="32" t="str">
        <f>IF($A1309="","",VLOOKUP($A1309,APOIO!$A:$E,2,FALSE))</f>
        <v/>
      </c>
      <c r="C1309" s="94"/>
      <c r="D1309" s="32" t="str">
        <f>IF($A1309="","",INDEX(APOIO!$D:$D,MATCH(CONCATENATE($A1309,"_",$B1309,"_",$C1309),APOIO!$F:$F,0)))</f>
        <v/>
      </c>
      <c r="E1309" s="31"/>
      <c r="F1309" s="31"/>
      <c r="G1309" s="33"/>
      <c r="H1309" s="105"/>
      <c r="I1309" s="32" t="str">
        <f>IF($A1309="","",VLOOKUP($H1309,APOIO!$L:$M,2,FALSE))</f>
        <v/>
      </c>
      <c r="J1309" s="31"/>
      <c r="K1309" s="32" t="str">
        <f>IF($A1309="","",VLOOKUP($J1309,APOIO!$H:$J,2,FALSE))</f>
        <v/>
      </c>
      <c r="L1309" s="32" t="str">
        <f>IF($A1309="","",VLOOKUP($J1309,APOIO!$H:$J,3,FALSE))</f>
        <v/>
      </c>
      <c r="M1309" s="31"/>
      <c r="N1309" s="34"/>
      <c r="O1309" s="32"/>
      <c r="P1309" s="32"/>
      <c r="Q1309" s="32"/>
      <c r="R1309" s="32"/>
      <c r="S1309" s="35"/>
      <c r="T1309" s="91"/>
      <c r="U1309" s="60"/>
      <c r="V1309" s="36"/>
      <c r="W1309" s="31"/>
      <c r="X1309" s="59"/>
      <c r="Y1309" s="59" t="str">
        <f>IFERROR(VLOOKUP($A1309,APOIO!$A:$A,1,FALSE),"ERRO")</f>
        <v>ERRO</v>
      </c>
      <c r="Z1309"/>
    </row>
    <row r="1310" spans="1:26" ht="15" x14ac:dyDescent="0.25">
      <c r="A1310" s="94"/>
      <c r="B1310" s="32" t="str">
        <f>IF($A1310="","",VLOOKUP($A1310,APOIO!$A:$E,2,FALSE))</f>
        <v/>
      </c>
      <c r="C1310" s="94"/>
      <c r="D1310" s="32" t="str">
        <f>IF($A1310="","",INDEX(APOIO!$D:$D,MATCH(CONCATENATE($A1310,"_",$B1310,"_",$C1310),APOIO!$F:$F,0)))</f>
        <v/>
      </c>
      <c r="E1310" s="31"/>
      <c r="F1310" s="31"/>
      <c r="G1310" s="33"/>
      <c r="H1310" s="105"/>
      <c r="I1310" s="32" t="str">
        <f>IF($A1310="","",VLOOKUP($H1310,APOIO!$L:$M,2,FALSE))</f>
        <v/>
      </c>
      <c r="J1310" s="31"/>
      <c r="K1310" s="32" t="str">
        <f>IF($A1310="","",VLOOKUP($J1310,APOIO!$H:$J,2,FALSE))</f>
        <v/>
      </c>
      <c r="L1310" s="32" t="str">
        <f>IF($A1310="","",VLOOKUP($J1310,APOIO!$H:$J,3,FALSE))</f>
        <v/>
      </c>
      <c r="M1310" s="31"/>
      <c r="N1310" s="34"/>
      <c r="O1310" s="32"/>
      <c r="P1310" s="32"/>
      <c r="Q1310" s="32"/>
      <c r="R1310" s="32"/>
      <c r="S1310" s="35"/>
      <c r="T1310" s="91"/>
      <c r="U1310" s="60"/>
      <c r="V1310" s="36"/>
      <c r="W1310" s="31"/>
      <c r="X1310" s="59"/>
      <c r="Y1310" s="59" t="str">
        <f>IFERROR(VLOOKUP($A1310,APOIO!$A:$A,1,FALSE),"ERRO")</f>
        <v>ERRO</v>
      </c>
      <c r="Z1310"/>
    </row>
    <row r="1311" spans="1:26" ht="15" x14ac:dyDescent="0.25">
      <c r="A1311" s="94"/>
      <c r="B1311" s="32" t="str">
        <f>IF($A1311="","",VLOOKUP($A1311,APOIO!$A:$E,2,FALSE))</f>
        <v/>
      </c>
      <c r="C1311" s="94"/>
      <c r="D1311" s="32" t="str">
        <f>IF($A1311="","",INDEX(APOIO!$D:$D,MATCH(CONCATENATE($A1311,"_",$B1311,"_",$C1311),APOIO!$F:$F,0)))</f>
        <v/>
      </c>
      <c r="E1311" s="31"/>
      <c r="F1311" s="31"/>
      <c r="G1311" s="33"/>
      <c r="H1311" s="105"/>
      <c r="I1311" s="32" t="str">
        <f>IF($A1311="","",VLOOKUP($H1311,APOIO!$L:$M,2,FALSE))</f>
        <v/>
      </c>
      <c r="J1311" s="31"/>
      <c r="K1311" s="32" t="str">
        <f>IF($A1311="","",VLOOKUP($J1311,APOIO!$H:$J,2,FALSE))</f>
        <v/>
      </c>
      <c r="L1311" s="32" t="str">
        <f>IF($A1311="","",VLOOKUP($J1311,APOIO!$H:$J,3,FALSE))</f>
        <v/>
      </c>
      <c r="M1311" s="31"/>
      <c r="N1311" s="34"/>
      <c r="O1311" s="32"/>
      <c r="P1311" s="32"/>
      <c r="Q1311" s="32"/>
      <c r="R1311" s="32"/>
      <c r="S1311" s="35"/>
      <c r="T1311" s="91"/>
      <c r="U1311" s="60"/>
      <c r="V1311" s="36"/>
      <c r="W1311" s="31"/>
      <c r="X1311" s="59"/>
      <c r="Y1311" s="59" t="str">
        <f>IFERROR(VLOOKUP($A1311,APOIO!$A:$A,1,FALSE),"ERRO")</f>
        <v>ERRO</v>
      </c>
      <c r="Z1311"/>
    </row>
    <row r="1312" spans="1:26" ht="15" x14ac:dyDescent="0.25">
      <c r="A1312" s="94"/>
      <c r="B1312" s="32" t="str">
        <f>IF($A1312="","",VLOOKUP($A1312,APOIO!$A:$E,2,FALSE))</f>
        <v/>
      </c>
      <c r="C1312" s="94"/>
      <c r="D1312" s="32" t="str">
        <f>IF($A1312="","",INDEX(APOIO!$D:$D,MATCH(CONCATENATE($A1312,"_",$B1312,"_",$C1312),APOIO!$F:$F,0)))</f>
        <v/>
      </c>
      <c r="E1312" s="31"/>
      <c r="F1312" s="31"/>
      <c r="G1312" s="33"/>
      <c r="H1312" s="105"/>
      <c r="I1312" s="32" t="str">
        <f>IF($A1312="","",VLOOKUP($H1312,APOIO!$L:$M,2,FALSE))</f>
        <v/>
      </c>
      <c r="J1312" s="31"/>
      <c r="K1312" s="32" t="str">
        <f>IF($A1312="","",VLOOKUP($J1312,APOIO!$H:$J,2,FALSE))</f>
        <v/>
      </c>
      <c r="L1312" s="32" t="str">
        <f>IF($A1312="","",VLOOKUP($J1312,APOIO!$H:$J,3,FALSE))</f>
        <v/>
      </c>
      <c r="M1312" s="31"/>
      <c r="N1312" s="34"/>
      <c r="O1312" s="32"/>
      <c r="P1312" s="32"/>
      <c r="Q1312" s="32"/>
      <c r="R1312" s="32"/>
      <c r="S1312" s="35"/>
      <c r="T1312" s="91"/>
      <c r="U1312" s="60"/>
      <c r="V1312" s="36"/>
      <c r="W1312" s="31"/>
      <c r="X1312" s="59"/>
      <c r="Y1312" s="59" t="str">
        <f>IFERROR(VLOOKUP($A1312,APOIO!$A:$A,1,FALSE),"ERRO")</f>
        <v>ERRO</v>
      </c>
      <c r="Z1312"/>
    </row>
    <row r="1313" spans="1:26" ht="15" x14ac:dyDescent="0.25">
      <c r="A1313" s="94"/>
      <c r="B1313" s="32" t="str">
        <f>IF($A1313="","",VLOOKUP($A1313,APOIO!$A:$E,2,FALSE))</f>
        <v/>
      </c>
      <c r="C1313" s="94"/>
      <c r="D1313" s="32" t="str">
        <f>IF($A1313="","",INDEX(APOIO!$D:$D,MATCH(CONCATENATE($A1313,"_",$B1313,"_",$C1313),APOIO!$F:$F,0)))</f>
        <v/>
      </c>
      <c r="E1313" s="31"/>
      <c r="F1313" s="31"/>
      <c r="G1313" s="33"/>
      <c r="H1313" s="105"/>
      <c r="I1313" s="32" t="str">
        <f>IF($A1313="","",VLOOKUP($H1313,APOIO!$L:$M,2,FALSE))</f>
        <v/>
      </c>
      <c r="J1313" s="31"/>
      <c r="K1313" s="32" t="str">
        <f>IF($A1313="","",VLOOKUP($J1313,APOIO!$H:$J,2,FALSE))</f>
        <v/>
      </c>
      <c r="L1313" s="32" t="str">
        <f>IF($A1313="","",VLOOKUP($J1313,APOIO!$H:$J,3,FALSE))</f>
        <v/>
      </c>
      <c r="M1313" s="31"/>
      <c r="N1313" s="34"/>
      <c r="O1313" s="32"/>
      <c r="P1313" s="32"/>
      <c r="Q1313" s="32"/>
      <c r="R1313" s="32"/>
      <c r="S1313" s="35"/>
      <c r="T1313" s="91"/>
      <c r="U1313" s="60"/>
      <c r="V1313" s="36"/>
      <c r="W1313" s="31"/>
      <c r="X1313" s="59"/>
      <c r="Y1313" s="59" t="str">
        <f>IFERROR(VLOOKUP($A1313,APOIO!$A:$A,1,FALSE),"ERRO")</f>
        <v>ERRO</v>
      </c>
      <c r="Z1313"/>
    </row>
    <row r="1314" spans="1:26" ht="15" x14ac:dyDescent="0.25">
      <c r="A1314" s="94"/>
      <c r="B1314" s="32" t="str">
        <f>IF($A1314="","",VLOOKUP($A1314,APOIO!$A:$E,2,FALSE))</f>
        <v/>
      </c>
      <c r="C1314" s="94"/>
      <c r="D1314" s="32" t="str">
        <f>IF($A1314="","",INDEX(APOIO!$D:$D,MATCH(CONCATENATE($A1314,"_",$B1314,"_",$C1314),APOIO!$F:$F,0)))</f>
        <v/>
      </c>
      <c r="E1314" s="31"/>
      <c r="F1314" s="31"/>
      <c r="G1314" s="33"/>
      <c r="H1314" s="105"/>
      <c r="I1314" s="32" t="str">
        <f>IF($A1314="","",VLOOKUP($H1314,APOIO!$L:$M,2,FALSE))</f>
        <v/>
      </c>
      <c r="J1314" s="31"/>
      <c r="K1314" s="32" t="str">
        <f>IF($A1314="","",VLOOKUP($J1314,APOIO!$H:$J,2,FALSE))</f>
        <v/>
      </c>
      <c r="L1314" s="32" t="str">
        <f>IF($A1314="","",VLOOKUP($J1314,APOIO!$H:$J,3,FALSE))</f>
        <v/>
      </c>
      <c r="M1314" s="31"/>
      <c r="N1314" s="34"/>
      <c r="O1314" s="32"/>
      <c r="P1314" s="32"/>
      <c r="Q1314" s="32"/>
      <c r="R1314" s="32"/>
      <c r="S1314" s="35"/>
      <c r="T1314" s="91"/>
      <c r="U1314" s="60"/>
      <c r="V1314" s="36"/>
      <c r="W1314" s="31"/>
      <c r="X1314" s="59"/>
      <c r="Y1314" s="59" t="str">
        <f>IFERROR(VLOOKUP($A1314,APOIO!$A:$A,1,FALSE),"ERRO")</f>
        <v>ERRO</v>
      </c>
      <c r="Z1314"/>
    </row>
    <row r="1315" spans="1:26" ht="15" x14ac:dyDescent="0.25">
      <c r="A1315" s="94"/>
      <c r="B1315" s="32" t="str">
        <f>IF($A1315="","",VLOOKUP($A1315,APOIO!$A:$E,2,FALSE))</f>
        <v/>
      </c>
      <c r="C1315" s="94"/>
      <c r="D1315" s="32" t="str">
        <f>IF($A1315="","",INDEX(APOIO!$D:$D,MATCH(CONCATENATE($A1315,"_",$B1315,"_",$C1315),APOIO!$F:$F,0)))</f>
        <v/>
      </c>
      <c r="E1315" s="31"/>
      <c r="F1315" s="31"/>
      <c r="G1315" s="33"/>
      <c r="H1315" s="105"/>
      <c r="I1315" s="32" t="str">
        <f>IF($A1315="","",VLOOKUP($H1315,APOIO!$L:$M,2,FALSE))</f>
        <v/>
      </c>
      <c r="J1315" s="31"/>
      <c r="K1315" s="32" t="str">
        <f>IF($A1315="","",VLOOKUP($J1315,APOIO!$H:$J,2,FALSE))</f>
        <v/>
      </c>
      <c r="L1315" s="32" t="str">
        <f>IF($A1315="","",VLOOKUP($J1315,APOIO!$H:$J,3,FALSE))</f>
        <v/>
      </c>
      <c r="M1315" s="31"/>
      <c r="N1315" s="34"/>
      <c r="O1315" s="32"/>
      <c r="P1315" s="32"/>
      <c r="Q1315" s="32"/>
      <c r="R1315" s="32"/>
      <c r="S1315" s="35"/>
      <c r="T1315" s="91"/>
      <c r="U1315" s="60"/>
      <c r="V1315" s="36"/>
      <c r="W1315" s="31"/>
      <c r="X1315" s="59"/>
      <c r="Y1315" s="59" t="str">
        <f>IFERROR(VLOOKUP($A1315,APOIO!$A:$A,1,FALSE),"ERRO")</f>
        <v>ERRO</v>
      </c>
      <c r="Z1315"/>
    </row>
    <row r="1316" spans="1:26" ht="15" x14ac:dyDescent="0.25">
      <c r="A1316" s="94"/>
      <c r="B1316" s="32" t="str">
        <f>IF($A1316="","",VLOOKUP($A1316,APOIO!$A:$E,2,FALSE))</f>
        <v/>
      </c>
      <c r="C1316" s="94"/>
      <c r="D1316" s="32" t="str">
        <f>IF($A1316="","",INDEX(APOIO!$D:$D,MATCH(CONCATENATE($A1316,"_",$B1316,"_",$C1316),APOIO!$F:$F,0)))</f>
        <v/>
      </c>
      <c r="E1316" s="31"/>
      <c r="F1316" s="31"/>
      <c r="G1316" s="33"/>
      <c r="H1316" s="105"/>
      <c r="I1316" s="32" t="str">
        <f>IF($A1316="","",VLOOKUP($H1316,APOIO!$L:$M,2,FALSE))</f>
        <v/>
      </c>
      <c r="J1316" s="31"/>
      <c r="K1316" s="32" t="str">
        <f>IF($A1316="","",VLOOKUP($J1316,APOIO!$H:$J,2,FALSE))</f>
        <v/>
      </c>
      <c r="L1316" s="32" t="str">
        <f>IF($A1316="","",VLOOKUP($J1316,APOIO!$H:$J,3,FALSE))</f>
        <v/>
      </c>
      <c r="M1316" s="31"/>
      <c r="N1316" s="34"/>
      <c r="O1316" s="32"/>
      <c r="P1316" s="32"/>
      <c r="Q1316" s="32"/>
      <c r="R1316" s="32"/>
      <c r="S1316" s="35"/>
      <c r="T1316" s="91"/>
      <c r="U1316" s="60"/>
      <c r="V1316" s="36"/>
      <c r="W1316" s="31"/>
      <c r="X1316" s="59"/>
      <c r="Y1316" s="59" t="str">
        <f>IFERROR(VLOOKUP($A1316,APOIO!$A:$A,1,FALSE),"ERRO")</f>
        <v>ERRO</v>
      </c>
      <c r="Z1316"/>
    </row>
    <row r="1317" spans="1:26" ht="15" x14ac:dyDescent="0.25">
      <c r="A1317" s="94"/>
      <c r="B1317" s="32" t="str">
        <f>IF($A1317="","",VLOOKUP($A1317,APOIO!$A:$E,2,FALSE))</f>
        <v/>
      </c>
      <c r="C1317" s="94"/>
      <c r="D1317" s="32" t="str">
        <f>IF($A1317="","",INDEX(APOIO!$D:$D,MATCH(CONCATENATE($A1317,"_",$B1317,"_",$C1317),APOIO!$F:$F,0)))</f>
        <v/>
      </c>
      <c r="E1317" s="31"/>
      <c r="F1317" s="31"/>
      <c r="G1317" s="33"/>
      <c r="H1317" s="105"/>
      <c r="I1317" s="32" t="str">
        <f>IF($A1317="","",VLOOKUP($H1317,APOIO!$L:$M,2,FALSE))</f>
        <v/>
      </c>
      <c r="J1317" s="31"/>
      <c r="K1317" s="32" t="str">
        <f>IF($A1317="","",VLOOKUP($J1317,APOIO!$H:$J,2,FALSE))</f>
        <v/>
      </c>
      <c r="L1317" s="32" t="str">
        <f>IF($A1317="","",VLOOKUP($J1317,APOIO!$H:$J,3,FALSE))</f>
        <v/>
      </c>
      <c r="M1317" s="31"/>
      <c r="N1317" s="34"/>
      <c r="O1317" s="32"/>
      <c r="P1317" s="32"/>
      <c r="Q1317" s="32"/>
      <c r="R1317" s="32"/>
      <c r="S1317" s="35"/>
      <c r="T1317" s="91"/>
      <c r="U1317" s="60"/>
      <c r="V1317" s="36"/>
      <c r="W1317" s="31"/>
      <c r="X1317" s="59"/>
      <c r="Y1317" s="59" t="str">
        <f>IFERROR(VLOOKUP($A1317,APOIO!$A:$A,1,FALSE),"ERRO")</f>
        <v>ERRO</v>
      </c>
      <c r="Z1317"/>
    </row>
    <row r="1318" spans="1:26" ht="15" x14ac:dyDescent="0.25">
      <c r="A1318" s="94"/>
      <c r="B1318" s="32" t="str">
        <f>IF($A1318="","",VLOOKUP($A1318,APOIO!$A:$E,2,FALSE))</f>
        <v/>
      </c>
      <c r="C1318" s="94"/>
      <c r="D1318" s="32" t="str">
        <f>IF($A1318="","",INDEX(APOIO!$D:$D,MATCH(CONCATENATE($A1318,"_",$B1318,"_",$C1318),APOIO!$F:$F,0)))</f>
        <v/>
      </c>
      <c r="E1318" s="31"/>
      <c r="F1318" s="31"/>
      <c r="G1318" s="33"/>
      <c r="H1318" s="105"/>
      <c r="I1318" s="32" t="str">
        <f>IF($A1318="","",VLOOKUP($H1318,APOIO!$L:$M,2,FALSE))</f>
        <v/>
      </c>
      <c r="J1318" s="31"/>
      <c r="K1318" s="32" t="str">
        <f>IF($A1318="","",VLOOKUP($J1318,APOIO!$H:$J,2,FALSE))</f>
        <v/>
      </c>
      <c r="L1318" s="32" t="str">
        <f>IF($A1318="","",VLOOKUP($J1318,APOIO!$H:$J,3,FALSE))</f>
        <v/>
      </c>
      <c r="M1318" s="31"/>
      <c r="N1318" s="34"/>
      <c r="O1318" s="32"/>
      <c r="P1318" s="32"/>
      <c r="Q1318" s="32"/>
      <c r="R1318" s="32"/>
      <c r="S1318" s="35"/>
      <c r="T1318" s="91"/>
      <c r="U1318" s="60"/>
      <c r="V1318" s="36"/>
      <c r="W1318" s="31"/>
      <c r="X1318" s="59"/>
      <c r="Y1318" s="59" t="str">
        <f>IFERROR(VLOOKUP($A1318,APOIO!$A:$A,1,FALSE),"ERRO")</f>
        <v>ERRO</v>
      </c>
      <c r="Z1318"/>
    </row>
    <row r="1319" spans="1:26" ht="15" x14ac:dyDescent="0.25">
      <c r="A1319" s="94"/>
      <c r="B1319" s="32" t="str">
        <f>IF($A1319="","",VLOOKUP($A1319,APOIO!$A:$E,2,FALSE))</f>
        <v/>
      </c>
      <c r="C1319" s="94"/>
      <c r="D1319" s="32" t="str">
        <f>IF($A1319="","",INDEX(APOIO!$D:$D,MATCH(CONCATENATE($A1319,"_",$B1319,"_",$C1319),APOIO!$F:$F,0)))</f>
        <v/>
      </c>
      <c r="E1319" s="31"/>
      <c r="F1319" s="31"/>
      <c r="G1319" s="33"/>
      <c r="H1319" s="105"/>
      <c r="I1319" s="32" t="str">
        <f>IF($A1319="","",VLOOKUP($H1319,APOIO!$L:$M,2,FALSE))</f>
        <v/>
      </c>
      <c r="J1319" s="31"/>
      <c r="K1319" s="32" t="str">
        <f>IF($A1319="","",VLOOKUP($J1319,APOIO!$H:$J,2,FALSE))</f>
        <v/>
      </c>
      <c r="L1319" s="32" t="str">
        <f>IF($A1319="","",VLOOKUP($J1319,APOIO!$H:$J,3,FALSE))</f>
        <v/>
      </c>
      <c r="M1319" s="31"/>
      <c r="N1319" s="34"/>
      <c r="O1319" s="32"/>
      <c r="P1319" s="32"/>
      <c r="Q1319" s="32"/>
      <c r="R1319" s="32"/>
      <c r="S1319" s="35"/>
      <c r="T1319" s="91"/>
      <c r="U1319" s="60"/>
      <c r="V1319" s="36"/>
      <c r="W1319" s="31"/>
      <c r="X1319" s="59"/>
      <c r="Y1319" s="59" t="str">
        <f>IFERROR(VLOOKUP($A1319,APOIO!$A:$A,1,FALSE),"ERRO")</f>
        <v>ERRO</v>
      </c>
      <c r="Z1319"/>
    </row>
    <row r="1320" spans="1:26" ht="15" x14ac:dyDescent="0.25">
      <c r="A1320" s="94"/>
      <c r="B1320" s="32" t="str">
        <f>IF($A1320="","",VLOOKUP($A1320,APOIO!$A:$E,2,FALSE))</f>
        <v/>
      </c>
      <c r="C1320" s="94"/>
      <c r="D1320" s="32" t="str">
        <f>IF($A1320="","",INDEX(APOIO!$D:$D,MATCH(CONCATENATE($A1320,"_",$B1320,"_",$C1320),APOIO!$F:$F,0)))</f>
        <v/>
      </c>
      <c r="E1320" s="31"/>
      <c r="F1320" s="31"/>
      <c r="G1320" s="33"/>
      <c r="H1320" s="105"/>
      <c r="I1320" s="32" t="str">
        <f>IF($A1320="","",VLOOKUP($H1320,APOIO!$L:$M,2,FALSE))</f>
        <v/>
      </c>
      <c r="J1320" s="31"/>
      <c r="K1320" s="32" t="str">
        <f>IF($A1320="","",VLOOKUP($J1320,APOIO!$H:$J,2,FALSE))</f>
        <v/>
      </c>
      <c r="L1320" s="32" t="str">
        <f>IF($A1320="","",VLOOKUP($J1320,APOIO!$H:$J,3,FALSE))</f>
        <v/>
      </c>
      <c r="M1320" s="31"/>
      <c r="N1320" s="34"/>
      <c r="O1320" s="32"/>
      <c r="P1320" s="32"/>
      <c r="Q1320" s="32"/>
      <c r="R1320" s="32"/>
      <c r="S1320" s="35"/>
      <c r="T1320" s="91"/>
      <c r="U1320" s="60"/>
      <c r="V1320" s="36"/>
      <c r="W1320" s="31"/>
      <c r="X1320" s="59"/>
      <c r="Y1320" s="59" t="str">
        <f>IFERROR(VLOOKUP($A1320,APOIO!$A:$A,1,FALSE),"ERRO")</f>
        <v>ERRO</v>
      </c>
      <c r="Z1320"/>
    </row>
    <row r="1321" spans="1:26" ht="15" x14ac:dyDescent="0.25">
      <c r="A1321" s="94"/>
      <c r="B1321" s="32" t="str">
        <f>IF($A1321="","",VLOOKUP($A1321,APOIO!$A:$E,2,FALSE))</f>
        <v/>
      </c>
      <c r="C1321" s="94"/>
      <c r="D1321" s="32" t="str">
        <f>IF($A1321="","",INDEX(APOIO!$D:$D,MATCH(CONCATENATE($A1321,"_",$B1321,"_",$C1321),APOIO!$F:$F,0)))</f>
        <v/>
      </c>
      <c r="E1321" s="31"/>
      <c r="F1321" s="31"/>
      <c r="G1321" s="33"/>
      <c r="H1321" s="105"/>
      <c r="I1321" s="32" t="str">
        <f>IF($A1321="","",VLOOKUP($H1321,APOIO!$L:$M,2,FALSE))</f>
        <v/>
      </c>
      <c r="J1321" s="31"/>
      <c r="K1321" s="32" t="str">
        <f>IF($A1321="","",VLOOKUP($J1321,APOIO!$H:$J,2,FALSE))</f>
        <v/>
      </c>
      <c r="L1321" s="32" t="str">
        <f>IF($A1321="","",VLOOKUP($J1321,APOIO!$H:$J,3,FALSE))</f>
        <v/>
      </c>
      <c r="M1321" s="31"/>
      <c r="N1321" s="34"/>
      <c r="O1321" s="32"/>
      <c r="P1321" s="32"/>
      <c r="Q1321" s="32"/>
      <c r="R1321" s="32"/>
      <c r="S1321" s="35"/>
      <c r="T1321" s="91"/>
      <c r="U1321" s="60"/>
      <c r="V1321" s="36"/>
      <c r="W1321" s="31"/>
      <c r="X1321" s="59"/>
      <c r="Y1321" s="59" t="str">
        <f>IFERROR(VLOOKUP($A1321,APOIO!$A:$A,1,FALSE),"ERRO")</f>
        <v>ERRO</v>
      </c>
      <c r="Z1321"/>
    </row>
    <row r="1322" spans="1:26" ht="15" x14ac:dyDescent="0.25">
      <c r="A1322" s="94"/>
      <c r="B1322" s="32" t="str">
        <f>IF($A1322="","",VLOOKUP($A1322,APOIO!$A:$E,2,FALSE))</f>
        <v/>
      </c>
      <c r="C1322" s="94"/>
      <c r="D1322" s="32" t="str">
        <f>IF($A1322="","",INDEX(APOIO!$D:$D,MATCH(CONCATENATE($A1322,"_",$B1322,"_",$C1322),APOIO!$F:$F,0)))</f>
        <v/>
      </c>
      <c r="E1322" s="31"/>
      <c r="F1322" s="31"/>
      <c r="G1322" s="33"/>
      <c r="H1322" s="105"/>
      <c r="I1322" s="32" t="str">
        <f>IF($A1322="","",VLOOKUP($H1322,APOIO!$L:$M,2,FALSE))</f>
        <v/>
      </c>
      <c r="J1322" s="31"/>
      <c r="K1322" s="32" t="str">
        <f>IF($A1322="","",VLOOKUP($J1322,APOIO!$H:$J,2,FALSE))</f>
        <v/>
      </c>
      <c r="L1322" s="32" t="str">
        <f>IF($A1322="","",VLOOKUP($J1322,APOIO!$H:$J,3,FALSE))</f>
        <v/>
      </c>
      <c r="M1322" s="31"/>
      <c r="N1322" s="34"/>
      <c r="O1322" s="32"/>
      <c r="P1322" s="32"/>
      <c r="Q1322" s="32"/>
      <c r="R1322" s="32"/>
      <c r="S1322" s="35"/>
      <c r="T1322" s="91"/>
      <c r="U1322" s="60"/>
      <c r="V1322" s="36"/>
      <c r="W1322" s="31"/>
      <c r="X1322" s="59"/>
      <c r="Y1322" s="59" t="str">
        <f>IFERROR(VLOOKUP($A1322,APOIO!$A:$A,1,FALSE),"ERRO")</f>
        <v>ERRO</v>
      </c>
      <c r="Z1322"/>
    </row>
    <row r="1323" spans="1:26" ht="15" x14ac:dyDescent="0.25">
      <c r="A1323" s="94"/>
      <c r="B1323" s="32" t="str">
        <f>IF($A1323="","",VLOOKUP($A1323,APOIO!$A:$E,2,FALSE))</f>
        <v/>
      </c>
      <c r="C1323" s="94"/>
      <c r="D1323" s="32" t="str">
        <f>IF($A1323="","",INDEX(APOIO!$D:$D,MATCH(CONCATENATE($A1323,"_",$B1323,"_",$C1323),APOIO!$F:$F,0)))</f>
        <v/>
      </c>
      <c r="E1323" s="31"/>
      <c r="F1323" s="31"/>
      <c r="G1323" s="33"/>
      <c r="H1323" s="105"/>
      <c r="I1323" s="32" t="str">
        <f>IF($A1323="","",VLOOKUP($H1323,APOIO!$L:$M,2,FALSE))</f>
        <v/>
      </c>
      <c r="J1323" s="31"/>
      <c r="K1323" s="32" t="str">
        <f>IF($A1323="","",VLOOKUP($J1323,APOIO!$H:$J,2,FALSE))</f>
        <v/>
      </c>
      <c r="L1323" s="32" t="str">
        <f>IF($A1323="","",VLOOKUP($J1323,APOIO!$H:$J,3,FALSE))</f>
        <v/>
      </c>
      <c r="M1323" s="31"/>
      <c r="N1323" s="34"/>
      <c r="O1323" s="32"/>
      <c r="P1323" s="32"/>
      <c r="Q1323" s="32"/>
      <c r="R1323" s="32"/>
      <c r="S1323" s="35"/>
      <c r="T1323" s="91"/>
      <c r="U1323" s="60"/>
      <c r="V1323" s="36"/>
      <c r="W1323" s="31"/>
      <c r="X1323" s="59"/>
      <c r="Y1323" s="59" t="str">
        <f>IFERROR(VLOOKUP($A1323,APOIO!$A:$A,1,FALSE),"ERRO")</f>
        <v>ERRO</v>
      </c>
      <c r="Z1323"/>
    </row>
    <row r="1324" spans="1:26" ht="15" x14ac:dyDescent="0.25">
      <c r="A1324" s="94"/>
      <c r="B1324" s="32" t="str">
        <f>IF($A1324="","",VLOOKUP($A1324,APOIO!$A:$E,2,FALSE))</f>
        <v/>
      </c>
      <c r="C1324" s="94"/>
      <c r="D1324" s="32" t="str">
        <f>IF($A1324="","",INDEX(APOIO!$D:$D,MATCH(CONCATENATE($A1324,"_",$B1324,"_",$C1324),APOIO!$F:$F,0)))</f>
        <v/>
      </c>
      <c r="E1324" s="31"/>
      <c r="F1324" s="31"/>
      <c r="G1324" s="33"/>
      <c r="H1324" s="105"/>
      <c r="I1324" s="32" t="str">
        <f>IF($A1324="","",VLOOKUP($H1324,APOIO!$L:$M,2,FALSE))</f>
        <v/>
      </c>
      <c r="J1324" s="31"/>
      <c r="K1324" s="32" t="str">
        <f>IF($A1324="","",VLOOKUP($J1324,APOIO!$H:$J,2,FALSE))</f>
        <v/>
      </c>
      <c r="L1324" s="32" t="str">
        <f>IF($A1324="","",VLOOKUP($J1324,APOIO!$H:$J,3,FALSE))</f>
        <v/>
      </c>
      <c r="M1324" s="31"/>
      <c r="N1324" s="34"/>
      <c r="O1324" s="32"/>
      <c r="P1324" s="32"/>
      <c r="Q1324" s="32"/>
      <c r="R1324" s="32"/>
      <c r="S1324" s="35"/>
      <c r="T1324" s="91"/>
      <c r="U1324" s="60"/>
      <c r="V1324" s="36"/>
      <c r="W1324" s="31"/>
      <c r="X1324" s="59"/>
      <c r="Y1324" s="59" t="str">
        <f>IFERROR(VLOOKUP($A1324,APOIO!$A:$A,1,FALSE),"ERRO")</f>
        <v>ERRO</v>
      </c>
      <c r="Z1324"/>
    </row>
    <row r="1325" spans="1:26" ht="15" x14ac:dyDescent="0.25">
      <c r="A1325" s="94"/>
      <c r="B1325" s="32" t="str">
        <f>IF($A1325="","",VLOOKUP($A1325,APOIO!$A:$E,2,FALSE))</f>
        <v/>
      </c>
      <c r="C1325" s="94"/>
      <c r="D1325" s="32" t="str">
        <f>IF($A1325="","",INDEX(APOIO!$D:$D,MATCH(CONCATENATE($A1325,"_",$B1325,"_",$C1325),APOIO!$F:$F,0)))</f>
        <v/>
      </c>
      <c r="E1325" s="31"/>
      <c r="F1325" s="31"/>
      <c r="G1325" s="33"/>
      <c r="H1325" s="105"/>
      <c r="I1325" s="32" t="str">
        <f>IF($A1325="","",VLOOKUP($H1325,APOIO!$L:$M,2,FALSE))</f>
        <v/>
      </c>
      <c r="J1325" s="31"/>
      <c r="K1325" s="32" t="str">
        <f>IF($A1325="","",VLOOKUP($J1325,APOIO!$H:$J,2,FALSE))</f>
        <v/>
      </c>
      <c r="L1325" s="32" t="str">
        <f>IF($A1325="","",VLOOKUP($J1325,APOIO!$H:$J,3,FALSE))</f>
        <v/>
      </c>
      <c r="M1325" s="31"/>
      <c r="N1325" s="34"/>
      <c r="O1325" s="32"/>
      <c r="P1325" s="32"/>
      <c r="Q1325" s="32"/>
      <c r="R1325" s="32"/>
      <c r="S1325" s="35"/>
      <c r="T1325" s="91"/>
      <c r="U1325" s="60"/>
      <c r="V1325" s="36"/>
      <c r="W1325" s="31"/>
      <c r="X1325" s="59"/>
      <c r="Y1325" s="59" t="str">
        <f>IFERROR(VLOOKUP($A1325,APOIO!$A:$A,1,FALSE),"ERRO")</f>
        <v>ERRO</v>
      </c>
      <c r="Z1325"/>
    </row>
    <row r="1326" spans="1:26" ht="15" x14ac:dyDescent="0.25">
      <c r="A1326" s="94"/>
      <c r="B1326" s="32" t="str">
        <f>IF($A1326="","",VLOOKUP($A1326,APOIO!$A:$E,2,FALSE))</f>
        <v/>
      </c>
      <c r="C1326" s="94"/>
      <c r="D1326" s="32" t="str">
        <f>IF($A1326="","",INDEX(APOIO!$D:$D,MATCH(CONCATENATE($A1326,"_",$B1326,"_",$C1326),APOIO!$F:$F,0)))</f>
        <v/>
      </c>
      <c r="E1326" s="31"/>
      <c r="F1326" s="31"/>
      <c r="G1326" s="33"/>
      <c r="H1326" s="105"/>
      <c r="I1326" s="32" t="str">
        <f>IF($A1326="","",VLOOKUP($H1326,APOIO!$L:$M,2,FALSE))</f>
        <v/>
      </c>
      <c r="J1326" s="31"/>
      <c r="K1326" s="32" t="str">
        <f>IF($A1326="","",VLOOKUP($J1326,APOIO!$H:$J,2,FALSE))</f>
        <v/>
      </c>
      <c r="L1326" s="32" t="str">
        <f>IF($A1326="","",VLOOKUP($J1326,APOIO!$H:$J,3,FALSE))</f>
        <v/>
      </c>
      <c r="M1326" s="31"/>
      <c r="N1326" s="34"/>
      <c r="O1326" s="32"/>
      <c r="P1326" s="32"/>
      <c r="Q1326" s="32"/>
      <c r="R1326" s="32"/>
      <c r="S1326" s="35"/>
      <c r="T1326" s="91"/>
      <c r="U1326" s="60"/>
      <c r="V1326" s="36"/>
      <c r="W1326" s="31"/>
      <c r="X1326" s="59"/>
      <c r="Y1326" s="59" t="str">
        <f>IFERROR(VLOOKUP($A1326,APOIO!$A:$A,1,FALSE),"ERRO")</f>
        <v>ERRO</v>
      </c>
      <c r="Z1326"/>
    </row>
    <row r="1327" spans="1:26" ht="15" x14ac:dyDescent="0.25">
      <c r="A1327" s="94"/>
      <c r="B1327" s="32" t="str">
        <f>IF($A1327="","",VLOOKUP($A1327,APOIO!$A:$E,2,FALSE))</f>
        <v/>
      </c>
      <c r="C1327" s="94"/>
      <c r="D1327" s="32" t="str">
        <f>IF($A1327="","",INDEX(APOIO!$D:$D,MATCH(CONCATENATE($A1327,"_",$B1327,"_",$C1327),APOIO!$F:$F,0)))</f>
        <v/>
      </c>
      <c r="E1327" s="31"/>
      <c r="F1327" s="31"/>
      <c r="G1327" s="33"/>
      <c r="H1327" s="105"/>
      <c r="I1327" s="32" t="str">
        <f>IF($A1327="","",VLOOKUP($H1327,APOIO!$L:$M,2,FALSE))</f>
        <v/>
      </c>
      <c r="J1327" s="31"/>
      <c r="K1327" s="32" t="str">
        <f>IF($A1327="","",VLOOKUP($J1327,APOIO!$H:$J,2,FALSE))</f>
        <v/>
      </c>
      <c r="L1327" s="32" t="str">
        <f>IF($A1327="","",VLOOKUP($J1327,APOIO!$H:$J,3,FALSE))</f>
        <v/>
      </c>
      <c r="M1327" s="31"/>
      <c r="N1327" s="34"/>
      <c r="O1327" s="32"/>
      <c r="P1327" s="32"/>
      <c r="Q1327" s="32"/>
      <c r="R1327" s="32"/>
      <c r="S1327" s="35"/>
      <c r="T1327" s="91"/>
      <c r="U1327" s="60"/>
      <c r="V1327" s="36"/>
      <c r="W1327" s="31"/>
      <c r="X1327" s="59"/>
      <c r="Y1327" s="59" t="str">
        <f>IFERROR(VLOOKUP($A1327,APOIO!$A:$A,1,FALSE),"ERRO")</f>
        <v>ERRO</v>
      </c>
      <c r="Z1327"/>
    </row>
    <row r="1328" spans="1:26" ht="15" x14ac:dyDescent="0.25">
      <c r="A1328" s="94"/>
      <c r="B1328" s="32" t="str">
        <f>IF($A1328="","",VLOOKUP($A1328,APOIO!$A:$E,2,FALSE))</f>
        <v/>
      </c>
      <c r="C1328" s="94"/>
      <c r="D1328" s="32" t="str">
        <f>IF($A1328="","",INDEX(APOIO!$D:$D,MATCH(CONCATENATE($A1328,"_",$B1328,"_",$C1328),APOIO!$F:$F,0)))</f>
        <v/>
      </c>
      <c r="E1328" s="31"/>
      <c r="F1328" s="31"/>
      <c r="G1328" s="33"/>
      <c r="H1328" s="105"/>
      <c r="I1328" s="32" t="str">
        <f>IF($A1328="","",VLOOKUP($H1328,APOIO!$L:$M,2,FALSE))</f>
        <v/>
      </c>
      <c r="J1328" s="31"/>
      <c r="K1328" s="32" t="str">
        <f>IF($A1328="","",VLOOKUP($J1328,APOIO!$H:$J,2,FALSE))</f>
        <v/>
      </c>
      <c r="L1328" s="32" t="str">
        <f>IF($A1328="","",VLOOKUP($J1328,APOIO!$H:$J,3,FALSE))</f>
        <v/>
      </c>
      <c r="M1328" s="31"/>
      <c r="N1328" s="34"/>
      <c r="O1328" s="32"/>
      <c r="P1328" s="32"/>
      <c r="Q1328" s="32"/>
      <c r="R1328" s="32"/>
      <c r="S1328" s="35"/>
      <c r="T1328" s="91"/>
      <c r="U1328" s="60"/>
      <c r="V1328" s="36"/>
      <c r="W1328" s="31"/>
      <c r="X1328" s="59"/>
      <c r="Y1328" s="59" t="str">
        <f>IFERROR(VLOOKUP($A1328,APOIO!$A:$A,1,FALSE),"ERRO")</f>
        <v>ERRO</v>
      </c>
      <c r="Z1328"/>
    </row>
    <row r="1329" spans="1:26" ht="15" x14ac:dyDescent="0.25">
      <c r="A1329" s="94"/>
      <c r="B1329" s="32" t="str">
        <f>IF($A1329="","",VLOOKUP($A1329,APOIO!$A:$E,2,FALSE))</f>
        <v/>
      </c>
      <c r="C1329" s="94"/>
      <c r="D1329" s="32" t="str">
        <f>IF($A1329="","",INDEX(APOIO!$D:$D,MATCH(CONCATENATE($A1329,"_",$B1329,"_",$C1329),APOIO!$F:$F,0)))</f>
        <v/>
      </c>
      <c r="E1329" s="31"/>
      <c r="F1329" s="31"/>
      <c r="G1329" s="33"/>
      <c r="H1329" s="105"/>
      <c r="I1329" s="32" t="str">
        <f>IF($A1329="","",VLOOKUP($H1329,APOIO!$L:$M,2,FALSE))</f>
        <v/>
      </c>
      <c r="J1329" s="31"/>
      <c r="K1329" s="32" t="str">
        <f>IF($A1329="","",VLOOKUP($J1329,APOIO!$H:$J,2,FALSE))</f>
        <v/>
      </c>
      <c r="L1329" s="32" t="str">
        <f>IF($A1329="","",VLOOKUP($J1329,APOIO!$H:$J,3,FALSE))</f>
        <v/>
      </c>
      <c r="M1329" s="31"/>
      <c r="N1329" s="34"/>
      <c r="O1329" s="32"/>
      <c r="P1329" s="32"/>
      <c r="Q1329" s="32"/>
      <c r="R1329" s="32"/>
      <c r="S1329" s="35"/>
      <c r="T1329" s="91"/>
      <c r="U1329" s="60"/>
      <c r="V1329" s="36"/>
      <c r="W1329" s="31"/>
      <c r="X1329" s="59"/>
      <c r="Y1329" s="59" t="str">
        <f>IFERROR(VLOOKUP($A1329,APOIO!$A:$A,1,FALSE),"ERRO")</f>
        <v>ERRO</v>
      </c>
      <c r="Z1329"/>
    </row>
    <row r="1330" spans="1:26" ht="15" x14ac:dyDescent="0.25">
      <c r="A1330" s="94"/>
      <c r="B1330" s="32" t="str">
        <f>IF($A1330="","",VLOOKUP($A1330,APOIO!$A:$E,2,FALSE))</f>
        <v/>
      </c>
      <c r="C1330" s="94"/>
      <c r="D1330" s="32" t="str">
        <f>IF($A1330="","",INDEX(APOIO!$D:$D,MATCH(CONCATENATE($A1330,"_",$B1330,"_",$C1330),APOIO!$F:$F,0)))</f>
        <v/>
      </c>
      <c r="E1330" s="31"/>
      <c r="F1330" s="31"/>
      <c r="G1330" s="33"/>
      <c r="H1330" s="105"/>
      <c r="I1330" s="32" t="str">
        <f>IF($A1330="","",VLOOKUP($H1330,APOIO!$L:$M,2,FALSE))</f>
        <v/>
      </c>
      <c r="J1330" s="31"/>
      <c r="K1330" s="32" t="str">
        <f>IF($A1330="","",VLOOKUP($J1330,APOIO!$H:$J,2,FALSE))</f>
        <v/>
      </c>
      <c r="L1330" s="32" t="str">
        <f>IF($A1330="","",VLOOKUP($J1330,APOIO!$H:$J,3,FALSE))</f>
        <v/>
      </c>
      <c r="M1330" s="31"/>
      <c r="N1330" s="34"/>
      <c r="O1330" s="32"/>
      <c r="P1330" s="32"/>
      <c r="Q1330" s="32"/>
      <c r="R1330" s="32"/>
      <c r="S1330" s="35"/>
      <c r="T1330" s="91"/>
      <c r="U1330" s="60"/>
      <c r="V1330" s="36"/>
      <c r="W1330" s="31"/>
      <c r="X1330" s="59"/>
      <c r="Y1330" s="59" t="str">
        <f>IFERROR(VLOOKUP($A1330,APOIO!$A:$A,1,FALSE),"ERRO")</f>
        <v>ERRO</v>
      </c>
      <c r="Z1330"/>
    </row>
    <row r="1331" spans="1:26" ht="15" x14ac:dyDescent="0.25">
      <c r="A1331" s="94"/>
      <c r="B1331" s="32" t="str">
        <f>IF($A1331="","",VLOOKUP($A1331,APOIO!$A:$E,2,FALSE))</f>
        <v/>
      </c>
      <c r="C1331" s="94"/>
      <c r="D1331" s="32" t="str">
        <f>IF($A1331="","",INDEX(APOIO!$D:$D,MATCH(CONCATENATE($A1331,"_",$B1331,"_",$C1331),APOIO!$F:$F,0)))</f>
        <v/>
      </c>
      <c r="E1331" s="31"/>
      <c r="F1331" s="31"/>
      <c r="G1331" s="33"/>
      <c r="H1331" s="105"/>
      <c r="I1331" s="32" t="str">
        <f>IF($A1331="","",VLOOKUP($H1331,APOIO!$L:$M,2,FALSE))</f>
        <v/>
      </c>
      <c r="J1331" s="31"/>
      <c r="K1331" s="32" t="str">
        <f>IF($A1331="","",VLOOKUP($J1331,APOIO!$H:$J,2,FALSE))</f>
        <v/>
      </c>
      <c r="L1331" s="32" t="str">
        <f>IF($A1331="","",VLOOKUP($J1331,APOIO!$H:$J,3,FALSE))</f>
        <v/>
      </c>
      <c r="M1331" s="31"/>
      <c r="N1331" s="34"/>
      <c r="O1331" s="32"/>
      <c r="P1331" s="32"/>
      <c r="Q1331" s="32"/>
      <c r="R1331" s="32"/>
      <c r="S1331" s="35"/>
      <c r="T1331" s="91"/>
      <c r="U1331" s="60"/>
      <c r="V1331" s="36"/>
      <c r="W1331" s="31"/>
      <c r="X1331" s="59"/>
      <c r="Y1331" s="59" t="str">
        <f>IFERROR(VLOOKUP($A1331,APOIO!$A:$A,1,FALSE),"ERRO")</f>
        <v>ERRO</v>
      </c>
      <c r="Z1331"/>
    </row>
    <row r="1332" spans="1:26" ht="15" x14ac:dyDescent="0.25">
      <c r="A1332" s="94"/>
      <c r="B1332" s="32" t="str">
        <f>IF($A1332="","",VLOOKUP($A1332,APOIO!$A:$E,2,FALSE))</f>
        <v/>
      </c>
      <c r="C1332" s="94"/>
      <c r="D1332" s="32" t="str">
        <f>IF($A1332="","",INDEX(APOIO!$D:$D,MATCH(CONCATENATE($A1332,"_",$B1332,"_",$C1332),APOIO!$F:$F,0)))</f>
        <v/>
      </c>
      <c r="E1332" s="31"/>
      <c r="F1332" s="31"/>
      <c r="G1332" s="33"/>
      <c r="H1332" s="105"/>
      <c r="I1332" s="32" t="str">
        <f>IF($A1332="","",VLOOKUP($H1332,APOIO!$L:$M,2,FALSE))</f>
        <v/>
      </c>
      <c r="J1332" s="31"/>
      <c r="K1332" s="32" t="str">
        <f>IF($A1332="","",VLOOKUP($J1332,APOIO!$H:$J,2,FALSE))</f>
        <v/>
      </c>
      <c r="L1332" s="32" t="str">
        <f>IF($A1332="","",VLOOKUP($J1332,APOIO!$H:$J,3,FALSE))</f>
        <v/>
      </c>
      <c r="M1332" s="31"/>
      <c r="N1332" s="34"/>
      <c r="O1332" s="32"/>
      <c r="P1332" s="32"/>
      <c r="Q1332" s="32"/>
      <c r="R1332" s="32"/>
      <c r="S1332" s="35"/>
      <c r="T1332" s="91"/>
      <c r="U1332" s="60"/>
      <c r="V1332" s="36"/>
      <c r="W1332" s="31"/>
      <c r="X1332" s="59"/>
      <c r="Y1332" s="59" t="str">
        <f>IFERROR(VLOOKUP($A1332,APOIO!$A:$A,1,FALSE),"ERRO")</f>
        <v>ERRO</v>
      </c>
      <c r="Z1332"/>
    </row>
    <row r="1333" spans="1:26" ht="15" x14ac:dyDescent="0.25">
      <c r="A1333" s="94"/>
      <c r="B1333" s="32" t="str">
        <f>IF($A1333="","",VLOOKUP($A1333,APOIO!$A:$E,2,FALSE))</f>
        <v/>
      </c>
      <c r="C1333" s="94"/>
      <c r="D1333" s="32" t="str">
        <f>IF($A1333="","",INDEX(APOIO!$D:$D,MATCH(CONCATENATE($A1333,"_",$B1333,"_",$C1333),APOIO!$F:$F,0)))</f>
        <v/>
      </c>
      <c r="E1333" s="31"/>
      <c r="F1333" s="31"/>
      <c r="G1333" s="33"/>
      <c r="H1333" s="105"/>
      <c r="I1333" s="32" t="str">
        <f>IF($A1333="","",VLOOKUP($H1333,APOIO!$L:$M,2,FALSE))</f>
        <v/>
      </c>
      <c r="J1333" s="31"/>
      <c r="K1333" s="32" t="str">
        <f>IF($A1333="","",VLOOKUP($J1333,APOIO!$H:$J,2,FALSE))</f>
        <v/>
      </c>
      <c r="L1333" s="32" t="str">
        <f>IF($A1333="","",VLOOKUP($J1333,APOIO!$H:$J,3,FALSE))</f>
        <v/>
      </c>
      <c r="M1333" s="31"/>
      <c r="N1333" s="34"/>
      <c r="O1333" s="32"/>
      <c r="P1333" s="32"/>
      <c r="Q1333" s="32"/>
      <c r="R1333" s="32"/>
      <c r="S1333" s="35"/>
      <c r="T1333" s="91"/>
      <c r="U1333" s="60"/>
      <c r="V1333" s="36"/>
      <c r="W1333" s="31"/>
      <c r="X1333" s="59"/>
      <c r="Y1333" s="59" t="str">
        <f>IFERROR(VLOOKUP($A1333,APOIO!$A:$A,1,FALSE),"ERRO")</f>
        <v>ERRO</v>
      </c>
      <c r="Z1333"/>
    </row>
    <row r="1334" spans="1:26" ht="15" x14ac:dyDescent="0.25">
      <c r="A1334" s="94"/>
      <c r="B1334" s="32" t="str">
        <f>IF($A1334="","",VLOOKUP($A1334,APOIO!$A:$E,2,FALSE))</f>
        <v/>
      </c>
      <c r="C1334" s="94"/>
      <c r="D1334" s="32" t="str">
        <f>IF($A1334="","",INDEX(APOIO!$D:$D,MATCH(CONCATENATE($A1334,"_",$B1334,"_",$C1334),APOIO!$F:$F,0)))</f>
        <v/>
      </c>
      <c r="E1334" s="31"/>
      <c r="F1334" s="31"/>
      <c r="G1334" s="33"/>
      <c r="H1334" s="105"/>
      <c r="I1334" s="32" t="str">
        <f>IF($A1334="","",VLOOKUP($H1334,APOIO!$L:$M,2,FALSE))</f>
        <v/>
      </c>
      <c r="J1334" s="31"/>
      <c r="K1334" s="32" t="str">
        <f>IF($A1334="","",VLOOKUP($J1334,APOIO!$H:$J,2,FALSE))</f>
        <v/>
      </c>
      <c r="L1334" s="32" t="str">
        <f>IF($A1334="","",VLOOKUP($J1334,APOIO!$H:$J,3,FALSE))</f>
        <v/>
      </c>
      <c r="M1334" s="31"/>
      <c r="N1334" s="34"/>
      <c r="O1334" s="32"/>
      <c r="P1334" s="32"/>
      <c r="Q1334" s="32"/>
      <c r="R1334" s="32"/>
      <c r="S1334" s="35"/>
      <c r="T1334" s="91"/>
      <c r="U1334" s="60"/>
      <c r="V1334" s="36"/>
      <c r="W1334" s="31"/>
      <c r="X1334" s="59"/>
      <c r="Y1334" s="59" t="str">
        <f>IFERROR(VLOOKUP($A1334,APOIO!$A:$A,1,FALSE),"ERRO")</f>
        <v>ERRO</v>
      </c>
      <c r="Z1334"/>
    </row>
    <row r="1335" spans="1:26" ht="15" x14ac:dyDescent="0.25">
      <c r="A1335" s="94"/>
      <c r="B1335" s="32" t="str">
        <f>IF($A1335="","",VLOOKUP($A1335,APOIO!$A:$E,2,FALSE))</f>
        <v/>
      </c>
      <c r="C1335" s="94"/>
      <c r="D1335" s="32" t="str">
        <f>IF($A1335="","",INDEX(APOIO!$D:$D,MATCH(CONCATENATE($A1335,"_",$B1335,"_",$C1335),APOIO!$F:$F,0)))</f>
        <v/>
      </c>
      <c r="E1335" s="31"/>
      <c r="F1335" s="31"/>
      <c r="G1335" s="33"/>
      <c r="H1335" s="105"/>
      <c r="I1335" s="32" t="str">
        <f>IF($A1335="","",VLOOKUP($H1335,APOIO!$L:$M,2,FALSE))</f>
        <v/>
      </c>
      <c r="J1335" s="31"/>
      <c r="K1335" s="32" t="str">
        <f>IF($A1335="","",VLOOKUP($J1335,APOIO!$H:$J,2,FALSE))</f>
        <v/>
      </c>
      <c r="L1335" s="32" t="str">
        <f>IF($A1335="","",VLOOKUP($J1335,APOIO!$H:$J,3,FALSE))</f>
        <v/>
      </c>
      <c r="M1335" s="31"/>
      <c r="N1335" s="34"/>
      <c r="O1335" s="32"/>
      <c r="P1335" s="32"/>
      <c r="Q1335" s="32"/>
      <c r="R1335" s="32"/>
      <c r="S1335" s="35"/>
      <c r="T1335" s="91"/>
      <c r="U1335" s="60"/>
      <c r="V1335" s="36"/>
      <c r="W1335" s="31"/>
      <c r="X1335" s="59"/>
      <c r="Y1335" s="59" t="str">
        <f>IFERROR(VLOOKUP($A1335,APOIO!$A:$A,1,FALSE),"ERRO")</f>
        <v>ERRO</v>
      </c>
      <c r="Z1335"/>
    </row>
    <row r="1336" spans="1:26" ht="15" x14ac:dyDescent="0.25">
      <c r="A1336" s="94"/>
      <c r="B1336" s="32" t="str">
        <f>IF($A1336="","",VLOOKUP($A1336,APOIO!$A:$E,2,FALSE))</f>
        <v/>
      </c>
      <c r="C1336" s="94"/>
      <c r="D1336" s="32" t="str">
        <f>IF($A1336="","",INDEX(APOIO!$D:$D,MATCH(CONCATENATE($A1336,"_",$B1336,"_",$C1336),APOIO!$F:$F,0)))</f>
        <v/>
      </c>
      <c r="E1336" s="31"/>
      <c r="F1336" s="31"/>
      <c r="G1336" s="33"/>
      <c r="H1336" s="105"/>
      <c r="I1336" s="32" t="str">
        <f>IF($A1336="","",VLOOKUP($H1336,APOIO!$L:$M,2,FALSE))</f>
        <v/>
      </c>
      <c r="J1336" s="31"/>
      <c r="K1336" s="32" t="str">
        <f>IF($A1336="","",VLOOKUP($J1336,APOIO!$H:$J,2,FALSE))</f>
        <v/>
      </c>
      <c r="L1336" s="32" t="str">
        <f>IF($A1336="","",VLOOKUP($J1336,APOIO!$H:$J,3,FALSE))</f>
        <v/>
      </c>
      <c r="M1336" s="31"/>
      <c r="N1336" s="34"/>
      <c r="O1336" s="32"/>
      <c r="P1336" s="32"/>
      <c r="Q1336" s="32"/>
      <c r="R1336" s="32"/>
      <c r="S1336" s="35"/>
      <c r="T1336" s="91"/>
      <c r="U1336" s="60"/>
      <c r="V1336" s="36"/>
      <c r="W1336" s="31"/>
      <c r="X1336" s="59"/>
      <c r="Y1336" s="59" t="str">
        <f>IFERROR(VLOOKUP($A1336,APOIO!$A:$A,1,FALSE),"ERRO")</f>
        <v>ERRO</v>
      </c>
      <c r="Z1336"/>
    </row>
    <row r="1337" spans="1:26" ht="15" x14ac:dyDescent="0.25">
      <c r="A1337" s="94"/>
      <c r="B1337" s="32" t="str">
        <f>IF($A1337="","",VLOOKUP($A1337,APOIO!$A:$E,2,FALSE))</f>
        <v/>
      </c>
      <c r="C1337" s="94"/>
      <c r="D1337" s="32" t="str">
        <f>IF($A1337="","",INDEX(APOIO!$D:$D,MATCH(CONCATENATE($A1337,"_",$B1337,"_",$C1337),APOIO!$F:$F,0)))</f>
        <v/>
      </c>
      <c r="E1337" s="31"/>
      <c r="F1337" s="31"/>
      <c r="G1337" s="33"/>
      <c r="H1337" s="105"/>
      <c r="I1337" s="32" t="str">
        <f>IF($A1337="","",VLOOKUP($H1337,APOIO!$L:$M,2,FALSE))</f>
        <v/>
      </c>
      <c r="J1337" s="31"/>
      <c r="K1337" s="32" t="str">
        <f>IF($A1337="","",VLOOKUP($J1337,APOIO!$H:$J,2,FALSE))</f>
        <v/>
      </c>
      <c r="L1337" s="32" t="str">
        <f>IF($A1337="","",VLOOKUP($J1337,APOIO!$H:$J,3,FALSE))</f>
        <v/>
      </c>
      <c r="M1337" s="31"/>
      <c r="N1337" s="34"/>
      <c r="O1337" s="32"/>
      <c r="P1337" s="32"/>
      <c r="Q1337" s="32"/>
      <c r="R1337" s="32"/>
      <c r="S1337" s="35"/>
      <c r="T1337" s="91"/>
      <c r="U1337" s="60"/>
      <c r="V1337" s="36"/>
      <c r="W1337" s="31"/>
      <c r="X1337" s="59"/>
      <c r="Y1337" s="59" t="str">
        <f>IFERROR(VLOOKUP($A1337,APOIO!$A:$A,1,FALSE),"ERRO")</f>
        <v>ERRO</v>
      </c>
      <c r="Z1337"/>
    </row>
    <row r="1338" spans="1:26" ht="15" x14ac:dyDescent="0.25">
      <c r="A1338" s="94"/>
      <c r="B1338" s="32" t="str">
        <f>IF($A1338="","",VLOOKUP($A1338,APOIO!$A:$E,2,FALSE))</f>
        <v/>
      </c>
      <c r="C1338" s="94"/>
      <c r="D1338" s="32" t="str">
        <f>IF($A1338="","",INDEX(APOIO!$D:$D,MATCH(CONCATENATE($A1338,"_",$B1338,"_",$C1338),APOIO!$F:$F,0)))</f>
        <v/>
      </c>
      <c r="E1338" s="31"/>
      <c r="F1338" s="31"/>
      <c r="G1338" s="33"/>
      <c r="H1338" s="105"/>
      <c r="I1338" s="32" t="str">
        <f>IF($A1338="","",VLOOKUP($H1338,APOIO!$L:$M,2,FALSE))</f>
        <v/>
      </c>
      <c r="J1338" s="31"/>
      <c r="K1338" s="32" t="str">
        <f>IF($A1338="","",VLOOKUP($J1338,APOIO!$H:$J,2,FALSE))</f>
        <v/>
      </c>
      <c r="L1338" s="32" t="str">
        <f>IF($A1338="","",VLOOKUP($J1338,APOIO!$H:$J,3,FALSE))</f>
        <v/>
      </c>
      <c r="M1338" s="31"/>
      <c r="N1338" s="34"/>
      <c r="O1338" s="32"/>
      <c r="P1338" s="32"/>
      <c r="Q1338" s="32"/>
      <c r="R1338" s="32"/>
      <c r="S1338" s="35"/>
      <c r="T1338" s="91"/>
      <c r="U1338" s="60"/>
      <c r="V1338" s="36"/>
      <c r="W1338" s="31"/>
      <c r="X1338" s="59"/>
      <c r="Y1338" s="59" t="str">
        <f>IFERROR(VLOOKUP($A1338,APOIO!$A:$A,1,FALSE),"ERRO")</f>
        <v>ERRO</v>
      </c>
      <c r="Z1338"/>
    </row>
    <row r="1339" spans="1:26" ht="15" x14ac:dyDescent="0.25">
      <c r="A1339" s="94"/>
      <c r="B1339" s="32" t="str">
        <f>IF($A1339="","",VLOOKUP($A1339,APOIO!$A:$E,2,FALSE))</f>
        <v/>
      </c>
      <c r="C1339" s="94"/>
      <c r="D1339" s="32" t="str">
        <f>IF($A1339="","",INDEX(APOIO!$D:$D,MATCH(CONCATENATE($A1339,"_",$B1339,"_",$C1339),APOIO!$F:$F,0)))</f>
        <v/>
      </c>
      <c r="E1339" s="31"/>
      <c r="F1339" s="31"/>
      <c r="G1339" s="33"/>
      <c r="H1339" s="105"/>
      <c r="I1339" s="32" t="str">
        <f>IF($A1339="","",VLOOKUP($H1339,APOIO!$L:$M,2,FALSE))</f>
        <v/>
      </c>
      <c r="J1339" s="31"/>
      <c r="K1339" s="32" t="str">
        <f>IF($A1339="","",VLOOKUP($J1339,APOIO!$H:$J,2,FALSE))</f>
        <v/>
      </c>
      <c r="L1339" s="32" t="str">
        <f>IF($A1339="","",VLOOKUP($J1339,APOIO!$H:$J,3,FALSE))</f>
        <v/>
      </c>
      <c r="M1339" s="31"/>
      <c r="N1339" s="34"/>
      <c r="O1339" s="32"/>
      <c r="P1339" s="32"/>
      <c r="Q1339" s="32"/>
      <c r="R1339" s="32"/>
      <c r="S1339" s="35"/>
      <c r="T1339" s="91"/>
      <c r="U1339" s="60"/>
      <c r="V1339" s="36"/>
      <c r="W1339" s="31"/>
      <c r="X1339" s="59"/>
      <c r="Y1339" s="59" t="str">
        <f>IFERROR(VLOOKUP($A1339,APOIO!$A:$A,1,FALSE),"ERRO")</f>
        <v>ERRO</v>
      </c>
      <c r="Z1339"/>
    </row>
    <row r="1340" spans="1:26" ht="15" x14ac:dyDescent="0.25">
      <c r="A1340" s="94"/>
      <c r="B1340" s="32" t="str">
        <f>IF($A1340="","",VLOOKUP($A1340,APOIO!$A:$E,2,FALSE))</f>
        <v/>
      </c>
      <c r="C1340" s="94"/>
      <c r="D1340" s="32" t="str">
        <f>IF($A1340="","",INDEX(APOIO!$D:$D,MATCH(CONCATENATE($A1340,"_",$B1340,"_",$C1340),APOIO!$F:$F,0)))</f>
        <v/>
      </c>
      <c r="E1340" s="31"/>
      <c r="F1340" s="31"/>
      <c r="G1340" s="33"/>
      <c r="H1340" s="105"/>
      <c r="I1340" s="32" t="str">
        <f>IF($A1340="","",VLOOKUP($H1340,APOIO!$L:$M,2,FALSE))</f>
        <v/>
      </c>
      <c r="J1340" s="31"/>
      <c r="K1340" s="32" t="str">
        <f>IF($A1340="","",VLOOKUP($J1340,APOIO!$H:$J,2,FALSE))</f>
        <v/>
      </c>
      <c r="L1340" s="32" t="str">
        <f>IF($A1340="","",VLOOKUP($J1340,APOIO!$H:$J,3,FALSE))</f>
        <v/>
      </c>
      <c r="M1340" s="31"/>
      <c r="N1340" s="34"/>
      <c r="O1340" s="32"/>
      <c r="P1340" s="32"/>
      <c r="Q1340" s="32"/>
      <c r="R1340" s="32"/>
      <c r="S1340" s="35"/>
      <c r="T1340" s="91"/>
      <c r="U1340" s="60"/>
      <c r="V1340" s="36"/>
      <c r="W1340" s="31"/>
      <c r="X1340" s="59"/>
      <c r="Y1340" s="59" t="str">
        <f>IFERROR(VLOOKUP($A1340,APOIO!$A:$A,1,FALSE),"ERRO")</f>
        <v>ERRO</v>
      </c>
      <c r="Z1340"/>
    </row>
    <row r="1341" spans="1:26" ht="15" x14ac:dyDescent="0.25">
      <c r="A1341" s="94"/>
      <c r="B1341" s="32" t="str">
        <f>IF($A1341="","",VLOOKUP($A1341,APOIO!$A:$E,2,FALSE))</f>
        <v/>
      </c>
      <c r="C1341" s="94"/>
      <c r="D1341" s="32" t="str">
        <f>IF($A1341="","",INDEX(APOIO!$D:$D,MATCH(CONCATENATE($A1341,"_",$B1341,"_",$C1341),APOIO!$F:$F,0)))</f>
        <v/>
      </c>
      <c r="E1341" s="31"/>
      <c r="F1341" s="31"/>
      <c r="G1341" s="33"/>
      <c r="H1341" s="105"/>
      <c r="I1341" s="32" t="str">
        <f>IF($A1341="","",VLOOKUP($H1341,APOIO!$L:$M,2,FALSE))</f>
        <v/>
      </c>
      <c r="J1341" s="31"/>
      <c r="K1341" s="32" t="str">
        <f>IF($A1341="","",VLOOKUP($J1341,APOIO!$H:$J,2,FALSE))</f>
        <v/>
      </c>
      <c r="L1341" s="32" t="str">
        <f>IF($A1341="","",VLOOKUP($J1341,APOIO!$H:$J,3,FALSE))</f>
        <v/>
      </c>
      <c r="M1341" s="31"/>
      <c r="N1341" s="34"/>
      <c r="O1341" s="32"/>
      <c r="P1341" s="32"/>
      <c r="Q1341" s="32"/>
      <c r="R1341" s="32"/>
      <c r="S1341" s="35"/>
      <c r="T1341" s="91"/>
      <c r="U1341" s="60"/>
      <c r="V1341" s="36"/>
      <c r="W1341" s="31"/>
      <c r="X1341" s="59"/>
      <c r="Y1341" s="59" t="str">
        <f>IFERROR(VLOOKUP($A1341,APOIO!$A:$A,1,FALSE),"ERRO")</f>
        <v>ERRO</v>
      </c>
      <c r="Z1341"/>
    </row>
    <row r="1342" spans="1:26" ht="15" x14ac:dyDescent="0.25">
      <c r="A1342" s="94"/>
      <c r="B1342" s="32" t="str">
        <f>IF($A1342="","",VLOOKUP($A1342,APOIO!$A:$E,2,FALSE))</f>
        <v/>
      </c>
      <c r="C1342" s="94"/>
      <c r="D1342" s="32" t="str">
        <f>IF($A1342="","",INDEX(APOIO!$D:$D,MATCH(CONCATENATE($A1342,"_",$B1342,"_",$C1342),APOIO!$F:$F,0)))</f>
        <v/>
      </c>
      <c r="E1342" s="31"/>
      <c r="F1342" s="31"/>
      <c r="G1342" s="33"/>
      <c r="H1342" s="105"/>
      <c r="I1342" s="32" t="str">
        <f>IF($A1342="","",VLOOKUP($H1342,APOIO!$L:$M,2,FALSE))</f>
        <v/>
      </c>
      <c r="J1342" s="31"/>
      <c r="K1342" s="32" t="str">
        <f>IF($A1342="","",VLOOKUP($J1342,APOIO!$H:$J,2,FALSE))</f>
        <v/>
      </c>
      <c r="L1342" s="32" t="str">
        <f>IF($A1342="","",VLOOKUP($J1342,APOIO!$H:$J,3,FALSE))</f>
        <v/>
      </c>
      <c r="M1342" s="31"/>
      <c r="N1342" s="34"/>
      <c r="O1342" s="32"/>
      <c r="P1342" s="32"/>
      <c r="Q1342" s="32"/>
      <c r="R1342" s="32"/>
      <c r="S1342" s="35"/>
      <c r="T1342" s="91"/>
      <c r="U1342" s="60"/>
      <c r="V1342" s="36"/>
      <c r="W1342" s="31"/>
      <c r="X1342" s="59"/>
      <c r="Y1342" s="59" t="str">
        <f>IFERROR(VLOOKUP($A1342,APOIO!$A:$A,1,FALSE),"ERRO")</f>
        <v>ERRO</v>
      </c>
      <c r="Z1342"/>
    </row>
    <row r="1343" spans="1:26" ht="15" x14ac:dyDescent="0.25">
      <c r="A1343" s="94"/>
      <c r="B1343" s="32" t="str">
        <f>IF($A1343="","",VLOOKUP($A1343,APOIO!$A:$E,2,FALSE))</f>
        <v/>
      </c>
      <c r="C1343" s="94"/>
      <c r="D1343" s="32" t="str">
        <f>IF($A1343="","",INDEX(APOIO!$D:$D,MATCH(CONCATENATE($A1343,"_",$B1343,"_",$C1343),APOIO!$F:$F,0)))</f>
        <v/>
      </c>
      <c r="E1343" s="31"/>
      <c r="F1343" s="31"/>
      <c r="G1343" s="33"/>
      <c r="H1343" s="105"/>
      <c r="I1343" s="32" t="str">
        <f>IF($A1343="","",VLOOKUP($H1343,APOIO!$L:$M,2,FALSE))</f>
        <v/>
      </c>
      <c r="J1343" s="31"/>
      <c r="K1343" s="32" t="str">
        <f>IF($A1343="","",VLOOKUP($J1343,APOIO!$H:$J,2,FALSE))</f>
        <v/>
      </c>
      <c r="L1343" s="32" t="str">
        <f>IF($A1343="","",VLOOKUP($J1343,APOIO!$H:$J,3,FALSE))</f>
        <v/>
      </c>
      <c r="M1343" s="31"/>
      <c r="N1343" s="34"/>
      <c r="O1343" s="32"/>
      <c r="P1343" s="32"/>
      <c r="Q1343" s="32"/>
      <c r="R1343" s="32"/>
      <c r="S1343" s="35"/>
      <c r="T1343" s="91"/>
      <c r="U1343" s="60"/>
      <c r="V1343" s="36"/>
      <c r="W1343" s="31"/>
      <c r="X1343" s="59"/>
      <c r="Y1343" s="59" t="str">
        <f>IFERROR(VLOOKUP($A1343,APOIO!$A:$A,1,FALSE),"ERRO")</f>
        <v>ERRO</v>
      </c>
      <c r="Z1343"/>
    </row>
    <row r="1344" spans="1:26" ht="15" x14ac:dyDescent="0.25">
      <c r="A1344" s="94"/>
      <c r="B1344" s="32" t="str">
        <f>IF($A1344="","",VLOOKUP($A1344,APOIO!$A:$E,2,FALSE))</f>
        <v/>
      </c>
      <c r="C1344" s="94"/>
      <c r="D1344" s="32" t="str">
        <f>IF($A1344="","",INDEX(APOIO!$D:$D,MATCH(CONCATENATE($A1344,"_",$B1344,"_",$C1344),APOIO!$F:$F,0)))</f>
        <v/>
      </c>
      <c r="E1344" s="31"/>
      <c r="F1344" s="31"/>
      <c r="G1344" s="33"/>
      <c r="H1344" s="105"/>
      <c r="I1344" s="32" t="str">
        <f>IF($A1344="","",VLOOKUP($H1344,APOIO!$L:$M,2,FALSE))</f>
        <v/>
      </c>
      <c r="J1344" s="31"/>
      <c r="K1344" s="32" t="str">
        <f>IF($A1344="","",VLOOKUP($J1344,APOIO!$H:$J,2,FALSE))</f>
        <v/>
      </c>
      <c r="L1344" s="32" t="str">
        <f>IF($A1344="","",VLOOKUP($J1344,APOIO!$H:$J,3,FALSE))</f>
        <v/>
      </c>
      <c r="M1344" s="31"/>
      <c r="N1344" s="34"/>
      <c r="O1344" s="32"/>
      <c r="P1344" s="32"/>
      <c r="Q1344" s="32"/>
      <c r="R1344" s="32"/>
      <c r="S1344" s="35"/>
      <c r="T1344" s="91"/>
      <c r="U1344" s="60"/>
      <c r="V1344" s="36"/>
      <c r="W1344" s="31"/>
      <c r="X1344" s="59"/>
      <c r="Y1344" s="59" t="str">
        <f>IFERROR(VLOOKUP($A1344,APOIO!$A:$A,1,FALSE),"ERRO")</f>
        <v>ERRO</v>
      </c>
      <c r="Z1344"/>
    </row>
    <row r="1345" spans="1:26" ht="15" x14ac:dyDescent="0.25">
      <c r="A1345" s="94"/>
      <c r="B1345" s="32" t="str">
        <f>IF($A1345="","",VLOOKUP($A1345,APOIO!$A:$E,2,FALSE))</f>
        <v/>
      </c>
      <c r="C1345" s="94"/>
      <c r="D1345" s="32" t="str">
        <f>IF($A1345="","",INDEX(APOIO!$D:$D,MATCH(CONCATENATE($A1345,"_",$B1345,"_",$C1345),APOIO!$F:$F,0)))</f>
        <v/>
      </c>
      <c r="E1345" s="31"/>
      <c r="F1345" s="31"/>
      <c r="G1345" s="33"/>
      <c r="H1345" s="105"/>
      <c r="I1345" s="32" t="str">
        <f>IF($A1345="","",VLOOKUP($H1345,APOIO!$L:$M,2,FALSE))</f>
        <v/>
      </c>
      <c r="J1345" s="31"/>
      <c r="K1345" s="32" t="str">
        <f>IF($A1345="","",VLOOKUP($J1345,APOIO!$H:$J,2,FALSE))</f>
        <v/>
      </c>
      <c r="L1345" s="32" t="str">
        <f>IF($A1345="","",VLOOKUP($J1345,APOIO!$H:$J,3,FALSE))</f>
        <v/>
      </c>
      <c r="M1345" s="31"/>
      <c r="N1345" s="34"/>
      <c r="O1345" s="32"/>
      <c r="P1345" s="32"/>
      <c r="Q1345" s="32"/>
      <c r="R1345" s="32"/>
      <c r="S1345" s="35"/>
      <c r="T1345" s="91"/>
      <c r="U1345" s="60"/>
      <c r="V1345" s="36"/>
      <c r="W1345" s="31"/>
      <c r="X1345" s="59"/>
      <c r="Y1345" s="59" t="str">
        <f>IFERROR(VLOOKUP($A1345,APOIO!$A:$A,1,FALSE),"ERRO")</f>
        <v>ERRO</v>
      </c>
      <c r="Z1345"/>
    </row>
    <row r="1346" spans="1:26" ht="15" x14ac:dyDescent="0.25">
      <c r="A1346" s="94"/>
      <c r="B1346" s="32" t="str">
        <f>IF($A1346="","",VLOOKUP($A1346,APOIO!$A:$E,2,FALSE))</f>
        <v/>
      </c>
      <c r="C1346" s="94"/>
      <c r="D1346" s="32" t="str">
        <f>IF($A1346="","",INDEX(APOIO!$D:$D,MATCH(CONCATENATE($A1346,"_",$B1346,"_",$C1346),APOIO!$F:$F,0)))</f>
        <v/>
      </c>
      <c r="E1346" s="31"/>
      <c r="F1346" s="31"/>
      <c r="G1346" s="33"/>
      <c r="H1346" s="105"/>
      <c r="I1346" s="32" t="str">
        <f>IF($A1346="","",VLOOKUP($H1346,APOIO!$L:$M,2,FALSE))</f>
        <v/>
      </c>
      <c r="J1346" s="31"/>
      <c r="K1346" s="32" t="str">
        <f>IF($A1346="","",VLOOKUP($J1346,APOIO!$H:$J,2,FALSE))</f>
        <v/>
      </c>
      <c r="L1346" s="32" t="str">
        <f>IF($A1346="","",VLOOKUP($J1346,APOIO!$H:$J,3,FALSE))</f>
        <v/>
      </c>
      <c r="M1346" s="31"/>
      <c r="N1346" s="34"/>
      <c r="O1346" s="32"/>
      <c r="P1346" s="32"/>
      <c r="Q1346" s="32"/>
      <c r="R1346" s="32"/>
      <c r="S1346" s="35"/>
      <c r="T1346" s="91"/>
      <c r="U1346" s="60"/>
      <c r="V1346" s="36"/>
      <c r="W1346" s="31"/>
      <c r="X1346" s="59"/>
      <c r="Y1346" s="59" t="str">
        <f>IFERROR(VLOOKUP($A1346,APOIO!$A:$A,1,FALSE),"ERRO")</f>
        <v>ERRO</v>
      </c>
      <c r="Z1346"/>
    </row>
    <row r="1347" spans="1:26" ht="15" x14ac:dyDescent="0.25">
      <c r="A1347" s="94"/>
      <c r="B1347" s="32" t="str">
        <f>IF($A1347="","",VLOOKUP($A1347,APOIO!$A:$E,2,FALSE))</f>
        <v/>
      </c>
      <c r="C1347" s="94"/>
      <c r="D1347" s="32" t="str">
        <f>IF($A1347="","",INDEX(APOIO!$D:$D,MATCH(CONCATENATE($A1347,"_",$B1347,"_",$C1347),APOIO!$F:$F,0)))</f>
        <v/>
      </c>
      <c r="E1347" s="31"/>
      <c r="F1347" s="31"/>
      <c r="G1347" s="33"/>
      <c r="H1347" s="105"/>
      <c r="I1347" s="32" t="str">
        <f>IF($A1347="","",VLOOKUP($H1347,APOIO!$L:$M,2,FALSE))</f>
        <v/>
      </c>
      <c r="J1347" s="31"/>
      <c r="K1347" s="32" t="str">
        <f>IF($A1347="","",VLOOKUP($J1347,APOIO!$H:$J,2,FALSE))</f>
        <v/>
      </c>
      <c r="L1347" s="32" t="str">
        <f>IF($A1347="","",VLOOKUP($J1347,APOIO!$H:$J,3,FALSE))</f>
        <v/>
      </c>
      <c r="M1347" s="31"/>
      <c r="N1347" s="34"/>
      <c r="O1347" s="32"/>
      <c r="P1347" s="32"/>
      <c r="Q1347" s="32"/>
      <c r="R1347" s="32"/>
      <c r="S1347" s="35"/>
      <c r="T1347" s="91"/>
      <c r="U1347" s="60"/>
      <c r="V1347" s="36"/>
      <c r="W1347" s="31"/>
      <c r="X1347" s="59"/>
      <c r="Y1347" s="59" t="str">
        <f>IFERROR(VLOOKUP($A1347,APOIO!$A:$A,1,FALSE),"ERRO")</f>
        <v>ERRO</v>
      </c>
      <c r="Z1347"/>
    </row>
    <row r="1348" spans="1:26" ht="15" x14ac:dyDescent="0.25">
      <c r="A1348" s="94"/>
      <c r="B1348" s="32" t="str">
        <f>IF($A1348="","",VLOOKUP($A1348,APOIO!$A:$E,2,FALSE))</f>
        <v/>
      </c>
      <c r="C1348" s="94"/>
      <c r="D1348" s="32" t="str">
        <f>IF($A1348="","",INDEX(APOIO!$D:$D,MATCH(CONCATENATE($A1348,"_",$B1348,"_",$C1348),APOIO!$F:$F,0)))</f>
        <v/>
      </c>
      <c r="E1348" s="31"/>
      <c r="F1348" s="31"/>
      <c r="G1348" s="33"/>
      <c r="H1348" s="105"/>
      <c r="I1348" s="32" t="str">
        <f>IF($A1348="","",VLOOKUP($H1348,APOIO!$L:$M,2,FALSE))</f>
        <v/>
      </c>
      <c r="J1348" s="31"/>
      <c r="K1348" s="32" t="str">
        <f>IF($A1348="","",VLOOKUP($J1348,APOIO!$H:$J,2,FALSE))</f>
        <v/>
      </c>
      <c r="L1348" s="32" t="str">
        <f>IF($A1348="","",VLOOKUP($J1348,APOIO!$H:$J,3,FALSE))</f>
        <v/>
      </c>
      <c r="M1348" s="31"/>
      <c r="N1348" s="34"/>
      <c r="O1348" s="32"/>
      <c r="P1348" s="32"/>
      <c r="Q1348" s="32"/>
      <c r="R1348" s="32"/>
      <c r="S1348" s="35"/>
      <c r="T1348" s="91"/>
      <c r="U1348" s="60"/>
      <c r="V1348" s="36"/>
      <c r="W1348" s="31"/>
      <c r="X1348" s="59"/>
      <c r="Y1348" s="59" t="str">
        <f>IFERROR(VLOOKUP($A1348,APOIO!$A:$A,1,FALSE),"ERRO")</f>
        <v>ERRO</v>
      </c>
      <c r="Z1348"/>
    </row>
    <row r="1349" spans="1:26" ht="15" x14ac:dyDescent="0.25">
      <c r="A1349" s="94"/>
      <c r="B1349" s="32" t="str">
        <f>IF($A1349="","",VLOOKUP($A1349,APOIO!$A:$E,2,FALSE))</f>
        <v/>
      </c>
      <c r="C1349" s="94"/>
      <c r="D1349" s="32" t="str">
        <f>IF($A1349="","",INDEX(APOIO!$D:$D,MATCH(CONCATENATE($A1349,"_",$B1349,"_",$C1349),APOIO!$F:$F,0)))</f>
        <v/>
      </c>
      <c r="E1349" s="31"/>
      <c r="F1349" s="31"/>
      <c r="G1349" s="33"/>
      <c r="H1349" s="105"/>
      <c r="I1349" s="32" t="str">
        <f>IF($A1349="","",VLOOKUP($H1349,APOIO!$L:$M,2,FALSE))</f>
        <v/>
      </c>
      <c r="J1349" s="31"/>
      <c r="K1349" s="32" t="str">
        <f>IF($A1349="","",VLOOKUP($J1349,APOIO!$H:$J,2,FALSE))</f>
        <v/>
      </c>
      <c r="L1349" s="32" t="str">
        <f>IF($A1349="","",VLOOKUP($J1349,APOIO!$H:$J,3,FALSE))</f>
        <v/>
      </c>
      <c r="M1349" s="31"/>
      <c r="N1349" s="34"/>
      <c r="O1349" s="32"/>
      <c r="P1349" s="32"/>
      <c r="Q1349" s="32"/>
      <c r="R1349" s="32"/>
      <c r="S1349" s="35"/>
      <c r="T1349" s="91"/>
      <c r="U1349" s="60"/>
      <c r="V1349" s="36"/>
      <c r="W1349" s="31"/>
      <c r="X1349" s="59"/>
      <c r="Y1349" s="59" t="str">
        <f>IFERROR(VLOOKUP($A1349,APOIO!$A:$A,1,FALSE),"ERRO")</f>
        <v>ERRO</v>
      </c>
      <c r="Z1349"/>
    </row>
    <row r="1350" spans="1:26" ht="15" x14ac:dyDescent="0.25">
      <c r="A1350" s="94"/>
      <c r="B1350" s="32" t="str">
        <f>IF($A1350="","",VLOOKUP($A1350,APOIO!$A:$E,2,FALSE))</f>
        <v/>
      </c>
      <c r="C1350" s="94"/>
      <c r="D1350" s="32" t="str">
        <f>IF($A1350="","",INDEX(APOIO!$D:$D,MATCH(CONCATENATE($A1350,"_",$B1350,"_",$C1350),APOIO!$F:$F,0)))</f>
        <v/>
      </c>
      <c r="E1350" s="31"/>
      <c r="F1350" s="31"/>
      <c r="G1350" s="33"/>
      <c r="H1350" s="105"/>
      <c r="I1350" s="32" t="str">
        <f>IF($A1350="","",VLOOKUP($H1350,APOIO!$L:$M,2,FALSE))</f>
        <v/>
      </c>
      <c r="J1350" s="31"/>
      <c r="K1350" s="32" t="str">
        <f>IF($A1350="","",VLOOKUP($J1350,APOIO!$H:$J,2,FALSE))</f>
        <v/>
      </c>
      <c r="L1350" s="32" t="str">
        <f>IF($A1350="","",VLOOKUP($J1350,APOIO!$H:$J,3,FALSE))</f>
        <v/>
      </c>
      <c r="M1350" s="31"/>
      <c r="N1350" s="34"/>
      <c r="O1350" s="32"/>
      <c r="P1350" s="32"/>
      <c r="Q1350" s="32"/>
      <c r="R1350" s="32"/>
      <c r="S1350" s="35"/>
      <c r="T1350" s="91"/>
      <c r="U1350" s="60"/>
      <c r="V1350" s="36"/>
      <c r="W1350" s="31"/>
      <c r="X1350" s="59"/>
      <c r="Y1350" s="59" t="str">
        <f>IFERROR(VLOOKUP($A1350,APOIO!$A:$A,1,FALSE),"ERRO")</f>
        <v>ERRO</v>
      </c>
      <c r="Z1350"/>
    </row>
    <row r="1351" spans="1:26" ht="15" x14ac:dyDescent="0.25">
      <c r="A1351" s="94"/>
      <c r="B1351" s="32" t="str">
        <f>IF($A1351="","",VLOOKUP($A1351,APOIO!$A:$E,2,FALSE))</f>
        <v/>
      </c>
      <c r="C1351" s="94"/>
      <c r="D1351" s="32" t="str">
        <f>IF($A1351="","",INDEX(APOIO!$D:$D,MATCH(CONCATENATE($A1351,"_",$B1351,"_",$C1351),APOIO!$F:$F,0)))</f>
        <v/>
      </c>
      <c r="E1351" s="31"/>
      <c r="F1351" s="31"/>
      <c r="G1351" s="33"/>
      <c r="H1351" s="105"/>
      <c r="I1351" s="32" t="str">
        <f>IF($A1351="","",VLOOKUP($H1351,APOIO!$L:$M,2,FALSE))</f>
        <v/>
      </c>
      <c r="J1351" s="31"/>
      <c r="K1351" s="32" t="str">
        <f>IF($A1351="","",VLOOKUP($J1351,APOIO!$H:$J,2,FALSE))</f>
        <v/>
      </c>
      <c r="L1351" s="32" t="str">
        <f>IF($A1351="","",VLOOKUP($J1351,APOIO!$H:$J,3,FALSE))</f>
        <v/>
      </c>
      <c r="M1351" s="31"/>
      <c r="N1351" s="34"/>
      <c r="O1351" s="32"/>
      <c r="P1351" s="32"/>
      <c r="Q1351" s="32"/>
      <c r="R1351" s="32"/>
      <c r="S1351" s="35"/>
      <c r="T1351" s="91"/>
      <c r="U1351" s="60"/>
      <c r="V1351" s="36"/>
      <c r="W1351" s="31"/>
      <c r="X1351" s="59"/>
      <c r="Y1351" s="59" t="str">
        <f>IFERROR(VLOOKUP($A1351,APOIO!$A:$A,1,FALSE),"ERRO")</f>
        <v>ERRO</v>
      </c>
      <c r="Z1351"/>
    </row>
    <row r="1352" spans="1:26" ht="15" x14ac:dyDescent="0.25">
      <c r="A1352" s="94"/>
      <c r="B1352" s="32" t="str">
        <f>IF($A1352="","",VLOOKUP($A1352,APOIO!$A:$E,2,FALSE))</f>
        <v/>
      </c>
      <c r="C1352" s="94"/>
      <c r="D1352" s="32" t="str">
        <f>IF($A1352="","",INDEX(APOIO!$D:$D,MATCH(CONCATENATE($A1352,"_",$B1352,"_",$C1352),APOIO!$F:$F,0)))</f>
        <v/>
      </c>
      <c r="E1352" s="31"/>
      <c r="F1352" s="31"/>
      <c r="G1352" s="33"/>
      <c r="H1352" s="105"/>
      <c r="I1352" s="32" t="str">
        <f>IF($A1352="","",VLOOKUP($H1352,APOIO!$L:$M,2,FALSE))</f>
        <v/>
      </c>
      <c r="J1352" s="31"/>
      <c r="K1352" s="32" t="str">
        <f>IF($A1352="","",VLOOKUP($J1352,APOIO!$H:$J,2,FALSE))</f>
        <v/>
      </c>
      <c r="L1352" s="32" t="str">
        <f>IF($A1352="","",VLOOKUP($J1352,APOIO!$H:$J,3,FALSE))</f>
        <v/>
      </c>
      <c r="M1352" s="31"/>
      <c r="N1352" s="34"/>
      <c r="O1352" s="32"/>
      <c r="P1352" s="32"/>
      <c r="Q1352" s="32"/>
      <c r="R1352" s="32"/>
      <c r="S1352" s="35"/>
      <c r="T1352" s="91"/>
      <c r="U1352" s="60"/>
      <c r="V1352" s="36"/>
      <c r="W1352" s="31"/>
      <c r="X1352" s="59"/>
      <c r="Y1352" s="59" t="str">
        <f>IFERROR(VLOOKUP($A1352,APOIO!$A:$A,1,FALSE),"ERRO")</f>
        <v>ERRO</v>
      </c>
      <c r="Z1352"/>
    </row>
    <row r="1353" spans="1:26" ht="15" x14ac:dyDescent="0.25">
      <c r="A1353" s="94"/>
      <c r="B1353" s="32" t="str">
        <f>IF($A1353="","",VLOOKUP($A1353,APOIO!$A:$E,2,FALSE))</f>
        <v/>
      </c>
      <c r="C1353" s="94"/>
      <c r="D1353" s="32" t="str">
        <f>IF($A1353="","",INDEX(APOIO!$D:$D,MATCH(CONCATENATE($A1353,"_",$B1353,"_",$C1353),APOIO!$F:$F,0)))</f>
        <v/>
      </c>
      <c r="E1353" s="31"/>
      <c r="F1353" s="31"/>
      <c r="G1353" s="33"/>
      <c r="H1353" s="105"/>
      <c r="I1353" s="32" t="str">
        <f>IF($A1353="","",VLOOKUP($H1353,APOIO!$L:$M,2,FALSE))</f>
        <v/>
      </c>
      <c r="J1353" s="31"/>
      <c r="K1353" s="32" t="str">
        <f>IF($A1353="","",VLOOKUP($J1353,APOIO!$H:$J,2,FALSE))</f>
        <v/>
      </c>
      <c r="L1353" s="32" t="str">
        <f>IF($A1353="","",VLOOKUP($J1353,APOIO!$H:$J,3,FALSE))</f>
        <v/>
      </c>
      <c r="M1353" s="31"/>
      <c r="N1353" s="34"/>
      <c r="O1353" s="32"/>
      <c r="P1353" s="32"/>
      <c r="Q1353" s="32"/>
      <c r="R1353" s="32"/>
      <c r="S1353" s="35"/>
      <c r="T1353" s="91"/>
      <c r="U1353" s="60"/>
      <c r="V1353" s="36"/>
      <c r="W1353" s="31"/>
      <c r="X1353" s="59"/>
      <c r="Y1353" s="59" t="str">
        <f>IFERROR(VLOOKUP($A1353,APOIO!$A:$A,1,FALSE),"ERRO")</f>
        <v>ERRO</v>
      </c>
      <c r="Z1353"/>
    </row>
    <row r="1354" spans="1:26" ht="15" x14ac:dyDescent="0.25">
      <c r="A1354" s="94"/>
      <c r="B1354" s="32" t="str">
        <f>IF($A1354="","",VLOOKUP($A1354,APOIO!$A:$E,2,FALSE))</f>
        <v/>
      </c>
      <c r="C1354" s="94"/>
      <c r="D1354" s="32" t="str">
        <f>IF($A1354="","",INDEX(APOIO!$D:$D,MATCH(CONCATENATE($A1354,"_",$B1354,"_",$C1354),APOIO!$F:$F,0)))</f>
        <v/>
      </c>
      <c r="E1354" s="31"/>
      <c r="F1354" s="31"/>
      <c r="G1354" s="33"/>
      <c r="H1354" s="105"/>
      <c r="I1354" s="32" t="str">
        <f>IF($A1354="","",VLOOKUP($H1354,APOIO!$L:$M,2,FALSE))</f>
        <v/>
      </c>
      <c r="J1354" s="31"/>
      <c r="K1354" s="32" t="str">
        <f>IF($A1354="","",VLOOKUP($J1354,APOIO!$H:$J,2,FALSE))</f>
        <v/>
      </c>
      <c r="L1354" s="32" t="str">
        <f>IF($A1354="","",VLOOKUP($J1354,APOIO!$H:$J,3,FALSE))</f>
        <v/>
      </c>
      <c r="M1354" s="31"/>
      <c r="N1354" s="34"/>
      <c r="O1354" s="32"/>
      <c r="P1354" s="32"/>
      <c r="Q1354" s="32"/>
      <c r="R1354" s="32"/>
      <c r="S1354" s="35"/>
      <c r="T1354" s="91"/>
      <c r="U1354" s="60"/>
      <c r="V1354" s="36"/>
      <c r="W1354" s="31"/>
      <c r="X1354" s="59"/>
      <c r="Y1354" s="59" t="str">
        <f>IFERROR(VLOOKUP($A1354,APOIO!$A:$A,1,FALSE),"ERRO")</f>
        <v>ERRO</v>
      </c>
      <c r="Z1354"/>
    </row>
    <row r="1355" spans="1:26" ht="15" x14ac:dyDescent="0.25">
      <c r="A1355" s="94"/>
      <c r="B1355" s="32" t="str">
        <f>IF($A1355="","",VLOOKUP($A1355,APOIO!$A:$E,2,FALSE))</f>
        <v/>
      </c>
      <c r="C1355" s="94"/>
      <c r="D1355" s="32" t="str">
        <f>IF($A1355="","",INDEX(APOIO!$D:$D,MATCH(CONCATENATE($A1355,"_",$B1355,"_",$C1355),APOIO!$F:$F,0)))</f>
        <v/>
      </c>
      <c r="E1355" s="31"/>
      <c r="F1355" s="31"/>
      <c r="G1355" s="33"/>
      <c r="H1355" s="105"/>
      <c r="I1355" s="32" t="str">
        <f>IF($A1355="","",VLOOKUP($H1355,APOIO!$L:$M,2,FALSE))</f>
        <v/>
      </c>
      <c r="J1355" s="31"/>
      <c r="K1355" s="32" t="str">
        <f>IF($A1355="","",VLOOKUP($J1355,APOIO!$H:$J,2,FALSE))</f>
        <v/>
      </c>
      <c r="L1355" s="32" t="str">
        <f>IF($A1355="","",VLOOKUP($J1355,APOIO!$H:$J,3,FALSE))</f>
        <v/>
      </c>
      <c r="M1355" s="31"/>
      <c r="N1355" s="34"/>
      <c r="O1355" s="32"/>
      <c r="P1355" s="32"/>
      <c r="Q1355" s="32"/>
      <c r="R1355" s="32"/>
      <c r="S1355" s="35"/>
      <c r="T1355" s="91"/>
      <c r="U1355" s="60"/>
      <c r="V1355" s="36"/>
      <c r="W1355" s="31"/>
      <c r="X1355" s="59"/>
      <c r="Y1355" s="59" t="str">
        <f>IFERROR(VLOOKUP($A1355,APOIO!$A:$A,1,FALSE),"ERRO")</f>
        <v>ERRO</v>
      </c>
      <c r="Z1355"/>
    </row>
    <row r="1356" spans="1:26" ht="15" x14ac:dyDescent="0.25">
      <c r="A1356" s="94"/>
      <c r="B1356" s="32" t="str">
        <f>IF($A1356="","",VLOOKUP($A1356,APOIO!$A:$E,2,FALSE))</f>
        <v/>
      </c>
      <c r="C1356" s="94"/>
      <c r="D1356" s="32" t="str">
        <f>IF($A1356="","",INDEX(APOIO!$D:$D,MATCH(CONCATENATE($A1356,"_",$B1356,"_",$C1356),APOIO!$F:$F,0)))</f>
        <v/>
      </c>
      <c r="E1356" s="31"/>
      <c r="F1356" s="31"/>
      <c r="G1356" s="33"/>
      <c r="H1356" s="105"/>
      <c r="I1356" s="32" t="str">
        <f>IF($A1356="","",VLOOKUP($H1356,APOIO!$L:$M,2,FALSE))</f>
        <v/>
      </c>
      <c r="J1356" s="31"/>
      <c r="K1356" s="32" t="str">
        <f>IF($A1356="","",VLOOKUP($J1356,APOIO!$H:$J,2,FALSE))</f>
        <v/>
      </c>
      <c r="L1356" s="32" t="str">
        <f>IF($A1356="","",VLOOKUP($J1356,APOIO!$H:$J,3,FALSE))</f>
        <v/>
      </c>
      <c r="M1356" s="31"/>
      <c r="N1356" s="34"/>
      <c r="O1356" s="32"/>
      <c r="P1356" s="32"/>
      <c r="Q1356" s="32"/>
      <c r="R1356" s="32"/>
      <c r="S1356" s="35"/>
      <c r="T1356" s="91"/>
      <c r="U1356" s="60"/>
      <c r="V1356" s="36"/>
      <c r="W1356" s="31"/>
      <c r="X1356" s="59"/>
      <c r="Y1356" s="59" t="str">
        <f>IFERROR(VLOOKUP($A1356,APOIO!$A:$A,1,FALSE),"ERRO")</f>
        <v>ERRO</v>
      </c>
      <c r="Z1356"/>
    </row>
    <row r="1357" spans="1:26" ht="15" x14ac:dyDescent="0.25">
      <c r="A1357" s="94"/>
      <c r="B1357" s="32" t="str">
        <f>IF($A1357="","",VLOOKUP($A1357,APOIO!$A:$E,2,FALSE))</f>
        <v/>
      </c>
      <c r="C1357" s="94"/>
      <c r="D1357" s="32" t="str">
        <f>IF($A1357="","",INDEX(APOIO!$D:$D,MATCH(CONCATENATE($A1357,"_",$B1357,"_",$C1357),APOIO!$F:$F,0)))</f>
        <v/>
      </c>
      <c r="E1357" s="31"/>
      <c r="F1357" s="31"/>
      <c r="G1357" s="33"/>
      <c r="H1357" s="105"/>
      <c r="I1357" s="32" t="str">
        <f>IF($A1357="","",VLOOKUP($H1357,APOIO!$L:$M,2,FALSE))</f>
        <v/>
      </c>
      <c r="J1357" s="31"/>
      <c r="K1357" s="32" t="str">
        <f>IF($A1357="","",VLOOKUP($J1357,APOIO!$H:$J,2,FALSE))</f>
        <v/>
      </c>
      <c r="L1357" s="32" t="str">
        <f>IF($A1357="","",VLOOKUP($J1357,APOIO!$H:$J,3,FALSE))</f>
        <v/>
      </c>
      <c r="M1357" s="31"/>
      <c r="N1357" s="34"/>
      <c r="O1357" s="32"/>
      <c r="P1357" s="32"/>
      <c r="Q1357" s="32"/>
      <c r="R1357" s="32"/>
      <c r="S1357" s="35"/>
      <c r="T1357" s="91"/>
      <c r="U1357" s="60"/>
      <c r="V1357" s="36"/>
      <c r="W1357" s="31"/>
      <c r="X1357" s="59"/>
      <c r="Y1357" s="59" t="str">
        <f>IFERROR(VLOOKUP($A1357,APOIO!$A:$A,1,FALSE),"ERRO")</f>
        <v>ERRO</v>
      </c>
      <c r="Z1357"/>
    </row>
    <row r="1358" spans="1:26" ht="15" x14ac:dyDescent="0.25">
      <c r="A1358" s="94"/>
      <c r="B1358" s="32" t="str">
        <f>IF($A1358="","",VLOOKUP($A1358,APOIO!$A:$E,2,FALSE))</f>
        <v/>
      </c>
      <c r="C1358" s="94"/>
      <c r="D1358" s="32" t="str">
        <f>IF($A1358="","",INDEX(APOIO!$D:$D,MATCH(CONCATENATE($A1358,"_",$B1358,"_",$C1358),APOIO!$F:$F,0)))</f>
        <v/>
      </c>
      <c r="E1358" s="31"/>
      <c r="F1358" s="31"/>
      <c r="G1358" s="33"/>
      <c r="H1358" s="105"/>
      <c r="I1358" s="32" t="str">
        <f>IF($A1358="","",VLOOKUP($H1358,APOIO!$L:$M,2,FALSE))</f>
        <v/>
      </c>
      <c r="J1358" s="31"/>
      <c r="K1358" s="32" t="str">
        <f>IF($A1358="","",VLOOKUP($J1358,APOIO!$H:$J,2,FALSE))</f>
        <v/>
      </c>
      <c r="L1358" s="32" t="str">
        <f>IF($A1358="","",VLOOKUP($J1358,APOIO!$H:$J,3,FALSE))</f>
        <v/>
      </c>
      <c r="M1358" s="31"/>
      <c r="N1358" s="34"/>
      <c r="O1358" s="32"/>
      <c r="P1358" s="32"/>
      <c r="Q1358" s="32"/>
      <c r="R1358" s="32"/>
      <c r="S1358" s="35"/>
      <c r="T1358" s="91"/>
      <c r="U1358" s="60"/>
      <c r="V1358" s="36"/>
      <c r="W1358" s="31"/>
      <c r="X1358" s="59"/>
      <c r="Y1358" s="59" t="str">
        <f>IFERROR(VLOOKUP($A1358,APOIO!$A:$A,1,FALSE),"ERRO")</f>
        <v>ERRO</v>
      </c>
      <c r="Z1358"/>
    </row>
    <row r="1359" spans="1:26" ht="15" x14ac:dyDescent="0.25">
      <c r="A1359" s="94"/>
      <c r="B1359" s="32" t="str">
        <f>IF($A1359="","",VLOOKUP($A1359,APOIO!$A:$E,2,FALSE))</f>
        <v/>
      </c>
      <c r="C1359" s="94"/>
      <c r="D1359" s="32" t="str">
        <f>IF($A1359="","",INDEX(APOIO!$D:$D,MATCH(CONCATENATE($A1359,"_",$B1359,"_",$C1359),APOIO!$F:$F,0)))</f>
        <v/>
      </c>
      <c r="E1359" s="31"/>
      <c r="F1359" s="31"/>
      <c r="G1359" s="33"/>
      <c r="H1359" s="105"/>
      <c r="I1359" s="32" t="str">
        <f>IF($A1359="","",VLOOKUP($H1359,APOIO!$L:$M,2,FALSE))</f>
        <v/>
      </c>
      <c r="J1359" s="31"/>
      <c r="K1359" s="32" t="str">
        <f>IF($A1359="","",VLOOKUP($J1359,APOIO!$H:$J,2,FALSE))</f>
        <v/>
      </c>
      <c r="L1359" s="32" t="str">
        <f>IF($A1359="","",VLOOKUP($J1359,APOIO!$H:$J,3,FALSE))</f>
        <v/>
      </c>
      <c r="M1359" s="31"/>
      <c r="N1359" s="34"/>
      <c r="O1359" s="32"/>
      <c r="P1359" s="32"/>
      <c r="Q1359" s="32"/>
      <c r="R1359" s="32"/>
      <c r="S1359" s="35"/>
      <c r="T1359" s="91"/>
      <c r="U1359" s="60"/>
      <c r="V1359" s="36"/>
      <c r="W1359" s="31"/>
      <c r="X1359" s="59"/>
      <c r="Y1359" s="59" t="str">
        <f>IFERROR(VLOOKUP($A1359,APOIO!$A:$A,1,FALSE),"ERRO")</f>
        <v>ERRO</v>
      </c>
      <c r="Z1359"/>
    </row>
    <row r="1360" spans="1:26" ht="15" x14ac:dyDescent="0.25">
      <c r="A1360" s="94"/>
      <c r="B1360" s="32" t="str">
        <f>IF($A1360="","",VLOOKUP($A1360,APOIO!$A:$E,2,FALSE))</f>
        <v/>
      </c>
      <c r="C1360" s="94"/>
      <c r="D1360" s="32" t="str">
        <f>IF($A1360="","",INDEX(APOIO!$D:$D,MATCH(CONCATENATE($A1360,"_",$B1360,"_",$C1360),APOIO!$F:$F,0)))</f>
        <v/>
      </c>
      <c r="E1360" s="31"/>
      <c r="F1360" s="31"/>
      <c r="G1360" s="33"/>
      <c r="H1360" s="105"/>
      <c r="I1360" s="32" t="str">
        <f>IF($A1360="","",VLOOKUP($H1360,APOIO!$L:$M,2,FALSE))</f>
        <v/>
      </c>
      <c r="J1360" s="31"/>
      <c r="K1360" s="32" t="str">
        <f>IF($A1360="","",VLOOKUP($J1360,APOIO!$H:$J,2,FALSE))</f>
        <v/>
      </c>
      <c r="L1360" s="32" t="str">
        <f>IF($A1360="","",VLOOKUP($J1360,APOIO!$H:$J,3,FALSE))</f>
        <v/>
      </c>
      <c r="M1360" s="31"/>
      <c r="N1360" s="34"/>
      <c r="O1360" s="32"/>
      <c r="P1360" s="32"/>
      <c r="Q1360" s="32"/>
      <c r="R1360" s="32"/>
      <c r="S1360" s="35"/>
      <c r="T1360" s="91"/>
      <c r="U1360" s="60"/>
      <c r="V1360" s="36"/>
      <c r="W1360" s="31"/>
      <c r="X1360" s="59"/>
      <c r="Y1360" s="59" t="str">
        <f>IFERROR(VLOOKUP($A1360,APOIO!$A:$A,1,FALSE),"ERRO")</f>
        <v>ERRO</v>
      </c>
      <c r="Z1360"/>
    </row>
    <row r="1361" spans="1:26" ht="15" x14ac:dyDescent="0.25">
      <c r="A1361" s="94"/>
      <c r="B1361" s="32" t="str">
        <f>IF($A1361="","",VLOOKUP($A1361,APOIO!$A:$E,2,FALSE))</f>
        <v/>
      </c>
      <c r="C1361" s="94"/>
      <c r="D1361" s="32" t="str">
        <f>IF($A1361="","",INDEX(APOIO!$D:$D,MATCH(CONCATENATE($A1361,"_",$B1361,"_",$C1361),APOIO!$F:$F,0)))</f>
        <v/>
      </c>
      <c r="E1361" s="31"/>
      <c r="F1361" s="31"/>
      <c r="G1361" s="33"/>
      <c r="H1361" s="105"/>
      <c r="I1361" s="32" t="str">
        <f>IF($A1361="","",VLOOKUP($H1361,APOIO!$L:$M,2,FALSE))</f>
        <v/>
      </c>
      <c r="J1361" s="31"/>
      <c r="K1361" s="32" t="str">
        <f>IF($A1361="","",VLOOKUP($J1361,APOIO!$H:$J,2,FALSE))</f>
        <v/>
      </c>
      <c r="L1361" s="32" t="str">
        <f>IF($A1361="","",VLOOKUP($J1361,APOIO!$H:$J,3,FALSE))</f>
        <v/>
      </c>
      <c r="M1361" s="31"/>
      <c r="N1361" s="34"/>
      <c r="O1361" s="32"/>
      <c r="P1361" s="32"/>
      <c r="Q1361" s="32"/>
      <c r="R1361" s="32"/>
      <c r="S1361" s="35"/>
      <c r="T1361" s="91"/>
      <c r="U1361" s="60"/>
      <c r="V1361" s="36"/>
      <c r="W1361" s="31"/>
      <c r="X1361" s="59"/>
      <c r="Y1361" s="59" t="str">
        <f>IFERROR(VLOOKUP($A1361,APOIO!$A:$A,1,FALSE),"ERRO")</f>
        <v>ERRO</v>
      </c>
      <c r="Z1361"/>
    </row>
    <row r="1362" spans="1:26" ht="15" x14ac:dyDescent="0.25">
      <c r="A1362" s="94"/>
      <c r="B1362" s="32" t="str">
        <f>IF($A1362="","",VLOOKUP($A1362,APOIO!$A:$E,2,FALSE))</f>
        <v/>
      </c>
      <c r="C1362" s="94"/>
      <c r="D1362" s="32" t="str">
        <f>IF($A1362="","",INDEX(APOIO!$D:$D,MATCH(CONCATENATE($A1362,"_",$B1362,"_",$C1362),APOIO!$F:$F,0)))</f>
        <v/>
      </c>
      <c r="E1362" s="31"/>
      <c r="F1362" s="31"/>
      <c r="G1362" s="33"/>
      <c r="H1362" s="105"/>
      <c r="I1362" s="32" t="str">
        <f>IF($A1362="","",VLOOKUP($H1362,APOIO!$L:$M,2,FALSE))</f>
        <v/>
      </c>
      <c r="J1362" s="31"/>
      <c r="K1362" s="32" t="str">
        <f>IF($A1362="","",VLOOKUP($J1362,APOIO!$H:$J,2,FALSE))</f>
        <v/>
      </c>
      <c r="L1362" s="32" t="str">
        <f>IF($A1362="","",VLOOKUP($J1362,APOIO!$H:$J,3,FALSE))</f>
        <v/>
      </c>
      <c r="M1362" s="31"/>
      <c r="N1362" s="34"/>
      <c r="O1362" s="32"/>
      <c r="P1362" s="32"/>
      <c r="Q1362" s="32"/>
      <c r="R1362" s="32"/>
      <c r="S1362" s="35"/>
      <c r="T1362" s="91"/>
      <c r="U1362" s="60"/>
      <c r="V1362" s="36"/>
      <c r="W1362" s="31"/>
      <c r="X1362" s="59"/>
      <c r="Y1362" s="59" t="str">
        <f>IFERROR(VLOOKUP($A1362,APOIO!$A:$A,1,FALSE),"ERRO")</f>
        <v>ERRO</v>
      </c>
      <c r="Z1362"/>
    </row>
    <row r="1363" spans="1:26" ht="15" x14ac:dyDescent="0.25">
      <c r="A1363" s="94"/>
      <c r="B1363" s="32" t="str">
        <f>IF($A1363="","",VLOOKUP($A1363,APOIO!$A:$E,2,FALSE))</f>
        <v/>
      </c>
      <c r="C1363" s="94"/>
      <c r="D1363" s="32" t="str">
        <f>IF($A1363="","",INDEX(APOIO!$D:$D,MATCH(CONCATENATE($A1363,"_",$B1363,"_",$C1363),APOIO!$F:$F,0)))</f>
        <v/>
      </c>
      <c r="E1363" s="31"/>
      <c r="F1363" s="31"/>
      <c r="G1363" s="33"/>
      <c r="H1363" s="105"/>
      <c r="I1363" s="32" t="str">
        <f>IF($A1363="","",VLOOKUP($H1363,APOIO!$L:$M,2,FALSE))</f>
        <v/>
      </c>
      <c r="J1363" s="31"/>
      <c r="K1363" s="32" t="str">
        <f>IF($A1363="","",VLOOKUP($J1363,APOIO!$H:$J,2,FALSE))</f>
        <v/>
      </c>
      <c r="L1363" s="32" t="str">
        <f>IF($A1363="","",VLOOKUP($J1363,APOIO!$H:$J,3,FALSE))</f>
        <v/>
      </c>
      <c r="M1363" s="31"/>
      <c r="N1363" s="34"/>
      <c r="O1363" s="32"/>
      <c r="P1363" s="32"/>
      <c r="Q1363" s="32"/>
      <c r="R1363" s="32"/>
      <c r="S1363" s="35"/>
      <c r="T1363" s="91"/>
      <c r="U1363" s="60"/>
      <c r="V1363" s="36"/>
      <c r="W1363" s="31"/>
      <c r="X1363" s="59"/>
      <c r="Y1363" s="59" t="str">
        <f>IFERROR(VLOOKUP($A1363,APOIO!$A:$A,1,FALSE),"ERRO")</f>
        <v>ERRO</v>
      </c>
      <c r="Z1363"/>
    </row>
    <row r="1364" spans="1:26" ht="15" x14ac:dyDescent="0.25">
      <c r="A1364" s="94"/>
      <c r="B1364" s="32" t="str">
        <f>IF($A1364="","",VLOOKUP($A1364,APOIO!$A:$E,2,FALSE))</f>
        <v/>
      </c>
      <c r="C1364" s="94"/>
      <c r="D1364" s="32" t="str">
        <f>IF($A1364="","",INDEX(APOIO!$D:$D,MATCH(CONCATENATE($A1364,"_",$B1364,"_",$C1364),APOIO!$F:$F,0)))</f>
        <v/>
      </c>
      <c r="E1364" s="31"/>
      <c r="F1364" s="31"/>
      <c r="G1364" s="33"/>
      <c r="H1364" s="105"/>
      <c r="I1364" s="32" t="str">
        <f>IF($A1364="","",VLOOKUP($H1364,APOIO!$L:$M,2,FALSE))</f>
        <v/>
      </c>
      <c r="J1364" s="31"/>
      <c r="K1364" s="32" t="str">
        <f>IF($A1364="","",VLOOKUP($J1364,APOIO!$H:$J,2,FALSE))</f>
        <v/>
      </c>
      <c r="L1364" s="32" t="str">
        <f>IF($A1364="","",VLOOKUP($J1364,APOIO!$H:$J,3,FALSE))</f>
        <v/>
      </c>
      <c r="M1364" s="31"/>
      <c r="N1364" s="34"/>
      <c r="O1364" s="32"/>
      <c r="P1364" s="32"/>
      <c r="Q1364" s="32"/>
      <c r="R1364" s="32"/>
      <c r="S1364" s="35"/>
      <c r="T1364" s="91"/>
      <c r="U1364" s="60"/>
      <c r="V1364" s="36"/>
      <c r="W1364" s="31"/>
      <c r="X1364" s="59"/>
      <c r="Y1364" s="59" t="str">
        <f>IFERROR(VLOOKUP($A1364,APOIO!$A:$A,1,FALSE),"ERRO")</f>
        <v>ERRO</v>
      </c>
      <c r="Z1364"/>
    </row>
    <row r="1365" spans="1:26" ht="15" x14ac:dyDescent="0.25">
      <c r="A1365" s="94"/>
      <c r="B1365" s="32" t="str">
        <f>IF($A1365="","",VLOOKUP($A1365,APOIO!$A:$E,2,FALSE))</f>
        <v/>
      </c>
      <c r="C1365" s="94"/>
      <c r="D1365" s="32" t="str">
        <f>IF($A1365="","",INDEX(APOIO!$D:$D,MATCH(CONCATENATE($A1365,"_",$B1365,"_",$C1365),APOIO!$F:$F,0)))</f>
        <v/>
      </c>
      <c r="E1365" s="31"/>
      <c r="F1365" s="31"/>
      <c r="G1365" s="33"/>
      <c r="H1365" s="105"/>
      <c r="I1365" s="32" t="str">
        <f>IF($A1365="","",VLOOKUP($H1365,APOIO!$L:$M,2,FALSE))</f>
        <v/>
      </c>
      <c r="J1365" s="31"/>
      <c r="K1365" s="32" t="str">
        <f>IF($A1365="","",VLOOKUP($J1365,APOIO!$H:$J,2,FALSE))</f>
        <v/>
      </c>
      <c r="L1365" s="32" t="str">
        <f>IF($A1365="","",VLOOKUP($J1365,APOIO!$H:$J,3,FALSE))</f>
        <v/>
      </c>
      <c r="M1365" s="31"/>
      <c r="N1365" s="34"/>
      <c r="O1365" s="32"/>
      <c r="P1365" s="32"/>
      <c r="Q1365" s="32"/>
      <c r="R1365" s="32"/>
      <c r="S1365" s="35"/>
      <c r="T1365" s="91"/>
      <c r="U1365" s="60"/>
      <c r="V1365" s="36"/>
      <c r="W1365" s="31"/>
      <c r="X1365" s="59"/>
      <c r="Y1365" s="59" t="str">
        <f>IFERROR(VLOOKUP($A1365,APOIO!$A:$A,1,FALSE),"ERRO")</f>
        <v>ERRO</v>
      </c>
      <c r="Z1365"/>
    </row>
    <row r="1366" spans="1:26" ht="15" x14ac:dyDescent="0.25">
      <c r="A1366" s="94"/>
      <c r="B1366" s="32" t="str">
        <f>IF($A1366="","",VLOOKUP($A1366,APOIO!$A:$E,2,FALSE))</f>
        <v/>
      </c>
      <c r="C1366" s="94"/>
      <c r="D1366" s="32" t="str">
        <f>IF($A1366="","",INDEX(APOIO!$D:$D,MATCH(CONCATENATE($A1366,"_",$B1366,"_",$C1366),APOIO!$F:$F,0)))</f>
        <v/>
      </c>
      <c r="E1366" s="31"/>
      <c r="F1366" s="31"/>
      <c r="G1366" s="33"/>
      <c r="H1366" s="105"/>
      <c r="I1366" s="32" t="str">
        <f>IF($A1366="","",VLOOKUP($H1366,APOIO!$L:$M,2,FALSE))</f>
        <v/>
      </c>
      <c r="J1366" s="31"/>
      <c r="K1366" s="32" t="str">
        <f>IF($A1366="","",VLOOKUP($J1366,APOIO!$H:$J,2,FALSE))</f>
        <v/>
      </c>
      <c r="L1366" s="32" t="str">
        <f>IF($A1366="","",VLOOKUP($J1366,APOIO!$H:$J,3,FALSE))</f>
        <v/>
      </c>
      <c r="M1366" s="31"/>
      <c r="N1366" s="34"/>
      <c r="O1366" s="32"/>
      <c r="P1366" s="32"/>
      <c r="Q1366" s="32"/>
      <c r="R1366" s="32"/>
      <c r="S1366" s="35"/>
      <c r="T1366" s="91"/>
      <c r="U1366" s="60"/>
      <c r="V1366" s="36"/>
      <c r="W1366" s="31"/>
      <c r="X1366" s="59"/>
      <c r="Y1366" s="59" t="str">
        <f>IFERROR(VLOOKUP($A1366,APOIO!$A:$A,1,FALSE),"ERRO")</f>
        <v>ERRO</v>
      </c>
      <c r="Z1366"/>
    </row>
    <row r="1367" spans="1:26" ht="15" x14ac:dyDescent="0.25">
      <c r="A1367" s="94"/>
      <c r="B1367" s="32" t="str">
        <f>IF($A1367="","",VLOOKUP($A1367,APOIO!$A:$E,2,FALSE))</f>
        <v/>
      </c>
      <c r="C1367" s="94"/>
      <c r="D1367" s="32" t="str">
        <f>IF($A1367="","",INDEX(APOIO!$D:$D,MATCH(CONCATENATE($A1367,"_",$B1367,"_",$C1367),APOIO!$F:$F,0)))</f>
        <v/>
      </c>
      <c r="E1367" s="31"/>
      <c r="F1367" s="31"/>
      <c r="G1367" s="33"/>
      <c r="H1367" s="105"/>
      <c r="I1367" s="32" t="str">
        <f>IF($A1367="","",VLOOKUP($H1367,APOIO!$L:$M,2,FALSE))</f>
        <v/>
      </c>
      <c r="J1367" s="31"/>
      <c r="K1367" s="32" t="str">
        <f>IF($A1367="","",VLOOKUP($J1367,APOIO!$H:$J,2,FALSE))</f>
        <v/>
      </c>
      <c r="L1367" s="32" t="str">
        <f>IF($A1367="","",VLOOKUP($J1367,APOIO!$H:$J,3,FALSE))</f>
        <v/>
      </c>
      <c r="M1367" s="31"/>
      <c r="N1367" s="34"/>
      <c r="O1367" s="32"/>
      <c r="P1367" s="32"/>
      <c r="Q1367" s="32"/>
      <c r="R1367" s="32"/>
      <c r="S1367" s="35"/>
      <c r="T1367" s="91"/>
      <c r="U1367" s="60"/>
      <c r="V1367" s="36"/>
      <c r="W1367" s="31"/>
      <c r="X1367" s="59"/>
      <c r="Y1367" s="59" t="str">
        <f>IFERROR(VLOOKUP($A1367,APOIO!$A:$A,1,FALSE),"ERRO")</f>
        <v>ERRO</v>
      </c>
      <c r="Z1367"/>
    </row>
    <row r="1368" spans="1:26" ht="15" x14ac:dyDescent="0.25">
      <c r="A1368" s="94"/>
      <c r="B1368" s="32" t="str">
        <f>IF($A1368="","",VLOOKUP($A1368,APOIO!$A:$E,2,FALSE))</f>
        <v/>
      </c>
      <c r="C1368" s="94"/>
      <c r="D1368" s="32" t="str">
        <f>IF($A1368="","",INDEX(APOIO!$D:$D,MATCH(CONCATENATE($A1368,"_",$B1368,"_",$C1368),APOIO!$F:$F,0)))</f>
        <v/>
      </c>
      <c r="E1368" s="31"/>
      <c r="F1368" s="31"/>
      <c r="G1368" s="33"/>
      <c r="H1368" s="105"/>
      <c r="I1368" s="32" t="str">
        <f>IF($A1368="","",VLOOKUP($H1368,APOIO!$L:$M,2,FALSE))</f>
        <v/>
      </c>
      <c r="J1368" s="31"/>
      <c r="K1368" s="32" t="str">
        <f>IF($A1368="","",VLOOKUP($J1368,APOIO!$H:$J,2,FALSE))</f>
        <v/>
      </c>
      <c r="L1368" s="32" t="str">
        <f>IF($A1368="","",VLOOKUP($J1368,APOIO!$H:$J,3,FALSE))</f>
        <v/>
      </c>
      <c r="M1368" s="31"/>
      <c r="N1368" s="34"/>
      <c r="O1368" s="32"/>
      <c r="P1368" s="32"/>
      <c r="Q1368" s="32"/>
      <c r="R1368" s="32"/>
      <c r="S1368" s="35"/>
      <c r="T1368" s="91"/>
      <c r="U1368" s="60"/>
      <c r="V1368" s="36"/>
      <c r="W1368" s="31"/>
      <c r="X1368" s="59"/>
      <c r="Y1368" s="59" t="str">
        <f>IFERROR(VLOOKUP($A1368,APOIO!$A:$A,1,FALSE),"ERRO")</f>
        <v>ERRO</v>
      </c>
      <c r="Z1368"/>
    </row>
    <row r="1369" spans="1:26" ht="15" x14ac:dyDescent="0.25">
      <c r="A1369" s="94"/>
      <c r="B1369" s="32" t="str">
        <f>IF($A1369="","",VLOOKUP($A1369,APOIO!$A:$E,2,FALSE))</f>
        <v/>
      </c>
      <c r="C1369" s="94"/>
      <c r="D1369" s="32" t="str">
        <f>IF($A1369="","",INDEX(APOIO!$D:$D,MATCH(CONCATENATE($A1369,"_",$B1369,"_",$C1369),APOIO!$F:$F,0)))</f>
        <v/>
      </c>
      <c r="E1369" s="31"/>
      <c r="F1369" s="31"/>
      <c r="G1369" s="33"/>
      <c r="H1369" s="105"/>
      <c r="I1369" s="32" t="str">
        <f>IF($A1369="","",VLOOKUP($H1369,APOIO!$L:$M,2,FALSE))</f>
        <v/>
      </c>
      <c r="J1369" s="31"/>
      <c r="K1369" s="32" t="str">
        <f>IF($A1369="","",VLOOKUP($J1369,APOIO!$H:$J,2,FALSE))</f>
        <v/>
      </c>
      <c r="L1369" s="32" t="str">
        <f>IF($A1369="","",VLOOKUP($J1369,APOIO!$H:$J,3,FALSE))</f>
        <v/>
      </c>
      <c r="M1369" s="31"/>
      <c r="N1369" s="34"/>
      <c r="O1369" s="32"/>
      <c r="P1369" s="32"/>
      <c r="Q1369" s="32"/>
      <c r="R1369" s="32"/>
      <c r="S1369" s="35"/>
      <c r="T1369" s="91"/>
      <c r="U1369" s="60"/>
      <c r="V1369" s="36"/>
      <c r="W1369" s="31"/>
      <c r="X1369" s="59"/>
      <c r="Y1369" s="59" t="str">
        <f>IFERROR(VLOOKUP($A1369,APOIO!$A:$A,1,FALSE),"ERRO")</f>
        <v>ERRO</v>
      </c>
      <c r="Z1369"/>
    </row>
    <row r="1370" spans="1:26" ht="15" x14ac:dyDescent="0.25">
      <c r="A1370" s="94"/>
      <c r="B1370" s="32" t="str">
        <f>IF($A1370="","",VLOOKUP($A1370,APOIO!$A:$E,2,FALSE))</f>
        <v/>
      </c>
      <c r="C1370" s="94"/>
      <c r="D1370" s="32" t="str">
        <f>IF($A1370="","",INDEX(APOIO!$D:$D,MATCH(CONCATENATE($A1370,"_",$B1370,"_",$C1370),APOIO!$F:$F,0)))</f>
        <v/>
      </c>
      <c r="E1370" s="31"/>
      <c r="F1370" s="31"/>
      <c r="G1370" s="33"/>
      <c r="H1370" s="105"/>
      <c r="I1370" s="32" t="str">
        <f>IF($A1370="","",VLOOKUP($H1370,APOIO!$L:$M,2,FALSE))</f>
        <v/>
      </c>
      <c r="J1370" s="31"/>
      <c r="K1370" s="32" t="str">
        <f>IF($A1370="","",VLOOKUP($J1370,APOIO!$H:$J,2,FALSE))</f>
        <v/>
      </c>
      <c r="L1370" s="32" t="str">
        <f>IF($A1370="","",VLOOKUP($J1370,APOIO!$H:$J,3,FALSE))</f>
        <v/>
      </c>
      <c r="M1370" s="31"/>
      <c r="N1370" s="34"/>
      <c r="O1370" s="32"/>
      <c r="P1370" s="32"/>
      <c r="Q1370" s="32"/>
      <c r="R1370" s="32"/>
      <c r="S1370" s="35"/>
      <c r="T1370" s="91"/>
      <c r="U1370" s="60"/>
      <c r="V1370" s="36"/>
      <c r="W1370" s="31"/>
      <c r="X1370" s="59"/>
      <c r="Y1370" s="59" t="str">
        <f>IFERROR(VLOOKUP($A1370,APOIO!$A:$A,1,FALSE),"ERRO")</f>
        <v>ERRO</v>
      </c>
      <c r="Z1370"/>
    </row>
    <row r="1371" spans="1:26" ht="15" x14ac:dyDescent="0.25">
      <c r="A1371" s="94"/>
      <c r="B1371" s="32" t="str">
        <f>IF($A1371="","",VLOOKUP($A1371,APOIO!$A:$E,2,FALSE))</f>
        <v/>
      </c>
      <c r="C1371" s="94"/>
      <c r="D1371" s="32" t="str">
        <f>IF($A1371="","",INDEX(APOIO!$D:$D,MATCH(CONCATENATE($A1371,"_",$B1371,"_",$C1371),APOIO!$F:$F,0)))</f>
        <v/>
      </c>
      <c r="E1371" s="31"/>
      <c r="F1371" s="31"/>
      <c r="G1371" s="33"/>
      <c r="H1371" s="105"/>
      <c r="I1371" s="32" t="str">
        <f>IF($A1371="","",VLOOKUP($H1371,APOIO!$L:$M,2,FALSE))</f>
        <v/>
      </c>
      <c r="J1371" s="31"/>
      <c r="K1371" s="32" t="str">
        <f>IF($A1371="","",VLOOKUP($J1371,APOIO!$H:$J,2,FALSE))</f>
        <v/>
      </c>
      <c r="L1371" s="32" t="str">
        <f>IF($A1371="","",VLOOKUP($J1371,APOIO!$H:$J,3,FALSE))</f>
        <v/>
      </c>
      <c r="M1371" s="31"/>
      <c r="N1371" s="34"/>
      <c r="O1371" s="32"/>
      <c r="P1371" s="32"/>
      <c r="Q1371" s="32"/>
      <c r="R1371" s="32"/>
      <c r="S1371" s="35"/>
      <c r="T1371" s="91"/>
      <c r="U1371" s="60"/>
      <c r="V1371" s="36"/>
      <c r="W1371" s="31"/>
      <c r="X1371" s="59"/>
      <c r="Y1371" s="59" t="str">
        <f>IFERROR(VLOOKUP($A1371,APOIO!$A:$A,1,FALSE),"ERRO")</f>
        <v>ERRO</v>
      </c>
      <c r="Z1371"/>
    </row>
    <row r="1372" spans="1:26" ht="15" x14ac:dyDescent="0.25">
      <c r="A1372" s="94"/>
      <c r="B1372" s="32" t="str">
        <f>IF($A1372="","",VLOOKUP($A1372,APOIO!$A:$E,2,FALSE))</f>
        <v/>
      </c>
      <c r="C1372" s="94"/>
      <c r="D1372" s="32" t="str">
        <f>IF($A1372="","",INDEX(APOIO!$D:$D,MATCH(CONCATENATE($A1372,"_",$B1372,"_",$C1372),APOIO!$F:$F,0)))</f>
        <v/>
      </c>
      <c r="E1372" s="31"/>
      <c r="F1372" s="31"/>
      <c r="G1372" s="33"/>
      <c r="H1372" s="105"/>
      <c r="I1372" s="32" t="str">
        <f>IF($A1372="","",VLOOKUP($H1372,APOIO!$L:$M,2,FALSE))</f>
        <v/>
      </c>
      <c r="J1372" s="31"/>
      <c r="K1372" s="32" t="str">
        <f>IF($A1372="","",VLOOKUP($J1372,APOIO!$H:$J,2,FALSE))</f>
        <v/>
      </c>
      <c r="L1372" s="32" t="str">
        <f>IF($A1372="","",VLOOKUP($J1372,APOIO!$H:$J,3,FALSE))</f>
        <v/>
      </c>
      <c r="M1372" s="31"/>
      <c r="N1372" s="34"/>
      <c r="O1372" s="32"/>
      <c r="P1372" s="32"/>
      <c r="Q1372" s="32"/>
      <c r="R1372" s="32"/>
      <c r="S1372" s="35"/>
      <c r="T1372" s="91"/>
      <c r="U1372" s="60"/>
      <c r="V1372" s="36"/>
      <c r="W1372" s="31"/>
      <c r="X1372" s="59"/>
      <c r="Y1372" s="59" t="str">
        <f>IFERROR(VLOOKUP($A1372,APOIO!$A:$A,1,FALSE),"ERRO")</f>
        <v>ERRO</v>
      </c>
      <c r="Z1372"/>
    </row>
    <row r="1373" spans="1:26" ht="15" x14ac:dyDescent="0.25">
      <c r="A1373" s="94"/>
      <c r="B1373" s="32" t="str">
        <f>IF($A1373="","",VLOOKUP($A1373,APOIO!$A:$E,2,FALSE))</f>
        <v/>
      </c>
      <c r="C1373" s="94"/>
      <c r="D1373" s="32" t="str">
        <f>IF($A1373="","",INDEX(APOIO!$D:$D,MATCH(CONCATENATE($A1373,"_",$B1373,"_",$C1373),APOIO!$F:$F,0)))</f>
        <v/>
      </c>
      <c r="E1373" s="31"/>
      <c r="F1373" s="31"/>
      <c r="G1373" s="33"/>
      <c r="H1373" s="105"/>
      <c r="I1373" s="32" t="str">
        <f>IF($A1373="","",VLOOKUP($H1373,APOIO!$L:$M,2,FALSE))</f>
        <v/>
      </c>
      <c r="J1373" s="31"/>
      <c r="K1373" s="32" t="str">
        <f>IF($A1373="","",VLOOKUP($J1373,APOIO!$H:$J,2,FALSE))</f>
        <v/>
      </c>
      <c r="L1373" s="32" t="str">
        <f>IF($A1373="","",VLOOKUP($J1373,APOIO!$H:$J,3,FALSE))</f>
        <v/>
      </c>
      <c r="M1373" s="31"/>
      <c r="N1373" s="34"/>
      <c r="O1373" s="32"/>
      <c r="P1373" s="32"/>
      <c r="Q1373" s="32"/>
      <c r="R1373" s="32"/>
      <c r="S1373" s="35"/>
      <c r="T1373" s="91"/>
      <c r="U1373" s="60"/>
      <c r="V1373" s="36"/>
      <c r="W1373" s="31"/>
      <c r="X1373" s="59"/>
      <c r="Y1373" s="59" t="str">
        <f>IFERROR(VLOOKUP($A1373,APOIO!$A:$A,1,FALSE),"ERRO")</f>
        <v>ERRO</v>
      </c>
      <c r="Z1373"/>
    </row>
    <row r="1374" spans="1:26" ht="15" x14ac:dyDescent="0.25">
      <c r="A1374" s="94"/>
      <c r="B1374" s="32" t="str">
        <f>IF($A1374="","",VLOOKUP($A1374,APOIO!$A:$E,2,FALSE))</f>
        <v/>
      </c>
      <c r="C1374" s="94"/>
      <c r="D1374" s="32" t="str">
        <f>IF($A1374="","",INDEX(APOIO!$D:$D,MATCH(CONCATENATE($A1374,"_",$B1374,"_",$C1374),APOIO!$F:$F,0)))</f>
        <v/>
      </c>
      <c r="E1374" s="31"/>
      <c r="F1374" s="31"/>
      <c r="G1374" s="33"/>
      <c r="H1374" s="105"/>
      <c r="I1374" s="32" t="str">
        <f>IF($A1374="","",VLOOKUP($H1374,APOIO!$L:$M,2,FALSE))</f>
        <v/>
      </c>
      <c r="J1374" s="31"/>
      <c r="K1374" s="32" t="str">
        <f>IF($A1374="","",VLOOKUP($J1374,APOIO!$H:$J,2,FALSE))</f>
        <v/>
      </c>
      <c r="L1374" s="32" t="str">
        <f>IF($A1374="","",VLOOKUP($J1374,APOIO!$H:$J,3,FALSE))</f>
        <v/>
      </c>
      <c r="M1374" s="31"/>
      <c r="N1374" s="34"/>
      <c r="O1374" s="32"/>
      <c r="P1374" s="32"/>
      <c r="Q1374" s="32"/>
      <c r="R1374" s="32"/>
      <c r="S1374" s="35"/>
      <c r="T1374" s="91"/>
      <c r="U1374" s="60"/>
      <c r="V1374" s="36"/>
      <c r="W1374" s="31"/>
      <c r="X1374" s="59"/>
      <c r="Y1374" s="59" t="str">
        <f>IFERROR(VLOOKUP($A1374,APOIO!$A:$A,1,FALSE),"ERRO")</f>
        <v>ERRO</v>
      </c>
      <c r="Z1374"/>
    </row>
    <row r="1375" spans="1:26" ht="15" x14ac:dyDescent="0.25">
      <c r="A1375" s="94"/>
      <c r="B1375" s="32" t="str">
        <f>IF($A1375="","",VLOOKUP($A1375,APOIO!$A:$E,2,FALSE))</f>
        <v/>
      </c>
      <c r="C1375" s="94"/>
      <c r="D1375" s="32" t="str">
        <f>IF($A1375="","",INDEX(APOIO!$D:$D,MATCH(CONCATENATE($A1375,"_",$B1375,"_",$C1375),APOIO!$F:$F,0)))</f>
        <v/>
      </c>
      <c r="E1375" s="31"/>
      <c r="F1375" s="31"/>
      <c r="G1375" s="33"/>
      <c r="H1375" s="105"/>
      <c r="I1375" s="32" t="str">
        <f>IF($A1375="","",VLOOKUP($H1375,APOIO!$L:$M,2,FALSE))</f>
        <v/>
      </c>
      <c r="J1375" s="31"/>
      <c r="K1375" s="32" t="str">
        <f>IF($A1375="","",VLOOKUP($J1375,APOIO!$H:$J,2,FALSE))</f>
        <v/>
      </c>
      <c r="L1375" s="32" t="str">
        <f>IF($A1375="","",VLOOKUP($J1375,APOIO!$H:$J,3,FALSE))</f>
        <v/>
      </c>
      <c r="M1375" s="31"/>
      <c r="N1375" s="34"/>
      <c r="O1375" s="32"/>
      <c r="P1375" s="32"/>
      <c r="Q1375" s="32"/>
      <c r="R1375" s="32"/>
      <c r="S1375" s="35"/>
      <c r="T1375" s="91"/>
      <c r="U1375" s="60"/>
      <c r="V1375" s="36"/>
      <c r="W1375" s="31"/>
      <c r="X1375" s="59"/>
      <c r="Y1375" s="59" t="str">
        <f>IFERROR(VLOOKUP($A1375,APOIO!$A:$A,1,FALSE),"ERRO")</f>
        <v>ERRO</v>
      </c>
      <c r="Z1375"/>
    </row>
    <row r="1376" spans="1:26" ht="15" x14ac:dyDescent="0.25">
      <c r="A1376" s="94"/>
      <c r="B1376" s="32" t="str">
        <f>IF($A1376="","",VLOOKUP($A1376,APOIO!$A:$E,2,FALSE))</f>
        <v/>
      </c>
      <c r="C1376" s="94"/>
      <c r="D1376" s="32" t="str">
        <f>IF($A1376="","",INDEX(APOIO!$D:$D,MATCH(CONCATENATE($A1376,"_",$B1376,"_",$C1376),APOIO!$F:$F,0)))</f>
        <v/>
      </c>
      <c r="E1376" s="31"/>
      <c r="F1376" s="31"/>
      <c r="G1376" s="33"/>
      <c r="H1376" s="105"/>
      <c r="I1376" s="32" t="str">
        <f>IF($A1376="","",VLOOKUP($H1376,APOIO!$L:$M,2,FALSE))</f>
        <v/>
      </c>
      <c r="J1376" s="31"/>
      <c r="K1376" s="32" t="str">
        <f>IF($A1376="","",VLOOKUP($J1376,APOIO!$H:$J,2,FALSE))</f>
        <v/>
      </c>
      <c r="L1376" s="32" t="str">
        <f>IF($A1376="","",VLOOKUP($J1376,APOIO!$H:$J,3,FALSE))</f>
        <v/>
      </c>
      <c r="M1376" s="31"/>
      <c r="N1376" s="34"/>
      <c r="O1376" s="32"/>
      <c r="P1376" s="32"/>
      <c r="Q1376" s="32"/>
      <c r="R1376" s="32"/>
      <c r="S1376" s="35"/>
      <c r="T1376" s="91"/>
      <c r="U1376" s="60"/>
      <c r="V1376" s="36"/>
      <c r="W1376" s="31"/>
      <c r="X1376" s="59"/>
      <c r="Y1376" s="59" t="str">
        <f>IFERROR(VLOOKUP($A1376,APOIO!$A:$A,1,FALSE),"ERRO")</f>
        <v>ERRO</v>
      </c>
      <c r="Z1376"/>
    </row>
    <row r="1377" spans="1:26" ht="15" x14ac:dyDescent="0.25">
      <c r="A1377" s="94"/>
      <c r="B1377" s="32" t="str">
        <f>IF($A1377="","",VLOOKUP($A1377,APOIO!$A:$E,2,FALSE))</f>
        <v/>
      </c>
      <c r="C1377" s="94"/>
      <c r="D1377" s="32" t="str">
        <f>IF($A1377="","",INDEX(APOIO!$D:$D,MATCH(CONCATENATE($A1377,"_",$B1377,"_",$C1377),APOIO!$F:$F,0)))</f>
        <v/>
      </c>
      <c r="E1377" s="31"/>
      <c r="F1377" s="31"/>
      <c r="G1377" s="33"/>
      <c r="H1377" s="105"/>
      <c r="I1377" s="32" t="str">
        <f>IF($A1377="","",VLOOKUP($H1377,APOIO!$L:$M,2,FALSE))</f>
        <v/>
      </c>
      <c r="J1377" s="31"/>
      <c r="K1377" s="32" t="str">
        <f>IF($A1377="","",VLOOKUP($J1377,APOIO!$H:$J,2,FALSE))</f>
        <v/>
      </c>
      <c r="L1377" s="32" t="str">
        <f>IF($A1377="","",VLOOKUP($J1377,APOIO!$H:$J,3,FALSE))</f>
        <v/>
      </c>
      <c r="M1377" s="31"/>
      <c r="N1377" s="34"/>
      <c r="O1377" s="32"/>
      <c r="P1377" s="32"/>
      <c r="Q1377" s="32"/>
      <c r="R1377" s="32"/>
      <c r="S1377" s="35"/>
      <c r="T1377" s="91"/>
      <c r="U1377" s="60"/>
      <c r="V1377" s="36"/>
      <c r="W1377" s="31"/>
      <c r="X1377" s="59"/>
      <c r="Y1377" s="59" t="str">
        <f>IFERROR(VLOOKUP($A1377,APOIO!$A:$A,1,FALSE),"ERRO")</f>
        <v>ERRO</v>
      </c>
      <c r="Z1377"/>
    </row>
    <row r="1378" spans="1:26" ht="15" x14ac:dyDescent="0.25">
      <c r="A1378" s="94"/>
      <c r="B1378" s="32" t="str">
        <f>IF($A1378="","",VLOOKUP($A1378,APOIO!$A:$E,2,FALSE))</f>
        <v/>
      </c>
      <c r="C1378" s="94"/>
      <c r="D1378" s="32" t="str">
        <f>IF($A1378="","",INDEX(APOIO!$D:$D,MATCH(CONCATENATE($A1378,"_",$B1378,"_",$C1378),APOIO!$F:$F,0)))</f>
        <v/>
      </c>
      <c r="E1378" s="31"/>
      <c r="F1378" s="31"/>
      <c r="G1378" s="33"/>
      <c r="H1378" s="105"/>
      <c r="I1378" s="32" t="str">
        <f>IF($A1378="","",VLOOKUP($H1378,APOIO!$L:$M,2,FALSE))</f>
        <v/>
      </c>
      <c r="J1378" s="31"/>
      <c r="K1378" s="32" t="str">
        <f>IF($A1378="","",VLOOKUP($J1378,APOIO!$H:$J,2,FALSE))</f>
        <v/>
      </c>
      <c r="L1378" s="32" t="str">
        <f>IF($A1378="","",VLOOKUP($J1378,APOIO!$H:$J,3,FALSE))</f>
        <v/>
      </c>
      <c r="M1378" s="31"/>
      <c r="N1378" s="34"/>
      <c r="O1378" s="32"/>
      <c r="P1378" s="32"/>
      <c r="Q1378" s="32"/>
      <c r="R1378" s="32"/>
      <c r="S1378" s="35"/>
      <c r="T1378" s="91"/>
      <c r="U1378" s="60"/>
      <c r="V1378" s="36"/>
      <c r="W1378" s="31"/>
      <c r="X1378" s="59"/>
      <c r="Y1378" s="59" t="str">
        <f>IFERROR(VLOOKUP($A1378,APOIO!$A:$A,1,FALSE),"ERRO")</f>
        <v>ERRO</v>
      </c>
      <c r="Z1378"/>
    </row>
    <row r="1379" spans="1:26" ht="15" x14ac:dyDescent="0.25">
      <c r="A1379" s="94"/>
      <c r="B1379" s="32" t="str">
        <f>IF($A1379="","",VLOOKUP($A1379,APOIO!$A:$E,2,FALSE))</f>
        <v/>
      </c>
      <c r="C1379" s="94"/>
      <c r="D1379" s="32" t="str">
        <f>IF($A1379="","",INDEX(APOIO!$D:$D,MATCH(CONCATENATE($A1379,"_",$B1379,"_",$C1379),APOIO!$F:$F,0)))</f>
        <v/>
      </c>
      <c r="E1379" s="31"/>
      <c r="F1379" s="31"/>
      <c r="G1379" s="33"/>
      <c r="H1379" s="105"/>
      <c r="I1379" s="32" t="str">
        <f>IF($A1379="","",VLOOKUP($H1379,APOIO!$L:$M,2,FALSE))</f>
        <v/>
      </c>
      <c r="J1379" s="31"/>
      <c r="K1379" s="32" t="str">
        <f>IF($A1379="","",VLOOKUP($J1379,APOIO!$H:$J,2,FALSE))</f>
        <v/>
      </c>
      <c r="L1379" s="32" t="str">
        <f>IF($A1379="","",VLOOKUP($J1379,APOIO!$H:$J,3,FALSE))</f>
        <v/>
      </c>
      <c r="M1379" s="31"/>
      <c r="N1379" s="34"/>
      <c r="O1379" s="32"/>
      <c r="P1379" s="32"/>
      <c r="Q1379" s="32"/>
      <c r="R1379" s="32"/>
      <c r="S1379" s="35"/>
      <c r="T1379" s="91"/>
      <c r="U1379" s="60"/>
      <c r="V1379" s="36"/>
      <c r="W1379" s="31"/>
      <c r="X1379" s="59"/>
      <c r="Y1379" s="59" t="str">
        <f>IFERROR(VLOOKUP($A1379,APOIO!$A:$A,1,FALSE),"ERRO")</f>
        <v>ERRO</v>
      </c>
      <c r="Z1379"/>
    </row>
    <row r="1380" spans="1:26" ht="15" x14ac:dyDescent="0.25">
      <c r="A1380" s="94"/>
      <c r="B1380" s="32" t="str">
        <f>IF($A1380="","",VLOOKUP($A1380,APOIO!$A:$E,2,FALSE))</f>
        <v/>
      </c>
      <c r="C1380" s="94"/>
      <c r="D1380" s="32" t="str">
        <f>IF($A1380="","",INDEX(APOIO!$D:$D,MATCH(CONCATENATE($A1380,"_",$B1380,"_",$C1380),APOIO!$F:$F,0)))</f>
        <v/>
      </c>
      <c r="E1380" s="31"/>
      <c r="F1380" s="31"/>
      <c r="G1380" s="33"/>
      <c r="H1380" s="105"/>
      <c r="I1380" s="32" t="str">
        <f>IF($A1380="","",VLOOKUP($H1380,APOIO!$L:$M,2,FALSE))</f>
        <v/>
      </c>
      <c r="J1380" s="31"/>
      <c r="K1380" s="32" t="str">
        <f>IF($A1380="","",VLOOKUP($J1380,APOIO!$H:$J,2,FALSE))</f>
        <v/>
      </c>
      <c r="L1380" s="32" t="str">
        <f>IF($A1380="","",VLOOKUP($J1380,APOIO!$H:$J,3,FALSE))</f>
        <v/>
      </c>
      <c r="M1380" s="31"/>
      <c r="N1380" s="34"/>
      <c r="O1380" s="32"/>
      <c r="P1380" s="32"/>
      <c r="Q1380" s="32"/>
      <c r="R1380" s="32"/>
      <c r="S1380" s="35"/>
      <c r="T1380" s="91"/>
      <c r="U1380" s="60"/>
      <c r="V1380" s="36"/>
      <c r="W1380" s="31"/>
      <c r="X1380" s="59"/>
      <c r="Y1380" s="59" t="str">
        <f>IFERROR(VLOOKUP($A1380,APOIO!$A:$A,1,FALSE),"ERRO")</f>
        <v>ERRO</v>
      </c>
      <c r="Z1380"/>
    </row>
    <row r="1381" spans="1:26" ht="15" x14ac:dyDescent="0.25">
      <c r="A1381" s="94"/>
      <c r="B1381" s="32" t="str">
        <f>IF($A1381="","",VLOOKUP($A1381,APOIO!$A:$E,2,FALSE))</f>
        <v/>
      </c>
      <c r="C1381" s="94"/>
      <c r="D1381" s="32" t="str">
        <f>IF($A1381="","",INDEX(APOIO!$D:$D,MATCH(CONCATENATE($A1381,"_",$B1381,"_",$C1381),APOIO!$F:$F,0)))</f>
        <v/>
      </c>
      <c r="E1381" s="31"/>
      <c r="F1381" s="31"/>
      <c r="G1381" s="33"/>
      <c r="H1381" s="105"/>
      <c r="I1381" s="32" t="str">
        <f>IF($A1381="","",VLOOKUP($H1381,APOIO!$L:$M,2,FALSE))</f>
        <v/>
      </c>
      <c r="J1381" s="31"/>
      <c r="K1381" s="32" t="str">
        <f>IF($A1381="","",VLOOKUP($J1381,APOIO!$H:$J,2,FALSE))</f>
        <v/>
      </c>
      <c r="L1381" s="32" t="str">
        <f>IF($A1381="","",VLOOKUP($J1381,APOIO!$H:$J,3,FALSE))</f>
        <v/>
      </c>
      <c r="M1381" s="31"/>
      <c r="N1381" s="34"/>
      <c r="O1381" s="32"/>
      <c r="P1381" s="32"/>
      <c r="Q1381" s="32"/>
      <c r="R1381" s="32"/>
      <c r="S1381" s="35"/>
      <c r="T1381" s="91"/>
      <c r="U1381" s="60"/>
      <c r="V1381" s="36"/>
      <c r="W1381" s="31"/>
      <c r="X1381" s="59"/>
      <c r="Y1381" s="59" t="str">
        <f>IFERROR(VLOOKUP($A1381,APOIO!$A:$A,1,FALSE),"ERRO")</f>
        <v>ERRO</v>
      </c>
      <c r="Z1381"/>
    </row>
    <row r="1382" spans="1:26" ht="15" x14ac:dyDescent="0.25">
      <c r="A1382" s="94"/>
      <c r="B1382" s="32" t="str">
        <f>IF($A1382="","",VLOOKUP($A1382,APOIO!$A:$E,2,FALSE))</f>
        <v/>
      </c>
      <c r="C1382" s="94"/>
      <c r="D1382" s="32" t="str">
        <f>IF($A1382="","",INDEX(APOIO!$D:$D,MATCH(CONCATENATE($A1382,"_",$B1382,"_",$C1382),APOIO!$F:$F,0)))</f>
        <v/>
      </c>
      <c r="E1382" s="31"/>
      <c r="F1382" s="31"/>
      <c r="G1382" s="33"/>
      <c r="H1382" s="105"/>
      <c r="I1382" s="32" t="str">
        <f>IF($A1382="","",VLOOKUP($H1382,APOIO!$L:$M,2,FALSE))</f>
        <v/>
      </c>
      <c r="J1382" s="31"/>
      <c r="K1382" s="32" t="str">
        <f>IF($A1382="","",VLOOKUP($J1382,APOIO!$H:$J,2,FALSE))</f>
        <v/>
      </c>
      <c r="L1382" s="32" t="str">
        <f>IF($A1382="","",VLOOKUP($J1382,APOIO!$H:$J,3,FALSE))</f>
        <v/>
      </c>
      <c r="M1382" s="31"/>
      <c r="N1382" s="34"/>
      <c r="O1382" s="32"/>
      <c r="P1382" s="32"/>
      <c r="Q1382" s="32"/>
      <c r="R1382" s="32"/>
      <c r="S1382" s="35"/>
      <c r="T1382" s="91"/>
      <c r="U1382" s="60"/>
      <c r="V1382" s="36"/>
      <c r="W1382" s="31"/>
      <c r="X1382" s="59"/>
      <c r="Y1382" s="59" t="str">
        <f>IFERROR(VLOOKUP($A1382,APOIO!$A:$A,1,FALSE),"ERRO")</f>
        <v>ERRO</v>
      </c>
      <c r="Z1382"/>
    </row>
    <row r="1383" spans="1:26" ht="15" x14ac:dyDescent="0.25">
      <c r="A1383" s="94"/>
      <c r="B1383" s="32" t="str">
        <f>IF($A1383="","",VLOOKUP($A1383,APOIO!$A:$E,2,FALSE))</f>
        <v/>
      </c>
      <c r="C1383" s="94"/>
      <c r="D1383" s="32" t="str">
        <f>IF($A1383="","",INDEX(APOIO!$D:$D,MATCH(CONCATENATE($A1383,"_",$B1383,"_",$C1383),APOIO!$F:$F,0)))</f>
        <v/>
      </c>
      <c r="E1383" s="31"/>
      <c r="F1383" s="31"/>
      <c r="G1383" s="33"/>
      <c r="H1383" s="105"/>
      <c r="I1383" s="32" t="str">
        <f>IF($A1383="","",VLOOKUP($H1383,APOIO!$L:$M,2,FALSE))</f>
        <v/>
      </c>
      <c r="J1383" s="31"/>
      <c r="K1383" s="32" t="str">
        <f>IF($A1383="","",VLOOKUP($J1383,APOIO!$H:$J,2,FALSE))</f>
        <v/>
      </c>
      <c r="L1383" s="32" t="str">
        <f>IF($A1383="","",VLOOKUP($J1383,APOIO!$H:$J,3,FALSE))</f>
        <v/>
      </c>
      <c r="M1383" s="31"/>
      <c r="N1383" s="34"/>
      <c r="O1383" s="32"/>
      <c r="P1383" s="32"/>
      <c r="Q1383" s="32"/>
      <c r="R1383" s="32"/>
      <c r="S1383" s="35"/>
      <c r="T1383" s="91"/>
      <c r="U1383" s="60"/>
      <c r="V1383" s="36"/>
      <c r="W1383" s="31"/>
      <c r="X1383" s="59"/>
      <c r="Y1383" s="59" t="str">
        <f>IFERROR(VLOOKUP($A1383,APOIO!$A:$A,1,FALSE),"ERRO")</f>
        <v>ERRO</v>
      </c>
      <c r="Z1383"/>
    </row>
    <row r="1384" spans="1:26" ht="15" x14ac:dyDescent="0.25">
      <c r="A1384" s="94"/>
      <c r="B1384" s="32" t="str">
        <f>IF($A1384="","",VLOOKUP($A1384,APOIO!$A:$E,2,FALSE))</f>
        <v/>
      </c>
      <c r="C1384" s="94"/>
      <c r="D1384" s="32" t="str">
        <f>IF($A1384="","",INDEX(APOIO!$D:$D,MATCH(CONCATENATE($A1384,"_",$B1384,"_",$C1384),APOIO!$F:$F,0)))</f>
        <v/>
      </c>
      <c r="E1384" s="31"/>
      <c r="F1384" s="31"/>
      <c r="G1384" s="33"/>
      <c r="H1384" s="105"/>
      <c r="I1384" s="32" t="str">
        <f>IF($A1384="","",VLOOKUP($H1384,APOIO!$L:$M,2,FALSE))</f>
        <v/>
      </c>
      <c r="J1384" s="31"/>
      <c r="K1384" s="32" t="str">
        <f>IF($A1384="","",VLOOKUP($J1384,APOIO!$H:$J,2,FALSE))</f>
        <v/>
      </c>
      <c r="L1384" s="32" t="str">
        <f>IF($A1384="","",VLOOKUP($J1384,APOIO!$H:$J,3,FALSE))</f>
        <v/>
      </c>
      <c r="M1384" s="31"/>
      <c r="N1384" s="34"/>
      <c r="O1384" s="32"/>
      <c r="P1384" s="32"/>
      <c r="Q1384" s="32"/>
      <c r="R1384" s="32"/>
      <c r="S1384" s="35"/>
      <c r="T1384" s="91"/>
      <c r="U1384" s="60"/>
      <c r="V1384" s="36"/>
      <c r="W1384" s="31"/>
      <c r="X1384" s="59"/>
      <c r="Y1384" s="59" t="str">
        <f>IFERROR(VLOOKUP($A1384,APOIO!$A:$A,1,FALSE),"ERRO")</f>
        <v>ERRO</v>
      </c>
      <c r="Z1384"/>
    </row>
    <row r="1385" spans="1:26" ht="15" x14ac:dyDescent="0.25">
      <c r="A1385" s="94"/>
      <c r="B1385" s="32" t="str">
        <f>IF($A1385="","",VLOOKUP($A1385,APOIO!$A:$E,2,FALSE))</f>
        <v/>
      </c>
      <c r="C1385" s="94"/>
      <c r="D1385" s="32" t="str">
        <f>IF($A1385="","",INDEX(APOIO!$D:$D,MATCH(CONCATENATE($A1385,"_",$B1385,"_",$C1385),APOIO!$F:$F,0)))</f>
        <v/>
      </c>
      <c r="E1385" s="31"/>
      <c r="F1385" s="31"/>
      <c r="G1385" s="33"/>
      <c r="H1385" s="105"/>
      <c r="I1385" s="32" t="str">
        <f>IF($A1385="","",VLOOKUP($H1385,APOIO!$L:$M,2,FALSE))</f>
        <v/>
      </c>
      <c r="J1385" s="31"/>
      <c r="K1385" s="32" t="str">
        <f>IF($A1385="","",VLOOKUP($J1385,APOIO!$H:$J,2,FALSE))</f>
        <v/>
      </c>
      <c r="L1385" s="32" t="str">
        <f>IF($A1385="","",VLOOKUP($J1385,APOIO!$H:$J,3,FALSE))</f>
        <v/>
      </c>
      <c r="M1385" s="31"/>
      <c r="N1385" s="34"/>
      <c r="O1385" s="32"/>
      <c r="P1385" s="32"/>
      <c r="Q1385" s="32"/>
      <c r="R1385" s="32"/>
      <c r="S1385" s="35"/>
      <c r="T1385" s="91"/>
      <c r="U1385" s="60"/>
      <c r="V1385" s="36"/>
      <c r="W1385" s="31"/>
      <c r="X1385" s="59"/>
      <c r="Y1385" s="59" t="str">
        <f>IFERROR(VLOOKUP($A1385,APOIO!$A:$A,1,FALSE),"ERRO")</f>
        <v>ERRO</v>
      </c>
      <c r="Z1385"/>
    </row>
    <row r="1386" spans="1:26" ht="15" x14ac:dyDescent="0.25">
      <c r="A1386" s="94"/>
      <c r="B1386" s="32" t="str">
        <f>IF($A1386="","",VLOOKUP($A1386,APOIO!$A:$E,2,FALSE))</f>
        <v/>
      </c>
      <c r="C1386" s="94"/>
      <c r="D1386" s="32" t="str">
        <f>IF($A1386="","",INDEX(APOIO!$D:$D,MATCH(CONCATENATE($A1386,"_",$B1386,"_",$C1386),APOIO!$F:$F,0)))</f>
        <v/>
      </c>
      <c r="E1386" s="31"/>
      <c r="F1386" s="31"/>
      <c r="G1386" s="33"/>
      <c r="H1386" s="105"/>
      <c r="I1386" s="32" t="str">
        <f>IF($A1386="","",VLOOKUP($H1386,APOIO!$L:$M,2,FALSE))</f>
        <v/>
      </c>
      <c r="J1386" s="31"/>
      <c r="K1386" s="32" t="str">
        <f>IF($A1386="","",VLOOKUP($J1386,APOIO!$H:$J,2,FALSE))</f>
        <v/>
      </c>
      <c r="L1386" s="32" t="str">
        <f>IF($A1386="","",VLOOKUP($J1386,APOIO!$H:$J,3,FALSE))</f>
        <v/>
      </c>
      <c r="M1386" s="31"/>
      <c r="N1386" s="34"/>
      <c r="O1386" s="32"/>
      <c r="P1386" s="32"/>
      <c r="Q1386" s="32"/>
      <c r="R1386" s="32"/>
      <c r="S1386" s="35"/>
      <c r="T1386" s="91"/>
      <c r="U1386" s="60"/>
      <c r="V1386" s="36"/>
      <c r="W1386" s="31"/>
      <c r="X1386" s="59"/>
      <c r="Y1386" s="59" t="str">
        <f>IFERROR(VLOOKUP($A1386,APOIO!$A:$A,1,FALSE),"ERRO")</f>
        <v>ERRO</v>
      </c>
      <c r="Z1386"/>
    </row>
    <row r="1387" spans="1:26" ht="15" x14ac:dyDescent="0.25">
      <c r="A1387" s="94"/>
      <c r="B1387" s="32" t="str">
        <f>IF($A1387="","",VLOOKUP($A1387,APOIO!$A:$E,2,FALSE))</f>
        <v/>
      </c>
      <c r="C1387" s="94"/>
      <c r="D1387" s="32" t="str">
        <f>IF($A1387="","",INDEX(APOIO!$D:$D,MATCH(CONCATENATE($A1387,"_",$B1387,"_",$C1387),APOIO!$F:$F,0)))</f>
        <v/>
      </c>
      <c r="E1387" s="31"/>
      <c r="F1387" s="31"/>
      <c r="G1387" s="33"/>
      <c r="H1387" s="105"/>
      <c r="I1387" s="32" t="str">
        <f>IF($A1387="","",VLOOKUP($H1387,APOIO!$L:$M,2,FALSE))</f>
        <v/>
      </c>
      <c r="J1387" s="31"/>
      <c r="K1387" s="32" t="str">
        <f>IF($A1387="","",VLOOKUP($J1387,APOIO!$H:$J,2,FALSE))</f>
        <v/>
      </c>
      <c r="L1387" s="32" t="str">
        <f>IF($A1387="","",VLOOKUP($J1387,APOIO!$H:$J,3,FALSE))</f>
        <v/>
      </c>
      <c r="M1387" s="31"/>
      <c r="N1387" s="34"/>
      <c r="O1387" s="32"/>
      <c r="P1387" s="32"/>
      <c r="Q1387" s="32"/>
      <c r="R1387" s="32"/>
      <c r="S1387" s="35"/>
      <c r="T1387" s="91"/>
      <c r="U1387" s="60"/>
      <c r="V1387" s="36"/>
      <c r="W1387" s="31"/>
      <c r="X1387" s="59"/>
      <c r="Y1387" s="59" t="str">
        <f>IFERROR(VLOOKUP($A1387,APOIO!$A:$A,1,FALSE),"ERRO")</f>
        <v>ERRO</v>
      </c>
      <c r="Z1387"/>
    </row>
    <row r="1388" spans="1:26" ht="15" x14ac:dyDescent="0.25">
      <c r="A1388" s="94"/>
      <c r="B1388" s="32" t="str">
        <f>IF($A1388="","",VLOOKUP($A1388,APOIO!$A:$E,2,FALSE))</f>
        <v/>
      </c>
      <c r="C1388" s="94"/>
      <c r="D1388" s="32" t="str">
        <f>IF($A1388="","",INDEX(APOIO!$D:$D,MATCH(CONCATENATE($A1388,"_",$B1388,"_",$C1388),APOIO!$F:$F,0)))</f>
        <v/>
      </c>
      <c r="E1388" s="31"/>
      <c r="F1388" s="31"/>
      <c r="G1388" s="33"/>
      <c r="H1388" s="105"/>
      <c r="I1388" s="32" t="str">
        <f>IF($A1388="","",VLOOKUP($H1388,APOIO!$L:$M,2,FALSE))</f>
        <v/>
      </c>
      <c r="J1388" s="31"/>
      <c r="K1388" s="32" t="str">
        <f>IF($A1388="","",VLOOKUP($J1388,APOIO!$H:$J,2,FALSE))</f>
        <v/>
      </c>
      <c r="L1388" s="32" t="str">
        <f>IF($A1388="","",VLOOKUP($J1388,APOIO!$H:$J,3,FALSE))</f>
        <v/>
      </c>
      <c r="M1388" s="31"/>
      <c r="N1388" s="34"/>
      <c r="O1388" s="32"/>
      <c r="P1388" s="32"/>
      <c r="Q1388" s="32"/>
      <c r="R1388" s="32"/>
      <c r="S1388" s="35"/>
      <c r="T1388" s="91"/>
      <c r="U1388" s="60"/>
      <c r="V1388" s="36"/>
      <c r="W1388" s="31"/>
      <c r="X1388" s="59"/>
      <c r="Y1388" s="59" t="str">
        <f>IFERROR(VLOOKUP($A1388,APOIO!$A:$A,1,FALSE),"ERRO")</f>
        <v>ERRO</v>
      </c>
      <c r="Z1388"/>
    </row>
    <row r="1389" spans="1:26" ht="15" x14ac:dyDescent="0.25">
      <c r="A1389" s="94"/>
      <c r="B1389" s="32" t="str">
        <f>IF($A1389="","",VLOOKUP($A1389,APOIO!$A:$E,2,FALSE))</f>
        <v/>
      </c>
      <c r="C1389" s="94"/>
      <c r="D1389" s="32" t="str">
        <f>IF($A1389="","",INDEX(APOIO!$D:$D,MATCH(CONCATENATE($A1389,"_",$B1389,"_",$C1389),APOIO!$F:$F,0)))</f>
        <v/>
      </c>
      <c r="E1389" s="31"/>
      <c r="F1389" s="31"/>
      <c r="G1389" s="33"/>
      <c r="H1389" s="105"/>
      <c r="I1389" s="32" t="str">
        <f>IF($A1389="","",VLOOKUP($H1389,APOIO!$L:$M,2,FALSE))</f>
        <v/>
      </c>
      <c r="J1389" s="31"/>
      <c r="K1389" s="32" t="str">
        <f>IF($A1389="","",VLOOKUP($J1389,APOIO!$H:$J,2,FALSE))</f>
        <v/>
      </c>
      <c r="L1389" s="32" t="str">
        <f>IF($A1389="","",VLOOKUP($J1389,APOIO!$H:$J,3,FALSE))</f>
        <v/>
      </c>
      <c r="M1389" s="31"/>
      <c r="N1389" s="34"/>
      <c r="O1389" s="32"/>
      <c r="P1389" s="32"/>
      <c r="Q1389" s="32"/>
      <c r="R1389" s="32"/>
      <c r="S1389" s="35"/>
      <c r="T1389" s="91"/>
      <c r="U1389" s="60"/>
      <c r="V1389" s="36"/>
      <c r="W1389" s="31"/>
      <c r="X1389" s="59"/>
      <c r="Y1389" s="59" t="str">
        <f>IFERROR(VLOOKUP($A1389,APOIO!$A:$A,1,FALSE),"ERRO")</f>
        <v>ERRO</v>
      </c>
      <c r="Z1389"/>
    </row>
    <row r="1390" spans="1:26" ht="15" x14ac:dyDescent="0.25">
      <c r="A1390" s="94"/>
      <c r="B1390" s="32" t="str">
        <f>IF($A1390="","",VLOOKUP($A1390,APOIO!$A:$E,2,FALSE))</f>
        <v/>
      </c>
      <c r="C1390" s="94"/>
      <c r="D1390" s="32" t="str">
        <f>IF($A1390="","",INDEX(APOIO!$D:$D,MATCH(CONCATENATE($A1390,"_",$B1390,"_",$C1390),APOIO!$F:$F,0)))</f>
        <v/>
      </c>
      <c r="E1390" s="31"/>
      <c r="F1390" s="31"/>
      <c r="G1390" s="33"/>
      <c r="H1390" s="105"/>
      <c r="I1390" s="32" t="str">
        <f>IF($A1390="","",VLOOKUP($H1390,APOIO!$L:$M,2,FALSE))</f>
        <v/>
      </c>
      <c r="J1390" s="31"/>
      <c r="K1390" s="32" t="str">
        <f>IF($A1390="","",VLOOKUP($J1390,APOIO!$H:$J,2,FALSE))</f>
        <v/>
      </c>
      <c r="L1390" s="32" t="str">
        <f>IF($A1390="","",VLOOKUP($J1390,APOIO!$H:$J,3,FALSE))</f>
        <v/>
      </c>
      <c r="M1390" s="31"/>
      <c r="N1390" s="34"/>
      <c r="O1390" s="32"/>
      <c r="P1390" s="32"/>
      <c r="Q1390" s="32"/>
      <c r="R1390" s="32"/>
      <c r="S1390" s="35"/>
      <c r="T1390" s="91"/>
      <c r="U1390" s="60"/>
      <c r="V1390" s="36"/>
      <c r="W1390" s="31"/>
      <c r="X1390" s="59"/>
      <c r="Y1390" s="59" t="str">
        <f>IFERROR(VLOOKUP($A1390,APOIO!$A:$A,1,FALSE),"ERRO")</f>
        <v>ERRO</v>
      </c>
      <c r="Z1390"/>
    </row>
    <row r="1391" spans="1:26" ht="15" x14ac:dyDescent="0.25">
      <c r="A1391" s="94"/>
      <c r="B1391" s="32" t="str">
        <f>IF($A1391="","",VLOOKUP($A1391,APOIO!$A:$E,2,FALSE))</f>
        <v/>
      </c>
      <c r="C1391" s="94"/>
      <c r="D1391" s="32" t="str">
        <f>IF($A1391="","",INDEX(APOIO!$D:$D,MATCH(CONCATENATE($A1391,"_",$B1391,"_",$C1391),APOIO!$F:$F,0)))</f>
        <v/>
      </c>
      <c r="E1391" s="31"/>
      <c r="F1391" s="31"/>
      <c r="G1391" s="33"/>
      <c r="H1391" s="105"/>
      <c r="I1391" s="32" t="str">
        <f>IF($A1391="","",VLOOKUP($H1391,APOIO!$L:$M,2,FALSE))</f>
        <v/>
      </c>
      <c r="J1391" s="31"/>
      <c r="K1391" s="32" t="str">
        <f>IF($A1391="","",VLOOKUP($J1391,APOIO!$H:$J,2,FALSE))</f>
        <v/>
      </c>
      <c r="L1391" s="32" t="str">
        <f>IF($A1391="","",VLOOKUP($J1391,APOIO!$H:$J,3,FALSE))</f>
        <v/>
      </c>
      <c r="M1391" s="31"/>
      <c r="N1391" s="34"/>
      <c r="O1391" s="32"/>
      <c r="P1391" s="32"/>
      <c r="Q1391" s="32"/>
      <c r="R1391" s="32"/>
      <c r="S1391" s="35"/>
      <c r="T1391" s="91"/>
      <c r="U1391" s="60"/>
      <c r="V1391" s="36"/>
      <c r="W1391" s="31"/>
      <c r="X1391" s="59"/>
      <c r="Y1391" s="59" t="str">
        <f>IFERROR(VLOOKUP($A1391,APOIO!$A:$A,1,FALSE),"ERRO")</f>
        <v>ERRO</v>
      </c>
      <c r="Z1391"/>
    </row>
    <row r="1392" spans="1:26" ht="15" x14ac:dyDescent="0.25">
      <c r="A1392" s="94"/>
      <c r="B1392" s="32" t="str">
        <f>IF($A1392="","",VLOOKUP($A1392,APOIO!$A:$E,2,FALSE))</f>
        <v/>
      </c>
      <c r="C1392" s="94"/>
      <c r="D1392" s="32" t="str">
        <f>IF($A1392="","",INDEX(APOIO!$D:$D,MATCH(CONCATENATE($A1392,"_",$B1392,"_",$C1392),APOIO!$F:$F,0)))</f>
        <v/>
      </c>
      <c r="E1392" s="31"/>
      <c r="F1392" s="31"/>
      <c r="G1392" s="33"/>
      <c r="H1392" s="105"/>
      <c r="I1392" s="32" t="str">
        <f>IF($A1392="","",VLOOKUP($H1392,APOIO!$L:$M,2,FALSE))</f>
        <v/>
      </c>
      <c r="J1392" s="31"/>
      <c r="K1392" s="32" t="str">
        <f>IF($A1392="","",VLOOKUP($J1392,APOIO!$H:$J,2,FALSE))</f>
        <v/>
      </c>
      <c r="L1392" s="32" t="str">
        <f>IF($A1392="","",VLOOKUP($J1392,APOIO!$H:$J,3,FALSE))</f>
        <v/>
      </c>
      <c r="M1392" s="31"/>
      <c r="N1392" s="34"/>
      <c r="O1392" s="32"/>
      <c r="P1392" s="32"/>
      <c r="Q1392" s="32"/>
      <c r="R1392" s="32"/>
      <c r="S1392" s="35"/>
      <c r="T1392" s="91"/>
      <c r="U1392" s="60"/>
      <c r="V1392" s="36"/>
      <c r="W1392" s="31"/>
      <c r="X1392" s="59"/>
      <c r="Y1392" s="59" t="str">
        <f>IFERROR(VLOOKUP($A1392,APOIO!$A:$A,1,FALSE),"ERRO")</f>
        <v>ERRO</v>
      </c>
      <c r="Z1392"/>
    </row>
    <row r="1393" spans="1:26" ht="15" x14ac:dyDescent="0.25">
      <c r="A1393" s="94"/>
      <c r="B1393" s="32" t="str">
        <f>IF($A1393="","",VLOOKUP($A1393,APOIO!$A:$E,2,FALSE))</f>
        <v/>
      </c>
      <c r="C1393" s="94"/>
      <c r="D1393" s="32" t="str">
        <f>IF($A1393="","",INDEX(APOIO!$D:$D,MATCH(CONCATENATE($A1393,"_",$B1393,"_",$C1393),APOIO!$F:$F,0)))</f>
        <v/>
      </c>
      <c r="E1393" s="31"/>
      <c r="F1393" s="31"/>
      <c r="G1393" s="33"/>
      <c r="H1393" s="105"/>
      <c r="I1393" s="32" t="str">
        <f>IF($A1393="","",VLOOKUP($H1393,APOIO!$L:$M,2,FALSE))</f>
        <v/>
      </c>
      <c r="J1393" s="31"/>
      <c r="K1393" s="32" t="str">
        <f>IF($A1393="","",VLOOKUP($J1393,APOIO!$H:$J,2,FALSE))</f>
        <v/>
      </c>
      <c r="L1393" s="32" t="str">
        <f>IF($A1393="","",VLOOKUP($J1393,APOIO!$H:$J,3,FALSE))</f>
        <v/>
      </c>
      <c r="M1393" s="31"/>
      <c r="N1393" s="34"/>
      <c r="O1393" s="32"/>
      <c r="P1393" s="32"/>
      <c r="Q1393" s="32"/>
      <c r="R1393" s="32"/>
      <c r="S1393" s="35"/>
      <c r="T1393" s="91"/>
      <c r="U1393" s="60"/>
      <c r="V1393" s="36"/>
      <c r="W1393" s="31"/>
      <c r="X1393" s="59"/>
      <c r="Y1393" s="59" t="str">
        <f>IFERROR(VLOOKUP($A1393,APOIO!$A:$A,1,FALSE),"ERRO")</f>
        <v>ERRO</v>
      </c>
      <c r="Z1393"/>
    </row>
    <row r="1394" spans="1:26" ht="15" x14ac:dyDescent="0.25">
      <c r="A1394" s="94"/>
      <c r="B1394" s="32" t="str">
        <f>IF($A1394="","",VLOOKUP($A1394,APOIO!$A:$E,2,FALSE))</f>
        <v/>
      </c>
      <c r="C1394" s="94"/>
      <c r="D1394" s="32" t="str">
        <f>IF($A1394="","",INDEX(APOIO!$D:$D,MATCH(CONCATENATE($A1394,"_",$B1394,"_",$C1394),APOIO!$F:$F,0)))</f>
        <v/>
      </c>
      <c r="E1394" s="31"/>
      <c r="F1394" s="31"/>
      <c r="G1394" s="33"/>
      <c r="H1394" s="105"/>
      <c r="I1394" s="32" t="str">
        <f>IF($A1394="","",VLOOKUP($H1394,APOIO!$L:$M,2,FALSE))</f>
        <v/>
      </c>
      <c r="J1394" s="31"/>
      <c r="K1394" s="32" t="str">
        <f>IF($A1394="","",VLOOKUP($J1394,APOIO!$H:$J,2,FALSE))</f>
        <v/>
      </c>
      <c r="L1394" s="32" t="str">
        <f>IF($A1394="","",VLOOKUP($J1394,APOIO!$H:$J,3,FALSE))</f>
        <v/>
      </c>
      <c r="M1394" s="31"/>
      <c r="N1394" s="34"/>
      <c r="O1394" s="32"/>
      <c r="P1394" s="32"/>
      <c r="Q1394" s="32"/>
      <c r="R1394" s="32"/>
      <c r="S1394" s="35"/>
      <c r="T1394" s="91"/>
      <c r="U1394" s="60"/>
      <c r="V1394" s="36"/>
      <c r="W1394" s="31"/>
      <c r="X1394" s="59"/>
      <c r="Y1394" s="59" t="str">
        <f>IFERROR(VLOOKUP($A1394,APOIO!$A:$A,1,FALSE),"ERRO")</f>
        <v>ERRO</v>
      </c>
      <c r="Z1394"/>
    </row>
    <row r="1395" spans="1:26" ht="15" x14ac:dyDescent="0.25">
      <c r="A1395" s="94"/>
      <c r="B1395" s="32" t="str">
        <f>IF($A1395="","",VLOOKUP($A1395,APOIO!$A:$E,2,FALSE))</f>
        <v/>
      </c>
      <c r="C1395" s="94"/>
      <c r="D1395" s="32" t="str">
        <f>IF($A1395="","",INDEX(APOIO!$D:$D,MATCH(CONCATENATE($A1395,"_",$B1395,"_",$C1395),APOIO!$F:$F,0)))</f>
        <v/>
      </c>
      <c r="E1395" s="31"/>
      <c r="F1395" s="31"/>
      <c r="G1395" s="33"/>
      <c r="H1395" s="105"/>
      <c r="I1395" s="32" t="str">
        <f>IF($A1395="","",VLOOKUP($H1395,APOIO!$L:$M,2,FALSE))</f>
        <v/>
      </c>
      <c r="J1395" s="31"/>
      <c r="K1395" s="32" t="str">
        <f>IF($A1395="","",VLOOKUP($J1395,APOIO!$H:$J,2,FALSE))</f>
        <v/>
      </c>
      <c r="L1395" s="32" t="str">
        <f>IF($A1395="","",VLOOKUP($J1395,APOIO!$H:$J,3,FALSE))</f>
        <v/>
      </c>
      <c r="M1395" s="31"/>
      <c r="N1395" s="34"/>
      <c r="O1395" s="32"/>
      <c r="P1395" s="32"/>
      <c r="Q1395" s="32"/>
      <c r="R1395" s="32"/>
      <c r="S1395" s="35"/>
      <c r="T1395" s="91"/>
      <c r="U1395" s="60"/>
      <c r="V1395" s="36"/>
      <c r="W1395" s="31"/>
      <c r="X1395" s="59"/>
      <c r="Y1395" s="59" t="str">
        <f>IFERROR(VLOOKUP($A1395,APOIO!$A:$A,1,FALSE),"ERRO")</f>
        <v>ERRO</v>
      </c>
      <c r="Z1395"/>
    </row>
    <row r="1396" spans="1:26" ht="15" x14ac:dyDescent="0.25">
      <c r="A1396" s="94"/>
      <c r="B1396" s="32" t="str">
        <f>IF($A1396="","",VLOOKUP($A1396,APOIO!$A:$E,2,FALSE))</f>
        <v/>
      </c>
      <c r="C1396" s="94"/>
      <c r="D1396" s="32" t="str">
        <f>IF($A1396="","",INDEX(APOIO!$D:$D,MATCH(CONCATENATE($A1396,"_",$B1396,"_",$C1396),APOIO!$F:$F,0)))</f>
        <v/>
      </c>
      <c r="E1396" s="31"/>
      <c r="F1396" s="31"/>
      <c r="G1396" s="33"/>
      <c r="H1396" s="105"/>
      <c r="I1396" s="32" t="str">
        <f>IF($A1396="","",VLOOKUP($H1396,APOIO!$L:$M,2,FALSE))</f>
        <v/>
      </c>
      <c r="J1396" s="31"/>
      <c r="K1396" s="32" t="str">
        <f>IF($A1396="","",VLOOKUP($J1396,APOIO!$H:$J,2,FALSE))</f>
        <v/>
      </c>
      <c r="L1396" s="32" t="str">
        <f>IF($A1396="","",VLOOKUP($J1396,APOIO!$H:$J,3,FALSE))</f>
        <v/>
      </c>
      <c r="M1396" s="31"/>
      <c r="N1396" s="34"/>
      <c r="O1396" s="32"/>
      <c r="P1396" s="32"/>
      <c r="Q1396" s="32"/>
      <c r="R1396" s="32"/>
      <c r="S1396" s="35"/>
      <c r="T1396" s="91"/>
      <c r="U1396" s="60"/>
      <c r="V1396" s="36"/>
      <c r="W1396" s="31"/>
      <c r="X1396" s="59"/>
      <c r="Y1396" s="59" t="str">
        <f>IFERROR(VLOOKUP($A1396,APOIO!$A:$A,1,FALSE),"ERRO")</f>
        <v>ERRO</v>
      </c>
      <c r="Z1396"/>
    </row>
    <row r="1397" spans="1:26" ht="15" x14ac:dyDescent="0.25">
      <c r="A1397" s="94"/>
      <c r="B1397" s="32" t="str">
        <f>IF($A1397="","",VLOOKUP($A1397,APOIO!$A:$E,2,FALSE))</f>
        <v/>
      </c>
      <c r="C1397" s="94"/>
      <c r="D1397" s="32" t="str">
        <f>IF($A1397="","",INDEX(APOIO!$D:$D,MATCH(CONCATENATE($A1397,"_",$B1397,"_",$C1397),APOIO!$F:$F,0)))</f>
        <v/>
      </c>
      <c r="E1397" s="31"/>
      <c r="F1397" s="31"/>
      <c r="G1397" s="33"/>
      <c r="H1397" s="105"/>
      <c r="I1397" s="32" t="str">
        <f>IF($A1397="","",VLOOKUP($H1397,APOIO!$L:$M,2,FALSE))</f>
        <v/>
      </c>
      <c r="J1397" s="31"/>
      <c r="K1397" s="32" t="str">
        <f>IF($A1397="","",VLOOKUP($J1397,APOIO!$H:$J,2,FALSE))</f>
        <v/>
      </c>
      <c r="L1397" s="32" t="str">
        <f>IF($A1397="","",VLOOKUP($J1397,APOIO!$H:$J,3,FALSE))</f>
        <v/>
      </c>
      <c r="M1397" s="31"/>
      <c r="N1397" s="34"/>
      <c r="O1397" s="32"/>
      <c r="P1397" s="32"/>
      <c r="Q1397" s="32"/>
      <c r="R1397" s="32"/>
      <c r="S1397" s="35"/>
      <c r="T1397" s="91"/>
      <c r="U1397" s="60"/>
      <c r="V1397" s="36"/>
      <c r="W1397" s="31"/>
      <c r="X1397" s="59"/>
      <c r="Y1397" s="59" t="str">
        <f>IFERROR(VLOOKUP($A1397,APOIO!$A:$A,1,FALSE),"ERRO")</f>
        <v>ERRO</v>
      </c>
      <c r="Z1397"/>
    </row>
    <row r="1398" spans="1:26" ht="15" x14ac:dyDescent="0.25">
      <c r="A1398" s="94"/>
      <c r="B1398" s="32" t="str">
        <f>IF($A1398="","",VLOOKUP($A1398,APOIO!$A:$E,2,FALSE))</f>
        <v/>
      </c>
      <c r="C1398" s="94"/>
      <c r="D1398" s="32" t="str">
        <f>IF($A1398="","",INDEX(APOIO!$D:$D,MATCH(CONCATENATE($A1398,"_",$B1398,"_",$C1398),APOIO!$F:$F,0)))</f>
        <v/>
      </c>
      <c r="E1398" s="31"/>
      <c r="F1398" s="31"/>
      <c r="G1398" s="33"/>
      <c r="H1398" s="105"/>
      <c r="I1398" s="32" t="str">
        <f>IF($A1398="","",VLOOKUP($H1398,APOIO!$L:$M,2,FALSE))</f>
        <v/>
      </c>
      <c r="J1398" s="31"/>
      <c r="K1398" s="32" t="str">
        <f>IF($A1398="","",VLOOKUP($J1398,APOIO!$H:$J,2,FALSE))</f>
        <v/>
      </c>
      <c r="L1398" s="32" t="str">
        <f>IF($A1398="","",VLOOKUP($J1398,APOIO!$H:$J,3,FALSE))</f>
        <v/>
      </c>
      <c r="M1398" s="31"/>
      <c r="N1398" s="34"/>
      <c r="O1398" s="32"/>
      <c r="P1398" s="32"/>
      <c r="Q1398" s="32"/>
      <c r="R1398" s="32"/>
      <c r="S1398" s="35"/>
      <c r="T1398" s="91"/>
      <c r="U1398" s="60"/>
      <c r="V1398" s="36"/>
      <c r="W1398" s="31"/>
      <c r="X1398" s="59"/>
      <c r="Y1398" s="59" t="str">
        <f>IFERROR(VLOOKUP($A1398,APOIO!$A:$A,1,FALSE),"ERRO")</f>
        <v>ERRO</v>
      </c>
      <c r="Z1398"/>
    </row>
    <row r="1399" spans="1:26" ht="15" x14ac:dyDescent="0.25">
      <c r="A1399" s="94"/>
      <c r="B1399" s="32" t="str">
        <f>IF($A1399="","",VLOOKUP($A1399,APOIO!$A:$E,2,FALSE))</f>
        <v/>
      </c>
      <c r="C1399" s="94"/>
      <c r="D1399" s="32" t="str">
        <f>IF($A1399="","",INDEX(APOIO!$D:$D,MATCH(CONCATENATE($A1399,"_",$B1399,"_",$C1399),APOIO!$F:$F,0)))</f>
        <v/>
      </c>
      <c r="E1399" s="31"/>
      <c r="F1399" s="31"/>
      <c r="G1399" s="33"/>
      <c r="H1399" s="105"/>
      <c r="I1399" s="32" t="str">
        <f>IF($A1399="","",VLOOKUP($H1399,APOIO!$L:$M,2,FALSE))</f>
        <v/>
      </c>
      <c r="J1399" s="31"/>
      <c r="K1399" s="32" t="str">
        <f>IF($A1399="","",VLOOKUP($J1399,APOIO!$H:$J,2,FALSE))</f>
        <v/>
      </c>
      <c r="L1399" s="32" t="str">
        <f>IF($A1399="","",VLOOKUP($J1399,APOIO!$H:$J,3,FALSE))</f>
        <v/>
      </c>
      <c r="M1399" s="31"/>
      <c r="N1399" s="34"/>
      <c r="O1399" s="32"/>
      <c r="P1399" s="32"/>
      <c r="Q1399" s="32"/>
      <c r="R1399" s="32"/>
      <c r="S1399" s="35"/>
      <c r="T1399" s="91"/>
      <c r="U1399" s="60"/>
      <c r="V1399" s="36"/>
      <c r="W1399" s="31"/>
      <c r="X1399" s="59"/>
      <c r="Y1399" s="59" t="str">
        <f>IFERROR(VLOOKUP($A1399,APOIO!$A:$A,1,FALSE),"ERRO")</f>
        <v>ERRO</v>
      </c>
      <c r="Z1399"/>
    </row>
    <row r="1400" spans="1:26" ht="15" x14ac:dyDescent="0.25">
      <c r="A1400" s="94"/>
      <c r="B1400" s="32" t="str">
        <f>IF($A1400="","",VLOOKUP($A1400,APOIO!$A:$E,2,FALSE))</f>
        <v/>
      </c>
      <c r="C1400" s="94"/>
      <c r="D1400" s="32" t="str">
        <f>IF($A1400="","",INDEX(APOIO!$D:$D,MATCH(CONCATENATE($A1400,"_",$B1400,"_",$C1400),APOIO!$F:$F,0)))</f>
        <v/>
      </c>
      <c r="E1400" s="31"/>
      <c r="F1400" s="31"/>
      <c r="G1400" s="33"/>
      <c r="H1400" s="105"/>
      <c r="I1400" s="32" t="str">
        <f>IF($A1400="","",VLOOKUP($H1400,APOIO!$L:$M,2,FALSE))</f>
        <v/>
      </c>
      <c r="J1400" s="31"/>
      <c r="K1400" s="32" t="str">
        <f>IF($A1400="","",VLOOKUP($J1400,APOIO!$H:$J,2,FALSE))</f>
        <v/>
      </c>
      <c r="L1400" s="32" t="str">
        <f>IF($A1400="","",VLOOKUP($J1400,APOIO!$H:$J,3,FALSE))</f>
        <v/>
      </c>
      <c r="M1400" s="31"/>
      <c r="N1400" s="34"/>
      <c r="O1400" s="32"/>
      <c r="P1400" s="32"/>
      <c r="Q1400" s="32"/>
      <c r="R1400" s="32"/>
      <c r="S1400" s="35"/>
      <c r="T1400" s="91"/>
      <c r="U1400" s="60"/>
      <c r="V1400" s="36"/>
      <c r="W1400" s="31"/>
      <c r="X1400" s="59"/>
      <c r="Y1400" s="59" t="str">
        <f>IFERROR(VLOOKUP($A1400,APOIO!$A:$A,1,FALSE),"ERRO")</f>
        <v>ERRO</v>
      </c>
      <c r="Z1400"/>
    </row>
    <row r="1401" spans="1:26" ht="15" x14ac:dyDescent="0.25">
      <c r="A1401" s="94"/>
      <c r="B1401" s="32" t="str">
        <f>IF($A1401="","",VLOOKUP($A1401,APOIO!$A:$E,2,FALSE))</f>
        <v/>
      </c>
      <c r="C1401" s="94"/>
      <c r="D1401" s="32" t="str">
        <f>IF($A1401="","",INDEX(APOIO!$D:$D,MATCH(CONCATENATE($A1401,"_",$B1401,"_",$C1401),APOIO!$F:$F,0)))</f>
        <v/>
      </c>
      <c r="E1401" s="31"/>
      <c r="F1401" s="31"/>
      <c r="G1401" s="33"/>
      <c r="H1401" s="105"/>
      <c r="I1401" s="32" t="str">
        <f>IF($A1401="","",VLOOKUP($H1401,APOIO!$L:$M,2,FALSE))</f>
        <v/>
      </c>
      <c r="J1401" s="31"/>
      <c r="K1401" s="32" t="str">
        <f>IF($A1401="","",VLOOKUP($J1401,APOIO!$H:$J,2,FALSE))</f>
        <v/>
      </c>
      <c r="L1401" s="32" t="str">
        <f>IF($A1401="","",VLOOKUP($J1401,APOIO!$H:$J,3,FALSE))</f>
        <v/>
      </c>
      <c r="M1401" s="31"/>
      <c r="N1401" s="34"/>
      <c r="O1401" s="32"/>
      <c r="P1401" s="32"/>
      <c r="Q1401" s="32"/>
      <c r="R1401" s="32"/>
      <c r="S1401" s="35"/>
      <c r="T1401" s="91"/>
      <c r="U1401" s="60"/>
      <c r="V1401" s="36"/>
      <c r="W1401" s="31"/>
      <c r="X1401" s="59"/>
      <c r="Y1401" s="59" t="str">
        <f>IFERROR(VLOOKUP($A1401,APOIO!$A:$A,1,FALSE),"ERRO")</f>
        <v>ERRO</v>
      </c>
      <c r="Z1401"/>
    </row>
    <row r="1402" spans="1:26" ht="15" x14ac:dyDescent="0.25">
      <c r="A1402" s="94"/>
      <c r="B1402" s="32" t="str">
        <f>IF($A1402="","",VLOOKUP($A1402,APOIO!$A:$E,2,FALSE))</f>
        <v/>
      </c>
      <c r="C1402" s="94"/>
      <c r="D1402" s="32" t="str">
        <f>IF($A1402="","",INDEX(APOIO!$D:$D,MATCH(CONCATENATE($A1402,"_",$B1402,"_",$C1402),APOIO!$F:$F,0)))</f>
        <v/>
      </c>
      <c r="E1402" s="31"/>
      <c r="F1402" s="31"/>
      <c r="G1402" s="33"/>
      <c r="H1402" s="105"/>
      <c r="I1402" s="32" t="str">
        <f>IF($A1402="","",VLOOKUP($H1402,APOIO!$L:$M,2,FALSE))</f>
        <v/>
      </c>
      <c r="J1402" s="31"/>
      <c r="K1402" s="32" t="str">
        <f>IF($A1402="","",VLOOKUP($J1402,APOIO!$H:$J,2,FALSE))</f>
        <v/>
      </c>
      <c r="L1402" s="32" t="str">
        <f>IF($A1402="","",VLOOKUP($J1402,APOIO!$H:$J,3,FALSE))</f>
        <v/>
      </c>
      <c r="M1402" s="31"/>
      <c r="N1402" s="34"/>
      <c r="O1402" s="32"/>
      <c r="P1402" s="32"/>
      <c r="Q1402" s="32"/>
      <c r="R1402" s="32"/>
      <c r="S1402" s="35"/>
      <c r="T1402" s="91"/>
      <c r="U1402" s="60"/>
      <c r="V1402" s="36"/>
      <c r="W1402" s="31"/>
      <c r="X1402" s="59"/>
      <c r="Y1402" s="59" t="str">
        <f>IFERROR(VLOOKUP($A1402,APOIO!$A:$A,1,FALSE),"ERRO")</f>
        <v>ERRO</v>
      </c>
      <c r="Z1402"/>
    </row>
    <row r="1403" spans="1:26" ht="15" x14ac:dyDescent="0.25">
      <c r="A1403" s="94"/>
      <c r="B1403" s="32" t="str">
        <f>IF($A1403="","",VLOOKUP($A1403,APOIO!$A:$E,2,FALSE))</f>
        <v/>
      </c>
      <c r="C1403" s="94"/>
      <c r="D1403" s="32" t="str">
        <f>IF($A1403="","",INDEX(APOIO!$D:$D,MATCH(CONCATENATE($A1403,"_",$B1403,"_",$C1403),APOIO!$F:$F,0)))</f>
        <v/>
      </c>
      <c r="E1403" s="31"/>
      <c r="F1403" s="31"/>
      <c r="G1403" s="33"/>
      <c r="H1403" s="105"/>
      <c r="I1403" s="32" t="str">
        <f>IF($A1403="","",VLOOKUP($H1403,APOIO!$L:$M,2,FALSE))</f>
        <v/>
      </c>
      <c r="J1403" s="31"/>
      <c r="K1403" s="32" t="str">
        <f>IF($A1403="","",VLOOKUP($J1403,APOIO!$H:$J,2,FALSE))</f>
        <v/>
      </c>
      <c r="L1403" s="32" t="str">
        <f>IF($A1403="","",VLOOKUP($J1403,APOIO!$H:$J,3,FALSE))</f>
        <v/>
      </c>
      <c r="M1403" s="31"/>
      <c r="N1403" s="34"/>
      <c r="O1403" s="32"/>
      <c r="P1403" s="32"/>
      <c r="Q1403" s="32"/>
      <c r="R1403" s="32"/>
      <c r="S1403" s="35"/>
      <c r="T1403" s="91"/>
      <c r="U1403" s="60"/>
      <c r="V1403" s="36"/>
      <c r="W1403" s="31"/>
      <c r="X1403" s="59"/>
      <c r="Y1403" s="59" t="str">
        <f>IFERROR(VLOOKUP($A1403,APOIO!$A:$A,1,FALSE),"ERRO")</f>
        <v>ERRO</v>
      </c>
      <c r="Z1403"/>
    </row>
    <row r="1404" spans="1:26" ht="15" x14ac:dyDescent="0.25">
      <c r="A1404" s="94"/>
      <c r="B1404" s="32" t="str">
        <f>IF($A1404="","",VLOOKUP($A1404,APOIO!$A:$E,2,FALSE))</f>
        <v/>
      </c>
      <c r="C1404" s="94"/>
      <c r="D1404" s="32" t="str">
        <f>IF($A1404="","",INDEX(APOIO!$D:$D,MATCH(CONCATENATE($A1404,"_",$B1404,"_",$C1404),APOIO!$F:$F,0)))</f>
        <v/>
      </c>
      <c r="E1404" s="31"/>
      <c r="F1404" s="31"/>
      <c r="G1404" s="33"/>
      <c r="H1404" s="105"/>
      <c r="I1404" s="32" t="str">
        <f>IF($A1404="","",VLOOKUP($H1404,APOIO!$L:$M,2,FALSE))</f>
        <v/>
      </c>
      <c r="J1404" s="31"/>
      <c r="K1404" s="32" t="str">
        <f>IF($A1404="","",VLOOKUP($J1404,APOIO!$H:$J,2,FALSE))</f>
        <v/>
      </c>
      <c r="L1404" s="32" t="str">
        <f>IF($A1404="","",VLOOKUP($J1404,APOIO!$H:$J,3,FALSE))</f>
        <v/>
      </c>
      <c r="M1404" s="31"/>
      <c r="N1404" s="34"/>
      <c r="O1404" s="32"/>
      <c r="P1404" s="32"/>
      <c r="Q1404" s="32"/>
      <c r="R1404" s="32"/>
      <c r="S1404" s="35"/>
      <c r="T1404" s="91"/>
      <c r="U1404" s="60"/>
      <c r="V1404" s="36"/>
      <c r="W1404" s="31"/>
      <c r="X1404" s="59"/>
      <c r="Y1404" s="59" t="str">
        <f>IFERROR(VLOOKUP($A1404,APOIO!$A:$A,1,FALSE),"ERRO")</f>
        <v>ERRO</v>
      </c>
      <c r="Z1404"/>
    </row>
    <row r="1405" spans="1:26" ht="15" x14ac:dyDescent="0.25">
      <c r="A1405" s="94"/>
      <c r="B1405" s="32" t="str">
        <f>IF($A1405="","",VLOOKUP($A1405,APOIO!$A:$E,2,FALSE))</f>
        <v/>
      </c>
      <c r="C1405" s="94"/>
      <c r="D1405" s="32" t="str">
        <f>IF($A1405="","",INDEX(APOIO!$D:$D,MATCH(CONCATENATE($A1405,"_",$B1405,"_",$C1405),APOIO!$F:$F,0)))</f>
        <v/>
      </c>
      <c r="E1405" s="31"/>
      <c r="F1405" s="31"/>
      <c r="G1405" s="33"/>
      <c r="H1405" s="105"/>
      <c r="I1405" s="32" t="str">
        <f>IF($A1405="","",VLOOKUP($H1405,APOIO!$L:$M,2,FALSE))</f>
        <v/>
      </c>
      <c r="J1405" s="31"/>
      <c r="K1405" s="32" t="str">
        <f>IF($A1405="","",VLOOKUP($J1405,APOIO!$H:$J,2,FALSE))</f>
        <v/>
      </c>
      <c r="L1405" s="32" t="str">
        <f>IF($A1405="","",VLOOKUP($J1405,APOIO!$H:$J,3,FALSE))</f>
        <v/>
      </c>
      <c r="M1405" s="31"/>
      <c r="N1405" s="34"/>
      <c r="O1405" s="32"/>
      <c r="P1405" s="32"/>
      <c r="Q1405" s="32"/>
      <c r="R1405" s="32"/>
      <c r="S1405" s="35"/>
      <c r="T1405" s="91"/>
      <c r="U1405" s="60"/>
      <c r="V1405" s="36"/>
      <c r="W1405" s="31"/>
      <c r="X1405" s="59"/>
      <c r="Y1405" s="59" t="str">
        <f>IFERROR(VLOOKUP($A1405,APOIO!$A:$A,1,FALSE),"ERRO")</f>
        <v>ERRO</v>
      </c>
      <c r="Z1405"/>
    </row>
    <row r="1406" spans="1:26" ht="15" x14ac:dyDescent="0.25">
      <c r="A1406" s="94"/>
      <c r="B1406" s="32" t="str">
        <f>IF($A1406="","",VLOOKUP($A1406,APOIO!$A:$E,2,FALSE))</f>
        <v/>
      </c>
      <c r="C1406" s="94"/>
      <c r="D1406" s="32" t="str">
        <f>IF($A1406="","",INDEX(APOIO!$D:$D,MATCH(CONCATENATE($A1406,"_",$B1406,"_",$C1406),APOIO!$F:$F,0)))</f>
        <v/>
      </c>
      <c r="E1406" s="31"/>
      <c r="F1406" s="31"/>
      <c r="G1406" s="33"/>
      <c r="H1406" s="105"/>
      <c r="I1406" s="32" t="str">
        <f>IF($A1406="","",VLOOKUP($H1406,APOIO!$L:$M,2,FALSE))</f>
        <v/>
      </c>
      <c r="J1406" s="31"/>
      <c r="K1406" s="32" t="str">
        <f>IF($A1406="","",VLOOKUP($J1406,APOIO!$H:$J,2,FALSE))</f>
        <v/>
      </c>
      <c r="L1406" s="32" t="str">
        <f>IF($A1406="","",VLOOKUP($J1406,APOIO!$H:$J,3,FALSE))</f>
        <v/>
      </c>
      <c r="M1406" s="31"/>
      <c r="N1406" s="34"/>
      <c r="O1406" s="32"/>
      <c r="P1406" s="32"/>
      <c r="Q1406" s="32"/>
      <c r="R1406" s="32"/>
      <c r="S1406" s="35"/>
      <c r="T1406" s="91"/>
      <c r="U1406" s="60"/>
      <c r="V1406" s="36"/>
      <c r="W1406" s="31"/>
      <c r="X1406" s="59"/>
      <c r="Y1406" s="59" t="str">
        <f>IFERROR(VLOOKUP($A1406,APOIO!$A:$A,1,FALSE),"ERRO")</f>
        <v>ERRO</v>
      </c>
      <c r="Z1406"/>
    </row>
    <row r="1407" spans="1:26" ht="15" x14ac:dyDescent="0.25">
      <c r="A1407" s="94"/>
      <c r="B1407" s="32" t="str">
        <f>IF($A1407="","",VLOOKUP($A1407,APOIO!$A:$E,2,FALSE))</f>
        <v/>
      </c>
      <c r="C1407" s="94"/>
      <c r="D1407" s="32" t="str">
        <f>IF($A1407="","",INDEX(APOIO!$D:$D,MATCH(CONCATENATE($A1407,"_",$B1407,"_",$C1407),APOIO!$F:$F,0)))</f>
        <v/>
      </c>
      <c r="E1407" s="31"/>
      <c r="F1407" s="31"/>
      <c r="G1407" s="33"/>
      <c r="H1407" s="105"/>
      <c r="I1407" s="32" t="str">
        <f>IF($A1407="","",VLOOKUP($H1407,APOIO!$L:$M,2,FALSE))</f>
        <v/>
      </c>
      <c r="J1407" s="31"/>
      <c r="K1407" s="32" t="str">
        <f>IF($A1407="","",VLOOKUP($J1407,APOIO!$H:$J,2,FALSE))</f>
        <v/>
      </c>
      <c r="L1407" s="32" t="str">
        <f>IF($A1407="","",VLOOKUP($J1407,APOIO!$H:$J,3,FALSE))</f>
        <v/>
      </c>
      <c r="M1407" s="31"/>
      <c r="N1407" s="34"/>
      <c r="O1407" s="32"/>
      <c r="P1407" s="32"/>
      <c r="Q1407" s="32"/>
      <c r="R1407" s="32"/>
      <c r="S1407" s="35"/>
      <c r="T1407" s="91"/>
      <c r="U1407" s="60"/>
      <c r="V1407" s="36"/>
      <c r="W1407" s="31"/>
      <c r="X1407" s="59"/>
      <c r="Y1407" s="59" t="str">
        <f>IFERROR(VLOOKUP($A1407,APOIO!$A:$A,1,FALSE),"ERRO")</f>
        <v>ERRO</v>
      </c>
      <c r="Z1407"/>
    </row>
    <row r="1408" spans="1:26" ht="15" x14ac:dyDescent="0.25">
      <c r="A1408" s="94"/>
      <c r="B1408" s="32" t="str">
        <f>IF($A1408="","",VLOOKUP($A1408,APOIO!$A:$E,2,FALSE))</f>
        <v/>
      </c>
      <c r="C1408" s="94"/>
      <c r="D1408" s="32" t="str">
        <f>IF($A1408="","",INDEX(APOIO!$D:$D,MATCH(CONCATENATE($A1408,"_",$B1408,"_",$C1408),APOIO!$F:$F,0)))</f>
        <v/>
      </c>
      <c r="E1408" s="31"/>
      <c r="F1408" s="31"/>
      <c r="G1408" s="33"/>
      <c r="H1408" s="105"/>
      <c r="I1408" s="32" t="str">
        <f>IF($A1408="","",VLOOKUP($H1408,APOIO!$L:$M,2,FALSE))</f>
        <v/>
      </c>
      <c r="J1408" s="31"/>
      <c r="K1408" s="32" t="str">
        <f>IF($A1408="","",VLOOKUP($J1408,APOIO!$H:$J,2,FALSE))</f>
        <v/>
      </c>
      <c r="L1408" s="32" t="str">
        <f>IF($A1408="","",VLOOKUP($J1408,APOIO!$H:$J,3,FALSE))</f>
        <v/>
      </c>
      <c r="M1408" s="31"/>
      <c r="N1408" s="34"/>
      <c r="O1408" s="32"/>
      <c r="P1408" s="32"/>
      <c r="Q1408" s="32"/>
      <c r="R1408" s="32"/>
      <c r="S1408" s="35"/>
      <c r="T1408" s="91"/>
      <c r="U1408" s="60"/>
      <c r="V1408" s="36"/>
      <c r="W1408" s="31"/>
      <c r="X1408" s="59"/>
      <c r="Y1408" s="59" t="str">
        <f>IFERROR(VLOOKUP($A1408,APOIO!$A:$A,1,FALSE),"ERRO")</f>
        <v>ERRO</v>
      </c>
      <c r="Z1408"/>
    </row>
    <row r="1409" spans="1:26" ht="15" x14ac:dyDescent="0.25">
      <c r="A1409" s="94"/>
      <c r="B1409" s="32" t="str">
        <f>IF($A1409="","",VLOOKUP($A1409,APOIO!$A:$E,2,FALSE))</f>
        <v/>
      </c>
      <c r="C1409" s="94"/>
      <c r="D1409" s="32" t="str">
        <f>IF($A1409="","",INDEX(APOIO!$D:$D,MATCH(CONCATENATE($A1409,"_",$B1409,"_",$C1409),APOIO!$F:$F,0)))</f>
        <v/>
      </c>
      <c r="E1409" s="31"/>
      <c r="F1409" s="31"/>
      <c r="G1409" s="33"/>
      <c r="H1409" s="105"/>
      <c r="I1409" s="32" t="str">
        <f>IF($A1409="","",VLOOKUP($H1409,APOIO!$L:$M,2,FALSE))</f>
        <v/>
      </c>
      <c r="J1409" s="31"/>
      <c r="K1409" s="32" t="str">
        <f>IF($A1409="","",VLOOKUP($J1409,APOIO!$H:$J,2,FALSE))</f>
        <v/>
      </c>
      <c r="L1409" s="32" t="str">
        <f>IF($A1409="","",VLOOKUP($J1409,APOIO!$H:$J,3,FALSE))</f>
        <v/>
      </c>
      <c r="M1409" s="31"/>
      <c r="N1409" s="34"/>
      <c r="O1409" s="32"/>
      <c r="P1409" s="32"/>
      <c r="Q1409" s="32"/>
      <c r="R1409" s="32"/>
      <c r="S1409" s="35"/>
      <c r="T1409" s="91"/>
      <c r="U1409" s="60"/>
      <c r="V1409" s="36"/>
      <c r="W1409" s="31"/>
      <c r="X1409" s="59"/>
      <c r="Y1409" s="59" t="str">
        <f>IFERROR(VLOOKUP($A1409,APOIO!$A:$A,1,FALSE),"ERRO")</f>
        <v>ERRO</v>
      </c>
      <c r="Z1409"/>
    </row>
    <row r="1410" spans="1:26" ht="15" x14ac:dyDescent="0.25">
      <c r="A1410" s="94"/>
      <c r="B1410" s="32" t="str">
        <f>IF($A1410="","",VLOOKUP($A1410,APOIO!$A:$E,2,FALSE))</f>
        <v/>
      </c>
      <c r="C1410" s="94"/>
      <c r="D1410" s="32" t="str">
        <f>IF($A1410="","",INDEX(APOIO!$D:$D,MATCH(CONCATENATE($A1410,"_",$B1410,"_",$C1410),APOIO!$F:$F,0)))</f>
        <v/>
      </c>
      <c r="E1410" s="31"/>
      <c r="F1410" s="31"/>
      <c r="G1410" s="33"/>
      <c r="H1410" s="105"/>
      <c r="I1410" s="32" t="str">
        <f>IF($A1410="","",VLOOKUP($H1410,APOIO!$L:$M,2,FALSE))</f>
        <v/>
      </c>
      <c r="J1410" s="31"/>
      <c r="K1410" s="32" t="str">
        <f>IF($A1410="","",VLOOKUP($J1410,APOIO!$H:$J,2,FALSE))</f>
        <v/>
      </c>
      <c r="L1410" s="32" t="str">
        <f>IF($A1410="","",VLOOKUP($J1410,APOIO!$H:$J,3,FALSE))</f>
        <v/>
      </c>
      <c r="M1410" s="31"/>
      <c r="N1410" s="34"/>
      <c r="O1410" s="32"/>
      <c r="P1410" s="32"/>
      <c r="Q1410" s="32"/>
      <c r="R1410" s="32"/>
      <c r="S1410" s="35"/>
      <c r="T1410" s="91"/>
      <c r="U1410" s="60"/>
      <c r="V1410" s="36"/>
      <c r="W1410" s="31"/>
      <c r="X1410" s="59"/>
      <c r="Y1410" s="59" t="str">
        <f>IFERROR(VLOOKUP($A1410,APOIO!$A:$A,1,FALSE),"ERRO")</f>
        <v>ERRO</v>
      </c>
      <c r="Z1410"/>
    </row>
    <row r="1411" spans="1:26" ht="15" x14ac:dyDescent="0.25">
      <c r="A1411" s="94"/>
      <c r="B1411" s="32" t="str">
        <f>IF($A1411="","",VLOOKUP($A1411,APOIO!$A:$E,2,FALSE))</f>
        <v/>
      </c>
      <c r="C1411" s="94"/>
      <c r="D1411" s="32" t="str">
        <f>IF($A1411="","",INDEX(APOIO!$D:$D,MATCH(CONCATENATE($A1411,"_",$B1411,"_",$C1411),APOIO!$F:$F,0)))</f>
        <v/>
      </c>
      <c r="E1411" s="31"/>
      <c r="F1411" s="31"/>
      <c r="G1411" s="33"/>
      <c r="H1411" s="105"/>
      <c r="I1411" s="32" t="str">
        <f>IF($A1411="","",VLOOKUP($H1411,APOIO!$L:$M,2,FALSE))</f>
        <v/>
      </c>
      <c r="J1411" s="31"/>
      <c r="K1411" s="32" t="str">
        <f>IF($A1411="","",VLOOKUP($J1411,APOIO!$H:$J,2,FALSE))</f>
        <v/>
      </c>
      <c r="L1411" s="32" t="str">
        <f>IF($A1411="","",VLOOKUP($J1411,APOIO!$H:$J,3,FALSE))</f>
        <v/>
      </c>
      <c r="M1411" s="31"/>
      <c r="N1411" s="34"/>
      <c r="O1411" s="32"/>
      <c r="P1411" s="32"/>
      <c r="Q1411" s="32"/>
      <c r="R1411" s="32"/>
      <c r="S1411" s="35"/>
      <c r="T1411" s="91"/>
      <c r="U1411" s="60"/>
      <c r="V1411" s="36"/>
      <c r="W1411" s="31"/>
      <c r="X1411" s="59"/>
      <c r="Y1411" s="59" t="str">
        <f>IFERROR(VLOOKUP($A1411,APOIO!$A:$A,1,FALSE),"ERRO")</f>
        <v>ERRO</v>
      </c>
      <c r="Z1411"/>
    </row>
    <row r="1412" spans="1:26" ht="15" x14ac:dyDescent="0.25">
      <c r="A1412" s="94"/>
      <c r="B1412" s="32" t="str">
        <f>IF($A1412="","",VLOOKUP($A1412,APOIO!$A:$E,2,FALSE))</f>
        <v/>
      </c>
      <c r="C1412" s="94"/>
      <c r="D1412" s="32" t="str">
        <f>IF($A1412="","",INDEX(APOIO!$D:$D,MATCH(CONCATENATE($A1412,"_",$B1412,"_",$C1412),APOIO!$F:$F,0)))</f>
        <v/>
      </c>
      <c r="E1412" s="31"/>
      <c r="F1412" s="31"/>
      <c r="G1412" s="33"/>
      <c r="H1412" s="105"/>
      <c r="I1412" s="32" t="str">
        <f>IF($A1412="","",VLOOKUP($H1412,APOIO!$L:$M,2,FALSE))</f>
        <v/>
      </c>
      <c r="J1412" s="31"/>
      <c r="K1412" s="32" t="str">
        <f>IF($A1412="","",VLOOKUP($J1412,APOIO!$H:$J,2,FALSE))</f>
        <v/>
      </c>
      <c r="L1412" s="32" t="str">
        <f>IF($A1412="","",VLOOKUP($J1412,APOIO!$H:$J,3,FALSE))</f>
        <v/>
      </c>
      <c r="M1412" s="31"/>
      <c r="N1412" s="34"/>
      <c r="O1412" s="32"/>
      <c r="P1412" s="32"/>
      <c r="Q1412" s="32"/>
      <c r="R1412" s="32"/>
      <c r="S1412" s="35"/>
      <c r="T1412" s="91"/>
      <c r="U1412" s="60"/>
      <c r="V1412" s="36"/>
      <c r="W1412" s="31"/>
      <c r="X1412" s="59"/>
      <c r="Y1412" s="59" t="str">
        <f>IFERROR(VLOOKUP($A1412,APOIO!$A:$A,1,FALSE),"ERRO")</f>
        <v>ERRO</v>
      </c>
      <c r="Z1412"/>
    </row>
    <row r="1413" spans="1:26" ht="15" x14ac:dyDescent="0.25">
      <c r="A1413" s="94"/>
      <c r="B1413" s="32" t="str">
        <f>IF($A1413="","",VLOOKUP($A1413,APOIO!$A:$E,2,FALSE))</f>
        <v/>
      </c>
      <c r="C1413" s="94"/>
      <c r="D1413" s="32" t="str">
        <f>IF($A1413="","",INDEX(APOIO!$D:$D,MATCH(CONCATENATE($A1413,"_",$B1413,"_",$C1413),APOIO!$F:$F,0)))</f>
        <v/>
      </c>
      <c r="E1413" s="31"/>
      <c r="F1413" s="31"/>
      <c r="G1413" s="33"/>
      <c r="H1413" s="105"/>
      <c r="I1413" s="32" t="str">
        <f>IF($A1413="","",VLOOKUP($H1413,APOIO!$L:$M,2,FALSE))</f>
        <v/>
      </c>
      <c r="J1413" s="31"/>
      <c r="K1413" s="32" t="str">
        <f>IF($A1413="","",VLOOKUP($J1413,APOIO!$H:$J,2,FALSE))</f>
        <v/>
      </c>
      <c r="L1413" s="32" t="str">
        <f>IF($A1413="","",VLOOKUP($J1413,APOIO!$H:$J,3,FALSE))</f>
        <v/>
      </c>
      <c r="M1413" s="31"/>
      <c r="N1413" s="34"/>
      <c r="O1413" s="32"/>
      <c r="P1413" s="32"/>
      <c r="Q1413" s="32"/>
      <c r="R1413" s="32"/>
      <c r="S1413" s="35"/>
      <c r="T1413" s="91"/>
      <c r="U1413" s="60"/>
      <c r="V1413" s="36"/>
      <c r="W1413" s="31"/>
      <c r="X1413" s="59"/>
      <c r="Y1413" s="59" t="str">
        <f>IFERROR(VLOOKUP($A1413,APOIO!$A:$A,1,FALSE),"ERRO")</f>
        <v>ERRO</v>
      </c>
      <c r="Z1413"/>
    </row>
    <row r="1414" spans="1:26" ht="15" x14ac:dyDescent="0.25">
      <c r="A1414" s="94"/>
      <c r="B1414" s="32" t="str">
        <f>IF($A1414="","",VLOOKUP($A1414,APOIO!$A:$E,2,FALSE))</f>
        <v/>
      </c>
      <c r="C1414" s="94"/>
      <c r="D1414" s="32" t="str">
        <f>IF($A1414="","",INDEX(APOIO!$D:$D,MATCH(CONCATENATE($A1414,"_",$B1414,"_",$C1414),APOIO!$F:$F,0)))</f>
        <v/>
      </c>
      <c r="E1414" s="31"/>
      <c r="F1414" s="31"/>
      <c r="G1414" s="33"/>
      <c r="H1414" s="105"/>
      <c r="I1414" s="32" t="str">
        <f>IF($A1414="","",VLOOKUP($H1414,APOIO!$L:$M,2,FALSE))</f>
        <v/>
      </c>
      <c r="J1414" s="31"/>
      <c r="K1414" s="32" t="str">
        <f>IF($A1414="","",VLOOKUP($J1414,APOIO!$H:$J,2,FALSE))</f>
        <v/>
      </c>
      <c r="L1414" s="32" t="str">
        <f>IF($A1414="","",VLOOKUP($J1414,APOIO!$H:$J,3,FALSE))</f>
        <v/>
      </c>
      <c r="M1414" s="31"/>
      <c r="N1414" s="34"/>
      <c r="O1414" s="32"/>
      <c r="P1414" s="32"/>
      <c r="Q1414" s="32"/>
      <c r="R1414" s="32"/>
      <c r="S1414" s="35"/>
      <c r="T1414" s="91"/>
      <c r="U1414" s="60"/>
      <c r="V1414" s="36"/>
      <c r="W1414" s="31"/>
      <c r="X1414" s="59"/>
      <c r="Y1414" s="59" t="str">
        <f>IFERROR(VLOOKUP($A1414,APOIO!$A:$A,1,FALSE),"ERRO")</f>
        <v>ERRO</v>
      </c>
      <c r="Z1414"/>
    </row>
    <row r="1415" spans="1:26" ht="15" x14ac:dyDescent="0.25">
      <c r="A1415" s="94"/>
      <c r="B1415" s="32" t="str">
        <f>IF($A1415="","",VLOOKUP($A1415,APOIO!$A:$E,2,FALSE))</f>
        <v/>
      </c>
      <c r="C1415" s="94"/>
      <c r="D1415" s="32" t="str">
        <f>IF($A1415="","",INDEX(APOIO!$D:$D,MATCH(CONCATENATE($A1415,"_",$B1415,"_",$C1415),APOIO!$F:$F,0)))</f>
        <v/>
      </c>
      <c r="E1415" s="31"/>
      <c r="F1415" s="31"/>
      <c r="G1415" s="33"/>
      <c r="H1415" s="105"/>
      <c r="I1415" s="32" t="str">
        <f>IF($A1415="","",VLOOKUP($H1415,APOIO!$L:$M,2,FALSE))</f>
        <v/>
      </c>
      <c r="J1415" s="31"/>
      <c r="K1415" s="32" t="str">
        <f>IF($A1415="","",VLOOKUP($J1415,APOIO!$H:$J,2,FALSE))</f>
        <v/>
      </c>
      <c r="L1415" s="32" t="str">
        <f>IF($A1415="","",VLOOKUP($J1415,APOIO!$H:$J,3,FALSE))</f>
        <v/>
      </c>
      <c r="M1415" s="31"/>
      <c r="N1415" s="34"/>
      <c r="O1415" s="32"/>
      <c r="P1415" s="32"/>
      <c r="Q1415" s="32"/>
      <c r="R1415" s="32"/>
      <c r="S1415" s="35"/>
      <c r="T1415" s="91"/>
      <c r="U1415" s="60"/>
      <c r="V1415" s="36"/>
      <c r="W1415" s="31"/>
      <c r="X1415" s="59"/>
      <c r="Y1415" s="59" t="str">
        <f>IFERROR(VLOOKUP($A1415,APOIO!$A:$A,1,FALSE),"ERRO")</f>
        <v>ERRO</v>
      </c>
      <c r="Z1415"/>
    </row>
    <row r="1416" spans="1:26" ht="15" x14ac:dyDescent="0.25">
      <c r="A1416" s="94"/>
      <c r="B1416" s="32" t="str">
        <f>IF($A1416="","",VLOOKUP($A1416,APOIO!$A:$E,2,FALSE))</f>
        <v/>
      </c>
      <c r="C1416" s="94"/>
      <c r="D1416" s="32" t="str">
        <f>IF($A1416="","",INDEX(APOIO!$D:$D,MATCH(CONCATENATE($A1416,"_",$B1416,"_",$C1416),APOIO!$F:$F,0)))</f>
        <v/>
      </c>
      <c r="E1416" s="31"/>
      <c r="F1416" s="31"/>
      <c r="G1416" s="33"/>
      <c r="H1416" s="105"/>
      <c r="I1416" s="32" t="str">
        <f>IF($A1416="","",VLOOKUP($H1416,APOIO!$L:$M,2,FALSE))</f>
        <v/>
      </c>
      <c r="J1416" s="31"/>
      <c r="K1416" s="32" t="str">
        <f>IF($A1416="","",VLOOKUP($J1416,APOIO!$H:$J,2,FALSE))</f>
        <v/>
      </c>
      <c r="L1416" s="32" t="str">
        <f>IF($A1416="","",VLOOKUP($J1416,APOIO!$H:$J,3,FALSE))</f>
        <v/>
      </c>
      <c r="M1416" s="31"/>
      <c r="N1416" s="34"/>
      <c r="O1416" s="32"/>
      <c r="P1416" s="32"/>
      <c r="Q1416" s="32"/>
      <c r="R1416" s="32"/>
      <c r="S1416" s="35"/>
      <c r="T1416" s="91"/>
      <c r="U1416" s="60"/>
      <c r="V1416" s="36"/>
      <c r="W1416" s="31"/>
      <c r="X1416" s="59"/>
      <c r="Y1416" s="59" t="str">
        <f>IFERROR(VLOOKUP($A1416,APOIO!$A:$A,1,FALSE),"ERRO")</f>
        <v>ERRO</v>
      </c>
      <c r="Z1416"/>
    </row>
    <row r="1417" spans="1:26" ht="15" x14ac:dyDescent="0.25">
      <c r="A1417" s="94"/>
      <c r="B1417" s="32" t="str">
        <f>IF($A1417="","",VLOOKUP($A1417,APOIO!$A:$E,2,FALSE))</f>
        <v/>
      </c>
      <c r="C1417" s="94"/>
      <c r="D1417" s="32" t="str">
        <f>IF($A1417="","",INDEX(APOIO!$D:$D,MATCH(CONCATENATE($A1417,"_",$B1417,"_",$C1417),APOIO!$F:$F,0)))</f>
        <v/>
      </c>
      <c r="E1417" s="31"/>
      <c r="F1417" s="31"/>
      <c r="G1417" s="33"/>
      <c r="H1417" s="105"/>
      <c r="I1417" s="32" t="str">
        <f>IF($A1417="","",VLOOKUP($H1417,APOIO!$L:$M,2,FALSE))</f>
        <v/>
      </c>
      <c r="J1417" s="31"/>
      <c r="K1417" s="32" t="str">
        <f>IF($A1417="","",VLOOKUP($J1417,APOIO!$H:$J,2,FALSE))</f>
        <v/>
      </c>
      <c r="L1417" s="32" t="str">
        <f>IF($A1417="","",VLOOKUP($J1417,APOIO!$H:$J,3,FALSE))</f>
        <v/>
      </c>
      <c r="M1417" s="31"/>
      <c r="N1417" s="34"/>
      <c r="O1417" s="32"/>
      <c r="P1417" s="32"/>
      <c r="Q1417" s="32"/>
      <c r="R1417" s="32"/>
      <c r="S1417" s="35"/>
      <c r="T1417" s="91"/>
      <c r="U1417" s="60"/>
      <c r="V1417" s="36"/>
      <c r="W1417" s="31"/>
      <c r="X1417" s="59"/>
      <c r="Y1417" s="59" t="str">
        <f>IFERROR(VLOOKUP($A1417,APOIO!$A:$A,1,FALSE),"ERRO")</f>
        <v>ERRO</v>
      </c>
      <c r="Z1417"/>
    </row>
    <row r="1418" spans="1:26" ht="15" x14ac:dyDescent="0.25">
      <c r="A1418" s="94"/>
      <c r="B1418" s="32" t="str">
        <f>IF($A1418="","",VLOOKUP($A1418,APOIO!$A:$E,2,FALSE))</f>
        <v/>
      </c>
      <c r="C1418" s="94"/>
      <c r="D1418" s="32" t="str">
        <f>IF($A1418="","",INDEX(APOIO!$D:$D,MATCH(CONCATENATE($A1418,"_",$B1418,"_",$C1418),APOIO!$F:$F,0)))</f>
        <v/>
      </c>
      <c r="E1418" s="31"/>
      <c r="F1418" s="31"/>
      <c r="G1418" s="33"/>
      <c r="H1418" s="105"/>
      <c r="I1418" s="32" t="str">
        <f>IF($A1418="","",VLOOKUP($H1418,APOIO!$L:$M,2,FALSE))</f>
        <v/>
      </c>
      <c r="J1418" s="31"/>
      <c r="K1418" s="32" t="str">
        <f>IF($A1418="","",VLOOKUP($J1418,APOIO!$H:$J,2,FALSE))</f>
        <v/>
      </c>
      <c r="L1418" s="32" t="str">
        <f>IF($A1418="","",VLOOKUP($J1418,APOIO!$H:$J,3,FALSE))</f>
        <v/>
      </c>
      <c r="M1418" s="31"/>
      <c r="N1418" s="34"/>
      <c r="O1418" s="32"/>
      <c r="P1418" s="32"/>
      <c r="Q1418" s="32"/>
      <c r="R1418" s="32"/>
      <c r="S1418" s="35"/>
      <c r="T1418" s="91"/>
      <c r="U1418" s="60"/>
      <c r="V1418" s="36"/>
      <c r="W1418" s="31"/>
      <c r="X1418" s="59"/>
      <c r="Y1418" s="59" t="str">
        <f>IFERROR(VLOOKUP($A1418,APOIO!$A:$A,1,FALSE),"ERRO")</f>
        <v>ERRO</v>
      </c>
      <c r="Z1418"/>
    </row>
    <row r="1419" spans="1:26" ht="15" x14ac:dyDescent="0.25">
      <c r="A1419" s="94"/>
      <c r="B1419" s="32" t="str">
        <f>IF($A1419="","",VLOOKUP($A1419,APOIO!$A:$E,2,FALSE))</f>
        <v/>
      </c>
      <c r="C1419" s="94"/>
      <c r="D1419" s="32" t="str">
        <f>IF($A1419="","",INDEX(APOIO!$D:$D,MATCH(CONCATENATE($A1419,"_",$B1419,"_",$C1419),APOIO!$F:$F,0)))</f>
        <v/>
      </c>
      <c r="E1419" s="31"/>
      <c r="F1419" s="31"/>
      <c r="G1419" s="33"/>
      <c r="H1419" s="105"/>
      <c r="I1419" s="32" t="str">
        <f>IF($A1419="","",VLOOKUP($H1419,APOIO!$L:$M,2,FALSE))</f>
        <v/>
      </c>
      <c r="J1419" s="31"/>
      <c r="K1419" s="32" t="str">
        <f>IF($A1419="","",VLOOKUP($J1419,APOIO!$H:$J,2,FALSE))</f>
        <v/>
      </c>
      <c r="L1419" s="32" t="str">
        <f>IF($A1419="","",VLOOKUP($J1419,APOIO!$H:$J,3,FALSE))</f>
        <v/>
      </c>
      <c r="M1419" s="31"/>
      <c r="N1419" s="34"/>
      <c r="O1419" s="32"/>
      <c r="P1419" s="32"/>
      <c r="Q1419" s="32"/>
      <c r="R1419" s="32"/>
      <c r="S1419" s="35"/>
      <c r="T1419" s="91"/>
      <c r="U1419" s="60"/>
      <c r="V1419" s="36"/>
      <c r="W1419" s="31"/>
      <c r="X1419" s="59"/>
      <c r="Y1419" s="59" t="str">
        <f>IFERROR(VLOOKUP($A1419,APOIO!$A:$A,1,FALSE),"ERRO")</f>
        <v>ERRO</v>
      </c>
      <c r="Z1419"/>
    </row>
    <row r="1420" spans="1:26" ht="15" x14ac:dyDescent="0.25">
      <c r="A1420" s="94"/>
      <c r="B1420" s="32" t="str">
        <f>IF($A1420="","",VLOOKUP($A1420,APOIO!$A:$E,2,FALSE))</f>
        <v/>
      </c>
      <c r="C1420" s="94"/>
      <c r="D1420" s="32" t="str">
        <f>IF($A1420="","",INDEX(APOIO!$D:$D,MATCH(CONCATENATE($A1420,"_",$B1420,"_",$C1420),APOIO!$F:$F,0)))</f>
        <v/>
      </c>
      <c r="E1420" s="31"/>
      <c r="F1420" s="31"/>
      <c r="G1420" s="33"/>
      <c r="H1420" s="105"/>
      <c r="I1420" s="32" t="str">
        <f>IF($A1420="","",VLOOKUP($H1420,APOIO!$L:$M,2,FALSE))</f>
        <v/>
      </c>
      <c r="J1420" s="31"/>
      <c r="K1420" s="32" t="str">
        <f>IF($A1420="","",VLOOKUP($J1420,APOIO!$H:$J,2,FALSE))</f>
        <v/>
      </c>
      <c r="L1420" s="32" t="str">
        <f>IF($A1420="","",VLOOKUP($J1420,APOIO!$H:$J,3,FALSE))</f>
        <v/>
      </c>
      <c r="M1420" s="31"/>
      <c r="N1420" s="34"/>
      <c r="O1420" s="32"/>
      <c r="P1420" s="32"/>
      <c r="Q1420" s="32"/>
      <c r="R1420" s="32"/>
      <c r="S1420" s="35"/>
      <c r="T1420" s="91"/>
      <c r="U1420" s="60"/>
      <c r="V1420" s="36"/>
      <c r="W1420" s="31"/>
      <c r="X1420" s="59"/>
      <c r="Y1420" s="59" t="str">
        <f>IFERROR(VLOOKUP($A1420,APOIO!$A:$A,1,FALSE),"ERRO")</f>
        <v>ERRO</v>
      </c>
      <c r="Z1420"/>
    </row>
    <row r="1421" spans="1:26" ht="15" x14ac:dyDescent="0.25">
      <c r="A1421" s="94"/>
      <c r="B1421" s="32" t="str">
        <f>IF($A1421="","",VLOOKUP($A1421,APOIO!$A:$E,2,FALSE))</f>
        <v/>
      </c>
      <c r="C1421" s="94"/>
      <c r="D1421" s="32" t="str">
        <f>IF($A1421="","",INDEX(APOIO!$D:$D,MATCH(CONCATENATE($A1421,"_",$B1421,"_",$C1421),APOIO!$F:$F,0)))</f>
        <v/>
      </c>
      <c r="E1421" s="31"/>
      <c r="F1421" s="31"/>
      <c r="G1421" s="33"/>
      <c r="H1421" s="105"/>
      <c r="I1421" s="32" t="str">
        <f>IF($A1421="","",VLOOKUP($H1421,APOIO!$L:$M,2,FALSE))</f>
        <v/>
      </c>
      <c r="J1421" s="31"/>
      <c r="K1421" s="32" t="str">
        <f>IF($A1421="","",VLOOKUP($J1421,APOIO!$H:$J,2,FALSE))</f>
        <v/>
      </c>
      <c r="L1421" s="32" t="str">
        <f>IF($A1421="","",VLOOKUP($J1421,APOIO!$H:$J,3,FALSE))</f>
        <v/>
      </c>
      <c r="M1421" s="31"/>
      <c r="N1421" s="34"/>
      <c r="O1421" s="32"/>
      <c r="P1421" s="32"/>
      <c r="Q1421" s="32"/>
      <c r="R1421" s="32"/>
      <c r="S1421" s="35"/>
      <c r="T1421" s="91"/>
      <c r="U1421" s="60"/>
      <c r="V1421" s="36"/>
      <c r="W1421" s="31"/>
      <c r="X1421" s="59"/>
      <c r="Y1421" s="59" t="str">
        <f>IFERROR(VLOOKUP($A1421,APOIO!$A:$A,1,FALSE),"ERRO")</f>
        <v>ERRO</v>
      </c>
      <c r="Z1421"/>
    </row>
    <row r="1422" spans="1:26" ht="15" x14ac:dyDescent="0.25">
      <c r="A1422" s="94"/>
      <c r="B1422" s="32" t="str">
        <f>IF($A1422="","",VLOOKUP($A1422,APOIO!$A:$E,2,FALSE))</f>
        <v/>
      </c>
      <c r="C1422" s="94"/>
      <c r="D1422" s="32" t="str">
        <f>IF($A1422="","",INDEX(APOIO!$D:$D,MATCH(CONCATENATE($A1422,"_",$B1422,"_",$C1422),APOIO!$F:$F,0)))</f>
        <v/>
      </c>
      <c r="E1422" s="31"/>
      <c r="F1422" s="31"/>
      <c r="G1422" s="33"/>
      <c r="H1422" s="105"/>
      <c r="I1422" s="32" t="str">
        <f>IF($A1422="","",VLOOKUP($H1422,APOIO!$L:$M,2,FALSE))</f>
        <v/>
      </c>
      <c r="J1422" s="31"/>
      <c r="K1422" s="32" t="str">
        <f>IF($A1422="","",VLOOKUP($J1422,APOIO!$H:$J,2,FALSE))</f>
        <v/>
      </c>
      <c r="L1422" s="32" t="str">
        <f>IF($A1422="","",VLOOKUP($J1422,APOIO!$H:$J,3,FALSE))</f>
        <v/>
      </c>
      <c r="M1422" s="31"/>
      <c r="N1422" s="34"/>
      <c r="O1422" s="32"/>
      <c r="P1422" s="32"/>
      <c r="Q1422" s="32"/>
      <c r="R1422" s="32"/>
      <c r="S1422" s="35"/>
      <c r="T1422" s="91"/>
      <c r="U1422" s="60"/>
      <c r="V1422" s="36"/>
      <c r="W1422" s="31"/>
      <c r="X1422" s="59"/>
      <c r="Y1422" s="59" t="str">
        <f>IFERROR(VLOOKUP($A1422,APOIO!$A:$A,1,FALSE),"ERRO")</f>
        <v>ERRO</v>
      </c>
      <c r="Z1422"/>
    </row>
    <row r="1423" spans="1:26" ht="15" x14ac:dyDescent="0.25">
      <c r="A1423" s="94"/>
      <c r="B1423" s="32" t="str">
        <f>IF($A1423="","",VLOOKUP($A1423,APOIO!$A:$E,2,FALSE))</f>
        <v/>
      </c>
      <c r="C1423" s="94"/>
      <c r="D1423" s="32" t="str">
        <f>IF($A1423="","",INDEX(APOIO!$D:$D,MATCH(CONCATENATE($A1423,"_",$B1423,"_",$C1423),APOIO!$F:$F,0)))</f>
        <v/>
      </c>
      <c r="E1423" s="31"/>
      <c r="F1423" s="31"/>
      <c r="G1423" s="33"/>
      <c r="H1423" s="105"/>
      <c r="I1423" s="32" t="str">
        <f>IF($A1423="","",VLOOKUP($H1423,APOIO!$L:$M,2,FALSE))</f>
        <v/>
      </c>
      <c r="J1423" s="31"/>
      <c r="K1423" s="32" t="str">
        <f>IF($A1423="","",VLOOKUP($J1423,APOIO!$H:$J,2,FALSE))</f>
        <v/>
      </c>
      <c r="L1423" s="32" t="str">
        <f>IF($A1423="","",VLOOKUP($J1423,APOIO!$H:$J,3,FALSE))</f>
        <v/>
      </c>
      <c r="M1423" s="31"/>
      <c r="N1423" s="34"/>
      <c r="O1423" s="32"/>
      <c r="P1423" s="32"/>
      <c r="Q1423" s="32"/>
      <c r="R1423" s="32"/>
      <c r="S1423" s="35"/>
      <c r="T1423" s="91"/>
      <c r="U1423" s="60"/>
      <c r="V1423" s="36"/>
      <c r="W1423" s="31"/>
      <c r="X1423" s="59"/>
      <c r="Y1423" s="59" t="str">
        <f>IFERROR(VLOOKUP($A1423,APOIO!$A:$A,1,FALSE),"ERRO")</f>
        <v>ERRO</v>
      </c>
      <c r="Z1423"/>
    </row>
    <row r="1424" spans="1:26" ht="15" x14ac:dyDescent="0.25">
      <c r="A1424" s="94"/>
      <c r="B1424" s="32" t="str">
        <f>IF($A1424="","",VLOOKUP($A1424,APOIO!$A:$E,2,FALSE))</f>
        <v/>
      </c>
      <c r="C1424" s="94"/>
      <c r="D1424" s="32" t="str">
        <f>IF($A1424="","",INDEX(APOIO!$D:$D,MATCH(CONCATENATE($A1424,"_",$B1424,"_",$C1424),APOIO!$F:$F,0)))</f>
        <v/>
      </c>
      <c r="E1424" s="31"/>
      <c r="F1424" s="31"/>
      <c r="G1424" s="33"/>
      <c r="H1424" s="105"/>
      <c r="I1424" s="32" t="str">
        <f>IF($A1424="","",VLOOKUP($H1424,APOIO!$L:$M,2,FALSE))</f>
        <v/>
      </c>
      <c r="J1424" s="31"/>
      <c r="K1424" s="32" t="str">
        <f>IF($A1424="","",VLOOKUP($J1424,APOIO!$H:$J,2,FALSE))</f>
        <v/>
      </c>
      <c r="L1424" s="32" t="str">
        <f>IF($A1424="","",VLOOKUP($J1424,APOIO!$H:$J,3,FALSE))</f>
        <v/>
      </c>
      <c r="M1424" s="31"/>
      <c r="N1424" s="34"/>
      <c r="O1424" s="32"/>
      <c r="P1424" s="32"/>
      <c r="Q1424" s="32"/>
      <c r="R1424" s="32"/>
      <c r="S1424" s="35"/>
      <c r="T1424" s="91"/>
      <c r="U1424" s="60"/>
      <c r="V1424" s="36"/>
      <c r="W1424" s="31"/>
      <c r="X1424" s="59"/>
      <c r="Y1424" s="59" t="str">
        <f>IFERROR(VLOOKUP($A1424,APOIO!$A:$A,1,FALSE),"ERRO")</f>
        <v>ERRO</v>
      </c>
      <c r="Z1424"/>
    </row>
    <row r="1425" spans="1:26" ht="15" x14ac:dyDescent="0.25">
      <c r="A1425" s="94"/>
      <c r="B1425" s="32" t="str">
        <f>IF($A1425="","",VLOOKUP($A1425,APOIO!$A:$E,2,FALSE))</f>
        <v/>
      </c>
      <c r="C1425" s="94"/>
      <c r="D1425" s="32" t="str">
        <f>IF($A1425="","",INDEX(APOIO!$D:$D,MATCH(CONCATENATE($A1425,"_",$B1425,"_",$C1425),APOIO!$F:$F,0)))</f>
        <v/>
      </c>
      <c r="E1425" s="31"/>
      <c r="F1425" s="31"/>
      <c r="G1425" s="33"/>
      <c r="H1425" s="105"/>
      <c r="I1425" s="32" t="str">
        <f>IF($A1425="","",VLOOKUP($H1425,APOIO!$L:$M,2,FALSE))</f>
        <v/>
      </c>
      <c r="J1425" s="31"/>
      <c r="K1425" s="32" t="str">
        <f>IF($A1425="","",VLOOKUP($J1425,APOIO!$H:$J,2,FALSE))</f>
        <v/>
      </c>
      <c r="L1425" s="32" t="str">
        <f>IF($A1425="","",VLOOKUP($J1425,APOIO!$H:$J,3,FALSE))</f>
        <v/>
      </c>
      <c r="M1425" s="31"/>
      <c r="N1425" s="34"/>
      <c r="O1425" s="32"/>
      <c r="P1425" s="32"/>
      <c r="Q1425" s="32"/>
      <c r="R1425" s="32"/>
      <c r="S1425" s="35"/>
      <c r="T1425" s="91"/>
      <c r="U1425" s="60"/>
      <c r="V1425" s="36"/>
      <c r="W1425" s="31"/>
      <c r="X1425" s="59"/>
      <c r="Y1425" s="59" t="str">
        <f>IFERROR(VLOOKUP($A1425,APOIO!$A:$A,1,FALSE),"ERRO")</f>
        <v>ERRO</v>
      </c>
      <c r="Z1425"/>
    </row>
    <row r="1426" spans="1:26" ht="15" x14ac:dyDescent="0.25">
      <c r="A1426" s="94"/>
      <c r="B1426" s="32" t="str">
        <f>IF($A1426="","",VLOOKUP($A1426,APOIO!$A:$E,2,FALSE))</f>
        <v/>
      </c>
      <c r="C1426" s="94"/>
      <c r="D1426" s="32" t="str">
        <f>IF($A1426="","",INDEX(APOIO!$D:$D,MATCH(CONCATENATE($A1426,"_",$B1426,"_",$C1426),APOIO!$F:$F,0)))</f>
        <v/>
      </c>
      <c r="E1426" s="31"/>
      <c r="F1426" s="31"/>
      <c r="G1426" s="33"/>
      <c r="H1426" s="105"/>
      <c r="I1426" s="32" t="str">
        <f>IF($A1426="","",VLOOKUP($H1426,APOIO!$L:$M,2,FALSE))</f>
        <v/>
      </c>
      <c r="J1426" s="31"/>
      <c r="K1426" s="32" t="str">
        <f>IF($A1426="","",VLOOKUP($J1426,APOIO!$H:$J,2,FALSE))</f>
        <v/>
      </c>
      <c r="L1426" s="32" t="str">
        <f>IF($A1426="","",VLOOKUP($J1426,APOIO!$H:$J,3,FALSE))</f>
        <v/>
      </c>
      <c r="M1426" s="31"/>
      <c r="N1426" s="34"/>
      <c r="O1426" s="32"/>
      <c r="P1426" s="32"/>
      <c r="Q1426" s="32"/>
      <c r="R1426" s="32"/>
      <c r="S1426" s="35"/>
      <c r="T1426" s="91"/>
      <c r="U1426" s="60"/>
      <c r="V1426" s="36"/>
      <c r="W1426" s="31"/>
      <c r="X1426" s="59"/>
      <c r="Y1426" s="59" t="str">
        <f>IFERROR(VLOOKUP($A1426,APOIO!$A:$A,1,FALSE),"ERRO")</f>
        <v>ERRO</v>
      </c>
      <c r="Z1426"/>
    </row>
    <row r="1427" spans="1:26" ht="15" x14ac:dyDescent="0.25">
      <c r="A1427" s="94"/>
      <c r="B1427" s="32" t="str">
        <f>IF($A1427="","",VLOOKUP($A1427,APOIO!$A:$E,2,FALSE))</f>
        <v/>
      </c>
      <c r="C1427" s="94"/>
      <c r="D1427" s="32" t="str">
        <f>IF($A1427="","",INDEX(APOIO!$D:$D,MATCH(CONCATENATE($A1427,"_",$B1427,"_",$C1427),APOIO!$F:$F,0)))</f>
        <v/>
      </c>
      <c r="E1427" s="31"/>
      <c r="F1427" s="31"/>
      <c r="G1427" s="33"/>
      <c r="H1427" s="105"/>
      <c r="I1427" s="32" t="str">
        <f>IF($A1427="","",VLOOKUP($H1427,APOIO!$L:$M,2,FALSE))</f>
        <v/>
      </c>
      <c r="J1427" s="31"/>
      <c r="K1427" s="32" t="str">
        <f>IF($A1427="","",VLOOKUP($J1427,APOIO!$H:$J,2,FALSE))</f>
        <v/>
      </c>
      <c r="L1427" s="32" t="str">
        <f>IF($A1427="","",VLOOKUP($J1427,APOIO!$H:$J,3,FALSE))</f>
        <v/>
      </c>
      <c r="M1427" s="31"/>
      <c r="N1427" s="34"/>
      <c r="O1427" s="32"/>
      <c r="P1427" s="32"/>
      <c r="Q1427" s="32"/>
      <c r="R1427" s="32"/>
      <c r="S1427" s="35"/>
      <c r="T1427" s="91"/>
      <c r="U1427" s="60"/>
      <c r="V1427" s="36"/>
      <c r="W1427" s="31"/>
      <c r="X1427" s="59"/>
      <c r="Y1427" s="59" t="str">
        <f>IFERROR(VLOOKUP($A1427,APOIO!$A:$A,1,FALSE),"ERRO")</f>
        <v>ERRO</v>
      </c>
      <c r="Z1427"/>
    </row>
    <row r="1428" spans="1:26" ht="15" x14ac:dyDescent="0.25">
      <c r="A1428" s="94"/>
      <c r="B1428" s="32" t="str">
        <f>IF($A1428="","",VLOOKUP($A1428,APOIO!$A:$E,2,FALSE))</f>
        <v/>
      </c>
      <c r="C1428" s="94"/>
      <c r="D1428" s="32" t="str">
        <f>IF($A1428="","",INDEX(APOIO!$D:$D,MATCH(CONCATENATE($A1428,"_",$B1428,"_",$C1428),APOIO!$F:$F,0)))</f>
        <v/>
      </c>
      <c r="E1428" s="31"/>
      <c r="F1428" s="31"/>
      <c r="G1428" s="33"/>
      <c r="H1428" s="105"/>
      <c r="I1428" s="32" t="str">
        <f>IF($A1428="","",VLOOKUP($H1428,APOIO!$L:$M,2,FALSE))</f>
        <v/>
      </c>
      <c r="J1428" s="31"/>
      <c r="K1428" s="32" t="str">
        <f>IF($A1428="","",VLOOKUP($J1428,APOIO!$H:$J,2,FALSE))</f>
        <v/>
      </c>
      <c r="L1428" s="32" t="str">
        <f>IF($A1428="","",VLOOKUP($J1428,APOIO!$H:$J,3,FALSE))</f>
        <v/>
      </c>
      <c r="M1428" s="31"/>
      <c r="N1428" s="34"/>
      <c r="O1428" s="32"/>
      <c r="P1428" s="32"/>
      <c r="Q1428" s="32"/>
      <c r="R1428" s="32"/>
      <c r="S1428" s="35"/>
      <c r="T1428" s="91"/>
      <c r="U1428" s="60"/>
      <c r="V1428" s="36"/>
      <c r="W1428" s="31"/>
      <c r="X1428" s="59"/>
      <c r="Y1428" s="59" t="str">
        <f>IFERROR(VLOOKUP($A1428,APOIO!$A:$A,1,FALSE),"ERRO")</f>
        <v>ERRO</v>
      </c>
      <c r="Z1428"/>
    </row>
    <row r="1429" spans="1:26" ht="15" x14ac:dyDescent="0.25">
      <c r="A1429" s="94"/>
      <c r="B1429" s="32" t="str">
        <f>IF($A1429="","",VLOOKUP($A1429,APOIO!$A:$E,2,FALSE))</f>
        <v/>
      </c>
      <c r="C1429" s="94"/>
      <c r="D1429" s="32" t="str">
        <f>IF($A1429="","",INDEX(APOIO!$D:$D,MATCH(CONCATENATE($A1429,"_",$B1429,"_",$C1429),APOIO!$F:$F,0)))</f>
        <v/>
      </c>
      <c r="E1429" s="31"/>
      <c r="F1429" s="31"/>
      <c r="G1429" s="33"/>
      <c r="H1429" s="105"/>
      <c r="I1429" s="32" t="str">
        <f>IF($A1429="","",VLOOKUP($H1429,APOIO!$L:$M,2,FALSE))</f>
        <v/>
      </c>
      <c r="J1429" s="31"/>
      <c r="K1429" s="32" t="str">
        <f>IF($A1429="","",VLOOKUP($J1429,APOIO!$H:$J,2,FALSE))</f>
        <v/>
      </c>
      <c r="L1429" s="32" t="str">
        <f>IF($A1429="","",VLOOKUP($J1429,APOIO!$H:$J,3,FALSE))</f>
        <v/>
      </c>
      <c r="M1429" s="31"/>
      <c r="N1429" s="34"/>
      <c r="O1429" s="32"/>
      <c r="P1429" s="32"/>
      <c r="Q1429" s="32"/>
      <c r="R1429" s="32"/>
      <c r="S1429" s="35"/>
      <c r="T1429" s="91"/>
      <c r="U1429" s="60"/>
      <c r="V1429" s="36"/>
      <c r="W1429" s="31"/>
      <c r="X1429" s="59"/>
      <c r="Y1429" s="59" t="str">
        <f>IFERROR(VLOOKUP($A1429,APOIO!$A:$A,1,FALSE),"ERRO")</f>
        <v>ERRO</v>
      </c>
      <c r="Z1429"/>
    </row>
    <row r="1430" spans="1:26" ht="15" x14ac:dyDescent="0.25">
      <c r="A1430" s="94"/>
      <c r="B1430" s="32" t="str">
        <f>IF($A1430="","",VLOOKUP($A1430,APOIO!$A:$E,2,FALSE))</f>
        <v/>
      </c>
      <c r="C1430" s="94"/>
      <c r="D1430" s="32" t="str">
        <f>IF($A1430="","",INDEX(APOIO!$D:$D,MATCH(CONCATENATE($A1430,"_",$B1430,"_",$C1430),APOIO!$F:$F,0)))</f>
        <v/>
      </c>
      <c r="E1430" s="31"/>
      <c r="F1430" s="31"/>
      <c r="G1430" s="33"/>
      <c r="H1430" s="105"/>
      <c r="I1430" s="32" t="str">
        <f>IF($A1430="","",VLOOKUP($H1430,APOIO!$L:$M,2,FALSE))</f>
        <v/>
      </c>
      <c r="J1430" s="31"/>
      <c r="K1430" s="32" t="str">
        <f>IF($A1430="","",VLOOKUP($J1430,APOIO!$H:$J,2,FALSE))</f>
        <v/>
      </c>
      <c r="L1430" s="32" t="str">
        <f>IF($A1430="","",VLOOKUP($J1430,APOIO!$H:$J,3,FALSE))</f>
        <v/>
      </c>
      <c r="M1430" s="31"/>
      <c r="N1430" s="34"/>
      <c r="O1430" s="32"/>
      <c r="P1430" s="32"/>
      <c r="Q1430" s="32"/>
      <c r="R1430" s="32"/>
      <c r="S1430" s="35"/>
      <c r="T1430" s="91"/>
      <c r="U1430" s="60"/>
      <c r="V1430" s="36"/>
      <c r="W1430" s="31"/>
      <c r="X1430" s="59"/>
      <c r="Y1430" s="59" t="str">
        <f>IFERROR(VLOOKUP($A1430,APOIO!$A:$A,1,FALSE),"ERRO")</f>
        <v>ERRO</v>
      </c>
      <c r="Z1430"/>
    </row>
    <row r="1431" spans="1:26" ht="15" x14ac:dyDescent="0.25">
      <c r="A1431" s="94"/>
      <c r="B1431" s="32" t="str">
        <f>IF($A1431="","",VLOOKUP($A1431,APOIO!$A:$E,2,FALSE))</f>
        <v/>
      </c>
      <c r="C1431" s="94"/>
      <c r="D1431" s="32" t="str">
        <f>IF($A1431="","",INDEX(APOIO!$D:$D,MATCH(CONCATENATE($A1431,"_",$B1431,"_",$C1431),APOIO!$F:$F,0)))</f>
        <v/>
      </c>
      <c r="E1431" s="31"/>
      <c r="F1431" s="31"/>
      <c r="G1431" s="33"/>
      <c r="H1431" s="105"/>
      <c r="I1431" s="32" t="str">
        <f>IF($A1431="","",VLOOKUP($H1431,APOIO!$L:$M,2,FALSE))</f>
        <v/>
      </c>
      <c r="J1431" s="31"/>
      <c r="K1431" s="32" t="str">
        <f>IF($A1431="","",VLOOKUP($J1431,APOIO!$H:$J,2,FALSE))</f>
        <v/>
      </c>
      <c r="L1431" s="32" t="str">
        <f>IF($A1431="","",VLOOKUP($J1431,APOIO!$H:$J,3,FALSE))</f>
        <v/>
      </c>
      <c r="M1431" s="31"/>
      <c r="N1431" s="34"/>
      <c r="O1431" s="32"/>
      <c r="P1431" s="32"/>
      <c r="Q1431" s="32"/>
      <c r="R1431" s="32"/>
      <c r="S1431" s="35"/>
      <c r="T1431" s="91"/>
      <c r="U1431" s="60"/>
      <c r="V1431" s="36"/>
      <c r="W1431" s="31"/>
      <c r="X1431" s="59"/>
      <c r="Y1431" s="59" t="str">
        <f>IFERROR(VLOOKUP($A1431,APOIO!$A:$A,1,FALSE),"ERRO")</f>
        <v>ERRO</v>
      </c>
      <c r="Z1431"/>
    </row>
    <row r="1432" spans="1:26" ht="15" x14ac:dyDescent="0.25">
      <c r="A1432" s="94"/>
      <c r="B1432" s="32" t="str">
        <f>IF($A1432="","",VLOOKUP($A1432,APOIO!$A:$E,2,FALSE))</f>
        <v/>
      </c>
      <c r="C1432" s="94"/>
      <c r="D1432" s="32" t="str">
        <f>IF($A1432="","",INDEX(APOIO!$D:$D,MATCH(CONCATENATE($A1432,"_",$B1432,"_",$C1432),APOIO!$F:$F,0)))</f>
        <v/>
      </c>
      <c r="E1432" s="31"/>
      <c r="F1432" s="31"/>
      <c r="G1432" s="33"/>
      <c r="H1432" s="105"/>
      <c r="I1432" s="32" t="str">
        <f>IF($A1432="","",VLOOKUP($H1432,APOIO!$L:$M,2,FALSE))</f>
        <v/>
      </c>
      <c r="J1432" s="31"/>
      <c r="K1432" s="32" t="str">
        <f>IF($A1432="","",VLOOKUP($J1432,APOIO!$H:$J,2,FALSE))</f>
        <v/>
      </c>
      <c r="L1432" s="32" t="str">
        <f>IF($A1432="","",VLOOKUP($J1432,APOIO!$H:$J,3,FALSE))</f>
        <v/>
      </c>
      <c r="M1432" s="31"/>
      <c r="N1432" s="34"/>
      <c r="O1432" s="32"/>
      <c r="P1432" s="32"/>
      <c r="Q1432" s="32"/>
      <c r="R1432" s="32"/>
      <c r="S1432" s="35"/>
      <c r="T1432" s="91"/>
      <c r="U1432" s="60"/>
      <c r="V1432" s="36"/>
      <c r="W1432" s="31"/>
      <c r="X1432" s="59"/>
      <c r="Y1432" s="59" t="str">
        <f>IFERROR(VLOOKUP($A1432,APOIO!$A:$A,1,FALSE),"ERRO")</f>
        <v>ERRO</v>
      </c>
      <c r="Z1432"/>
    </row>
    <row r="1433" spans="1:26" ht="15" x14ac:dyDescent="0.25">
      <c r="A1433" s="94"/>
      <c r="B1433" s="32" t="str">
        <f>IF($A1433="","",VLOOKUP($A1433,APOIO!$A:$E,2,FALSE))</f>
        <v/>
      </c>
      <c r="C1433" s="94"/>
      <c r="D1433" s="32" t="str">
        <f>IF($A1433="","",INDEX(APOIO!$D:$D,MATCH(CONCATENATE($A1433,"_",$B1433,"_",$C1433),APOIO!$F:$F,0)))</f>
        <v/>
      </c>
      <c r="E1433" s="31"/>
      <c r="F1433" s="31"/>
      <c r="G1433" s="33"/>
      <c r="H1433" s="105"/>
      <c r="I1433" s="32" t="str">
        <f>IF($A1433="","",VLOOKUP($H1433,APOIO!$L:$M,2,FALSE))</f>
        <v/>
      </c>
      <c r="J1433" s="31"/>
      <c r="K1433" s="32" t="str">
        <f>IF($A1433="","",VLOOKUP($J1433,APOIO!$H:$J,2,FALSE))</f>
        <v/>
      </c>
      <c r="L1433" s="32" t="str">
        <f>IF($A1433="","",VLOOKUP($J1433,APOIO!$H:$J,3,FALSE))</f>
        <v/>
      </c>
      <c r="M1433" s="31"/>
      <c r="N1433" s="34"/>
      <c r="O1433" s="32"/>
      <c r="P1433" s="32"/>
      <c r="Q1433" s="32"/>
      <c r="R1433" s="32"/>
      <c r="S1433" s="35"/>
      <c r="T1433" s="91"/>
      <c r="U1433" s="60"/>
      <c r="V1433" s="36"/>
      <c r="W1433" s="31"/>
      <c r="X1433" s="59"/>
      <c r="Y1433" s="59" t="str">
        <f>IFERROR(VLOOKUP($A1433,APOIO!$A:$A,1,FALSE),"ERRO")</f>
        <v>ERRO</v>
      </c>
      <c r="Z1433"/>
    </row>
    <row r="1434" spans="1:26" ht="15" x14ac:dyDescent="0.25">
      <c r="A1434" s="94"/>
      <c r="B1434" s="32" t="str">
        <f>IF($A1434="","",VLOOKUP($A1434,APOIO!$A:$E,2,FALSE))</f>
        <v/>
      </c>
      <c r="C1434" s="94"/>
      <c r="D1434" s="32" t="str">
        <f>IF($A1434="","",INDEX(APOIO!$D:$D,MATCH(CONCATENATE($A1434,"_",$B1434,"_",$C1434),APOIO!$F:$F,0)))</f>
        <v/>
      </c>
      <c r="E1434" s="31"/>
      <c r="F1434" s="31"/>
      <c r="G1434" s="33"/>
      <c r="H1434" s="105"/>
      <c r="I1434" s="32" t="str">
        <f>IF($A1434="","",VLOOKUP($H1434,APOIO!$L:$M,2,FALSE))</f>
        <v/>
      </c>
      <c r="J1434" s="31"/>
      <c r="K1434" s="32" t="str">
        <f>IF($A1434="","",VLOOKUP($J1434,APOIO!$H:$J,2,FALSE))</f>
        <v/>
      </c>
      <c r="L1434" s="32" t="str">
        <f>IF($A1434="","",VLOOKUP($J1434,APOIO!$H:$J,3,FALSE))</f>
        <v/>
      </c>
      <c r="M1434" s="31"/>
      <c r="N1434" s="34"/>
      <c r="O1434" s="32"/>
      <c r="P1434" s="32"/>
      <c r="Q1434" s="32"/>
      <c r="R1434" s="32"/>
      <c r="S1434" s="35"/>
      <c r="T1434" s="91"/>
      <c r="U1434" s="60"/>
      <c r="V1434" s="36"/>
      <c r="W1434" s="31"/>
      <c r="X1434" s="59"/>
      <c r="Y1434" s="59" t="str">
        <f>IFERROR(VLOOKUP($A1434,APOIO!$A:$A,1,FALSE),"ERRO")</f>
        <v>ERRO</v>
      </c>
      <c r="Z1434"/>
    </row>
    <row r="1435" spans="1:26" ht="15" x14ac:dyDescent="0.25">
      <c r="A1435" s="94"/>
      <c r="B1435" s="32" t="str">
        <f>IF($A1435="","",VLOOKUP($A1435,APOIO!$A:$E,2,FALSE))</f>
        <v/>
      </c>
      <c r="C1435" s="94"/>
      <c r="D1435" s="32" t="str">
        <f>IF($A1435="","",INDEX(APOIO!$D:$D,MATCH(CONCATENATE($A1435,"_",$B1435,"_",$C1435),APOIO!$F:$F,0)))</f>
        <v/>
      </c>
      <c r="E1435" s="31"/>
      <c r="F1435" s="31"/>
      <c r="G1435" s="33"/>
      <c r="H1435" s="105"/>
      <c r="I1435" s="32" t="str">
        <f>IF($A1435="","",VLOOKUP($H1435,APOIO!$L:$M,2,FALSE))</f>
        <v/>
      </c>
      <c r="J1435" s="31"/>
      <c r="K1435" s="32" t="str">
        <f>IF($A1435="","",VLOOKUP($J1435,APOIO!$H:$J,2,FALSE))</f>
        <v/>
      </c>
      <c r="L1435" s="32" t="str">
        <f>IF($A1435="","",VLOOKUP($J1435,APOIO!$H:$J,3,FALSE))</f>
        <v/>
      </c>
      <c r="M1435" s="31"/>
      <c r="N1435" s="34"/>
      <c r="O1435" s="32"/>
      <c r="P1435" s="32"/>
      <c r="Q1435" s="32"/>
      <c r="R1435" s="32"/>
      <c r="S1435" s="35"/>
      <c r="T1435" s="91"/>
      <c r="U1435" s="60"/>
      <c r="V1435" s="36"/>
      <c r="W1435" s="31"/>
      <c r="X1435" s="59"/>
      <c r="Y1435" s="59" t="str">
        <f>IFERROR(VLOOKUP($A1435,APOIO!$A:$A,1,FALSE),"ERRO")</f>
        <v>ERRO</v>
      </c>
      <c r="Z1435"/>
    </row>
    <row r="1436" spans="1:26" ht="15" x14ac:dyDescent="0.25">
      <c r="A1436" s="94"/>
      <c r="B1436" s="32" t="str">
        <f>IF($A1436="","",VLOOKUP($A1436,APOIO!$A:$E,2,FALSE))</f>
        <v/>
      </c>
      <c r="C1436" s="94"/>
      <c r="D1436" s="32" t="str">
        <f>IF($A1436="","",INDEX(APOIO!$D:$D,MATCH(CONCATENATE($A1436,"_",$B1436,"_",$C1436),APOIO!$F:$F,0)))</f>
        <v/>
      </c>
      <c r="E1436" s="31"/>
      <c r="F1436" s="31"/>
      <c r="G1436" s="33"/>
      <c r="H1436" s="105"/>
      <c r="I1436" s="32" t="str">
        <f>IF($A1436="","",VLOOKUP($H1436,APOIO!$L:$M,2,FALSE))</f>
        <v/>
      </c>
      <c r="J1436" s="31"/>
      <c r="K1436" s="32" t="str">
        <f>IF($A1436="","",VLOOKUP($J1436,APOIO!$H:$J,2,FALSE))</f>
        <v/>
      </c>
      <c r="L1436" s="32" t="str">
        <f>IF($A1436="","",VLOOKUP($J1436,APOIO!$H:$J,3,FALSE))</f>
        <v/>
      </c>
      <c r="M1436" s="31"/>
      <c r="N1436" s="34"/>
      <c r="O1436" s="32"/>
      <c r="P1436" s="32"/>
      <c r="Q1436" s="32"/>
      <c r="R1436" s="32"/>
      <c r="S1436" s="35"/>
      <c r="T1436" s="91"/>
      <c r="U1436" s="60"/>
      <c r="V1436" s="36"/>
      <c r="W1436" s="31"/>
      <c r="X1436" s="59"/>
      <c r="Y1436" s="59" t="str">
        <f>IFERROR(VLOOKUP($A1436,APOIO!$A:$A,1,FALSE),"ERRO")</f>
        <v>ERRO</v>
      </c>
      <c r="Z1436"/>
    </row>
    <row r="1437" spans="1:26" ht="15" x14ac:dyDescent="0.25">
      <c r="A1437" s="94"/>
      <c r="B1437" s="32" t="str">
        <f>IF($A1437="","",VLOOKUP($A1437,APOIO!$A:$E,2,FALSE))</f>
        <v/>
      </c>
      <c r="C1437" s="94"/>
      <c r="D1437" s="32" t="str">
        <f>IF($A1437="","",INDEX(APOIO!$D:$D,MATCH(CONCATENATE($A1437,"_",$B1437,"_",$C1437),APOIO!$F:$F,0)))</f>
        <v/>
      </c>
      <c r="E1437" s="31"/>
      <c r="F1437" s="31"/>
      <c r="G1437" s="33"/>
      <c r="H1437" s="105"/>
      <c r="I1437" s="32" t="str">
        <f>IF($A1437="","",VLOOKUP($H1437,APOIO!$L:$M,2,FALSE))</f>
        <v/>
      </c>
      <c r="J1437" s="31"/>
      <c r="K1437" s="32" t="str">
        <f>IF($A1437="","",VLOOKUP($J1437,APOIO!$H:$J,2,FALSE))</f>
        <v/>
      </c>
      <c r="L1437" s="32" t="str">
        <f>IF($A1437="","",VLOOKUP($J1437,APOIO!$H:$J,3,FALSE))</f>
        <v/>
      </c>
      <c r="M1437" s="31"/>
      <c r="N1437" s="34"/>
      <c r="O1437" s="32"/>
      <c r="P1437" s="32"/>
      <c r="Q1437" s="32"/>
      <c r="R1437" s="32"/>
      <c r="S1437" s="35"/>
      <c r="T1437" s="91"/>
      <c r="U1437" s="60"/>
      <c r="V1437" s="36"/>
      <c r="W1437" s="31"/>
      <c r="X1437" s="59"/>
      <c r="Y1437" s="59" t="str">
        <f>IFERROR(VLOOKUP($A1437,APOIO!$A:$A,1,FALSE),"ERRO")</f>
        <v>ERRO</v>
      </c>
      <c r="Z1437"/>
    </row>
    <row r="1438" spans="1:26" ht="15" x14ac:dyDescent="0.25">
      <c r="A1438" s="94"/>
      <c r="B1438" s="32" t="str">
        <f>IF($A1438="","",VLOOKUP($A1438,APOIO!$A:$E,2,FALSE))</f>
        <v/>
      </c>
      <c r="C1438" s="94"/>
      <c r="D1438" s="32" t="str">
        <f>IF($A1438="","",INDEX(APOIO!$D:$D,MATCH(CONCATENATE($A1438,"_",$B1438,"_",$C1438),APOIO!$F:$F,0)))</f>
        <v/>
      </c>
      <c r="E1438" s="31"/>
      <c r="F1438" s="31"/>
      <c r="G1438" s="33"/>
      <c r="H1438" s="105"/>
      <c r="I1438" s="32" t="str">
        <f>IF($A1438="","",VLOOKUP($H1438,APOIO!$L:$M,2,FALSE))</f>
        <v/>
      </c>
      <c r="J1438" s="31"/>
      <c r="K1438" s="32" t="str">
        <f>IF($A1438="","",VLOOKUP($J1438,APOIO!$H:$J,2,FALSE))</f>
        <v/>
      </c>
      <c r="L1438" s="32" t="str">
        <f>IF($A1438="","",VLOOKUP($J1438,APOIO!$H:$J,3,FALSE))</f>
        <v/>
      </c>
      <c r="M1438" s="31"/>
      <c r="N1438" s="34"/>
      <c r="O1438" s="32"/>
      <c r="P1438" s="32"/>
      <c r="Q1438" s="32"/>
      <c r="R1438" s="32"/>
      <c r="S1438" s="35"/>
      <c r="T1438" s="91"/>
      <c r="U1438" s="60"/>
      <c r="V1438" s="36"/>
      <c r="W1438" s="31"/>
      <c r="X1438" s="59"/>
      <c r="Y1438" s="59" t="str">
        <f>IFERROR(VLOOKUP($A1438,APOIO!$A:$A,1,FALSE),"ERRO")</f>
        <v>ERRO</v>
      </c>
      <c r="Z1438"/>
    </row>
    <row r="1439" spans="1:26" ht="15" x14ac:dyDescent="0.25">
      <c r="A1439" s="94"/>
      <c r="B1439" s="32" t="str">
        <f>IF($A1439="","",VLOOKUP($A1439,APOIO!$A:$E,2,FALSE))</f>
        <v/>
      </c>
      <c r="C1439" s="94"/>
      <c r="D1439" s="32" t="str">
        <f>IF($A1439="","",INDEX(APOIO!$D:$D,MATCH(CONCATENATE($A1439,"_",$B1439,"_",$C1439),APOIO!$F:$F,0)))</f>
        <v/>
      </c>
      <c r="E1439" s="31"/>
      <c r="F1439" s="31"/>
      <c r="G1439" s="33"/>
      <c r="H1439" s="105"/>
      <c r="I1439" s="32" t="str">
        <f>IF($A1439="","",VLOOKUP($H1439,APOIO!$L:$M,2,FALSE))</f>
        <v/>
      </c>
      <c r="J1439" s="31"/>
      <c r="K1439" s="32" t="str">
        <f>IF($A1439="","",VLOOKUP($J1439,APOIO!$H:$J,2,FALSE))</f>
        <v/>
      </c>
      <c r="L1439" s="32" t="str">
        <f>IF($A1439="","",VLOOKUP($J1439,APOIO!$H:$J,3,FALSE))</f>
        <v/>
      </c>
      <c r="M1439" s="31"/>
      <c r="N1439" s="34"/>
      <c r="O1439" s="32"/>
      <c r="P1439" s="32"/>
      <c r="Q1439" s="32"/>
      <c r="R1439" s="32"/>
      <c r="S1439" s="35"/>
      <c r="T1439" s="91"/>
      <c r="U1439" s="60"/>
      <c r="V1439" s="36"/>
      <c r="W1439" s="31"/>
      <c r="X1439" s="59"/>
      <c r="Y1439" s="59" t="str">
        <f>IFERROR(VLOOKUP($A1439,APOIO!$A:$A,1,FALSE),"ERRO")</f>
        <v>ERRO</v>
      </c>
      <c r="Z1439"/>
    </row>
    <row r="1440" spans="1:26" ht="15" x14ac:dyDescent="0.25">
      <c r="A1440" s="94"/>
      <c r="B1440" s="32" t="str">
        <f>IF($A1440="","",VLOOKUP($A1440,APOIO!$A:$E,2,FALSE))</f>
        <v/>
      </c>
      <c r="C1440" s="94"/>
      <c r="D1440" s="32" t="str">
        <f>IF($A1440="","",INDEX(APOIO!$D:$D,MATCH(CONCATENATE($A1440,"_",$B1440,"_",$C1440),APOIO!$F:$F,0)))</f>
        <v/>
      </c>
      <c r="E1440" s="31"/>
      <c r="F1440" s="31"/>
      <c r="G1440" s="33"/>
      <c r="H1440" s="105"/>
      <c r="I1440" s="32" t="str">
        <f>IF($A1440="","",VLOOKUP($H1440,APOIO!$L:$M,2,FALSE))</f>
        <v/>
      </c>
      <c r="J1440" s="31"/>
      <c r="K1440" s="32" t="str">
        <f>IF($A1440="","",VLOOKUP($J1440,APOIO!$H:$J,2,FALSE))</f>
        <v/>
      </c>
      <c r="L1440" s="32" t="str">
        <f>IF($A1440="","",VLOOKUP($J1440,APOIO!$H:$J,3,FALSE))</f>
        <v/>
      </c>
      <c r="M1440" s="31"/>
      <c r="N1440" s="34"/>
      <c r="O1440" s="32"/>
      <c r="P1440" s="32"/>
      <c r="Q1440" s="32"/>
      <c r="R1440" s="32"/>
      <c r="S1440" s="35"/>
      <c r="T1440" s="91"/>
      <c r="U1440" s="60"/>
      <c r="V1440" s="36"/>
      <c r="W1440" s="31"/>
      <c r="X1440" s="59"/>
      <c r="Y1440" s="59" t="str">
        <f>IFERROR(VLOOKUP($A1440,APOIO!$A:$A,1,FALSE),"ERRO")</f>
        <v>ERRO</v>
      </c>
      <c r="Z1440"/>
    </row>
    <row r="1441" spans="1:26" ht="15" x14ac:dyDescent="0.25">
      <c r="A1441" s="94"/>
      <c r="B1441" s="32" t="str">
        <f>IF($A1441="","",VLOOKUP($A1441,APOIO!$A:$E,2,FALSE))</f>
        <v/>
      </c>
      <c r="C1441" s="94"/>
      <c r="D1441" s="32" t="str">
        <f>IF($A1441="","",INDEX(APOIO!$D:$D,MATCH(CONCATENATE($A1441,"_",$B1441,"_",$C1441),APOIO!$F:$F,0)))</f>
        <v/>
      </c>
      <c r="E1441" s="31"/>
      <c r="F1441" s="31"/>
      <c r="G1441" s="33"/>
      <c r="H1441" s="105"/>
      <c r="I1441" s="32" t="str">
        <f>IF($A1441="","",VLOOKUP($H1441,APOIO!$L:$M,2,FALSE))</f>
        <v/>
      </c>
      <c r="J1441" s="31"/>
      <c r="K1441" s="32" t="str">
        <f>IF($A1441="","",VLOOKUP($J1441,APOIO!$H:$J,2,FALSE))</f>
        <v/>
      </c>
      <c r="L1441" s="32" t="str">
        <f>IF($A1441="","",VLOOKUP($J1441,APOIO!$H:$J,3,FALSE))</f>
        <v/>
      </c>
      <c r="M1441" s="31"/>
      <c r="N1441" s="34"/>
      <c r="O1441" s="32"/>
      <c r="P1441" s="32"/>
      <c r="Q1441" s="32"/>
      <c r="R1441" s="32"/>
      <c r="S1441" s="35"/>
      <c r="T1441" s="91"/>
      <c r="U1441" s="60"/>
      <c r="V1441" s="36"/>
      <c r="W1441" s="31"/>
      <c r="X1441" s="59"/>
      <c r="Y1441" s="59" t="str">
        <f>IFERROR(VLOOKUP($A1441,APOIO!$A:$A,1,FALSE),"ERRO")</f>
        <v>ERRO</v>
      </c>
      <c r="Z1441"/>
    </row>
    <row r="1442" spans="1:26" ht="15" x14ac:dyDescent="0.25">
      <c r="A1442" s="94"/>
      <c r="B1442" s="32" t="str">
        <f>IF($A1442="","",VLOOKUP($A1442,APOIO!$A:$E,2,FALSE))</f>
        <v/>
      </c>
      <c r="C1442" s="94"/>
      <c r="D1442" s="32" t="str">
        <f>IF($A1442="","",INDEX(APOIO!$D:$D,MATCH(CONCATENATE($A1442,"_",$B1442,"_",$C1442),APOIO!$F:$F,0)))</f>
        <v/>
      </c>
      <c r="E1442" s="31"/>
      <c r="F1442" s="31"/>
      <c r="G1442" s="33"/>
      <c r="H1442" s="105"/>
      <c r="I1442" s="32" t="str">
        <f>IF($A1442="","",VLOOKUP($H1442,APOIO!$L:$M,2,FALSE))</f>
        <v/>
      </c>
      <c r="J1442" s="31"/>
      <c r="K1442" s="32" t="str">
        <f>IF($A1442="","",VLOOKUP($J1442,APOIO!$H:$J,2,FALSE))</f>
        <v/>
      </c>
      <c r="L1442" s="32" t="str">
        <f>IF($A1442="","",VLOOKUP($J1442,APOIO!$H:$J,3,FALSE))</f>
        <v/>
      </c>
      <c r="M1442" s="31"/>
      <c r="N1442" s="34"/>
      <c r="O1442" s="32"/>
      <c r="P1442" s="32"/>
      <c r="Q1442" s="32"/>
      <c r="R1442" s="32"/>
      <c r="S1442" s="35"/>
      <c r="T1442" s="91"/>
      <c r="U1442" s="60"/>
      <c r="V1442" s="36"/>
      <c r="W1442" s="31"/>
      <c r="X1442" s="59"/>
      <c r="Y1442" s="59" t="str">
        <f>IFERROR(VLOOKUP($A1442,APOIO!$A:$A,1,FALSE),"ERRO")</f>
        <v>ERRO</v>
      </c>
      <c r="Z1442"/>
    </row>
    <row r="1443" spans="1:26" ht="15" x14ac:dyDescent="0.25">
      <c r="A1443" s="94"/>
      <c r="B1443" s="32" t="str">
        <f>IF($A1443="","",VLOOKUP($A1443,APOIO!$A:$E,2,FALSE))</f>
        <v/>
      </c>
      <c r="C1443" s="94"/>
      <c r="D1443" s="32" t="str">
        <f>IF($A1443="","",INDEX(APOIO!$D:$D,MATCH(CONCATENATE($A1443,"_",$B1443,"_",$C1443),APOIO!$F:$F,0)))</f>
        <v/>
      </c>
      <c r="E1443" s="31"/>
      <c r="F1443" s="31"/>
      <c r="G1443" s="33"/>
      <c r="H1443" s="105"/>
      <c r="I1443" s="32" t="str">
        <f>IF($A1443="","",VLOOKUP($H1443,APOIO!$L:$M,2,FALSE))</f>
        <v/>
      </c>
      <c r="J1443" s="31"/>
      <c r="K1443" s="32" t="str">
        <f>IF($A1443="","",VLOOKUP($J1443,APOIO!$H:$J,2,FALSE))</f>
        <v/>
      </c>
      <c r="L1443" s="32" t="str">
        <f>IF($A1443="","",VLOOKUP($J1443,APOIO!$H:$J,3,FALSE))</f>
        <v/>
      </c>
      <c r="M1443" s="31"/>
      <c r="N1443" s="34"/>
      <c r="O1443" s="32"/>
      <c r="P1443" s="32"/>
      <c r="Q1443" s="32"/>
      <c r="R1443" s="32"/>
      <c r="S1443" s="35"/>
      <c r="T1443" s="91"/>
      <c r="U1443" s="60"/>
      <c r="V1443" s="36"/>
      <c r="W1443" s="31"/>
      <c r="X1443" s="59"/>
      <c r="Y1443" s="59" t="str">
        <f>IFERROR(VLOOKUP($A1443,APOIO!$A:$A,1,FALSE),"ERRO")</f>
        <v>ERRO</v>
      </c>
      <c r="Z1443"/>
    </row>
    <row r="1444" spans="1:26" ht="15" x14ac:dyDescent="0.25">
      <c r="A1444" s="94"/>
      <c r="B1444" s="32" t="str">
        <f>IF($A1444="","",VLOOKUP($A1444,APOIO!$A:$E,2,FALSE))</f>
        <v/>
      </c>
      <c r="C1444" s="94"/>
      <c r="D1444" s="32" t="str">
        <f>IF($A1444="","",INDEX(APOIO!$D:$D,MATCH(CONCATENATE($A1444,"_",$B1444,"_",$C1444),APOIO!$F:$F,0)))</f>
        <v/>
      </c>
      <c r="E1444" s="31"/>
      <c r="F1444" s="31"/>
      <c r="G1444" s="33"/>
      <c r="H1444" s="105"/>
      <c r="I1444" s="32" t="str">
        <f>IF($A1444="","",VLOOKUP($H1444,APOIO!$L:$M,2,FALSE))</f>
        <v/>
      </c>
      <c r="J1444" s="31"/>
      <c r="K1444" s="32" t="str">
        <f>IF($A1444="","",VLOOKUP($J1444,APOIO!$H:$J,2,FALSE))</f>
        <v/>
      </c>
      <c r="L1444" s="32" t="str">
        <f>IF($A1444="","",VLOOKUP($J1444,APOIO!$H:$J,3,FALSE))</f>
        <v/>
      </c>
      <c r="M1444" s="31"/>
      <c r="N1444" s="34"/>
      <c r="O1444" s="32"/>
      <c r="P1444" s="32"/>
      <c r="Q1444" s="32"/>
      <c r="R1444" s="32"/>
      <c r="S1444" s="35"/>
      <c r="T1444" s="91"/>
      <c r="U1444" s="60"/>
      <c r="V1444" s="36"/>
      <c r="W1444" s="31"/>
      <c r="X1444" s="59"/>
      <c r="Y1444" s="59" t="str">
        <f>IFERROR(VLOOKUP($A1444,APOIO!$A:$A,1,FALSE),"ERRO")</f>
        <v>ERRO</v>
      </c>
      <c r="Z1444"/>
    </row>
    <row r="1445" spans="1:26" ht="15" x14ac:dyDescent="0.25">
      <c r="A1445" s="94"/>
      <c r="B1445" s="32" t="str">
        <f>IF($A1445="","",VLOOKUP($A1445,APOIO!$A:$E,2,FALSE))</f>
        <v/>
      </c>
      <c r="C1445" s="94"/>
      <c r="D1445" s="32" t="str">
        <f>IF($A1445="","",INDEX(APOIO!$D:$D,MATCH(CONCATENATE($A1445,"_",$B1445,"_",$C1445),APOIO!$F:$F,0)))</f>
        <v/>
      </c>
      <c r="E1445" s="31"/>
      <c r="F1445" s="31"/>
      <c r="G1445" s="33"/>
      <c r="H1445" s="105"/>
      <c r="I1445" s="32" t="str">
        <f>IF($A1445="","",VLOOKUP($H1445,APOIO!$L:$M,2,FALSE))</f>
        <v/>
      </c>
      <c r="J1445" s="31"/>
      <c r="K1445" s="32" t="str">
        <f>IF($A1445="","",VLOOKUP($J1445,APOIO!$H:$J,2,FALSE))</f>
        <v/>
      </c>
      <c r="L1445" s="32" t="str">
        <f>IF($A1445="","",VLOOKUP($J1445,APOIO!$H:$J,3,FALSE))</f>
        <v/>
      </c>
      <c r="M1445" s="31"/>
      <c r="N1445" s="34"/>
      <c r="O1445" s="32"/>
      <c r="P1445" s="32"/>
      <c r="Q1445" s="32"/>
      <c r="R1445" s="32"/>
      <c r="S1445" s="35"/>
      <c r="T1445" s="91"/>
      <c r="U1445" s="60"/>
      <c r="V1445" s="36"/>
      <c r="W1445" s="31"/>
      <c r="X1445" s="59"/>
      <c r="Y1445" s="59" t="str">
        <f>IFERROR(VLOOKUP($A1445,APOIO!$A:$A,1,FALSE),"ERRO")</f>
        <v>ERRO</v>
      </c>
      <c r="Z1445"/>
    </row>
    <row r="1446" spans="1:26" ht="15" x14ac:dyDescent="0.25">
      <c r="A1446" s="94"/>
      <c r="B1446" s="32" t="str">
        <f>IF($A1446="","",VLOOKUP($A1446,APOIO!$A:$E,2,FALSE))</f>
        <v/>
      </c>
      <c r="C1446" s="94"/>
      <c r="D1446" s="32" t="str">
        <f>IF($A1446="","",INDEX(APOIO!$D:$D,MATCH(CONCATENATE($A1446,"_",$B1446,"_",$C1446),APOIO!$F:$F,0)))</f>
        <v/>
      </c>
      <c r="E1446" s="31"/>
      <c r="F1446" s="31"/>
      <c r="G1446" s="33"/>
      <c r="H1446" s="105"/>
      <c r="I1446" s="32" t="str">
        <f>IF($A1446="","",VLOOKUP($H1446,APOIO!$L:$M,2,FALSE))</f>
        <v/>
      </c>
      <c r="J1446" s="31"/>
      <c r="K1446" s="32" t="str">
        <f>IF($A1446="","",VLOOKUP($J1446,APOIO!$H:$J,2,FALSE))</f>
        <v/>
      </c>
      <c r="L1446" s="32" t="str">
        <f>IF($A1446="","",VLOOKUP($J1446,APOIO!$H:$J,3,FALSE))</f>
        <v/>
      </c>
      <c r="M1446" s="31"/>
      <c r="N1446" s="34"/>
      <c r="O1446" s="32"/>
      <c r="P1446" s="32"/>
      <c r="Q1446" s="32"/>
      <c r="R1446" s="32"/>
      <c r="S1446" s="35"/>
      <c r="T1446" s="91"/>
      <c r="U1446" s="60"/>
      <c r="V1446" s="36"/>
      <c r="W1446" s="31"/>
      <c r="X1446" s="59"/>
      <c r="Y1446" s="59" t="str">
        <f>IFERROR(VLOOKUP($A1446,APOIO!$A:$A,1,FALSE),"ERRO")</f>
        <v>ERRO</v>
      </c>
      <c r="Z1446"/>
    </row>
    <row r="1447" spans="1:26" ht="15" x14ac:dyDescent="0.25">
      <c r="A1447" s="94"/>
      <c r="B1447" s="32" t="str">
        <f>IF($A1447="","",VLOOKUP($A1447,APOIO!$A:$E,2,FALSE))</f>
        <v/>
      </c>
      <c r="C1447" s="94"/>
      <c r="D1447" s="32" t="str">
        <f>IF($A1447="","",INDEX(APOIO!$D:$D,MATCH(CONCATENATE($A1447,"_",$B1447,"_",$C1447),APOIO!$F:$F,0)))</f>
        <v/>
      </c>
      <c r="E1447" s="31"/>
      <c r="F1447" s="31"/>
      <c r="G1447" s="33"/>
      <c r="H1447" s="105"/>
      <c r="I1447" s="32" t="str">
        <f>IF($A1447="","",VLOOKUP($H1447,APOIO!$L:$M,2,FALSE))</f>
        <v/>
      </c>
      <c r="J1447" s="31"/>
      <c r="K1447" s="32" t="str">
        <f>IF($A1447="","",VLOOKUP($J1447,APOIO!$H:$J,2,FALSE))</f>
        <v/>
      </c>
      <c r="L1447" s="32" t="str">
        <f>IF($A1447="","",VLOOKUP($J1447,APOIO!$H:$J,3,FALSE))</f>
        <v/>
      </c>
      <c r="M1447" s="31"/>
      <c r="N1447" s="34"/>
      <c r="O1447" s="32"/>
      <c r="P1447" s="32"/>
      <c r="Q1447" s="32"/>
      <c r="R1447" s="32"/>
      <c r="S1447" s="35"/>
      <c r="T1447" s="91"/>
      <c r="U1447" s="60"/>
      <c r="V1447" s="36"/>
      <c r="W1447" s="31"/>
      <c r="X1447" s="59"/>
      <c r="Y1447" s="59" t="str">
        <f>IFERROR(VLOOKUP($A1447,APOIO!$A:$A,1,FALSE),"ERRO")</f>
        <v>ERRO</v>
      </c>
      <c r="Z1447"/>
    </row>
    <row r="1448" spans="1:26" ht="15" x14ac:dyDescent="0.25">
      <c r="A1448" s="94"/>
      <c r="B1448" s="32" t="str">
        <f>IF($A1448="","",VLOOKUP($A1448,APOIO!$A:$E,2,FALSE))</f>
        <v/>
      </c>
      <c r="C1448" s="94"/>
      <c r="D1448" s="32" t="str">
        <f>IF($A1448="","",INDEX(APOIO!$D:$D,MATCH(CONCATENATE($A1448,"_",$B1448,"_",$C1448),APOIO!$F:$F,0)))</f>
        <v/>
      </c>
      <c r="E1448" s="31"/>
      <c r="F1448" s="31"/>
      <c r="G1448" s="33"/>
      <c r="H1448" s="105"/>
      <c r="I1448" s="32" t="str">
        <f>IF($A1448="","",VLOOKUP($H1448,APOIO!$L:$M,2,FALSE))</f>
        <v/>
      </c>
      <c r="J1448" s="31"/>
      <c r="K1448" s="32" t="str">
        <f>IF($A1448="","",VLOOKUP($J1448,APOIO!$H:$J,2,FALSE))</f>
        <v/>
      </c>
      <c r="L1448" s="32" t="str">
        <f>IF($A1448="","",VLOOKUP($J1448,APOIO!$H:$J,3,FALSE))</f>
        <v/>
      </c>
      <c r="M1448" s="31"/>
      <c r="N1448" s="34"/>
      <c r="O1448" s="32"/>
      <c r="P1448" s="32"/>
      <c r="Q1448" s="32"/>
      <c r="R1448" s="32"/>
      <c r="S1448" s="35"/>
      <c r="T1448" s="91"/>
      <c r="U1448" s="60"/>
      <c r="V1448" s="36"/>
      <c r="W1448" s="31"/>
      <c r="X1448" s="59"/>
      <c r="Y1448" s="59" t="str">
        <f>IFERROR(VLOOKUP($A1448,APOIO!$A:$A,1,FALSE),"ERRO")</f>
        <v>ERRO</v>
      </c>
      <c r="Z1448"/>
    </row>
    <row r="1449" spans="1:26" ht="15" x14ac:dyDescent="0.25">
      <c r="A1449" s="94"/>
      <c r="B1449" s="32" t="str">
        <f>IF($A1449="","",VLOOKUP($A1449,APOIO!$A:$E,2,FALSE))</f>
        <v/>
      </c>
      <c r="C1449" s="94"/>
      <c r="D1449" s="32" t="str">
        <f>IF($A1449="","",INDEX(APOIO!$D:$D,MATCH(CONCATENATE($A1449,"_",$B1449,"_",$C1449),APOIO!$F:$F,0)))</f>
        <v/>
      </c>
      <c r="E1449" s="31"/>
      <c r="F1449" s="31"/>
      <c r="G1449" s="33"/>
      <c r="H1449" s="105"/>
      <c r="I1449" s="32" t="str">
        <f>IF($A1449="","",VLOOKUP($H1449,APOIO!$L:$M,2,FALSE))</f>
        <v/>
      </c>
      <c r="J1449" s="31"/>
      <c r="K1449" s="32" t="str">
        <f>IF($A1449="","",VLOOKUP($J1449,APOIO!$H:$J,2,FALSE))</f>
        <v/>
      </c>
      <c r="L1449" s="32" t="str">
        <f>IF($A1449="","",VLOOKUP($J1449,APOIO!$H:$J,3,FALSE))</f>
        <v/>
      </c>
      <c r="M1449" s="31"/>
      <c r="N1449" s="34"/>
      <c r="O1449" s="32"/>
      <c r="P1449" s="32"/>
      <c r="Q1449" s="32"/>
      <c r="R1449" s="32"/>
      <c r="S1449" s="35"/>
      <c r="T1449" s="91"/>
      <c r="U1449" s="60"/>
      <c r="V1449" s="36"/>
      <c r="W1449" s="31"/>
      <c r="X1449" s="59"/>
      <c r="Y1449" s="59" t="str">
        <f>IFERROR(VLOOKUP($A1449,APOIO!$A:$A,1,FALSE),"ERRO")</f>
        <v>ERRO</v>
      </c>
      <c r="Z1449"/>
    </row>
    <row r="1450" spans="1:26" ht="15" x14ac:dyDescent="0.25">
      <c r="A1450" s="94"/>
      <c r="B1450" s="32" t="str">
        <f>IF($A1450="","",VLOOKUP($A1450,APOIO!$A:$E,2,FALSE))</f>
        <v/>
      </c>
      <c r="C1450" s="94"/>
      <c r="D1450" s="32" t="str">
        <f>IF($A1450="","",INDEX(APOIO!$D:$D,MATCH(CONCATENATE($A1450,"_",$B1450,"_",$C1450),APOIO!$F:$F,0)))</f>
        <v/>
      </c>
      <c r="E1450" s="31"/>
      <c r="F1450" s="31"/>
      <c r="G1450" s="33"/>
      <c r="H1450" s="105"/>
      <c r="I1450" s="32" t="str">
        <f>IF($A1450="","",VLOOKUP($H1450,APOIO!$L:$M,2,FALSE))</f>
        <v/>
      </c>
      <c r="J1450" s="31"/>
      <c r="K1450" s="32" t="str">
        <f>IF($A1450="","",VLOOKUP($J1450,APOIO!$H:$J,2,FALSE))</f>
        <v/>
      </c>
      <c r="L1450" s="32" t="str">
        <f>IF($A1450="","",VLOOKUP($J1450,APOIO!$H:$J,3,FALSE))</f>
        <v/>
      </c>
      <c r="M1450" s="31"/>
      <c r="N1450" s="34"/>
      <c r="O1450" s="32"/>
      <c r="P1450" s="32"/>
      <c r="Q1450" s="32"/>
      <c r="R1450" s="32"/>
      <c r="S1450" s="35"/>
      <c r="T1450" s="91"/>
      <c r="U1450" s="60"/>
      <c r="V1450" s="36"/>
      <c r="W1450" s="31"/>
      <c r="X1450" s="59"/>
      <c r="Y1450" s="59" t="str">
        <f>IFERROR(VLOOKUP($A1450,APOIO!$A:$A,1,FALSE),"ERRO")</f>
        <v>ERRO</v>
      </c>
      <c r="Z1450"/>
    </row>
    <row r="1451" spans="1:26" ht="15" x14ac:dyDescent="0.25">
      <c r="A1451" s="94"/>
      <c r="B1451" s="32" t="str">
        <f>IF($A1451="","",VLOOKUP($A1451,APOIO!$A:$E,2,FALSE))</f>
        <v/>
      </c>
      <c r="C1451" s="94"/>
      <c r="D1451" s="32" t="str">
        <f>IF($A1451="","",INDEX(APOIO!$D:$D,MATCH(CONCATENATE($A1451,"_",$B1451,"_",$C1451),APOIO!$F:$F,0)))</f>
        <v/>
      </c>
      <c r="E1451" s="31"/>
      <c r="F1451" s="31"/>
      <c r="G1451" s="33"/>
      <c r="H1451" s="105"/>
      <c r="I1451" s="32" t="str">
        <f>IF($A1451="","",VLOOKUP($H1451,APOIO!$L:$M,2,FALSE))</f>
        <v/>
      </c>
      <c r="J1451" s="31"/>
      <c r="K1451" s="32" t="str">
        <f>IF($A1451="","",VLOOKUP($J1451,APOIO!$H:$J,2,FALSE))</f>
        <v/>
      </c>
      <c r="L1451" s="32" t="str">
        <f>IF($A1451="","",VLOOKUP($J1451,APOIO!$H:$J,3,FALSE))</f>
        <v/>
      </c>
      <c r="M1451" s="31"/>
      <c r="N1451" s="34"/>
      <c r="O1451" s="32"/>
      <c r="P1451" s="32"/>
      <c r="Q1451" s="32"/>
      <c r="R1451" s="32"/>
      <c r="S1451" s="35"/>
      <c r="T1451" s="91"/>
      <c r="U1451" s="60"/>
      <c r="V1451" s="36"/>
      <c r="W1451" s="31"/>
      <c r="X1451" s="59"/>
      <c r="Y1451" s="59" t="str">
        <f>IFERROR(VLOOKUP($A1451,APOIO!$A:$A,1,FALSE),"ERRO")</f>
        <v>ERRO</v>
      </c>
      <c r="Z1451"/>
    </row>
    <row r="1452" spans="1:26" ht="15" x14ac:dyDescent="0.25">
      <c r="A1452" s="94"/>
      <c r="B1452" s="32" t="str">
        <f>IF($A1452="","",VLOOKUP($A1452,APOIO!$A:$E,2,FALSE))</f>
        <v/>
      </c>
      <c r="C1452" s="94"/>
      <c r="D1452" s="32" t="str">
        <f>IF($A1452="","",INDEX(APOIO!$D:$D,MATCH(CONCATENATE($A1452,"_",$B1452,"_",$C1452),APOIO!$F:$F,0)))</f>
        <v/>
      </c>
      <c r="E1452" s="31"/>
      <c r="F1452" s="31"/>
      <c r="G1452" s="33"/>
      <c r="H1452" s="105"/>
      <c r="I1452" s="32" t="str">
        <f>IF($A1452="","",VLOOKUP($H1452,APOIO!$L:$M,2,FALSE))</f>
        <v/>
      </c>
      <c r="J1452" s="31"/>
      <c r="K1452" s="32" t="str">
        <f>IF($A1452="","",VLOOKUP($J1452,APOIO!$H:$J,2,FALSE))</f>
        <v/>
      </c>
      <c r="L1452" s="32" t="str">
        <f>IF($A1452="","",VLOOKUP($J1452,APOIO!$H:$J,3,FALSE))</f>
        <v/>
      </c>
      <c r="M1452" s="31"/>
      <c r="N1452" s="34"/>
      <c r="O1452" s="32"/>
      <c r="P1452" s="32"/>
      <c r="Q1452" s="32"/>
      <c r="R1452" s="32"/>
      <c r="S1452" s="35"/>
      <c r="T1452" s="91"/>
      <c r="U1452" s="60"/>
      <c r="V1452" s="36"/>
      <c r="W1452" s="31"/>
      <c r="X1452" s="59"/>
      <c r="Y1452" s="59" t="str">
        <f>IFERROR(VLOOKUP($A1452,APOIO!$A:$A,1,FALSE),"ERRO")</f>
        <v>ERRO</v>
      </c>
      <c r="Z1452"/>
    </row>
    <row r="1453" spans="1:26" ht="15" x14ac:dyDescent="0.25">
      <c r="A1453" s="94"/>
      <c r="B1453" s="32" t="str">
        <f>IF($A1453="","",VLOOKUP($A1453,APOIO!$A:$E,2,FALSE))</f>
        <v/>
      </c>
      <c r="C1453" s="94"/>
      <c r="D1453" s="32" t="str">
        <f>IF($A1453="","",INDEX(APOIO!$D:$D,MATCH(CONCATENATE($A1453,"_",$B1453,"_",$C1453),APOIO!$F:$F,0)))</f>
        <v/>
      </c>
      <c r="E1453" s="31"/>
      <c r="F1453" s="31"/>
      <c r="G1453" s="33"/>
      <c r="H1453" s="105"/>
      <c r="I1453" s="32" t="str">
        <f>IF($A1453="","",VLOOKUP($H1453,APOIO!$L:$M,2,FALSE))</f>
        <v/>
      </c>
      <c r="J1453" s="31"/>
      <c r="K1453" s="32" t="str">
        <f>IF($A1453="","",VLOOKUP($J1453,APOIO!$H:$J,2,FALSE))</f>
        <v/>
      </c>
      <c r="L1453" s="32" t="str">
        <f>IF($A1453="","",VLOOKUP($J1453,APOIO!$H:$J,3,FALSE))</f>
        <v/>
      </c>
      <c r="M1453" s="31"/>
      <c r="N1453" s="34"/>
      <c r="O1453" s="32"/>
      <c r="P1453" s="32"/>
      <c r="Q1453" s="32"/>
      <c r="R1453" s="32"/>
      <c r="S1453" s="35"/>
      <c r="T1453" s="91"/>
      <c r="U1453" s="60"/>
      <c r="V1453" s="36"/>
      <c r="W1453" s="31"/>
      <c r="X1453" s="59"/>
      <c r="Y1453" s="59" t="str">
        <f>IFERROR(VLOOKUP($A1453,APOIO!$A:$A,1,FALSE),"ERRO")</f>
        <v>ERRO</v>
      </c>
      <c r="Z1453"/>
    </row>
    <row r="1454" spans="1:26" ht="15" x14ac:dyDescent="0.25">
      <c r="A1454" s="94"/>
      <c r="B1454" s="32" t="str">
        <f>IF($A1454="","",VLOOKUP($A1454,APOIO!$A:$E,2,FALSE))</f>
        <v/>
      </c>
      <c r="C1454" s="94"/>
      <c r="D1454" s="32" t="str">
        <f>IF($A1454="","",INDEX(APOIO!$D:$D,MATCH(CONCATENATE($A1454,"_",$B1454,"_",$C1454),APOIO!$F:$F,0)))</f>
        <v/>
      </c>
      <c r="E1454" s="31"/>
      <c r="F1454" s="31"/>
      <c r="G1454" s="33"/>
      <c r="H1454" s="105"/>
      <c r="I1454" s="32" t="str">
        <f>IF($A1454="","",VLOOKUP($H1454,APOIO!$L:$M,2,FALSE))</f>
        <v/>
      </c>
      <c r="J1454" s="31"/>
      <c r="K1454" s="32" t="str">
        <f>IF($A1454="","",VLOOKUP($J1454,APOIO!$H:$J,2,FALSE))</f>
        <v/>
      </c>
      <c r="L1454" s="32" t="str">
        <f>IF($A1454="","",VLOOKUP($J1454,APOIO!$H:$J,3,FALSE))</f>
        <v/>
      </c>
      <c r="M1454" s="31"/>
      <c r="N1454" s="34"/>
      <c r="O1454" s="32"/>
      <c r="P1454" s="32"/>
      <c r="Q1454" s="32"/>
      <c r="R1454" s="32"/>
      <c r="S1454" s="35"/>
      <c r="T1454" s="91"/>
      <c r="U1454" s="60"/>
      <c r="V1454" s="36"/>
      <c r="W1454" s="31"/>
      <c r="X1454" s="59"/>
      <c r="Y1454" s="59" t="str">
        <f>IFERROR(VLOOKUP($A1454,APOIO!$A:$A,1,FALSE),"ERRO")</f>
        <v>ERRO</v>
      </c>
      <c r="Z1454"/>
    </row>
    <row r="1455" spans="1:26" ht="15" x14ac:dyDescent="0.25">
      <c r="A1455" s="94"/>
      <c r="B1455" s="32" t="str">
        <f>IF($A1455="","",VLOOKUP($A1455,APOIO!$A:$E,2,FALSE))</f>
        <v/>
      </c>
      <c r="C1455" s="94"/>
      <c r="D1455" s="32" t="str">
        <f>IF($A1455="","",INDEX(APOIO!$D:$D,MATCH(CONCATENATE($A1455,"_",$B1455,"_",$C1455),APOIO!$F:$F,0)))</f>
        <v/>
      </c>
      <c r="E1455" s="31"/>
      <c r="F1455" s="31"/>
      <c r="G1455" s="33"/>
      <c r="H1455" s="105"/>
      <c r="I1455" s="32" t="str">
        <f>IF($A1455="","",VLOOKUP($H1455,APOIO!$L:$M,2,FALSE))</f>
        <v/>
      </c>
      <c r="J1455" s="31"/>
      <c r="K1455" s="32" t="str">
        <f>IF($A1455="","",VLOOKUP($J1455,APOIO!$H:$J,2,FALSE))</f>
        <v/>
      </c>
      <c r="L1455" s="32" t="str">
        <f>IF($A1455="","",VLOOKUP($J1455,APOIO!$H:$J,3,FALSE))</f>
        <v/>
      </c>
      <c r="M1455" s="31"/>
      <c r="N1455" s="34"/>
      <c r="O1455" s="32"/>
      <c r="P1455" s="32"/>
      <c r="Q1455" s="32"/>
      <c r="R1455" s="32"/>
      <c r="S1455" s="35"/>
      <c r="T1455" s="91"/>
      <c r="U1455" s="60"/>
      <c r="V1455" s="36"/>
      <c r="W1455" s="31"/>
      <c r="X1455" s="59"/>
      <c r="Y1455" s="59" t="str">
        <f>IFERROR(VLOOKUP($A1455,APOIO!$A:$A,1,FALSE),"ERRO")</f>
        <v>ERRO</v>
      </c>
      <c r="Z1455"/>
    </row>
    <row r="1456" spans="1:26" ht="15" x14ac:dyDescent="0.25">
      <c r="A1456" s="94"/>
      <c r="B1456" s="32" t="str">
        <f>IF($A1456="","",VLOOKUP($A1456,APOIO!$A:$E,2,FALSE))</f>
        <v/>
      </c>
      <c r="C1456" s="94"/>
      <c r="D1456" s="32" t="str">
        <f>IF($A1456="","",INDEX(APOIO!$D:$D,MATCH(CONCATENATE($A1456,"_",$B1456,"_",$C1456),APOIO!$F:$F,0)))</f>
        <v/>
      </c>
      <c r="E1456" s="31"/>
      <c r="F1456" s="31"/>
      <c r="G1456" s="33"/>
      <c r="H1456" s="105"/>
      <c r="I1456" s="32" t="str">
        <f>IF($A1456="","",VLOOKUP($H1456,APOIO!$L:$M,2,FALSE))</f>
        <v/>
      </c>
      <c r="J1456" s="31"/>
      <c r="K1456" s="32" t="str">
        <f>IF($A1456="","",VLOOKUP($J1456,APOIO!$H:$J,2,FALSE))</f>
        <v/>
      </c>
      <c r="L1456" s="32" t="str">
        <f>IF($A1456="","",VLOOKUP($J1456,APOIO!$H:$J,3,FALSE))</f>
        <v/>
      </c>
      <c r="M1456" s="31"/>
      <c r="N1456" s="34"/>
      <c r="O1456" s="32"/>
      <c r="P1456" s="32"/>
      <c r="Q1456" s="32"/>
      <c r="R1456" s="32"/>
      <c r="S1456" s="35"/>
      <c r="T1456" s="91"/>
      <c r="U1456" s="60"/>
      <c r="V1456" s="36"/>
      <c r="W1456" s="31"/>
      <c r="X1456" s="59"/>
      <c r="Y1456" s="59" t="str">
        <f>IFERROR(VLOOKUP($A1456,APOIO!$A:$A,1,FALSE),"ERRO")</f>
        <v>ERRO</v>
      </c>
      <c r="Z1456"/>
    </row>
    <row r="1457" spans="1:26" ht="15" x14ac:dyDescent="0.25">
      <c r="A1457" s="94"/>
      <c r="B1457" s="32" t="str">
        <f>IF($A1457="","",VLOOKUP($A1457,APOIO!$A:$E,2,FALSE))</f>
        <v/>
      </c>
      <c r="C1457" s="94"/>
      <c r="D1457" s="32" t="str">
        <f>IF($A1457="","",INDEX(APOIO!$D:$D,MATCH(CONCATENATE($A1457,"_",$B1457,"_",$C1457),APOIO!$F:$F,0)))</f>
        <v/>
      </c>
      <c r="E1457" s="31"/>
      <c r="F1457" s="31"/>
      <c r="G1457" s="33"/>
      <c r="H1457" s="105"/>
      <c r="I1457" s="32" t="str">
        <f>IF($A1457="","",VLOOKUP($H1457,APOIO!$L:$M,2,FALSE))</f>
        <v/>
      </c>
      <c r="J1457" s="31"/>
      <c r="K1457" s="32" t="str">
        <f>IF($A1457="","",VLOOKUP($J1457,APOIO!$H:$J,2,FALSE))</f>
        <v/>
      </c>
      <c r="L1457" s="32" t="str">
        <f>IF($A1457="","",VLOOKUP($J1457,APOIO!$H:$J,3,FALSE))</f>
        <v/>
      </c>
      <c r="M1457" s="31"/>
      <c r="N1457" s="34"/>
      <c r="O1457" s="32"/>
      <c r="P1457" s="32"/>
      <c r="Q1457" s="32"/>
      <c r="R1457" s="32"/>
      <c r="S1457" s="35"/>
      <c r="T1457" s="91"/>
      <c r="U1457" s="60"/>
      <c r="V1457" s="36"/>
      <c r="W1457" s="31"/>
      <c r="X1457" s="59"/>
      <c r="Y1457" s="59" t="str">
        <f>IFERROR(VLOOKUP($A1457,APOIO!$A:$A,1,FALSE),"ERRO")</f>
        <v>ERRO</v>
      </c>
      <c r="Z1457"/>
    </row>
    <row r="1458" spans="1:26" ht="15" x14ac:dyDescent="0.25">
      <c r="A1458" s="94"/>
      <c r="B1458" s="32" t="str">
        <f>IF($A1458="","",VLOOKUP($A1458,APOIO!$A:$E,2,FALSE))</f>
        <v/>
      </c>
      <c r="C1458" s="94"/>
      <c r="D1458" s="32" t="str">
        <f>IF($A1458="","",INDEX(APOIO!$D:$D,MATCH(CONCATENATE($A1458,"_",$B1458,"_",$C1458),APOIO!$F:$F,0)))</f>
        <v/>
      </c>
      <c r="E1458" s="31"/>
      <c r="F1458" s="31"/>
      <c r="G1458" s="33"/>
      <c r="H1458" s="105"/>
      <c r="I1458" s="32" t="str">
        <f>IF($A1458="","",VLOOKUP($H1458,APOIO!$L:$M,2,FALSE))</f>
        <v/>
      </c>
      <c r="J1458" s="31"/>
      <c r="K1458" s="32" t="str">
        <f>IF($A1458="","",VLOOKUP($J1458,APOIO!$H:$J,2,FALSE))</f>
        <v/>
      </c>
      <c r="L1458" s="32" t="str">
        <f>IF($A1458="","",VLOOKUP($J1458,APOIO!$H:$J,3,FALSE))</f>
        <v/>
      </c>
      <c r="M1458" s="31"/>
      <c r="N1458" s="34"/>
      <c r="O1458" s="32"/>
      <c r="P1458" s="32"/>
      <c r="Q1458" s="32"/>
      <c r="R1458" s="32"/>
      <c r="S1458" s="35"/>
      <c r="T1458" s="91"/>
      <c r="U1458" s="60"/>
      <c r="V1458" s="36"/>
      <c r="W1458" s="31"/>
      <c r="X1458" s="59"/>
      <c r="Y1458" s="59" t="str">
        <f>IFERROR(VLOOKUP($A1458,APOIO!$A:$A,1,FALSE),"ERRO")</f>
        <v>ERRO</v>
      </c>
      <c r="Z1458"/>
    </row>
    <row r="1459" spans="1:26" ht="15" x14ac:dyDescent="0.25">
      <c r="A1459" s="94"/>
      <c r="B1459" s="32" t="str">
        <f>IF($A1459="","",VLOOKUP($A1459,APOIO!$A:$E,2,FALSE))</f>
        <v/>
      </c>
      <c r="C1459" s="94"/>
      <c r="D1459" s="32" t="str">
        <f>IF($A1459="","",INDEX(APOIO!$D:$D,MATCH(CONCATENATE($A1459,"_",$B1459,"_",$C1459),APOIO!$F:$F,0)))</f>
        <v/>
      </c>
      <c r="E1459" s="31"/>
      <c r="F1459" s="31"/>
      <c r="G1459" s="33"/>
      <c r="H1459" s="105"/>
      <c r="I1459" s="32" t="str">
        <f>IF($A1459="","",VLOOKUP($H1459,APOIO!$L:$M,2,FALSE))</f>
        <v/>
      </c>
      <c r="J1459" s="31"/>
      <c r="K1459" s="32" t="str">
        <f>IF($A1459="","",VLOOKUP($J1459,APOIO!$H:$J,2,FALSE))</f>
        <v/>
      </c>
      <c r="L1459" s="32" t="str">
        <f>IF($A1459="","",VLOOKUP($J1459,APOIO!$H:$J,3,FALSE))</f>
        <v/>
      </c>
      <c r="M1459" s="31"/>
      <c r="N1459" s="34"/>
      <c r="O1459" s="32"/>
      <c r="P1459" s="32"/>
      <c r="Q1459" s="32"/>
      <c r="R1459" s="32"/>
      <c r="S1459" s="35"/>
      <c r="T1459" s="91"/>
      <c r="U1459" s="60"/>
      <c r="V1459" s="36"/>
      <c r="W1459" s="31"/>
      <c r="X1459" s="59"/>
      <c r="Y1459" s="59" t="str">
        <f>IFERROR(VLOOKUP($A1459,APOIO!$A:$A,1,FALSE),"ERRO")</f>
        <v>ERRO</v>
      </c>
      <c r="Z1459"/>
    </row>
    <row r="1460" spans="1:26" ht="15" x14ac:dyDescent="0.25">
      <c r="A1460" s="94"/>
      <c r="B1460" s="32" t="str">
        <f>IF($A1460="","",VLOOKUP($A1460,APOIO!$A:$E,2,FALSE))</f>
        <v/>
      </c>
      <c r="C1460" s="94"/>
      <c r="D1460" s="32" t="str">
        <f>IF($A1460="","",INDEX(APOIO!$D:$D,MATCH(CONCATENATE($A1460,"_",$B1460,"_",$C1460),APOIO!$F:$F,0)))</f>
        <v/>
      </c>
      <c r="E1460" s="31"/>
      <c r="F1460" s="31"/>
      <c r="G1460" s="33"/>
      <c r="H1460" s="105"/>
      <c r="I1460" s="32" t="str">
        <f>IF($A1460="","",VLOOKUP($H1460,APOIO!$L:$M,2,FALSE))</f>
        <v/>
      </c>
      <c r="J1460" s="31"/>
      <c r="K1460" s="32" t="str">
        <f>IF($A1460="","",VLOOKUP($J1460,APOIO!$H:$J,2,FALSE))</f>
        <v/>
      </c>
      <c r="L1460" s="32" t="str">
        <f>IF($A1460="","",VLOOKUP($J1460,APOIO!$H:$J,3,FALSE))</f>
        <v/>
      </c>
      <c r="M1460" s="31"/>
      <c r="N1460" s="34"/>
      <c r="O1460" s="32"/>
      <c r="P1460" s="32"/>
      <c r="Q1460" s="32"/>
      <c r="R1460" s="32"/>
      <c r="S1460" s="35"/>
      <c r="T1460" s="91"/>
      <c r="U1460" s="60"/>
      <c r="V1460" s="36"/>
      <c r="W1460" s="31"/>
      <c r="X1460" s="59"/>
      <c r="Y1460" s="59" t="str">
        <f>IFERROR(VLOOKUP($A1460,APOIO!$A:$A,1,FALSE),"ERRO")</f>
        <v>ERRO</v>
      </c>
      <c r="Z1460"/>
    </row>
    <row r="1461" spans="1:26" ht="15" x14ac:dyDescent="0.25">
      <c r="A1461" s="94"/>
      <c r="B1461" s="32" t="str">
        <f>IF($A1461="","",VLOOKUP($A1461,APOIO!$A:$E,2,FALSE))</f>
        <v/>
      </c>
      <c r="C1461" s="94"/>
      <c r="D1461" s="32" t="str">
        <f>IF($A1461="","",INDEX(APOIO!$D:$D,MATCH(CONCATENATE($A1461,"_",$B1461,"_",$C1461),APOIO!$F:$F,0)))</f>
        <v/>
      </c>
      <c r="E1461" s="31"/>
      <c r="F1461" s="31"/>
      <c r="G1461" s="33"/>
      <c r="H1461" s="105"/>
      <c r="I1461" s="32" t="str">
        <f>IF($A1461="","",VLOOKUP($H1461,APOIO!$L:$M,2,FALSE))</f>
        <v/>
      </c>
      <c r="J1461" s="31"/>
      <c r="K1461" s="32" t="str">
        <f>IF($A1461="","",VLOOKUP($J1461,APOIO!$H:$J,2,FALSE))</f>
        <v/>
      </c>
      <c r="L1461" s="32" t="str">
        <f>IF($A1461="","",VLOOKUP($J1461,APOIO!$H:$J,3,FALSE))</f>
        <v/>
      </c>
      <c r="M1461" s="31"/>
      <c r="N1461" s="34"/>
      <c r="O1461" s="32"/>
      <c r="P1461" s="32"/>
      <c r="Q1461" s="32"/>
      <c r="R1461" s="32"/>
      <c r="S1461" s="35"/>
      <c r="T1461" s="91"/>
      <c r="U1461" s="60"/>
      <c r="V1461" s="36"/>
      <c r="W1461" s="31"/>
      <c r="X1461" s="59"/>
      <c r="Y1461" s="59" t="str">
        <f>IFERROR(VLOOKUP($A1461,APOIO!$A:$A,1,FALSE),"ERRO")</f>
        <v>ERRO</v>
      </c>
      <c r="Z1461"/>
    </row>
    <row r="1462" spans="1:26" ht="15" x14ac:dyDescent="0.25">
      <c r="A1462" s="94"/>
      <c r="B1462" s="32" t="str">
        <f>IF($A1462="","",VLOOKUP($A1462,APOIO!$A:$E,2,FALSE))</f>
        <v/>
      </c>
      <c r="C1462" s="94"/>
      <c r="D1462" s="32" t="str">
        <f>IF($A1462="","",INDEX(APOIO!$D:$D,MATCH(CONCATENATE($A1462,"_",$B1462,"_",$C1462),APOIO!$F:$F,0)))</f>
        <v/>
      </c>
      <c r="E1462" s="31"/>
      <c r="F1462" s="31"/>
      <c r="G1462" s="33"/>
      <c r="H1462" s="105"/>
      <c r="I1462" s="32" t="str">
        <f>IF($A1462="","",VLOOKUP($H1462,APOIO!$L:$M,2,FALSE))</f>
        <v/>
      </c>
      <c r="J1462" s="31"/>
      <c r="K1462" s="32" t="str">
        <f>IF($A1462="","",VLOOKUP($J1462,APOIO!$H:$J,2,FALSE))</f>
        <v/>
      </c>
      <c r="L1462" s="32" t="str">
        <f>IF($A1462="","",VLOOKUP($J1462,APOIO!$H:$J,3,FALSE))</f>
        <v/>
      </c>
      <c r="M1462" s="31"/>
      <c r="N1462" s="34"/>
      <c r="O1462" s="32"/>
      <c r="P1462" s="32"/>
      <c r="Q1462" s="32"/>
      <c r="R1462" s="32"/>
      <c r="S1462" s="35"/>
      <c r="T1462" s="91"/>
      <c r="U1462" s="60"/>
      <c r="V1462" s="36"/>
      <c r="W1462" s="31"/>
      <c r="X1462" s="59"/>
      <c r="Y1462" s="59" t="str">
        <f>IFERROR(VLOOKUP($A1462,APOIO!$A:$A,1,FALSE),"ERRO")</f>
        <v>ERRO</v>
      </c>
      <c r="Z1462"/>
    </row>
    <row r="1463" spans="1:26" ht="15" x14ac:dyDescent="0.25">
      <c r="A1463" s="94"/>
      <c r="B1463" s="32" t="str">
        <f>IF($A1463="","",VLOOKUP($A1463,APOIO!$A:$E,2,FALSE))</f>
        <v/>
      </c>
      <c r="C1463" s="94"/>
      <c r="D1463" s="32" t="str">
        <f>IF($A1463="","",INDEX(APOIO!$D:$D,MATCH(CONCATENATE($A1463,"_",$B1463,"_",$C1463),APOIO!$F:$F,0)))</f>
        <v/>
      </c>
      <c r="E1463" s="31"/>
      <c r="F1463" s="31"/>
      <c r="G1463" s="33"/>
      <c r="H1463" s="105"/>
      <c r="I1463" s="32" t="str">
        <f>IF($A1463="","",VLOOKUP($H1463,APOIO!$L:$M,2,FALSE))</f>
        <v/>
      </c>
      <c r="J1463" s="31"/>
      <c r="K1463" s="32" t="str">
        <f>IF($A1463="","",VLOOKUP($J1463,APOIO!$H:$J,2,FALSE))</f>
        <v/>
      </c>
      <c r="L1463" s="32" t="str">
        <f>IF($A1463="","",VLOOKUP($J1463,APOIO!$H:$J,3,FALSE))</f>
        <v/>
      </c>
      <c r="M1463" s="31"/>
      <c r="N1463" s="34"/>
      <c r="O1463" s="32"/>
      <c r="P1463" s="32"/>
      <c r="Q1463" s="32"/>
      <c r="R1463" s="32"/>
      <c r="S1463" s="35"/>
      <c r="T1463" s="91"/>
      <c r="U1463" s="60"/>
      <c r="V1463" s="36"/>
      <c r="W1463" s="31"/>
      <c r="X1463" s="59"/>
      <c r="Y1463" s="59" t="str">
        <f>IFERROR(VLOOKUP($A1463,APOIO!$A:$A,1,FALSE),"ERRO")</f>
        <v>ERRO</v>
      </c>
      <c r="Z1463"/>
    </row>
    <row r="1464" spans="1:26" ht="15" x14ac:dyDescent="0.25">
      <c r="A1464" s="94"/>
      <c r="B1464" s="32" t="str">
        <f>IF($A1464="","",VLOOKUP($A1464,APOIO!$A:$E,2,FALSE))</f>
        <v/>
      </c>
      <c r="C1464" s="94"/>
      <c r="D1464" s="32" t="str">
        <f>IF($A1464="","",INDEX(APOIO!$D:$D,MATCH(CONCATENATE($A1464,"_",$B1464,"_",$C1464),APOIO!$F:$F,0)))</f>
        <v/>
      </c>
      <c r="E1464" s="31"/>
      <c r="F1464" s="31"/>
      <c r="G1464" s="33"/>
      <c r="H1464" s="105"/>
      <c r="I1464" s="32" t="str">
        <f>IF($A1464="","",VLOOKUP($H1464,APOIO!$L:$M,2,FALSE))</f>
        <v/>
      </c>
      <c r="J1464" s="31"/>
      <c r="K1464" s="32" t="str">
        <f>IF($A1464="","",VLOOKUP($J1464,APOIO!$H:$J,2,FALSE))</f>
        <v/>
      </c>
      <c r="L1464" s="32" t="str">
        <f>IF($A1464="","",VLOOKUP($J1464,APOIO!$H:$J,3,FALSE))</f>
        <v/>
      </c>
      <c r="M1464" s="31"/>
      <c r="N1464" s="34"/>
      <c r="O1464" s="32"/>
      <c r="P1464" s="32"/>
      <c r="Q1464" s="32"/>
      <c r="R1464" s="32"/>
      <c r="S1464" s="35"/>
      <c r="T1464" s="91"/>
      <c r="U1464" s="60"/>
      <c r="V1464" s="36"/>
      <c r="W1464" s="31"/>
      <c r="X1464" s="59"/>
      <c r="Y1464" s="59" t="str">
        <f>IFERROR(VLOOKUP($A1464,APOIO!$A:$A,1,FALSE),"ERRO")</f>
        <v>ERRO</v>
      </c>
      <c r="Z1464"/>
    </row>
    <row r="1465" spans="1:26" ht="15" x14ac:dyDescent="0.25">
      <c r="A1465" s="94"/>
      <c r="B1465" s="32" t="str">
        <f>IF($A1465="","",VLOOKUP($A1465,APOIO!$A:$E,2,FALSE))</f>
        <v/>
      </c>
      <c r="C1465" s="94"/>
      <c r="D1465" s="32" t="str">
        <f>IF($A1465="","",INDEX(APOIO!$D:$D,MATCH(CONCATENATE($A1465,"_",$B1465,"_",$C1465),APOIO!$F:$F,0)))</f>
        <v/>
      </c>
      <c r="E1465" s="31"/>
      <c r="F1465" s="31"/>
      <c r="G1465" s="33"/>
      <c r="H1465" s="105"/>
      <c r="I1465" s="32" t="str">
        <f>IF($A1465="","",VLOOKUP($H1465,APOIO!$L:$M,2,FALSE))</f>
        <v/>
      </c>
      <c r="J1465" s="31"/>
      <c r="K1465" s="32" t="str">
        <f>IF($A1465="","",VLOOKUP($J1465,APOIO!$H:$J,2,FALSE))</f>
        <v/>
      </c>
      <c r="L1465" s="32" t="str">
        <f>IF($A1465="","",VLOOKUP($J1465,APOIO!$H:$J,3,FALSE))</f>
        <v/>
      </c>
      <c r="M1465" s="31"/>
      <c r="N1465" s="34"/>
      <c r="O1465" s="32"/>
      <c r="P1465" s="32"/>
      <c r="Q1465" s="32"/>
      <c r="R1465" s="32"/>
      <c r="S1465" s="35"/>
      <c r="T1465" s="91"/>
      <c r="U1465" s="60"/>
      <c r="V1465" s="36"/>
      <c r="W1465" s="31"/>
      <c r="X1465" s="59"/>
      <c r="Y1465" s="59" t="str">
        <f>IFERROR(VLOOKUP($A1465,APOIO!$A:$A,1,FALSE),"ERRO")</f>
        <v>ERRO</v>
      </c>
      <c r="Z1465"/>
    </row>
    <row r="1466" spans="1:26" ht="15" x14ac:dyDescent="0.25">
      <c r="A1466" s="94"/>
      <c r="B1466" s="32" t="str">
        <f>IF($A1466="","",VLOOKUP($A1466,APOIO!$A:$E,2,FALSE))</f>
        <v/>
      </c>
      <c r="C1466" s="94"/>
      <c r="D1466" s="32" t="str">
        <f>IF($A1466="","",INDEX(APOIO!$D:$D,MATCH(CONCATENATE($A1466,"_",$B1466,"_",$C1466),APOIO!$F:$F,0)))</f>
        <v/>
      </c>
      <c r="E1466" s="31"/>
      <c r="F1466" s="31"/>
      <c r="G1466" s="33"/>
      <c r="H1466" s="105"/>
      <c r="I1466" s="32" t="str">
        <f>IF($A1466="","",VLOOKUP($H1466,APOIO!$L:$M,2,FALSE))</f>
        <v/>
      </c>
      <c r="J1466" s="31"/>
      <c r="K1466" s="32" t="str">
        <f>IF($A1466="","",VLOOKUP($J1466,APOIO!$H:$J,2,FALSE))</f>
        <v/>
      </c>
      <c r="L1466" s="32" t="str">
        <f>IF($A1466="","",VLOOKUP($J1466,APOIO!$H:$J,3,FALSE))</f>
        <v/>
      </c>
      <c r="M1466" s="31"/>
      <c r="N1466" s="34"/>
      <c r="O1466" s="32"/>
      <c r="P1466" s="32"/>
      <c r="Q1466" s="32"/>
      <c r="R1466" s="32"/>
      <c r="S1466" s="35"/>
      <c r="T1466" s="91"/>
      <c r="U1466" s="60"/>
      <c r="V1466" s="36"/>
      <c r="W1466" s="31"/>
      <c r="X1466" s="59"/>
      <c r="Y1466" s="59" t="str">
        <f>IFERROR(VLOOKUP($A1466,APOIO!$A:$A,1,FALSE),"ERRO")</f>
        <v>ERRO</v>
      </c>
      <c r="Z1466"/>
    </row>
    <row r="1467" spans="1:26" ht="15" x14ac:dyDescent="0.25">
      <c r="A1467" s="94"/>
      <c r="B1467" s="32" t="str">
        <f>IF($A1467="","",VLOOKUP($A1467,APOIO!$A:$E,2,FALSE))</f>
        <v/>
      </c>
      <c r="C1467" s="94"/>
      <c r="D1467" s="32" t="str">
        <f>IF($A1467="","",INDEX(APOIO!$D:$D,MATCH(CONCATENATE($A1467,"_",$B1467,"_",$C1467),APOIO!$F:$F,0)))</f>
        <v/>
      </c>
      <c r="E1467" s="31"/>
      <c r="F1467" s="31"/>
      <c r="G1467" s="33"/>
      <c r="H1467" s="105"/>
      <c r="I1467" s="32" t="str">
        <f>IF($A1467="","",VLOOKUP($H1467,APOIO!$L:$M,2,FALSE))</f>
        <v/>
      </c>
      <c r="J1467" s="31"/>
      <c r="K1467" s="32" t="str">
        <f>IF($A1467="","",VLOOKUP($J1467,APOIO!$H:$J,2,FALSE))</f>
        <v/>
      </c>
      <c r="L1467" s="32" t="str">
        <f>IF($A1467="","",VLOOKUP($J1467,APOIO!$H:$J,3,FALSE))</f>
        <v/>
      </c>
      <c r="M1467" s="31"/>
      <c r="N1467" s="34"/>
      <c r="O1467" s="32"/>
      <c r="P1467" s="32"/>
      <c r="Q1467" s="32"/>
      <c r="R1467" s="32"/>
      <c r="S1467" s="35"/>
      <c r="T1467" s="91"/>
      <c r="U1467" s="60"/>
      <c r="V1467" s="36"/>
      <c r="W1467" s="31"/>
      <c r="X1467" s="59"/>
      <c r="Y1467" s="59" t="str">
        <f>IFERROR(VLOOKUP($A1467,APOIO!$A:$A,1,FALSE),"ERRO")</f>
        <v>ERRO</v>
      </c>
      <c r="Z1467"/>
    </row>
    <row r="1468" spans="1:26" ht="15" x14ac:dyDescent="0.25">
      <c r="A1468" s="94"/>
      <c r="B1468" s="32" t="str">
        <f>IF($A1468="","",VLOOKUP($A1468,APOIO!$A:$E,2,FALSE))</f>
        <v/>
      </c>
      <c r="C1468" s="94"/>
      <c r="D1468" s="32" t="str">
        <f>IF($A1468="","",INDEX(APOIO!$D:$D,MATCH(CONCATENATE($A1468,"_",$B1468,"_",$C1468),APOIO!$F:$F,0)))</f>
        <v/>
      </c>
      <c r="E1468" s="31"/>
      <c r="F1468" s="31"/>
      <c r="G1468" s="33"/>
      <c r="H1468" s="105"/>
      <c r="I1468" s="32" t="str">
        <f>IF($A1468="","",VLOOKUP($H1468,APOIO!$L:$M,2,FALSE))</f>
        <v/>
      </c>
      <c r="J1468" s="31"/>
      <c r="K1468" s="32" t="str">
        <f>IF($A1468="","",VLOOKUP($J1468,APOIO!$H:$J,2,FALSE))</f>
        <v/>
      </c>
      <c r="L1468" s="32" t="str">
        <f>IF($A1468="","",VLOOKUP($J1468,APOIO!$H:$J,3,FALSE))</f>
        <v/>
      </c>
      <c r="M1468" s="31"/>
      <c r="N1468" s="34"/>
      <c r="O1468" s="32"/>
      <c r="P1468" s="32"/>
      <c r="Q1468" s="32"/>
      <c r="R1468" s="32"/>
      <c r="S1468" s="35"/>
      <c r="T1468" s="91"/>
      <c r="U1468" s="60"/>
      <c r="V1468" s="36"/>
      <c r="W1468" s="31"/>
      <c r="X1468" s="59"/>
      <c r="Y1468" s="59" t="str">
        <f>IFERROR(VLOOKUP($A1468,APOIO!$A:$A,1,FALSE),"ERRO")</f>
        <v>ERRO</v>
      </c>
      <c r="Z1468"/>
    </row>
    <row r="1469" spans="1:26" ht="15" x14ac:dyDescent="0.25">
      <c r="A1469" s="94"/>
      <c r="B1469" s="32" t="str">
        <f>IF($A1469="","",VLOOKUP($A1469,APOIO!$A:$E,2,FALSE))</f>
        <v/>
      </c>
      <c r="C1469" s="94"/>
      <c r="D1469" s="32" t="str">
        <f>IF($A1469="","",INDEX(APOIO!$D:$D,MATCH(CONCATENATE($A1469,"_",$B1469,"_",$C1469),APOIO!$F:$F,0)))</f>
        <v/>
      </c>
      <c r="E1469" s="31"/>
      <c r="F1469" s="31"/>
      <c r="G1469" s="33"/>
      <c r="H1469" s="105"/>
      <c r="I1469" s="32" t="str">
        <f>IF($A1469="","",VLOOKUP($H1469,APOIO!$L:$M,2,FALSE))</f>
        <v/>
      </c>
      <c r="J1469" s="31"/>
      <c r="K1469" s="32" t="str">
        <f>IF($A1469="","",VLOOKUP($J1469,APOIO!$H:$J,2,FALSE))</f>
        <v/>
      </c>
      <c r="L1469" s="32" t="str">
        <f>IF($A1469="","",VLOOKUP($J1469,APOIO!$H:$J,3,FALSE))</f>
        <v/>
      </c>
      <c r="M1469" s="31"/>
      <c r="N1469" s="34"/>
      <c r="O1469" s="32"/>
      <c r="P1469" s="32"/>
      <c r="Q1469" s="32"/>
      <c r="R1469" s="32"/>
      <c r="S1469" s="35"/>
      <c r="T1469" s="91"/>
      <c r="U1469" s="60"/>
      <c r="V1469" s="36"/>
      <c r="W1469" s="31"/>
      <c r="X1469" s="59"/>
      <c r="Y1469" s="59" t="str">
        <f>IFERROR(VLOOKUP($A1469,APOIO!$A:$A,1,FALSE),"ERRO")</f>
        <v>ERRO</v>
      </c>
      <c r="Z1469"/>
    </row>
    <row r="1470" spans="1:26" ht="15" x14ac:dyDescent="0.25">
      <c r="A1470" s="94"/>
      <c r="B1470" s="32" t="str">
        <f>IF($A1470="","",VLOOKUP($A1470,APOIO!$A:$E,2,FALSE))</f>
        <v/>
      </c>
      <c r="C1470" s="94"/>
      <c r="D1470" s="32" t="str">
        <f>IF($A1470="","",INDEX(APOIO!$D:$D,MATCH(CONCATENATE($A1470,"_",$B1470,"_",$C1470),APOIO!$F:$F,0)))</f>
        <v/>
      </c>
      <c r="E1470" s="31"/>
      <c r="F1470" s="31"/>
      <c r="G1470" s="33"/>
      <c r="H1470" s="105"/>
      <c r="I1470" s="32" t="str">
        <f>IF($A1470="","",VLOOKUP($H1470,APOIO!$L:$M,2,FALSE))</f>
        <v/>
      </c>
      <c r="J1470" s="31"/>
      <c r="K1470" s="32" t="str">
        <f>IF($A1470="","",VLOOKUP($J1470,APOIO!$H:$J,2,FALSE))</f>
        <v/>
      </c>
      <c r="L1470" s="32" t="str">
        <f>IF($A1470="","",VLOOKUP($J1470,APOIO!$H:$J,3,FALSE))</f>
        <v/>
      </c>
      <c r="M1470" s="31"/>
      <c r="N1470" s="34"/>
      <c r="O1470" s="32"/>
      <c r="P1470" s="32"/>
      <c r="Q1470" s="32"/>
      <c r="R1470" s="32"/>
      <c r="S1470" s="35"/>
      <c r="T1470" s="91"/>
      <c r="U1470" s="60"/>
      <c r="V1470" s="36"/>
      <c r="W1470" s="31"/>
      <c r="X1470" s="59"/>
      <c r="Y1470" s="59" t="str">
        <f>IFERROR(VLOOKUP($A1470,APOIO!$A:$A,1,FALSE),"ERRO")</f>
        <v>ERRO</v>
      </c>
      <c r="Z1470"/>
    </row>
    <row r="1471" spans="1:26" ht="15" x14ac:dyDescent="0.25">
      <c r="A1471" s="94"/>
      <c r="B1471" s="32" t="str">
        <f>IF($A1471="","",VLOOKUP($A1471,APOIO!$A:$E,2,FALSE))</f>
        <v/>
      </c>
      <c r="C1471" s="94"/>
      <c r="D1471" s="32" t="str">
        <f>IF($A1471="","",INDEX(APOIO!$D:$D,MATCH(CONCATENATE($A1471,"_",$B1471,"_",$C1471),APOIO!$F:$F,0)))</f>
        <v/>
      </c>
      <c r="E1471" s="31"/>
      <c r="F1471" s="31"/>
      <c r="G1471" s="33"/>
      <c r="H1471" s="105"/>
      <c r="I1471" s="32" t="str">
        <f>IF($A1471="","",VLOOKUP($H1471,APOIO!$L:$M,2,FALSE))</f>
        <v/>
      </c>
      <c r="J1471" s="31"/>
      <c r="K1471" s="32" t="str">
        <f>IF($A1471="","",VLOOKUP($J1471,APOIO!$H:$J,2,FALSE))</f>
        <v/>
      </c>
      <c r="L1471" s="32" t="str">
        <f>IF($A1471="","",VLOOKUP($J1471,APOIO!$H:$J,3,FALSE))</f>
        <v/>
      </c>
      <c r="M1471" s="31"/>
      <c r="N1471" s="34"/>
      <c r="O1471" s="32"/>
      <c r="P1471" s="32"/>
      <c r="Q1471" s="32"/>
      <c r="R1471" s="32"/>
      <c r="S1471" s="35"/>
      <c r="T1471" s="91"/>
      <c r="U1471" s="60"/>
      <c r="V1471" s="36"/>
      <c r="W1471" s="31"/>
      <c r="X1471" s="59"/>
      <c r="Y1471" s="59" t="str">
        <f>IFERROR(VLOOKUP($A1471,APOIO!$A:$A,1,FALSE),"ERRO")</f>
        <v>ERRO</v>
      </c>
      <c r="Z1471"/>
    </row>
    <row r="1472" spans="1:26" ht="15" x14ac:dyDescent="0.25">
      <c r="A1472" s="94"/>
      <c r="B1472" s="32" t="str">
        <f>IF($A1472="","",VLOOKUP($A1472,APOIO!$A:$E,2,FALSE))</f>
        <v/>
      </c>
      <c r="C1472" s="94"/>
      <c r="D1472" s="32" t="str">
        <f>IF($A1472="","",INDEX(APOIO!$D:$D,MATCH(CONCATENATE($A1472,"_",$B1472,"_",$C1472),APOIO!$F:$F,0)))</f>
        <v/>
      </c>
      <c r="E1472" s="31"/>
      <c r="F1472" s="31"/>
      <c r="G1472" s="33"/>
      <c r="H1472" s="105"/>
      <c r="I1472" s="32" t="str">
        <f>IF($A1472="","",VLOOKUP($H1472,APOIO!$L:$M,2,FALSE))</f>
        <v/>
      </c>
      <c r="J1472" s="31"/>
      <c r="K1472" s="32" t="str">
        <f>IF($A1472="","",VLOOKUP($J1472,APOIO!$H:$J,2,FALSE))</f>
        <v/>
      </c>
      <c r="L1472" s="32" t="str">
        <f>IF($A1472="","",VLOOKUP($J1472,APOIO!$H:$J,3,FALSE))</f>
        <v/>
      </c>
      <c r="M1472" s="31"/>
      <c r="N1472" s="34"/>
      <c r="O1472" s="32"/>
      <c r="P1472" s="32"/>
      <c r="Q1472" s="32"/>
      <c r="R1472" s="32"/>
      <c r="S1472" s="35"/>
      <c r="T1472" s="91"/>
      <c r="U1472" s="60"/>
      <c r="V1472" s="36"/>
      <c r="W1472" s="31"/>
      <c r="X1472" s="59"/>
      <c r="Y1472" s="59" t="str">
        <f>IFERROR(VLOOKUP($A1472,APOIO!$A:$A,1,FALSE),"ERRO")</f>
        <v>ERRO</v>
      </c>
      <c r="Z1472"/>
    </row>
    <row r="1473" spans="1:26" ht="15" x14ac:dyDescent="0.25">
      <c r="A1473" s="94"/>
      <c r="B1473" s="32" t="str">
        <f>IF($A1473="","",VLOOKUP($A1473,APOIO!$A:$E,2,FALSE))</f>
        <v/>
      </c>
      <c r="C1473" s="94"/>
      <c r="D1473" s="32" t="str">
        <f>IF($A1473="","",INDEX(APOIO!$D:$D,MATCH(CONCATENATE($A1473,"_",$B1473,"_",$C1473),APOIO!$F:$F,0)))</f>
        <v/>
      </c>
      <c r="E1473" s="31"/>
      <c r="F1473" s="31"/>
      <c r="G1473" s="33"/>
      <c r="H1473" s="105"/>
      <c r="I1473" s="32" t="str">
        <f>IF($A1473="","",VLOOKUP($H1473,APOIO!$L:$M,2,FALSE))</f>
        <v/>
      </c>
      <c r="J1473" s="31"/>
      <c r="K1473" s="32" t="str">
        <f>IF($A1473="","",VLOOKUP($J1473,APOIO!$H:$J,2,FALSE))</f>
        <v/>
      </c>
      <c r="L1473" s="32" t="str">
        <f>IF($A1473="","",VLOOKUP($J1473,APOIO!$H:$J,3,FALSE))</f>
        <v/>
      </c>
      <c r="M1473" s="31"/>
      <c r="N1473" s="34"/>
      <c r="O1473" s="32"/>
      <c r="P1473" s="32"/>
      <c r="Q1473" s="32"/>
      <c r="R1473" s="32"/>
      <c r="S1473" s="35"/>
      <c r="T1473" s="91"/>
      <c r="U1473" s="60"/>
      <c r="V1473" s="36"/>
      <c r="W1473" s="31"/>
      <c r="X1473" s="59"/>
      <c r="Y1473" s="59" t="str">
        <f>IFERROR(VLOOKUP($A1473,APOIO!$A:$A,1,FALSE),"ERRO")</f>
        <v>ERRO</v>
      </c>
      <c r="Z1473"/>
    </row>
    <row r="1474" spans="1:26" ht="15" x14ac:dyDescent="0.25">
      <c r="A1474" s="94"/>
      <c r="B1474" s="32" t="str">
        <f>IF($A1474="","",VLOOKUP($A1474,APOIO!$A:$E,2,FALSE))</f>
        <v/>
      </c>
      <c r="C1474" s="94"/>
      <c r="D1474" s="32" t="str">
        <f>IF($A1474="","",INDEX(APOIO!$D:$D,MATCH(CONCATENATE($A1474,"_",$B1474,"_",$C1474),APOIO!$F:$F,0)))</f>
        <v/>
      </c>
      <c r="E1474" s="31"/>
      <c r="F1474" s="31"/>
      <c r="G1474" s="33"/>
      <c r="H1474" s="105"/>
      <c r="I1474" s="32" t="str">
        <f>IF($A1474="","",VLOOKUP($H1474,APOIO!$L:$M,2,FALSE))</f>
        <v/>
      </c>
      <c r="J1474" s="31"/>
      <c r="K1474" s="32" t="str">
        <f>IF($A1474="","",VLOOKUP($J1474,APOIO!$H:$J,2,FALSE))</f>
        <v/>
      </c>
      <c r="L1474" s="32" t="str">
        <f>IF($A1474="","",VLOOKUP($J1474,APOIO!$H:$J,3,FALSE))</f>
        <v/>
      </c>
      <c r="M1474" s="31"/>
      <c r="N1474" s="34"/>
      <c r="O1474" s="32"/>
      <c r="P1474" s="32"/>
      <c r="Q1474" s="32"/>
      <c r="R1474" s="32"/>
      <c r="S1474" s="35"/>
      <c r="T1474" s="91"/>
      <c r="U1474" s="60"/>
      <c r="V1474" s="36"/>
      <c r="W1474" s="31"/>
      <c r="X1474" s="59"/>
      <c r="Y1474" s="59" t="str">
        <f>IFERROR(VLOOKUP($A1474,APOIO!$A:$A,1,FALSE),"ERRO")</f>
        <v>ERRO</v>
      </c>
      <c r="Z1474"/>
    </row>
    <row r="1475" spans="1:26" ht="15" x14ac:dyDescent="0.25">
      <c r="A1475" s="94"/>
      <c r="B1475" s="32" t="str">
        <f>IF($A1475="","",VLOOKUP($A1475,APOIO!$A:$E,2,FALSE))</f>
        <v/>
      </c>
      <c r="C1475" s="94"/>
      <c r="D1475" s="32" t="str">
        <f>IF($A1475="","",INDEX(APOIO!$D:$D,MATCH(CONCATENATE($A1475,"_",$B1475,"_",$C1475),APOIO!$F:$F,0)))</f>
        <v/>
      </c>
      <c r="E1475" s="31"/>
      <c r="F1475" s="31"/>
      <c r="G1475" s="33"/>
      <c r="H1475" s="105"/>
      <c r="I1475" s="32" t="str">
        <f>IF($A1475="","",VLOOKUP($H1475,APOIO!$L:$M,2,FALSE))</f>
        <v/>
      </c>
      <c r="J1475" s="31"/>
      <c r="K1475" s="32" t="str">
        <f>IF($A1475="","",VLOOKUP($J1475,APOIO!$H:$J,2,FALSE))</f>
        <v/>
      </c>
      <c r="L1475" s="32" t="str">
        <f>IF($A1475="","",VLOOKUP($J1475,APOIO!$H:$J,3,FALSE))</f>
        <v/>
      </c>
      <c r="M1475" s="31"/>
      <c r="N1475" s="34"/>
      <c r="O1475" s="32"/>
      <c r="P1475" s="32"/>
      <c r="Q1475" s="32"/>
      <c r="R1475" s="32"/>
      <c r="S1475" s="35"/>
      <c r="T1475" s="91"/>
      <c r="U1475" s="60"/>
      <c r="V1475" s="36"/>
      <c r="W1475" s="31"/>
      <c r="X1475" s="59"/>
      <c r="Y1475" s="59" t="str">
        <f>IFERROR(VLOOKUP($A1475,APOIO!$A:$A,1,FALSE),"ERRO")</f>
        <v>ERRO</v>
      </c>
      <c r="Z1475"/>
    </row>
    <row r="1476" spans="1:26" ht="15" x14ac:dyDescent="0.25">
      <c r="A1476" s="94"/>
      <c r="B1476" s="32" t="str">
        <f>IF($A1476="","",VLOOKUP($A1476,APOIO!$A:$E,2,FALSE))</f>
        <v/>
      </c>
      <c r="C1476" s="94"/>
      <c r="D1476" s="32" t="str">
        <f>IF($A1476="","",INDEX(APOIO!$D:$D,MATCH(CONCATENATE($A1476,"_",$B1476,"_",$C1476),APOIO!$F:$F,0)))</f>
        <v/>
      </c>
      <c r="E1476" s="31"/>
      <c r="F1476" s="31"/>
      <c r="G1476" s="33"/>
      <c r="H1476" s="105"/>
      <c r="I1476" s="32" t="str">
        <f>IF($A1476="","",VLOOKUP($H1476,APOIO!$L:$M,2,FALSE))</f>
        <v/>
      </c>
      <c r="J1476" s="31"/>
      <c r="K1476" s="32" t="str">
        <f>IF($A1476="","",VLOOKUP($J1476,APOIO!$H:$J,2,FALSE))</f>
        <v/>
      </c>
      <c r="L1476" s="32" t="str">
        <f>IF($A1476="","",VLOOKUP($J1476,APOIO!$H:$J,3,FALSE))</f>
        <v/>
      </c>
      <c r="M1476" s="31"/>
      <c r="N1476" s="34"/>
      <c r="O1476" s="32"/>
      <c r="P1476" s="32"/>
      <c r="Q1476" s="32"/>
      <c r="R1476" s="32"/>
      <c r="S1476" s="35"/>
      <c r="T1476" s="91"/>
      <c r="U1476" s="60"/>
      <c r="V1476" s="36"/>
      <c r="W1476" s="31"/>
      <c r="X1476" s="59"/>
      <c r="Y1476" s="59" t="str">
        <f>IFERROR(VLOOKUP($A1476,APOIO!$A:$A,1,FALSE),"ERRO")</f>
        <v>ERRO</v>
      </c>
      <c r="Z1476"/>
    </row>
    <row r="1477" spans="1:26" ht="15" x14ac:dyDescent="0.25">
      <c r="A1477" s="94"/>
      <c r="B1477" s="32" t="str">
        <f>IF($A1477="","",VLOOKUP($A1477,APOIO!$A:$E,2,FALSE))</f>
        <v/>
      </c>
      <c r="C1477" s="94"/>
      <c r="D1477" s="32" t="str">
        <f>IF($A1477="","",INDEX(APOIO!$D:$D,MATCH(CONCATENATE($A1477,"_",$B1477,"_",$C1477),APOIO!$F:$F,0)))</f>
        <v/>
      </c>
      <c r="E1477" s="31"/>
      <c r="F1477" s="31"/>
      <c r="G1477" s="33"/>
      <c r="H1477" s="105"/>
      <c r="I1477" s="32" t="str">
        <f>IF($A1477="","",VLOOKUP($H1477,APOIO!$L:$M,2,FALSE))</f>
        <v/>
      </c>
      <c r="J1477" s="31"/>
      <c r="K1477" s="32" t="str">
        <f>IF($A1477="","",VLOOKUP($J1477,APOIO!$H:$J,2,FALSE))</f>
        <v/>
      </c>
      <c r="L1477" s="32" t="str">
        <f>IF($A1477="","",VLOOKUP($J1477,APOIO!$H:$J,3,FALSE))</f>
        <v/>
      </c>
      <c r="M1477" s="31"/>
      <c r="N1477" s="34"/>
      <c r="O1477" s="32"/>
      <c r="P1477" s="32"/>
      <c r="Q1477" s="32"/>
      <c r="R1477" s="32"/>
      <c r="S1477" s="35"/>
      <c r="T1477" s="91"/>
      <c r="U1477" s="60"/>
      <c r="V1477" s="36"/>
      <c r="W1477" s="31"/>
      <c r="X1477" s="59"/>
      <c r="Y1477" s="59" t="str">
        <f>IFERROR(VLOOKUP($A1477,APOIO!$A:$A,1,FALSE),"ERRO")</f>
        <v>ERRO</v>
      </c>
      <c r="Z1477"/>
    </row>
    <row r="1478" spans="1:26" ht="15" x14ac:dyDescent="0.25">
      <c r="A1478" s="94"/>
      <c r="B1478" s="32" t="str">
        <f>IF($A1478="","",VLOOKUP($A1478,APOIO!$A:$E,2,FALSE))</f>
        <v/>
      </c>
      <c r="C1478" s="94"/>
      <c r="D1478" s="32" t="str">
        <f>IF($A1478="","",INDEX(APOIO!$D:$D,MATCH(CONCATENATE($A1478,"_",$B1478,"_",$C1478),APOIO!$F:$F,0)))</f>
        <v/>
      </c>
      <c r="E1478" s="31"/>
      <c r="F1478" s="31"/>
      <c r="G1478" s="33"/>
      <c r="H1478" s="105"/>
      <c r="I1478" s="32" t="str">
        <f>IF($A1478="","",VLOOKUP($H1478,APOIO!$L:$M,2,FALSE))</f>
        <v/>
      </c>
      <c r="J1478" s="31"/>
      <c r="K1478" s="32" t="str">
        <f>IF($A1478="","",VLOOKUP($J1478,APOIO!$H:$J,2,FALSE))</f>
        <v/>
      </c>
      <c r="L1478" s="32" t="str">
        <f>IF($A1478="","",VLOOKUP($J1478,APOIO!$H:$J,3,FALSE))</f>
        <v/>
      </c>
      <c r="M1478" s="31"/>
      <c r="N1478" s="34"/>
      <c r="O1478" s="32"/>
      <c r="P1478" s="32"/>
      <c r="Q1478" s="32"/>
      <c r="R1478" s="32"/>
      <c r="S1478" s="35"/>
      <c r="T1478" s="91"/>
      <c r="U1478" s="60"/>
      <c r="V1478" s="36"/>
      <c r="W1478" s="31"/>
      <c r="X1478" s="59"/>
      <c r="Y1478" s="59" t="str">
        <f>IFERROR(VLOOKUP($A1478,APOIO!$A:$A,1,FALSE),"ERRO")</f>
        <v>ERRO</v>
      </c>
      <c r="Z1478"/>
    </row>
    <row r="1479" spans="1:26" ht="15" x14ac:dyDescent="0.25">
      <c r="A1479" s="94"/>
      <c r="B1479" s="32" t="str">
        <f>IF($A1479="","",VLOOKUP($A1479,APOIO!$A:$E,2,FALSE))</f>
        <v/>
      </c>
      <c r="C1479" s="94"/>
      <c r="D1479" s="32" t="str">
        <f>IF($A1479="","",INDEX(APOIO!$D:$D,MATCH(CONCATENATE($A1479,"_",$B1479,"_",$C1479),APOIO!$F:$F,0)))</f>
        <v/>
      </c>
      <c r="E1479" s="31"/>
      <c r="F1479" s="31"/>
      <c r="G1479" s="33"/>
      <c r="H1479" s="105"/>
      <c r="I1479" s="32" t="str">
        <f>IF($A1479="","",VLOOKUP($H1479,APOIO!$L:$M,2,FALSE))</f>
        <v/>
      </c>
      <c r="J1479" s="31"/>
      <c r="K1479" s="32" t="str">
        <f>IF($A1479="","",VLOOKUP($J1479,APOIO!$H:$J,2,FALSE))</f>
        <v/>
      </c>
      <c r="L1479" s="32" t="str">
        <f>IF($A1479="","",VLOOKUP($J1479,APOIO!$H:$J,3,FALSE))</f>
        <v/>
      </c>
      <c r="M1479" s="31"/>
      <c r="N1479" s="34"/>
      <c r="O1479" s="32"/>
      <c r="P1479" s="32"/>
      <c r="Q1479" s="32"/>
      <c r="R1479" s="32"/>
      <c r="S1479" s="35"/>
      <c r="T1479" s="91"/>
      <c r="U1479" s="60"/>
      <c r="V1479" s="36"/>
      <c r="W1479" s="31"/>
      <c r="X1479" s="59"/>
      <c r="Y1479" s="59" t="str">
        <f>IFERROR(VLOOKUP($A1479,APOIO!$A:$A,1,FALSE),"ERRO")</f>
        <v>ERRO</v>
      </c>
      <c r="Z1479"/>
    </row>
    <row r="1480" spans="1:26" ht="15" x14ac:dyDescent="0.25">
      <c r="A1480" s="94"/>
      <c r="B1480" s="32" t="str">
        <f>IF($A1480="","",VLOOKUP($A1480,APOIO!$A:$E,2,FALSE))</f>
        <v/>
      </c>
      <c r="C1480" s="94"/>
      <c r="D1480" s="32" t="str">
        <f>IF($A1480="","",INDEX(APOIO!$D:$D,MATCH(CONCATENATE($A1480,"_",$B1480,"_",$C1480),APOIO!$F:$F,0)))</f>
        <v/>
      </c>
      <c r="E1480" s="31"/>
      <c r="F1480" s="31"/>
      <c r="G1480" s="33"/>
      <c r="H1480" s="105"/>
      <c r="I1480" s="32" t="str">
        <f>IF($A1480="","",VLOOKUP($H1480,APOIO!$L:$M,2,FALSE))</f>
        <v/>
      </c>
      <c r="J1480" s="31"/>
      <c r="K1480" s="32" t="str">
        <f>IF($A1480="","",VLOOKUP($J1480,APOIO!$H:$J,2,FALSE))</f>
        <v/>
      </c>
      <c r="L1480" s="32" t="str">
        <f>IF($A1480="","",VLOOKUP($J1480,APOIO!$H:$J,3,FALSE))</f>
        <v/>
      </c>
      <c r="M1480" s="31"/>
      <c r="N1480" s="34"/>
      <c r="O1480" s="32"/>
      <c r="P1480" s="32"/>
      <c r="Q1480" s="32"/>
      <c r="R1480" s="32"/>
      <c r="S1480" s="35"/>
      <c r="T1480" s="91"/>
      <c r="U1480" s="60"/>
      <c r="V1480" s="36"/>
      <c r="W1480" s="31"/>
      <c r="X1480" s="59"/>
      <c r="Y1480" s="59" t="str">
        <f>IFERROR(VLOOKUP($A1480,APOIO!$A:$A,1,FALSE),"ERRO")</f>
        <v>ERRO</v>
      </c>
      <c r="Z1480"/>
    </row>
    <row r="1481" spans="1:26" ht="15" x14ac:dyDescent="0.25">
      <c r="A1481" s="94"/>
      <c r="B1481" s="32" t="str">
        <f>IF($A1481="","",VLOOKUP($A1481,APOIO!$A:$E,2,FALSE))</f>
        <v/>
      </c>
      <c r="C1481" s="94"/>
      <c r="D1481" s="32" t="str">
        <f>IF($A1481="","",INDEX(APOIO!$D:$D,MATCH(CONCATENATE($A1481,"_",$B1481,"_",$C1481),APOIO!$F:$F,0)))</f>
        <v/>
      </c>
      <c r="E1481" s="31"/>
      <c r="F1481" s="31"/>
      <c r="G1481" s="33"/>
      <c r="H1481" s="105"/>
      <c r="I1481" s="32" t="str">
        <f>IF($A1481="","",VLOOKUP($H1481,APOIO!$L:$M,2,FALSE))</f>
        <v/>
      </c>
      <c r="J1481" s="31"/>
      <c r="K1481" s="32" t="str">
        <f>IF($A1481="","",VLOOKUP($J1481,APOIO!$H:$J,2,FALSE))</f>
        <v/>
      </c>
      <c r="L1481" s="32" t="str">
        <f>IF($A1481="","",VLOOKUP($J1481,APOIO!$H:$J,3,FALSE))</f>
        <v/>
      </c>
      <c r="M1481" s="31"/>
      <c r="N1481" s="34"/>
      <c r="O1481" s="32"/>
      <c r="P1481" s="32"/>
      <c r="Q1481" s="32"/>
      <c r="R1481" s="32"/>
      <c r="S1481" s="35"/>
      <c r="T1481" s="91"/>
      <c r="U1481" s="60"/>
      <c r="V1481" s="36"/>
      <c r="W1481" s="31"/>
      <c r="X1481" s="59"/>
      <c r="Y1481" s="59" t="str">
        <f>IFERROR(VLOOKUP($A1481,APOIO!$A:$A,1,FALSE),"ERRO")</f>
        <v>ERRO</v>
      </c>
      <c r="Z1481"/>
    </row>
    <row r="1482" spans="1:26" ht="15" x14ac:dyDescent="0.25">
      <c r="A1482" s="94"/>
      <c r="B1482" s="32" t="str">
        <f>IF($A1482="","",VLOOKUP($A1482,APOIO!$A:$E,2,FALSE))</f>
        <v/>
      </c>
      <c r="C1482" s="94"/>
      <c r="D1482" s="32" t="str">
        <f>IF($A1482="","",INDEX(APOIO!$D:$D,MATCH(CONCATENATE($A1482,"_",$B1482,"_",$C1482),APOIO!$F:$F,0)))</f>
        <v/>
      </c>
      <c r="E1482" s="31"/>
      <c r="F1482" s="31"/>
      <c r="G1482" s="33"/>
      <c r="H1482" s="105"/>
      <c r="I1482" s="32" t="str">
        <f>IF($A1482="","",VLOOKUP($H1482,APOIO!$L:$M,2,FALSE))</f>
        <v/>
      </c>
      <c r="J1482" s="31"/>
      <c r="K1482" s="32" t="str">
        <f>IF($A1482="","",VLOOKUP($J1482,APOIO!$H:$J,2,FALSE))</f>
        <v/>
      </c>
      <c r="L1482" s="32" t="str">
        <f>IF($A1482="","",VLOOKUP($J1482,APOIO!$H:$J,3,FALSE))</f>
        <v/>
      </c>
      <c r="M1482" s="31"/>
      <c r="N1482" s="34"/>
      <c r="O1482" s="32"/>
      <c r="P1482" s="32"/>
      <c r="Q1482" s="32"/>
      <c r="R1482" s="32"/>
      <c r="S1482" s="35"/>
      <c r="T1482" s="91"/>
      <c r="U1482" s="60"/>
      <c r="V1482" s="36"/>
      <c r="W1482" s="31"/>
      <c r="X1482" s="59"/>
      <c r="Y1482" s="59" t="str">
        <f>IFERROR(VLOOKUP($A1482,APOIO!$A:$A,1,FALSE),"ERRO")</f>
        <v>ERRO</v>
      </c>
      <c r="Z1482"/>
    </row>
    <row r="1483" spans="1:26" ht="15" x14ac:dyDescent="0.25">
      <c r="A1483" s="94"/>
      <c r="B1483" s="32" t="str">
        <f>IF($A1483="","",VLOOKUP($A1483,APOIO!$A:$E,2,FALSE))</f>
        <v/>
      </c>
      <c r="C1483" s="94"/>
      <c r="D1483" s="32" t="str">
        <f>IF($A1483="","",INDEX(APOIO!$D:$D,MATCH(CONCATENATE($A1483,"_",$B1483,"_",$C1483),APOIO!$F:$F,0)))</f>
        <v/>
      </c>
      <c r="E1483" s="31"/>
      <c r="F1483" s="31"/>
      <c r="G1483" s="33"/>
      <c r="H1483" s="105"/>
      <c r="I1483" s="32" t="str">
        <f>IF($A1483="","",VLOOKUP($H1483,APOIO!$L:$M,2,FALSE))</f>
        <v/>
      </c>
      <c r="J1483" s="31"/>
      <c r="K1483" s="32" t="str">
        <f>IF($A1483="","",VLOOKUP($J1483,APOIO!$H:$J,2,FALSE))</f>
        <v/>
      </c>
      <c r="L1483" s="32" t="str">
        <f>IF($A1483="","",VLOOKUP($J1483,APOIO!$H:$J,3,FALSE))</f>
        <v/>
      </c>
      <c r="M1483" s="31"/>
      <c r="N1483" s="34"/>
      <c r="O1483" s="32"/>
      <c r="P1483" s="32"/>
      <c r="Q1483" s="32"/>
      <c r="R1483" s="32"/>
      <c r="S1483" s="35"/>
      <c r="T1483" s="91"/>
      <c r="U1483" s="60"/>
      <c r="V1483" s="36"/>
      <c r="W1483" s="31"/>
      <c r="X1483" s="59"/>
      <c r="Y1483" s="59" t="str">
        <f>IFERROR(VLOOKUP($A1483,APOIO!$A:$A,1,FALSE),"ERRO")</f>
        <v>ERRO</v>
      </c>
      <c r="Z1483"/>
    </row>
    <row r="1484" spans="1:26" ht="15" x14ac:dyDescent="0.25">
      <c r="A1484" s="94"/>
      <c r="B1484" s="32" t="str">
        <f>IF($A1484="","",VLOOKUP($A1484,APOIO!$A:$E,2,FALSE))</f>
        <v/>
      </c>
      <c r="C1484" s="94"/>
      <c r="D1484" s="32" t="str">
        <f>IF($A1484="","",INDEX(APOIO!$D:$D,MATCH(CONCATENATE($A1484,"_",$B1484,"_",$C1484),APOIO!$F:$F,0)))</f>
        <v/>
      </c>
      <c r="E1484" s="31"/>
      <c r="F1484" s="31"/>
      <c r="G1484" s="33"/>
      <c r="H1484" s="105"/>
      <c r="I1484" s="32" t="str">
        <f>IF($A1484="","",VLOOKUP($H1484,APOIO!$L:$M,2,FALSE))</f>
        <v/>
      </c>
      <c r="J1484" s="31"/>
      <c r="K1484" s="32" t="str">
        <f>IF($A1484="","",VLOOKUP($J1484,APOIO!$H:$J,2,FALSE))</f>
        <v/>
      </c>
      <c r="L1484" s="32" t="str">
        <f>IF($A1484="","",VLOOKUP($J1484,APOIO!$H:$J,3,FALSE))</f>
        <v/>
      </c>
      <c r="M1484" s="31"/>
      <c r="N1484" s="34"/>
      <c r="O1484" s="32"/>
      <c r="P1484" s="32"/>
      <c r="Q1484" s="32"/>
      <c r="R1484" s="32"/>
      <c r="S1484" s="35"/>
      <c r="T1484" s="91"/>
      <c r="U1484" s="60"/>
      <c r="V1484" s="36"/>
      <c r="W1484" s="31"/>
      <c r="X1484" s="59"/>
      <c r="Y1484" s="59" t="str">
        <f>IFERROR(VLOOKUP($A1484,APOIO!$A:$A,1,FALSE),"ERRO")</f>
        <v>ERRO</v>
      </c>
      <c r="Z1484"/>
    </row>
    <row r="1485" spans="1:26" ht="15" x14ac:dyDescent="0.25">
      <c r="A1485" s="94"/>
      <c r="B1485" s="32" t="str">
        <f>IF($A1485="","",VLOOKUP($A1485,APOIO!$A:$E,2,FALSE))</f>
        <v/>
      </c>
      <c r="C1485" s="94"/>
      <c r="D1485" s="32" t="str">
        <f>IF($A1485="","",INDEX(APOIO!$D:$D,MATCH(CONCATENATE($A1485,"_",$B1485,"_",$C1485),APOIO!$F:$F,0)))</f>
        <v/>
      </c>
      <c r="E1485" s="31"/>
      <c r="F1485" s="31"/>
      <c r="G1485" s="33"/>
      <c r="H1485" s="105"/>
      <c r="I1485" s="32" t="str">
        <f>IF($A1485="","",VLOOKUP($H1485,APOIO!$L:$M,2,FALSE))</f>
        <v/>
      </c>
      <c r="J1485" s="31"/>
      <c r="K1485" s="32" t="str">
        <f>IF($A1485="","",VLOOKUP($J1485,APOIO!$H:$J,2,FALSE))</f>
        <v/>
      </c>
      <c r="L1485" s="32" t="str">
        <f>IF($A1485="","",VLOOKUP($J1485,APOIO!$H:$J,3,FALSE))</f>
        <v/>
      </c>
      <c r="M1485" s="31"/>
      <c r="N1485" s="34"/>
      <c r="O1485" s="32"/>
      <c r="P1485" s="32"/>
      <c r="Q1485" s="32"/>
      <c r="R1485" s="32"/>
      <c r="S1485" s="35"/>
      <c r="T1485" s="91"/>
      <c r="U1485" s="60"/>
      <c r="V1485" s="36"/>
      <c r="W1485" s="31"/>
      <c r="X1485" s="59"/>
      <c r="Y1485" s="59" t="str">
        <f>IFERROR(VLOOKUP($A1485,APOIO!$A:$A,1,FALSE),"ERRO")</f>
        <v>ERRO</v>
      </c>
      <c r="Z1485"/>
    </row>
    <row r="1486" spans="1:26" ht="15" x14ac:dyDescent="0.25">
      <c r="A1486" s="94"/>
      <c r="B1486" s="32" t="str">
        <f>IF($A1486="","",VLOOKUP($A1486,APOIO!$A:$E,2,FALSE))</f>
        <v/>
      </c>
      <c r="C1486" s="94"/>
      <c r="D1486" s="32" t="str">
        <f>IF($A1486="","",INDEX(APOIO!$D:$D,MATCH(CONCATENATE($A1486,"_",$B1486,"_",$C1486),APOIO!$F:$F,0)))</f>
        <v/>
      </c>
      <c r="E1486" s="31"/>
      <c r="F1486" s="31"/>
      <c r="G1486" s="33"/>
      <c r="H1486" s="105"/>
      <c r="I1486" s="32" t="str">
        <f>IF($A1486="","",VLOOKUP($H1486,APOIO!$L:$M,2,FALSE))</f>
        <v/>
      </c>
      <c r="J1486" s="31"/>
      <c r="K1486" s="32" t="str">
        <f>IF($A1486="","",VLOOKUP($J1486,APOIO!$H:$J,2,FALSE))</f>
        <v/>
      </c>
      <c r="L1486" s="32" t="str">
        <f>IF($A1486="","",VLOOKUP($J1486,APOIO!$H:$J,3,FALSE))</f>
        <v/>
      </c>
      <c r="M1486" s="31"/>
      <c r="N1486" s="34"/>
      <c r="O1486" s="32"/>
      <c r="P1486" s="32"/>
      <c r="Q1486" s="32"/>
      <c r="R1486" s="32"/>
      <c r="S1486" s="35"/>
      <c r="T1486" s="91"/>
      <c r="U1486" s="60"/>
      <c r="V1486" s="36"/>
      <c r="W1486" s="31"/>
      <c r="X1486" s="59"/>
      <c r="Y1486" s="59" t="str">
        <f>IFERROR(VLOOKUP($A1486,APOIO!$A:$A,1,FALSE),"ERRO")</f>
        <v>ERRO</v>
      </c>
      <c r="Z1486"/>
    </row>
    <row r="1487" spans="1:26" ht="15" x14ac:dyDescent="0.25">
      <c r="A1487" s="94"/>
      <c r="B1487" s="32" t="str">
        <f>IF($A1487="","",VLOOKUP($A1487,APOIO!$A:$E,2,FALSE))</f>
        <v/>
      </c>
      <c r="C1487" s="94"/>
      <c r="D1487" s="32" t="str">
        <f>IF($A1487="","",INDEX(APOIO!$D:$D,MATCH(CONCATENATE($A1487,"_",$B1487,"_",$C1487),APOIO!$F:$F,0)))</f>
        <v/>
      </c>
      <c r="E1487" s="31"/>
      <c r="F1487" s="31"/>
      <c r="G1487" s="33"/>
      <c r="H1487" s="105"/>
      <c r="I1487" s="32" t="str">
        <f>IF($A1487="","",VLOOKUP($H1487,APOIO!$L:$M,2,FALSE))</f>
        <v/>
      </c>
      <c r="J1487" s="31"/>
      <c r="K1487" s="32" t="str">
        <f>IF($A1487="","",VLOOKUP($J1487,APOIO!$H:$J,2,FALSE))</f>
        <v/>
      </c>
      <c r="L1487" s="32" t="str">
        <f>IF($A1487="","",VLOOKUP($J1487,APOIO!$H:$J,3,FALSE))</f>
        <v/>
      </c>
      <c r="M1487" s="31"/>
      <c r="N1487" s="34"/>
      <c r="O1487" s="32"/>
      <c r="P1487" s="32"/>
      <c r="Q1487" s="32"/>
      <c r="R1487" s="32"/>
      <c r="S1487" s="35"/>
      <c r="T1487" s="91"/>
      <c r="U1487" s="60"/>
      <c r="V1487" s="36"/>
      <c r="W1487" s="31"/>
      <c r="X1487" s="59"/>
      <c r="Y1487" s="59" t="str">
        <f>IFERROR(VLOOKUP($A1487,APOIO!$A:$A,1,FALSE),"ERRO")</f>
        <v>ERRO</v>
      </c>
      <c r="Z1487"/>
    </row>
    <row r="1488" spans="1:26" ht="15" x14ac:dyDescent="0.25">
      <c r="A1488" s="94"/>
      <c r="B1488" s="32" t="str">
        <f>IF($A1488="","",VLOOKUP($A1488,APOIO!$A:$E,2,FALSE))</f>
        <v/>
      </c>
      <c r="C1488" s="94"/>
      <c r="D1488" s="32" t="str">
        <f>IF($A1488="","",INDEX(APOIO!$D:$D,MATCH(CONCATENATE($A1488,"_",$B1488,"_",$C1488),APOIO!$F:$F,0)))</f>
        <v/>
      </c>
      <c r="E1488" s="31"/>
      <c r="F1488" s="31"/>
      <c r="G1488" s="33"/>
      <c r="H1488" s="105"/>
      <c r="I1488" s="32" t="str">
        <f>IF($A1488="","",VLOOKUP($H1488,APOIO!$L:$M,2,FALSE))</f>
        <v/>
      </c>
      <c r="J1488" s="31"/>
      <c r="K1488" s="32" t="str">
        <f>IF($A1488="","",VLOOKUP($J1488,APOIO!$H:$J,2,FALSE))</f>
        <v/>
      </c>
      <c r="L1488" s="32" t="str">
        <f>IF($A1488="","",VLOOKUP($J1488,APOIO!$H:$J,3,FALSE))</f>
        <v/>
      </c>
      <c r="M1488" s="31"/>
      <c r="N1488" s="34"/>
      <c r="O1488" s="32"/>
      <c r="P1488" s="32"/>
      <c r="Q1488" s="32"/>
      <c r="R1488" s="32"/>
      <c r="S1488" s="35"/>
      <c r="T1488" s="91"/>
      <c r="U1488" s="60"/>
      <c r="V1488" s="36"/>
      <c r="W1488" s="31"/>
      <c r="X1488" s="59"/>
      <c r="Y1488" s="59" t="str">
        <f>IFERROR(VLOOKUP($A1488,APOIO!$A:$A,1,FALSE),"ERRO")</f>
        <v>ERRO</v>
      </c>
      <c r="Z1488"/>
    </row>
    <row r="1489" spans="1:26" ht="15" x14ac:dyDescent="0.25">
      <c r="A1489" s="94"/>
      <c r="B1489" s="32" t="str">
        <f>IF($A1489="","",VLOOKUP($A1489,APOIO!$A:$E,2,FALSE))</f>
        <v/>
      </c>
      <c r="C1489" s="94"/>
      <c r="D1489" s="32" t="str">
        <f>IF($A1489="","",INDEX(APOIO!$D:$D,MATCH(CONCATENATE($A1489,"_",$B1489,"_",$C1489),APOIO!$F:$F,0)))</f>
        <v/>
      </c>
      <c r="E1489" s="31"/>
      <c r="F1489" s="31"/>
      <c r="G1489" s="33"/>
      <c r="H1489" s="105"/>
      <c r="I1489" s="32" t="str">
        <f>IF($A1489="","",VLOOKUP($H1489,APOIO!$L:$M,2,FALSE))</f>
        <v/>
      </c>
      <c r="J1489" s="31"/>
      <c r="K1489" s="32" t="str">
        <f>IF($A1489="","",VLOOKUP($J1489,APOIO!$H:$J,2,FALSE))</f>
        <v/>
      </c>
      <c r="L1489" s="32" t="str">
        <f>IF($A1489="","",VLOOKUP($J1489,APOIO!$H:$J,3,FALSE))</f>
        <v/>
      </c>
      <c r="M1489" s="31"/>
      <c r="N1489" s="34"/>
      <c r="O1489" s="32"/>
      <c r="P1489" s="32"/>
      <c r="Q1489" s="32"/>
      <c r="R1489" s="32"/>
      <c r="S1489" s="35"/>
      <c r="T1489" s="91"/>
      <c r="U1489" s="60"/>
      <c r="V1489" s="36"/>
      <c r="W1489" s="31"/>
      <c r="X1489" s="59"/>
      <c r="Y1489" s="59" t="str">
        <f>IFERROR(VLOOKUP($A1489,APOIO!$A:$A,1,FALSE),"ERRO")</f>
        <v>ERRO</v>
      </c>
      <c r="Z1489"/>
    </row>
    <row r="1490" spans="1:26" ht="15" x14ac:dyDescent="0.25">
      <c r="A1490" s="94"/>
      <c r="B1490" s="32" t="str">
        <f>IF($A1490="","",VLOOKUP($A1490,APOIO!$A:$E,2,FALSE))</f>
        <v/>
      </c>
      <c r="C1490" s="94"/>
      <c r="D1490" s="32" t="str">
        <f>IF($A1490="","",INDEX(APOIO!$D:$D,MATCH(CONCATENATE($A1490,"_",$B1490,"_",$C1490),APOIO!$F:$F,0)))</f>
        <v/>
      </c>
      <c r="E1490" s="31"/>
      <c r="F1490" s="31"/>
      <c r="G1490" s="33"/>
      <c r="H1490" s="105"/>
      <c r="I1490" s="32" t="str">
        <f>IF($A1490="","",VLOOKUP($H1490,APOIO!$L:$M,2,FALSE))</f>
        <v/>
      </c>
      <c r="J1490" s="31"/>
      <c r="K1490" s="32" t="str">
        <f>IF($A1490="","",VLOOKUP($J1490,APOIO!$H:$J,2,FALSE))</f>
        <v/>
      </c>
      <c r="L1490" s="32" t="str">
        <f>IF($A1490="","",VLOOKUP($J1490,APOIO!$H:$J,3,FALSE))</f>
        <v/>
      </c>
      <c r="M1490" s="31"/>
      <c r="N1490" s="34"/>
      <c r="O1490" s="32"/>
      <c r="P1490" s="32"/>
      <c r="Q1490" s="32"/>
      <c r="R1490" s="32"/>
      <c r="S1490" s="35"/>
      <c r="T1490" s="91"/>
      <c r="U1490" s="60"/>
      <c r="V1490" s="36"/>
      <c r="W1490" s="31"/>
      <c r="X1490" s="59"/>
      <c r="Y1490" s="59" t="str">
        <f>IFERROR(VLOOKUP($A1490,APOIO!$A:$A,1,FALSE),"ERRO")</f>
        <v>ERRO</v>
      </c>
      <c r="Z1490"/>
    </row>
    <row r="1491" spans="1:26" ht="15" x14ac:dyDescent="0.25">
      <c r="A1491" s="94"/>
      <c r="B1491" s="32" t="str">
        <f>IF($A1491="","",VLOOKUP($A1491,APOIO!$A:$E,2,FALSE))</f>
        <v/>
      </c>
      <c r="C1491" s="94"/>
      <c r="D1491" s="32" t="str">
        <f>IF($A1491="","",INDEX(APOIO!$D:$D,MATCH(CONCATENATE($A1491,"_",$B1491,"_",$C1491),APOIO!$F:$F,0)))</f>
        <v/>
      </c>
      <c r="E1491" s="31"/>
      <c r="F1491" s="31"/>
      <c r="G1491" s="33"/>
      <c r="H1491" s="105"/>
      <c r="I1491" s="32" t="str">
        <f>IF($A1491="","",VLOOKUP($H1491,APOIO!$L:$M,2,FALSE))</f>
        <v/>
      </c>
      <c r="J1491" s="31"/>
      <c r="K1491" s="32" t="str">
        <f>IF($A1491="","",VLOOKUP($J1491,APOIO!$H:$J,2,FALSE))</f>
        <v/>
      </c>
      <c r="L1491" s="32" t="str">
        <f>IF($A1491="","",VLOOKUP($J1491,APOIO!$H:$J,3,FALSE))</f>
        <v/>
      </c>
      <c r="M1491" s="31"/>
      <c r="N1491" s="34"/>
      <c r="O1491" s="32"/>
      <c r="P1491" s="32"/>
      <c r="Q1491" s="32"/>
      <c r="R1491" s="32"/>
      <c r="S1491" s="35"/>
      <c r="T1491" s="91"/>
      <c r="U1491" s="60"/>
      <c r="V1491" s="36"/>
      <c r="W1491" s="31"/>
      <c r="X1491" s="59"/>
      <c r="Y1491" s="59" t="str">
        <f>IFERROR(VLOOKUP($A1491,APOIO!$A:$A,1,FALSE),"ERRO")</f>
        <v>ERRO</v>
      </c>
      <c r="Z1491"/>
    </row>
    <row r="1492" spans="1:26" ht="15" x14ac:dyDescent="0.25">
      <c r="A1492" s="94"/>
      <c r="B1492" s="32" t="str">
        <f>IF($A1492="","",VLOOKUP($A1492,APOIO!$A:$E,2,FALSE))</f>
        <v/>
      </c>
      <c r="C1492" s="94"/>
      <c r="D1492" s="32" t="str">
        <f>IF($A1492="","",INDEX(APOIO!$D:$D,MATCH(CONCATENATE($A1492,"_",$B1492,"_",$C1492),APOIO!$F:$F,0)))</f>
        <v/>
      </c>
      <c r="E1492" s="31"/>
      <c r="F1492" s="31"/>
      <c r="G1492" s="33"/>
      <c r="H1492" s="105"/>
      <c r="I1492" s="32" t="str">
        <f>IF($A1492="","",VLOOKUP($H1492,APOIO!$L:$M,2,FALSE))</f>
        <v/>
      </c>
      <c r="J1492" s="31"/>
      <c r="K1492" s="32" t="str">
        <f>IF($A1492="","",VLOOKUP($J1492,APOIO!$H:$J,2,FALSE))</f>
        <v/>
      </c>
      <c r="L1492" s="32" t="str">
        <f>IF($A1492="","",VLOOKUP($J1492,APOIO!$H:$J,3,FALSE))</f>
        <v/>
      </c>
      <c r="M1492" s="31"/>
      <c r="N1492" s="34"/>
      <c r="O1492" s="32"/>
      <c r="P1492" s="32"/>
      <c r="Q1492" s="32"/>
      <c r="R1492" s="32"/>
      <c r="S1492" s="35"/>
      <c r="T1492" s="91"/>
      <c r="U1492" s="60"/>
      <c r="V1492" s="36"/>
      <c r="W1492" s="31"/>
      <c r="X1492" s="59"/>
      <c r="Y1492" s="59" t="str">
        <f>IFERROR(VLOOKUP($A1492,APOIO!$A:$A,1,FALSE),"ERRO")</f>
        <v>ERRO</v>
      </c>
      <c r="Z1492"/>
    </row>
    <row r="1493" spans="1:26" ht="15" x14ac:dyDescent="0.25">
      <c r="A1493" s="94"/>
      <c r="B1493" s="32" t="str">
        <f>IF($A1493="","",VLOOKUP($A1493,APOIO!$A:$E,2,FALSE))</f>
        <v/>
      </c>
      <c r="C1493" s="94"/>
      <c r="D1493" s="32" t="str">
        <f>IF($A1493="","",INDEX(APOIO!$D:$D,MATCH(CONCATENATE($A1493,"_",$B1493,"_",$C1493),APOIO!$F:$F,0)))</f>
        <v/>
      </c>
      <c r="E1493" s="31"/>
      <c r="F1493" s="31"/>
      <c r="G1493" s="33"/>
      <c r="H1493" s="105"/>
      <c r="I1493" s="32" t="str">
        <f>IF($A1493="","",VLOOKUP($H1493,APOIO!$L:$M,2,FALSE))</f>
        <v/>
      </c>
      <c r="J1493" s="31"/>
      <c r="K1493" s="32" t="str">
        <f>IF($A1493="","",VLOOKUP($J1493,APOIO!$H:$J,2,FALSE))</f>
        <v/>
      </c>
      <c r="L1493" s="32" t="str">
        <f>IF($A1493="","",VLOOKUP($J1493,APOIO!$H:$J,3,FALSE))</f>
        <v/>
      </c>
      <c r="M1493" s="31"/>
      <c r="N1493" s="34"/>
      <c r="O1493" s="32"/>
      <c r="P1493" s="32"/>
      <c r="Q1493" s="32"/>
      <c r="R1493" s="32"/>
      <c r="S1493" s="35"/>
      <c r="T1493" s="91"/>
      <c r="U1493" s="60"/>
      <c r="V1493" s="36"/>
      <c r="W1493" s="31"/>
      <c r="X1493" s="59"/>
      <c r="Y1493" s="59" t="str">
        <f>IFERROR(VLOOKUP($A1493,APOIO!$A:$A,1,FALSE),"ERRO")</f>
        <v>ERRO</v>
      </c>
      <c r="Z1493"/>
    </row>
    <row r="1494" spans="1:26" ht="15" x14ac:dyDescent="0.25">
      <c r="A1494" s="94"/>
      <c r="B1494" s="32" t="str">
        <f>IF($A1494="","",VLOOKUP($A1494,APOIO!$A:$E,2,FALSE))</f>
        <v/>
      </c>
      <c r="C1494" s="94"/>
      <c r="D1494" s="32" t="str">
        <f>IF($A1494="","",INDEX(APOIO!$D:$D,MATCH(CONCATENATE($A1494,"_",$B1494,"_",$C1494),APOIO!$F:$F,0)))</f>
        <v/>
      </c>
      <c r="E1494" s="31"/>
      <c r="F1494" s="31"/>
      <c r="G1494" s="33"/>
      <c r="H1494" s="105"/>
      <c r="I1494" s="32" t="str">
        <f>IF($A1494="","",VLOOKUP($H1494,APOIO!$L:$M,2,FALSE))</f>
        <v/>
      </c>
      <c r="J1494" s="31"/>
      <c r="K1494" s="32" t="str">
        <f>IF($A1494="","",VLOOKUP($J1494,APOIO!$H:$J,2,FALSE))</f>
        <v/>
      </c>
      <c r="L1494" s="32" t="str">
        <f>IF($A1494="","",VLOOKUP($J1494,APOIO!$H:$J,3,FALSE))</f>
        <v/>
      </c>
      <c r="M1494" s="31"/>
      <c r="N1494" s="34"/>
      <c r="O1494" s="32"/>
      <c r="P1494" s="32"/>
      <c r="Q1494" s="32"/>
      <c r="R1494" s="32"/>
      <c r="S1494" s="35"/>
      <c r="T1494" s="91"/>
      <c r="U1494" s="60"/>
      <c r="V1494" s="36"/>
      <c r="W1494" s="31"/>
      <c r="X1494" s="59"/>
      <c r="Y1494" s="59" t="str">
        <f>IFERROR(VLOOKUP($A1494,APOIO!$A:$A,1,FALSE),"ERRO")</f>
        <v>ERRO</v>
      </c>
      <c r="Z1494"/>
    </row>
    <row r="1495" spans="1:26" ht="15" x14ac:dyDescent="0.25">
      <c r="A1495" s="94"/>
      <c r="B1495" s="32" t="str">
        <f>IF($A1495="","",VLOOKUP($A1495,APOIO!$A:$E,2,FALSE))</f>
        <v/>
      </c>
      <c r="C1495" s="94"/>
      <c r="D1495" s="32" t="str">
        <f>IF($A1495="","",INDEX(APOIO!$D:$D,MATCH(CONCATENATE($A1495,"_",$B1495,"_",$C1495),APOIO!$F:$F,0)))</f>
        <v/>
      </c>
      <c r="E1495" s="31"/>
      <c r="F1495" s="31"/>
      <c r="G1495" s="33"/>
      <c r="H1495" s="105"/>
      <c r="I1495" s="32" t="str">
        <f>IF($A1495="","",VLOOKUP($H1495,APOIO!$L:$M,2,FALSE))</f>
        <v/>
      </c>
      <c r="J1495" s="31"/>
      <c r="K1495" s="32" t="str">
        <f>IF($A1495="","",VLOOKUP($J1495,APOIO!$H:$J,2,FALSE))</f>
        <v/>
      </c>
      <c r="L1495" s="32" t="str">
        <f>IF($A1495="","",VLOOKUP($J1495,APOIO!$H:$J,3,FALSE))</f>
        <v/>
      </c>
      <c r="M1495" s="31"/>
      <c r="N1495" s="34"/>
      <c r="O1495" s="32"/>
      <c r="P1495" s="32"/>
      <c r="Q1495" s="32"/>
      <c r="R1495" s="32"/>
      <c r="S1495" s="35"/>
      <c r="T1495" s="91"/>
      <c r="U1495" s="60"/>
      <c r="V1495" s="36"/>
      <c r="W1495" s="31"/>
      <c r="X1495" s="59"/>
      <c r="Y1495" s="59" t="str">
        <f>IFERROR(VLOOKUP($A1495,APOIO!$A:$A,1,FALSE),"ERRO")</f>
        <v>ERRO</v>
      </c>
      <c r="Z1495"/>
    </row>
    <row r="1496" spans="1:26" ht="15" x14ac:dyDescent="0.25">
      <c r="A1496" s="94"/>
      <c r="B1496" s="32" t="str">
        <f>IF($A1496="","",VLOOKUP($A1496,APOIO!$A:$E,2,FALSE))</f>
        <v/>
      </c>
      <c r="C1496" s="94"/>
      <c r="D1496" s="32" t="str">
        <f>IF($A1496="","",INDEX(APOIO!$D:$D,MATCH(CONCATENATE($A1496,"_",$B1496,"_",$C1496),APOIO!$F:$F,0)))</f>
        <v/>
      </c>
      <c r="E1496" s="31"/>
      <c r="F1496" s="31"/>
      <c r="G1496" s="33"/>
      <c r="H1496" s="105"/>
      <c r="I1496" s="32" t="str">
        <f>IF($A1496="","",VLOOKUP($H1496,APOIO!$L:$M,2,FALSE))</f>
        <v/>
      </c>
      <c r="J1496" s="31"/>
      <c r="K1496" s="32" t="str">
        <f>IF($A1496="","",VLOOKUP($J1496,APOIO!$H:$J,2,FALSE))</f>
        <v/>
      </c>
      <c r="L1496" s="32" t="str">
        <f>IF($A1496="","",VLOOKUP($J1496,APOIO!$H:$J,3,FALSE))</f>
        <v/>
      </c>
      <c r="M1496" s="31"/>
      <c r="N1496" s="34"/>
      <c r="O1496" s="32"/>
      <c r="P1496" s="32"/>
      <c r="Q1496" s="32"/>
      <c r="R1496" s="32"/>
      <c r="S1496" s="35"/>
      <c r="T1496" s="91"/>
      <c r="U1496" s="60"/>
      <c r="V1496" s="36"/>
      <c r="W1496" s="31"/>
      <c r="X1496" s="59"/>
      <c r="Y1496" s="59" t="str">
        <f>IFERROR(VLOOKUP($A1496,APOIO!$A:$A,1,FALSE),"ERRO")</f>
        <v>ERRO</v>
      </c>
      <c r="Z1496"/>
    </row>
    <row r="1497" spans="1:26" ht="15" x14ac:dyDescent="0.25">
      <c r="A1497" s="94"/>
      <c r="B1497" s="32" t="str">
        <f>IF($A1497="","",VLOOKUP($A1497,APOIO!$A:$E,2,FALSE))</f>
        <v/>
      </c>
      <c r="C1497" s="94"/>
      <c r="D1497" s="32" t="str">
        <f>IF($A1497="","",INDEX(APOIO!$D:$D,MATCH(CONCATENATE($A1497,"_",$B1497,"_",$C1497),APOIO!$F:$F,0)))</f>
        <v/>
      </c>
      <c r="E1497" s="31"/>
      <c r="F1497" s="31"/>
      <c r="G1497" s="33"/>
      <c r="H1497" s="105"/>
      <c r="I1497" s="32" t="str">
        <f>IF($A1497="","",VLOOKUP($H1497,APOIO!$L:$M,2,FALSE))</f>
        <v/>
      </c>
      <c r="J1497" s="31"/>
      <c r="K1497" s="32" t="str">
        <f>IF($A1497="","",VLOOKUP($J1497,APOIO!$H:$J,2,FALSE))</f>
        <v/>
      </c>
      <c r="L1497" s="32" t="str">
        <f>IF($A1497="","",VLOOKUP($J1497,APOIO!$H:$J,3,FALSE))</f>
        <v/>
      </c>
      <c r="M1497" s="31"/>
      <c r="N1497" s="34"/>
      <c r="O1497" s="32"/>
      <c r="P1497" s="32"/>
      <c r="Q1497" s="32"/>
      <c r="R1497" s="32"/>
      <c r="S1497" s="35"/>
      <c r="T1497" s="91"/>
      <c r="U1497" s="60"/>
      <c r="V1497" s="36"/>
      <c r="W1497" s="31"/>
      <c r="X1497" s="59"/>
      <c r="Y1497" s="59" t="str">
        <f>IFERROR(VLOOKUP($A1497,APOIO!$A:$A,1,FALSE),"ERRO")</f>
        <v>ERRO</v>
      </c>
      <c r="Z1497"/>
    </row>
    <row r="1498" spans="1:26" ht="15" x14ac:dyDescent="0.25">
      <c r="A1498" s="94"/>
      <c r="B1498" s="32" t="str">
        <f>IF($A1498="","",VLOOKUP($A1498,APOIO!$A:$E,2,FALSE))</f>
        <v/>
      </c>
      <c r="C1498" s="94"/>
      <c r="D1498" s="32" t="str">
        <f>IF($A1498="","",INDEX(APOIO!$D:$D,MATCH(CONCATENATE($A1498,"_",$B1498,"_",$C1498),APOIO!$F:$F,0)))</f>
        <v/>
      </c>
      <c r="E1498" s="31"/>
      <c r="F1498" s="31"/>
      <c r="G1498" s="33"/>
      <c r="H1498" s="105"/>
      <c r="I1498" s="32" t="str">
        <f>IF($A1498="","",VLOOKUP($H1498,APOIO!$L:$M,2,FALSE))</f>
        <v/>
      </c>
      <c r="J1498" s="31"/>
      <c r="K1498" s="32" t="str">
        <f>IF($A1498="","",VLOOKUP($J1498,APOIO!$H:$J,2,FALSE))</f>
        <v/>
      </c>
      <c r="L1498" s="32" t="str">
        <f>IF($A1498="","",VLOOKUP($J1498,APOIO!$H:$J,3,FALSE))</f>
        <v/>
      </c>
      <c r="M1498" s="31"/>
      <c r="N1498" s="34"/>
      <c r="O1498" s="32"/>
      <c r="P1498" s="32"/>
      <c r="Q1498" s="32"/>
      <c r="R1498" s="32"/>
      <c r="S1498" s="35"/>
      <c r="T1498" s="91"/>
      <c r="U1498" s="60"/>
      <c r="V1498" s="36"/>
      <c r="W1498" s="31"/>
      <c r="X1498" s="59"/>
      <c r="Y1498" s="59" t="str">
        <f>IFERROR(VLOOKUP($A1498,APOIO!$A:$A,1,FALSE),"ERRO")</f>
        <v>ERRO</v>
      </c>
      <c r="Z1498"/>
    </row>
    <row r="1499" spans="1:26" ht="15" x14ac:dyDescent="0.25">
      <c r="A1499" s="94"/>
      <c r="B1499" s="32" t="str">
        <f>IF($A1499="","",VLOOKUP($A1499,APOIO!$A:$E,2,FALSE))</f>
        <v/>
      </c>
      <c r="C1499" s="94"/>
      <c r="D1499" s="32" t="str">
        <f>IF($A1499="","",INDEX(APOIO!$D:$D,MATCH(CONCATENATE($A1499,"_",$B1499,"_",$C1499),APOIO!$F:$F,0)))</f>
        <v/>
      </c>
      <c r="E1499" s="31"/>
      <c r="F1499" s="31"/>
      <c r="G1499" s="33"/>
      <c r="H1499" s="105"/>
      <c r="I1499" s="32" t="str">
        <f>IF($A1499="","",VLOOKUP($H1499,APOIO!$L:$M,2,FALSE))</f>
        <v/>
      </c>
      <c r="J1499" s="31"/>
      <c r="K1499" s="32" t="str">
        <f>IF($A1499="","",VLOOKUP($J1499,APOIO!$H:$J,2,FALSE))</f>
        <v/>
      </c>
      <c r="L1499" s="32" t="str">
        <f>IF($A1499="","",VLOOKUP($J1499,APOIO!$H:$J,3,FALSE))</f>
        <v/>
      </c>
      <c r="M1499" s="31"/>
      <c r="N1499" s="34"/>
      <c r="O1499" s="32"/>
      <c r="P1499" s="32"/>
      <c r="Q1499" s="32"/>
      <c r="R1499" s="32"/>
      <c r="S1499" s="35"/>
      <c r="T1499" s="91"/>
      <c r="U1499" s="60"/>
      <c r="V1499" s="36"/>
      <c r="W1499" s="31"/>
      <c r="X1499" s="59"/>
      <c r="Y1499" s="59" t="str">
        <f>IFERROR(VLOOKUP($A1499,APOIO!$A:$A,1,FALSE),"ERRO")</f>
        <v>ERRO</v>
      </c>
      <c r="Z1499"/>
    </row>
    <row r="1500" spans="1:26" ht="15" x14ac:dyDescent="0.25">
      <c r="A1500" s="94"/>
      <c r="B1500" s="32" t="str">
        <f>IF($A1500="","",VLOOKUP($A1500,APOIO!$A:$E,2,FALSE))</f>
        <v/>
      </c>
      <c r="C1500" s="94"/>
      <c r="D1500" s="32" t="str">
        <f>IF($A1500="","",INDEX(APOIO!$D:$D,MATCH(CONCATENATE($A1500,"_",$B1500,"_",$C1500),APOIO!$F:$F,0)))</f>
        <v/>
      </c>
      <c r="E1500" s="31"/>
      <c r="F1500" s="31"/>
      <c r="G1500" s="33"/>
      <c r="H1500" s="105"/>
      <c r="I1500" s="32" t="str">
        <f>IF($A1500="","",VLOOKUP($H1500,APOIO!$L:$M,2,FALSE))</f>
        <v/>
      </c>
      <c r="J1500" s="31"/>
      <c r="K1500" s="32" t="str">
        <f>IF($A1500="","",VLOOKUP($J1500,APOIO!$H:$J,2,FALSE))</f>
        <v/>
      </c>
      <c r="L1500" s="32" t="str">
        <f>IF($A1500="","",VLOOKUP($J1500,APOIO!$H:$J,3,FALSE))</f>
        <v/>
      </c>
      <c r="M1500" s="31"/>
      <c r="N1500" s="34"/>
      <c r="O1500" s="32"/>
      <c r="P1500" s="32"/>
      <c r="Q1500" s="32"/>
      <c r="R1500" s="32"/>
      <c r="S1500" s="35"/>
      <c r="T1500" s="91"/>
      <c r="U1500" s="60"/>
      <c r="V1500" s="36"/>
      <c r="W1500" s="31"/>
      <c r="X1500" s="59"/>
      <c r="Y1500" s="59" t="str">
        <f>IFERROR(VLOOKUP($A1500,APOIO!$A:$A,1,FALSE),"ERRO")</f>
        <v>ERRO</v>
      </c>
      <c r="Z1500"/>
    </row>
    <row r="1501" spans="1:26" ht="15" x14ac:dyDescent="0.25">
      <c r="A1501" s="94"/>
      <c r="B1501" s="32" t="str">
        <f>IF($A1501="","",VLOOKUP($A1501,APOIO!$A:$E,2,FALSE))</f>
        <v/>
      </c>
      <c r="C1501" s="94"/>
      <c r="D1501" s="32" t="str">
        <f>IF($A1501="","",INDEX(APOIO!$D:$D,MATCH(CONCATENATE($A1501,"_",$B1501,"_",$C1501),APOIO!$F:$F,0)))</f>
        <v/>
      </c>
      <c r="E1501" s="31"/>
      <c r="F1501" s="31"/>
      <c r="G1501" s="33"/>
      <c r="H1501" s="105"/>
      <c r="I1501" s="32" t="str">
        <f>IF($A1501="","",VLOOKUP($H1501,APOIO!$L:$M,2,FALSE))</f>
        <v/>
      </c>
      <c r="J1501" s="31"/>
      <c r="K1501" s="32" t="str">
        <f>IF($A1501="","",VLOOKUP($J1501,APOIO!$H:$J,2,FALSE))</f>
        <v/>
      </c>
      <c r="L1501" s="32" t="str">
        <f>IF($A1501="","",VLOOKUP($J1501,APOIO!$H:$J,3,FALSE))</f>
        <v/>
      </c>
      <c r="M1501" s="31"/>
      <c r="N1501" s="34"/>
      <c r="O1501" s="32"/>
      <c r="P1501" s="32"/>
      <c r="Q1501" s="32"/>
      <c r="R1501" s="32"/>
      <c r="S1501" s="35"/>
      <c r="T1501" s="91"/>
      <c r="U1501" s="60"/>
      <c r="V1501" s="36"/>
      <c r="W1501" s="31"/>
      <c r="X1501" s="59"/>
      <c r="Y1501" s="59" t="str">
        <f>IFERROR(VLOOKUP($A1501,APOIO!$A:$A,1,FALSE),"ERRO")</f>
        <v>ERRO</v>
      </c>
      <c r="Z1501"/>
    </row>
    <row r="1502" spans="1:26" ht="15" x14ac:dyDescent="0.25">
      <c r="A1502" s="94"/>
      <c r="B1502" s="32" t="str">
        <f>IF($A1502="","",VLOOKUP($A1502,APOIO!$A:$E,2,FALSE))</f>
        <v/>
      </c>
      <c r="C1502" s="94"/>
      <c r="D1502" s="32" t="str">
        <f>IF($A1502="","",INDEX(APOIO!$D:$D,MATCH(CONCATENATE($A1502,"_",$B1502,"_",$C1502),APOIO!$F:$F,0)))</f>
        <v/>
      </c>
      <c r="E1502" s="31"/>
      <c r="F1502" s="31"/>
      <c r="G1502" s="33"/>
      <c r="H1502" s="105"/>
      <c r="I1502" s="32" t="str">
        <f>IF($A1502="","",VLOOKUP($H1502,APOIO!$L:$M,2,FALSE))</f>
        <v/>
      </c>
      <c r="J1502" s="31"/>
      <c r="K1502" s="32" t="str">
        <f>IF($A1502="","",VLOOKUP($J1502,APOIO!$H:$J,2,FALSE))</f>
        <v/>
      </c>
      <c r="L1502" s="32" t="str">
        <f>IF($A1502="","",VLOOKUP($J1502,APOIO!$H:$J,3,FALSE))</f>
        <v/>
      </c>
      <c r="M1502" s="31"/>
      <c r="N1502" s="34"/>
      <c r="O1502" s="32"/>
      <c r="P1502" s="32"/>
      <c r="Q1502" s="32"/>
      <c r="R1502" s="32"/>
      <c r="S1502" s="35"/>
      <c r="T1502" s="91"/>
      <c r="U1502" s="60"/>
      <c r="V1502" s="36"/>
      <c r="W1502" s="31"/>
      <c r="X1502" s="59"/>
      <c r="Y1502" s="59" t="str">
        <f>IFERROR(VLOOKUP($A1502,APOIO!$A:$A,1,FALSE),"ERRO")</f>
        <v>ERRO</v>
      </c>
      <c r="Z1502"/>
    </row>
    <row r="1503" spans="1:26" ht="15" x14ac:dyDescent="0.25">
      <c r="A1503" s="94"/>
      <c r="B1503" s="32" t="str">
        <f>IF($A1503="","",VLOOKUP($A1503,APOIO!$A:$E,2,FALSE))</f>
        <v/>
      </c>
      <c r="C1503" s="94"/>
      <c r="D1503" s="32" t="str">
        <f>IF($A1503="","",INDEX(APOIO!$D:$D,MATCH(CONCATENATE($A1503,"_",$B1503,"_",$C1503),APOIO!$F:$F,0)))</f>
        <v/>
      </c>
      <c r="E1503" s="31"/>
      <c r="F1503" s="31"/>
      <c r="G1503" s="33"/>
      <c r="H1503" s="105"/>
      <c r="I1503" s="32" t="str">
        <f>IF($A1503="","",VLOOKUP($H1503,APOIO!$L:$M,2,FALSE))</f>
        <v/>
      </c>
      <c r="J1503" s="31"/>
      <c r="K1503" s="32" t="str">
        <f>IF($A1503="","",VLOOKUP($J1503,APOIO!$H:$J,2,FALSE))</f>
        <v/>
      </c>
      <c r="L1503" s="32" t="str">
        <f>IF($A1503="","",VLOOKUP($J1503,APOIO!$H:$J,3,FALSE))</f>
        <v/>
      </c>
      <c r="M1503" s="31"/>
      <c r="N1503" s="34"/>
      <c r="O1503" s="32"/>
      <c r="P1503" s="32"/>
      <c r="Q1503" s="32"/>
      <c r="R1503" s="32"/>
      <c r="S1503" s="35"/>
      <c r="T1503" s="91"/>
      <c r="U1503" s="60"/>
      <c r="V1503" s="36"/>
      <c r="W1503" s="31"/>
      <c r="X1503" s="59"/>
      <c r="Y1503" s="59" t="str">
        <f>IFERROR(VLOOKUP($A1503,APOIO!$A:$A,1,FALSE),"ERRO")</f>
        <v>ERRO</v>
      </c>
      <c r="Z1503"/>
    </row>
    <row r="1504" spans="1:26" ht="15" x14ac:dyDescent="0.25">
      <c r="A1504" s="94"/>
      <c r="B1504" s="32" t="str">
        <f>IF($A1504="","",VLOOKUP($A1504,APOIO!$A:$E,2,FALSE))</f>
        <v/>
      </c>
      <c r="C1504" s="94"/>
      <c r="D1504" s="32" t="str">
        <f>IF($A1504="","",INDEX(APOIO!$D:$D,MATCH(CONCATENATE($A1504,"_",$B1504,"_",$C1504),APOIO!$F:$F,0)))</f>
        <v/>
      </c>
      <c r="E1504" s="31"/>
      <c r="F1504" s="31"/>
      <c r="G1504" s="33"/>
      <c r="H1504" s="105"/>
      <c r="I1504" s="32" t="str">
        <f>IF($A1504="","",VLOOKUP($H1504,APOIO!$L:$M,2,FALSE))</f>
        <v/>
      </c>
      <c r="J1504" s="31"/>
      <c r="K1504" s="32" t="str">
        <f>IF($A1504="","",VLOOKUP($J1504,APOIO!$H:$J,2,FALSE))</f>
        <v/>
      </c>
      <c r="L1504" s="32" t="str">
        <f>IF($A1504="","",VLOOKUP($J1504,APOIO!$H:$J,3,FALSE))</f>
        <v/>
      </c>
      <c r="M1504" s="31"/>
      <c r="N1504" s="34"/>
      <c r="O1504" s="32"/>
      <c r="P1504" s="32"/>
      <c r="Q1504" s="32"/>
      <c r="R1504" s="32"/>
      <c r="S1504" s="35"/>
      <c r="T1504" s="91"/>
      <c r="U1504" s="60"/>
      <c r="V1504" s="36"/>
      <c r="W1504" s="31"/>
      <c r="X1504" s="59"/>
      <c r="Y1504" s="59" t="str">
        <f>IFERROR(VLOOKUP($A1504,APOIO!$A:$A,1,FALSE),"ERRO")</f>
        <v>ERRO</v>
      </c>
      <c r="Z1504"/>
    </row>
    <row r="1505" spans="1:26" ht="15" x14ac:dyDescent="0.25">
      <c r="A1505" s="94"/>
      <c r="B1505" s="32" t="str">
        <f>IF($A1505="","",VLOOKUP($A1505,APOIO!$A:$E,2,FALSE))</f>
        <v/>
      </c>
      <c r="C1505" s="94"/>
      <c r="D1505" s="32" t="str">
        <f>IF($A1505="","",INDEX(APOIO!$D:$D,MATCH(CONCATENATE($A1505,"_",$B1505,"_",$C1505),APOIO!$F:$F,0)))</f>
        <v/>
      </c>
      <c r="E1505" s="31"/>
      <c r="F1505" s="31"/>
      <c r="G1505" s="33"/>
      <c r="H1505" s="105"/>
      <c r="I1505" s="32" t="str">
        <f>IF($A1505="","",VLOOKUP($H1505,APOIO!$L:$M,2,FALSE))</f>
        <v/>
      </c>
      <c r="J1505" s="31"/>
      <c r="K1505" s="32" t="str">
        <f>IF($A1505="","",VLOOKUP($J1505,APOIO!$H:$J,2,FALSE))</f>
        <v/>
      </c>
      <c r="L1505" s="32" t="str">
        <f>IF($A1505="","",VLOOKUP($J1505,APOIO!$H:$J,3,FALSE))</f>
        <v/>
      </c>
      <c r="M1505" s="31"/>
      <c r="N1505" s="34"/>
      <c r="O1505" s="32"/>
      <c r="P1505" s="32"/>
      <c r="Q1505" s="32"/>
      <c r="R1505" s="32"/>
      <c r="S1505" s="35"/>
      <c r="T1505" s="91"/>
      <c r="U1505" s="60"/>
      <c r="V1505" s="36"/>
      <c r="W1505" s="31"/>
      <c r="X1505" s="59"/>
      <c r="Y1505" s="59" t="str">
        <f>IFERROR(VLOOKUP($A1505,APOIO!$A:$A,1,FALSE),"ERRO")</f>
        <v>ERRO</v>
      </c>
      <c r="Z1505"/>
    </row>
    <row r="1506" spans="1:26" ht="15" x14ac:dyDescent="0.25">
      <c r="A1506" s="94"/>
      <c r="B1506" s="32" t="str">
        <f>IF($A1506="","",VLOOKUP($A1506,APOIO!$A:$E,2,FALSE))</f>
        <v/>
      </c>
      <c r="C1506" s="94"/>
      <c r="D1506" s="32" t="str">
        <f>IF($A1506="","",INDEX(APOIO!$D:$D,MATCH(CONCATENATE($A1506,"_",$B1506,"_",$C1506),APOIO!$F:$F,0)))</f>
        <v/>
      </c>
      <c r="E1506" s="31"/>
      <c r="F1506" s="31"/>
      <c r="G1506" s="33"/>
      <c r="H1506" s="105"/>
      <c r="I1506" s="32" t="str">
        <f>IF($A1506="","",VLOOKUP($H1506,APOIO!$L:$M,2,FALSE))</f>
        <v/>
      </c>
      <c r="J1506" s="31"/>
      <c r="K1506" s="32" t="str">
        <f>IF($A1506="","",VLOOKUP($J1506,APOIO!$H:$J,2,FALSE))</f>
        <v/>
      </c>
      <c r="L1506" s="32" t="str">
        <f>IF($A1506="","",VLOOKUP($J1506,APOIO!$H:$J,3,FALSE))</f>
        <v/>
      </c>
      <c r="M1506" s="31"/>
      <c r="N1506" s="34"/>
      <c r="O1506" s="32"/>
      <c r="P1506" s="32"/>
      <c r="Q1506" s="32"/>
      <c r="R1506" s="32"/>
      <c r="S1506" s="35"/>
      <c r="T1506" s="91"/>
      <c r="U1506" s="60"/>
      <c r="V1506" s="36"/>
      <c r="W1506" s="31"/>
      <c r="X1506" s="59"/>
      <c r="Y1506" s="59" t="str">
        <f>IFERROR(VLOOKUP($A1506,APOIO!$A:$A,1,FALSE),"ERRO")</f>
        <v>ERRO</v>
      </c>
      <c r="Z1506"/>
    </row>
    <row r="1507" spans="1:26" ht="15" x14ac:dyDescent="0.25">
      <c r="A1507" s="94"/>
      <c r="B1507" s="32" t="str">
        <f>IF($A1507="","",VLOOKUP($A1507,APOIO!$A:$E,2,FALSE))</f>
        <v/>
      </c>
      <c r="C1507" s="94"/>
      <c r="D1507" s="32" t="str">
        <f>IF($A1507="","",INDEX(APOIO!$D:$D,MATCH(CONCATENATE($A1507,"_",$B1507,"_",$C1507),APOIO!$F:$F,0)))</f>
        <v/>
      </c>
      <c r="E1507" s="31"/>
      <c r="F1507" s="31"/>
      <c r="G1507" s="33"/>
      <c r="H1507" s="105"/>
      <c r="I1507" s="32" t="str">
        <f>IF($A1507="","",VLOOKUP($H1507,APOIO!$L:$M,2,FALSE))</f>
        <v/>
      </c>
      <c r="J1507" s="31"/>
      <c r="K1507" s="32" t="str">
        <f>IF($A1507="","",VLOOKUP($J1507,APOIO!$H:$J,2,FALSE))</f>
        <v/>
      </c>
      <c r="L1507" s="32" t="str">
        <f>IF($A1507="","",VLOOKUP($J1507,APOIO!$H:$J,3,FALSE))</f>
        <v/>
      </c>
      <c r="M1507" s="31"/>
      <c r="N1507" s="34"/>
      <c r="O1507" s="32"/>
      <c r="P1507" s="32"/>
      <c r="Q1507" s="32"/>
      <c r="R1507" s="32"/>
      <c r="S1507" s="35"/>
      <c r="T1507" s="91"/>
      <c r="U1507" s="60"/>
      <c r="V1507" s="36"/>
      <c r="W1507" s="31"/>
      <c r="X1507" s="59"/>
      <c r="Y1507" s="59" t="str">
        <f>IFERROR(VLOOKUP($A1507,APOIO!$A:$A,1,FALSE),"ERRO")</f>
        <v>ERRO</v>
      </c>
      <c r="Z1507"/>
    </row>
    <row r="1508" spans="1:26" ht="15" x14ac:dyDescent="0.25">
      <c r="A1508" s="94"/>
      <c r="B1508" s="32" t="str">
        <f>IF($A1508="","",VLOOKUP($A1508,APOIO!$A:$E,2,FALSE))</f>
        <v/>
      </c>
      <c r="C1508" s="94"/>
      <c r="D1508" s="32" t="str">
        <f>IF($A1508="","",INDEX(APOIO!$D:$D,MATCH(CONCATENATE($A1508,"_",$B1508,"_",$C1508),APOIO!$F:$F,0)))</f>
        <v/>
      </c>
      <c r="E1508" s="31"/>
      <c r="F1508" s="31"/>
      <c r="G1508" s="33"/>
      <c r="H1508" s="105"/>
      <c r="I1508" s="32" t="str">
        <f>IF($A1508="","",VLOOKUP($H1508,APOIO!$L:$M,2,FALSE))</f>
        <v/>
      </c>
      <c r="J1508" s="31"/>
      <c r="K1508" s="32" t="str">
        <f>IF($A1508="","",VLOOKUP($J1508,APOIO!$H:$J,2,FALSE))</f>
        <v/>
      </c>
      <c r="L1508" s="32" t="str">
        <f>IF($A1508="","",VLOOKUP($J1508,APOIO!$H:$J,3,FALSE))</f>
        <v/>
      </c>
      <c r="M1508" s="31"/>
      <c r="N1508" s="34"/>
      <c r="O1508" s="32"/>
      <c r="P1508" s="32"/>
      <c r="Q1508" s="32"/>
      <c r="R1508" s="32"/>
      <c r="S1508" s="35"/>
      <c r="T1508" s="91"/>
      <c r="U1508" s="60"/>
      <c r="V1508" s="36"/>
      <c r="W1508" s="31"/>
      <c r="X1508" s="59"/>
      <c r="Y1508" s="59" t="str">
        <f>IFERROR(VLOOKUP($A1508,APOIO!$A:$A,1,FALSE),"ERRO")</f>
        <v>ERRO</v>
      </c>
      <c r="Z1508"/>
    </row>
    <row r="1509" spans="1:26" ht="15" x14ac:dyDescent="0.25">
      <c r="A1509" s="94"/>
      <c r="B1509" s="32" t="str">
        <f>IF($A1509="","",VLOOKUP($A1509,APOIO!$A:$E,2,FALSE))</f>
        <v/>
      </c>
      <c r="C1509" s="94"/>
      <c r="D1509" s="32" t="str">
        <f>IF($A1509="","",INDEX(APOIO!$D:$D,MATCH(CONCATENATE($A1509,"_",$B1509,"_",$C1509),APOIO!$F:$F,0)))</f>
        <v/>
      </c>
      <c r="E1509" s="31"/>
      <c r="F1509" s="31"/>
      <c r="G1509" s="33"/>
      <c r="H1509" s="105"/>
      <c r="I1509" s="32" t="str">
        <f>IF($A1509="","",VLOOKUP($H1509,APOIO!$L:$M,2,FALSE))</f>
        <v/>
      </c>
      <c r="J1509" s="31"/>
      <c r="K1509" s="32" t="str">
        <f>IF($A1509="","",VLOOKUP($J1509,APOIO!$H:$J,2,FALSE))</f>
        <v/>
      </c>
      <c r="L1509" s="32" t="str">
        <f>IF($A1509="","",VLOOKUP($J1509,APOIO!$H:$J,3,FALSE))</f>
        <v/>
      </c>
      <c r="M1509" s="31"/>
      <c r="N1509" s="34"/>
      <c r="O1509" s="32"/>
      <c r="P1509" s="32"/>
      <c r="Q1509" s="32"/>
      <c r="R1509" s="32"/>
      <c r="S1509" s="35"/>
      <c r="T1509" s="91"/>
      <c r="U1509" s="60"/>
      <c r="V1509" s="36"/>
      <c r="W1509" s="31"/>
      <c r="X1509" s="59"/>
      <c r="Y1509" s="59" t="str">
        <f>IFERROR(VLOOKUP($A1509,APOIO!$A:$A,1,FALSE),"ERRO")</f>
        <v>ERRO</v>
      </c>
      <c r="Z1509"/>
    </row>
    <row r="1510" spans="1:26" ht="15" x14ac:dyDescent="0.25">
      <c r="A1510" s="94"/>
      <c r="B1510" s="32" t="str">
        <f>IF($A1510="","",VLOOKUP($A1510,APOIO!$A:$E,2,FALSE))</f>
        <v/>
      </c>
      <c r="C1510" s="94"/>
      <c r="D1510" s="32" t="str">
        <f>IF($A1510="","",INDEX(APOIO!$D:$D,MATCH(CONCATENATE($A1510,"_",$B1510,"_",$C1510),APOIO!$F:$F,0)))</f>
        <v/>
      </c>
      <c r="E1510" s="31"/>
      <c r="F1510" s="31"/>
      <c r="G1510" s="33"/>
      <c r="H1510" s="105"/>
      <c r="I1510" s="32" t="str">
        <f>IF($A1510="","",VLOOKUP($H1510,APOIO!$L:$M,2,FALSE))</f>
        <v/>
      </c>
      <c r="J1510" s="31"/>
      <c r="K1510" s="32" t="str">
        <f>IF($A1510="","",VLOOKUP($J1510,APOIO!$H:$J,2,FALSE))</f>
        <v/>
      </c>
      <c r="L1510" s="32" t="str">
        <f>IF($A1510="","",VLOOKUP($J1510,APOIO!$H:$J,3,FALSE))</f>
        <v/>
      </c>
      <c r="M1510" s="31"/>
      <c r="N1510" s="34"/>
      <c r="O1510" s="32"/>
      <c r="P1510" s="32"/>
      <c r="Q1510" s="32"/>
      <c r="R1510" s="32"/>
      <c r="S1510" s="35"/>
      <c r="T1510" s="91"/>
      <c r="U1510" s="60"/>
      <c r="V1510" s="36"/>
      <c r="W1510" s="31"/>
      <c r="X1510" s="59"/>
      <c r="Y1510" s="59" t="str">
        <f>IFERROR(VLOOKUP($A1510,APOIO!$A:$A,1,FALSE),"ERRO")</f>
        <v>ERRO</v>
      </c>
      <c r="Z1510"/>
    </row>
    <row r="1511" spans="1:26" ht="15" x14ac:dyDescent="0.25">
      <c r="A1511" s="94"/>
      <c r="B1511" s="32" t="str">
        <f>IF($A1511="","",VLOOKUP($A1511,APOIO!$A:$E,2,FALSE))</f>
        <v/>
      </c>
      <c r="C1511" s="94"/>
      <c r="D1511" s="32" t="str">
        <f>IF($A1511="","",INDEX(APOIO!$D:$D,MATCH(CONCATENATE($A1511,"_",$B1511,"_",$C1511),APOIO!$F:$F,0)))</f>
        <v/>
      </c>
      <c r="E1511" s="31"/>
      <c r="F1511" s="31"/>
      <c r="G1511" s="33"/>
      <c r="H1511" s="105"/>
      <c r="I1511" s="32" t="str">
        <f>IF($A1511="","",VLOOKUP($H1511,APOIO!$L:$M,2,FALSE))</f>
        <v/>
      </c>
      <c r="J1511" s="31"/>
      <c r="K1511" s="32" t="str">
        <f>IF($A1511="","",VLOOKUP($J1511,APOIO!$H:$J,2,FALSE))</f>
        <v/>
      </c>
      <c r="L1511" s="32" t="str">
        <f>IF($A1511="","",VLOOKUP($J1511,APOIO!$H:$J,3,FALSE))</f>
        <v/>
      </c>
      <c r="M1511" s="31"/>
      <c r="N1511" s="34"/>
      <c r="O1511" s="32"/>
      <c r="P1511" s="32"/>
      <c r="Q1511" s="32"/>
      <c r="R1511" s="32"/>
      <c r="S1511" s="35"/>
      <c r="T1511" s="91"/>
      <c r="U1511" s="60"/>
      <c r="V1511" s="36"/>
      <c r="W1511" s="31"/>
      <c r="X1511" s="59"/>
      <c r="Y1511" s="59" t="str">
        <f>IFERROR(VLOOKUP($A1511,APOIO!$A:$A,1,FALSE),"ERRO")</f>
        <v>ERRO</v>
      </c>
      <c r="Z1511"/>
    </row>
    <row r="1512" spans="1:26" ht="15" x14ac:dyDescent="0.25">
      <c r="A1512" s="94"/>
      <c r="B1512" s="32" t="str">
        <f>IF($A1512="","",VLOOKUP($A1512,APOIO!$A:$E,2,FALSE))</f>
        <v/>
      </c>
      <c r="C1512" s="94"/>
      <c r="D1512" s="32" t="str">
        <f>IF($A1512="","",INDEX(APOIO!$D:$D,MATCH(CONCATENATE($A1512,"_",$B1512,"_",$C1512),APOIO!$F:$F,0)))</f>
        <v/>
      </c>
      <c r="E1512" s="31"/>
      <c r="F1512" s="31"/>
      <c r="G1512" s="33"/>
      <c r="H1512" s="105"/>
      <c r="I1512" s="32" t="str">
        <f>IF($A1512="","",VLOOKUP($H1512,APOIO!$L:$M,2,FALSE))</f>
        <v/>
      </c>
      <c r="J1512" s="31"/>
      <c r="K1512" s="32" t="str">
        <f>IF($A1512="","",VLOOKUP($J1512,APOIO!$H:$J,2,FALSE))</f>
        <v/>
      </c>
      <c r="L1512" s="32" t="str">
        <f>IF($A1512="","",VLOOKUP($J1512,APOIO!$H:$J,3,FALSE))</f>
        <v/>
      </c>
      <c r="M1512" s="31"/>
      <c r="N1512" s="34"/>
      <c r="O1512" s="32"/>
      <c r="P1512" s="32"/>
      <c r="Q1512" s="32"/>
      <c r="R1512" s="32"/>
      <c r="S1512" s="35"/>
      <c r="T1512" s="91"/>
      <c r="U1512" s="60"/>
      <c r="V1512" s="36"/>
      <c r="W1512" s="31"/>
      <c r="X1512" s="59"/>
      <c r="Y1512" s="59" t="str">
        <f>IFERROR(VLOOKUP($A1512,APOIO!$A:$A,1,FALSE),"ERRO")</f>
        <v>ERRO</v>
      </c>
      <c r="Z1512"/>
    </row>
    <row r="1513" spans="1:26" ht="15" x14ac:dyDescent="0.25">
      <c r="A1513" s="94"/>
      <c r="B1513" s="32" t="str">
        <f>IF($A1513="","",VLOOKUP($A1513,APOIO!$A:$E,2,FALSE))</f>
        <v/>
      </c>
      <c r="C1513" s="94"/>
      <c r="D1513" s="32" t="str">
        <f>IF($A1513="","",INDEX(APOIO!$D:$D,MATCH(CONCATENATE($A1513,"_",$B1513,"_",$C1513),APOIO!$F:$F,0)))</f>
        <v/>
      </c>
      <c r="E1513" s="31"/>
      <c r="F1513" s="31"/>
      <c r="G1513" s="33"/>
      <c r="H1513" s="105"/>
      <c r="I1513" s="32" t="str">
        <f>IF($A1513="","",VLOOKUP($H1513,APOIO!$L:$M,2,FALSE))</f>
        <v/>
      </c>
      <c r="J1513" s="31"/>
      <c r="K1513" s="32" t="str">
        <f>IF($A1513="","",VLOOKUP($J1513,APOIO!$H:$J,2,FALSE))</f>
        <v/>
      </c>
      <c r="L1513" s="32" t="str">
        <f>IF($A1513="","",VLOOKUP($J1513,APOIO!$H:$J,3,FALSE))</f>
        <v/>
      </c>
      <c r="M1513" s="31"/>
      <c r="N1513" s="34"/>
      <c r="O1513" s="32"/>
      <c r="P1513" s="32"/>
      <c r="Q1513" s="32"/>
      <c r="R1513" s="32"/>
      <c r="S1513" s="35"/>
      <c r="T1513" s="91"/>
      <c r="U1513" s="60"/>
      <c r="V1513" s="36"/>
      <c r="W1513" s="31"/>
      <c r="X1513" s="59"/>
      <c r="Y1513" s="59" t="str">
        <f>IFERROR(VLOOKUP($A1513,APOIO!$A:$A,1,FALSE),"ERRO")</f>
        <v>ERRO</v>
      </c>
      <c r="Z1513"/>
    </row>
    <row r="1514" spans="1:26" ht="15" x14ac:dyDescent="0.25">
      <c r="A1514" s="94"/>
      <c r="B1514" s="32" t="str">
        <f>IF($A1514="","",VLOOKUP($A1514,APOIO!$A:$E,2,FALSE))</f>
        <v/>
      </c>
      <c r="C1514" s="94"/>
      <c r="D1514" s="32" t="str">
        <f>IF($A1514="","",INDEX(APOIO!$D:$D,MATCH(CONCATENATE($A1514,"_",$B1514,"_",$C1514),APOIO!$F:$F,0)))</f>
        <v/>
      </c>
      <c r="E1514" s="31"/>
      <c r="F1514" s="31"/>
      <c r="G1514" s="33"/>
      <c r="H1514" s="105"/>
      <c r="I1514" s="32" t="str">
        <f>IF($A1514="","",VLOOKUP($H1514,APOIO!$L:$M,2,FALSE))</f>
        <v/>
      </c>
      <c r="J1514" s="31"/>
      <c r="K1514" s="32" t="str">
        <f>IF($A1514="","",VLOOKUP($J1514,APOIO!$H:$J,2,FALSE))</f>
        <v/>
      </c>
      <c r="L1514" s="32" t="str">
        <f>IF($A1514="","",VLOOKUP($J1514,APOIO!$H:$J,3,FALSE))</f>
        <v/>
      </c>
      <c r="M1514" s="31"/>
      <c r="N1514" s="34"/>
      <c r="O1514" s="32"/>
      <c r="P1514" s="32"/>
      <c r="Q1514" s="32"/>
      <c r="R1514" s="32"/>
      <c r="S1514" s="35"/>
      <c r="T1514" s="91"/>
      <c r="U1514" s="60"/>
      <c r="V1514" s="36"/>
      <c r="W1514" s="31"/>
      <c r="X1514" s="59"/>
      <c r="Y1514" s="59" t="str">
        <f>IFERROR(VLOOKUP($A1514,APOIO!$A:$A,1,FALSE),"ERRO")</f>
        <v>ERRO</v>
      </c>
      <c r="Z1514"/>
    </row>
    <row r="1515" spans="1:26" ht="15" x14ac:dyDescent="0.25">
      <c r="A1515" s="94"/>
      <c r="B1515" s="32" t="str">
        <f>IF($A1515="","",VLOOKUP($A1515,APOIO!$A:$E,2,FALSE))</f>
        <v/>
      </c>
      <c r="C1515" s="94"/>
      <c r="D1515" s="32" t="str">
        <f>IF($A1515="","",INDEX(APOIO!$D:$D,MATCH(CONCATENATE($A1515,"_",$B1515,"_",$C1515),APOIO!$F:$F,0)))</f>
        <v/>
      </c>
      <c r="E1515" s="31"/>
      <c r="F1515" s="31"/>
      <c r="G1515" s="33"/>
      <c r="H1515" s="105"/>
      <c r="I1515" s="32" t="str">
        <f>IF($A1515="","",VLOOKUP($H1515,APOIO!$L:$M,2,FALSE))</f>
        <v/>
      </c>
      <c r="J1515" s="31"/>
      <c r="K1515" s="32" t="str">
        <f>IF($A1515="","",VLOOKUP($J1515,APOIO!$H:$J,2,FALSE))</f>
        <v/>
      </c>
      <c r="L1515" s="32" t="str">
        <f>IF($A1515="","",VLOOKUP($J1515,APOIO!$H:$J,3,FALSE))</f>
        <v/>
      </c>
      <c r="M1515" s="31"/>
      <c r="N1515" s="34"/>
      <c r="O1515" s="32"/>
      <c r="P1515" s="32"/>
      <c r="Q1515" s="32"/>
      <c r="R1515" s="32"/>
      <c r="S1515" s="35"/>
      <c r="T1515" s="91"/>
      <c r="U1515" s="60"/>
      <c r="V1515" s="36"/>
      <c r="W1515" s="31"/>
      <c r="X1515" s="59"/>
      <c r="Y1515" s="59" t="str">
        <f>IFERROR(VLOOKUP($A1515,APOIO!$A:$A,1,FALSE),"ERRO")</f>
        <v>ERRO</v>
      </c>
      <c r="Z1515"/>
    </row>
    <row r="1516" spans="1:26" ht="15" x14ac:dyDescent="0.25">
      <c r="A1516" s="94"/>
      <c r="B1516" s="32" t="str">
        <f>IF($A1516="","",VLOOKUP($A1516,APOIO!$A:$E,2,FALSE))</f>
        <v/>
      </c>
      <c r="C1516" s="94"/>
      <c r="D1516" s="32" t="str">
        <f>IF($A1516="","",INDEX(APOIO!$D:$D,MATCH(CONCATENATE($A1516,"_",$B1516,"_",$C1516),APOIO!$F:$F,0)))</f>
        <v/>
      </c>
      <c r="E1516" s="31"/>
      <c r="F1516" s="31"/>
      <c r="G1516" s="33"/>
      <c r="H1516" s="105"/>
      <c r="I1516" s="32" t="str">
        <f>IF($A1516="","",VLOOKUP($H1516,APOIO!$L:$M,2,FALSE))</f>
        <v/>
      </c>
      <c r="J1516" s="31"/>
      <c r="K1516" s="32" t="str">
        <f>IF($A1516="","",VLOOKUP($J1516,APOIO!$H:$J,2,FALSE))</f>
        <v/>
      </c>
      <c r="L1516" s="32" t="str">
        <f>IF($A1516="","",VLOOKUP($J1516,APOIO!$H:$J,3,FALSE))</f>
        <v/>
      </c>
      <c r="M1516" s="31"/>
      <c r="N1516" s="34"/>
      <c r="O1516" s="32"/>
      <c r="P1516" s="32"/>
      <c r="Q1516" s="32"/>
      <c r="R1516" s="32"/>
      <c r="S1516" s="35"/>
      <c r="T1516" s="91"/>
      <c r="U1516" s="60"/>
      <c r="V1516" s="36"/>
      <c r="W1516" s="31"/>
      <c r="X1516" s="59"/>
      <c r="Y1516" s="59" t="str">
        <f>IFERROR(VLOOKUP($A1516,APOIO!$A:$A,1,FALSE),"ERRO")</f>
        <v>ERRO</v>
      </c>
      <c r="Z1516"/>
    </row>
    <row r="1517" spans="1:26" ht="15" x14ac:dyDescent="0.25">
      <c r="A1517" s="94"/>
      <c r="B1517" s="32" t="str">
        <f>IF($A1517="","",VLOOKUP($A1517,APOIO!$A:$E,2,FALSE))</f>
        <v/>
      </c>
      <c r="C1517" s="94"/>
      <c r="D1517" s="32" t="str">
        <f>IF($A1517="","",INDEX(APOIO!$D:$D,MATCH(CONCATENATE($A1517,"_",$B1517,"_",$C1517),APOIO!$F:$F,0)))</f>
        <v/>
      </c>
      <c r="E1517" s="31"/>
      <c r="F1517" s="31"/>
      <c r="G1517" s="33"/>
      <c r="H1517" s="105"/>
      <c r="I1517" s="32" t="str">
        <f>IF($A1517="","",VLOOKUP($H1517,APOIO!$L:$M,2,FALSE))</f>
        <v/>
      </c>
      <c r="J1517" s="31"/>
      <c r="K1517" s="32" t="str">
        <f>IF($A1517="","",VLOOKUP($J1517,APOIO!$H:$J,2,FALSE))</f>
        <v/>
      </c>
      <c r="L1517" s="32" t="str">
        <f>IF($A1517="","",VLOOKUP($J1517,APOIO!$H:$J,3,FALSE))</f>
        <v/>
      </c>
      <c r="M1517" s="31"/>
      <c r="N1517" s="34"/>
      <c r="O1517" s="32"/>
      <c r="P1517" s="32"/>
      <c r="Q1517" s="32"/>
      <c r="R1517" s="32"/>
      <c r="S1517" s="35"/>
      <c r="T1517" s="91"/>
      <c r="U1517" s="60"/>
      <c r="V1517" s="36"/>
      <c r="W1517" s="31"/>
      <c r="X1517" s="59"/>
      <c r="Y1517" s="59" t="str">
        <f>IFERROR(VLOOKUP($A1517,APOIO!$A:$A,1,FALSE),"ERRO")</f>
        <v>ERRO</v>
      </c>
      <c r="Z1517"/>
    </row>
    <row r="1518" spans="1:26" ht="15" x14ac:dyDescent="0.25">
      <c r="A1518" s="94"/>
      <c r="B1518" s="32" t="str">
        <f>IF($A1518="","",VLOOKUP($A1518,APOIO!$A:$E,2,FALSE))</f>
        <v/>
      </c>
      <c r="C1518" s="94"/>
      <c r="D1518" s="32" t="str">
        <f>IF($A1518="","",INDEX(APOIO!$D:$D,MATCH(CONCATENATE($A1518,"_",$B1518,"_",$C1518),APOIO!$F:$F,0)))</f>
        <v/>
      </c>
      <c r="E1518" s="31"/>
      <c r="F1518" s="31"/>
      <c r="G1518" s="33"/>
      <c r="H1518" s="105"/>
      <c r="I1518" s="32" t="str">
        <f>IF($A1518="","",VLOOKUP($H1518,APOIO!$L:$M,2,FALSE))</f>
        <v/>
      </c>
      <c r="J1518" s="31"/>
      <c r="K1518" s="32" t="str">
        <f>IF($A1518="","",VLOOKUP($J1518,APOIO!$H:$J,2,FALSE))</f>
        <v/>
      </c>
      <c r="L1518" s="32" t="str">
        <f>IF($A1518="","",VLOOKUP($J1518,APOIO!$H:$J,3,FALSE))</f>
        <v/>
      </c>
      <c r="M1518" s="31"/>
      <c r="N1518" s="34"/>
      <c r="O1518" s="32"/>
      <c r="P1518" s="32"/>
      <c r="Q1518" s="32"/>
      <c r="R1518" s="32"/>
      <c r="S1518" s="35"/>
      <c r="T1518" s="91"/>
      <c r="U1518" s="60"/>
      <c r="V1518" s="36"/>
      <c r="W1518" s="31"/>
      <c r="X1518" s="59"/>
      <c r="Y1518" s="59" t="str">
        <f>IFERROR(VLOOKUP($A1518,APOIO!$A:$A,1,FALSE),"ERRO")</f>
        <v>ERRO</v>
      </c>
      <c r="Z1518"/>
    </row>
    <row r="1519" spans="1:26" ht="15" x14ac:dyDescent="0.25">
      <c r="A1519" s="94"/>
      <c r="B1519" s="32" t="str">
        <f>IF($A1519="","",VLOOKUP($A1519,APOIO!$A:$E,2,FALSE))</f>
        <v/>
      </c>
      <c r="C1519" s="94"/>
      <c r="D1519" s="32" t="str">
        <f>IF($A1519="","",INDEX(APOIO!$D:$D,MATCH(CONCATENATE($A1519,"_",$B1519,"_",$C1519),APOIO!$F:$F,0)))</f>
        <v/>
      </c>
      <c r="E1519" s="31"/>
      <c r="F1519" s="31"/>
      <c r="G1519" s="33"/>
      <c r="H1519" s="105"/>
      <c r="I1519" s="32" t="str">
        <f>IF($A1519="","",VLOOKUP($H1519,APOIO!$L:$M,2,FALSE))</f>
        <v/>
      </c>
      <c r="J1519" s="31"/>
      <c r="K1519" s="32" t="str">
        <f>IF($A1519="","",VLOOKUP($J1519,APOIO!$H:$J,2,FALSE))</f>
        <v/>
      </c>
      <c r="L1519" s="32" t="str">
        <f>IF($A1519="","",VLOOKUP($J1519,APOIO!$H:$J,3,FALSE))</f>
        <v/>
      </c>
      <c r="M1519" s="31"/>
      <c r="N1519" s="34"/>
      <c r="O1519" s="32"/>
      <c r="P1519" s="32"/>
      <c r="Q1519" s="32"/>
      <c r="R1519" s="32"/>
      <c r="S1519" s="35"/>
      <c r="T1519" s="91"/>
      <c r="U1519" s="60"/>
      <c r="V1519" s="36"/>
      <c r="W1519" s="31"/>
      <c r="X1519" s="59"/>
      <c r="Y1519" s="59" t="str">
        <f>IFERROR(VLOOKUP($A1519,APOIO!$A:$A,1,FALSE),"ERRO")</f>
        <v>ERRO</v>
      </c>
      <c r="Z1519"/>
    </row>
    <row r="1520" spans="1:26" ht="15" x14ac:dyDescent="0.25">
      <c r="A1520" s="94"/>
      <c r="B1520" s="32" t="str">
        <f>IF($A1520="","",VLOOKUP($A1520,APOIO!$A:$E,2,FALSE))</f>
        <v/>
      </c>
      <c r="C1520" s="94"/>
      <c r="D1520" s="32" t="str">
        <f>IF($A1520="","",INDEX(APOIO!$D:$D,MATCH(CONCATENATE($A1520,"_",$B1520,"_",$C1520),APOIO!$F:$F,0)))</f>
        <v/>
      </c>
      <c r="E1520" s="31"/>
      <c r="F1520" s="31"/>
      <c r="G1520" s="33"/>
      <c r="H1520" s="105"/>
      <c r="I1520" s="32" t="str">
        <f>IF($A1520="","",VLOOKUP($H1520,APOIO!$L:$M,2,FALSE))</f>
        <v/>
      </c>
      <c r="J1520" s="31"/>
      <c r="K1520" s="32" t="str">
        <f>IF($A1520="","",VLOOKUP($J1520,APOIO!$H:$J,2,FALSE))</f>
        <v/>
      </c>
      <c r="L1520" s="32" t="str">
        <f>IF($A1520="","",VLOOKUP($J1520,APOIO!$H:$J,3,FALSE))</f>
        <v/>
      </c>
      <c r="M1520" s="31"/>
      <c r="N1520" s="34"/>
      <c r="O1520" s="32"/>
      <c r="P1520" s="32"/>
      <c r="Q1520" s="32"/>
      <c r="R1520" s="32"/>
      <c r="S1520" s="35"/>
      <c r="T1520" s="91"/>
      <c r="U1520" s="60"/>
      <c r="V1520" s="36"/>
      <c r="W1520" s="31"/>
      <c r="X1520" s="59"/>
      <c r="Y1520" s="59" t="str">
        <f>IFERROR(VLOOKUP($A1520,APOIO!$A:$A,1,FALSE),"ERRO")</f>
        <v>ERRO</v>
      </c>
      <c r="Z1520"/>
    </row>
    <row r="1521" spans="1:26" ht="15" x14ac:dyDescent="0.25">
      <c r="A1521" s="94"/>
      <c r="B1521" s="32" t="str">
        <f>IF($A1521="","",VLOOKUP($A1521,APOIO!$A:$E,2,FALSE))</f>
        <v/>
      </c>
      <c r="C1521" s="94"/>
      <c r="D1521" s="32" t="str">
        <f>IF($A1521="","",INDEX(APOIO!$D:$D,MATCH(CONCATENATE($A1521,"_",$B1521,"_",$C1521),APOIO!$F:$F,0)))</f>
        <v/>
      </c>
      <c r="E1521" s="31"/>
      <c r="F1521" s="31"/>
      <c r="G1521" s="33"/>
      <c r="H1521" s="105"/>
      <c r="I1521" s="32" t="str">
        <f>IF($A1521="","",VLOOKUP($H1521,APOIO!$L:$M,2,FALSE))</f>
        <v/>
      </c>
      <c r="J1521" s="31"/>
      <c r="K1521" s="32" t="str">
        <f>IF($A1521="","",VLOOKUP($J1521,APOIO!$H:$J,2,FALSE))</f>
        <v/>
      </c>
      <c r="L1521" s="32" t="str">
        <f>IF($A1521="","",VLOOKUP($J1521,APOIO!$H:$J,3,FALSE))</f>
        <v/>
      </c>
      <c r="M1521" s="31"/>
      <c r="N1521" s="34"/>
      <c r="O1521" s="32"/>
      <c r="P1521" s="32"/>
      <c r="Q1521" s="32"/>
      <c r="R1521" s="32"/>
      <c r="S1521" s="35"/>
      <c r="T1521" s="91"/>
      <c r="U1521" s="60"/>
      <c r="V1521" s="36"/>
      <c r="W1521" s="31"/>
      <c r="X1521" s="59"/>
      <c r="Y1521" s="59" t="str">
        <f>IFERROR(VLOOKUP($A1521,APOIO!$A:$A,1,FALSE),"ERRO")</f>
        <v>ERRO</v>
      </c>
      <c r="Z1521"/>
    </row>
    <row r="1522" spans="1:26" ht="15" x14ac:dyDescent="0.25">
      <c r="A1522" s="94"/>
      <c r="B1522" s="32" t="str">
        <f>IF($A1522="","",VLOOKUP($A1522,APOIO!$A:$E,2,FALSE))</f>
        <v/>
      </c>
      <c r="C1522" s="94"/>
      <c r="D1522" s="32" t="str">
        <f>IF($A1522="","",INDEX(APOIO!$D:$D,MATCH(CONCATENATE($A1522,"_",$B1522,"_",$C1522),APOIO!$F:$F,0)))</f>
        <v/>
      </c>
      <c r="E1522" s="31"/>
      <c r="F1522" s="31"/>
      <c r="G1522" s="33"/>
      <c r="H1522" s="105"/>
      <c r="I1522" s="32" t="str">
        <f>IF($A1522="","",VLOOKUP($H1522,APOIO!$L:$M,2,FALSE))</f>
        <v/>
      </c>
      <c r="J1522" s="31"/>
      <c r="K1522" s="32" t="str">
        <f>IF($A1522="","",VLOOKUP($J1522,APOIO!$H:$J,2,FALSE))</f>
        <v/>
      </c>
      <c r="L1522" s="32" t="str">
        <f>IF($A1522="","",VLOOKUP($J1522,APOIO!$H:$J,3,FALSE))</f>
        <v/>
      </c>
      <c r="M1522" s="31"/>
      <c r="N1522" s="34"/>
      <c r="O1522" s="32"/>
      <c r="P1522" s="32"/>
      <c r="Q1522" s="32"/>
      <c r="R1522" s="32"/>
      <c r="S1522" s="35"/>
      <c r="T1522" s="91"/>
      <c r="U1522" s="60"/>
      <c r="V1522" s="36"/>
      <c r="W1522" s="31"/>
      <c r="X1522" s="59"/>
      <c r="Y1522" s="59" t="str">
        <f>IFERROR(VLOOKUP($A1522,APOIO!$A:$A,1,FALSE),"ERRO")</f>
        <v>ERRO</v>
      </c>
      <c r="Z1522"/>
    </row>
    <row r="1523" spans="1:26" ht="15" x14ac:dyDescent="0.25">
      <c r="A1523" s="94"/>
      <c r="B1523" s="32" t="str">
        <f>IF($A1523="","",VLOOKUP($A1523,APOIO!$A:$E,2,FALSE))</f>
        <v/>
      </c>
      <c r="C1523" s="94"/>
      <c r="D1523" s="32" t="str">
        <f>IF($A1523="","",INDEX(APOIO!$D:$D,MATCH(CONCATENATE($A1523,"_",$B1523,"_",$C1523),APOIO!$F:$F,0)))</f>
        <v/>
      </c>
      <c r="E1523" s="31"/>
      <c r="F1523" s="31"/>
      <c r="G1523" s="33"/>
      <c r="H1523" s="105"/>
      <c r="I1523" s="32" t="str">
        <f>IF($A1523="","",VLOOKUP($H1523,APOIO!$L:$M,2,FALSE))</f>
        <v/>
      </c>
      <c r="J1523" s="31"/>
      <c r="K1523" s="32" t="str">
        <f>IF($A1523="","",VLOOKUP($J1523,APOIO!$H:$J,2,FALSE))</f>
        <v/>
      </c>
      <c r="L1523" s="32" t="str">
        <f>IF($A1523="","",VLOOKUP($J1523,APOIO!$H:$J,3,FALSE))</f>
        <v/>
      </c>
      <c r="M1523" s="31"/>
      <c r="N1523" s="34"/>
      <c r="O1523" s="32"/>
      <c r="P1523" s="32"/>
      <c r="Q1523" s="32"/>
      <c r="R1523" s="32"/>
      <c r="S1523" s="35"/>
      <c r="T1523" s="91"/>
      <c r="U1523" s="60"/>
      <c r="V1523" s="36"/>
      <c r="W1523" s="31"/>
      <c r="X1523" s="59"/>
      <c r="Y1523" s="59" t="str">
        <f>IFERROR(VLOOKUP($A1523,APOIO!$A:$A,1,FALSE),"ERRO")</f>
        <v>ERRO</v>
      </c>
      <c r="Z1523"/>
    </row>
    <row r="1524" spans="1:26" ht="15" x14ac:dyDescent="0.25">
      <c r="A1524" s="94"/>
      <c r="B1524" s="32" t="str">
        <f>IF($A1524="","",VLOOKUP($A1524,APOIO!$A:$E,2,FALSE))</f>
        <v/>
      </c>
      <c r="C1524" s="94"/>
      <c r="D1524" s="32" t="str">
        <f>IF($A1524="","",INDEX(APOIO!$D:$D,MATCH(CONCATENATE($A1524,"_",$B1524,"_",$C1524),APOIO!$F:$F,0)))</f>
        <v/>
      </c>
      <c r="E1524" s="31"/>
      <c r="F1524" s="31"/>
      <c r="G1524" s="33"/>
      <c r="H1524" s="105"/>
      <c r="I1524" s="32" t="str">
        <f>IF($A1524="","",VLOOKUP($H1524,APOIO!$L:$M,2,FALSE))</f>
        <v/>
      </c>
      <c r="J1524" s="31"/>
      <c r="K1524" s="32" t="str">
        <f>IF($A1524="","",VLOOKUP($J1524,APOIO!$H:$J,2,FALSE))</f>
        <v/>
      </c>
      <c r="L1524" s="32" t="str">
        <f>IF($A1524="","",VLOOKUP($J1524,APOIO!$H:$J,3,FALSE))</f>
        <v/>
      </c>
      <c r="M1524" s="31"/>
      <c r="N1524" s="34"/>
      <c r="O1524" s="32"/>
      <c r="P1524" s="32"/>
      <c r="Q1524" s="32"/>
      <c r="R1524" s="32"/>
      <c r="S1524" s="35"/>
      <c r="T1524" s="91"/>
      <c r="U1524" s="60"/>
      <c r="V1524" s="36"/>
      <c r="W1524" s="31"/>
      <c r="X1524" s="59"/>
      <c r="Y1524" s="59" t="str">
        <f>IFERROR(VLOOKUP($A1524,APOIO!$A:$A,1,FALSE),"ERRO")</f>
        <v>ERRO</v>
      </c>
      <c r="Z1524"/>
    </row>
    <row r="1525" spans="1:26" ht="15" x14ac:dyDescent="0.25">
      <c r="A1525" s="94"/>
      <c r="B1525" s="32" t="str">
        <f>IF($A1525="","",VLOOKUP($A1525,APOIO!$A:$E,2,FALSE))</f>
        <v/>
      </c>
      <c r="C1525" s="94"/>
      <c r="D1525" s="32" t="str">
        <f>IF($A1525="","",INDEX(APOIO!$D:$D,MATCH(CONCATENATE($A1525,"_",$B1525,"_",$C1525),APOIO!$F:$F,0)))</f>
        <v/>
      </c>
      <c r="E1525" s="31"/>
      <c r="F1525" s="31"/>
      <c r="G1525" s="33"/>
      <c r="H1525" s="105"/>
      <c r="I1525" s="32" t="str">
        <f>IF($A1525="","",VLOOKUP($H1525,APOIO!$L:$M,2,FALSE))</f>
        <v/>
      </c>
      <c r="J1525" s="31"/>
      <c r="K1525" s="32" t="str">
        <f>IF($A1525="","",VLOOKUP($J1525,APOIO!$H:$J,2,FALSE))</f>
        <v/>
      </c>
      <c r="L1525" s="32" t="str">
        <f>IF($A1525="","",VLOOKUP($J1525,APOIO!$H:$J,3,FALSE))</f>
        <v/>
      </c>
      <c r="M1525" s="31"/>
      <c r="N1525" s="34"/>
      <c r="O1525" s="32"/>
      <c r="P1525" s="32"/>
      <c r="Q1525" s="32"/>
      <c r="R1525" s="32"/>
      <c r="S1525" s="35"/>
      <c r="T1525" s="91"/>
      <c r="U1525" s="60"/>
      <c r="V1525" s="36"/>
      <c r="W1525" s="31"/>
      <c r="X1525" s="59"/>
      <c r="Y1525" s="59" t="str">
        <f>IFERROR(VLOOKUP($A1525,APOIO!$A:$A,1,FALSE),"ERRO")</f>
        <v>ERRO</v>
      </c>
      <c r="Z1525"/>
    </row>
    <row r="1526" spans="1:26" ht="15" x14ac:dyDescent="0.25">
      <c r="A1526" s="94"/>
      <c r="B1526" s="32" t="str">
        <f>IF($A1526="","",VLOOKUP($A1526,APOIO!$A:$E,2,FALSE))</f>
        <v/>
      </c>
      <c r="C1526" s="94"/>
      <c r="D1526" s="32" t="str">
        <f>IF($A1526="","",INDEX(APOIO!$D:$D,MATCH(CONCATENATE($A1526,"_",$B1526,"_",$C1526),APOIO!$F:$F,0)))</f>
        <v/>
      </c>
      <c r="E1526" s="31"/>
      <c r="F1526" s="31"/>
      <c r="G1526" s="33"/>
      <c r="H1526" s="105"/>
      <c r="I1526" s="32" t="str">
        <f>IF($A1526="","",VLOOKUP($H1526,APOIO!$L:$M,2,FALSE))</f>
        <v/>
      </c>
      <c r="J1526" s="31"/>
      <c r="K1526" s="32" t="str">
        <f>IF($A1526="","",VLOOKUP($J1526,APOIO!$H:$J,2,FALSE))</f>
        <v/>
      </c>
      <c r="L1526" s="32" t="str">
        <f>IF($A1526="","",VLOOKUP($J1526,APOIO!$H:$J,3,FALSE))</f>
        <v/>
      </c>
      <c r="M1526" s="31"/>
      <c r="N1526" s="34"/>
      <c r="O1526" s="32"/>
      <c r="P1526" s="32"/>
      <c r="Q1526" s="32"/>
      <c r="R1526" s="32"/>
      <c r="S1526" s="35"/>
      <c r="T1526" s="91"/>
      <c r="U1526" s="60"/>
      <c r="V1526" s="36"/>
      <c r="W1526" s="31"/>
      <c r="X1526" s="59"/>
      <c r="Y1526" s="59" t="str">
        <f>IFERROR(VLOOKUP($A1526,APOIO!$A:$A,1,FALSE),"ERRO")</f>
        <v>ERRO</v>
      </c>
      <c r="Z1526"/>
    </row>
    <row r="1527" spans="1:26" ht="15" x14ac:dyDescent="0.25">
      <c r="A1527" s="94"/>
      <c r="B1527" s="32" t="str">
        <f>IF($A1527="","",VLOOKUP($A1527,APOIO!$A:$E,2,FALSE))</f>
        <v/>
      </c>
      <c r="C1527" s="94"/>
      <c r="D1527" s="32" t="str">
        <f>IF($A1527="","",INDEX(APOIO!$D:$D,MATCH(CONCATENATE($A1527,"_",$B1527,"_",$C1527),APOIO!$F:$F,0)))</f>
        <v/>
      </c>
      <c r="E1527" s="31"/>
      <c r="F1527" s="31"/>
      <c r="G1527" s="33"/>
      <c r="H1527" s="105"/>
      <c r="I1527" s="32" t="str">
        <f>IF($A1527="","",VLOOKUP($H1527,APOIO!$L:$M,2,FALSE))</f>
        <v/>
      </c>
      <c r="J1527" s="31"/>
      <c r="K1527" s="32" t="str">
        <f>IF($A1527="","",VLOOKUP($J1527,APOIO!$H:$J,2,FALSE))</f>
        <v/>
      </c>
      <c r="L1527" s="32" t="str">
        <f>IF($A1527="","",VLOOKUP($J1527,APOIO!$H:$J,3,FALSE))</f>
        <v/>
      </c>
      <c r="M1527" s="31"/>
      <c r="N1527" s="34"/>
      <c r="O1527" s="32"/>
      <c r="P1527" s="32"/>
      <c r="Q1527" s="32"/>
      <c r="R1527" s="32"/>
      <c r="S1527" s="35"/>
      <c r="T1527" s="91"/>
      <c r="U1527" s="60"/>
      <c r="V1527" s="36"/>
      <c r="W1527" s="31"/>
      <c r="X1527" s="59"/>
      <c r="Y1527" s="59" t="str">
        <f>IFERROR(VLOOKUP($A1527,APOIO!$A:$A,1,FALSE),"ERRO")</f>
        <v>ERRO</v>
      </c>
      <c r="Z1527"/>
    </row>
    <row r="1528" spans="1:26" ht="15" x14ac:dyDescent="0.25">
      <c r="A1528" s="94"/>
      <c r="B1528" s="32" t="str">
        <f>IF($A1528="","",VLOOKUP($A1528,APOIO!$A:$E,2,FALSE))</f>
        <v/>
      </c>
      <c r="C1528" s="94"/>
      <c r="D1528" s="32" t="str">
        <f>IF($A1528="","",INDEX(APOIO!$D:$D,MATCH(CONCATENATE($A1528,"_",$B1528,"_",$C1528),APOIO!$F:$F,0)))</f>
        <v/>
      </c>
      <c r="E1528" s="31"/>
      <c r="F1528" s="31"/>
      <c r="G1528" s="33"/>
      <c r="H1528" s="105"/>
      <c r="I1528" s="32" t="str">
        <f>IF($A1528="","",VLOOKUP($H1528,APOIO!$L:$M,2,FALSE))</f>
        <v/>
      </c>
      <c r="J1528" s="31"/>
      <c r="K1528" s="32" t="str">
        <f>IF($A1528="","",VLOOKUP($J1528,APOIO!$H:$J,2,FALSE))</f>
        <v/>
      </c>
      <c r="L1528" s="32" t="str">
        <f>IF($A1528="","",VLOOKUP($J1528,APOIO!$H:$J,3,FALSE))</f>
        <v/>
      </c>
      <c r="M1528" s="31"/>
      <c r="N1528" s="34"/>
      <c r="O1528" s="32"/>
      <c r="P1528" s="32"/>
      <c r="Q1528" s="32"/>
      <c r="R1528" s="32"/>
      <c r="S1528" s="35"/>
      <c r="T1528" s="91"/>
      <c r="U1528" s="60"/>
      <c r="V1528" s="36"/>
      <c r="W1528" s="31"/>
      <c r="X1528" s="59"/>
      <c r="Y1528" s="59" t="str">
        <f>IFERROR(VLOOKUP($A1528,APOIO!$A:$A,1,FALSE),"ERRO")</f>
        <v>ERRO</v>
      </c>
      <c r="Z1528"/>
    </row>
    <row r="1529" spans="1:26" ht="15" x14ac:dyDescent="0.25">
      <c r="A1529" s="94"/>
      <c r="B1529" s="32" t="str">
        <f>IF($A1529="","",VLOOKUP($A1529,APOIO!$A:$E,2,FALSE))</f>
        <v/>
      </c>
      <c r="C1529" s="94"/>
      <c r="D1529" s="32" t="str">
        <f>IF($A1529="","",INDEX(APOIO!$D:$D,MATCH(CONCATENATE($A1529,"_",$B1529,"_",$C1529),APOIO!$F:$F,0)))</f>
        <v/>
      </c>
      <c r="E1529" s="31"/>
      <c r="F1529" s="31"/>
      <c r="G1529" s="33"/>
      <c r="H1529" s="105"/>
      <c r="I1529" s="32" t="str">
        <f>IF($A1529="","",VLOOKUP($H1529,APOIO!$L:$M,2,FALSE))</f>
        <v/>
      </c>
      <c r="J1529" s="31"/>
      <c r="K1529" s="32" t="str">
        <f>IF($A1529="","",VLOOKUP($J1529,APOIO!$H:$J,2,FALSE))</f>
        <v/>
      </c>
      <c r="L1529" s="32" t="str">
        <f>IF($A1529="","",VLOOKUP($J1529,APOIO!$H:$J,3,FALSE))</f>
        <v/>
      </c>
      <c r="M1529" s="31"/>
      <c r="N1529" s="34"/>
      <c r="O1529" s="32"/>
      <c r="P1529" s="32"/>
      <c r="Q1529" s="32"/>
      <c r="R1529" s="32"/>
      <c r="S1529" s="35"/>
      <c r="T1529" s="91"/>
      <c r="U1529" s="60"/>
      <c r="V1529" s="36"/>
      <c r="W1529" s="31"/>
      <c r="X1529" s="59"/>
      <c r="Y1529" s="59" t="str">
        <f>IFERROR(VLOOKUP($A1529,APOIO!$A:$A,1,FALSE),"ERRO")</f>
        <v>ERRO</v>
      </c>
      <c r="Z1529"/>
    </row>
    <row r="1530" spans="1:26" ht="15" x14ac:dyDescent="0.25">
      <c r="A1530" s="94"/>
      <c r="B1530" s="32" t="str">
        <f>IF($A1530="","",VLOOKUP($A1530,APOIO!$A:$E,2,FALSE))</f>
        <v/>
      </c>
      <c r="C1530" s="94"/>
      <c r="D1530" s="32" t="str">
        <f>IF($A1530="","",INDEX(APOIO!$D:$D,MATCH(CONCATENATE($A1530,"_",$B1530,"_",$C1530),APOIO!$F:$F,0)))</f>
        <v/>
      </c>
      <c r="E1530" s="31"/>
      <c r="F1530" s="31"/>
      <c r="G1530" s="33"/>
      <c r="H1530" s="105"/>
      <c r="I1530" s="32" t="str">
        <f>IF($A1530="","",VLOOKUP($H1530,APOIO!$L:$M,2,FALSE))</f>
        <v/>
      </c>
      <c r="J1530" s="31"/>
      <c r="K1530" s="32" t="str">
        <f>IF($A1530="","",VLOOKUP($J1530,APOIO!$H:$J,2,FALSE))</f>
        <v/>
      </c>
      <c r="L1530" s="32" t="str">
        <f>IF($A1530="","",VLOOKUP($J1530,APOIO!$H:$J,3,FALSE))</f>
        <v/>
      </c>
      <c r="M1530" s="31"/>
      <c r="N1530" s="34"/>
      <c r="O1530" s="32"/>
      <c r="P1530" s="32"/>
      <c r="Q1530" s="32"/>
      <c r="R1530" s="32"/>
      <c r="S1530" s="35"/>
      <c r="T1530" s="91"/>
      <c r="U1530" s="60"/>
      <c r="V1530" s="36"/>
      <c r="W1530" s="31"/>
      <c r="X1530" s="59"/>
      <c r="Y1530" s="59" t="str">
        <f>IFERROR(VLOOKUP($A1530,APOIO!$A:$A,1,FALSE),"ERRO")</f>
        <v>ERRO</v>
      </c>
      <c r="Z1530"/>
    </row>
    <row r="1531" spans="1:26" ht="15" x14ac:dyDescent="0.25">
      <c r="A1531" s="94"/>
      <c r="B1531" s="32" t="str">
        <f>IF($A1531="","",VLOOKUP($A1531,APOIO!$A:$E,2,FALSE))</f>
        <v/>
      </c>
      <c r="C1531" s="94"/>
      <c r="D1531" s="32" t="str">
        <f>IF($A1531="","",INDEX(APOIO!$D:$D,MATCH(CONCATENATE($A1531,"_",$B1531,"_",$C1531),APOIO!$F:$F,0)))</f>
        <v/>
      </c>
      <c r="E1531" s="31"/>
      <c r="F1531" s="31"/>
      <c r="G1531" s="33"/>
      <c r="H1531" s="105"/>
      <c r="I1531" s="32" t="str">
        <f>IF($A1531="","",VLOOKUP($H1531,APOIO!$L:$M,2,FALSE))</f>
        <v/>
      </c>
      <c r="J1531" s="31"/>
      <c r="K1531" s="32" t="str">
        <f>IF($A1531="","",VLOOKUP($J1531,APOIO!$H:$J,2,FALSE))</f>
        <v/>
      </c>
      <c r="L1531" s="32" t="str">
        <f>IF($A1531="","",VLOOKUP($J1531,APOIO!$H:$J,3,FALSE))</f>
        <v/>
      </c>
      <c r="M1531" s="31"/>
      <c r="N1531" s="34"/>
      <c r="O1531" s="32"/>
      <c r="P1531" s="32"/>
      <c r="Q1531" s="32"/>
      <c r="R1531" s="32"/>
      <c r="S1531" s="35"/>
      <c r="T1531" s="91"/>
      <c r="U1531" s="60"/>
      <c r="V1531" s="36"/>
      <c r="W1531" s="31"/>
      <c r="X1531" s="59"/>
      <c r="Y1531" s="59" t="str">
        <f>IFERROR(VLOOKUP($A1531,APOIO!$A:$A,1,FALSE),"ERRO")</f>
        <v>ERRO</v>
      </c>
      <c r="Z1531"/>
    </row>
    <row r="1532" spans="1:26" ht="15" x14ac:dyDescent="0.25">
      <c r="A1532" s="94"/>
      <c r="B1532" s="32" t="str">
        <f>IF($A1532="","",VLOOKUP($A1532,APOIO!$A:$E,2,FALSE))</f>
        <v/>
      </c>
      <c r="C1532" s="94"/>
      <c r="D1532" s="32" t="str">
        <f>IF($A1532="","",INDEX(APOIO!$D:$D,MATCH(CONCATENATE($A1532,"_",$B1532,"_",$C1532),APOIO!$F:$F,0)))</f>
        <v/>
      </c>
      <c r="E1532" s="31"/>
      <c r="F1532" s="31"/>
      <c r="G1532" s="33"/>
      <c r="H1532" s="105"/>
      <c r="I1532" s="32" t="str">
        <f>IF($A1532="","",VLOOKUP($H1532,APOIO!$L:$M,2,FALSE))</f>
        <v/>
      </c>
      <c r="J1532" s="31"/>
      <c r="K1532" s="32" t="str">
        <f>IF($A1532="","",VLOOKUP($J1532,APOIO!$H:$J,2,FALSE))</f>
        <v/>
      </c>
      <c r="L1532" s="32" t="str">
        <f>IF($A1532="","",VLOOKUP($J1532,APOIO!$H:$J,3,FALSE))</f>
        <v/>
      </c>
      <c r="M1532" s="31"/>
      <c r="N1532" s="34"/>
      <c r="O1532" s="32"/>
      <c r="P1532" s="32"/>
      <c r="Q1532" s="32"/>
      <c r="R1532" s="32"/>
      <c r="S1532" s="35"/>
      <c r="T1532" s="91"/>
      <c r="U1532" s="60"/>
      <c r="V1532" s="36"/>
      <c r="W1532" s="31"/>
      <c r="X1532" s="59"/>
      <c r="Y1532" s="59" t="str">
        <f>IFERROR(VLOOKUP($A1532,APOIO!$A:$A,1,FALSE),"ERRO")</f>
        <v>ERRO</v>
      </c>
      <c r="Z1532"/>
    </row>
    <row r="1533" spans="1:26" ht="15" x14ac:dyDescent="0.25">
      <c r="A1533" s="94"/>
      <c r="B1533" s="32" t="str">
        <f>IF($A1533="","",VLOOKUP($A1533,APOIO!$A:$E,2,FALSE))</f>
        <v/>
      </c>
      <c r="C1533" s="94"/>
      <c r="D1533" s="32" t="str">
        <f>IF($A1533="","",INDEX(APOIO!$D:$D,MATCH(CONCATENATE($A1533,"_",$B1533,"_",$C1533),APOIO!$F:$F,0)))</f>
        <v/>
      </c>
      <c r="E1533" s="31"/>
      <c r="F1533" s="31"/>
      <c r="G1533" s="33"/>
      <c r="H1533" s="105"/>
      <c r="I1533" s="32" t="str">
        <f>IF($A1533="","",VLOOKUP($H1533,APOIO!$L:$M,2,FALSE))</f>
        <v/>
      </c>
      <c r="J1533" s="31"/>
      <c r="K1533" s="32" t="str">
        <f>IF($A1533="","",VLOOKUP($J1533,APOIO!$H:$J,2,FALSE))</f>
        <v/>
      </c>
      <c r="L1533" s="32" t="str">
        <f>IF($A1533="","",VLOOKUP($J1533,APOIO!$H:$J,3,FALSE))</f>
        <v/>
      </c>
      <c r="M1533" s="31"/>
      <c r="N1533" s="34"/>
      <c r="O1533" s="32"/>
      <c r="P1533" s="32"/>
      <c r="Q1533" s="32"/>
      <c r="R1533" s="32"/>
      <c r="S1533" s="35"/>
      <c r="T1533" s="91"/>
      <c r="U1533" s="60"/>
      <c r="V1533" s="36"/>
      <c r="W1533" s="31"/>
      <c r="X1533" s="59"/>
      <c r="Y1533" s="59" t="str">
        <f>IFERROR(VLOOKUP($A1533,APOIO!$A:$A,1,FALSE),"ERRO")</f>
        <v>ERRO</v>
      </c>
      <c r="Z1533"/>
    </row>
    <row r="1534" spans="1:26" ht="15" x14ac:dyDescent="0.25">
      <c r="A1534" s="94"/>
      <c r="B1534" s="32" t="str">
        <f>IF($A1534="","",VLOOKUP($A1534,APOIO!$A:$E,2,FALSE))</f>
        <v/>
      </c>
      <c r="C1534" s="94"/>
      <c r="D1534" s="32" t="str">
        <f>IF($A1534="","",INDEX(APOIO!$D:$D,MATCH(CONCATENATE($A1534,"_",$B1534,"_",$C1534),APOIO!$F:$F,0)))</f>
        <v/>
      </c>
      <c r="E1534" s="31"/>
      <c r="F1534" s="31"/>
      <c r="G1534" s="33"/>
      <c r="H1534" s="105"/>
      <c r="I1534" s="32" t="str">
        <f>IF($A1534="","",VLOOKUP($H1534,APOIO!$L:$M,2,FALSE))</f>
        <v/>
      </c>
      <c r="J1534" s="31"/>
      <c r="K1534" s="32" t="str">
        <f>IF($A1534="","",VLOOKUP($J1534,APOIO!$H:$J,2,FALSE))</f>
        <v/>
      </c>
      <c r="L1534" s="32" t="str">
        <f>IF($A1534="","",VLOOKUP($J1534,APOIO!$H:$J,3,FALSE))</f>
        <v/>
      </c>
      <c r="M1534" s="31"/>
      <c r="N1534" s="34"/>
      <c r="O1534" s="32"/>
      <c r="P1534" s="32"/>
      <c r="Q1534" s="32"/>
      <c r="R1534" s="32"/>
      <c r="S1534" s="35"/>
      <c r="T1534" s="91"/>
      <c r="U1534" s="60"/>
      <c r="V1534" s="36"/>
      <c r="W1534" s="31"/>
      <c r="X1534" s="59"/>
      <c r="Y1534" s="59" t="str">
        <f>IFERROR(VLOOKUP($A1534,APOIO!$A:$A,1,FALSE),"ERRO")</f>
        <v>ERRO</v>
      </c>
      <c r="Z1534"/>
    </row>
    <row r="1535" spans="1:26" ht="15" x14ac:dyDescent="0.25">
      <c r="A1535" s="94"/>
      <c r="B1535" s="32" t="str">
        <f>IF($A1535="","",VLOOKUP($A1535,APOIO!$A:$E,2,FALSE))</f>
        <v/>
      </c>
      <c r="C1535" s="94"/>
      <c r="D1535" s="32" t="str">
        <f>IF($A1535="","",INDEX(APOIO!$D:$D,MATCH(CONCATENATE($A1535,"_",$B1535,"_",$C1535),APOIO!$F:$F,0)))</f>
        <v/>
      </c>
      <c r="E1535" s="31"/>
      <c r="F1535" s="31"/>
      <c r="G1535" s="33"/>
      <c r="H1535" s="105"/>
      <c r="I1535" s="32" t="str">
        <f>IF($A1535="","",VLOOKUP($H1535,APOIO!$L:$M,2,FALSE))</f>
        <v/>
      </c>
      <c r="J1535" s="31"/>
      <c r="K1535" s="32" t="str">
        <f>IF($A1535="","",VLOOKUP($J1535,APOIO!$H:$J,2,FALSE))</f>
        <v/>
      </c>
      <c r="L1535" s="32" t="str">
        <f>IF($A1535="","",VLOOKUP($J1535,APOIO!$H:$J,3,FALSE))</f>
        <v/>
      </c>
      <c r="M1535" s="31"/>
      <c r="N1535" s="34"/>
      <c r="O1535" s="32"/>
      <c r="P1535" s="32"/>
      <c r="Q1535" s="32"/>
      <c r="R1535" s="32"/>
      <c r="S1535" s="35"/>
      <c r="T1535" s="91"/>
      <c r="U1535" s="60"/>
      <c r="V1535" s="36"/>
      <c r="W1535" s="31"/>
      <c r="X1535" s="59"/>
      <c r="Y1535" s="59" t="str">
        <f>IFERROR(VLOOKUP($A1535,APOIO!$A:$A,1,FALSE),"ERRO")</f>
        <v>ERRO</v>
      </c>
      <c r="Z1535"/>
    </row>
    <row r="1536" spans="1:26" ht="15" x14ac:dyDescent="0.25">
      <c r="A1536" s="94"/>
      <c r="B1536" s="32" t="str">
        <f>IF($A1536="","",VLOOKUP($A1536,APOIO!$A:$E,2,FALSE))</f>
        <v/>
      </c>
      <c r="C1536" s="94"/>
      <c r="D1536" s="32" t="str">
        <f>IF($A1536="","",INDEX(APOIO!$D:$D,MATCH(CONCATENATE($A1536,"_",$B1536,"_",$C1536),APOIO!$F:$F,0)))</f>
        <v/>
      </c>
      <c r="E1536" s="31"/>
      <c r="F1536" s="31"/>
      <c r="G1536" s="33"/>
      <c r="H1536" s="105"/>
      <c r="I1536" s="32" t="str">
        <f>IF($A1536="","",VLOOKUP($H1536,APOIO!$L:$M,2,FALSE))</f>
        <v/>
      </c>
      <c r="J1536" s="31"/>
      <c r="K1536" s="32" t="str">
        <f>IF($A1536="","",VLOOKUP($J1536,APOIO!$H:$J,2,FALSE))</f>
        <v/>
      </c>
      <c r="L1536" s="32" t="str">
        <f>IF($A1536="","",VLOOKUP($J1536,APOIO!$H:$J,3,FALSE))</f>
        <v/>
      </c>
      <c r="M1536" s="31"/>
      <c r="N1536" s="34"/>
      <c r="O1536" s="32"/>
      <c r="P1536" s="32"/>
      <c r="Q1536" s="32"/>
      <c r="R1536" s="32"/>
      <c r="S1536" s="35"/>
      <c r="T1536" s="91"/>
      <c r="U1536" s="60"/>
      <c r="V1536" s="36"/>
      <c r="W1536" s="31"/>
      <c r="X1536" s="59"/>
      <c r="Y1536" s="59" t="str">
        <f>IFERROR(VLOOKUP($A1536,APOIO!$A:$A,1,FALSE),"ERRO")</f>
        <v>ERRO</v>
      </c>
      <c r="Z1536"/>
    </row>
    <row r="1537" spans="1:26" ht="15" x14ac:dyDescent="0.25">
      <c r="A1537" s="94"/>
      <c r="B1537" s="32" t="str">
        <f>IF($A1537="","",VLOOKUP($A1537,APOIO!$A:$E,2,FALSE))</f>
        <v/>
      </c>
      <c r="C1537" s="94"/>
      <c r="D1537" s="32" t="str">
        <f>IF($A1537="","",INDEX(APOIO!$D:$D,MATCH(CONCATENATE($A1537,"_",$B1537,"_",$C1537),APOIO!$F:$F,0)))</f>
        <v/>
      </c>
      <c r="E1537" s="31"/>
      <c r="F1537" s="31"/>
      <c r="G1537" s="33"/>
      <c r="H1537" s="105"/>
      <c r="I1537" s="32" t="str">
        <f>IF($A1537="","",VLOOKUP($H1537,APOIO!$L:$M,2,FALSE))</f>
        <v/>
      </c>
      <c r="J1537" s="31"/>
      <c r="K1537" s="32" t="str">
        <f>IF($A1537="","",VLOOKUP($J1537,APOIO!$H:$J,2,FALSE))</f>
        <v/>
      </c>
      <c r="L1537" s="32" t="str">
        <f>IF($A1537="","",VLOOKUP($J1537,APOIO!$H:$J,3,FALSE))</f>
        <v/>
      </c>
      <c r="M1537" s="31"/>
      <c r="N1537" s="34"/>
      <c r="O1537" s="32"/>
      <c r="P1537" s="32"/>
      <c r="Q1537" s="32"/>
      <c r="R1537" s="32"/>
      <c r="S1537" s="35"/>
      <c r="T1537" s="91"/>
      <c r="U1537" s="60"/>
      <c r="V1537" s="36"/>
      <c r="W1537" s="31"/>
      <c r="X1537" s="59"/>
      <c r="Y1537" s="59" t="str">
        <f>IFERROR(VLOOKUP($A1537,APOIO!$A:$A,1,FALSE),"ERRO")</f>
        <v>ERRO</v>
      </c>
      <c r="Z1537"/>
    </row>
    <row r="1538" spans="1:26" ht="15" x14ac:dyDescent="0.25">
      <c r="A1538" s="94"/>
      <c r="B1538" s="32" t="str">
        <f>IF($A1538="","",VLOOKUP($A1538,APOIO!$A:$E,2,FALSE))</f>
        <v/>
      </c>
      <c r="C1538" s="94"/>
      <c r="D1538" s="32" t="str">
        <f>IF($A1538="","",INDEX(APOIO!$D:$D,MATCH(CONCATENATE($A1538,"_",$B1538,"_",$C1538),APOIO!$F:$F,0)))</f>
        <v/>
      </c>
      <c r="E1538" s="31"/>
      <c r="F1538" s="31"/>
      <c r="G1538" s="33"/>
      <c r="H1538" s="105"/>
      <c r="I1538" s="32" t="str">
        <f>IF($A1538="","",VLOOKUP($H1538,APOIO!$L:$M,2,FALSE))</f>
        <v/>
      </c>
      <c r="J1538" s="31"/>
      <c r="K1538" s="32" t="str">
        <f>IF($A1538="","",VLOOKUP($J1538,APOIO!$H:$J,2,FALSE))</f>
        <v/>
      </c>
      <c r="L1538" s="32" t="str">
        <f>IF($A1538="","",VLOOKUP($J1538,APOIO!$H:$J,3,FALSE))</f>
        <v/>
      </c>
      <c r="M1538" s="31"/>
      <c r="N1538" s="34"/>
      <c r="O1538" s="32"/>
      <c r="P1538" s="32"/>
      <c r="Q1538" s="32"/>
      <c r="R1538" s="32"/>
      <c r="S1538" s="35"/>
      <c r="T1538" s="91"/>
      <c r="U1538" s="60"/>
      <c r="V1538" s="36"/>
      <c r="W1538" s="31"/>
      <c r="X1538" s="59"/>
      <c r="Y1538" s="59" t="str">
        <f>IFERROR(VLOOKUP($A1538,APOIO!$A:$A,1,FALSE),"ERRO")</f>
        <v>ERRO</v>
      </c>
      <c r="Z1538"/>
    </row>
    <row r="1539" spans="1:26" ht="15" x14ac:dyDescent="0.25">
      <c r="A1539" s="94"/>
      <c r="B1539" s="32" t="str">
        <f>IF($A1539="","",VLOOKUP($A1539,APOIO!$A:$E,2,FALSE))</f>
        <v/>
      </c>
      <c r="C1539" s="94"/>
      <c r="D1539" s="32" t="str">
        <f>IF($A1539="","",INDEX(APOIO!$D:$D,MATCH(CONCATENATE($A1539,"_",$B1539,"_",$C1539),APOIO!$F:$F,0)))</f>
        <v/>
      </c>
      <c r="E1539" s="31"/>
      <c r="F1539" s="31"/>
      <c r="G1539" s="33"/>
      <c r="H1539" s="105"/>
      <c r="I1539" s="32" t="str">
        <f>IF($A1539="","",VLOOKUP($H1539,APOIO!$L:$M,2,FALSE))</f>
        <v/>
      </c>
      <c r="J1539" s="31"/>
      <c r="K1539" s="32" t="str">
        <f>IF($A1539="","",VLOOKUP($J1539,APOIO!$H:$J,2,FALSE))</f>
        <v/>
      </c>
      <c r="L1539" s="32" t="str">
        <f>IF($A1539="","",VLOOKUP($J1539,APOIO!$H:$J,3,FALSE))</f>
        <v/>
      </c>
      <c r="M1539" s="31"/>
      <c r="N1539" s="34"/>
      <c r="O1539" s="32"/>
      <c r="P1539" s="32"/>
      <c r="Q1539" s="32"/>
      <c r="R1539" s="32"/>
      <c r="S1539" s="35"/>
      <c r="T1539" s="91"/>
      <c r="U1539" s="60"/>
      <c r="V1539" s="36"/>
      <c r="W1539" s="31"/>
      <c r="X1539" s="59"/>
      <c r="Y1539" s="59" t="str">
        <f>IFERROR(VLOOKUP($A1539,APOIO!$A:$A,1,FALSE),"ERRO")</f>
        <v>ERRO</v>
      </c>
      <c r="Z1539"/>
    </row>
    <row r="1540" spans="1:26" ht="15" x14ac:dyDescent="0.25">
      <c r="A1540" s="94"/>
      <c r="B1540" s="32" t="str">
        <f>IF($A1540="","",VLOOKUP($A1540,APOIO!$A:$E,2,FALSE))</f>
        <v/>
      </c>
      <c r="C1540" s="94"/>
      <c r="D1540" s="32" t="str">
        <f>IF($A1540="","",INDEX(APOIO!$D:$D,MATCH(CONCATENATE($A1540,"_",$B1540,"_",$C1540),APOIO!$F:$F,0)))</f>
        <v/>
      </c>
      <c r="E1540" s="31"/>
      <c r="F1540" s="31"/>
      <c r="G1540" s="33"/>
      <c r="H1540" s="105"/>
      <c r="I1540" s="32" t="str">
        <f>IF($A1540="","",VLOOKUP($H1540,APOIO!$L:$M,2,FALSE))</f>
        <v/>
      </c>
      <c r="J1540" s="31"/>
      <c r="K1540" s="32" t="str">
        <f>IF($A1540="","",VLOOKUP($J1540,APOIO!$H:$J,2,FALSE))</f>
        <v/>
      </c>
      <c r="L1540" s="32" t="str">
        <f>IF($A1540="","",VLOOKUP($J1540,APOIO!$H:$J,3,FALSE))</f>
        <v/>
      </c>
      <c r="M1540" s="31"/>
      <c r="N1540" s="34"/>
      <c r="O1540" s="32"/>
      <c r="P1540" s="32"/>
      <c r="Q1540" s="32"/>
      <c r="R1540" s="32"/>
      <c r="S1540" s="35"/>
      <c r="T1540" s="91"/>
      <c r="U1540" s="60"/>
      <c r="V1540" s="36"/>
      <c r="W1540" s="31"/>
      <c r="X1540" s="59"/>
      <c r="Y1540" s="59" t="str">
        <f>IFERROR(VLOOKUP($A1540,APOIO!$A:$A,1,FALSE),"ERRO")</f>
        <v>ERRO</v>
      </c>
      <c r="Z1540"/>
    </row>
    <row r="1541" spans="1:26" ht="15" x14ac:dyDescent="0.25">
      <c r="A1541" s="94"/>
      <c r="B1541" s="32" t="str">
        <f>IF($A1541="","",VLOOKUP($A1541,APOIO!$A:$E,2,FALSE))</f>
        <v/>
      </c>
      <c r="C1541" s="94"/>
      <c r="D1541" s="32" t="str">
        <f>IF($A1541="","",INDEX(APOIO!$D:$D,MATCH(CONCATENATE($A1541,"_",$B1541,"_",$C1541),APOIO!$F:$F,0)))</f>
        <v/>
      </c>
      <c r="E1541" s="31"/>
      <c r="F1541" s="31"/>
      <c r="G1541" s="33"/>
      <c r="H1541" s="105"/>
      <c r="I1541" s="32" t="str">
        <f>IF($A1541="","",VLOOKUP($H1541,APOIO!$L:$M,2,FALSE))</f>
        <v/>
      </c>
      <c r="J1541" s="31"/>
      <c r="K1541" s="32" t="str">
        <f>IF($A1541="","",VLOOKUP($J1541,APOIO!$H:$J,2,FALSE))</f>
        <v/>
      </c>
      <c r="L1541" s="32" t="str">
        <f>IF($A1541="","",VLOOKUP($J1541,APOIO!$H:$J,3,FALSE))</f>
        <v/>
      </c>
      <c r="M1541" s="31"/>
      <c r="N1541" s="34"/>
      <c r="O1541" s="32"/>
      <c r="P1541" s="32"/>
      <c r="Q1541" s="32"/>
      <c r="R1541" s="32"/>
      <c r="S1541" s="35"/>
      <c r="T1541" s="91"/>
      <c r="U1541" s="60"/>
      <c r="V1541" s="36"/>
      <c r="W1541" s="31"/>
      <c r="X1541" s="59"/>
      <c r="Y1541" s="59" t="str">
        <f>IFERROR(VLOOKUP($A1541,APOIO!$A:$A,1,FALSE),"ERRO")</f>
        <v>ERRO</v>
      </c>
      <c r="Z1541"/>
    </row>
    <row r="1542" spans="1:26" ht="15" x14ac:dyDescent="0.25">
      <c r="A1542" s="94"/>
      <c r="B1542" s="32" t="str">
        <f>IF($A1542="","",VLOOKUP($A1542,APOIO!$A:$E,2,FALSE))</f>
        <v/>
      </c>
      <c r="C1542" s="94"/>
      <c r="D1542" s="32" t="str">
        <f>IF($A1542="","",INDEX(APOIO!$D:$D,MATCH(CONCATENATE($A1542,"_",$B1542,"_",$C1542),APOIO!$F:$F,0)))</f>
        <v/>
      </c>
      <c r="E1542" s="31"/>
      <c r="F1542" s="31"/>
      <c r="G1542" s="33"/>
      <c r="H1542" s="105"/>
      <c r="I1542" s="32" t="str">
        <f>IF($A1542="","",VLOOKUP($H1542,APOIO!$L:$M,2,FALSE))</f>
        <v/>
      </c>
      <c r="J1542" s="31"/>
      <c r="K1542" s="32" t="str">
        <f>IF($A1542="","",VLOOKUP($J1542,APOIO!$H:$J,2,FALSE))</f>
        <v/>
      </c>
      <c r="L1542" s="32" t="str">
        <f>IF($A1542="","",VLOOKUP($J1542,APOIO!$H:$J,3,FALSE))</f>
        <v/>
      </c>
      <c r="M1542" s="31"/>
      <c r="N1542" s="34"/>
      <c r="O1542" s="32"/>
      <c r="P1542" s="32"/>
      <c r="Q1542" s="32"/>
      <c r="R1542" s="32"/>
      <c r="S1542" s="35"/>
      <c r="T1542" s="91"/>
      <c r="U1542" s="60"/>
      <c r="V1542" s="36"/>
      <c r="W1542" s="31"/>
      <c r="X1542" s="59"/>
      <c r="Y1542" s="59" t="str">
        <f>IFERROR(VLOOKUP($A1542,APOIO!$A:$A,1,FALSE),"ERRO")</f>
        <v>ERRO</v>
      </c>
      <c r="Z1542"/>
    </row>
    <row r="1543" spans="1:26" ht="15" x14ac:dyDescent="0.25">
      <c r="A1543" s="94"/>
      <c r="B1543" s="32" t="str">
        <f>IF($A1543="","",VLOOKUP($A1543,APOIO!$A:$E,2,FALSE))</f>
        <v/>
      </c>
      <c r="C1543" s="94"/>
      <c r="D1543" s="32" t="str">
        <f>IF($A1543="","",INDEX(APOIO!$D:$D,MATCH(CONCATENATE($A1543,"_",$B1543,"_",$C1543),APOIO!$F:$F,0)))</f>
        <v/>
      </c>
      <c r="E1543" s="31"/>
      <c r="F1543" s="31"/>
      <c r="G1543" s="33"/>
      <c r="H1543" s="105"/>
      <c r="I1543" s="32" t="str">
        <f>IF($A1543="","",VLOOKUP($H1543,APOIO!$L:$M,2,FALSE))</f>
        <v/>
      </c>
      <c r="J1543" s="31"/>
      <c r="K1543" s="32" t="str">
        <f>IF($A1543="","",VLOOKUP($J1543,APOIO!$H:$J,2,FALSE))</f>
        <v/>
      </c>
      <c r="L1543" s="32" t="str">
        <f>IF($A1543="","",VLOOKUP($J1543,APOIO!$H:$J,3,FALSE))</f>
        <v/>
      </c>
      <c r="M1543" s="31"/>
      <c r="N1543" s="34"/>
      <c r="O1543" s="32"/>
      <c r="P1543" s="32"/>
      <c r="Q1543" s="32"/>
      <c r="R1543" s="32"/>
      <c r="S1543" s="35"/>
      <c r="T1543" s="91"/>
      <c r="U1543" s="60"/>
      <c r="V1543" s="36"/>
      <c r="W1543" s="31"/>
      <c r="X1543" s="59"/>
      <c r="Y1543" s="59" t="str">
        <f>IFERROR(VLOOKUP($A1543,APOIO!$A:$A,1,FALSE),"ERRO")</f>
        <v>ERRO</v>
      </c>
      <c r="Z1543"/>
    </row>
    <row r="1544" spans="1:26" ht="15" x14ac:dyDescent="0.25">
      <c r="A1544" s="94"/>
      <c r="B1544" s="32" t="str">
        <f>IF($A1544="","",VLOOKUP($A1544,APOIO!$A:$E,2,FALSE))</f>
        <v/>
      </c>
      <c r="C1544" s="94"/>
      <c r="D1544" s="32" t="str">
        <f>IF($A1544="","",INDEX(APOIO!$D:$D,MATCH(CONCATENATE($A1544,"_",$B1544,"_",$C1544),APOIO!$F:$F,0)))</f>
        <v/>
      </c>
      <c r="E1544" s="31"/>
      <c r="F1544" s="31"/>
      <c r="G1544" s="33"/>
      <c r="H1544" s="105"/>
      <c r="I1544" s="32" t="str">
        <f>IF($A1544="","",VLOOKUP($H1544,APOIO!$L:$M,2,FALSE))</f>
        <v/>
      </c>
      <c r="J1544" s="31"/>
      <c r="K1544" s="32" t="str">
        <f>IF($A1544="","",VLOOKUP($J1544,APOIO!$H:$J,2,FALSE))</f>
        <v/>
      </c>
      <c r="L1544" s="32" t="str">
        <f>IF($A1544="","",VLOOKUP($J1544,APOIO!$H:$J,3,FALSE))</f>
        <v/>
      </c>
      <c r="M1544" s="31"/>
      <c r="N1544" s="34"/>
      <c r="O1544" s="32"/>
      <c r="P1544" s="32"/>
      <c r="Q1544" s="32"/>
      <c r="R1544" s="32"/>
      <c r="S1544" s="35"/>
      <c r="T1544" s="91"/>
      <c r="U1544" s="60"/>
      <c r="V1544" s="36"/>
      <c r="W1544" s="31"/>
      <c r="X1544" s="59"/>
      <c r="Y1544" s="59" t="str">
        <f>IFERROR(VLOOKUP($A1544,APOIO!$A:$A,1,FALSE),"ERRO")</f>
        <v>ERRO</v>
      </c>
      <c r="Z1544"/>
    </row>
    <row r="1545" spans="1:26" ht="15" x14ac:dyDescent="0.25">
      <c r="A1545" s="94"/>
      <c r="B1545" s="32" t="str">
        <f>IF($A1545="","",VLOOKUP($A1545,APOIO!$A:$E,2,FALSE))</f>
        <v/>
      </c>
      <c r="C1545" s="94"/>
      <c r="D1545" s="32" t="str">
        <f>IF($A1545="","",INDEX(APOIO!$D:$D,MATCH(CONCATENATE($A1545,"_",$B1545,"_",$C1545),APOIO!$F:$F,0)))</f>
        <v/>
      </c>
      <c r="E1545" s="31"/>
      <c r="F1545" s="31"/>
      <c r="G1545" s="33"/>
      <c r="H1545" s="105"/>
      <c r="I1545" s="32" t="str">
        <f>IF($A1545="","",VLOOKUP($H1545,APOIO!$L:$M,2,FALSE))</f>
        <v/>
      </c>
      <c r="J1545" s="31"/>
      <c r="K1545" s="32" t="str">
        <f>IF($A1545="","",VLOOKUP($J1545,APOIO!$H:$J,2,FALSE))</f>
        <v/>
      </c>
      <c r="L1545" s="32" t="str">
        <f>IF($A1545="","",VLOOKUP($J1545,APOIO!$H:$J,3,FALSE))</f>
        <v/>
      </c>
      <c r="M1545" s="31"/>
      <c r="N1545" s="34"/>
      <c r="O1545" s="32"/>
      <c r="P1545" s="32"/>
      <c r="Q1545" s="32"/>
      <c r="R1545" s="32"/>
      <c r="S1545" s="35"/>
      <c r="T1545" s="91"/>
      <c r="U1545" s="60"/>
      <c r="V1545" s="36"/>
      <c r="W1545" s="31"/>
      <c r="X1545" s="59"/>
      <c r="Y1545" s="59" t="str">
        <f>IFERROR(VLOOKUP($A1545,APOIO!$A:$A,1,FALSE),"ERRO")</f>
        <v>ERRO</v>
      </c>
      <c r="Z1545"/>
    </row>
    <row r="1546" spans="1:26" ht="15" x14ac:dyDescent="0.25">
      <c r="A1546" s="94"/>
      <c r="B1546" s="32" t="str">
        <f>IF($A1546="","",VLOOKUP($A1546,APOIO!$A:$E,2,FALSE))</f>
        <v/>
      </c>
      <c r="C1546" s="94"/>
      <c r="D1546" s="32" t="str">
        <f>IF($A1546="","",INDEX(APOIO!$D:$D,MATCH(CONCATENATE($A1546,"_",$B1546,"_",$C1546),APOIO!$F:$F,0)))</f>
        <v/>
      </c>
      <c r="E1546" s="31"/>
      <c r="F1546" s="31"/>
      <c r="G1546" s="33"/>
      <c r="H1546" s="105"/>
      <c r="I1546" s="32" t="str">
        <f>IF($A1546="","",VLOOKUP($H1546,APOIO!$L:$M,2,FALSE))</f>
        <v/>
      </c>
      <c r="J1546" s="31"/>
      <c r="K1546" s="32" t="str">
        <f>IF($A1546="","",VLOOKUP($J1546,APOIO!$H:$J,2,FALSE))</f>
        <v/>
      </c>
      <c r="L1546" s="32" t="str">
        <f>IF($A1546="","",VLOOKUP($J1546,APOIO!$H:$J,3,FALSE))</f>
        <v/>
      </c>
      <c r="M1546" s="31"/>
      <c r="N1546" s="34"/>
      <c r="O1546" s="32"/>
      <c r="P1546" s="32"/>
      <c r="Q1546" s="32"/>
      <c r="R1546" s="32"/>
      <c r="S1546" s="35"/>
      <c r="T1546" s="91"/>
      <c r="U1546" s="60"/>
      <c r="V1546" s="36"/>
      <c r="W1546" s="31"/>
      <c r="X1546" s="59"/>
      <c r="Y1546" s="59" t="str">
        <f>IFERROR(VLOOKUP($A1546,APOIO!$A:$A,1,FALSE),"ERRO")</f>
        <v>ERRO</v>
      </c>
      <c r="Z1546"/>
    </row>
    <row r="1547" spans="1:26" ht="15" x14ac:dyDescent="0.25">
      <c r="A1547" s="94"/>
      <c r="B1547" s="32" t="str">
        <f>IF($A1547="","",VLOOKUP($A1547,APOIO!$A:$E,2,FALSE))</f>
        <v/>
      </c>
      <c r="C1547" s="94"/>
      <c r="D1547" s="32" t="str">
        <f>IF($A1547="","",INDEX(APOIO!$D:$D,MATCH(CONCATENATE($A1547,"_",$B1547,"_",$C1547),APOIO!$F:$F,0)))</f>
        <v/>
      </c>
      <c r="E1547" s="31"/>
      <c r="F1547" s="31"/>
      <c r="G1547" s="33"/>
      <c r="H1547" s="105"/>
      <c r="I1547" s="32" t="str">
        <f>IF($A1547="","",VLOOKUP($H1547,APOIO!$L:$M,2,FALSE))</f>
        <v/>
      </c>
      <c r="J1547" s="31"/>
      <c r="K1547" s="32" t="str">
        <f>IF($A1547="","",VLOOKUP($J1547,APOIO!$H:$J,2,FALSE))</f>
        <v/>
      </c>
      <c r="L1547" s="32" t="str">
        <f>IF($A1547="","",VLOOKUP($J1547,APOIO!$H:$J,3,FALSE))</f>
        <v/>
      </c>
      <c r="M1547" s="31"/>
      <c r="N1547" s="34"/>
      <c r="O1547" s="32"/>
      <c r="P1547" s="32"/>
      <c r="Q1547" s="32"/>
      <c r="R1547" s="32"/>
      <c r="S1547" s="35"/>
      <c r="T1547" s="91"/>
      <c r="U1547" s="60"/>
      <c r="V1547" s="36"/>
      <c r="W1547" s="31"/>
      <c r="X1547" s="59"/>
      <c r="Y1547" s="59" t="str">
        <f>IFERROR(VLOOKUP($A1547,APOIO!$A:$A,1,FALSE),"ERRO")</f>
        <v>ERRO</v>
      </c>
      <c r="Z1547"/>
    </row>
    <row r="1548" spans="1:26" ht="15" x14ac:dyDescent="0.25">
      <c r="A1548" s="94"/>
      <c r="B1548" s="32" t="str">
        <f>IF($A1548="","",VLOOKUP($A1548,APOIO!$A:$E,2,FALSE))</f>
        <v/>
      </c>
      <c r="C1548" s="94"/>
      <c r="D1548" s="32" t="str">
        <f>IF($A1548="","",INDEX(APOIO!$D:$D,MATCH(CONCATENATE($A1548,"_",$B1548,"_",$C1548),APOIO!$F:$F,0)))</f>
        <v/>
      </c>
      <c r="E1548" s="31"/>
      <c r="F1548" s="31"/>
      <c r="G1548" s="33"/>
      <c r="H1548" s="105"/>
      <c r="I1548" s="32" t="str">
        <f>IF($A1548="","",VLOOKUP($H1548,APOIO!$L:$M,2,FALSE))</f>
        <v/>
      </c>
      <c r="J1548" s="31"/>
      <c r="K1548" s="32" t="str">
        <f>IF($A1548="","",VLOOKUP($J1548,APOIO!$H:$J,2,FALSE))</f>
        <v/>
      </c>
      <c r="L1548" s="32" t="str">
        <f>IF($A1548="","",VLOOKUP($J1548,APOIO!$H:$J,3,FALSE))</f>
        <v/>
      </c>
      <c r="M1548" s="31"/>
      <c r="N1548" s="34"/>
      <c r="O1548" s="32"/>
      <c r="P1548" s="32"/>
      <c r="Q1548" s="32"/>
      <c r="R1548" s="32"/>
      <c r="S1548" s="35"/>
      <c r="T1548" s="91"/>
      <c r="U1548" s="60"/>
      <c r="V1548" s="36"/>
      <c r="W1548" s="31"/>
      <c r="X1548" s="59"/>
      <c r="Y1548" s="59" t="str">
        <f>IFERROR(VLOOKUP($A1548,APOIO!$A:$A,1,FALSE),"ERRO")</f>
        <v>ERRO</v>
      </c>
      <c r="Z1548"/>
    </row>
    <row r="1549" spans="1:26" ht="15" x14ac:dyDescent="0.25">
      <c r="A1549" s="94"/>
      <c r="B1549" s="32" t="str">
        <f>IF($A1549="","",VLOOKUP($A1549,APOIO!$A:$E,2,FALSE))</f>
        <v/>
      </c>
      <c r="C1549" s="94"/>
      <c r="D1549" s="32" t="str">
        <f>IF($A1549="","",INDEX(APOIO!$D:$D,MATCH(CONCATENATE($A1549,"_",$B1549,"_",$C1549),APOIO!$F:$F,0)))</f>
        <v/>
      </c>
      <c r="E1549" s="31"/>
      <c r="F1549" s="31"/>
      <c r="G1549" s="33"/>
      <c r="H1549" s="105"/>
      <c r="I1549" s="32" t="str">
        <f>IF($A1549="","",VLOOKUP($H1549,APOIO!$L:$M,2,FALSE))</f>
        <v/>
      </c>
      <c r="J1549" s="31"/>
      <c r="K1549" s="32" t="str">
        <f>IF($A1549="","",VLOOKUP($J1549,APOIO!$H:$J,2,FALSE))</f>
        <v/>
      </c>
      <c r="L1549" s="32" t="str">
        <f>IF($A1549="","",VLOOKUP($J1549,APOIO!$H:$J,3,FALSE))</f>
        <v/>
      </c>
      <c r="M1549" s="31"/>
      <c r="N1549" s="34"/>
      <c r="O1549" s="32"/>
      <c r="P1549" s="32"/>
      <c r="Q1549" s="32"/>
      <c r="R1549" s="32"/>
      <c r="S1549" s="35"/>
      <c r="T1549" s="91"/>
      <c r="U1549" s="60"/>
      <c r="V1549" s="36"/>
      <c r="W1549" s="31"/>
      <c r="X1549" s="59"/>
      <c r="Y1549" s="59" t="str">
        <f>IFERROR(VLOOKUP($A1549,APOIO!$A:$A,1,FALSE),"ERRO")</f>
        <v>ERRO</v>
      </c>
      <c r="Z1549"/>
    </row>
    <row r="1550" spans="1:26" ht="15" x14ac:dyDescent="0.25">
      <c r="A1550" s="94"/>
      <c r="B1550" s="32" t="str">
        <f>IF($A1550="","",VLOOKUP($A1550,APOIO!$A:$E,2,FALSE))</f>
        <v/>
      </c>
      <c r="C1550" s="94"/>
      <c r="D1550" s="32" t="str">
        <f>IF($A1550="","",INDEX(APOIO!$D:$D,MATCH(CONCATENATE($A1550,"_",$B1550,"_",$C1550),APOIO!$F:$F,0)))</f>
        <v/>
      </c>
      <c r="E1550" s="31"/>
      <c r="F1550" s="31"/>
      <c r="G1550" s="33"/>
      <c r="H1550" s="105"/>
      <c r="I1550" s="32" t="str">
        <f>IF($A1550="","",VLOOKUP($H1550,APOIO!$L:$M,2,FALSE))</f>
        <v/>
      </c>
      <c r="J1550" s="31"/>
      <c r="K1550" s="32" t="str">
        <f>IF($A1550="","",VLOOKUP($J1550,APOIO!$H:$J,2,FALSE))</f>
        <v/>
      </c>
      <c r="L1550" s="32" t="str">
        <f>IF($A1550="","",VLOOKUP($J1550,APOIO!$H:$J,3,FALSE))</f>
        <v/>
      </c>
      <c r="M1550" s="31"/>
      <c r="N1550" s="34"/>
      <c r="O1550" s="32"/>
      <c r="P1550" s="32"/>
      <c r="Q1550" s="32"/>
      <c r="R1550" s="32"/>
      <c r="S1550" s="35"/>
      <c r="T1550" s="91"/>
      <c r="U1550" s="60"/>
      <c r="V1550" s="36"/>
      <c r="W1550" s="31"/>
      <c r="X1550" s="59"/>
      <c r="Y1550" s="59" t="str">
        <f>IFERROR(VLOOKUP($A1550,APOIO!$A:$A,1,FALSE),"ERRO")</f>
        <v>ERRO</v>
      </c>
      <c r="Z1550"/>
    </row>
    <row r="1551" spans="1:26" ht="15" x14ac:dyDescent="0.25">
      <c r="A1551" s="94"/>
      <c r="B1551" s="32" t="str">
        <f>IF($A1551="","",VLOOKUP($A1551,APOIO!$A:$E,2,FALSE))</f>
        <v/>
      </c>
      <c r="C1551" s="94"/>
      <c r="D1551" s="32" t="str">
        <f>IF($A1551="","",INDEX(APOIO!$D:$D,MATCH(CONCATENATE($A1551,"_",$B1551,"_",$C1551),APOIO!$F:$F,0)))</f>
        <v/>
      </c>
      <c r="E1551" s="31"/>
      <c r="F1551" s="31"/>
      <c r="G1551" s="33"/>
      <c r="H1551" s="105"/>
      <c r="I1551" s="32" t="str">
        <f>IF($A1551="","",VLOOKUP($H1551,APOIO!$L:$M,2,FALSE))</f>
        <v/>
      </c>
      <c r="J1551" s="31"/>
      <c r="K1551" s="32" t="str">
        <f>IF($A1551="","",VLOOKUP($J1551,APOIO!$H:$J,2,FALSE))</f>
        <v/>
      </c>
      <c r="L1551" s="32" t="str">
        <f>IF($A1551="","",VLOOKUP($J1551,APOIO!$H:$J,3,FALSE))</f>
        <v/>
      </c>
      <c r="M1551" s="31"/>
      <c r="N1551" s="34"/>
      <c r="O1551" s="32"/>
      <c r="P1551" s="32"/>
      <c r="Q1551" s="32"/>
      <c r="R1551" s="32"/>
      <c r="S1551" s="35"/>
      <c r="T1551" s="91"/>
      <c r="U1551" s="60"/>
      <c r="V1551" s="36"/>
      <c r="W1551" s="31"/>
      <c r="X1551" s="59"/>
      <c r="Y1551" s="59" t="str">
        <f>IFERROR(VLOOKUP($A1551,APOIO!$A:$A,1,FALSE),"ERRO")</f>
        <v>ERRO</v>
      </c>
      <c r="Z1551"/>
    </row>
    <row r="1552" spans="1:26" ht="15" x14ac:dyDescent="0.25">
      <c r="A1552" s="94"/>
      <c r="B1552" s="32" t="str">
        <f>IF($A1552="","",VLOOKUP($A1552,APOIO!$A:$E,2,FALSE))</f>
        <v/>
      </c>
      <c r="C1552" s="94"/>
      <c r="D1552" s="32" t="str">
        <f>IF($A1552="","",INDEX(APOIO!$D:$D,MATCH(CONCATENATE($A1552,"_",$B1552,"_",$C1552),APOIO!$F:$F,0)))</f>
        <v/>
      </c>
      <c r="E1552" s="31"/>
      <c r="F1552" s="31"/>
      <c r="G1552" s="33"/>
      <c r="H1552" s="105"/>
      <c r="I1552" s="32" t="str">
        <f>IF($A1552="","",VLOOKUP($H1552,APOIO!$L:$M,2,FALSE))</f>
        <v/>
      </c>
      <c r="J1552" s="31"/>
      <c r="K1552" s="32" t="str">
        <f>IF($A1552="","",VLOOKUP($J1552,APOIO!$H:$J,2,FALSE))</f>
        <v/>
      </c>
      <c r="L1552" s="32" t="str">
        <f>IF($A1552="","",VLOOKUP($J1552,APOIO!$H:$J,3,FALSE))</f>
        <v/>
      </c>
      <c r="M1552" s="31"/>
      <c r="N1552" s="34"/>
      <c r="O1552" s="32"/>
      <c r="P1552" s="32"/>
      <c r="Q1552" s="32"/>
      <c r="R1552" s="32"/>
      <c r="S1552" s="35"/>
      <c r="T1552" s="91"/>
      <c r="U1552" s="60"/>
      <c r="V1552" s="36"/>
      <c r="W1552" s="31"/>
      <c r="X1552" s="59"/>
      <c r="Y1552" s="59" t="str">
        <f>IFERROR(VLOOKUP($A1552,APOIO!$A:$A,1,FALSE),"ERRO")</f>
        <v>ERRO</v>
      </c>
      <c r="Z1552"/>
    </row>
    <row r="1553" spans="1:26" ht="15" x14ac:dyDescent="0.25">
      <c r="A1553" s="94"/>
      <c r="B1553" s="32" t="str">
        <f>IF($A1553="","",VLOOKUP($A1553,APOIO!$A:$E,2,FALSE))</f>
        <v/>
      </c>
      <c r="C1553" s="94"/>
      <c r="D1553" s="32" t="str">
        <f>IF($A1553="","",INDEX(APOIO!$D:$D,MATCH(CONCATENATE($A1553,"_",$B1553,"_",$C1553),APOIO!$F:$F,0)))</f>
        <v/>
      </c>
      <c r="E1553" s="31"/>
      <c r="F1553" s="31"/>
      <c r="G1553" s="33"/>
      <c r="H1553" s="105"/>
      <c r="I1553" s="32" t="str">
        <f>IF($A1553="","",VLOOKUP($H1553,APOIO!$L:$M,2,FALSE))</f>
        <v/>
      </c>
      <c r="J1553" s="31"/>
      <c r="K1553" s="32" t="str">
        <f>IF($A1553="","",VLOOKUP($J1553,APOIO!$H:$J,2,FALSE))</f>
        <v/>
      </c>
      <c r="L1553" s="32" t="str">
        <f>IF($A1553="","",VLOOKUP($J1553,APOIO!$H:$J,3,FALSE))</f>
        <v/>
      </c>
      <c r="M1553" s="31"/>
      <c r="N1553" s="34"/>
      <c r="O1553" s="32"/>
      <c r="P1553" s="32"/>
      <c r="Q1553" s="32"/>
      <c r="R1553" s="32"/>
      <c r="S1553" s="35"/>
      <c r="T1553" s="91"/>
      <c r="U1553" s="60"/>
      <c r="V1553" s="36"/>
      <c r="W1553" s="31"/>
      <c r="X1553" s="59"/>
      <c r="Y1553" s="59" t="str">
        <f>IFERROR(VLOOKUP($A1553,APOIO!$A:$A,1,FALSE),"ERRO")</f>
        <v>ERRO</v>
      </c>
      <c r="Z1553"/>
    </row>
    <row r="1554" spans="1:26" ht="15" x14ac:dyDescent="0.25">
      <c r="A1554" s="94"/>
      <c r="B1554" s="32" t="str">
        <f>IF($A1554="","",VLOOKUP($A1554,APOIO!$A:$E,2,FALSE))</f>
        <v/>
      </c>
      <c r="C1554" s="94"/>
      <c r="D1554" s="32" t="str">
        <f>IF($A1554="","",INDEX(APOIO!$D:$D,MATCH(CONCATENATE($A1554,"_",$B1554,"_",$C1554),APOIO!$F:$F,0)))</f>
        <v/>
      </c>
      <c r="E1554" s="31"/>
      <c r="F1554" s="31"/>
      <c r="G1554" s="33"/>
      <c r="H1554" s="105"/>
      <c r="I1554" s="32" t="str">
        <f>IF($A1554="","",VLOOKUP($H1554,APOIO!$L:$M,2,FALSE))</f>
        <v/>
      </c>
      <c r="J1554" s="31"/>
      <c r="K1554" s="32" t="str">
        <f>IF($A1554="","",VLOOKUP($J1554,APOIO!$H:$J,2,FALSE))</f>
        <v/>
      </c>
      <c r="L1554" s="32" t="str">
        <f>IF($A1554="","",VLOOKUP($J1554,APOIO!$H:$J,3,FALSE))</f>
        <v/>
      </c>
      <c r="M1554" s="31"/>
      <c r="N1554" s="34"/>
      <c r="O1554" s="32"/>
      <c r="P1554" s="32"/>
      <c r="Q1554" s="32"/>
      <c r="R1554" s="32"/>
      <c r="S1554" s="35"/>
      <c r="T1554" s="91"/>
      <c r="U1554" s="60"/>
      <c r="V1554" s="36"/>
      <c r="W1554" s="31"/>
      <c r="X1554" s="59"/>
      <c r="Y1554" s="59" t="str">
        <f>IFERROR(VLOOKUP($A1554,APOIO!$A:$A,1,FALSE),"ERRO")</f>
        <v>ERRO</v>
      </c>
      <c r="Z1554"/>
    </row>
    <row r="1555" spans="1:26" ht="15" x14ac:dyDescent="0.25">
      <c r="A1555" s="94"/>
      <c r="B1555" s="32" t="str">
        <f>IF($A1555="","",VLOOKUP($A1555,APOIO!$A:$E,2,FALSE))</f>
        <v/>
      </c>
      <c r="C1555" s="94"/>
      <c r="D1555" s="32" t="str">
        <f>IF($A1555="","",INDEX(APOIO!$D:$D,MATCH(CONCATENATE($A1555,"_",$B1555,"_",$C1555),APOIO!$F:$F,0)))</f>
        <v/>
      </c>
      <c r="E1555" s="31"/>
      <c r="F1555" s="31"/>
      <c r="G1555" s="33"/>
      <c r="H1555" s="105"/>
      <c r="I1555" s="32" t="str">
        <f>IF($A1555="","",VLOOKUP($H1555,APOIO!$L:$M,2,FALSE))</f>
        <v/>
      </c>
      <c r="J1555" s="31"/>
      <c r="K1555" s="32" t="str">
        <f>IF($A1555="","",VLOOKUP($J1555,APOIO!$H:$J,2,FALSE))</f>
        <v/>
      </c>
      <c r="L1555" s="32" t="str">
        <f>IF($A1555="","",VLOOKUP($J1555,APOIO!$H:$J,3,FALSE))</f>
        <v/>
      </c>
      <c r="M1555" s="31"/>
      <c r="N1555" s="34"/>
      <c r="O1555" s="32"/>
      <c r="P1555" s="32"/>
      <c r="Q1555" s="32"/>
      <c r="R1555" s="32"/>
      <c r="S1555" s="35"/>
      <c r="T1555" s="91"/>
      <c r="U1555" s="60"/>
      <c r="V1555" s="36"/>
      <c r="W1555" s="31"/>
      <c r="X1555" s="59"/>
      <c r="Y1555" s="59" t="str">
        <f>IFERROR(VLOOKUP($A1555,APOIO!$A:$A,1,FALSE),"ERRO")</f>
        <v>ERRO</v>
      </c>
      <c r="Z1555"/>
    </row>
    <row r="1556" spans="1:26" ht="15" x14ac:dyDescent="0.25">
      <c r="A1556" s="94"/>
      <c r="B1556" s="32" t="str">
        <f>IF($A1556="","",VLOOKUP($A1556,APOIO!$A:$E,2,FALSE))</f>
        <v/>
      </c>
      <c r="C1556" s="94"/>
      <c r="D1556" s="32" t="str">
        <f>IF($A1556="","",INDEX(APOIO!$D:$D,MATCH(CONCATENATE($A1556,"_",$B1556,"_",$C1556),APOIO!$F:$F,0)))</f>
        <v/>
      </c>
      <c r="E1556" s="31"/>
      <c r="F1556" s="31"/>
      <c r="G1556" s="33"/>
      <c r="H1556" s="105"/>
      <c r="I1556" s="32" t="str">
        <f>IF($A1556="","",VLOOKUP($H1556,APOIO!$L:$M,2,FALSE))</f>
        <v/>
      </c>
      <c r="J1556" s="31"/>
      <c r="K1556" s="32" t="str">
        <f>IF($A1556="","",VLOOKUP($J1556,APOIO!$H:$J,2,FALSE))</f>
        <v/>
      </c>
      <c r="L1556" s="32" t="str">
        <f>IF($A1556="","",VLOOKUP($J1556,APOIO!$H:$J,3,FALSE))</f>
        <v/>
      </c>
      <c r="M1556" s="31"/>
      <c r="N1556" s="34"/>
      <c r="O1556" s="32"/>
      <c r="P1556" s="32"/>
      <c r="Q1556" s="32"/>
      <c r="R1556" s="32"/>
      <c r="S1556" s="35"/>
      <c r="T1556" s="91"/>
      <c r="U1556" s="60"/>
      <c r="V1556" s="36"/>
      <c r="W1556" s="31"/>
      <c r="X1556" s="59"/>
      <c r="Y1556" s="59" t="str">
        <f>IFERROR(VLOOKUP($A1556,APOIO!$A:$A,1,FALSE),"ERRO")</f>
        <v>ERRO</v>
      </c>
      <c r="Z1556"/>
    </row>
    <row r="1557" spans="1:26" ht="15" x14ac:dyDescent="0.25">
      <c r="A1557" s="94"/>
      <c r="B1557" s="32" t="str">
        <f>IF($A1557="","",VLOOKUP($A1557,APOIO!$A:$E,2,FALSE))</f>
        <v/>
      </c>
      <c r="C1557" s="94"/>
      <c r="D1557" s="32" t="str">
        <f>IF($A1557="","",INDEX(APOIO!$D:$D,MATCH(CONCATENATE($A1557,"_",$B1557,"_",$C1557),APOIO!$F:$F,0)))</f>
        <v/>
      </c>
      <c r="E1557" s="31"/>
      <c r="F1557" s="31"/>
      <c r="G1557" s="33"/>
      <c r="H1557" s="105"/>
      <c r="I1557" s="32" t="str">
        <f>IF($A1557="","",VLOOKUP($H1557,APOIO!$L:$M,2,FALSE))</f>
        <v/>
      </c>
      <c r="J1557" s="31"/>
      <c r="K1557" s="32" t="str">
        <f>IF($A1557="","",VLOOKUP($J1557,APOIO!$H:$J,2,FALSE))</f>
        <v/>
      </c>
      <c r="L1557" s="32" t="str">
        <f>IF($A1557="","",VLOOKUP($J1557,APOIO!$H:$J,3,FALSE))</f>
        <v/>
      </c>
      <c r="M1557" s="31"/>
      <c r="N1557" s="34"/>
      <c r="O1557" s="32"/>
      <c r="P1557" s="32"/>
      <c r="Q1557" s="32"/>
      <c r="R1557" s="32"/>
      <c r="S1557" s="35"/>
      <c r="T1557" s="91"/>
      <c r="U1557" s="60"/>
      <c r="V1557" s="36"/>
      <c r="W1557" s="31"/>
      <c r="X1557" s="59"/>
      <c r="Y1557" s="59" t="str">
        <f>IFERROR(VLOOKUP($A1557,APOIO!$A:$A,1,FALSE),"ERRO")</f>
        <v>ERRO</v>
      </c>
      <c r="Z1557"/>
    </row>
    <row r="1558" spans="1:26" ht="15" x14ac:dyDescent="0.25">
      <c r="A1558" s="94"/>
      <c r="B1558" s="32" t="str">
        <f>IF($A1558="","",VLOOKUP($A1558,APOIO!$A:$E,2,FALSE))</f>
        <v/>
      </c>
      <c r="C1558" s="94"/>
      <c r="D1558" s="32" t="str">
        <f>IF($A1558="","",INDEX(APOIO!$D:$D,MATCH(CONCATENATE($A1558,"_",$B1558,"_",$C1558),APOIO!$F:$F,0)))</f>
        <v/>
      </c>
      <c r="E1558" s="31"/>
      <c r="F1558" s="31"/>
      <c r="G1558" s="33"/>
      <c r="H1558" s="105"/>
      <c r="I1558" s="32" t="str">
        <f>IF($A1558="","",VLOOKUP($H1558,APOIO!$L:$M,2,FALSE))</f>
        <v/>
      </c>
      <c r="J1558" s="31"/>
      <c r="K1558" s="32" t="str">
        <f>IF($A1558="","",VLOOKUP($J1558,APOIO!$H:$J,2,FALSE))</f>
        <v/>
      </c>
      <c r="L1558" s="32" t="str">
        <f>IF($A1558="","",VLOOKUP($J1558,APOIO!$H:$J,3,FALSE))</f>
        <v/>
      </c>
      <c r="M1558" s="31"/>
      <c r="N1558" s="34"/>
      <c r="O1558" s="32"/>
      <c r="P1558" s="32"/>
      <c r="Q1558" s="32"/>
      <c r="R1558" s="32"/>
      <c r="S1558" s="35"/>
      <c r="T1558" s="91"/>
      <c r="U1558" s="60"/>
      <c r="V1558" s="36"/>
      <c r="W1558" s="31"/>
      <c r="X1558" s="59"/>
      <c r="Y1558" s="59" t="str">
        <f>IFERROR(VLOOKUP($A1558,APOIO!$A:$A,1,FALSE),"ERRO")</f>
        <v>ERRO</v>
      </c>
      <c r="Z1558"/>
    </row>
    <row r="1559" spans="1:26" ht="15" x14ac:dyDescent="0.25">
      <c r="A1559" s="94"/>
      <c r="B1559" s="32" t="str">
        <f>IF($A1559="","",VLOOKUP($A1559,APOIO!$A:$E,2,FALSE))</f>
        <v/>
      </c>
      <c r="C1559" s="94"/>
      <c r="D1559" s="32" t="str">
        <f>IF($A1559="","",INDEX(APOIO!$D:$D,MATCH(CONCATENATE($A1559,"_",$B1559,"_",$C1559),APOIO!$F:$F,0)))</f>
        <v/>
      </c>
      <c r="E1559" s="31"/>
      <c r="F1559" s="31"/>
      <c r="G1559" s="33"/>
      <c r="H1559" s="105"/>
      <c r="I1559" s="32" t="str">
        <f>IF($A1559="","",VLOOKUP($H1559,APOIO!$L:$M,2,FALSE))</f>
        <v/>
      </c>
      <c r="J1559" s="31"/>
      <c r="K1559" s="32" t="str">
        <f>IF($A1559="","",VLOOKUP($J1559,APOIO!$H:$J,2,FALSE))</f>
        <v/>
      </c>
      <c r="L1559" s="32" t="str">
        <f>IF($A1559="","",VLOOKUP($J1559,APOIO!$H:$J,3,FALSE))</f>
        <v/>
      </c>
      <c r="M1559" s="31"/>
      <c r="N1559" s="34"/>
      <c r="O1559" s="32"/>
      <c r="P1559" s="32"/>
      <c r="Q1559" s="32"/>
      <c r="R1559" s="32"/>
      <c r="S1559" s="35"/>
      <c r="T1559" s="91"/>
      <c r="U1559" s="60"/>
      <c r="V1559" s="36"/>
      <c r="W1559" s="31"/>
      <c r="X1559" s="59"/>
      <c r="Y1559" s="59" t="str">
        <f>IFERROR(VLOOKUP($A1559,APOIO!$A:$A,1,FALSE),"ERRO")</f>
        <v>ERRO</v>
      </c>
      <c r="Z1559"/>
    </row>
    <row r="1560" spans="1:26" ht="15" x14ac:dyDescent="0.25">
      <c r="A1560" s="94"/>
      <c r="B1560" s="32" t="str">
        <f>IF($A1560="","",VLOOKUP($A1560,APOIO!$A:$E,2,FALSE))</f>
        <v/>
      </c>
      <c r="C1560" s="94"/>
      <c r="D1560" s="32" t="str">
        <f>IF($A1560="","",INDEX(APOIO!$D:$D,MATCH(CONCATENATE($A1560,"_",$B1560,"_",$C1560),APOIO!$F:$F,0)))</f>
        <v/>
      </c>
      <c r="E1560" s="31"/>
      <c r="F1560" s="31"/>
      <c r="G1560" s="33"/>
      <c r="H1560" s="105"/>
      <c r="I1560" s="32" t="str">
        <f>IF($A1560="","",VLOOKUP($H1560,APOIO!$L:$M,2,FALSE))</f>
        <v/>
      </c>
      <c r="J1560" s="31"/>
      <c r="K1560" s="32" t="str">
        <f>IF($A1560="","",VLOOKUP($J1560,APOIO!$H:$J,2,FALSE))</f>
        <v/>
      </c>
      <c r="L1560" s="32" t="str">
        <f>IF($A1560="","",VLOOKUP($J1560,APOIO!$H:$J,3,FALSE))</f>
        <v/>
      </c>
      <c r="M1560" s="31"/>
      <c r="N1560" s="34"/>
      <c r="O1560" s="32"/>
      <c r="P1560" s="32"/>
      <c r="Q1560" s="32"/>
      <c r="R1560" s="32"/>
      <c r="S1560" s="35"/>
      <c r="T1560" s="91"/>
      <c r="U1560" s="60"/>
      <c r="V1560" s="36"/>
      <c r="W1560" s="31"/>
      <c r="X1560" s="59"/>
      <c r="Y1560" s="59" t="str">
        <f>IFERROR(VLOOKUP($A1560,APOIO!$A:$A,1,FALSE),"ERRO")</f>
        <v>ERRO</v>
      </c>
      <c r="Z1560"/>
    </row>
    <row r="1561" spans="1:26" ht="15" x14ac:dyDescent="0.25">
      <c r="A1561" s="94"/>
      <c r="B1561" s="32" t="str">
        <f>IF($A1561="","",VLOOKUP($A1561,APOIO!$A:$E,2,FALSE))</f>
        <v/>
      </c>
      <c r="C1561" s="94"/>
      <c r="D1561" s="32" t="str">
        <f>IF($A1561="","",INDEX(APOIO!$D:$D,MATCH(CONCATENATE($A1561,"_",$B1561,"_",$C1561),APOIO!$F:$F,0)))</f>
        <v/>
      </c>
      <c r="E1561" s="31"/>
      <c r="F1561" s="31"/>
      <c r="G1561" s="33"/>
      <c r="H1561" s="105"/>
      <c r="I1561" s="32" t="str">
        <f>IF($A1561="","",VLOOKUP($H1561,APOIO!$L:$M,2,FALSE))</f>
        <v/>
      </c>
      <c r="J1561" s="31"/>
      <c r="K1561" s="32" t="str">
        <f>IF($A1561="","",VLOOKUP($J1561,APOIO!$H:$J,2,FALSE))</f>
        <v/>
      </c>
      <c r="L1561" s="32" t="str">
        <f>IF($A1561="","",VLOOKUP($J1561,APOIO!$H:$J,3,FALSE))</f>
        <v/>
      </c>
      <c r="M1561" s="31"/>
      <c r="N1561" s="34"/>
      <c r="O1561" s="32"/>
      <c r="P1561" s="32"/>
      <c r="Q1561" s="32"/>
      <c r="R1561" s="32"/>
      <c r="S1561" s="35"/>
      <c r="T1561" s="91"/>
      <c r="U1561" s="60"/>
      <c r="V1561" s="36"/>
      <c r="W1561" s="31"/>
      <c r="X1561" s="59"/>
      <c r="Y1561" s="59" t="str">
        <f>IFERROR(VLOOKUP($A1561,APOIO!$A:$A,1,FALSE),"ERRO")</f>
        <v>ERRO</v>
      </c>
      <c r="Z1561"/>
    </row>
    <row r="1562" spans="1:26" ht="15" x14ac:dyDescent="0.25">
      <c r="A1562" s="94"/>
      <c r="B1562" s="32" t="str">
        <f>IF($A1562="","",VLOOKUP($A1562,APOIO!$A:$E,2,FALSE))</f>
        <v/>
      </c>
      <c r="C1562" s="94"/>
      <c r="D1562" s="32" t="str">
        <f>IF($A1562="","",INDEX(APOIO!$D:$D,MATCH(CONCATENATE($A1562,"_",$B1562,"_",$C1562),APOIO!$F:$F,0)))</f>
        <v/>
      </c>
      <c r="E1562" s="31"/>
      <c r="F1562" s="31"/>
      <c r="G1562" s="33"/>
      <c r="H1562" s="105"/>
      <c r="I1562" s="32" t="str">
        <f>IF($A1562="","",VLOOKUP($H1562,APOIO!$L:$M,2,FALSE))</f>
        <v/>
      </c>
      <c r="J1562" s="31"/>
      <c r="K1562" s="32" t="str">
        <f>IF($A1562="","",VLOOKUP($J1562,APOIO!$H:$J,2,FALSE))</f>
        <v/>
      </c>
      <c r="L1562" s="32" t="str">
        <f>IF($A1562="","",VLOOKUP($J1562,APOIO!$H:$J,3,FALSE))</f>
        <v/>
      </c>
      <c r="M1562" s="31"/>
      <c r="N1562" s="34"/>
      <c r="O1562" s="32"/>
      <c r="P1562" s="32"/>
      <c r="Q1562" s="32"/>
      <c r="R1562" s="32"/>
      <c r="S1562" s="35"/>
      <c r="T1562" s="91"/>
      <c r="U1562" s="60"/>
      <c r="V1562" s="36"/>
      <c r="W1562" s="31"/>
      <c r="X1562" s="59"/>
      <c r="Y1562" s="59" t="str">
        <f>IFERROR(VLOOKUP($A1562,APOIO!$A:$A,1,FALSE),"ERRO")</f>
        <v>ERRO</v>
      </c>
      <c r="Z1562"/>
    </row>
    <row r="1563" spans="1:26" ht="15" x14ac:dyDescent="0.25">
      <c r="A1563" s="94"/>
      <c r="B1563" s="32" t="str">
        <f>IF($A1563="","",VLOOKUP($A1563,APOIO!$A:$E,2,FALSE))</f>
        <v/>
      </c>
      <c r="C1563" s="94"/>
      <c r="D1563" s="32" t="str">
        <f>IF($A1563="","",INDEX(APOIO!$D:$D,MATCH(CONCATENATE($A1563,"_",$B1563,"_",$C1563),APOIO!$F:$F,0)))</f>
        <v/>
      </c>
      <c r="E1563" s="31"/>
      <c r="F1563" s="31"/>
      <c r="G1563" s="33"/>
      <c r="H1563" s="105"/>
      <c r="I1563" s="32" t="str">
        <f>IF($A1563="","",VLOOKUP($H1563,APOIO!$L:$M,2,FALSE))</f>
        <v/>
      </c>
      <c r="J1563" s="31"/>
      <c r="K1563" s="32" t="str">
        <f>IF($A1563="","",VLOOKUP($J1563,APOIO!$H:$J,2,FALSE))</f>
        <v/>
      </c>
      <c r="L1563" s="32" t="str">
        <f>IF($A1563="","",VLOOKUP($J1563,APOIO!$H:$J,3,FALSE))</f>
        <v/>
      </c>
      <c r="M1563" s="31"/>
      <c r="N1563" s="34"/>
      <c r="O1563" s="32"/>
      <c r="P1563" s="32"/>
      <c r="Q1563" s="32"/>
      <c r="R1563" s="32"/>
      <c r="S1563" s="35"/>
      <c r="T1563" s="91"/>
      <c r="U1563" s="60"/>
      <c r="V1563" s="36"/>
      <c r="W1563" s="31"/>
      <c r="X1563" s="59"/>
      <c r="Y1563" s="59" t="str">
        <f>IFERROR(VLOOKUP($A1563,APOIO!$A:$A,1,FALSE),"ERRO")</f>
        <v>ERRO</v>
      </c>
      <c r="Z1563"/>
    </row>
    <row r="1564" spans="1:26" ht="15" x14ac:dyDescent="0.25">
      <c r="A1564" s="94"/>
      <c r="B1564" s="32" t="str">
        <f>IF($A1564="","",VLOOKUP($A1564,APOIO!$A:$E,2,FALSE))</f>
        <v/>
      </c>
      <c r="C1564" s="94"/>
      <c r="D1564" s="32" t="str">
        <f>IF($A1564="","",INDEX(APOIO!$D:$D,MATCH(CONCATENATE($A1564,"_",$B1564,"_",$C1564),APOIO!$F:$F,0)))</f>
        <v/>
      </c>
      <c r="E1564" s="31"/>
      <c r="F1564" s="31"/>
      <c r="G1564" s="33"/>
      <c r="H1564" s="105"/>
      <c r="I1564" s="32" t="str">
        <f>IF($A1564="","",VLOOKUP($H1564,APOIO!$L:$M,2,FALSE))</f>
        <v/>
      </c>
      <c r="J1564" s="31"/>
      <c r="K1564" s="32" t="str">
        <f>IF($A1564="","",VLOOKUP($J1564,APOIO!$H:$J,2,FALSE))</f>
        <v/>
      </c>
      <c r="L1564" s="32" t="str">
        <f>IF($A1564="","",VLOOKUP($J1564,APOIO!$H:$J,3,FALSE))</f>
        <v/>
      </c>
      <c r="M1564" s="31"/>
      <c r="N1564" s="34"/>
      <c r="O1564" s="32"/>
      <c r="P1564" s="32"/>
      <c r="Q1564" s="32"/>
      <c r="R1564" s="32"/>
      <c r="S1564" s="35"/>
      <c r="T1564" s="91"/>
      <c r="U1564" s="60"/>
      <c r="V1564" s="36"/>
      <c r="W1564" s="31"/>
      <c r="X1564" s="59"/>
      <c r="Y1564" s="59" t="str">
        <f>IFERROR(VLOOKUP($A1564,APOIO!$A:$A,1,FALSE),"ERRO")</f>
        <v>ERRO</v>
      </c>
      <c r="Z1564"/>
    </row>
    <row r="1565" spans="1:26" ht="15" x14ac:dyDescent="0.25">
      <c r="A1565" s="94"/>
      <c r="B1565" s="32" t="str">
        <f>IF($A1565="","",VLOOKUP($A1565,APOIO!$A:$E,2,FALSE))</f>
        <v/>
      </c>
      <c r="C1565" s="94"/>
      <c r="D1565" s="32" t="str">
        <f>IF($A1565="","",INDEX(APOIO!$D:$D,MATCH(CONCATENATE($A1565,"_",$B1565,"_",$C1565),APOIO!$F:$F,0)))</f>
        <v/>
      </c>
      <c r="E1565" s="31"/>
      <c r="F1565" s="31"/>
      <c r="G1565" s="33"/>
      <c r="H1565" s="105"/>
      <c r="I1565" s="32" t="str">
        <f>IF($A1565="","",VLOOKUP($H1565,APOIO!$L:$M,2,FALSE))</f>
        <v/>
      </c>
      <c r="J1565" s="31"/>
      <c r="K1565" s="32" t="str">
        <f>IF($A1565="","",VLOOKUP($J1565,APOIO!$H:$J,2,FALSE))</f>
        <v/>
      </c>
      <c r="L1565" s="32" t="str">
        <f>IF($A1565="","",VLOOKUP($J1565,APOIO!$H:$J,3,FALSE))</f>
        <v/>
      </c>
      <c r="M1565" s="31"/>
      <c r="N1565" s="34"/>
      <c r="O1565" s="32"/>
      <c r="P1565" s="32"/>
      <c r="Q1565" s="32"/>
      <c r="R1565" s="32"/>
      <c r="S1565" s="35"/>
      <c r="T1565" s="91"/>
      <c r="U1565" s="60"/>
      <c r="V1565" s="36"/>
      <c r="W1565" s="31"/>
      <c r="X1565" s="59"/>
      <c r="Y1565" s="59" t="str">
        <f>IFERROR(VLOOKUP($A1565,APOIO!$A:$A,1,FALSE),"ERRO")</f>
        <v>ERRO</v>
      </c>
      <c r="Z1565"/>
    </row>
    <row r="1566" spans="1:26" ht="15" x14ac:dyDescent="0.25">
      <c r="A1566" s="94"/>
      <c r="B1566" s="32" t="str">
        <f>IF($A1566="","",VLOOKUP($A1566,APOIO!$A:$E,2,FALSE))</f>
        <v/>
      </c>
      <c r="C1566" s="94"/>
      <c r="D1566" s="32" t="str">
        <f>IF($A1566="","",INDEX(APOIO!$D:$D,MATCH(CONCATENATE($A1566,"_",$B1566,"_",$C1566),APOIO!$F:$F,0)))</f>
        <v/>
      </c>
      <c r="E1566" s="31"/>
      <c r="F1566" s="31"/>
      <c r="G1566" s="33"/>
      <c r="H1566" s="105"/>
      <c r="I1566" s="32" t="str">
        <f>IF($A1566="","",VLOOKUP($H1566,APOIO!$L:$M,2,FALSE))</f>
        <v/>
      </c>
      <c r="J1566" s="31"/>
      <c r="K1566" s="32" t="str">
        <f>IF($A1566="","",VLOOKUP($J1566,APOIO!$H:$J,2,FALSE))</f>
        <v/>
      </c>
      <c r="L1566" s="32" t="str">
        <f>IF($A1566="","",VLOOKUP($J1566,APOIO!$H:$J,3,FALSE))</f>
        <v/>
      </c>
      <c r="M1566" s="31"/>
      <c r="N1566" s="34"/>
      <c r="O1566" s="32"/>
      <c r="P1566" s="32"/>
      <c r="Q1566" s="32"/>
      <c r="R1566" s="32"/>
      <c r="S1566" s="35"/>
      <c r="T1566" s="91"/>
      <c r="U1566" s="60"/>
      <c r="V1566" s="36"/>
      <c r="W1566" s="31"/>
      <c r="X1566" s="59"/>
      <c r="Y1566" s="59" t="str">
        <f>IFERROR(VLOOKUP($A1566,APOIO!$A:$A,1,FALSE),"ERRO")</f>
        <v>ERRO</v>
      </c>
      <c r="Z1566"/>
    </row>
    <row r="1567" spans="1:26" ht="15" x14ac:dyDescent="0.25">
      <c r="A1567" s="94"/>
      <c r="B1567" s="32" t="str">
        <f>IF($A1567="","",VLOOKUP($A1567,APOIO!$A:$E,2,FALSE))</f>
        <v/>
      </c>
      <c r="C1567" s="94"/>
      <c r="D1567" s="32" t="str">
        <f>IF($A1567="","",INDEX(APOIO!$D:$D,MATCH(CONCATENATE($A1567,"_",$B1567,"_",$C1567),APOIO!$F:$F,0)))</f>
        <v/>
      </c>
      <c r="E1567" s="31"/>
      <c r="F1567" s="31"/>
      <c r="G1567" s="33"/>
      <c r="H1567" s="105"/>
      <c r="I1567" s="32" t="str">
        <f>IF($A1567="","",VLOOKUP($H1567,APOIO!$L:$M,2,FALSE))</f>
        <v/>
      </c>
      <c r="J1567" s="31"/>
      <c r="K1567" s="32" t="str">
        <f>IF($A1567="","",VLOOKUP($J1567,APOIO!$H:$J,2,FALSE))</f>
        <v/>
      </c>
      <c r="L1567" s="32" t="str">
        <f>IF($A1567="","",VLOOKUP($J1567,APOIO!$H:$J,3,FALSE))</f>
        <v/>
      </c>
      <c r="M1567" s="31"/>
      <c r="N1567" s="34"/>
      <c r="O1567" s="32"/>
      <c r="P1567" s="32"/>
      <c r="Q1567" s="32"/>
      <c r="R1567" s="32"/>
      <c r="S1567" s="35"/>
      <c r="T1567" s="91"/>
      <c r="U1567" s="60"/>
      <c r="V1567" s="36"/>
      <c r="W1567" s="31"/>
      <c r="X1567" s="59"/>
      <c r="Y1567" s="59" t="str">
        <f>IFERROR(VLOOKUP($A1567,APOIO!$A:$A,1,FALSE),"ERRO")</f>
        <v>ERRO</v>
      </c>
      <c r="Z1567"/>
    </row>
    <row r="1568" spans="1:26" ht="15" x14ac:dyDescent="0.25">
      <c r="A1568" s="94"/>
      <c r="B1568" s="32" t="str">
        <f>IF($A1568="","",VLOOKUP($A1568,APOIO!$A:$E,2,FALSE))</f>
        <v/>
      </c>
      <c r="C1568" s="94"/>
      <c r="D1568" s="32" t="str">
        <f>IF($A1568="","",INDEX(APOIO!$D:$D,MATCH(CONCATENATE($A1568,"_",$B1568,"_",$C1568),APOIO!$F:$F,0)))</f>
        <v/>
      </c>
      <c r="E1568" s="31"/>
      <c r="F1568" s="31"/>
      <c r="G1568" s="33"/>
      <c r="H1568" s="105"/>
      <c r="I1568" s="32" t="str">
        <f>IF($A1568="","",VLOOKUP($H1568,APOIO!$L:$M,2,FALSE))</f>
        <v/>
      </c>
      <c r="J1568" s="31"/>
      <c r="K1568" s="32" t="str">
        <f>IF($A1568="","",VLOOKUP($J1568,APOIO!$H:$J,2,FALSE))</f>
        <v/>
      </c>
      <c r="L1568" s="32" t="str">
        <f>IF($A1568="","",VLOOKUP($J1568,APOIO!$H:$J,3,FALSE))</f>
        <v/>
      </c>
      <c r="M1568" s="31"/>
      <c r="N1568" s="34"/>
      <c r="O1568" s="32"/>
      <c r="P1568" s="32"/>
      <c r="Q1568" s="32"/>
      <c r="R1568" s="32"/>
      <c r="S1568" s="35"/>
      <c r="T1568" s="91"/>
      <c r="U1568" s="60"/>
      <c r="V1568" s="36"/>
      <c r="W1568" s="31"/>
      <c r="X1568" s="59"/>
      <c r="Y1568" s="59" t="str">
        <f>IFERROR(VLOOKUP($A1568,APOIO!$A:$A,1,FALSE),"ERRO")</f>
        <v>ERRO</v>
      </c>
      <c r="Z1568"/>
    </row>
    <row r="1569" spans="1:26" ht="15" x14ac:dyDescent="0.25">
      <c r="A1569" s="94"/>
      <c r="B1569" s="32" t="str">
        <f>IF($A1569="","",VLOOKUP($A1569,APOIO!$A:$E,2,FALSE))</f>
        <v/>
      </c>
      <c r="C1569" s="94"/>
      <c r="D1569" s="32" t="str">
        <f>IF($A1569="","",INDEX(APOIO!$D:$D,MATCH(CONCATENATE($A1569,"_",$B1569,"_",$C1569),APOIO!$F:$F,0)))</f>
        <v/>
      </c>
      <c r="E1569" s="31"/>
      <c r="F1569" s="31"/>
      <c r="G1569" s="33"/>
      <c r="H1569" s="105"/>
      <c r="I1569" s="32" t="str">
        <f>IF($A1569="","",VLOOKUP($H1569,APOIO!$L:$M,2,FALSE))</f>
        <v/>
      </c>
      <c r="J1569" s="31"/>
      <c r="K1569" s="32" t="str">
        <f>IF($A1569="","",VLOOKUP($J1569,APOIO!$H:$J,2,FALSE))</f>
        <v/>
      </c>
      <c r="L1569" s="32" t="str">
        <f>IF($A1569="","",VLOOKUP($J1569,APOIO!$H:$J,3,FALSE))</f>
        <v/>
      </c>
      <c r="M1569" s="31"/>
      <c r="N1569" s="34"/>
      <c r="O1569" s="32"/>
      <c r="P1569" s="32"/>
      <c r="Q1569" s="32"/>
      <c r="R1569" s="32"/>
      <c r="S1569" s="35"/>
      <c r="T1569" s="91"/>
      <c r="U1569" s="60"/>
      <c r="V1569" s="36"/>
      <c r="W1569" s="31"/>
      <c r="X1569" s="59"/>
      <c r="Y1569" s="59" t="str">
        <f>IFERROR(VLOOKUP($A1569,APOIO!$A:$A,1,FALSE),"ERRO")</f>
        <v>ERRO</v>
      </c>
      <c r="Z1569"/>
    </row>
    <row r="1570" spans="1:26" ht="15" x14ac:dyDescent="0.25">
      <c r="A1570" s="94"/>
      <c r="B1570" s="32" t="str">
        <f>IF($A1570="","",VLOOKUP($A1570,APOIO!$A:$E,2,FALSE))</f>
        <v/>
      </c>
      <c r="C1570" s="94"/>
      <c r="D1570" s="32" t="str">
        <f>IF($A1570="","",INDEX(APOIO!$D:$D,MATCH(CONCATENATE($A1570,"_",$B1570,"_",$C1570),APOIO!$F:$F,0)))</f>
        <v/>
      </c>
      <c r="E1570" s="31"/>
      <c r="F1570" s="31"/>
      <c r="G1570" s="33"/>
      <c r="H1570" s="105"/>
      <c r="I1570" s="32" t="str">
        <f>IF($A1570="","",VLOOKUP($H1570,APOIO!$L:$M,2,FALSE))</f>
        <v/>
      </c>
      <c r="J1570" s="31"/>
      <c r="K1570" s="32" t="str">
        <f>IF($A1570="","",VLOOKUP($J1570,APOIO!$H:$J,2,FALSE))</f>
        <v/>
      </c>
      <c r="L1570" s="32" t="str">
        <f>IF($A1570="","",VLOOKUP($J1570,APOIO!$H:$J,3,FALSE))</f>
        <v/>
      </c>
      <c r="M1570" s="31"/>
      <c r="N1570" s="34"/>
      <c r="O1570" s="32"/>
      <c r="P1570" s="32"/>
      <c r="Q1570" s="32"/>
      <c r="R1570" s="32"/>
      <c r="S1570" s="35"/>
      <c r="T1570" s="91"/>
      <c r="U1570" s="60"/>
      <c r="V1570" s="36"/>
      <c r="W1570" s="31"/>
      <c r="X1570" s="59"/>
      <c r="Y1570" s="59" t="str">
        <f>IFERROR(VLOOKUP($A1570,APOIO!$A:$A,1,FALSE),"ERRO")</f>
        <v>ERRO</v>
      </c>
      <c r="Z1570"/>
    </row>
    <row r="1571" spans="1:26" ht="15" x14ac:dyDescent="0.25">
      <c r="A1571" s="94"/>
      <c r="B1571" s="32" t="str">
        <f>IF($A1571="","",VLOOKUP($A1571,APOIO!$A:$E,2,FALSE))</f>
        <v/>
      </c>
      <c r="C1571" s="94"/>
      <c r="D1571" s="32" t="str">
        <f>IF($A1571="","",INDEX(APOIO!$D:$D,MATCH(CONCATENATE($A1571,"_",$B1571,"_",$C1571),APOIO!$F:$F,0)))</f>
        <v/>
      </c>
      <c r="E1571" s="31"/>
      <c r="F1571" s="31"/>
      <c r="G1571" s="33"/>
      <c r="H1571" s="105"/>
      <c r="I1571" s="32" t="str">
        <f>IF($A1571="","",VLOOKUP($H1571,APOIO!$L:$M,2,FALSE))</f>
        <v/>
      </c>
      <c r="J1571" s="31"/>
      <c r="K1571" s="32" t="str">
        <f>IF($A1571="","",VLOOKUP($J1571,APOIO!$H:$J,2,FALSE))</f>
        <v/>
      </c>
      <c r="L1571" s="32" t="str">
        <f>IF($A1571="","",VLOOKUP($J1571,APOIO!$H:$J,3,FALSE))</f>
        <v/>
      </c>
      <c r="M1571" s="31"/>
      <c r="N1571" s="34"/>
      <c r="O1571" s="32"/>
      <c r="P1571" s="32"/>
      <c r="Q1571" s="32"/>
      <c r="R1571" s="32"/>
      <c r="S1571" s="35"/>
      <c r="T1571" s="91"/>
      <c r="U1571" s="60"/>
      <c r="V1571" s="36"/>
      <c r="W1571" s="31"/>
      <c r="X1571" s="59"/>
      <c r="Y1571" s="59" t="str">
        <f>IFERROR(VLOOKUP($A1571,APOIO!$A:$A,1,FALSE),"ERRO")</f>
        <v>ERRO</v>
      </c>
      <c r="Z1571"/>
    </row>
    <row r="1572" spans="1:26" ht="15" x14ac:dyDescent="0.25">
      <c r="A1572" s="94"/>
      <c r="B1572" s="32" t="str">
        <f>IF($A1572="","",VLOOKUP($A1572,APOIO!$A:$E,2,FALSE))</f>
        <v/>
      </c>
      <c r="C1572" s="94"/>
      <c r="D1572" s="32" t="str">
        <f>IF($A1572="","",INDEX(APOIO!$D:$D,MATCH(CONCATENATE($A1572,"_",$B1572,"_",$C1572),APOIO!$F:$F,0)))</f>
        <v/>
      </c>
      <c r="E1572" s="31"/>
      <c r="F1572" s="31"/>
      <c r="G1572" s="33"/>
      <c r="H1572" s="105"/>
      <c r="I1572" s="32" t="str">
        <f>IF($A1572="","",VLOOKUP($H1572,APOIO!$L:$M,2,FALSE))</f>
        <v/>
      </c>
      <c r="J1572" s="31"/>
      <c r="K1572" s="32" t="str">
        <f>IF($A1572="","",VLOOKUP($J1572,APOIO!$H:$J,2,FALSE))</f>
        <v/>
      </c>
      <c r="L1572" s="32" t="str">
        <f>IF($A1572="","",VLOOKUP($J1572,APOIO!$H:$J,3,FALSE))</f>
        <v/>
      </c>
      <c r="M1572" s="31"/>
      <c r="N1572" s="34"/>
      <c r="O1572" s="32"/>
      <c r="P1572" s="32"/>
      <c r="Q1572" s="32"/>
      <c r="R1572" s="32"/>
      <c r="S1572" s="35"/>
      <c r="T1572" s="91"/>
      <c r="U1572" s="60"/>
      <c r="V1572" s="36"/>
      <c r="W1572" s="31"/>
      <c r="X1572" s="59"/>
      <c r="Y1572" s="59" t="str">
        <f>IFERROR(VLOOKUP($A1572,APOIO!$A:$A,1,FALSE),"ERRO")</f>
        <v>ERRO</v>
      </c>
      <c r="Z1572"/>
    </row>
    <row r="1573" spans="1:26" ht="15" x14ac:dyDescent="0.25">
      <c r="A1573" s="94"/>
      <c r="B1573" s="32" t="str">
        <f>IF($A1573="","",VLOOKUP($A1573,APOIO!$A:$E,2,FALSE))</f>
        <v/>
      </c>
      <c r="C1573" s="94"/>
      <c r="D1573" s="32" t="str">
        <f>IF($A1573="","",INDEX(APOIO!$D:$D,MATCH(CONCATENATE($A1573,"_",$B1573,"_",$C1573),APOIO!$F:$F,0)))</f>
        <v/>
      </c>
      <c r="E1573" s="31"/>
      <c r="F1573" s="31"/>
      <c r="G1573" s="33"/>
      <c r="H1573" s="105"/>
      <c r="I1573" s="32" t="str">
        <f>IF($A1573="","",VLOOKUP($H1573,APOIO!$L:$M,2,FALSE))</f>
        <v/>
      </c>
      <c r="J1573" s="31"/>
      <c r="K1573" s="32" t="str">
        <f>IF($A1573="","",VLOOKUP($J1573,APOIO!$H:$J,2,FALSE))</f>
        <v/>
      </c>
      <c r="L1573" s="32" t="str">
        <f>IF($A1573="","",VLOOKUP($J1573,APOIO!$H:$J,3,FALSE))</f>
        <v/>
      </c>
      <c r="M1573" s="31"/>
      <c r="N1573" s="34"/>
      <c r="O1573" s="32"/>
      <c r="P1573" s="32"/>
      <c r="Q1573" s="32"/>
      <c r="R1573" s="32"/>
      <c r="S1573" s="35"/>
      <c r="T1573" s="91"/>
      <c r="U1573" s="60"/>
      <c r="V1573" s="36"/>
      <c r="W1573" s="31"/>
      <c r="X1573" s="59"/>
      <c r="Y1573" s="59" t="str">
        <f>IFERROR(VLOOKUP($A1573,APOIO!$A:$A,1,FALSE),"ERRO")</f>
        <v>ERRO</v>
      </c>
      <c r="Z1573"/>
    </row>
    <row r="1574" spans="1:26" ht="15" x14ac:dyDescent="0.25">
      <c r="A1574" s="94"/>
      <c r="B1574" s="32" t="str">
        <f>IF($A1574="","",VLOOKUP($A1574,APOIO!$A:$E,2,FALSE))</f>
        <v/>
      </c>
      <c r="C1574" s="94"/>
      <c r="D1574" s="32" t="str">
        <f>IF($A1574="","",INDEX(APOIO!$D:$D,MATCH(CONCATENATE($A1574,"_",$B1574,"_",$C1574),APOIO!$F:$F,0)))</f>
        <v/>
      </c>
      <c r="E1574" s="31"/>
      <c r="F1574" s="31"/>
      <c r="G1574" s="33"/>
      <c r="H1574" s="105"/>
      <c r="I1574" s="32" t="str">
        <f>IF($A1574="","",VLOOKUP($H1574,APOIO!$L:$M,2,FALSE))</f>
        <v/>
      </c>
      <c r="J1574" s="31"/>
      <c r="K1574" s="32" t="str">
        <f>IF($A1574="","",VLOOKUP($J1574,APOIO!$H:$J,2,FALSE))</f>
        <v/>
      </c>
      <c r="L1574" s="32" t="str">
        <f>IF($A1574="","",VLOOKUP($J1574,APOIO!$H:$J,3,FALSE))</f>
        <v/>
      </c>
      <c r="M1574" s="31"/>
      <c r="N1574" s="34"/>
      <c r="O1574" s="32"/>
      <c r="P1574" s="32"/>
      <c r="Q1574" s="32"/>
      <c r="R1574" s="32"/>
      <c r="S1574" s="35"/>
      <c r="T1574" s="91"/>
      <c r="U1574" s="60"/>
      <c r="V1574" s="36"/>
      <c r="W1574" s="31"/>
      <c r="X1574" s="59"/>
      <c r="Y1574" s="59" t="str">
        <f>IFERROR(VLOOKUP($A1574,APOIO!$A:$A,1,FALSE),"ERRO")</f>
        <v>ERRO</v>
      </c>
      <c r="Z1574"/>
    </row>
    <row r="1575" spans="1:26" ht="15" x14ac:dyDescent="0.25">
      <c r="A1575" s="94"/>
      <c r="B1575" s="32" t="str">
        <f>IF($A1575="","",VLOOKUP($A1575,APOIO!$A:$E,2,FALSE))</f>
        <v/>
      </c>
      <c r="C1575" s="94"/>
      <c r="D1575" s="32" t="str">
        <f>IF($A1575="","",INDEX(APOIO!$D:$D,MATCH(CONCATENATE($A1575,"_",$B1575,"_",$C1575),APOIO!$F:$F,0)))</f>
        <v/>
      </c>
      <c r="E1575" s="31"/>
      <c r="F1575" s="31"/>
      <c r="G1575" s="33"/>
      <c r="H1575" s="105"/>
      <c r="I1575" s="32" t="str">
        <f>IF($A1575="","",VLOOKUP($H1575,APOIO!$L:$M,2,FALSE))</f>
        <v/>
      </c>
      <c r="J1575" s="31"/>
      <c r="K1575" s="32" t="str">
        <f>IF($A1575="","",VLOOKUP($J1575,APOIO!$H:$J,2,FALSE))</f>
        <v/>
      </c>
      <c r="L1575" s="32" t="str">
        <f>IF($A1575="","",VLOOKUP($J1575,APOIO!$H:$J,3,FALSE))</f>
        <v/>
      </c>
      <c r="M1575" s="31"/>
      <c r="N1575" s="34"/>
      <c r="O1575" s="32"/>
      <c r="P1575" s="32"/>
      <c r="Q1575" s="32"/>
      <c r="R1575" s="32"/>
      <c r="S1575" s="35"/>
      <c r="T1575" s="91"/>
      <c r="U1575" s="60"/>
      <c r="V1575" s="36"/>
      <c r="W1575" s="31"/>
      <c r="X1575" s="59"/>
      <c r="Y1575" s="59" t="str">
        <f>IFERROR(VLOOKUP($A1575,APOIO!$A:$A,1,FALSE),"ERRO")</f>
        <v>ERRO</v>
      </c>
      <c r="Z1575"/>
    </row>
    <row r="1576" spans="1:26" ht="15" x14ac:dyDescent="0.25">
      <c r="A1576" s="94"/>
      <c r="B1576" s="32" t="str">
        <f>IF($A1576="","",VLOOKUP($A1576,APOIO!$A:$E,2,FALSE))</f>
        <v/>
      </c>
      <c r="C1576" s="94"/>
      <c r="D1576" s="32" t="str">
        <f>IF($A1576="","",INDEX(APOIO!$D:$D,MATCH(CONCATENATE($A1576,"_",$B1576,"_",$C1576),APOIO!$F:$F,0)))</f>
        <v/>
      </c>
      <c r="E1576" s="31"/>
      <c r="F1576" s="31"/>
      <c r="G1576" s="33"/>
      <c r="H1576" s="105"/>
      <c r="I1576" s="32" t="str">
        <f>IF($A1576="","",VLOOKUP($H1576,APOIO!$L:$M,2,FALSE))</f>
        <v/>
      </c>
      <c r="J1576" s="31"/>
      <c r="K1576" s="32" t="str">
        <f>IF($A1576="","",VLOOKUP($J1576,APOIO!$H:$J,2,FALSE))</f>
        <v/>
      </c>
      <c r="L1576" s="32" t="str">
        <f>IF($A1576="","",VLOOKUP($J1576,APOIO!$H:$J,3,FALSE))</f>
        <v/>
      </c>
      <c r="M1576" s="31"/>
      <c r="N1576" s="34"/>
      <c r="O1576" s="32"/>
      <c r="P1576" s="32"/>
      <c r="Q1576" s="32"/>
      <c r="R1576" s="32"/>
      <c r="S1576" s="35"/>
      <c r="T1576" s="91"/>
      <c r="U1576" s="60"/>
      <c r="V1576" s="36"/>
      <c r="W1576" s="31"/>
      <c r="X1576" s="59"/>
      <c r="Y1576" s="59" t="str">
        <f>IFERROR(VLOOKUP($A1576,APOIO!$A:$A,1,FALSE),"ERRO")</f>
        <v>ERRO</v>
      </c>
      <c r="Z1576"/>
    </row>
    <row r="1577" spans="1:26" ht="15" x14ac:dyDescent="0.25">
      <c r="A1577" s="94"/>
      <c r="B1577" s="32" t="str">
        <f>IF($A1577="","",VLOOKUP($A1577,APOIO!$A:$E,2,FALSE))</f>
        <v/>
      </c>
      <c r="C1577" s="94"/>
      <c r="D1577" s="32" t="str">
        <f>IF($A1577="","",INDEX(APOIO!$D:$D,MATCH(CONCATENATE($A1577,"_",$B1577,"_",$C1577),APOIO!$F:$F,0)))</f>
        <v/>
      </c>
      <c r="E1577" s="31"/>
      <c r="F1577" s="31"/>
      <c r="G1577" s="33"/>
      <c r="H1577" s="105"/>
      <c r="I1577" s="32" t="str">
        <f>IF($A1577="","",VLOOKUP($H1577,APOIO!$L:$M,2,FALSE))</f>
        <v/>
      </c>
      <c r="J1577" s="31"/>
      <c r="K1577" s="32" t="str">
        <f>IF($A1577="","",VLOOKUP($J1577,APOIO!$H:$J,2,FALSE))</f>
        <v/>
      </c>
      <c r="L1577" s="32" t="str">
        <f>IF($A1577="","",VLOOKUP($J1577,APOIO!$H:$J,3,FALSE))</f>
        <v/>
      </c>
      <c r="M1577" s="31"/>
      <c r="N1577" s="34"/>
      <c r="O1577" s="32"/>
      <c r="P1577" s="32"/>
      <c r="Q1577" s="32"/>
      <c r="R1577" s="32"/>
      <c r="S1577" s="35"/>
      <c r="T1577" s="91"/>
      <c r="U1577" s="60"/>
      <c r="V1577" s="36"/>
      <c r="W1577" s="31"/>
      <c r="X1577" s="59"/>
      <c r="Y1577" s="59" t="str">
        <f>IFERROR(VLOOKUP($A1577,APOIO!$A:$A,1,FALSE),"ERRO")</f>
        <v>ERRO</v>
      </c>
      <c r="Z1577"/>
    </row>
    <row r="1578" spans="1:26" ht="15" x14ac:dyDescent="0.25">
      <c r="A1578" s="94"/>
      <c r="B1578" s="32" t="str">
        <f>IF($A1578="","",VLOOKUP($A1578,APOIO!$A:$E,2,FALSE))</f>
        <v/>
      </c>
      <c r="C1578" s="94"/>
      <c r="D1578" s="32" t="str">
        <f>IF($A1578="","",INDEX(APOIO!$D:$D,MATCH(CONCATENATE($A1578,"_",$B1578,"_",$C1578),APOIO!$F:$F,0)))</f>
        <v/>
      </c>
      <c r="E1578" s="31"/>
      <c r="F1578" s="31"/>
      <c r="G1578" s="33"/>
      <c r="H1578" s="105"/>
      <c r="I1578" s="32" t="str">
        <f>IF($A1578="","",VLOOKUP($H1578,APOIO!$L:$M,2,FALSE))</f>
        <v/>
      </c>
      <c r="J1578" s="31"/>
      <c r="K1578" s="32" t="str">
        <f>IF($A1578="","",VLOOKUP($J1578,APOIO!$H:$J,2,FALSE))</f>
        <v/>
      </c>
      <c r="L1578" s="32" t="str">
        <f>IF($A1578="","",VLOOKUP($J1578,APOIO!$H:$J,3,FALSE))</f>
        <v/>
      </c>
      <c r="M1578" s="31"/>
      <c r="N1578" s="34"/>
      <c r="O1578" s="32"/>
      <c r="P1578" s="32"/>
      <c r="Q1578" s="32"/>
      <c r="R1578" s="32"/>
      <c r="S1578" s="35"/>
      <c r="T1578" s="91"/>
      <c r="U1578" s="60"/>
      <c r="V1578" s="36"/>
      <c r="W1578" s="31"/>
      <c r="X1578" s="59"/>
      <c r="Y1578" s="59" t="str">
        <f>IFERROR(VLOOKUP($A1578,APOIO!$A:$A,1,FALSE),"ERRO")</f>
        <v>ERRO</v>
      </c>
      <c r="Z1578"/>
    </row>
    <row r="1579" spans="1:26" ht="15" x14ac:dyDescent="0.25">
      <c r="A1579" s="94"/>
      <c r="B1579" s="32" t="str">
        <f>IF($A1579="","",VLOOKUP($A1579,APOIO!$A:$E,2,FALSE))</f>
        <v/>
      </c>
      <c r="C1579" s="94"/>
      <c r="D1579" s="32" t="str">
        <f>IF($A1579="","",INDEX(APOIO!$D:$D,MATCH(CONCATENATE($A1579,"_",$B1579,"_",$C1579),APOIO!$F:$F,0)))</f>
        <v/>
      </c>
      <c r="E1579" s="31"/>
      <c r="F1579" s="31"/>
      <c r="G1579" s="33"/>
      <c r="H1579" s="105"/>
      <c r="I1579" s="32" t="str">
        <f>IF($A1579="","",VLOOKUP($H1579,APOIO!$L:$M,2,FALSE))</f>
        <v/>
      </c>
      <c r="J1579" s="31"/>
      <c r="K1579" s="32" t="str">
        <f>IF($A1579="","",VLOOKUP($J1579,APOIO!$H:$J,2,FALSE))</f>
        <v/>
      </c>
      <c r="L1579" s="32" t="str">
        <f>IF($A1579="","",VLOOKUP($J1579,APOIO!$H:$J,3,FALSE))</f>
        <v/>
      </c>
      <c r="M1579" s="31"/>
      <c r="N1579" s="34"/>
      <c r="O1579" s="32"/>
      <c r="P1579" s="32"/>
      <c r="Q1579" s="32"/>
      <c r="R1579" s="32"/>
      <c r="S1579" s="35"/>
      <c r="T1579" s="91"/>
      <c r="U1579" s="60"/>
      <c r="V1579" s="36"/>
      <c r="W1579" s="31"/>
      <c r="X1579" s="59"/>
      <c r="Y1579" s="59" t="str">
        <f>IFERROR(VLOOKUP($A1579,APOIO!$A:$A,1,FALSE),"ERRO")</f>
        <v>ERRO</v>
      </c>
      <c r="Z1579"/>
    </row>
    <row r="1580" spans="1:26" ht="15" x14ac:dyDescent="0.25">
      <c r="A1580" s="94"/>
      <c r="B1580" s="32" t="str">
        <f>IF($A1580="","",VLOOKUP($A1580,APOIO!$A:$E,2,FALSE))</f>
        <v/>
      </c>
      <c r="C1580" s="94"/>
      <c r="D1580" s="32" t="str">
        <f>IF($A1580="","",INDEX(APOIO!$D:$D,MATCH(CONCATENATE($A1580,"_",$B1580,"_",$C1580),APOIO!$F:$F,0)))</f>
        <v/>
      </c>
      <c r="E1580" s="31"/>
      <c r="F1580" s="31"/>
      <c r="G1580" s="33"/>
      <c r="H1580" s="105"/>
      <c r="I1580" s="32" t="str">
        <f>IF($A1580="","",VLOOKUP($H1580,APOIO!$L:$M,2,FALSE))</f>
        <v/>
      </c>
      <c r="J1580" s="31"/>
      <c r="K1580" s="32" t="str">
        <f>IF($A1580="","",VLOOKUP($J1580,APOIO!$H:$J,2,FALSE))</f>
        <v/>
      </c>
      <c r="L1580" s="32" t="str">
        <f>IF($A1580="","",VLOOKUP($J1580,APOIO!$H:$J,3,FALSE))</f>
        <v/>
      </c>
      <c r="M1580" s="31"/>
      <c r="N1580" s="34"/>
      <c r="O1580" s="32"/>
      <c r="P1580" s="32"/>
      <c r="Q1580" s="32"/>
      <c r="R1580" s="32"/>
      <c r="S1580" s="35"/>
      <c r="T1580" s="91"/>
      <c r="U1580" s="60"/>
      <c r="V1580" s="36"/>
      <c r="W1580" s="31"/>
      <c r="X1580" s="59"/>
      <c r="Y1580" s="59" t="str">
        <f>IFERROR(VLOOKUP($A1580,APOIO!$A:$A,1,FALSE),"ERRO")</f>
        <v>ERRO</v>
      </c>
      <c r="Z1580"/>
    </row>
    <row r="1581" spans="1:26" ht="15" x14ac:dyDescent="0.25">
      <c r="A1581" s="94"/>
      <c r="B1581" s="32" t="str">
        <f>IF($A1581="","",VLOOKUP($A1581,APOIO!$A:$E,2,FALSE))</f>
        <v/>
      </c>
      <c r="C1581" s="94"/>
      <c r="D1581" s="32" t="str">
        <f>IF($A1581="","",INDEX(APOIO!$D:$D,MATCH(CONCATENATE($A1581,"_",$B1581,"_",$C1581),APOIO!$F:$F,0)))</f>
        <v/>
      </c>
      <c r="E1581" s="31"/>
      <c r="F1581" s="31"/>
      <c r="G1581" s="33"/>
      <c r="H1581" s="105"/>
      <c r="I1581" s="32" t="str">
        <f>IF($A1581="","",VLOOKUP($H1581,APOIO!$L:$M,2,FALSE))</f>
        <v/>
      </c>
      <c r="J1581" s="31"/>
      <c r="K1581" s="32" t="str">
        <f>IF($A1581="","",VLOOKUP($J1581,APOIO!$H:$J,2,FALSE))</f>
        <v/>
      </c>
      <c r="L1581" s="32" t="str">
        <f>IF($A1581="","",VLOOKUP($J1581,APOIO!$H:$J,3,FALSE))</f>
        <v/>
      </c>
      <c r="M1581" s="31"/>
      <c r="N1581" s="34"/>
      <c r="O1581" s="32"/>
      <c r="P1581" s="32"/>
      <c r="Q1581" s="32"/>
      <c r="R1581" s="32"/>
      <c r="S1581" s="35"/>
      <c r="T1581" s="91"/>
      <c r="U1581" s="60"/>
      <c r="V1581" s="36"/>
      <c r="W1581" s="31"/>
      <c r="X1581" s="59"/>
      <c r="Y1581" s="59" t="str">
        <f>IFERROR(VLOOKUP($A1581,APOIO!$A:$A,1,FALSE),"ERRO")</f>
        <v>ERRO</v>
      </c>
      <c r="Z1581"/>
    </row>
    <row r="1582" spans="1:26" ht="15" x14ac:dyDescent="0.25">
      <c r="A1582" s="94"/>
      <c r="B1582" s="32" t="str">
        <f>IF($A1582="","",VLOOKUP($A1582,APOIO!$A:$E,2,FALSE))</f>
        <v/>
      </c>
      <c r="C1582" s="94"/>
      <c r="D1582" s="32" t="str">
        <f>IF($A1582="","",INDEX(APOIO!$D:$D,MATCH(CONCATENATE($A1582,"_",$B1582,"_",$C1582),APOIO!$F:$F,0)))</f>
        <v/>
      </c>
      <c r="E1582" s="31"/>
      <c r="F1582" s="31"/>
      <c r="G1582" s="33"/>
      <c r="H1582" s="105"/>
      <c r="I1582" s="32" t="str">
        <f>IF($A1582="","",VLOOKUP($H1582,APOIO!$L:$M,2,FALSE))</f>
        <v/>
      </c>
      <c r="J1582" s="31"/>
      <c r="K1582" s="32" t="str">
        <f>IF($A1582="","",VLOOKUP($J1582,APOIO!$H:$J,2,FALSE))</f>
        <v/>
      </c>
      <c r="L1582" s="32" t="str">
        <f>IF($A1582="","",VLOOKUP($J1582,APOIO!$H:$J,3,FALSE))</f>
        <v/>
      </c>
      <c r="M1582" s="31"/>
      <c r="N1582" s="34"/>
      <c r="O1582" s="32"/>
      <c r="P1582" s="32"/>
      <c r="Q1582" s="32"/>
      <c r="R1582" s="32"/>
      <c r="S1582" s="35"/>
      <c r="T1582" s="91"/>
      <c r="U1582" s="60"/>
      <c r="V1582" s="36"/>
      <c r="W1582" s="31"/>
      <c r="X1582" s="59"/>
      <c r="Y1582" s="59" t="str">
        <f>IFERROR(VLOOKUP($A1582,APOIO!$A:$A,1,FALSE),"ERRO")</f>
        <v>ERRO</v>
      </c>
      <c r="Z1582"/>
    </row>
    <row r="1583" spans="1:26" ht="15" x14ac:dyDescent="0.25">
      <c r="A1583" s="94"/>
      <c r="B1583" s="32" t="str">
        <f>IF($A1583="","",VLOOKUP($A1583,APOIO!$A:$E,2,FALSE))</f>
        <v/>
      </c>
      <c r="C1583" s="94"/>
      <c r="D1583" s="32" t="str">
        <f>IF($A1583="","",INDEX(APOIO!$D:$D,MATCH(CONCATENATE($A1583,"_",$B1583,"_",$C1583),APOIO!$F:$F,0)))</f>
        <v/>
      </c>
      <c r="E1583" s="31"/>
      <c r="F1583" s="31"/>
      <c r="G1583" s="33"/>
      <c r="H1583" s="105"/>
      <c r="I1583" s="32" t="str">
        <f>IF($A1583="","",VLOOKUP($H1583,APOIO!$L:$M,2,FALSE))</f>
        <v/>
      </c>
      <c r="J1583" s="31"/>
      <c r="K1583" s="32" t="str">
        <f>IF($A1583="","",VLOOKUP($J1583,APOIO!$H:$J,2,FALSE))</f>
        <v/>
      </c>
      <c r="L1583" s="32" t="str">
        <f>IF($A1583="","",VLOOKUP($J1583,APOIO!$H:$J,3,FALSE))</f>
        <v/>
      </c>
      <c r="M1583" s="31"/>
      <c r="N1583" s="34"/>
      <c r="O1583" s="32"/>
      <c r="P1583" s="32"/>
      <c r="Q1583" s="32"/>
      <c r="R1583" s="32"/>
      <c r="S1583" s="35"/>
      <c r="T1583" s="91"/>
      <c r="U1583" s="60"/>
      <c r="V1583" s="36"/>
      <c r="W1583" s="31"/>
      <c r="X1583" s="59"/>
      <c r="Y1583" s="59" t="str">
        <f>IFERROR(VLOOKUP($A1583,APOIO!$A:$A,1,FALSE),"ERRO")</f>
        <v>ERRO</v>
      </c>
      <c r="Z1583"/>
    </row>
    <row r="1584" spans="1:26" ht="15" x14ac:dyDescent="0.25">
      <c r="A1584" s="94"/>
      <c r="B1584" s="32" t="str">
        <f>IF($A1584="","",VLOOKUP($A1584,APOIO!$A:$E,2,FALSE))</f>
        <v/>
      </c>
      <c r="C1584" s="94"/>
      <c r="D1584" s="32" t="str">
        <f>IF($A1584="","",INDEX(APOIO!$D:$D,MATCH(CONCATENATE($A1584,"_",$B1584,"_",$C1584),APOIO!$F:$F,0)))</f>
        <v/>
      </c>
      <c r="E1584" s="31"/>
      <c r="F1584" s="31"/>
      <c r="G1584" s="33"/>
      <c r="H1584" s="105"/>
      <c r="I1584" s="32" t="str">
        <f>IF($A1584="","",VLOOKUP($H1584,APOIO!$L:$M,2,FALSE))</f>
        <v/>
      </c>
      <c r="J1584" s="31"/>
      <c r="K1584" s="32" t="str">
        <f>IF($A1584="","",VLOOKUP($J1584,APOIO!$H:$J,2,FALSE))</f>
        <v/>
      </c>
      <c r="L1584" s="32" t="str">
        <f>IF($A1584="","",VLOOKUP($J1584,APOIO!$H:$J,3,FALSE))</f>
        <v/>
      </c>
      <c r="M1584" s="31"/>
      <c r="N1584" s="34"/>
      <c r="O1584" s="32"/>
      <c r="P1584" s="32"/>
      <c r="Q1584" s="32"/>
      <c r="R1584" s="32"/>
      <c r="S1584" s="35"/>
      <c r="T1584" s="91"/>
      <c r="U1584" s="60"/>
      <c r="V1584" s="36"/>
      <c r="W1584" s="31"/>
      <c r="X1584" s="59"/>
      <c r="Y1584" s="59" t="str">
        <f>IFERROR(VLOOKUP($A1584,APOIO!$A:$A,1,FALSE),"ERRO")</f>
        <v>ERRO</v>
      </c>
      <c r="Z1584"/>
    </row>
    <row r="1585" spans="1:26" ht="15" x14ac:dyDescent="0.25">
      <c r="A1585" s="94"/>
      <c r="B1585" s="32" t="str">
        <f>IF($A1585="","",VLOOKUP($A1585,APOIO!$A:$E,2,FALSE))</f>
        <v/>
      </c>
      <c r="C1585" s="94"/>
      <c r="D1585" s="32" t="str">
        <f>IF($A1585="","",INDEX(APOIO!$D:$D,MATCH(CONCATENATE($A1585,"_",$B1585,"_",$C1585),APOIO!$F:$F,0)))</f>
        <v/>
      </c>
      <c r="E1585" s="31"/>
      <c r="F1585" s="31"/>
      <c r="G1585" s="33"/>
      <c r="H1585" s="105"/>
      <c r="I1585" s="32" t="str">
        <f>IF($A1585="","",VLOOKUP($H1585,APOIO!$L:$M,2,FALSE))</f>
        <v/>
      </c>
      <c r="J1585" s="31"/>
      <c r="K1585" s="32" t="str">
        <f>IF($A1585="","",VLOOKUP($J1585,APOIO!$H:$J,2,FALSE))</f>
        <v/>
      </c>
      <c r="L1585" s="32" t="str">
        <f>IF($A1585="","",VLOOKUP($J1585,APOIO!$H:$J,3,FALSE))</f>
        <v/>
      </c>
      <c r="M1585" s="31"/>
      <c r="N1585" s="34"/>
      <c r="O1585" s="32"/>
      <c r="P1585" s="32"/>
      <c r="Q1585" s="32"/>
      <c r="R1585" s="32"/>
      <c r="S1585" s="35"/>
      <c r="T1585" s="91"/>
      <c r="U1585" s="60"/>
      <c r="V1585" s="36"/>
      <c r="W1585" s="31"/>
      <c r="X1585" s="59"/>
      <c r="Y1585" s="59" t="str">
        <f>IFERROR(VLOOKUP($A1585,APOIO!$A:$A,1,FALSE),"ERRO")</f>
        <v>ERRO</v>
      </c>
      <c r="Z1585"/>
    </row>
    <row r="1586" spans="1:26" ht="15" x14ac:dyDescent="0.25">
      <c r="A1586" s="94"/>
      <c r="B1586" s="32" t="str">
        <f>IF($A1586="","",VLOOKUP($A1586,APOIO!$A:$E,2,FALSE))</f>
        <v/>
      </c>
      <c r="C1586" s="94"/>
      <c r="D1586" s="32" t="str">
        <f>IF($A1586="","",INDEX(APOIO!$D:$D,MATCH(CONCATENATE($A1586,"_",$B1586,"_",$C1586),APOIO!$F:$F,0)))</f>
        <v/>
      </c>
      <c r="E1586" s="31"/>
      <c r="F1586" s="31"/>
      <c r="G1586" s="33"/>
      <c r="H1586" s="105"/>
      <c r="I1586" s="32" t="str">
        <f>IF($A1586="","",VLOOKUP($H1586,APOIO!$L:$M,2,FALSE))</f>
        <v/>
      </c>
      <c r="J1586" s="31"/>
      <c r="K1586" s="32" t="str">
        <f>IF($A1586="","",VLOOKUP($J1586,APOIO!$H:$J,2,FALSE))</f>
        <v/>
      </c>
      <c r="L1586" s="32" t="str">
        <f>IF($A1586="","",VLOOKUP($J1586,APOIO!$H:$J,3,FALSE))</f>
        <v/>
      </c>
      <c r="M1586" s="31"/>
      <c r="N1586" s="34"/>
      <c r="O1586" s="32"/>
      <c r="P1586" s="32"/>
      <c r="Q1586" s="32"/>
      <c r="R1586" s="32"/>
      <c r="S1586" s="35"/>
      <c r="T1586" s="91"/>
      <c r="U1586" s="60"/>
      <c r="V1586" s="36"/>
      <c r="W1586" s="31"/>
      <c r="X1586" s="59"/>
      <c r="Y1586" s="59" t="str">
        <f>IFERROR(VLOOKUP($A1586,APOIO!$A:$A,1,FALSE),"ERRO")</f>
        <v>ERRO</v>
      </c>
      <c r="Z1586"/>
    </row>
    <row r="1587" spans="1:26" ht="15" x14ac:dyDescent="0.25">
      <c r="A1587" s="94"/>
      <c r="B1587" s="32" t="str">
        <f>IF($A1587="","",VLOOKUP($A1587,APOIO!$A:$E,2,FALSE))</f>
        <v/>
      </c>
      <c r="C1587" s="94"/>
      <c r="D1587" s="32" t="str">
        <f>IF($A1587="","",INDEX(APOIO!$D:$D,MATCH(CONCATENATE($A1587,"_",$B1587,"_",$C1587),APOIO!$F:$F,0)))</f>
        <v/>
      </c>
      <c r="E1587" s="31"/>
      <c r="F1587" s="31"/>
      <c r="G1587" s="33"/>
      <c r="H1587" s="105"/>
      <c r="I1587" s="32" t="str">
        <f>IF($A1587="","",VLOOKUP($H1587,APOIO!$L:$M,2,FALSE))</f>
        <v/>
      </c>
      <c r="J1587" s="31"/>
      <c r="K1587" s="32" t="str">
        <f>IF($A1587="","",VLOOKUP($J1587,APOIO!$H:$J,2,FALSE))</f>
        <v/>
      </c>
      <c r="L1587" s="32" t="str">
        <f>IF($A1587="","",VLOOKUP($J1587,APOIO!$H:$J,3,FALSE))</f>
        <v/>
      </c>
      <c r="M1587" s="31"/>
      <c r="N1587" s="34"/>
      <c r="O1587" s="32"/>
      <c r="P1587" s="32"/>
      <c r="Q1587" s="32"/>
      <c r="R1587" s="32"/>
      <c r="S1587" s="35"/>
      <c r="T1587" s="91"/>
      <c r="U1587" s="60"/>
      <c r="V1587" s="36"/>
      <c r="W1587" s="31"/>
      <c r="X1587" s="59"/>
      <c r="Y1587" s="59" t="str">
        <f>IFERROR(VLOOKUP($A1587,APOIO!$A:$A,1,FALSE),"ERRO")</f>
        <v>ERRO</v>
      </c>
      <c r="Z1587"/>
    </row>
    <row r="1588" spans="1:26" ht="15" x14ac:dyDescent="0.25">
      <c r="A1588" s="94"/>
      <c r="B1588" s="32" t="str">
        <f>IF($A1588="","",VLOOKUP($A1588,APOIO!$A:$E,2,FALSE))</f>
        <v/>
      </c>
      <c r="C1588" s="94"/>
      <c r="D1588" s="32" t="str">
        <f>IF($A1588="","",INDEX(APOIO!$D:$D,MATCH(CONCATENATE($A1588,"_",$B1588,"_",$C1588),APOIO!$F:$F,0)))</f>
        <v/>
      </c>
      <c r="E1588" s="31"/>
      <c r="F1588" s="31"/>
      <c r="G1588" s="33"/>
      <c r="H1588" s="105"/>
      <c r="I1588" s="32" t="str">
        <f>IF($A1588="","",VLOOKUP($H1588,APOIO!$L:$M,2,FALSE))</f>
        <v/>
      </c>
      <c r="J1588" s="31"/>
      <c r="K1588" s="32" t="str">
        <f>IF($A1588="","",VLOOKUP($J1588,APOIO!$H:$J,2,FALSE))</f>
        <v/>
      </c>
      <c r="L1588" s="32" t="str">
        <f>IF($A1588="","",VLOOKUP($J1588,APOIO!$H:$J,3,FALSE))</f>
        <v/>
      </c>
      <c r="M1588" s="31"/>
      <c r="N1588" s="34"/>
      <c r="O1588" s="32"/>
      <c r="P1588" s="32"/>
      <c r="Q1588" s="32"/>
      <c r="R1588" s="32"/>
      <c r="S1588" s="35"/>
      <c r="T1588" s="91"/>
      <c r="U1588" s="60"/>
      <c r="V1588" s="36"/>
      <c r="W1588" s="31"/>
      <c r="X1588" s="59"/>
      <c r="Y1588" s="59" t="str">
        <f>IFERROR(VLOOKUP($A1588,APOIO!$A:$A,1,FALSE),"ERRO")</f>
        <v>ERRO</v>
      </c>
      <c r="Z1588"/>
    </row>
    <row r="1589" spans="1:26" ht="15" x14ac:dyDescent="0.25">
      <c r="A1589" s="94"/>
      <c r="B1589" s="32" t="str">
        <f>IF($A1589="","",VLOOKUP($A1589,APOIO!$A:$E,2,FALSE))</f>
        <v/>
      </c>
      <c r="C1589" s="94"/>
      <c r="D1589" s="32" t="str">
        <f>IF($A1589="","",INDEX(APOIO!$D:$D,MATCH(CONCATENATE($A1589,"_",$B1589,"_",$C1589),APOIO!$F:$F,0)))</f>
        <v/>
      </c>
      <c r="E1589" s="31"/>
      <c r="F1589" s="31"/>
      <c r="G1589" s="33"/>
      <c r="H1589" s="105"/>
      <c r="I1589" s="32" t="str">
        <f>IF($A1589="","",VLOOKUP($H1589,APOIO!$L:$M,2,FALSE))</f>
        <v/>
      </c>
      <c r="J1589" s="31"/>
      <c r="K1589" s="32" t="str">
        <f>IF($A1589="","",VLOOKUP($J1589,APOIO!$H:$J,2,FALSE))</f>
        <v/>
      </c>
      <c r="L1589" s="32" t="str">
        <f>IF($A1589="","",VLOOKUP($J1589,APOIO!$H:$J,3,FALSE))</f>
        <v/>
      </c>
      <c r="M1589" s="31"/>
      <c r="N1589" s="34"/>
      <c r="O1589" s="32"/>
      <c r="P1589" s="32"/>
      <c r="Q1589" s="32"/>
      <c r="R1589" s="32"/>
      <c r="S1589" s="35"/>
      <c r="T1589" s="91"/>
      <c r="U1589" s="60"/>
      <c r="V1589" s="36"/>
      <c r="W1589" s="31"/>
      <c r="X1589" s="59"/>
      <c r="Y1589" s="59" t="str">
        <f>IFERROR(VLOOKUP($A1589,APOIO!$A:$A,1,FALSE),"ERRO")</f>
        <v>ERRO</v>
      </c>
      <c r="Z1589"/>
    </row>
    <row r="1590" spans="1:26" ht="15" x14ac:dyDescent="0.25">
      <c r="A1590" s="94"/>
      <c r="B1590" s="32" t="str">
        <f>IF($A1590="","",VLOOKUP($A1590,APOIO!$A:$E,2,FALSE))</f>
        <v/>
      </c>
      <c r="C1590" s="94"/>
      <c r="D1590" s="32" t="str">
        <f>IF($A1590="","",INDEX(APOIO!$D:$D,MATCH(CONCATENATE($A1590,"_",$B1590,"_",$C1590),APOIO!$F:$F,0)))</f>
        <v/>
      </c>
      <c r="E1590" s="31"/>
      <c r="F1590" s="31"/>
      <c r="G1590" s="33"/>
      <c r="H1590" s="105"/>
      <c r="I1590" s="32" t="str">
        <f>IF($A1590="","",VLOOKUP($H1590,APOIO!$L:$M,2,FALSE))</f>
        <v/>
      </c>
      <c r="J1590" s="31"/>
      <c r="K1590" s="32" t="str">
        <f>IF($A1590="","",VLOOKUP($J1590,APOIO!$H:$J,2,FALSE))</f>
        <v/>
      </c>
      <c r="L1590" s="32" t="str">
        <f>IF($A1590="","",VLOOKUP($J1590,APOIO!$H:$J,3,FALSE))</f>
        <v/>
      </c>
      <c r="M1590" s="31"/>
      <c r="N1590" s="34"/>
      <c r="O1590" s="32"/>
      <c r="P1590" s="32"/>
      <c r="Q1590" s="32"/>
      <c r="R1590" s="32"/>
      <c r="S1590" s="35"/>
      <c r="T1590" s="91"/>
      <c r="U1590" s="60"/>
      <c r="V1590" s="36"/>
      <c r="W1590" s="31"/>
      <c r="X1590" s="59"/>
      <c r="Y1590" s="59" t="str">
        <f>IFERROR(VLOOKUP($A1590,APOIO!$A:$A,1,FALSE),"ERRO")</f>
        <v>ERRO</v>
      </c>
      <c r="Z1590"/>
    </row>
    <row r="1591" spans="1:26" ht="15" x14ac:dyDescent="0.25">
      <c r="A1591" s="94"/>
      <c r="B1591" s="32" t="str">
        <f>IF($A1591="","",VLOOKUP($A1591,APOIO!$A:$E,2,FALSE))</f>
        <v/>
      </c>
      <c r="C1591" s="94"/>
      <c r="D1591" s="32" t="str">
        <f>IF($A1591="","",INDEX(APOIO!$D:$D,MATCH(CONCATENATE($A1591,"_",$B1591,"_",$C1591),APOIO!$F:$F,0)))</f>
        <v/>
      </c>
      <c r="E1591" s="31"/>
      <c r="F1591" s="31"/>
      <c r="G1591" s="33"/>
      <c r="H1591" s="105"/>
      <c r="I1591" s="32" t="str">
        <f>IF($A1591="","",VLOOKUP($H1591,APOIO!$L:$M,2,FALSE))</f>
        <v/>
      </c>
      <c r="J1591" s="31"/>
      <c r="K1591" s="32" t="str">
        <f>IF($A1591="","",VLOOKUP($J1591,APOIO!$H:$J,2,FALSE))</f>
        <v/>
      </c>
      <c r="L1591" s="32" t="str">
        <f>IF($A1591="","",VLOOKUP($J1591,APOIO!$H:$J,3,FALSE))</f>
        <v/>
      </c>
      <c r="M1591" s="31"/>
      <c r="N1591" s="34"/>
      <c r="O1591" s="32"/>
      <c r="P1591" s="32"/>
      <c r="Q1591" s="32"/>
      <c r="R1591" s="32"/>
      <c r="S1591" s="35"/>
      <c r="T1591" s="91"/>
      <c r="U1591" s="60"/>
      <c r="V1591" s="36"/>
      <c r="W1591" s="31"/>
      <c r="X1591" s="59"/>
      <c r="Y1591" s="59" t="str">
        <f>IFERROR(VLOOKUP($A1591,APOIO!$A:$A,1,FALSE),"ERRO")</f>
        <v>ERRO</v>
      </c>
      <c r="Z1591"/>
    </row>
    <row r="1592" spans="1:26" ht="15" x14ac:dyDescent="0.25">
      <c r="A1592" s="94"/>
      <c r="B1592" s="32" t="str">
        <f>IF($A1592="","",VLOOKUP($A1592,APOIO!$A:$E,2,FALSE))</f>
        <v/>
      </c>
      <c r="C1592" s="94"/>
      <c r="D1592" s="32" t="str">
        <f>IF($A1592="","",INDEX(APOIO!$D:$D,MATCH(CONCATENATE($A1592,"_",$B1592,"_",$C1592),APOIO!$F:$F,0)))</f>
        <v/>
      </c>
      <c r="E1592" s="31"/>
      <c r="F1592" s="31"/>
      <c r="G1592" s="33"/>
      <c r="H1592" s="105"/>
      <c r="I1592" s="32" t="str">
        <f>IF($A1592="","",VLOOKUP($H1592,APOIO!$L:$M,2,FALSE))</f>
        <v/>
      </c>
      <c r="J1592" s="31"/>
      <c r="K1592" s="32" t="str">
        <f>IF($A1592="","",VLOOKUP($J1592,APOIO!$H:$J,2,FALSE))</f>
        <v/>
      </c>
      <c r="L1592" s="32" t="str">
        <f>IF($A1592="","",VLOOKUP($J1592,APOIO!$H:$J,3,FALSE))</f>
        <v/>
      </c>
      <c r="M1592" s="31"/>
      <c r="N1592" s="34"/>
      <c r="O1592" s="32"/>
      <c r="P1592" s="32"/>
      <c r="Q1592" s="32"/>
      <c r="R1592" s="32"/>
      <c r="S1592" s="35"/>
      <c r="T1592" s="91"/>
      <c r="U1592" s="60"/>
      <c r="V1592" s="36"/>
      <c r="W1592" s="31"/>
      <c r="X1592" s="59"/>
      <c r="Y1592" s="59" t="str">
        <f>IFERROR(VLOOKUP($A1592,APOIO!$A:$A,1,FALSE),"ERRO")</f>
        <v>ERRO</v>
      </c>
      <c r="Z1592"/>
    </row>
    <row r="1593" spans="1:26" ht="15" x14ac:dyDescent="0.25">
      <c r="A1593" s="94"/>
      <c r="B1593" s="32" t="str">
        <f>IF($A1593="","",VLOOKUP($A1593,APOIO!$A:$E,2,FALSE))</f>
        <v/>
      </c>
      <c r="C1593" s="94"/>
      <c r="D1593" s="32" t="str">
        <f>IF($A1593="","",INDEX(APOIO!$D:$D,MATCH(CONCATENATE($A1593,"_",$B1593,"_",$C1593),APOIO!$F:$F,0)))</f>
        <v/>
      </c>
      <c r="E1593" s="31"/>
      <c r="F1593" s="31"/>
      <c r="G1593" s="33"/>
      <c r="H1593" s="105"/>
      <c r="I1593" s="32" t="str">
        <f>IF($A1593="","",VLOOKUP($H1593,APOIO!$L:$M,2,FALSE))</f>
        <v/>
      </c>
      <c r="J1593" s="31"/>
      <c r="K1593" s="32" t="str">
        <f>IF($A1593="","",VLOOKUP($J1593,APOIO!$H:$J,2,FALSE))</f>
        <v/>
      </c>
      <c r="L1593" s="32" t="str">
        <f>IF($A1593="","",VLOOKUP($J1593,APOIO!$H:$J,3,FALSE))</f>
        <v/>
      </c>
      <c r="M1593" s="31"/>
      <c r="N1593" s="34"/>
      <c r="O1593" s="32"/>
      <c r="P1593" s="32"/>
      <c r="Q1593" s="32"/>
      <c r="R1593" s="32"/>
      <c r="S1593" s="35"/>
      <c r="T1593" s="91"/>
      <c r="U1593" s="60"/>
      <c r="V1593" s="36"/>
      <c r="W1593" s="31"/>
      <c r="X1593" s="59"/>
      <c r="Y1593" s="59" t="str">
        <f>IFERROR(VLOOKUP($A1593,APOIO!$A:$A,1,FALSE),"ERRO")</f>
        <v>ERRO</v>
      </c>
      <c r="Z1593"/>
    </row>
    <row r="1594" spans="1:26" ht="15" x14ac:dyDescent="0.25">
      <c r="A1594" s="94"/>
      <c r="B1594" s="32" t="str">
        <f>IF($A1594="","",VLOOKUP($A1594,APOIO!$A:$E,2,FALSE))</f>
        <v/>
      </c>
      <c r="C1594" s="94"/>
      <c r="D1594" s="32" t="str">
        <f>IF($A1594="","",INDEX(APOIO!$D:$D,MATCH(CONCATENATE($A1594,"_",$B1594,"_",$C1594),APOIO!$F:$F,0)))</f>
        <v/>
      </c>
      <c r="E1594" s="31"/>
      <c r="F1594" s="31"/>
      <c r="G1594" s="33"/>
      <c r="H1594" s="105"/>
      <c r="I1594" s="32" t="str">
        <f>IF($A1594="","",VLOOKUP($H1594,APOIO!$L:$M,2,FALSE))</f>
        <v/>
      </c>
      <c r="J1594" s="31"/>
      <c r="K1594" s="32" t="str">
        <f>IF($A1594="","",VLOOKUP($J1594,APOIO!$H:$J,2,FALSE))</f>
        <v/>
      </c>
      <c r="L1594" s="32" t="str">
        <f>IF($A1594="","",VLOOKUP($J1594,APOIO!$H:$J,3,FALSE))</f>
        <v/>
      </c>
      <c r="M1594" s="31"/>
      <c r="N1594" s="34"/>
      <c r="O1594" s="32"/>
      <c r="P1594" s="32"/>
      <c r="Q1594" s="32"/>
      <c r="R1594" s="32"/>
      <c r="S1594" s="35"/>
      <c r="T1594" s="91"/>
      <c r="U1594" s="60"/>
      <c r="V1594" s="36"/>
      <c r="W1594" s="31"/>
      <c r="X1594" s="59"/>
      <c r="Y1594" s="59" t="str">
        <f>IFERROR(VLOOKUP($A1594,APOIO!$A:$A,1,FALSE),"ERRO")</f>
        <v>ERRO</v>
      </c>
      <c r="Z1594"/>
    </row>
    <row r="1595" spans="1:26" ht="15" x14ac:dyDescent="0.25">
      <c r="A1595" s="94"/>
      <c r="B1595" s="32" t="str">
        <f>IF($A1595="","",VLOOKUP($A1595,APOIO!$A:$E,2,FALSE))</f>
        <v/>
      </c>
      <c r="C1595" s="94"/>
      <c r="D1595" s="32" t="str">
        <f>IF($A1595="","",INDEX(APOIO!$D:$D,MATCH(CONCATENATE($A1595,"_",$B1595,"_",$C1595),APOIO!$F:$F,0)))</f>
        <v/>
      </c>
      <c r="E1595" s="31"/>
      <c r="F1595" s="31"/>
      <c r="G1595" s="33"/>
      <c r="H1595" s="105"/>
      <c r="I1595" s="32" t="str">
        <f>IF($A1595="","",VLOOKUP($H1595,APOIO!$L:$M,2,FALSE))</f>
        <v/>
      </c>
      <c r="J1595" s="31"/>
      <c r="K1595" s="32" t="str">
        <f>IF($A1595="","",VLOOKUP($J1595,APOIO!$H:$J,2,FALSE))</f>
        <v/>
      </c>
      <c r="L1595" s="32" t="str">
        <f>IF($A1595="","",VLOOKUP($J1595,APOIO!$H:$J,3,FALSE))</f>
        <v/>
      </c>
      <c r="M1595" s="31"/>
      <c r="N1595" s="34"/>
      <c r="O1595" s="32"/>
      <c r="P1595" s="32"/>
      <c r="Q1595" s="32"/>
      <c r="R1595" s="32"/>
      <c r="S1595" s="35"/>
      <c r="T1595" s="91"/>
      <c r="U1595" s="60"/>
      <c r="V1595" s="36"/>
      <c r="W1595" s="31"/>
      <c r="X1595" s="59"/>
      <c r="Y1595" s="59" t="str">
        <f>IFERROR(VLOOKUP($A1595,APOIO!$A:$A,1,FALSE),"ERRO")</f>
        <v>ERRO</v>
      </c>
      <c r="Z1595"/>
    </row>
    <row r="1596" spans="1:26" ht="15" x14ac:dyDescent="0.25">
      <c r="A1596" s="94"/>
      <c r="B1596" s="32" t="str">
        <f>IF($A1596="","",VLOOKUP($A1596,APOIO!$A:$E,2,FALSE))</f>
        <v/>
      </c>
      <c r="C1596" s="94"/>
      <c r="D1596" s="32" t="str">
        <f>IF($A1596="","",INDEX(APOIO!$D:$D,MATCH(CONCATENATE($A1596,"_",$B1596,"_",$C1596),APOIO!$F:$F,0)))</f>
        <v/>
      </c>
      <c r="E1596" s="31"/>
      <c r="F1596" s="31"/>
      <c r="G1596" s="33"/>
      <c r="H1596" s="105"/>
      <c r="I1596" s="32" t="str">
        <f>IF($A1596="","",VLOOKUP($H1596,APOIO!$L:$M,2,FALSE))</f>
        <v/>
      </c>
      <c r="J1596" s="31"/>
      <c r="K1596" s="32" t="str">
        <f>IF($A1596="","",VLOOKUP($J1596,APOIO!$H:$J,2,FALSE))</f>
        <v/>
      </c>
      <c r="L1596" s="32" t="str">
        <f>IF($A1596="","",VLOOKUP($J1596,APOIO!$H:$J,3,FALSE))</f>
        <v/>
      </c>
      <c r="M1596" s="31"/>
      <c r="N1596" s="34"/>
      <c r="O1596" s="32"/>
      <c r="P1596" s="32"/>
      <c r="Q1596" s="32"/>
      <c r="R1596" s="32"/>
      <c r="S1596" s="35"/>
      <c r="T1596" s="91"/>
      <c r="U1596" s="60"/>
      <c r="V1596" s="36"/>
      <c r="W1596" s="31"/>
      <c r="X1596" s="59"/>
      <c r="Y1596" s="59" t="str">
        <f>IFERROR(VLOOKUP($A1596,APOIO!$A:$A,1,FALSE),"ERRO")</f>
        <v>ERRO</v>
      </c>
      <c r="Z1596"/>
    </row>
    <row r="1597" spans="1:26" ht="15" x14ac:dyDescent="0.25">
      <c r="A1597" s="94"/>
      <c r="B1597" s="32" t="str">
        <f>IF($A1597="","",VLOOKUP($A1597,APOIO!$A:$E,2,FALSE))</f>
        <v/>
      </c>
      <c r="C1597" s="94"/>
      <c r="D1597" s="32" t="str">
        <f>IF($A1597="","",INDEX(APOIO!$D:$D,MATCH(CONCATENATE($A1597,"_",$B1597,"_",$C1597),APOIO!$F:$F,0)))</f>
        <v/>
      </c>
      <c r="E1597" s="31"/>
      <c r="F1597" s="31"/>
      <c r="G1597" s="33"/>
      <c r="H1597" s="105"/>
      <c r="I1597" s="32" t="str">
        <f>IF($A1597="","",VLOOKUP($H1597,APOIO!$L:$M,2,FALSE))</f>
        <v/>
      </c>
      <c r="J1597" s="31"/>
      <c r="K1597" s="32" t="str">
        <f>IF($A1597="","",VLOOKUP($J1597,APOIO!$H:$J,2,FALSE))</f>
        <v/>
      </c>
      <c r="L1597" s="32" t="str">
        <f>IF($A1597="","",VLOOKUP($J1597,APOIO!$H:$J,3,FALSE))</f>
        <v/>
      </c>
      <c r="M1597" s="31"/>
      <c r="N1597" s="34"/>
      <c r="O1597" s="32"/>
      <c r="P1597" s="32"/>
      <c r="Q1597" s="32"/>
      <c r="R1597" s="32"/>
      <c r="S1597" s="35"/>
      <c r="T1597" s="91"/>
      <c r="U1597" s="60"/>
      <c r="V1597" s="36"/>
      <c r="W1597" s="31"/>
      <c r="X1597" s="59"/>
      <c r="Y1597" s="59" t="str">
        <f>IFERROR(VLOOKUP($A1597,APOIO!$A:$A,1,FALSE),"ERRO")</f>
        <v>ERRO</v>
      </c>
      <c r="Z1597"/>
    </row>
    <row r="1598" spans="1:26" ht="15" x14ac:dyDescent="0.25">
      <c r="A1598" s="94"/>
      <c r="B1598" s="32" t="str">
        <f>IF($A1598="","",VLOOKUP($A1598,APOIO!$A:$E,2,FALSE))</f>
        <v/>
      </c>
      <c r="C1598" s="94"/>
      <c r="D1598" s="32" t="str">
        <f>IF($A1598="","",INDEX(APOIO!$D:$D,MATCH(CONCATENATE($A1598,"_",$B1598,"_",$C1598),APOIO!$F:$F,0)))</f>
        <v/>
      </c>
      <c r="E1598" s="31"/>
      <c r="F1598" s="31"/>
      <c r="G1598" s="33"/>
      <c r="H1598" s="105"/>
      <c r="I1598" s="32" t="str">
        <f>IF($A1598="","",VLOOKUP($H1598,APOIO!$L:$M,2,FALSE))</f>
        <v/>
      </c>
      <c r="J1598" s="31"/>
      <c r="K1598" s="32" t="str">
        <f>IF($A1598="","",VLOOKUP($J1598,APOIO!$H:$J,2,FALSE))</f>
        <v/>
      </c>
      <c r="L1598" s="32" t="str">
        <f>IF($A1598="","",VLOOKUP($J1598,APOIO!$H:$J,3,FALSE))</f>
        <v/>
      </c>
      <c r="M1598" s="31"/>
      <c r="N1598" s="34"/>
      <c r="O1598" s="32"/>
      <c r="P1598" s="32"/>
      <c r="Q1598" s="32"/>
      <c r="R1598" s="32"/>
      <c r="S1598" s="35"/>
      <c r="T1598" s="91"/>
      <c r="U1598" s="60"/>
      <c r="V1598" s="36"/>
      <c r="W1598" s="31"/>
      <c r="X1598" s="59"/>
      <c r="Y1598" s="59" t="str">
        <f>IFERROR(VLOOKUP($A1598,APOIO!$A:$A,1,FALSE),"ERRO")</f>
        <v>ERRO</v>
      </c>
      <c r="Z1598"/>
    </row>
    <row r="1599" spans="1:26" ht="15" x14ac:dyDescent="0.25">
      <c r="A1599" s="94"/>
      <c r="B1599" s="32" t="str">
        <f>IF($A1599="","",VLOOKUP($A1599,APOIO!$A:$E,2,FALSE))</f>
        <v/>
      </c>
      <c r="C1599" s="94"/>
      <c r="D1599" s="32" t="str">
        <f>IF($A1599="","",INDEX(APOIO!$D:$D,MATCH(CONCATENATE($A1599,"_",$B1599,"_",$C1599),APOIO!$F:$F,0)))</f>
        <v/>
      </c>
      <c r="E1599" s="31"/>
      <c r="F1599" s="31"/>
      <c r="G1599" s="33"/>
      <c r="H1599" s="105"/>
      <c r="I1599" s="32" t="str">
        <f>IF($A1599="","",VLOOKUP($H1599,APOIO!$L:$M,2,FALSE))</f>
        <v/>
      </c>
      <c r="J1599" s="31"/>
      <c r="K1599" s="32" t="str">
        <f>IF($A1599="","",VLOOKUP($J1599,APOIO!$H:$J,2,FALSE))</f>
        <v/>
      </c>
      <c r="L1599" s="32" t="str">
        <f>IF($A1599="","",VLOOKUP($J1599,APOIO!$H:$J,3,FALSE))</f>
        <v/>
      </c>
      <c r="M1599" s="31"/>
      <c r="N1599" s="34"/>
      <c r="O1599" s="32"/>
      <c r="P1599" s="32"/>
      <c r="Q1599" s="32"/>
      <c r="R1599" s="32"/>
      <c r="S1599" s="35"/>
      <c r="T1599" s="91"/>
      <c r="U1599" s="60"/>
      <c r="V1599" s="36"/>
      <c r="W1599" s="31"/>
      <c r="X1599" s="59"/>
      <c r="Y1599" s="59" t="str">
        <f>IFERROR(VLOOKUP($A1599,APOIO!$A:$A,1,FALSE),"ERRO")</f>
        <v>ERRO</v>
      </c>
      <c r="Z1599"/>
    </row>
    <row r="1600" spans="1:26" ht="15" x14ac:dyDescent="0.25">
      <c r="A1600" s="94"/>
      <c r="B1600" s="32" t="str">
        <f>IF($A1600="","",VLOOKUP($A1600,APOIO!$A:$E,2,FALSE))</f>
        <v/>
      </c>
      <c r="C1600" s="94"/>
      <c r="D1600" s="32" t="str">
        <f>IF($A1600="","",INDEX(APOIO!$D:$D,MATCH(CONCATENATE($A1600,"_",$B1600,"_",$C1600),APOIO!$F:$F,0)))</f>
        <v/>
      </c>
      <c r="E1600" s="31"/>
      <c r="F1600" s="31"/>
      <c r="G1600" s="33"/>
      <c r="H1600" s="105"/>
      <c r="I1600" s="32" t="str">
        <f>IF($A1600="","",VLOOKUP($H1600,APOIO!$L:$M,2,FALSE))</f>
        <v/>
      </c>
      <c r="J1600" s="31"/>
      <c r="K1600" s="32" t="str">
        <f>IF($A1600="","",VLOOKUP($J1600,APOIO!$H:$J,2,FALSE))</f>
        <v/>
      </c>
      <c r="L1600" s="32" t="str">
        <f>IF($A1600="","",VLOOKUP($J1600,APOIO!$H:$J,3,FALSE))</f>
        <v/>
      </c>
      <c r="M1600" s="31"/>
      <c r="N1600" s="34"/>
      <c r="O1600" s="32"/>
      <c r="P1600" s="32"/>
      <c r="Q1600" s="32"/>
      <c r="R1600" s="32"/>
      <c r="S1600" s="35"/>
      <c r="T1600" s="91"/>
      <c r="U1600" s="60"/>
      <c r="V1600" s="36"/>
      <c r="W1600" s="31"/>
      <c r="X1600" s="59"/>
      <c r="Y1600" s="59" t="str">
        <f>IFERROR(VLOOKUP($A1600,APOIO!$A:$A,1,FALSE),"ERRO")</f>
        <v>ERRO</v>
      </c>
      <c r="Z1600"/>
    </row>
    <row r="1601" spans="1:26" ht="15" x14ac:dyDescent="0.25">
      <c r="A1601" s="94"/>
      <c r="B1601" s="32" t="str">
        <f>IF($A1601="","",VLOOKUP($A1601,APOIO!$A:$E,2,FALSE))</f>
        <v/>
      </c>
      <c r="C1601" s="94"/>
      <c r="D1601" s="32" t="str">
        <f>IF($A1601="","",INDEX(APOIO!$D:$D,MATCH(CONCATENATE($A1601,"_",$B1601,"_",$C1601),APOIO!$F:$F,0)))</f>
        <v/>
      </c>
      <c r="E1601" s="31"/>
      <c r="F1601" s="31"/>
      <c r="G1601" s="33"/>
      <c r="H1601" s="105"/>
      <c r="I1601" s="32" t="str">
        <f>IF($A1601="","",VLOOKUP($H1601,APOIO!$L:$M,2,FALSE))</f>
        <v/>
      </c>
      <c r="J1601" s="31"/>
      <c r="K1601" s="32" t="str">
        <f>IF($A1601="","",VLOOKUP($J1601,APOIO!$H:$J,2,FALSE))</f>
        <v/>
      </c>
      <c r="L1601" s="32" t="str">
        <f>IF($A1601="","",VLOOKUP($J1601,APOIO!$H:$J,3,FALSE))</f>
        <v/>
      </c>
      <c r="M1601" s="31"/>
      <c r="N1601" s="34"/>
      <c r="O1601" s="32"/>
      <c r="P1601" s="32"/>
      <c r="Q1601" s="32"/>
      <c r="R1601" s="32"/>
      <c r="S1601" s="35"/>
      <c r="T1601" s="91"/>
      <c r="U1601" s="60"/>
      <c r="V1601" s="36"/>
      <c r="W1601" s="31"/>
      <c r="X1601" s="59"/>
      <c r="Y1601" s="59" t="str">
        <f>IFERROR(VLOOKUP($A1601,APOIO!$A:$A,1,FALSE),"ERRO")</f>
        <v>ERRO</v>
      </c>
      <c r="Z1601"/>
    </row>
    <row r="1602" spans="1:26" ht="15" x14ac:dyDescent="0.25">
      <c r="A1602" s="94"/>
      <c r="B1602" s="32" t="str">
        <f>IF($A1602="","",VLOOKUP($A1602,APOIO!$A:$E,2,FALSE))</f>
        <v/>
      </c>
      <c r="C1602" s="94"/>
      <c r="D1602" s="32" t="str">
        <f>IF($A1602="","",INDEX(APOIO!$D:$D,MATCH(CONCATENATE($A1602,"_",$B1602,"_",$C1602),APOIO!$F:$F,0)))</f>
        <v/>
      </c>
      <c r="E1602" s="31"/>
      <c r="F1602" s="31"/>
      <c r="G1602" s="33"/>
      <c r="H1602" s="105"/>
      <c r="I1602" s="32" t="str">
        <f>IF($A1602="","",VLOOKUP($H1602,APOIO!$L:$M,2,FALSE))</f>
        <v/>
      </c>
      <c r="J1602" s="31"/>
      <c r="K1602" s="32" t="str">
        <f>IF($A1602="","",VLOOKUP($J1602,APOIO!$H:$J,2,FALSE))</f>
        <v/>
      </c>
      <c r="L1602" s="32" t="str">
        <f>IF($A1602="","",VLOOKUP($J1602,APOIO!$H:$J,3,FALSE))</f>
        <v/>
      </c>
      <c r="M1602" s="31"/>
      <c r="N1602" s="34"/>
      <c r="O1602" s="32"/>
      <c r="P1602" s="32"/>
      <c r="Q1602" s="32"/>
      <c r="R1602" s="32"/>
      <c r="S1602" s="35"/>
      <c r="T1602" s="91"/>
      <c r="U1602" s="60"/>
      <c r="V1602" s="36"/>
      <c r="W1602" s="31"/>
      <c r="X1602" s="59"/>
      <c r="Y1602" s="59" t="str">
        <f>IFERROR(VLOOKUP($A1602,APOIO!$A:$A,1,FALSE),"ERRO")</f>
        <v>ERRO</v>
      </c>
      <c r="Z1602"/>
    </row>
    <row r="1603" spans="1:26" ht="15" x14ac:dyDescent="0.25">
      <c r="A1603" s="94"/>
      <c r="B1603" s="32" t="str">
        <f>IF($A1603="","",VLOOKUP($A1603,APOIO!$A:$E,2,FALSE))</f>
        <v/>
      </c>
      <c r="C1603" s="94"/>
      <c r="D1603" s="32" t="str">
        <f>IF($A1603="","",INDEX(APOIO!$D:$D,MATCH(CONCATENATE($A1603,"_",$B1603,"_",$C1603),APOIO!$F:$F,0)))</f>
        <v/>
      </c>
      <c r="E1603" s="31"/>
      <c r="F1603" s="31"/>
      <c r="G1603" s="33"/>
      <c r="H1603" s="105"/>
      <c r="I1603" s="32" t="str">
        <f>IF($A1603="","",VLOOKUP($H1603,APOIO!$L:$M,2,FALSE))</f>
        <v/>
      </c>
      <c r="J1603" s="31"/>
      <c r="K1603" s="32" t="str">
        <f>IF($A1603="","",VLOOKUP($J1603,APOIO!$H:$J,2,FALSE))</f>
        <v/>
      </c>
      <c r="L1603" s="32" t="str">
        <f>IF($A1603="","",VLOOKUP($J1603,APOIO!$H:$J,3,FALSE))</f>
        <v/>
      </c>
      <c r="M1603" s="31"/>
      <c r="N1603" s="34"/>
      <c r="O1603" s="32"/>
      <c r="P1603" s="32"/>
      <c r="Q1603" s="32"/>
      <c r="R1603" s="32"/>
      <c r="S1603" s="35"/>
      <c r="T1603" s="91"/>
      <c r="U1603" s="60"/>
      <c r="V1603" s="36"/>
      <c r="W1603" s="31"/>
      <c r="X1603" s="59"/>
      <c r="Y1603" s="59" t="str">
        <f>IFERROR(VLOOKUP($A1603,APOIO!$A:$A,1,FALSE),"ERRO")</f>
        <v>ERRO</v>
      </c>
      <c r="Z1603"/>
    </row>
    <row r="1604" spans="1:26" ht="15" x14ac:dyDescent="0.25">
      <c r="A1604" s="94"/>
      <c r="B1604" s="32" t="str">
        <f>IF($A1604="","",VLOOKUP($A1604,APOIO!$A:$E,2,FALSE))</f>
        <v/>
      </c>
      <c r="C1604" s="94"/>
      <c r="D1604" s="32" t="str">
        <f>IF($A1604="","",INDEX(APOIO!$D:$D,MATCH(CONCATENATE($A1604,"_",$B1604,"_",$C1604),APOIO!$F:$F,0)))</f>
        <v/>
      </c>
      <c r="E1604" s="31"/>
      <c r="F1604" s="31"/>
      <c r="G1604" s="33"/>
      <c r="H1604" s="105"/>
      <c r="I1604" s="32" t="str">
        <f>IF($A1604="","",VLOOKUP($H1604,APOIO!$L:$M,2,FALSE))</f>
        <v/>
      </c>
      <c r="J1604" s="31"/>
      <c r="K1604" s="32" t="str">
        <f>IF($A1604="","",VLOOKUP($J1604,APOIO!$H:$J,2,FALSE))</f>
        <v/>
      </c>
      <c r="L1604" s="32" t="str">
        <f>IF($A1604="","",VLOOKUP($J1604,APOIO!$H:$J,3,FALSE))</f>
        <v/>
      </c>
      <c r="M1604" s="31"/>
      <c r="N1604" s="34"/>
      <c r="O1604" s="32"/>
      <c r="P1604" s="32"/>
      <c r="Q1604" s="32"/>
      <c r="R1604" s="32"/>
      <c r="S1604" s="35"/>
      <c r="T1604" s="91"/>
      <c r="U1604" s="60"/>
      <c r="V1604" s="36"/>
      <c r="W1604" s="31"/>
      <c r="X1604" s="59"/>
      <c r="Y1604" s="59" t="str">
        <f>IFERROR(VLOOKUP($A1604,APOIO!$A:$A,1,FALSE),"ERRO")</f>
        <v>ERRO</v>
      </c>
      <c r="Z1604"/>
    </row>
    <row r="1605" spans="1:26" ht="15" x14ac:dyDescent="0.25">
      <c r="A1605" s="94"/>
      <c r="B1605" s="32" t="str">
        <f>IF($A1605="","",VLOOKUP($A1605,APOIO!$A:$E,2,FALSE))</f>
        <v/>
      </c>
      <c r="C1605" s="94"/>
      <c r="D1605" s="32" t="str">
        <f>IF($A1605="","",INDEX(APOIO!$D:$D,MATCH(CONCATENATE($A1605,"_",$B1605,"_",$C1605),APOIO!$F:$F,0)))</f>
        <v/>
      </c>
      <c r="E1605" s="31"/>
      <c r="F1605" s="31"/>
      <c r="G1605" s="33"/>
      <c r="H1605" s="105"/>
      <c r="I1605" s="32" t="str">
        <f>IF($A1605="","",VLOOKUP($H1605,APOIO!$L:$M,2,FALSE))</f>
        <v/>
      </c>
      <c r="J1605" s="31"/>
      <c r="K1605" s="32" t="str">
        <f>IF($A1605="","",VLOOKUP($J1605,APOIO!$H:$J,2,FALSE))</f>
        <v/>
      </c>
      <c r="L1605" s="32" t="str">
        <f>IF($A1605="","",VLOOKUP($J1605,APOIO!$H:$J,3,FALSE))</f>
        <v/>
      </c>
      <c r="M1605" s="31"/>
      <c r="N1605" s="34"/>
      <c r="O1605" s="32"/>
      <c r="P1605" s="32"/>
      <c r="Q1605" s="32"/>
      <c r="R1605" s="32"/>
      <c r="S1605" s="35"/>
      <c r="T1605" s="91"/>
      <c r="U1605" s="60"/>
      <c r="V1605" s="36"/>
      <c r="W1605" s="31"/>
      <c r="X1605" s="59"/>
      <c r="Y1605" s="59" t="str">
        <f>IFERROR(VLOOKUP($A1605,APOIO!$A:$A,1,FALSE),"ERRO")</f>
        <v>ERRO</v>
      </c>
      <c r="Z1605"/>
    </row>
    <row r="1606" spans="1:26" ht="15" x14ac:dyDescent="0.25">
      <c r="A1606" s="94"/>
      <c r="B1606" s="32" t="str">
        <f>IF($A1606="","",VLOOKUP($A1606,APOIO!$A:$E,2,FALSE))</f>
        <v/>
      </c>
      <c r="C1606" s="94"/>
      <c r="D1606" s="32" t="str">
        <f>IF($A1606="","",INDEX(APOIO!$D:$D,MATCH(CONCATENATE($A1606,"_",$B1606,"_",$C1606),APOIO!$F:$F,0)))</f>
        <v/>
      </c>
      <c r="E1606" s="31"/>
      <c r="F1606" s="31"/>
      <c r="G1606" s="33"/>
      <c r="H1606" s="105"/>
      <c r="I1606" s="32" t="str">
        <f>IF($A1606="","",VLOOKUP($H1606,APOIO!$L:$M,2,FALSE))</f>
        <v/>
      </c>
      <c r="J1606" s="31"/>
      <c r="K1606" s="32" t="str">
        <f>IF($A1606="","",VLOOKUP($J1606,APOIO!$H:$J,2,FALSE))</f>
        <v/>
      </c>
      <c r="L1606" s="32" t="str">
        <f>IF($A1606="","",VLOOKUP($J1606,APOIO!$H:$J,3,FALSE))</f>
        <v/>
      </c>
      <c r="M1606" s="31"/>
      <c r="N1606" s="34"/>
      <c r="O1606" s="32"/>
      <c r="P1606" s="32"/>
      <c r="Q1606" s="32"/>
      <c r="R1606" s="32"/>
      <c r="S1606" s="35"/>
      <c r="T1606" s="91"/>
      <c r="U1606" s="60"/>
      <c r="V1606" s="36"/>
      <c r="W1606" s="31"/>
      <c r="X1606" s="59"/>
      <c r="Y1606" s="59" t="str">
        <f>IFERROR(VLOOKUP($A1606,APOIO!$A:$A,1,FALSE),"ERRO")</f>
        <v>ERRO</v>
      </c>
      <c r="Z1606"/>
    </row>
    <row r="1607" spans="1:26" ht="15" x14ac:dyDescent="0.25">
      <c r="A1607" s="94"/>
      <c r="B1607" s="32" t="str">
        <f>IF($A1607="","",VLOOKUP($A1607,APOIO!$A:$E,2,FALSE))</f>
        <v/>
      </c>
      <c r="C1607" s="94"/>
      <c r="D1607" s="32" t="str">
        <f>IF($A1607="","",INDEX(APOIO!$D:$D,MATCH(CONCATENATE($A1607,"_",$B1607,"_",$C1607),APOIO!$F:$F,0)))</f>
        <v/>
      </c>
      <c r="E1607" s="31"/>
      <c r="F1607" s="31"/>
      <c r="G1607" s="33"/>
      <c r="H1607" s="105"/>
      <c r="I1607" s="32" t="str">
        <f>IF($A1607="","",VLOOKUP($H1607,APOIO!$L:$M,2,FALSE))</f>
        <v/>
      </c>
      <c r="J1607" s="31"/>
      <c r="K1607" s="32" t="str">
        <f>IF($A1607="","",VLOOKUP($J1607,APOIO!$H:$J,2,FALSE))</f>
        <v/>
      </c>
      <c r="L1607" s="32" t="str">
        <f>IF($A1607="","",VLOOKUP($J1607,APOIO!$H:$J,3,FALSE))</f>
        <v/>
      </c>
      <c r="M1607" s="31"/>
      <c r="N1607" s="34"/>
      <c r="O1607" s="32"/>
      <c r="P1607" s="32"/>
      <c r="Q1607" s="32"/>
      <c r="R1607" s="32"/>
      <c r="S1607" s="35"/>
      <c r="T1607" s="91"/>
      <c r="U1607" s="60"/>
      <c r="V1607" s="36"/>
      <c r="W1607" s="31"/>
      <c r="X1607" s="59"/>
      <c r="Y1607" s="59" t="str">
        <f>IFERROR(VLOOKUP($A1607,APOIO!$A:$A,1,FALSE),"ERRO")</f>
        <v>ERRO</v>
      </c>
      <c r="Z1607"/>
    </row>
    <row r="1608" spans="1:26" ht="15" x14ac:dyDescent="0.25">
      <c r="A1608" s="94"/>
      <c r="B1608" s="32" t="str">
        <f>IF($A1608="","",VLOOKUP($A1608,APOIO!$A:$E,2,FALSE))</f>
        <v/>
      </c>
      <c r="C1608" s="94"/>
      <c r="D1608" s="32" t="str">
        <f>IF($A1608="","",INDEX(APOIO!$D:$D,MATCH(CONCATENATE($A1608,"_",$B1608,"_",$C1608),APOIO!$F:$F,0)))</f>
        <v/>
      </c>
      <c r="E1608" s="31"/>
      <c r="F1608" s="31"/>
      <c r="G1608" s="33"/>
      <c r="H1608" s="105"/>
      <c r="I1608" s="32" t="str">
        <f>IF($A1608="","",VLOOKUP($H1608,APOIO!$L:$M,2,FALSE))</f>
        <v/>
      </c>
      <c r="J1608" s="31"/>
      <c r="K1608" s="32" t="str">
        <f>IF($A1608="","",VLOOKUP($J1608,APOIO!$H:$J,2,FALSE))</f>
        <v/>
      </c>
      <c r="L1608" s="32" t="str">
        <f>IF($A1608="","",VLOOKUP($J1608,APOIO!$H:$J,3,FALSE))</f>
        <v/>
      </c>
      <c r="M1608" s="31"/>
      <c r="N1608" s="34"/>
      <c r="O1608" s="32"/>
      <c r="P1608" s="32"/>
      <c r="Q1608" s="32"/>
      <c r="R1608" s="32"/>
      <c r="S1608" s="35"/>
      <c r="T1608" s="91"/>
      <c r="U1608" s="60"/>
      <c r="V1608" s="36"/>
      <c r="W1608" s="31"/>
      <c r="X1608" s="59"/>
      <c r="Y1608" s="59" t="str">
        <f>IFERROR(VLOOKUP($A1608,APOIO!$A:$A,1,FALSE),"ERRO")</f>
        <v>ERRO</v>
      </c>
      <c r="Z1608"/>
    </row>
    <row r="1609" spans="1:26" ht="15" x14ac:dyDescent="0.25">
      <c r="A1609" s="94"/>
      <c r="B1609" s="32" t="str">
        <f>IF($A1609="","",VLOOKUP($A1609,APOIO!$A:$E,2,FALSE))</f>
        <v/>
      </c>
      <c r="C1609" s="94"/>
      <c r="D1609" s="32" t="str">
        <f>IF($A1609="","",INDEX(APOIO!$D:$D,MATCH(CONCATENATE($A1609,"_",$B1609,"_",$C1609),APOIO!$F:$F,0)))</f>
        <v/>
      </c>
      <c r="E1609" s="31"/>
      <c r="F1609" s="31"/>
      <c r="G1609" s="33"/>
      <c r="H1609" s="105"/>
      <c r="I1609" s="32" t="str">
        <f>IF($A1609="","",VLOOKUP($H1609,APOIO!$L:$M,2,FALSE))</f>
        <v/>
      </c>
      <c r="J1609" s="31"/>
      <c r="K1609" s="32" t="str">
        <f>IF($A1609="","",VLOOKUP($J1609,APOIO!$H:$J,2,FALSE))</f>
        <v/>
      </c>
      <c r="L1609" s="32" t="str">
        <f>IF($A1609="","",VLOOKUP($J1609,APOIO!$H:$J,3,FALSE))</f>
        <v/>
      </c>
      <c r="M1609" s="31"/>
      <c r="N1609" s="34"/>
      <c r="O1609" s="32"/>
      <c r="P1609" s="32"/>
      <c r="Q1609" s="32"/>
      <c r="R1609" s="32"/>
      <c r="S1609" s="35"/>
      <c r="T1609" s="91"/>
      <c r="U1609" s="60"/>
      <c r="V1609" s="36"/>
      <c r="W1609" s="31"/>
      <c r="X1609" s="59"/>
      <c r="Y1609" s="59" t="str">
        <f>IFERROR(VLOOKUP($A1609,APOIO!$A:$A,1,FALSE),"ERRO")</f>
        <v>ERRO</v>
      </c>
      <c r="Z1609"/>
    </row>
    <row r="1610" spans="1:26" ht="15" x14ac:dyDescent="0.25">
      <c r="A1610" s="94"/>
      <c r="B1610" s="32" t="str">
        <f>IF($A1610="","",VLOOKUP($A1610,APOIO!$A:$E,2,FALSE))</f>
        <v/>
      </c>
      <c r="C1610" s="94"/>
      <c r="D1610" s="32" t="str">
        <f>IF($A1610="","",INDEX(APOIO!$D:$D,MATCH(CONCATENATE($A1610,"_",$B1610,"_",$C1610),APOIO!$F:$F,0)))</f>
        <v/>
      </c>
      <c r="E1610" s="31"/>
      <c r="F1610" s="31"/>
      <c r="G1610" s="33"/>
      <c r="H1610" s="105"/>
      <c r="I1610" s="32" t="str">
        <f>IF($A1610="","",VLOOKUP($H1610,APOIO!$L:$M,2,FALSE))</f>
        <v/>
      </c>
      <c r="J1610" s="31"/>
      <c r="K1610" s="32" t="str">
        <f>IF($A1610="","",VLOOKUP($J1610,APOIO!$H:$J,2,FALSE))</f>
        <v/>
      </c>
      <c r="L1610" s="32" t="str">
        <f>IF($A1610="","",VLOOKUP($J1610,APOIO!$H:$J,3,FALSE))</f>
        <v/>
      </c>
      <c r="M1610" s="31"/>
      <c r="N1610" s="34"/>
      <c r="O1610" s="32"/>
      <c r="P1610" s="32"/>
      <c r="Q1610" s="32"/>
      <c r="R1610" s="32"/>
      <c r="S1610" s="35"/>
      <c r="T1610" s="91"/>
      <c r="U1610" s="60"/>
      <c r="V1610" s="36"/>
      <c r="W1610" s="31"/>
      <c r="X1610" s="59"/>
      <c r="Y1610" s="59" t="str">
        <f>IFERROR(VLOOKUP($A1610,APOIO!$A:$A,1,FALSE),"ERRO")</f>
        <v>ERRO</v>
      </c>
      <c r="Z1610"/>
    </row>
    <row r="1611" spans="1:26" ht="15" x14ac:dyDescent="0.25">
      <c r="A1611" s="94"/>
      <c r="B1611" s="32" t="str">
        <f>IF($A1611="","",VLOOKUP($A1611,APOIO!$A:$E,2,FALSE))</f>
        <v/>
      </c>
      <c r="C1611" s="94"/>
      <c r="D1611" s="32" t="str">
        <f>IF($A1611="","",INDEX(APOIO!$D:$D,MATCH(CONCATENATE($A1611,"_",$B1611,"_",$C1611),APOIO!$F:$F,0)))</f>
        <v/>
      </c>
      <c r="E1611" s="31"/>
      <c r="F1611" s="31"/>
      <c r="G1611" s="33"/>
      <c r="H1611" s="105"/>
      <c r="I1611" s="32" t="str">
        <f>IF($A1611="","",VLOOKUP($H1611,APOIO!$L:$M,2,FALSE))</f>
        <v/>
      </c>
      <c r="J1611" s="31"/>
      <c r="K1611" s="32" t="str">
        <f>IF($A1611="","",VLOOKUP($J1611,APOIO!$H:$J,2,FALSE))</f>
        <v/>
      </c>
      <c r="L1611" s="32" t="str">
        <f>IF($A1611="","",VLOOKUP($J1611,APOIO!$H:$J,3,FALSE))</f>
        <v/>
      </c>
      <c r="M1611" s="31"/>
      <c r="N1611" s="34"/>
      <c r="O1611" s="32"/>
      <c r="P1611" s="32"/>
      <c r="Q1611" s="32"/>
      <c r="R1611" s="32"/>
      <c r="S1611" s="35"/>
      <c r="T1611" s="91"/>
      <c r="U1611" s="60"/>
      <c r="V1611" s="36"/>
      <c r="W1611" s="31"/>
      <c r="X1611" s="59"/>
      <c r="Y1611" s="59" t="str">
        <f>IFERROR(VLOOKUP($A1611,APOIO!$A:$A,1,FALSE),"ERRO")</f>
        <v>ERRO</v>
      </c>
      <c r="Z1611"/>
    </row>
    <row r="1612" spans="1:26" ht="15" x14ac:dyDescent="0.25">
      <c r="A1612" s="94"/>
      <c r="B1612" s="32" t="str">
        <f>IF($A1612="","",VLOOKUP($A1612,APOIO!$A:$E,2,FALSE))</f>
        <v/>
      </c>
      <c r="C1612" s="94"/>
      <c r="D1612" s="32" t="str">
        <f>IF($A1612="","",INDEX(APOIO!$D:$D,MATCH(CONCATENATE($A1612,"_",$B1612,"_",$C1612),APOIO!$F:$F,0)))</f>
        <v/>
      </c>
      <c r="E1612" s="31"/>
      <c r="F1612" s="31"/>
      <c r="G1612" s="33"/>
      <c r="H1612" s="105"/>
      <c r="I1612" s="32" t="str">
        <f>IF($A1612="","",VLOOKUP($H1612,APOIO!$L:$M,2,FALSE))</f>
        <v/>
      </c>
      <c r="J1612" s="31"/>
      <c r="K1612" s="32" t="str">
        <f>IF($A1612="","",VLOOKUP($J1612,APOIO!$H:$J,2,FALSE))</f>
        <v/>
      </c>
      <c r="L1612" s="32" t="str">
        <f>IF($A1612="","",VLOOKUP($J1612,APOIO!$H:$J,3,FALSE))</f>
        <v/>
      </c>
      <c r="M1612" s="31"/>
      <c r="N1612" s="34"/>
      <c r="O1612" s="32"/>
      <c r="P1612" s="32"/>
      <c r="Q1612" s="32"/>
      <c r="R1612" s="32"/>
      <c r="S1612" s="35"/>
      <c r="T1612" s="91"/>
      <c r="U1612" s="60"/>
      <c r="V1612" s="36"/>
      <c r="W1612" s="31"/>
      <c r="X1612" s="59"/>
      <c r="Y1612" s="59" t="str">
        <f>IFERROR(VLOOKUP($A1612,APOIO!$A:$A,1,FALSE),"ERRO")</f>
        <v>ERRO</v>
      </c>
      <c r="Z1612"/>
    </row>
    <row r="1613" spans="1:26" ht="15" x14ac:dyDescent="0.25">
      <c r="A1613" s="94"/>
      <c r="B1613" s="32" t="str">
        <f>IF($A1613="","",VLOOKUP($A1613,APOIO!$A:$E,2,FALSE))</f>
        <v/>
      </c>
      <c r="C1613" s="94"/>
      <c r="D1613" s="32" t="str">
        <f>IF($A1613="","",INDEX(APOIO!$D:$D,MATCH(CONCATENATE($A1613,"_",$B1613,"_",$C1613),APOIO!$F:$F,0)))</f>
        <v/>
      </c>
      <c r="E1613" s="31"/>
      <c r="F1613" s="31"/>
      <c r="G1613" s="33"/>
      <c r="H1613" s="105"/>
      <c r="I1613" s="32" t="str">
        <f>IF($A1613="","",VLOOKUP($H1613,APOIO!$L:$M,2,FALSE))</f>
        <v/>
      </c>
      <c r="J1613" s="31"/>
      <c r="K1613" s="32" t="str">
        <f>IF($A1613="","",VLOOKUP($J1613,APOIO!$H:$J,2,FALSE))</f>
        <v/>
      </c>
      <c r="L1613" s="32" t="str">
        <f>IF($A1613="","",VLOOKUP($J1613,APOIO!$H:$J,3,FALSE))</f>
        <v/>
      </c>
      <c r="M1613" s="31"/>
      <c r="N1613" s="34"/>
      <c r="O1613" s="32"/>
      <c r="P1613" s="32"/>
      <c r="Q1613" s="32"/>
      <c r="R1613" s="32"/>
      <c r="S1613" s="35"/>
      <c r="T1613" s="91"/>
      <c r="U1613" s="60"/>
      <c r="V1613" s="36"/>
      <c r="W1613" s="31"/>
      <c r="X1613" s="59"/>
      <c r="Y1613" s="59" t="str">
        <f>IFERROR(VLOOKUP($A1613,APOIO!$A:$A,1,FALSE),"ERRO")</f>
        <v>ERRO</v>
      </c>
      <c r="Z1613"/>
    </row>
    <row r="1614" spans="1:26" ht="15" x14ac:dyDescent="0.25">
      <c r="A1614" s="94"/>
      <c r="B1614" s="32" t="str">
        <f>IF($A1614="","",VLOOKUP($A1614,APOIO!$A:$E,2,FALSE))</f>
        <v/>
      </c>
      <c r="C1614" s="94"/>
      <c r="D1614" s="32" t="str">
        <f>IF($A1614="","",INDEX(APOIO!$D:$D,MATCH(CONCATENATE($A1614,"_",$B1614,"_",$C1614),APOIO!$F:$F,0)))</f>
        <v/>
      </c>
      <c r="E1614" s="31"/>
      <c r="F1614" s="31"/>
      <c r="G1614" s="33"/>
      <c r="H1614" s="105"/>
      <c r="I1614" s="32" t="str">
        <f>IF($A1614="","",VLOOKUP($H1614,APOIO!$L:$M,2,FALSE))</f>
        <v/>
      </c>
      <c r="J1614" s="31"/>
      <c r="K1614" s="32" t="str">
        <f>IF($A1614="","",VLOOKUP($J1614,APOIO!$H:$J,2,FALSE))</f>
        <v/>
      </c>
      <c r="L1614" s="32" t="str">
        <f>IF($A1614="","",VLOOKUP($J1614,APOIO!$H:$J,3,FALSE))</f>
        <v/>
      </c>
      <c r="M1614" s="31"/>
      <c r="N1614" s="34"/>
      <c r="O1614" s="32"/>
      <c r="P1614" s="32"/>
      <c r="Q1614" s="32"/>
      <c r="R1614" s="32"/>
      <c r="S1614" s="35"/>
      <c r="T1614" s="91"/>
      <c r="U1614" s="60"/>
      <c r="V1614" s="36"/>
      <c r="W1614" s="31"/>
      <c r="X1614" s="59"/>
      <c r="Y1614" s="59" t="str">
        <f>IFERROR(VLOOKUP($A1614,APOIO!$A:$A,1,FALSE),"ERRO")</f>
        <v>ERRO</v>
      </c>
      <c r="Z1614"/>
    </row>
    <row r="1615" spans="1:26" ht="15" x14ac:dyDescent="0.25">
      <c r="A1615" s="94"/>
      <c r="B1615" s="32" t="str">
        <f>IF($A1615="","",VLOOKUP($A1615,APOIO!$A:$E,2,FALSE))</f>
        <v/>
      </c>
      <c r="C1615" s="94"/>
      <c r="D1615" s="32" t="str">
        <f>IF($A1615="","",INDEX(APOIO!$D:$D,MATCH(CONCATENATE($A1615,"_",$B1615,"_",$C1615),APOIO!$F:$F,0)))</f>
        <v/>
      </c>
      <c r="E1615" s="31"/>
      <c r="F1615" s="31"/>
      <c r="G1615" s="33"/>
      <c r="H1615" s="105"/>
      <c r="I1615" s="32" t="str">
        <f>IF($A1615="","",VLOOKUP($H1615,APOIO!$L:$M,2,FALSE))</f>
        <v/>
      </c>
      <c r="J1615" s="31"/>
      <c r="K1615" s="32" t="str">
        <f>IF($A1615="","",VLOOKUP($J1615,APOIO!$H:$J,2,FALSE))</f>
        <v/>
      </c>
      <c r="L1615" s="32" t="str">
        <f>IF($A1615="","",VLOOKUP($J1615,APOIO!$H:$J,3,FALSE))</f>
        <v/>
      </c>
      <c r="M1615" s="31"/>
      <c r="N1615" s="34"/>
      <c r="O1615" s="32"/>
      <c r="P1615" s="32"/>
      <c r="Q1615" s="32"/>
      <c r="R1615" s="32"/>
      <c r="S1615" s="35"/>
      <c r="T1615" s="91"/>
      <c r="U1615" s="60"/>
      <c r="V1615" s="36"/>
      <c r="W1615" s="31"/>
      <c r="X1615" s="59"/>
      <c r="Y1615" s="59" t="str">
        <f>IFERROR(VLOOKUP($A1615,APOIO!$A:$A,1,FALSE),"ERRO")</f>
        <v>ERRO</v>
      </c>
      <c r="Z1615"/>
    </row>
    <row r="1616" spans="1:26" ht="15" x14ac:dyDescent="0.25">
      <c r="A1616" s="94"/>
      <c r="B1616" s="32" t="str">
        <f>IF($A1616="","",VLOOKUP($A1616,APOIO!$A:$E,2,FALSE))</f>
        <v/>
      </c>
      <c r="C1616" s="94"/>
      <c r="D1616" s="32" t="str">
        <f>IF($A1616="","",INDEX(APOIO!$D:$D,MATCH(CONCATENATE($A1616,"_",$B1616,"_",$C1616),APOIO!$F:$F,0)))</f>
        <v/>
      </c>
      <c r="E1616" s="31"/>
      <c r="F1616" s="31"/>
      <c r="G1616" s="33"/>
      <c r="H1616" s="105"/>
      <c r="I1616" s="32" t="str">
        <f>IF($A1616="","",VLOOKUP($H1616,APOIO!$L:$M,2,FALSE))</f>
        <v/>
      </c>
      <c r="J1616" s="31"/>
      <c r="K1616" s="32" t="str">
        <f>IF($A1616="","",VLOOKUP($J1616,APOIO!$H:$J,2,FALSE))</f>
        <v/>
      </c>
      <c r="L1616" s="32" t="str">
        <f>IF($A1616="","",VLOOKUP($J1616,APOIO!$H:$J,3,FALSE))</f>
        <v/>
      </c>
      <c r="M1616" s="31"/>
      <c r="N1616" s="34"/>
      <c r="O1616" s="32"/>
      <c r="P1616" s="32"/>
      <c r="Q1616" s="32"/>
      <c r="R1616" s="32"/>
      <c r="S1616" s="35"/>
      <c r="T1616" s="91"/>
      <c r="U1616" s="60"/>
      <c r="V1616" s="36"/>
      <c r="W1616" s="31"/>
      <c r="X1616" s="59"/>
      <c r="Y1616" s="59" t="str">
        <f>IFERROR(VLOOKUP($A1616,APOIO!$A:$A,1,FALSE),"ERRO")</f>
        <v>ERRO</v>
      </c>
      <c r="Z1616"/>
    </row>
    <row r="1617" spans="1:26" ht="15" x14ac:dyDescent="0.25">
      <c r="A1617" s="94"/>
      <c r="B1617" s="32" t="str">
        <f>IF($A1617="","",VLOOKUP($A1617,APOIO!$A:$E,2,FALSE))</f>
        <v/>
      </c>
      <c r="C1617" s="94"/>
      <c r="D1617" s="32" t="str">
        <f>IF($A1617="","",INDEX(APOIO!$D:$D,MATCH(CONCATENATE($A1617,"_",$B1617,"_",$C1617),APOIO!$F:$F,0)))</f>
        <v/>
      </c>
      <c r="E1617" s="31"/>
      <c r="F1617" s="31"/>
      <c r="G1617" s="33"/>
      <c r="H1617" s="105"/>
      <c r="I1617" s="32" t="str">
        <f>IF($A1617="","",VLOOKUP($H1617,APOIO!$L:$M,2,FALSE))</f>
        <v/>
      </c>
      <c r="J1617" s="31"/>
      <c r="K1617" s="32" t="str">
        <f>IF($A1617="","",VLOOKUP($J1617,APOIO!$H:$J,2,FALSE))</f>
        <v/>
      </c>
      <c r="L1617" s="32" t="str">
        <f>IF($A1617="","",VLOOKUP($J1617,APOIO!$H:$J,3,FALSE))</f>
        <v/>
      </c>
      <c r="M1617" s="31"/>
      <c r="N1617" s="34"/>
      <c r="O1617" s="32"/>
      <c r="P1617" s="32"/>
      <c r="Q1617" s="32"/>
      <c r="R1617" s="32"/>
      <c r="S1617" s="35"/>
      <c r="T1617" s="91"/>
      <c r="U1617" s="60"/>
      <c r="V1617" s="36"/>
      <c r="W1617" s="31"/>
      <c r="X1617" s="59"/>
      <c r="Y1617" s="59" t="str">
        <f>IFERROR(VLOOKUP($A1617,APOIO!$A:$A,1,FALSE),"ERRO")</f>
        <v>ERRO</v>
      </c>
      <c r="Z1617"/>
    </row>
    <row r="1618" spans="1:26" ht="15" x14ac:dyDescent="0.25">
      <c r="A1618" s="94"/>
      <c r="B1618" s="32" t="str">
        <f>IF($A1618="","",VLOOKUP($A1618,APOIO!$A:$E,2,FALSE))</f>
        <v/>
      </c>
      <c r="C1618" s="94"/>
      <c r="D1618" s="32" t="str">
        <f>IF($A1618="","",INDEX(APOIO!$D:$D,MATCH(CONCATENATE($A1618,"_",$B1618,"_",$C1618),APOIO!$F:$F,0)))</f>
        <v/>
      </c>
      <c r="E1618" s="31"/>
      <c r="F1618" s="31"/>
      <c r="G1618" s="33"/>
      <c r="H1618" s="105"/>
      <c r="I1618" s="32" t="str">
        <f>IF($A1618="","",VLOOKUP($H1618,APOIO!$L:$M,2,FALSE))</f>
        <v/>
      </c>
      <c r="J1618" s="31"/>
      <c r="K1618" s="32" t="str">
        <f>IF($A1618="","",VLOOKUP($J1618,APOIO!$H:$J,2,FALSE))</f>
        <v/>
      </c>
      <c r="L1618" s="32" t="str">
        <f>IF($A1618="","",VLOOKUP($J1618,APOIO!$H:$J,3,FALSE))</f>
        <v/>
      </c>
      <c r="M1618" s="31"/>
      <c r="N1618" s="34"/>
      <c r="O1618" s="32"/>
      <c r="P1618" s="32"/>
      <c r="Q1618" s="32"/>
      <c r="R1618" s="32"/>
      <c r="S1618" s="35"/>
      <c r="T1618" s="91"/>
      <c r="U1618" s="60"/>
      <c r="V1618" s="36"/>
      <c r="W1618" s="31"/>
      <c r="X1618" s="59"/>
      <c r="Y1618" s="59" t="str">
        <f>IFERROR(VLOOKUP($A1618,APOIO!$A:$A,1,FALSE),"ERRO")</f>
        <v>ERRO</v>
      </c>
      <c r="Z1618"/>
    </row>
    <row r="1619" spans="1:26" ht="15" x14ac:dyDescent="0.25">
      <c r="A1619" s="94"/>
      <c r="B1619" s="32" t="str">
        <f>IF($A1619="","",VLOOKUP($A1619,APOIO!$A:$E,2,FALSE))</f>
        <v/>
      </c>
      <c r="C1619" s="94"/>
      <c r="D1619" s="32" t="str">
        <f>IF($A1619="","",INDEX(APOIO!$D:$D,MATCH(CONCATENATE($A1619,"_",$B1619,"_",$C1619),APOIO!$F:$F,0)))</f>
        <v/>
      </c>
      <c r="E1619" s="31"/>
      <c r="F1619" s="31"/>
      <c r="G1619" s="33"/>
      <c r="H1619" s="105"/>
      <c r="I1619" s="32" t="str">
        <f>IF($A1619="","",VLOOKUP($H1619,APOIO!$L:$M,2,FALSE))</f>
        <v/>
      </c>
      <c r="J1619" s="31"/>
      <c r="K1619" s="32" t="str">
        <f>IF($A1619="","",VLOOKUP($J1619,APOIO!$H:$J,2,FALSE))</f>
        <v/>
      </c>
      <c r="L1619" s="32" t="str">
        <f>IF($A1619="","",VLOOKUP($J1619,APOIO!$H:$J,3,FALSE))</f>
        <v/>
      </c>
      <c r="M1619" s="31"/>
      <c r="N1619" s="34"/>
      <c r="O1619" s="32"/>
      <c r="P1619" s="32"/>
      <c r="Q1619" s="32"/>
      <c r="R1619" s="32"/>
      <c r="S1619" s="35"/>
      <c r="T1619" s="91"/>
      <c r="U1619" s="60"/>
      <c r="V1619" s="36"/>
      <c r="W1619" s="31"/>
      <c r="X1619" s="59"/>
      <c r="Y1619" s="59" t="str">
        <f>IFERROR(VLOOKUP($A1619,APOIO!$A:$A,1,FALSE),"ERRO")</f>
        <v>ERRO</v>
      </c>
      <c r="Z1619"/>
    </row>
    <row r="1620" spans="1:26" ht="15" x14ac:dyDescent="0.25">
      <c r="A1620" s="94"/>
      <c r="B1620" s="32" t="str">
        <f>IF($A1620="","",VLOOKUP($A1620,APOIO!$A:$E,2,FALSE))</f>
        <v/>
      </c>
      <c r="C1620" s="94"/>
      <c r="D1620" s="32" t="str">
        <f>IF($A1620="","",INDEX(APOIO!$D:$D,MATCH(CONCATENATE($A1620,"_",$B1620,"_",$C1620),APOIO!$F:$F,0)))</f>
        <v/>
      </c>
      <c r="E1620" s="31"/>
      <c r="F1620" s="31"/>
      <c r="G1620" s="33"/>
      <c r="H1620" s="105"/>
      <c r="I1620" s="32" t="str">
        <f>IF($A1620="","",VLOOKUP($H1620,APOIO!$L:$M,2,FALSE))</f>
        <v/>
      </c>
      <c r="J1620" s="31"/>
      <c r="K1620" s="32" t="str">
        <f>IF($A1620="","",VLOOKUP($J1620,APOIO!$H:$J,2,FALSE))</f>
        <v/>
      </c>
      <c r="L1620" s="32" t="str">
        <f>IF($A1620="","",VLOOKUP($J1620,APOIO!$H:$J,3,FALSE))</f>
        <v/>
      </c>
      <c r="M1620" s="31"/>
      <c r="N1620" s="34"/>
      <c r="O1620" s="32"/>
      <c r="P1620" s="32"/>
      <c r="Q1620" s="32"/>
      <c r="R1620" s="32"/>
      <c r="S1620" s="35"/>
      <c r="T1620" s="91"/>
      <c r="U1620" s="60"/>
      <c r="V1620" s="36"/>
      <c r="W1620" s="31"/>
      <c r="X1620" s="59"/>
      <c r="Y1620" s="59" t="str">
        <f>IFERROR(VLOOKUP($A1620,APOIO!$A:$A,1,FALSE),"ERRO")</f>
        <v>ERRO</v>
      </c>
      <c r="Z1620"/>
    </row>
    <row r="1621" spans="1:26" ht="15" x14ac:dyDescent="0.25">
      <c r="A1621" s="94"/>
      <c r="B1621" s="32" t="str">
        <f>IF($A1621="","",VLOOKUP($A1621,APOIO!$A:$E,2,FALSE))</f>
        <v/>
      </c>
      <c r="C1621" s="94"/>
      <c r="D1621" s="32" t="str">
        <f>IF($A1621="","",INDEX(APOIO!$D:$D,MATCH(CONCATENATE($A1621,"_",$B1621,"_",$C1621),APOIO!$F:$F,0)))</f>
        <v/>
      </c>
      <c r="E1621" s="31"/>
      <c r="F1621" s="31"/>
      <c r="G1621" s="33"/>
      <c r="H1621" s="105"/>
      <c r="I1621" s="32" t="str">
        <f>IF($A1621="","",VLOOKUP($H1621,APOIO!$L:$M,2,FALSE))</f>
        <v/>
      </c>
      <c r="J1621" s="31"/>
      <c r="K1621" s="32" t="str">
        <f>IF($A1621="","",VLOOKUP($J1621,APOIO!$H:$J,2,FALSE))</f>
        <v/>
      </c>
      <c r="L1621" s="32" t="str">
        <f>IF($A1621="","",VLOOKUP($J1621,APOIO!$H:$J,3,FALSE))</f>
        <v/>
      </c>
      <c r="M1621" s="31"/>
      <c r="N1621" s="34"/>
      <c r="O1621" s="32"/>
      <c r="P1621" s="32"/>
      <c r="Q1621" s="32"/>
      <c r="R1621" s="32"/>
      <c r="S1621" s="35"/>
      <c r="T1621" s="91"/>
      <c r="U1621" s="60"/>
      <c r="V1621" s="36"/>
      <c r="W1621" s="31"/>
      <c r="X1621" s="59"/>
      <c r="Y1621" s="59" t="str">
        <f>IFERROR(VLOOKUP($A1621,APOIO!$A:$A,1,FALSE),"ERRO")</f>
        <v>ERRO</v>
      </c>
      <c r="Z1621"/>
    </row>
    <row r="1622" spans="1:26" ht="15" x14ac:dyDescent="0.25">
      <c r="A1622" s="94"/>
      <c r="B1622" s="32" t="str">
        <f>IF($A1622="","",VLOOKUP($A1622,APOIO!$A:$E,2,FALSE))</f>
        <v/>
      </c>
      <c r="C1622" s="94"/>
      <c r="D1622" s="32" t="str">
        <f>IF($A1622="","",INDEX(APOIO!$D:$D,MATCH(CONCATENATE($A1622,"_",$B1622,"_",$C1622),APOIO!$F:$F,0)))</f>
        <v/>
      </c>
      <c r="E1622" s="31"/>
      <c r="F1622" s="31"/>
      <c r="G1622" s="33"/>
      <c r="H1622" s="105"/>
      <c r="I1622" s="32" t="str">
        <f>IF($A1622="","",VLOOKUP($H1622,APOIO!$L:$M,2,FALSE))</f>
        <v/>
      </c>
      <c r="J1622" s="31"/>
      <c r="K1622" s="32" t="str">
        <f>IF($A1622="","",VLOOKUP($J1622,APOIO!$H:$J,2,FALSE))</f>
        <v/>
      </c>
      <c r="L1622" s="32" t="str">
        <f>IF($A1622="","",VLOOKUP($J1622,APOIO!$H:$J,3,FALSE))</f>
        <v/>
      </c>
      <c r="M1622" s="31"/>
      <c r="N1622" s="34"/>
      <c r="O1622" s="32"/>
      <c r="P1622" s="32"/>
      <c r="Q1622" s="32"/>
      <c r="R1622" s="32"/>
      <c r="S1622" s="35"/>
      <c r="T1622" s="91"/>
      <c r="U1622" s="60"/>
      <c r="V1622" s="36"/>
      <c r="W1622" s="31"/>
      <c r="X1622" s="59"/>
      <c r="Y1622" s="59" t="str">
        <f>IFERROR(VLOOKUP($A1622,APOIO!$A:$A,1,FALSE),"ERRO")</f>
        <v>ERRO</v>
      </c>
      <c r="Z1622"/>
    </row>
    <row r="1623" spans="1:26" ht="15" x14ac:dyDescent="0.25">
      <c r="A1623" s="94"/>
      <c r="B1623" s="32" t="str">
        <f>IF($A1623="","",VLOOKUP($A1623,APOIO!$A:$E,2,FALSE))</f>
        <v/>
      </c>
      <c r="C1623" s="94"/>
      <c r="D1623" s="32" t="str">
        <f>IF($A1623="","",INDEX(APOIO!$D:$D,MATCH(CONCATENATE($A1623,"_",$B1623,"_",$C1623),APOIO!$F:$F,0)))</f>
        <v/>
      </c>
      <c r="E1623" s="31"/>
      <c r="F1623" s="31"/>
      <c r="G1623" s="33"/>
      <c r="H1623" s="105"/>
      <c r="I1623" s="32" t="str">
        <f>IF($A1623="","",VLOOKUP($H1623,APOIO!$L:$M,2,FALSE))</f>
        <v/>
      </c>
      <c r="J1623" s="31"/>
      <c r="K1623" s="32" t="str">
        <f>IF($A1623="","",VLOOKUP($J1623,APOIO!$H:$J,2,FALSE))</f>
        <v/>
      </c>
      <c r="L1623" s="32" t="str">
        <f>IF($A1623="","",VLOOKUP($J1623,APOIO!$H:$J,3,FALSE))</f>
        <v/>
      </c>
      <c r="M1623" s="31"/>
      <c r="N1623" s="34"/>
      <c r="O1623" s="32"/>
      <c r="P1623" s="32"/>
      <c r="Q1623" s="32"/>
      <c r="R1623" s="32"/>
      <c r="S1623" s="35"/>
      <c r="T1623" s="91"/>
      <c r="U1623" s="60"/>
      <c r="V1623" s="36"/>
      <c r="W1623" s="31"/>
      <c r="X1623" s="59"/>
      <c r="Y1623" s="59" t="str">
        <f>IFERROR(VLOOKUP($A1623,APOIO!$A:$A,1,FALSE),"ERRO")</f>
        <v>ERRO</v>
      </c>
      <c r="Z1623"/>
    </row>
    <row r="1624" spans="1:26" ht="15" x14ac:dyDescent="0.25">
      <c r="A1624" s="94"/>
      <c r="B1624" s="32" t="str">
        <f>IF($A1624="","",VLOOKUP($A1624,APOIO!$A:$E,2,FALSE))</f>
        <v/>
      </c>
      <c r="C1624" s="94"/>
      <c r="D1624" s="32" t="str">
        <f>IF($A1624="","",INDEX(APOIO!$D:$D,MATCH(CONCATENATE($A1624,"_",$B1624,"_",$C1624),APOIO!$F:$F,0)))</f>
        <v/>
      </c>
      <c r="E1624" s="31"/>
      <c r="F1624" s="31"/>
      <c r="G1624" s="33"/>
      <c r="H1624" s="105"/>
      <c r="I1624" s="32" t="str">
        <f>IF($A1624="","",VLOOKUP($H1624,APOIO!$L:$M,2,FALSE))</f>
        <v/>
      </c>
      <c r="J1624" s="31"/>
      <c r="K1624" s="32" t="str">
        <f>IF($A1624="","",VLOOKUP($J1624,APOIO!$H:$J,2,FALSE))</f>
        <v/>
      </c>
      <c r="L1624" s="32" t="str">
        <f>IF($A1624="","",VLOOKUP($J1624,APOIO!$H:$J,3,FALSE))</f>
        <v/>
      </c>
      <c r="M1624" s="31"/>
      <c r="N1624" s="34"/>
      <c r="O1624" s="32"/>
      <c r="P1624" s="32"/>
      <c r="Q1624" s="32"/>
      <c r="R1624" s="32"/>
      <c r="S1624" s="35"/>
      <c r="T1624" s="91"/>
      <c r="U1624" s="60"/>
      <c r="V1624" s="36"/>
      <c r="W1624" s="31"/>
      <c r="X1624" s="59"/>
      <c r="Y1624" s="59" t="str">
        <f>IFERROR(VLOOKUP($A1624,APOIO!$A:$A,1,FALSE),"ERRO")</f>
        <v>ERRO</v>
      </c>
      <c r="Z1624"/>
    </row>
    <row r="1625" spans="1:26" ht="15" x14ac:dyDescent="0.25">
      <c r="A1625" s="94"/>
      <c r="B1625" s="32" t="str">
        <f>IF($A1625="","",VLOOKUP($A1625,APOIO!$A:$E,2,FALSE))</f>
        <v/>
      </c>
      <c r="C1625" s="94"/>
      <c r="D1625" s="32" t="str">
        <f>IF($A1625="","",INDEX(APOIO!$D:$D,MATCH(CONCATENATE($A1625,"_",$B1625,"_",$C1625),APOIO!$F:$F,0)))</f>
        <v/>
      </c>
      <c r="E1625" s="31"/>
      <c r="F1625" s="31"/>
      <c r="G1625" s="33"/>
      <c r="H1625" s="105"/>
      <c r="I1625" s="32" t="str">
        <f>IF($A1625="","",VLOOKUP($H1625,APOIO!$L:$M,2,FALSE))</f>
        <v/>
      </c>
      <c r="J1625" s="31"/>
      <c r="K1625" s="32" t="str">
        <f>IF($A1625="","",VLOOKUP($J1625,APOIO!$H:$J,2,FALSE))</f>
        <v/>
      </c>
      <c r="L1625" s="32" t="str">
        <f>IF($A1625="","",VLOOKUP($J1625,APOIO!$H:$J,3,FALSE))</f>
        <v/>
      </c>
      <c r="M1625" s="31"/>
      <c r="N1625" s="34"/>
      <c r="O1625" s="32"/>
      <c r="P1625" s="32"/>
      <c r="Q1625" s="32"/>
      <c r="R1625" s="32"/>
      <c r="S1625" s="35"/>
      <c r="T1625" s="91"/>
      <c r="U1625" s="60"/>
      <c r="V1625" s="36"/>
      <c r="W1625" s="31"/>
      <c r="X1625" s="59"/>
      <c r="Y1625" s="59" t="str">
        <f>IFERROR(VLOOKUP($A1625,APOIO!$A:$A,1,FALSE),"ERRO")</f>
        <v>ERRO</v>
      </c>
      <c r="Z1625"/>
    </row>
    <row r="1626" spans="1:26" ht="15" x14ac:dyDescent="0.25">
      <c r="A1626" s="94"/>
      <c r="B1626" s="32" t="str">
        <f>IF($A1626="","",VLOOKUP($A1626,APOIO!$A:$E,2,FALSE))</f>
        <v/>
      </c>
      <c r="C1626" s="94"/>
      <c r="D1626" s="32" t="str">
        <f>IF($A1626="","",INDEX(APOIO!$D:$D,MATCH(CONCATENATE($A1626,"_",$B1626,"_",$C1626),APOIO!$F:$F,0)))</f>
        <v/>
      </c>
      <c r="E1626" s="31"/>
      <c r="F1626" s="31"/>
      <c r="G1626" s="33"/>
      <c r="H1626" s="105"/>
      <c r="I1626" s="32" t="str">
        <f>IF($A1626="","",VLOOKUP($H1626,APOIO!$L:$M,2,FALSE))</f>
        <v/>
      </c>
      <c r="J1626" s="31"/>
      <c r="K1626" s="32" t="str">
        <f>IF($A1626="","",VLOOKUP($J1626,APOIO!$H:$J,2,FALSE))</f>
        <v/>
      </c>
      <c r="L1626" s="32" t="str">
        <f>IF($A1626="","",VLOOKUP($J1626,APOIO!$H:$J,3,FALSE))</f>
        <v/>
      </c>
      <c r="M1626" s="31"/>
      <c r="N1626" s="34"/>
      <c r="O1626" s="32"/>
      <c r="P1626" s="32"/>
      <c r="Q1626" s="32"/>
      <c r="R1626" s="32"/>
      <c r="S1626" s="35"/>
      <c r="T1626" s="91"/>
      <c r="U1626" s="60"/>
      <c r="V1626" s="36"/>
      <c r="W1626" s="31"/>
      <c r="X1626" s="59"/>
      <c r="Y1626" s="59" t="str">
        <f>IFERROR(VLOOKUP($A1626,APOIO!$A:$A,1,FALSE),"ERRO")</f>
        <v>ERRO</v>
      </c>
      <c r="Z1626"/>
    </row>
    <row r="1627" spans="1:26" ht="15" x14ac:dyDescent="0.25">
      <c r="A1627" s="94"/>
      <c r="B1627" s="32" t="str">
        <f>IF($A1627="","",VLOOKUP($A1627,APOIO!$A:$E,2,FALSE))</f>
        <v/>
      </c>
      <c r="C1627" s="94"/>
      <c r="D1627" s="32" t="str">
        <f>IF($A1627="","",INDEX(APOIO!$D:$D,MATCH(CONCATENATE($A1627,"_",$B1627,"_",$C1627),APOIO!$F:$F,0)))</f>
        <v/>
      </c>
      <c r="E1627" s="31"/>
      <c r="F1627" s="31"/>
      <c r="G1627" s="33"/>
      <c r="H1627" s="105"/>
      <c r="I1627" s="32" t="str">
        <f>IF($A1627="","",VLOOKUP($H1627,APOIO!$L:$M,2,FALSE))</f>
        <v/>
      </c>
      <c r="J1627" s="31"/>
      <c r="K1627" s="32" t="str">
        <f>IF($A1627="","",VLOOKUP($J1627,APOIO!$H:$J,2,FALSE))</f>
        <v/>
      </c>
      <c r="L1627" s="32" t="str">
        <f>IF($A1627="","",VLOOKUP($J1627,APOIO!$H:$J,3,FALSE))</f>
        <v/>
      </c>
      <c r="M1627" s="31"/>
      <c r="N1627" s="34"/>
      <c r="O1627" s="32"/>
      <c r="P1627" s="32"/>
      <c r="Q1627" s="32"/>
      <c r="R1627" s="32"/>
      <c r="S1627" s="35"/>
      <c r="T1627" s="91"/>
      <c r="U1627" s="60"/>
      <c r="V1627" s="36"/>
      <c r="W1627" s="31"/>
      <c r="X1627" s="59"/>
      <c r="Y1627" s="59" t="str">
        <f>IFERROR(VLOOKUP($A1627,APOIO!$A:$A,1,FALSE),"ERRO")</f>
        <v>ERRO</v>
      </c>
      <c r="Z1627"/>
    </row>
    <row r="1628" spans="1:26" ht="15" x14ac:dyDescent="0.25">
      <c r="A1628" s="94"/>
      <c r="B1628" s="32" t="str">
        <f>IF($A1628="","",VLOOKUP($A1628,APOIO!$A:$E,2,FALSE))</f>
        <v/>
      </c>
      <c r="C1628" s="94"/>
      <c r="D1628" s="32" t="str">
        <f>IF($A1628="","",INDEX(APOIO!$D:$D,MATCH(CONCATENATE($A1628,"_",$B1628,"_",$C1628),APOIO!$F:$F,0)))</f>
        <v/>
      </c>
      <c r="E1628" s="31"/>
      <c r="F1628" s="31"/>
      <c r="G1628" s="33"/>
      <c r="H1628" s="105"/>
      <c r="I1628" s="32" t="str">
        <f>IF($A1628="","",VLOOKUP($H1628,APOIO!$L:$M,2,FALSE))</f>
        <v/>
      </c>
      <c r="J1628" s="31"/>
      <c r="K1628" s="32" t="str">
        <f>IF($A1628="","",VLOOKUP($J1628,APOIO!$H:$J,2,FALSE))</f>
        <v/>
      </c>
      <c r="L1628" s="32" t="str">
        <f>IF($A1628="","",VLOOKUP($J1628,APOIO!$H:$J,3,FALSE))</f>
        <v/>
      </c>
      <c r="M1628" s="31"/>
      <c r="N1628" s="34"/>
      <c r="O1628" s="32"/>
      <c r="P1628" s="32"/>
      <c r="Q1628" s="32"/>
      <c r="R1628" s="32"/>
      <c r="S1628" s="35"/>
      <c r="T1628" s="91"/>
      <c r="U1628" s="60"/>
      <c r="V1628" s="36"/>
      <c r="W1628" s="31"/>
      <c r="X1628" s="59"/>
      <c r="Y1628" s="59" t="str">
        <f>IFERROR(VLOOKUP($A1628,APOIO!$A:$A,1,FALSE),"ERRO")</f>
        <v>ERRO</v>
      </c>
      <c r="Z1628"/>
    </row>
    <row r="1629" spans="1:26" ht="15" x14ac:dyDescent="0.25">
      <c r="A1629" s="94"/>
      <c r="B1629" s="32" t="str">
        <f>IF($A1629="","",VLOOKUP($A1629,APOIO!$A:$E,2,FALSE))</f>
        <v/>
      </c>
      <c r="C1629" s="94"/>
      <c r="D1629" s="32" t="str">
        <f>IF($A1629="","",INDEX(APOIO!$D:$D,MATCH(CONCATENATE($A1629,"_",$B1629,"_",$C1629),APOIO!$F:$F,0)))</f>
        <v/>
      </c>
      <c r="E1629" s="31"/>
      <c r="F1629" s="31"/>
      <c r="G1629" s="33"/>
      <c r="H1629" s="105"/>
      <c r="I1629" s="32" t="str">
        <f>IF($A1629="","",VLOOKUP($H1629,APOIO!$L:$M,2,FALSE))</f>
        <v/>
      </c>
      <c r="J1629" s="31"/>
      <c r="K1629" s="32" t="str">
        <f>IF($A1629="","",VLOOKUP($J1629,APOIO!$H:$J,2,FALSE))</f>
        <v/>
      </c>
      <c r="L1629" s="32" t="str">
        <f>IF($A1629="","",VLOOKUP($J1629,APOIO!$H:$J,3,FALSE))</f>
        <v/>
      </c>
      <c r="M1629" s="31"/>
      <c r="N1629" s="34"/>
      <c r="O1629" s="32"/>
      <c r="P1629" s="32"/>
      <c r="Q1629" s="32"/>
      <c r="R1629" s="32"/>
      <c r="S1629" s="35"/>
      <c r="T1629" s="91"/>
      <c r="U1629" s="60"/>
      <c r="V1629" s="36"/>
      <c r="W1629" s="31"/>
      <c r="X1629" s="59"/>
      <c r="Y1629" s="59" t="str">
        <f>IFERROR(VLOOKUP($A1629,APOIO!$A:$A,1,FALSE),"ERRO")</f>
        <v>ERRO</v>
      </c>
      <c r="Z1629"/>
    </row>
    <row r="1630" spans="1:26" ht="15" x14ac:dyDescent="0.25">
      <c r="A1630" s="94"/>
      <c r="B1630" s="32" t="str">
        <f>IF($A1630="","",VLOOKUP($A1630,APOIO!$A:$E,2,FALSE))</f>
        <v/>
      </c>
      <c r="C1630" s="94"/>
      <c r="D1630" s="32" t="str">
        <f>IF($A1630="","",INDEX(APOIO!$D:$D,MATCH(CONCATENATE($A1630,"_",$B1630,"_",$C1630),APOIO!$F:$F,0)))</f>
        <v/>
      </c>
      <c r="E1630" s="31"/>
      <c r="F1630" s="31"/>
      <c r="G1630" s="33"/>
      <c r="H1630" s="105"/>
      <c r="I1630" s="32" t="str">
        <f>IF($A1630="","",VLOOKUP($H1630,APOIO!$L:$M,2,FALSE))</f>
        <v/>
      </c>
      <c r="J1630" s="31"/>
      <c r="K1630" s="32" t="str">
        <f>IF($A1630="","",VLOOKUP($J1630,APOIO!$H:$J,2,FALSE))</f>
        <v/>
      </c>
      <c r="L1630" s="32" t="str">
        <f>IF($A1630="","",VLOOKUP($J1630,APOIO!$H:$J,3,FALSE))</f>
        <v/>
      </c>
      <c r="M1630" s="31"/>
      <c r="N1630" s="34"/>
      <c r="O1630" s="32"/>
      <c r="P1630" s="32"/>
      <c r="Q1630" s="32"/>
      <c r="R1630" s="32"/>
      <c r="S1630" s="35"/>
      <c r="T1630" s="91"/>
      <c r="U1630" s="60"/>
      <c r="V1630" s="36"/>
      <c r="W1630" s="31"/>
      <c r="X1630" s="59"/>
      <c r="Y1630" s="59" t="str">
        <f>IFERROR(VLOOKUP($A1630,APOIO!$A:$A,1,FALSE),"ERRO")</f>
        <v>ERRO</v>
      </c>
      <c r="Z1630"/>
    </row>
    <row r="1631" spans="1:26" ht="15" x14ac:dyDescent="0.25">
      <c r="A1631" s="94"/>
      <c r="B1631" s="32" t="str">
        <f>IF($A1631="","",VLOOKUP($A1631,APOIO!$A:$E,2,FALSE))</f>
        <v/>
      </c>
      <c r="C1631" s="94"/>
      <c r="D1631" s="32" t="str">
        <f>IF($A1631="","",INDEX(APOIO!$D:$D,MATCH(CONCATENATE($A1631,"_",$B1631,"_",$C1631),APOIO!$F:$F,0)))</f>
        <v/>
      </c>
      <c r="E1631" s="31"/>
      <c r="F1631" s="31"/>
      <c r="G1631" s="33"/>
      <c r="H1631" s="105"/>
      <c r="I1631" s="32" t="str">
        <f>IF($A1631="","",VLOOKUP($H1631,APOIO!$L:$M,2,FALSE))</f>
        <v/>
      </c>
      <c r="J1631" s="31"/>
      <c r="K1631" s="32" t="str">
        <f>IF($A1631="","",VLOOKUP($J1631,APOIO!$H:$J,2,FALSE))</f>
        <v/>
      </c>
      <c r="L1631" s="32" t="str">
        <f>IF($A1631="","",VLOOKUP($J1631,APOIO!$H:$J,3,FALSE))</f>
        <v/>
      </c>
      <c r="M1631" s="31"/>
      <c r="N1631" s="34"/>
      <c r="O1631" s="32"/>
      <c r="P1631" s="32"/>
      <c r="Q1631" s="32"/>
      <c r="R1631" s="32"/>
      <c r="S1631" s="35"/>
      <c r="T1631" s="91"/>
      <c r="U1631" s="60"/>
      <c r="V1631" s="36"/>
      <c r="W1631" s="31"/>
      <c r="X1631" s="59"/>
      <c r="Y1631" s="59" t="str">
        <f>IFERROR(VLOOKUP($A1631,APOIO!$A:$A,1,FALSE),"ERRO")</f>
        <v>ERRO</v>
      </c>
      <c r="Z1631"/>
    </row>
    <row r="1632" spans="1:26" ht="15" x14ac:dyDescent="0.25">
      <c r="A1632" s="94"/>
      <c r="B1632" s="32" t="str">
        <f>IF($A1632="","",VLOOKUP($A1632,APOIO!$A:$E,2,FALSE))</f>
        <v/>
      </c>
      <c r="C1632" s="94"/>
      <c r="D1632" s="32" t="str">
        <f>IF($A1632="","",INDEX(APOIO!$D:$D,MATCH(CONCATENATE($A1632,"_",$B1632,"_",$C1632),APOIO!$F:$F,0)))</f>
        <v/>
      </c>
      <c r="E1632" s="31"/>
      <c r="F1632" s="31"/>
      <c r="G1632" s="33"/>
      <c r="H1632" s="105"/>
      <c r="I1632" s="32" t="str">
        <f>IF($A1632="","",VLOOKUP($H1632,APOIO!$L:$M,2,FALSE))</f>
        <v/>
      </c>
      <c r="J1632" s="31"/>
      <c r="K1632" s="32" t="str">
        <f>IF($A1632="","",VLOOKUP($J1632,APOIO!$H:$J,2,FALSE))</f>
        <v/>
      </c>
      <c r="L1632" s="32" t="str">
        <f>IF($A1632="","",VLOOKUP($J1632,APOIO!$H:$J,3,FALSE))</f>
        <v/>
      </c>
      <c r="M1632" s="31"/>
      <c r="N1632" s="34"/>
      <c r="O1632" s="32"/>
      <c r="P1632" s="32"/>
      <c r="Q1632" s="32"/>
      <c r="R1632" s="32"/>
      <c r="S1632" s="35"/>
      <c r="T1632" s="91"/>
      <c r="U1632" s="60"/>
      <c r="V1632" s="36"/>
      <c r="W1632" s="31"/>
      <c r="X1632" s="59"/>
      <c r="Y1632" s="59" t="str">
        <f>IFERROR(VLOOKUP($A1632,APOIO!$A:$A,1,FALSE),"ERRO")</f>
        <v>ERRO</v>
      </c>
      <c r="Z1632"/>
    </row>
    <row r="1633" spans="1:26" ht="15" x14ac:dyDescent="0.25">
      <c r="A1633" s="94"/>
      <c r="B1633" s="32" t="str">
        <f>IF($A1633="","",VLOOKUP($A1633,APOIO!$A:$E,2,FALSE))</f>
        <v/>
      </c>
      <c r="C1633" s="94"/>
      <c r="D1633" s="32" t="str">
        <f>IF($A1633="","",INDEX(APOIO!$D:$D,MATCH(CONCATENATE($A1633,"_",$B1633,"_",$C1633),APOIO!$F:$F,0)))</f>
        <v/>
      </c>
      <c r="E1633" s="31"/>
      <c r="F1633" s="31"/>
      <c r="G1633" s="33"/>
      <c r="H1633" s="105"/>
      <c r="I1633" s="32" t="str">
        <f>IF($A1633="","",VLOOKUP($H1633,APOIO!$L:$M,2,FALSE))</f>
        <v/>
      </c>
      <c r="J1633" s="31"/>
      <c r="K1633" s="32" t="str">
        <f>IF($A1633="","",VLOOKUP($J1633,APOIO!$H:$J,2,FALSE))</f>
        <v/>
      </c>
      <c r="L1633" s="32" t="str">
        <f>IF($A1633="","",VLOOKUP($J1633,APOIO!$H:$J,3,FALSE))</f>
        <v/>
      </c>
      <c r="M1633" s="31"/>
      <c r="N1633" s="34"/>
      <c r="O1633" s="32"/>
      <c r="P1633" s="32"/>
      <c r="Q1633" s="32"/>
      <c r="R1633" s="32"/>
      <c r="S1633" s="35"/>
      <c r="T1633" s="91"/>
      <c r="U1633" s="60"/>
      <c r="V1633" s="36"/>
      <c r="W1633" s="31"/>
      <c r="X1633" s="59"/>
      <c r="Y1633" s="59" t="str">
        <f>IFERROR(VLOOKUP($A1633,APOIO!$A:$A,1,FALSE),"ERRO")</f>
        <v>ERRO</v>
      </c>
      <c r="Z1633"/>
    </row>
    <row r="1634" spans="1:26" ht="15" x14ac:dyDescent="0.25">
      <c r="A1634" s="94"/>
      <c r="B1634" s="32" t="str">
        <f>IF($A1634="","",VLOOKUP($A1634,APOIO!$A:$E,2,FALSE))</f>
        <v/>
      </c>
      <c r="C1634" s="94"/>
      <c r="D1634" s="32" t="str">
        <f>IF($A1634="","",INDEX(APOIO!$D:$D,MATCH(CONCATENATE($A1634,"_",$B1634,"_",$C1634),APOIO!$F:$F,0)))</f>
        <v/>
      </c>
      <c r="E1634" s="31"/>
      <c r="F1634" s="31"/>
      <c r="G1634" s="33"/>
      <c r="H1634" s="105"/>
      <c r="I1634" s="32" t="str">
        <f>IF($A1634="","",VLOOKUP($H1634,APOIO!$L:$M,2,FALSE))</f>
        <v/>
      </c>
      <c r="J1634" s="31"/>
      <c r="K1634" s="32" t="str">
        <f>IF($A1634="","",VLOOKUP($J1634,APOIO!$H:$J,2,FALSE))</f>
        <v/>
      </c>
      <c r="L1634" s="32" t="str">
        <f>IF($A1634="","",VLOOKUP($J1634,APOIO!$H:$J,3,FALSE))</f>
        <v/>
      </c>
      <c r="M1634" s="31"/>
      <c r="N1634" s="34"/>
      <c r="O1634" s="32"/>
      <c r="P1634" s="32"/>
      <c r="Q1634" s="32"/>
      <c r="R1634" s="32"/>
      <c r="S1634" s="35"/>
      <c r="T1634" s="91"/>
      <c r="U1634" s="60"/>
      <c r="V1634" s="36"/>
      <c r="W1634" s="31"/>
      <c r="X1634" s="59"/>
      <c r="Y1634" s="59" t="str">
        <f>IFERROR(VLOOKUP($A1634,APOIO!$A:$A,1,FALSE),"ERRO")</f>
        <v>ERRO</v>
      </c>
      <c r="Z1634"/>
    </row>
    <row r="1635" spans="1:26" ht="15" x14ac:dyDescent="0.25">
      <c r="A1635" s="94"/>
      <c r="B1635" s="32" t="str">
        <f>IF($A1635="","",VLOOKUP($A1635,APOIO!$A:$E,2,FALSE))</f>
        <v/>
      </c>
      <c r="C1635" s="94"/>
      <c r="D1635" s="32" t="str">
        <f>IF($A1635="","",INDEX(APOIO!$D:$D,MATCH(CONCATENATE($A1635,"_",$B1635,"_",$C1635),APOIO!$F:$F,0)))</f>
        <v/>
      </c>
      <c r="E1635" s="31"/>
      <c r="F1635" s="31"/>
      <c r="G1635" s="33"/>
      <c r="H1635" s="105"/>
      <c r="I1635" s="32" t="str">
        <f>IF($A1635="","",VLOOKUP($H1635,APOIO!$L:$M,2,FALSE))</f>
        <v/>
      </c>
      <c r="J1635" s="31"/>
      <c r="K1635" s="32" t="str">
        <f>IF($A1635="","",VLOOKUP($J1635,APOIO!$H:$J,2,FALSE))</f>
        <v/>
      </c>
      <c r="L1635" s="32" t="str">
        <f>IF($A1635="","",VLOOKUP($J1635,APOIO!$H:$J,3,FALSE))</f>
        <v/>
      </c>
      <c r="M1635" s="31"/>
      <c r="N1635" s="34"/>
      <c r="O1635" s="32"/>
      <c r="P1635" s="32"/>
      <c r="Q1635" s="32"/>
      <c r="R1635" s="32"/>
      <c r="S1635" s="35"/>
      <c r="T1635" s="91"/>
      <c r="U1635" s="60"/>
      <c r="V1635" s="36"/>
      <c r="W1635" s="31"/>
      <c r="X1635" s="59"/>
      <c r="Y1635" s="59" t="str">
        <f>IFERROR(VLOOKUP($A1635,APOIO!$A:$A,1,FALSE),"ERRO")</f>
        <v>ERRO</v>
      </c>
      <c r="Z1635"/>
    </row>
    <row r="1636" spans="1:26" ht="15" x14ac:dyDescent="0.25">
      <c r="A1636" s="94"/>
      <c r="B1636" s="32" t="str">
        <f>IF($A1636="","",VLOOKUP($A1636,APOIO!$A:$E,2,FALSE))</f>
        <v/>
      </c>
      <c r="C1636" s="94"/>
      <c r="D1636" s="32" t="str">
        <f>IF($A1636="","",INDEX(APOIO!$D:$D,MATCH(CONCATENATE($A1636,"_",$B1636,"_",$C1636),APOIO!$F:$F,0)))</f>
        <v/>
      </c>
      <c r="E1636" s="31"/>
      <c r="F1636" s="31"/>
      <c r="G1636" s="33"/>
      <c r="H1636" s="105"/>
      <c r="I1636" s="32" t="str">
        <f>IF($A1636="","",VLOOKUP($H1636,APOIO!$L:$M,2,FALSE))</f>
        <v/>
      </c>
      <c r="J1636" s="31"/>
      <c r="K1636" s="32" t="str">
        <f>IF($A1636="","",VLOOKUP($J1636,APOIO!$H:$J,2,FALSE))</f>
        <v/>
      </c>
      <c r="L1636" s="32" t="str">
        <f>IF($A1636="","",VLOOKUP($J1636,APOIO!$H:$J,3,FALSE))</f>
        <v/>
      </c>
      <c r="M1636" s="31"/>
      <c r="N1636" s="34"/>
      <c r="O1636" s="32"/>
      <c r="P1636" s="32"/>
      <c r="Q1636" s="32"/>
      <c r="R1636" s="32"/>
      <c r="S1636" s="35"/>
      <c r="T1636" s="91"/>
      <c r="U1636" s="60"/>
      <c r="V1636" s="36"/>
      <c r="W1636" s="31"/>
      <c r="X1636" s="59"/>
      <c r="Y1636" s="59" t="str">
        <f>IFERROR(VLOOKUP($A1636,APOIO!$A:$A,1,FALSE),"ERRO")</f>
        <v>ERRO</v>
      </c>
      <c r="Z1636"/>
    </row>
    <row r="1637" spans="1:26" ht="15" x14ac:dyDescent="0.25">
      <c r="A1637" s="94"/>
      <c r="B1637" s="32" t="str">
        <f>IF($A1637="","",VLOOKUP($A1637,APOIO!$A:$E,2,FALSE))</f>
        <v/>
      </c>
      <c r="C1637" s="94"/>
      <c r="D1637" s="32" t="str">
        <f>IF($A1637="","",INDEX(APOIO!$D:$D,MATCH(CONCATENATE($A1637,"_",$B1637,"_",$C1637),APOIO!$F:$F,0)))</f>
        <v/>
      </c>
      <c r="E1637" s="31"/>
      <c r="F1637" s="31"/>
      <c r="G1637" s="33"/>
      <c r="H1637" s="105"/>
      <c r="I1637" s="32" t="str">
        <f>IF($A1637="","",VLOOKUP($H1637,APOIO!$L:$M,2,FALSE))</f>
        <v/>
      </c>
      <c r="J1637" s="31"/>
      <c r="K1637" s="32" t="str">
        <f>IF($A1637="","",VLOOKUP($J1637,APOIO!$H:$J,2,FALSE))</f>
        <v/>
      </c>
      <c r="L1637" s="32" t="str">
        <f>IF($A1637="","",VLOOKUP($J1637,APOIO!$H:$J,3,FALSE))</f>
        <v/>
      </c>
      <c r="M1637" s="31"/>
      <c r="N1637" s="34"/>
      <c r="O1637" s="32"/>
      <c r="P1637" s="32"/>
      <c r="Q1637" s="32"/>
      <c r="R1637" s="32"/>
      <c r="S1637" s="35"/>
      <c r="T1637" s="91"/>
      <c r="U1637" s="60"/>
      <c r="V1637" s="36"/>
      <c r="W1637" s="31"/>
      <c r="X1637" s="59"/>
      <c r="Y1637" s="59" t="str">
        <f>IFERROR(VLOOKUP($A1637,APOIO!$A:$A,1,FALSE),"ERRO")</f>
        <v>ERRO</v>
      </c>
      <c r="Z1637"/>
    </row>
    <row r="1638" spans="1:26" ht="15" x14ac:dyDescent="0.25">
      <c r="A1638" s="94"/>
      <c r="B1638" s="32" t="str">
        <f>IF($A1638="","",VLOOKUP($A1638,APOIO!$A:$E,2,FALSE))</f>
        <v/>
      </c>
      <c r="C1638" s="94"/>
      <c r="D1638" s="32" t="str">
        <f>IF($A1638="","",INDEX(APOIO!$D:$D,MATCH(CONCATENATE($A1638,"_",$B1638,"_",$C1638),APOIO!$F:$F,0)))</f>
        <v/>
      </c>
      <c r="E1638" s="31"/>
      <c r="F1638" s="31"/>
      <c r="G1638" s="33"/>
      <c r="H1638" s="105"/>
      <c r="I1638" s="32" t="str">
        <f>IF($A1638="","",VLOOKUP($H1638,APOIO!$L:$M,2,FALSE))</f>
        <v/>
      </c>
      <c r="J1638" s="31"/>
      <c r="K1638" s="32" t="str">
        <f>IF($A1638="","",VLOOKUP($J1638,APOIO!$H:$J,2,FALSE))</f>
        <v/>
      </c>
      <c r="L1638" s="32" t="str">
        <f>IF($A1638="","",VLOOKUP($J1638,APOIO!$H:$J,3,FALSE))</f>
        <v/>
      </c>
      <c r="M1638" s="31"/>
      <c r="N1638" s="34"/>
      <c r="O1638" s="32"/>
      <c r="P1638" s="32"/>
      <c r="Q1638" s="32"/>
      <c r="R1638" s="32"/>
      <c r="S1638" s="35"/>
      <c r="T1638" s="91"/>
      <c r="U1638" s="60"/>
      <c r="V1638" s="36"/>
      <c r="W1638" s="31"/>
      <c r="X1638" s="59"/>
      <c r="Y1638" s="59" t="str">
        <f>IFERROR(VLOOKUP($A1638,APOIO!$A:$A,1,FALSE),"ERRO")</f>
        <v>ERRO</v>
      </c>
      <c r="Z1638"/>
    </row>
    <row r="1639" spans="1:26" ht="15" x14ac:dyDescent="0.25">
      <c r="A1639" s="94"/>
      <c r="B1639" s="32" t="str">
        <f>IF($A1639="","",VLOOKUP($A1639,APOIO!$A:$E,2,FALSE))</f>
        <v/>
      </c>
      <c r="C1639" s="94"/>
      <c r="D1639" s="32" t="str">
        <f>IF($A1639="","",INDEX(APOIO!$D:$D,MATCH(CONCATENATE($A1639,"_",$B1639,"_",$C1639),APOIO!$F:$F,0)))</f>
        <v/>
      </c>
      <c r="E1639" s="31"/>
      <c r="F1639" s="31"/>
      <c r="G1639" s="33"/>
      <c r="H1639" s="105"/>
      <c r="I1639" s="32" t="str">
        <f>IF($A1639="","",VLOOKUP($H1639,APOIO!$L:$M,2,FALSE))</f>
        <v/>
      </c>
      <c r="J1639" s="31"/>
      <c r="K1639" s="32" t="str">
        <f>IF($A1639="","",VLOOKUP($J1639,APOIO!$H:$J,2,FALSE))</f>
        <v/>
      </c>
      <c r="L1639" s="32" t="str">
        <f>IF($A1639="","",VLOOKUP($J1639,APOIO!$H:$J,3,FALSE))</f>
        <v/>
      </c>
      <c r="M1639" s="31"/>
      <c r="N1639" s="34"/>
      <c r="O1639" s="32"/>
      <c r="P1639" s="32"/>
      <c r="Q1639" s="32"/>
      <c r="R1639" s="32"/>
      <c r="S1639" s="35"/>
      <c r="T1639" s="91"/>
      <c r="U1639" s="60"/>
      <c r="V1639" s="36"/>
      <c r="W1639" s="31"/>
      <c r="X1639" s="59"/>
      <c r="Y1639" s="59" t="str">
        <f>IFERROR(VLOOKUP($A1639,APOIO!$A:$A,1,FALSE),"ERRO")</f>
        <v>ERRO</v>
      </c>
      <c r="Z1639"/>
    </row>
    <row r="1640" spans="1:26" ht="15" x14ac:dyDescent="0.25">
      <c r="A1640" s="94"/>
      <c r="B1640" s="32" t="str">
        <f>IF($A1640="","",VLOOKUP($A1640,APOIO!$A:$E,2,FALSE))</f>
        <v/>
      </c>
      <c r="C1640" s="94"/>
      <c r="D1640" s="32" t="str">
        <f>IF($A1640="","",INDEX(APOIO!$D:$D,MATCH(CONCATENATE($A1640,"_",$B1640,"_",$C1640),APOIO!$F:$F,0)))</f>
        <v/>
      </c>
      <c r="E1640" s="31"/>
      <c r="F1640" s="31"/>
      <c r="G1640" s="33"/>
      <c r="H1640" s="105"/>
      <c r="I1640" s="32" t="str">
        <f>IF($A1640="","",VLOOKUP($H1640,APOIO!$L:$M,2,FALSE))</f>
        <v/>
      </c>
      <c r="J1640" s="31"/>
      <c r="K1640" s="32" t="str">
        <f>IF($A1640="","",VLOOKUP($J1640,APOIO!$H:$J,2,FALSE))</f>
        <v/>
      </c>
      <c r="L1640" s="32" t="str">
        <f>IF($A1640="","",VLOOKUP($J1640,APOIO!$H:$J,3,FALSE))</f>
        <v/>
      </c>
      <c r="M1640" s="31"/>
      <c r="N1640" s="34"/>
      <c r="O1640" s="32"/>
      <c r="P1640" s="32"/>
      <c r="Q1640" s="32"/>
      <c r="R1640" s="32"/>
      <c r="S1640" s="35"/>
      <c r="T1640" s="91"/>
      <c r="U1640" s="60"/>
      <c r="V1640" s="36"/>
      <c r="W1640" s="31"/>
      <c r="X1640" s="59"/>
      <c r="Y1640" s="59" t="str">
        <f>IFERROR(VLOOKUP($A1640,APOIO!$A:$A,1,FALSE),"ERRO")</f>
        <v>ERRO</v>
      </c>
      <c r="Z1640"/>
    </row>
    <row r="1641" spans="1:26" ht="15" x14ac:dyDescent="0.25">
      <c r="A1641" s="94"/>
      <c r="B1641" s="32" t="str">
        <f>IF($A1641="","",VLOOKUP($A1641,APOIO!$A:$E,2,FALSE))</f>
        <v/>
      </c>
      <c r="C1641" s="94"/>
      <c r="D1641" s="32" t="str">
        <f>IF($A1641="","",INDEX(APOIO!$D:$D,MATCH(CONCATENATE($A1641,"_",$B1641,"_",$C1641),APOIO!$F:$F,0)))</f>
        <v/>
      </c>
      <c r="E1641" s="31"/>
      <c r="F1641" s="31"/>
      <c r="G1641" s="33"/>
      <c r="H1641" s="105"/>
      <c r="I1641" s="32" t="str">
        <f>IF($A1641="","",VLOOKUP($H1641,APOIO!$L:$M,2,FALSE))</f>
        <v/>
      </c>
      <c r="J1641" s="31"/>
      <c r="K1641" s="32" t="str">
        <f>IF($A1641="","",VLOOKUP($J1641,APOIO!$H:$J,2,FALSE))</f>
        <v/>
      </c>
      <c r="L1641" s="32" t="str">
        <f>IF($A1641="","",VLOOKUP($J1641,APOIO!$H:$J,3,FALSE))</f>
        <v/>
      </c>
      <c r="M1641" s="31"/>
      <c r="N1641" s="34"/>
      <c r="O1641" s="32"/>
      <c r="P1641" s="32"/>
      <c r="Q1641" s="32"/>
      <c r="R1641" s="32"/>
      <c r="S1641" s="35"/>
      <c r="T1641" s="91"/>
      <c r="U1641" s="60"/>
      <c r="V1641" s="36"/>
      <c r="W1641" s="31"/>
      <c r="X1641" s="59"/>
      <c r="Y1641" s="59" t="str">
        <f>IFERROR(VLOOKUP($A1641,APOIO!$A:$A,1,FALSE),"ERRO")</f>
        <v>ERRO</v>
      </c>
      <c r="Z1641"/>
    </row>
    <row r="1642" spans="1:26" ht="15" x14ac:dyDescent="0.25">
      <c r="A1642" s="94"/>
      <c r="B1642" s="32" t="str">
        <f>IF($A1642="","",VLOOKUP($A1642,APOIO!$A:$E,2,FALSE))</f>
        <v/>
      </c>
      <c r="C1642" s="94"/>
      <c r="D1642" s="32" t="str">
        <f>IF($A1642="","",INDEX(APOIO!$D:$D,MATCH(CONCATENATE($A1642,"_",$B1642,"_",$C1642),APOIO!$F:$F,0)))</f>
        <v/>
      </c>
      <c r="E1642" s="31"/>
      <c r="F1642" s="31"/>
      <c r="G1642" s="33"/>
      <c r="H1642" s="105"/>
      <c r="I1642" s="32" t="str">
        <f>IF($A1642="","",VLOOKUP($H1642,APOIO!$L:$M,2,FALSE))</f>
        <v/>
      </c>
      <c r="J1642" s="31"/>
      <c r="K1642" s="32" t="str">
        <f>IF($A1642="","",VLOOKUP($J1642,APOIO!$H:$J,2,FALSE))</f>
        <v/>
      </c>
      <c r="L1642" s="32" t="str">
        <f>IF($A1642="","",VLOOKUP($J1642,APOIO!$H:$J,3,FALSE))</f>
        <v/>
      </c>
      <c r="M1642" s="31"/>
      <c r="N1642" s="34"/>
      <c r="O1642" s="32"/>
      <c r="P1642" s="32"/>
      <c r="Q1642" s="32"/>
      <c r="R1642" s="32"/>
      <c r="S1642" s="35"/>
      <c r="T1642" s="91"/>
      <c r="U1642" s="60"/>
      <c r="V1642" s="36"/>
      <c r="W1642" s="31"/>
      <c r="X1642" s="59"/>
      <c r="Y1642" s="59" t="str">
        <f>IFERROR(VLOOKUP($A1642,APOIO!$A:$A,1,FALSE),"ERRO")</f>
        <v>ERRO</v>
      </c>
      <c r="Z1642"/>
    </row>
    <row r="1643" spans="1:26" ht="15" x14ac:dyDescent="0.25">
      <c r="A1643" s="94"/>
      <c r="B1643" s="32" t="str">
        <f>IF($A1643="","",VLOOKUP($A1643,APOIO!$A:$E,2,FALSE))</f>
        <v/>
      </c>
      <c r="C1643" s="94"/>
      <c r="D1643" s="32" t="str">
        <f>IF($A1643="","",INDEX(APOIO!$D:$D,MATCH(CONCATENATE($A1643,"_",$B1643,"_",$C1643),APOIO!$F:$F,0)))</f>
        <v/>
      </c>
      <c r="E1643" s="31"/>
      <c r="F1643" s="31"/>
      <c r="G1643" s="33"/>
      <c r="H1643" s="105"/>
      <c r="I1643" s="32" t="str">
        <f>IF($A1643="","",VLOOKUP($H1643,APOIO!$L:$M,2,FALSE))</f>
        <v/>
      </c>
      <c r="J1643" s="31"/>
      <c r="K1643" s="32" t="str">
        <f>IF($A1643="","",VLOOKUP($J1643,APOIO!$H:$J,2,FALSE))</f>
        <v/>
      </c>
      <c r="L1643" s="32" t="str">
        <f>IF($A1643="","",VLOOKUP($J1643,APOIO!$H:$J,3,FALSE))</f>
        <v/>
      </c>
      <c r="M1643" s="31"/>
      <c r="N1643" s="34"/>
      <c r="O1643" s="32"/>
      <c r="P1643" s="32"/>
      <c r="Q1643" s="32"/>
      <c r="R1643" s="32"/>
      <c r="S1643" s="35"/>
      <c r="T1643" s="91"/>
      <c r="U1643" s="60"/>
      <c r="V1643" s="36"/>
      <c r="W1643" s="31"/>
      <c r="X1643" s="59"/>
      <c r="Y1643" s="59" t="str">
        <f>IFERROR(VLOOKUP($A1643,APOIO!$A:$A,1,FALSE),"ERRO")</f>
        <v>ERRO</v>
      </c>
      <c r="Z1643"/>
    </row>
    <row r="1644" spans="1:26" ht="15" x14ac:dyDescent="0.25">
      <c r="A1644" s="94"/>
      <c r="B1644" s="32" t="str">
        <f>IF($A1644="","",VLOOKUP($A1644,APOIO!$A:$E,2,FALSE))</f>
        <v/>
      </c>
      <c r="C1644" s="94"/>
      <c r="D1644" s="32" t="str">
        <f>IF($A1644="","",INDEX(APOIO!$D:$D,MATCH(CONCATENATE($A1644,"_",$B1644,"_",$C1644),APOIO!$F:$F,0)))</f>
        <v/>
      </c>
      <c r="E1644" s="31"/>
      <c r="F1644" s="31"/>
      <c r="G1644" s="33"/>
      <c r="H1644" s="105"/>
      <c r="I1644" s="32" t="str">
        <f>IF($A1644="","",VLOOKUP($H1644,APOIO!$L:$M,2,FALSE))</f>
        <v/>
      </c>
      <c r="J1644" s="31"/>
      <c r="K1644" s="32" t="str">
        <f>IF($A1644="","",VLOOKUP($J1644,APOIO!$H:$J,2,FALSE))</f>
        <v/>
      </c>
      <c r="L1644" s="32" t="str">
        <f>IF($A1644="","",VLOOKUP($J1644,APOIO!$H:$J,3,FALSE))</f>
        <v/>
      </c>
      <c r="M1644" s="31"/>
      <c r="N1644" s="34"/>
      <c r="O1644" s="32"/>
      <c r="P1644" s="32"/>
      <c r="Q1644" s="32"/>
      <c r="R1644" s="32"/>
      <c r="S1644" s="35"/>
      <c r="T1644" s="91"/>
      <c r="U1644" s="60"/>
      <c r="V1644" s="36"/>
      <c r="W1644" s="31"/>
      <c r="X1644" s="59"/>
      <c r="Y1644" s="59" t="str">
        <f>IFERROR(VLOOKUP($A1644,APOIO!$A:$A,1,FALSE),"ERRO")</f>
        <v>ERRO</v>
      </c>
      <c r="Z1644"/>
    </row>
    <row r="1645" spans="1:26" ht="15" x14ac:dyDescent="0.25">
      <c r="A1645" s="94"/>
      <c r="B1645" s="32" t="str">
        <f>IF($A1645="","",VLOOKUP($A1645,APOIO!$A:$E,2,FALSE))</f>
        <v/>
      </c>
      <c r="C1645" s="94"/>
      <c r="D1645" s="32" t="str">
        <f>IF($A1645="","",INDEX(APOIO!$D:$D,MATCH(CONCATENATE($A1645,"_",$B1645,"_",$C1645),APOIO!$F:$F,0)))</f>
        <v/>
      </c>
      <c r="E1645" s="31"/>
      <c r="F1645" s="31"/>
      <c r="G1645" s="33"/>
      <c r="H1645" s="105"/>
      <c r="I1645" s="32" t="str">
        <f>IF($A1645="","",VLOOKUP($H1645,APOIO!$L:$M,2,FALSE))</f>
        <v/>
      </c>
      <c r="J1645" s="31"/>
      <c r="K1645" s="32" t="str">
        <f>IF($A1645="","",VLOOKUP($J1645,APOIO!$H:$J,2,FALSE))</f>
        <v/>
      </c>
      <c r="L1645" s="32" t="str">
        <f>IF($A1645="","",VLOOKUP($J1645,APOIO!$H:$J,3,FALSE))</f>
        <v/>
      </c>
      <c r="M1645" s="31"/>
      <c r="N1645" s="34"/>
      <c r="O1645" s="32"/>
      <c r="P1645" s="32"/>
      <c r="Q1645" s="32"/>
      <c r="R1645" s="32"/>
      <c r="S1645" s="35"/>
      <c r="T1645" s="91"/>
      <c r="U1645" s="60"/>
      <c r="V1645" s="36"/>
      <c r="W1645" s="31"/>
      <c r="X1645" s="59"/>
      <c r="Y1645" s="59" t="str">
        <f>IFERROR(VLOOKUP($A1645,APOIO!$A:$A,1,FALSE),"ERRO")</f>
        <v>ERRO</v>
      </c>
      <c r="Z1645"/>
    </row>
    <row r="1646" spans="1:26" ht="15" x14ac:dyDescent="0.25">
      <c r="A1646" s="94"/>
      <c r="B1646" s="32" t="str">
        <f>IF($A1646="","",VLOOKUP($A1646,APOIO!$A:$E,2,FALSE))</f>
        <v/>
      </c>
      <c r="C1646" s="94"/>
      <c r="D1646" s="32" t="str">
        <f>IF($A1646="","",INDEX(APOIO!$D:$D,MATCH(CONCATENATE($A1646,"_",$B1646,"_",$C1646),APOIO!$F:$F,0)))</f>
        <v/>
      </c>
      <c r="E1646" s="31"/>
      <c r="F1646" s="31"/>
      <c r="G1646" s="33"/>
      <c r="H1646" s="105"/>
      <c r="I1646" s="32" t="str">
        <f>IF($A1646="","",VLOOKUP($H1646,APOIO!$L:$M,2,FALSE))</f>
        <v/>
      </c>
      <c r="J1646" s="31"/>
      <c r="K1646" s="32" t="str">
        <f>IF($A1646="","",VLOOKUP($J1646,APOIO!$H:$J,2,FALSE))</f>
        <v/>
      </c>
      <c r="L1646" s="32" t="str">
        <f>IF($A1646="","",VLOOKUP($J1646,APOIO!$H:$J,3,FALSE))</f>
        <v/>
      </c>
      <c r="M1646" s="31"/>
      <c r="N1646" s="34"/>
      <c r="O1646" s="32"/>
      <c r="P1646" s="32"/>
      <c r="Q1646" s="32"/>
      <c r="R1646" s="32"/>
      <c r="S1646" s="35"/>
      <c r="T1646" s="91"/>
      <c r="U1646" s="60"/>
      <c r="V1646" s="36"/>
      <c r="W1646" s="31"/>
      <c r="X1646" s="59"/>
      <c r="Y1646" s="59" t="str">
        <f>IFERROR(VLOOKUP($A1646,APOIO!$A:$A,1,FALSE),"ERRO")</f>
        <v>ERRO</v>
      </c>
      <c r="Z1646"/>
    </row>
    <row r="1647" spans="1:26" ht="15" x14ac:dyDescent="0.25">
      <c r="A1647" s="94"/>
      <c r="B1647" s="32" t="str">
        <f>IF($A1647="","",VLOOKUP($A1647,APOIO!$A:$E,2,FALSE))</f>
        <v/>
      </c>
      <c r="C1647" s="94"/>
      <c r="D1647" s="32" t="str">
        <f>IF($A1647="","",INDEX(APOIO!$D:$D,MATCH(CONCATENATE($A1647,"_",$B1647,"_",$C1647),APOIO!$F:$F,0)))</f>
        <v/>
      </c>
      <c r="E1647" s="31"/>
      <c r="F1647" s="31"/>
      <c r="G1647" s="33"/>
      <c r="H1647" s="105"/>
      <c r="I1647" s="32" t="str">
        <f>IF($A1647="","",VLOOKUP($H1647,APOIO!$L:$M,2,FALSE))</f>
        <v/>
      </c>
      <c r="J1647" s="31"/>
      <c r="K1647" s="32" t="str">
        <f>IF($A1647="","",VLOOKUP($J1647,APOIO!$H:$J,2,FALSE))</f>
        <v/>
      </c>
      <c r="L1647" s="32" t="str">
        <f>IF($A1647="","",VLOOKUP($J1647,APOIO!$H:$J,3,FALSE))</f>
        <v/>
      </c>
      <c r="M1647" s="31"/>
      <c r="N1647" s="34"/>
      <c r="O1647" s="32"/>
      <c r="P1647" s="32"/>
      <c r="Q1647" s="32"/>
      <c r="R1647" s="32"/>
      <c r="S1647" s="35"/>
      <c r="T1647" s="91"/>
      <c r="U1647" s="60"/>
      <c r="V1647" s="36"/>
      <c r="W1647" s="31"/>
      <c r="X1647" s="59"/>
      <c r="Y1647" s="59" t="str">
        <f>IFERROR(VLOOKUP($A1647,APOIO!$A:$A,1,FALSE),"ERRO")</f>
        <v>ERRO</v>
      </c>
      <c r="Z1647"/>
    </row>
    <row r="1648" spans="1:26" ht="15" x14ac:dyDescent="0.25">
      <c r="A1648" s="94"/>
      <c r="B1648" s="32" t="str">
        <f>IF($A1648="","",VLOOKUP($A1648,APOIO!$A:$E,2,FALSE))</f>
        <v/>
      </c>
      <c r="C1648" s="94"/>
      <c r="D1648" s="32" t="str">
        <f>IF($A1648="","",INDEX(APOIO!$D:$D,MATCH(CONCATENATE($A1648,"_",$B1648,"_",$C1648),APOIO!$F:$F,0)))</f>
        <v/>
      </c>
      <c r="E1648" s="31"/>
      <c r="F1648" s="31"/>
      <c r="G1648" s="33"/>
      <c r="H1648" s="105"/>
      <c r="I1648" s="32" t="str">
        <f>IF($A1648="","",VLOOKUP($H1648,APOIO!$L:$M,2,FALSE))</f>
        <v/>
      </c>
      <c r="J1648" s="31"/>
      <c r="K1648" s="32" t="str">
        <f>IF($A1648="","",VLOOKUP($J1648,APOIO!$H:$J,2,FALSE))</f>
        <v/>
      </c>
      <c r="L1648" s="32" t="str">
        <f>IF($A1648="","",VLOOKUP($J1648,APOIO!$H:$J,3,FALSE))</f>
        <v/>
      </c>
      <c r="M1648" s="31"/>
      <c r="N1648" s="34"/>
      <c r="O1648" s="32"/>
      <c r="P1648" s="32"/>
      <c r="Q1648" s="32"/>
      <c r="R1648" s="32"/>
      <c r="S1648" s="35"/>
      <c r="T1648" s="91"/>
      <c r="U1648" s="60"/>
      <c r="V1648" s="36"/>
      <c r="W1648" s="31"/>
      <c r="X1648" s="59"/>
      <c r="Y1648" s="59" t="str">
        <f>IFERROR(VLOOKUP($A1648,APOIO!$A:$A,1,FALSE),"ERRO")</f>
        <v>ERRO</v>
      </c>
      <c r="Z1648"/>
    </row>
    <row r="1649" spans="1:26" ht="15" x14ac:dyDescent="0.25">
      <c r="A1649" s="94"/>
      <c r="B1649" s="32" t="str">
        <f>IF($A1649="","",VLOOKUP($A1649,APOIO!$A:$E,2,FALSE))</f>
        <v/>
      </c>
      <c r="C1649" s="94"/>
      <c r="D1649" s="32" t="str">
        <f>IF($A1649="","",INDEX(APOIO!$D:$D,MATCH(CONCATENATE($A1649,"_",$B1649,"_",$C1649),APOIO!$F:$F,0)))</f>
        <v/>
      </c>
      <c r="E1649" s="31"/>
      <c r="F1649" s="31"/>
      <c r="G1649" s="33"/>
      <c r="H1649" s="105"/>
      <c r="I1649" s="32" t="str">
        <f>IF($A1649="","",VLOOKUP($H1649,APOIO!$L:$M,2,FALSE))</f>
        <v/>
      </c>
      <c r="J1649" s="31"/>
      <c r="K1649" s="32" t="str">
        <f>IF($A1649="","",VLOOKUP($J1649,APOIO!$H:$J,2,FALSE))</f>
        <v/>
      </c>
      <c r="L1649" s="32" t="str">
        <f>IF($A1649="","",VLOOKUP($J1649,APOIO!$H:$J,3,FALSE))</f>
        <v/>
      </c>
      <c r="M1649" s="31"/>
      <c r="N1649" s="34"/>
      <c r="O1649" s="32"/>
      <c r="P1649" s="32"/>
      <c r="Q1649" s="32"/>
      <c r="R1649" s="32"/>
      <c r="S1649" s="35"/>
      <c r="T1649" s="91"/>
      <c r="U1649" s="60"/>
      <c r="V1649" s="36"/>
      <c r="W1649" s="31"/>
      <c r="X1649" s="59"/>
      <c r="Y1649" s="59" t="str">
        <f>IFERROR(VLOOKUP($A1649,APOIO!$A:$A,1,FALSE),"ERRO")</f>
        <v>ERRO</v>
      </c>
      <c r="Z1649"/>
    </row>
    <row r="1650" spans="1:26" ht="15" x14ac:dyDescent="0.25">
      <c r="A1650" s="94"/>
      <c r="B1650" s="32" t="str">
        <f>IF($A1650="","",VLOOKUP($A1650,APOIO!$A:$E,2,FALSE))</f>
        <v/>
      </c>
      <c r="C1650" s="94"/>
      <c r="D1650" s="32" t="str">
        <f>IF($A1650="","",INDEX(APOIO!$D:$D,MATCH(CONCATENATE($A1650,"_",$B1650,"_",$C1650),APOIO!$F:$F,0)))</f>
        <v/>
      </c>
      <c r="E1650" s="31"/>
      <c r="F1650" s="31"/>
      <c r="G1650" s="33"/>
      <c r="H1650" s="105"/>
      <c r="I1650" s="32" t="str">
        <f>IF($A1650="","",VLOOKUP($H1650,APOIO!$L:$M,2,FALSE))</f>
        <v/>
      </c>
      <c r="J1650" s="31"/>
      <c r="K1650" s="32" t="str">
        <f>IF($A1650="","",VLOOKUP($J1650,APOIO!$H:$J,2,FALSE))</f>
        <v/>
      </c>
      <c r="L1650" s="32" t="str">
        <f>IF($A1650="","",VLOOKUP($J1650,APOIO!$H:$J,3,FALSE))</f>
        <v/>
      </c>
      <c r="M1650" s="31"/>
      <c r="N1650" s="34"/>
      <c r="O1650" s="32"/>
      <c r="P1650" s="32"/>
      <c r="Q1650" s="32"/>
      <c r="R1650" s="32"/>
      <c r="S1650" s="35"/>
      <c r="T1650" s="91"/>
      <c r="U1650" s="60"/>
      <c r="V1650" s="36"/>
      <c r="W1650" s="31"/>
      <c r="X1650" s="59"/>
      <c r="Y1650" s="59" t="str">
        <f>IFERROR(VLOOKUP($A1650,APOIO!$A:$A,1,FALSE),"ERRO")</f>
        <v>ERRO</v>
      </c>
      <c r="Z1650"/>
    </row>
    <row r="1651" spans="1:26" ht="15" x14ac:dyDescent="0.25">
      <c r="A1651" s="94"/>
      <c r="B1651" s="32" t="str">
        <f>IF($A1651="","",VLOOKUP($A1651,APOIO!$A:$E,2,FALSE))</f>
        <v/>
      </c>
      <c r="C1651" s="94"/>
      <c r="D1651" s="32" t="str">
        <f>IF($A1651="","",INDEX(APOIO!$D:$D,MATCH(CONCATENATE($A1651,"_",$B1651,"_",$C1651),APOIO!$F:$F,0)))</f>
        <v/>
      </c>
      <c r="E1651" s="31"/>
      <c r="F1651" s="31"/>
      <c r="G1651" s="33"/>
      <c r="H1651" s="105"/>
      <c r="I1651" s="32" t="str">
        <f>IF($A1651="","",VLOOKUP($H1651,APOIO!$L:$M,2,FALSE))</f>
        <v/>
      </c>
      <c r="J1651" s="31"/>
      <c r="K1651" s="32" t="str">
        <f>IF($A1651="","",VLOOKUP($J1651,APOIO!$H:$J,2,FALSE))</f>
        <v/>
      </c>
      <c r="L1651" s="32" t="str">
        <f>IF($A1651="","",VLOOKUP($J1651,APOIO!$H:$J,3,FALSE))</f>
        <v/>
      </c>
      <c r="M1651" s="31"/>
      <c r="N1651" s="34"/>
      <c r="O1651" s="32"/>
      <c r="P1651" s="32"/>
      <c r="Q1651" s="32"/>
      <c r="R1651" s="32"/>
      <c r="S1651" s="35"/>
      <c r="T1651" s="91"/>
      <c r="U1651" s="60"/>
      <c r="V1651" s="36"/>
      <c r="W1651" s="31"/>
      <c r="X1651" s="59"/>
      <c r="Y1651" s="59" t="str">
        <f>IFERROR(VLOOKUP($A1651,APOIO!$A:$A,1,FALSE),"ERRO")</f>
        <v>ERRO</v>
      </c>
      <c r="Z1651"/>
    </row>
    <row r="1652" spans="1:26" ht="15" x14ac:dyDescent="0.25">
      <c r="A1652" s="94"/>
      <c r="B1652" s="32" t="str">
        <f>IF($A1652="","",VLOOKUP($A1652,APOIO!$A:$E,2,FALSE))</f>
        <v/>
      </c>
      <c r="C1652" s="94"/>
      <c r="D1652" s="32" t="str">
        <f>IF($A1652="","",INDEX(APOIO!$D:$D,MATCH(CONCATENATE($A1652,"_",$B1652,"_",$C1652),APOIO!$F:$F,0)))</f>
        <v/>
      </c>
      <c r="E1652" s="31"/>
      <c r="F1652" s="31"/>
      <c r="G1652" s="33"/>
      <c r="H1652" s="105"/>
      <c r="I1652" s="32" t="str">
        <f>IF($A1652="","",VLOOKUP($H1652,APOIO!$L:$M,2,FALSE))</f>
        <v/>
      </c>
      <c r="J1652" s="31"/>
      <c r="K1652" s="32" t="str">
        <f>IF($A1652="","",VLOOKUP($J1652,APOIO!$H:$J,2,FALSE))</f>
        <v/>
      </c>
      <c r="L1652" s="32" t="str">
        <f>IF($A1652="","",VLOOKUP($J1652,APOIO!$H:$J,3,FALSE))</f>
        <v/>
      </c>
      <c r="M1652" s="31"/>
      <c r="N1652" s="34"/>
      <c r="O1652" s="32"/>
      <c r="P1652" s="32"/>
      <c r="Q1652" s="32"/>
      <c r="R1652" s="32"/>
      <c r="S1652" s="35"/>
      <c r="T1652" s="91"/>
      <c r="U1652" s="60"/>
      <c r="V1652" s="36"/>
      <c r="W1652" s="31"/>
      <c r="X1652" s="59"/>
      <c r="Y1652" s="59" t="str">
        <f>IFERROR(VLOOKUP($A1652,APOIO!$A:$A,1,FALSE),"ERRO")</f>
        <v>ERRO</v>
      </c>
      <c r="Z1652"/>
    </row>
    <row r="1653" spans="1:26" ht="15" x14ac:dyDescent="0.25">
      <c r="A1653" s="94"/>
      <c r="B1653" s="32" t="str">
        <f>IF($A1653="","",VLOOKUP($A1653,APOIO!$A:$E,2,FALSE))</f>
        <v/>
      </c>
      <c r="C1653" s="94"/>
      <c r="D1653" s="32" t="str">
        <f>IF($A1653="","",INDEX(APOIO!$D:$D,MATCH(CONCATENATE($A1653,"_",$B1653,"_",$C1653),APOIO!$F:$F,0)))</f>
        <v/>
      </c>
      <c r="E1653" s="31"/>
      <c r="F1653" s="31"/>
      <c r="G1653" s="33"/>
      <c r="H1653" s="105"/>
      <c r="I1653" s="32" t="str">
        <f>IF($A1653="","",VLOOKUP($H1653,APOIO!$L:$M,2,FALSE))</f>
        <v/>
      </c>
      <c r="J1653" s="31"/>
      <c r="K1653" s="32" t="str">
        <f>IF($A1653="","",VLOOKUP($J1653,APOIO!$H:$J,2,FALSE))</f>
        <v/>
      </c>
      <c r="L1653" s="32" t="str">
        <f>IF($A1653="","",VLOOKUP($J1653,APOIO!$H:$J,3,FALSE))</f>
        <v/>
      </c>
      <c r="M1653" s="31"/>
      <c r="N1653" s="34"/>
      <c r="O1653" s="32"/>
      <c r="P1653" s="32"/>
      <c r="Q1653" s="32"/>
      <c r="R1653" s="32"/>
      <c r="S1653" s="35"/>
      <c r="T1653" s="91"/>
      <c r="U1653" s="60"/>
      <c r="V1653" s="36"/>
      <c r="W1653" s="31"/>
      <c r="X1653" s="59"/>
      <c r="Y1653" s="59" t="str">
        <f>IFERROR(VLOOKUP($A1653,APOIO!$A:$A,1,FALSE),"ERRO")</f>
        <v>ERRO</v>
      </c>
      <c r="Z1653"/>
    </row>
    <row r="1654" spans="1:26" ht="15" x14ac:dyDescent="0.25">
      <c r="A1654" s="94"/>
      <c r="B1654" s="32" t="str">
        <f>IF($A1654="","",VLOOKUP($A1654,APOIO!$A:$E,2,FALSE))</f>
        <v/>
      </c>
      <c r="C1654" s="94"/>
      <c r="D1654" s="32" t="str">
        <f>IF($A1654="","",INDEX(APOIO!$D:$D,MATCH(CONCATENATE($A1654,"_",$B1654,"_",$C1654),APOIO!$F:$F,0)))</f>
        <v/>
      </c>
      <c r="E1654" s="31"/>
      <c r="F1654" s="31"/>
      <c r="G1654" s="33"/>
      <c r="H1654" s="105"/>
      <c r="I1654" s="32" t="str">
        <f>IF($A1654="","",VLOOKUP($H1654,APOIO!$L:$M,2,FALSE))</f>
        <v/>
      </c>
      <c r="J1654" s="31"/>
      <c r="K1654" s="32" t="str">
        <f>IF($A1654="","",VLOOKUP($J1654,APOIO!$H:$J,2,FALSE))</f>
        <v/>
      </c>
      <c r="L1654" s="32" t="str">
        <f>IF($A1654="","",VLOOKUP($J1654,APOIO!$H:$J,3,FALSE))</f>
        <v/>
      </c>
      <c r="M1654" s="31"/>
      <c r="N1654" s="34"/>
      <c r="O1654" s="32"/>
      <c r="P1654" s="32"/>
      <c r="Q1654" s="32"/>
      <c r="R1654" s="32"/>
      <c r="S1654" s="35"/>
      <c r="T1654" s="91"/>
      <c r="U1654" s="60"/>
      <c r="V1654" s="36"/>
      <c r="W1654" s="31"/>
      <c r="X1654" s="59"/>
      <c r="Y1654" s="59" t="str">
        <f>IFERROR(VLOOKUP($A1654,APOIO!$A:$A,1,FALSE),"ERRO")</f>
        <v>ERRO</v>
      </c>
      <c r="Z1654"/>
    </row>
    <row r="1655" spans="1:26" ht="15" x14ac:dyDescent="0.25">
      <c r="A1655" s="94"/>
      <c r="B1655" s="32" t="str">
        <f>IF($A1655="","",VLOOKUP($A1655,APOIO!$A:$E,2,FALSE))</f>
        <v/>
      </c>
      <c r="C1655" s="94"/>
      <c r="D1655" s="32" t="str">
        <f>IF($A1655="","",INDEX(APOIO!$D:$D,MATCH(CONCATENATE($A1655,"_",$B1655,"_",$C1655),APOIO!$F:$F,0)))</f>
        <v/>
      </c>
      <c r="E1655" s="31"/>
      <c r="F1655" s="31"/>
      <c r="G1655" s="33"/>
      <c r="H1655" s="105"/>
      <c r="I1655" s="32" t="str">
        <f>IF($A1655="","",VLOOKUP($H1655,APOIO!$L:$M,2,FALSE))</f>
        <v/>
      </c>
      <c r="J1655" s="31"/>
      <c r="K1655" s="32" t="str">
        <f>IF($A1655="","",VLOOKUP($J1655,APOIO!$H:$J,2,FALSE))</f>
        <v/>
      </c>
      <c r="L1655" s="32" t="str">
        <f>IF($A1655="","",VLOOKUP($J1655,APOIO!$H:$J,3,FALSE))</f>
        <v/>
      </c>
      <c r="M1655" s="31"/>
      <c r="N1655" s="34"/>
      <c r="O1655" s="32"/>
      <c r="P1655" s="32"/>
      <c r="Q1655" s="32"/>
      <c r="R1655" s="32"/>
      <c r="S1655" s="35"/>
      <c r="T1655" s="91"/>
      <c r="U1655" s="60"/>
      <c r="V1655" s="36"/>
      <c r="W1655" s="31"/>
      <c r="X1655" s="59"/>
      <c r="Y1655" s="59" t="str">
        <f>IFERROR(VLOOKUP($A1655,APOIO!$A:$A,1,FALSE),"ERRO")</f>
        <v>ERRO</v>
      </c>
      <c r="Z1655"/>
    </row>
    <row r="1656" spans="1:26" ht="15" x14ac:dyDescent="0.25">
      <c r="A1656" s="94"/>
      <c r="B1656" s="32" t="str">
        <f>IF($A1656="","",VLOOKUP($A1656,APOIO!$A:$E,2,FALSE))</f>
        <v/>
      </c>
      <c r="C1656" s="94"/>
      <c r="D1656" s="32" t="str">
        <f>IF($A1656="","",INDEX(APOIO!$D:$D,MATCH(CONCATENATE($A1656,"_",$B1656,"_",$C1656),APOIO!$F:$F,0)))</f>
        <v/>
      </c>
      <c r="E1656" s="31"/>
      <c r="F1656" s="31"/>
      <c r="G1656" s="33"/>
      <c r="H1656" s="105"/>
      <c r="I1656" s="32" t="str">
        <f>IF($A1656="","",VLOOKUP($H1656,APOIO!$L:$M,2,FALSE))</f>
        <v/>
      </c>
      <c r="J1656" s="31"/>
      <c r="K1656" s="32" t="str">
        <f>IF($A1656="","",VLOOKUP($J1656,APOIO!$H:$J,2,FALSE))</f>
        <v/>
      </c>
      <c r="L1656" s="32" t="str">
        <f>IF($A1656="","",VLOOKUP($J1656,APOIO!$H:$J,3,FALSE))</f>
        <v/>
      </c>
      <c r="M1656" s="31"/>
      <c r="N1656" s="34"/>
      <c r="O1656" s="32"/>
      <c r="P1656" s="32"/>
      <c r="Q1656" s="32"/>
      <c r="R1656" s="32"/>
      <c r="S1656" s="35"/>
      <c r="T1656" s="91"/>
      <c r="U1656" s="60"/>
      <c r="V1656" s="36"/>
      <c r="W1656" s="31"/>
      <c r="X1656" s="59"/>
      <c r="Y1656" s="59" t="str">
        <f>IFERROR(VLOOKUP($A1656,APOIO!$A:$A,1,FALSE),"ERRO")</f>
        <v>ERRO</v>
      </c>
      <c r="Z1656"/>
    </row>
    <row r="1657" spans="1:26" ht="15" x14ac:dyDescent="0.25">
      <c r="A1657" s="94"/>
      <c r="B1657" s="32" t="str">
        <f>IF($A1657="","",VLOOKUP($A1657,APOIO!$A:$E,2,FALSE))</f>
        <v/>
      </c>
      <c r="C1657" s="94"/>
      <c r="D1657" s="32" t="str">
        <f>IF($A1657="","",INDEX(APOIO!$D:$D,MATCH(CONCATENATE($A1657,"_",$B1657,"_",$C1657),APOIO!$F:$F,0)))</f>
        <v/>
      </c>
      <c r="E1657" s="31"/>
      <c r="F1657" s="31"/>
      <c r="G1657" s="33"/>
      <c r="H1657" s="105"/>
      <c r="I1657" s="32" t="str">
        <f>IF($A1657="","",VLOOKUP($H1657,APOIO!$L:$M,2,FALSE))</f>
        <v/>
      </c>
      <c r="J1657" s="31"/>
      <c r="K1657" s="32" t="str">
        <f>IF($A1657="","",VLOOKUP($J1657,APOIO!$H:$J,2,FALSE))</f>
        <v/>
      </c>
      <c r="L1657" s="32" t="str">
        <f>IF($A1657="","",VLOOKUP($J1657,APOIO!$H:$J,3,FALSE))</f>
        <v/>
      </c>
      <c r="M1657" s="31"/>
      <c r="N1657" s="34"/>
      <c r="O1657" s="32"/>
      <c r="P1657" s="32"/>
      <c r="Q1657" s="32"/>
      <c r="R1657" s="32"/>
      <c r="S1657" s="35"/>
      <c r="T1657" s="91"/>
      <c r="U1657" s="60"/>
      <c r="V1657" s="36"/>
      <c r="W1657" s="31"/>
      <c r="X1657" s="59"/>
      <c r="Y1657" s="59" t="str">
        <f>IFERROR(VLOOKUP($A1657,APOIO!$A:$A,1,FALSE),"ERRO")</f>
        <v>ERRO</v>
      </c>
      <c r="Z1657"/>
    </row>
    <row r="1658" spans="1:26" ht="15" x14ac:dyDescent="0.25">
      <c r="A1658" s="94"/>
      <c r="B1658" s="32" t="str">
        <f>IF($A1658="","",VLOOKUP($A1658,APOIO!$A:$E,2,FALSE))</f>
        <v/>
      </c>
      <c r="C1658" s="94"/>
      <c r="D1658" s="32" t="str">
        <f>IF($A1658="","",INDEX(APOIO!$D:$D,MATCH(CONCATENATE($A1658,"_",$B1658,"_",$C1658),APOIO!$F:$F,0)))</f>
        <v/>
      </c>
      <c r="E1658" s="31"/>
      <c r="F1658" s="31"/>
      <c r="G1658" s="33"/>
      <c r="H1658" s="105"/>
      <c r="I1658" s="32" t="str">
        <f>IF($A1658="","",VLOOKUP($H1658,APOIO!$L:$M,2,FALSE))</f>
        <v/>
      </c>
      <c r="J1658" s="31"/>
      <c r="K1658" s="32" t="str">
        <f>IF($A1658="","",VLOOKUP($J1658,APOIO!$H:$J,2,FALSE))</f>
        <v/>
      </c>
      <c r="L1658" s="32" t="str">
        <f>IF($A1658="","",VLOOKUP($J1658,APOIO!$H:$J,3,FALSE))</f>
        <v/>
      </c>
      <c r="M1658" s="31"/>
      <c r="N1658" s="34"/>
      <c r="O1658" s="32"/>
      <c r="P1658" s="32"/>
      <c r="Q1658" s="32"/>
      <c r="R1658" s="32"/>
      <c r="S1658" s="35"/>
      <c r="T1658" s="91"/>
      <c r="U1658" s="60"/>
      <c r="V1658" s="36"/>
      <c r="W1658" s="31"/>
      <c r="X1658" s="59"/>
      <c r="Y1658" s="59" t="str">
        <f>IFERROR(VLOOKUP($A1658,APOIO!$A:$A,1,FALSE),"ERRO")</f>
        <v>ERRO</v>
      </c>
      <c r="Z1658"/>
    </row>
    <row r="1659" spans="1:26" ht="15" x14ac:dyDescent="0.25">
      <c r="A1659" s="94"/>
      <c r="B1659" s="32" t="str">
        <f>IF($A1659="","",VLOOKUP($A1659,APOIO!$A:$E,2,FALSE))</f>
        <v/>
      </c>
      <c r="C1659" s="94"/>
      <c r="D1659" s="32" t="str">
        <f>IF($A1659="","",INDEX(APOIO!$D:$D,MATCH(CONCATENATE($A1659,"_",$B1659,"_",$C1659),APOIO!$F:$F,0)))</f>
        <v/>
      </c>
      <c r="E1659" s="31"/>
      <c r="F1659" s="31"/>
      <c r="G1659" s="33"/>
      <c r="H1659" s="105"/>
      <c r="I1659" s="32" t="str">
        <f>IF($A1659="","",VLOOKUP($H1659,APOIO!$L:$M,2,FALSE))</f>
        <v/>
      </c>
      <c r="J1659" s="31"/>
      <c r="K1659" s="32" t="str">
        <f>IF($A1659="","",VLOOKUP($J1659,APOIO!$H:$J,2,FALSE))</f>
        <v/>
      </c>
      <c r="L1659" s="32" t="str">
        <f>IF($A1659="","",VLOOKUP($J1659,APOIO!$H:$J,3,FALSE))</f>
        <v/>
      </c>
      <c r="M1659" s="31"/>
      <c r="N1659" s="34"/>
      <c r="O1659" s="32"/>
      <c r="P1659" s="32"/>
      <c r="Q1659" s="32"/>
      <c r="R1659" s="32"/>
      <c r="S1659" s="35"/>
      <c r="T1659" s="91"/>
      <c r="U1659" s="60"/>
      <c r="V1659" s="36"/>
      <c r="W1659" s="31"/>
      <c r="X1659" s="59"/>
      <c r="Y1659" s="59" t="str">
        <f>IFERROR(VLOOKUP($A1659,APOIO!$A:$A,1,FALSE),"ERRO")</f>
        <v>ERRO</v>
      </c>
      <c r="Z1659"/>
    </row>
    <row r="1660" spans="1:26" ht="15" x14ac:dyDescent="0.25">
      <c r="A1660" s="94"/>
      <c r="B1660" s="32" t="str">
        <f>IF($A1660="","",VLOOKUP($A1660,APOIO!$A:$E,2,FALSE))</f>
        <v/>
      </c>
      <c r="C1660" s="94"/>
      <c r="D1660" s="32" t="str">
        <f>IF($A1660="","",INDEX(APOIO!$D:$D,MATCH(CONCATENATE($A1660,"_",$B1660,"_",$C1660),APOIO!$F:$F,0)))</f>
        <v/>
      </c>
      <c r="E1660" s="31"/>
      <c r="F1660" s="31"/>
      <c r="G1660" s="33"/>
      <c r="H1660" s="105"/>
      <c r="I1660" s="32" t="str">
        <f>IF($A1660="","",VLOOKUP($H1660,APOIO!$L:$M,2,FALSE))</f>
        <v/>
      </c>
      <c r="J1660" s="31"/>
      <c r="K1660" s="32" t="str">
        <f>IF($A1660="","",VLOOKUP($J1660,APOIO!$H:$J,2,FALSE))</f>
        <v/>
      </c>
      <c r="L1660" s="32" t="str">
        <f>IF($A1660="","",VLOOKUP($J1660,APOIO!$H:$J,3,FALSE))</f>
        <v/>
      </c>
      <c r="M1660" s="31"/>
      <c r="N1660" s="34"/>
      <c r="O1660" s="32"/>
      <c r="P1660" s="32"/>
      <c r="Q1660" s="32"/>
      <c r="R1660" s="32"/>
      <c r="S1660" s="35"/>
      <c r="T1660" s="91"/>
      <c r="U1660" s="60"/>
      <c r="V1660" s="36"/>
      <c r="W1660" s="31"/>
      <c r="X1660" s="59"/>
      <c r="Y1660" s="59" t="str">
        <f>IFERROR(VLOOKUP($A1660,APOIO!$A:$A,1,FALSE),"ERRO")</f>
        <v>ERRO</v>
      </c>
      <c r="Z1660"/>
    </row>
    <row r="1661" spans="1:26" ht="15" x14ac:dyDescent="0.25">
      <c r="A1661" s="94"/>
      <c r="B1661" s="32" t="str">
        <f>IF($A1661="","",VLOOKUP($A1661,APOIO!$A:$E,2,FALSE))</f>
        <v/>
      </c>
      <c r="C1661" s="94"/>
      <c r="D1661" s="32" t="str">
        <f>IF($A1661="","",INDEX(APOIO!$D:$D,MATCH(CONCATENATE($A1661,"_",$B1661,"_",$C1661),APOIO!$F:$F,0)))</f>
        <v/>
      </c>
      <c r="E1661" s="31"/>
      <c r="F1661" s="31"/>
      <c r="G1661" s="33"/>
      <c r="H1661" s="105"/>
      <c r="I1661" s="32" t="str">
        <f>IF($A1661="","",VLOOKUP($H1661,APOIO!$L:$M,2,FALSE))</f>
        <v/>
      </c>
      <c r="J1661" s="31"/>
      <c r="K1661" s="32" t="str">
        <f>IF($A1661="","",VLOOKUP($J1661,APOIO!$H:$J,2,FALSE))</f>
        <v/>
      </c>
      <c r="L1661" s="32" t="str">
        <f>IF($A1661="","",VLOOKUP($J1661,APOIO!$H:$J,3,FALSE))</f>
        <v/>
      </c>
      <c r="M1661" s="31"/>
      <c r="N1661" s="34"/>
      <c r="O1661" s="32"/>
      <c r="P1661" s="32"/>
      <c r="Q1661" s="32"/>
      <c r="R1661" s="32"/>
      <c r="S1661" s="35"/>
      <c r="T1661" s="91"/>
      <c r="U1661" s="60"/>
      <c r="V1661" s="36"/>
      <c r="W1661" s="31"/>
      <c r="X1661" s="59"/>
      <c r="Y1661" s="59" t="str">
        <f>IFERROR(VLOOKUP($A1661,APOIO!$A:$A,1,FALSE),"ERRO")</f>
        <v>ERRO</v>
      </c>
      <c r="Z1661"/>
    </row>
    <row r="1662" spans="1:26" ht="15" x14ac:dyDescent="0.25">
      <c r="A1662" s="94"/>
      <c r="B1662" s="32" t="str">
        <f>IF($A1662="","",VLOOKUP($A1662,APOIO!$A:$E,2,FALSE))</f>
        <v/>
      </c>
      <c r="C1662" s="94"/>
      <c r="D1662" s="32" t="str">
        <f>IF($A1662="","",INDEX(APOIO!$D:$D,MATCH(CONCATENATE($A1662,"_",$B1662,"_",$C1662),APOIO!$F:$F,0)))</f>
        <v/>
      </c>
      <c r="E1662" s="31"/>
      <c r="F1662" s="31"/>
      <c r="G1662" s="33"/>
      <c r="H1662" s="105"/>
      <c r="I1662" s="32" t="str">
        <f>IF($A1662="","",VLOOKUP($H1662,APOIO!$L:$M,2,FALSE))</f>
        <v/>
      </c>
      <c r="J1662" s="31"/>
      <c r="K1662" s="32" t="str">
        <f>IF($A1662="","",VLOOKUP($J1662,APOIO!$H:$J,2,FALSE))</f>
        <v/>
      </c>
      <c r="L1662" s="32" t="str">
        <f>IF($A1662="","",VLOOKUP($J1662,APOIO!$H:$J,3,FALSE))</f>
        <v/>
      </c>
      <c r="M1662" s="31"/>
      <c r="N1662" s="34"/>
      <c r="O1662" s="32"/>
      <c r="P1662" s="32"/>
      <c r="Q1662" s="32"/>
      <c r="R1662" s="32"/>
      <c r="S1662" s="35"/>
      <c r="T1662" s="91"/>
      <c r="U1662" s="60"/>
      <c r="V1662" s="36"/>
      <c r="W1662" s="31"/>
      <c r="X1662" s="59"/>
      <c r="Y1662" s="59" t="str">
        <f>IFERROR(VLOOKUP($A1662,APOIO!$A:$A,1,FALSE),"ERRO")</f>
        <v>ERRO</v>
      </c>
      <c r="Z1662"/>
    </row>
    <row r="1663" spans="1:26" ht="15" x14ac:dyDescent="0.25">
      <c r="A1663" s="94"/>
      <c r="B1663" s="32" t="str">
        <f>IF($A1663="","",VLOOKUP($A1663,APOIO!$A:$E,2,FALSE))</f>
        <v/>
      </c>
      <c r="C1663" s="94"/>
      <c r="D1663" s="32" t="str">
        <f>IF($A1663="","",INDEX(APOIO!$D:$D,MATCH(CONCATENATE($A1663,"_",$B1663,"_",$C1663),APOIO!$F:$F,0)))</f>
        <v/>
      </c>
      <c r="E1663" s="31"/>
      <c r="F1663" s="31"/>
      <c r="G1663" s="33"/>
      <c r="H1663" s="105"/>
      <c r="I1663" s="32" t="str">
        <f>IF($A1663="","",VLOOKUP($H1663,APOIO!$L:$M,2,FALSE))</f>
        <v/>
      </c>
      <c r="J1663" s="31"/>
      <c r="K1663" s="32" t="str">
        <f>IF($A1663="","",VLOOKUP($J1663,APOIO!$H:$J,2,FALSE))</f>
        <v/>
      </c>
      <c r="L1663" s="32" t="str">
        <f>IF($A1663="","",VLOOKUP($J1663,APOIO!$H:$J,3,FALSE))</f>
        <v/>
      </c>
      <c r="M1663" s="31"/>
      <c r="N1663" s="34"/>
      <c r="O1663" s="32"/>
      <c r="P1663" s="32"/>
      <c r="Q1663" s="32"/>
      <c r="R1663" s="32"/>
      <c r="S1663" s="35"/>
      <c r="T1663" s="91"/>
      <c r="U1663" s="60"/>
      <c r="V1663" s="36"/>
      <c r="W1663" s="31"/>
      <c r="X1663" s="59"/>
      <c r="Y1663" s="59" t="str">
        <f>IFERROR(VLOOKUP($A1663,APOIO!$A:$A,1,FALSE),"ERRO")</f>
        <v>ERRO</v>
      </c>
      <c r="Z1663"/>
    </row>
    <row r="1664" spans="1:26" ht="15" x14ac:dyDescent="0.25">
      <c r="A1664" s="94"/>
      <c r="B1664" s="32" t="str">
        <f>IF($A1664="","",VLOOKUP($A1664,APOIO!$A:$E,2,FALSE))</f>
        <v/>
      </c>
      <c r="C1664" s="94"/>
      <c r="D1664" s="32" t="str">
        <f>IF($A1664="","",INDEX(APOIO!$D:$D,MATCH(CONCATENATE($A1664,"_",$B1664,"_",$C1664),APOIO!$F:$F,0)))</f>
        <v/>
      </c>
      <c r="E1664" s="31"/>
      <c r="F1664" s="31"/>
      <c r="G1664" s="33"/>
      <c r="H1664" s="105"/>
      <c r="I1664" s="32" t="str">
        <f>IF($A1664="","",VLOOKUP($H1664,APOIO!$L:$M,2,FALSE))</f>
        <v/>
      </c>
      <c r="J1664" s="31"/>
      <c r="K1664" s="32" t="str">
        <f>IF($A1664="","",VLOOKUP($J1664,APOIO!$H:$J,2,FALSE))</f>
        <v/>
      </c>
      <c r="L1664" s="32" t="str">
        <f>IF($A1664="","",VLOOKUP($J1664,APOIO!$H:$J,3,FALSE))</f>
        <v/>
      </c>
      <c r="M1664" s="31"/>
      <c r="N1664" s="34"/>
      <c r="O1664" s="32"/>
      <c r="P1664" s="32"/>
      <c r="Q1664" s="32"/>
      <c r="R1664" s="32"/>
      <c r="S1664" s="35"/>
      <c r="T1664" s="91"/>
      <c r="U1664" s="60"/>
      <c r="V1664" s="36"/>
      <c r="W1664" s="31"/>
      <c r="X1664" s="59"/>
      <c r="Y1664" s="59" t="str">
        <f>IFERROR(VLOOKUP($A1664,APOIO!$A:$A,1,FALSE),"ERRO")</f>
        <v>ERRO</v>
      </c>
      <c r="Z1664"/>
    </row>
    <row r="1665" spans="1:26" ht="15" x14ac:dyDescent="0.25">
      <c r="A1665" s="94"/>
      <c r="B1665" s="32" t="str">
        <f>IF($A1665="","",VLOOKUP($A1665,APOIO!$A:$E,2,FALSE))</f>
        <v/>
      </c>
      <c r="C1665" s="94"/>
      <c r="D1665" s="32" t="str">
        <f>IF($A1665="","",INDEX(APOIO!$D:$D,MATCH(CONCATENATE($A1665,"_",$B1665,"_",$C1665),APOIO!$F:$F,0)))</f>
        <v/>
      </c>
      <c r="E1665" s="31"/>
      <c r="F1665" s="31"/>
      <c r="G1665" s="33"/>
      <c r="H1665" s="105"/>
      <c r="I1665" s="32" t="str">
        <f>IF($A1665="","",VLOOKUP($H1665,APOIO!$L:$M,2,FALSE))</f>
        <v/>
      </c>
      <c r="J1665" s="31"/>
      <c r="K1665" s="32" t="str">
        <f>IF($A1665="","",VLOOKUP($J1665,APOIO!$H:$J,2,FALSE))</f>
        <v/>
      </c>
      <c r="L1665" s="32" t="str">
        <f>IF($A1665="","",VLOOKUP($J1665,APOIO!$H:$J,3,FALSE))</f>
        <v/>
      </c>
      <c r="M1665" s="31"/>
      <c r="N1665" s="34"/>
      <c r="O1665" s="32"/>
      <c r="P1665" s="32"/>
      <c r="Q1665" s="32"/>
      <c r="R1665" s="32"/>
      <c r="S1665" s="35"/>
      <c r="T1665" s="91"/>
      <c r="U1665" s="60"/>
      <c r="V1665" s="36"/>
      <c r="W1665" s="31"/>
      <c r="X1665" s="59"/>
      <c r="Y1665" s="59" t="str">
        <f>IFERROR(VLOOKUP($A1665,APOIO!$A:$A,1,FALSE),"ERRO")</f>
        <v>ERRO</v>
      </c>
      <c r="Z1665"/>
    </row>
    <row r="1666" spans="1:26" ht="15" x14ac:dyDescent="0.25">
      <c r="A1666" s="94"/>
      <c r="B1666" s="32" t="str">
        <f>IF($A1666="","",VLOOKUP($A1666,APOIO!$A:$E,2,FALSE))</f>
        <v/>
      </c>
      <c r="C1666" s="94"/>
      <c r="D1666" s="32" t="str">
        <f>IF($A1666="","",INDEX(APOIO!$D:$D,MATCH(CONCATENATE($A1666,"_",$B1666,"_",$C1666),APOIO!$F:$F,0)))</f>
        <v/>
      </c>
      <c r="E1666" s="31"/>
      <c r="F1666" s="31"/>
      <c r="G1666" s="33"/>
      <c r="H1666" s="105"/>
      <c r="I1666" s="32" t="str">
        <f>IF($A1666="","",VLOOKUP($H1666,APOIO!$L:$M,2,FALSE))</f>
        <v/>
      </c>
      <c r="J1666" s="31"/>
      <c r="K1666" s="32" t="str">
        <f>IF($A1666="","",VLOOKUP($J1666,APOIO!$H:$J,2,FALSE))</f>
        <v/>
      </c>
      <c r="L1666" s="32" t="str">
        <f>IF($A1666="","",VLOOKUP($J1666,APOIO!$H:$J,3,FALSE))</f>
        <v/>
      </c>
      <c r="M1666" s="31"/>
      <c r="N1666" s="34"/>
      <c r="O1666" s="32"/>
      <c r="P1666" s="32"/>
      <c r="Q1666" s="32"/>
      <c r="R1666" s="32"/>
      <c r="S1666" s="35"/>
      <c r="T1666" s="91"/>
      <c r="U1666" s="60"/>
      <c r="V1666" s="36"/>
      <c r="W1666" s="31"/>
      <c r="X1666" s="59"/>
      <c r="Y1666" s="59" t="str">
        <f>IFERROR(VLOOKUP($A1666,APOIO!$A:$A,1,FALSE),"ERRO")</f>
        <v>ERRO</v>
      </c>
      <c r="Z1666"/>
    </row>
    <row r="1667" spans="1:26" ht="15" x14ac:dyDescent="0.25">
      <c r="A1667" s="94"/>
      <c r="B1667" s="32" t="str">
        <f>IF($A1667="","",VLOOKUP($A1667,APOIO!$A:$E,2,FALSE))</f>
        <v/>
      </c>
      <c r="C1667" s="94"/>
      <c r="D1667" s="32" t="str">
        <f>IF($A1667="","",INDEX(APOIO!$D:$D,MATCH(CONCATENATE($A1667,"_",$B1667,"_",$C1667),APOIO!$F:$F,0)))</f>
        <v/>
      </c>
      <c r="E1667" s="31"/>
      <c r="F1667" s="31"/>
      <c r="G1667" s="33"/>
      <c r="H1667" s="105"/>
      <c r="I1667" s="32" t="str">
        <f>IF($A1667="","",VLOOKUP($H1667,APOIO!$L:$M,2,FALSE))</f>
        <v/>
      </c>
      <c r="J1667" s="31"/>
      <c r="K1667" s="32" t="str">
        <f>IF($A1667="","",VLOOKUP($J1667,APOIO!$H:$J,2,FALSE))</f>
        <v/>
      </c>
      <c r="L1667" s="32" t="str">
        <f>IF($A1667="","",VLOOKUP($J1667,APOIO!$H:$J,3,FALSE))</f>
        <v/>
      </c>
      <c r="M1667" s="31"/>
      <c r="N1667" s="34"/>
      <c r="O1667" s="32"/>
      <c r="P1667" s="32"/>
      <c r="Q1667" s="32"/>
      <c r="R1667" s="32"/>
      <c r="S1667" s="35"/>
      <c r="T1667" s="91"/>
      <c r="U1667" s="60"/>
      <c r="V1667" s="36"/>
      <c r="W1667" s="31"/>
      <c r="X1667" s="59"/>
      <c r="Y1667" s="59" t="str">
        <f>IFERROR(VLOOKUP($A1667,APOIO!$A:$A,1,FALSE),"ERRO")</f>
        <v>ERRO</v>
      </c>
      <c r="Z1667"/>
    </row>
    <row r="1668" spans="1:26" ht="15" x14ac:dyDescent="0.25">
      <c r="A1668" s="94"/>
      <c r="B1668" s="32" t="str">
        <f>IF($A1668="","",VLOOKUP($A1668,APOIO!$A:$E,2,FALSE))</f>
        <v/>
      </c>
      <c r="C1668" s="94"/>
      <c r="D1668" s="32" t="str">
        <f>IF($A1668="","",INDEX(APOIO!$D:$D,MATCH(CONCATENATE($A1668,"_",$B1668,"_",$C1668),APOIO!$F:$F,0)))</f>
        <v/>
      </c>
      <c r="E1668" s="31"/>
      <c r="F1668" s="31"/>
      <c r="G1668" s="33"/>
      <c r="H1668" s="105"/>
      <c r="I1668" s="32" t="str">
        <f>IF($A1668="","",VLOOKUP($H1668,APOIO!$L:$M,2,FALSE))</f>
        <v/>
      </c>
      <c r="J1668" s="31"/>
      <c r="K1668" s="32" t="str">
        <f>IF($A1668="","",VLOOKUP($J1668,APOIO!$H:$J,2,FALSE))</f>
        <v/>
      </c>
      <c r="L1668" s="32" t="str">
        <f>IF($A1668="","",VLOOKUP($J1668,APOIO!$H:$J,3,FALSE))</f>
        <v/>
      </c>
      <c r="M1668" s="31"/>
      <c r="N1668" s="34"/>
      <c r="O1668" s="32"/>
      <c r="P1668" s="32"/>
      <c r="Q1668" s="32"/>
      <c r="R1668" s="32"/>
      <c r="S1668" s="35"/>
      <c r="T1668" s="91"/>
      <c r="U1668" s="60"/>
      <c r="V1668" s="36"/>
      <c r="W1668" s="31"/>
      <c r="X1668" s="59"/>
      <c r="Y1668" s="59" t="str">
        <f>IFERROR(VLOOKUP($A1668,APOIO!$A:$A,1,FALSE),"ERRO")</f>
        <v>ERRO</v>
      </c>
      <c r="Z1668"/>
    </row>
    <row r="1669" spans="1:26" ht="15" x14ac:dyDescent="0.25">
      <c r="A1669" s="94"/>
      <c r="B1669" s="32" t="str">
        <f>IF($A1669="","",VLOOKUP($A1669,APOIO!$A:$E,2,FALSE))</f>
        <v/>
      </c>
      <c r="C1669" s="94"/>
      <c r="D1669" s="32" t="str">
        <f>IF($A1669="","",INDEX(APOIO!$D:$D,MATCH(CONCATENATE($A1669,"_",$B1669,"_",$C1669),APOIO!$F:$F,0)))</f>
        <v/>
      </c>
      <c r="E1669" s="31"/>
      <c r="F1669" s="31"/>
      <c r="G1669" s="33"/>
      <c r="H1669" s="105"/>
      <c r="I1669" s="32" t="str">
        <f>IF($A1669="","",VLOOKUP($H1669,APOIO!$L:$M,2,FALSE))</f>
        <v/>
      </c>
      <c r="J1669" s="31"/>
      <c r="K1669" s="32" t="str">
        <f>IF($A1669="","",VLOOKUP($J1669,APOIO!$H:$J,2,FALSE))</f>
        <v/>
      </c>
      <c r="L1669" s="32" t="str">
        <f>IF($A1669="","",VLOOKUP($J1669,APOIO!$H:$J,3,FALSE))</f>
        <v/>
      </c>
      <c r="M1669" s="31"/>
      <c r="N1669" s="34"/>
      <c r="O1669" s="32"/>
      <c r="P1669" s="32"/>
      <c r="Q1669" s="32"/>
      <c r="R1669" s="32"/>
      <c r="S1669" s="35"/>
      <c r="T1669" s="91"/>
      <c r="U1669" s="60"/>
      <c r="V1669" s="36"/>
      <c r="W1669" s="31"/>
      <c r="X1669" s="59"/>
      <c r="Y1669" s="59" t="str">
        <f>IFERROR(VLOOKUP($A1669,APOIO!$A:$A,1,FALSE),"ERRO")</f>
        <v>ERRO</v>
      </c>
      <c r="Z1669"/>
    </row>
    <row r="1670" spans="1:26" ht="15" x14ac:dyDescent="0.25">
      <c r="A1670" s="94"/>
      <c r="B1670" s="32" t="str">
        <f>IF($A1670="","",VLOOKUP($A1670,APOIO!$A:$E,2,FALSE))</f>
        <v/>
      </c>
      <c r="C1670" s="94"/>
      <c r="D1670" s="32" t="str">
        <f>IF($A1670="","",INDEX(APOIO!$D:$D,MATCH(CONCATENATE($A1670,"_",$B1670,"_",$C1670),APOIO!$F:$F,0)))</f>
        <v/>
      </c>
      <c r="E1670" s="31"/>
      <c r="F1670" s="31"/>
      <c r="G1670" s="33"/>
      <c r="H1670" s="105"/>
      <c r="I1670" s="32" t="str">
        <f>IF($A1670="","",VLOOKUP($H1670,APOIO!$L:$M,2,FALSE))</f>
        <v/>
      </c>
      <c r="J1670" s="31"/>
      <c r="K1670" s="32" t="str">
        <f>IF($A1670="","",VLOOKUP($J1670,APOIO!$H:$J,2,FALSE))</f>
        <v/>
      </c>
      <c r="L1670" s="32" t="str">
        <f>IF($A1670="","",VLOOKUP($J1670,APOIO!$H:$J,3,FALSE))</f>
        <v/>
      </c>
      <c r="M1670" s="31"/>
      <c r="N1670" s="34"/>
      <c r="O1670" s="32"/>
      <c r="P1670" s="32"/>
      <c r="Q1670" s="32"/>
      <c r="R1670" s="32"/>
      <c r="S1670" s="35"/>
      <c r="T1670" s="91"/>
      <c r="U1670" s="60"/>
      <c r="V1670" s="36"/>
      <c r="W1670" s="31"/>
      <c r="X1670" s="59"/>
      <c r="Y1670" s="59" t="str">
        <f>IFERROR(VLOOKUP($A1670,APOIO!$A:$A,1,FALSE),"ERRO")</f>
        <v>ERRO</v>
      </c>
      <c r="Z1670"/>
    </row>
    <row r="1671" spans="1:26" ht="15" x14ac:dyDescent="0.25">
      <c r="A1671" s="94"/>
      <c r="B1671" s="32" t="str">
        <f>IF($A1671="","",VLOOKUP($A1671,APOIO!$A:$E,2,FALSE))</f>
        <v/>
      </c>
      <c r="C1671" s="94"/>
      <c r="D1671" s="32" t="str">
        <f>IF($A1671="","",INDEX(APOIO!$D:$D,MATCH(CONCATENATE($A1671,"_",$B1671,"_",$C1671),APOIO!$F:$F,0)))</f>
        <v/>
      </c>
      <c r="E1671" s="31"/>
      <c r="F1671" s="31"/>
      <c r="G1671" s="33"/>
      <c r="H1671" s="105"/>
      <c r="I1671" s="32" t="str">
        <f>IF($A1671="","",VLOOKUP($H1671,APOIO!$L:$M,2,FALSE))</f>
        <v/>
      </c>
      <c r="J1671" s="31"/>
      <c r="K1671" s="32" t="str">
        <f>IF($A1671="","",VLOOKUP($J1671,APOIO!$H:$J,2,FALSE))</f>
        <v/>
      </c>
      <c r="L1671" s="32" t="str">
        <f>IF($A1671="","",VLOOKUP($J1671,APOIO!$H:$J,3,FALSE))</f>
        <v/>
      </c>
      <c r="M1671" s="31"/>
      <c r="N1671" s="34"/>
      <c r="O1671" s="32"/>
      <c r="P1671" s="32"/>
      <c r="Q1671" s="32"/>
      <c r="R1671" s="32"/>
      <c r="S1671" s="35"/>
      <c r="T1671" s="91"/>
      <c r="U1671" s="60"/>
      <c r="V1671" s="36"/>
      <c r="W1671" s="31"/>
      <c r="X1671" s="59"/>
      <c r="Y1671" s="59" t="str">
        <f>IFERROR(VLOOKUP($A1671,APOIO!$A:$A,1,FALSE),"ERRO")</f>
        <v>ERRO</v>
      </c>
      <c r="Z1671"/>
    </row>
    <row r="1672" spans="1:26" ht="15" x14ac:dyDescent="0.25">
      <c r="A1672" s="94"/>
      <c r="B1672" s="32" t="str">
        <f>IF($A1672="","",VLOOKUP($A1672,APOIO!$A:$E,2,FALSE))</f>
        <v/>
      </c>
      <c r="C1672" s="94"/>
      <c r="D1672" s="32" t="str">
        <f>IF($A1672="","",INDEX(APOIO!$D:$D,MATCH(CONCATENATE($A1672,"_",$B1672,"_",$C1672),APOIO!$F:$F,0)))</f>
        <v/>
      </c>
      <c r="E1672" s="31"/>
      <c r="F1672" s="31"/>
      <c r="G1672" s="33"/>
      <c r="H1672" s="105"/>
      <c r="I1672" s="32" t="str">
        <f>IF($A1672="","",VLOOKUP($H1672,APOIO!$L:$M,2,FALSE))</f>
        <v/>
      </c>
      <c r="J1672" s="31"/>
      <c r="K1672" s="32" t="str">
        <f>IF($A1672="","",VLOOKUP($J1672,APOIO!$H:$J,2,FALSE))</f>
        <v/>
      </c>
      <c r="L1672" s="32" t="str">
        <f>IF($A1672="","",VLOOKUP($J1672,APOIO!$H:$J,3,FALSE))</f>
        <v/>
      </c>
      <c r="M1672" s="31"/>
      <c r="N1672" s="34"/>
      <c r="O1672" s="32"/>
      <c r="P1672" s="32"/>
      <c r="Q1672" s="32"/>
      <c r="R1672" s="32"/>
      <c r="S1672" s="35"/>
      <c r="T1672" s="91"/>
      <c r="U1672" s="60"/>
      <c r="V1672" s="36"/>
      <c r="W1672" s="31"/>
      <c r="X1672" s="59"/>
      <c r="Y1672" s="59" t="str">
        <f>IFERROR(VLOOKUP($A1672,APOIO!$A:$A,1,FALSE),"ERRO")</f>
        <v>ERRO</v>
      </c>
      <c r="Z1672"/>
    </row>
    <row r="1673" spans="1:26" ht="15" x14ac:dyDescent="0.25">
      <c r="A1673" s="94"/>
      <c r="B1673" s="32" t="str">
        <f>IF($A1673="","",VLOOKUP($A1673,APOIO!$A:$E,2,FALSE))</f>
        <v/>
      </c>
      <c r="C1673" s="94"/>
      <c r="D1673" s="32" t="str">
        <f>IF($A1673="","",INDEX(APOIO!$D:$D,MATCH(CONCATENATE($A1673,"_",$B1673,"_",$C1673),APOIO!$F:$F,0)))</f>
        <v/>
      </c>
      <c r="E1673" s="31"/>
      <c r="F1673" s="31"/>
      <c r="G1673" s="33"/>
      <c r="H1673" s="105"/>
      <c r="I1673" s="32" t="str">
        <f>IF($A1673="","",VLOOKUP($H1673,APOIO!$L:$M,2,FALSE))</f>
        <v/>
      </c>
      <c r="J1673" s="31"/>
      <c r="K1673" s="32" t="str">
        <f>IF($A1673="","",VLOOKUP($J1673,APOIO!$H:$J,2,FALSE))</f>
        <v/>
      </c>
      <c r="L1673" s="32" t="str">
        <f>IF($A1673="","",VLOOKUP($J1673,APOIO!$H:$J,3,FALSE))</f>
        <v/>
      </c>
      <c r="M1673" s="31"/>
      <c r="N1673" s="34"/>
      <c r="O1673" s="32"/>
      <c r="P1673" s="32"/>
      <c r="Q1673" s="32"/>
      <c r="R1673" s="32"/>
      <c r="S1673" s="35"/>
      <c r="T1673" s="91"/>
      <c r="U1673" s="60"/>
      <c r="V1673" s="36"/>
      <c r="W1673" s="31"/>
      <c r="X1673" s="59"/>
      <c r="Y1673" s="59" t="str">
        <f>IFERROR(VLOOKUP($A1673,APOIO!$A:$A,1,FALSE),"ERRO")</f>
        <v>ERRO</v>
      </c>
      <c r="Z1673"/>
    </row>
    <row r="1674" spans="1:26" ht="15" x14ac:dyDescent="0.25">
      <c r="A1674" s="94"/>
      <c r="B1674" s="32" t="str">
        <f>IF($A1674="","",VLOOKUP($A1674,APOIO!$A:$E,2,FALSE))</f>
        <v/>
      </c>
      <c r="C1674" s="94"/>
      <c r="D1674" s="32" t="str">
        <f>IF($A1674="","",INDEX(APOIO!$D:$D,MATCH(CONCATENATE($A1674,"_",$B1674,"_",$C1674),APOIO!$F:$F,0)))</f>
        <v/>
      </c>
      <c r="E1674" s="31"/>
      <c r="F1674" s="31"/>
      <c r="G1674" s="33"/>
      <c r="H1674" s="105"/>
      <c r="I1674" s="32" t="str">
        <f>IF($A1674="","",VLOOKUP($H1674,APOIO!$L:$M,2,FALSE))</f>
        <v/>
      </c>
      <c r="J1674" s="31"/>
      <c r="K1674" s="32" t="str">
        <f>IF($A1674="","",VLOOKUP($J1674,APOIO!$H:$J,2,FALSE))</f>
        <v/>
      </c>
      <c r="L1674" s="32" t="str">
        <f>IF($A1674="","",VLOOKUP($J1674,APOIO!$H:$J,3,FALSE))</f>
        <v/>
      </c>
      <c r="M1674" s="31"/>
      <c r="N1674" s="34"/>
      <c r="O1674" s="32"/>
      <c r="P1674" s="32"/>
      <c r="Q1674" s="32"/>
      <c r="R1674" s="32"/>
      <c r="S1674" s="35"/>
      <c r="T1674" s="91"/>
      <c r="U1674" s="60"/>
      <c r="V1674" s="36"/>
      <c r="W1674" s="31"/>
      <c r="X1674" s="59"/>
      <c r="Y1674" s="59" t="str">
        <f>IFERROR(VLOOKUP($A1674,APOIO!$A:$A,1,FALSE),"ERRO")</f>
        <v>ERRO</v>
      </c>
      <c r="Z1674"/>
    </row>
    <row r="1675" spans="1:26" ht="15" x14ac:dyDescent="0.25">
      <c r="A1675" s="94"/>
      <c r="B1675" s="32" t="str">
        <f>IF($A1675="","",VLOOKUP($A1675,APOIO!$A:$E,2,FALSE))</f>
        <v/>
      </c>
      <c r="C1675" s="94"/>
      <c r="D1675" s="32" t="str">
        <f>IF($A1675="","",INDEX(APOIO!$D:$D,MATCH(CONCATENATE($A1675,"_",$B1675,"_",$C1675),APOIO!$F:$F,0)))</f>
        <v/>
      </c>
      <c r="E1675" s="31"/>
      <c r="F1675" s="31"/>
      <c r="G1675" s="33"/>
      <c r="H1675" s="105"/>
      <c r="I1675" s="32" t="str">
        <f>IF($A1675="","",VLOOKUP($H1675,APOIO!$L:$M,2,FALSE))</f>
        <v/>
      </c>
      <c r="J1675" s="31"/>
      <c r="K1675" s="32" t="str">
        <f>IF($A1675="","",VLOOKUP($J1675,APOIO!$H:$J,2,FALSE))</f>
        <v/>
      </c>
      <c r="L1675" s="32" t="str">
        <f>IF($A1675="","",VLOOKUP($J1675,APOIO!$H:$J,3,FALSE))</f>
        <v/>
      </c>
      <c r="M1675" s="31"/>
      <c r="N1675" s="34"/>
      <c r="O1675" s="32"/>
      <c r="P1675" s="32"/>
      <c r="Q1675" s="32"/>
      <c r="R1675" s="32"/>
      <c r="S1675" s="35"/>
      <c r="T1675" s="91"/>
      <c r="U1675" s="60"/>
      <c r="V1675" s="36"/>
      <c r="W1675" s="31"/>
      <c r="X1675" s="59"/>
      <c r="Y1675" s="59" t="str">
        <f>IFERROR(VLOOKUP($A1675,APOIO!$A:$A,1,FALSE),"ERRO")</f>
        <v>ERRO</v>
      </c>
      <c r="Z1675"/>
    </row>
    <row r="1676" spans="1:26" ht="15" x14ac:dyDescent="0.25">
      <c r="A1676" s="94"/>
      <c r="B1676" s="32" t="str">
        <f>IF($A1676="","",VLOOKUP($A1676,APOIO!$A:$E,2,FALSE))</f>
        <v/>
      </c>
      <c r="C1676" s="94"/>
      <c r="D1676" s="32" t="str">
        <f>IF($A1676="","",INDEX(APOIO!$D:$D,MATCH(CONCATENATE($A1676,"_",$B1676,"_",$C1676),APOIO!$F:$F,0)))</f>
        <v/>
      </c>
      <c r="E1676" s="31"/>
      <c r="F1676" s="31"/>
      <c r="G1676" s="33"/>
      <c r="H1676" s="105"/>
      <c r="I1676" s="32" t="str">
        <f>IF($A1676="","",VLOOKUP($H1676,APOIO!$L:$M,2,FALSE))</f>
        <v/>
      </c>
      <c r="J1676" s="31"/>
      <c r="K1676" s="32" t="str">
        <f>IF($A1676="","",VLOOKUP($J1676,APOIO!$H:$J,2,FALSE))</f>
        <v/>
      </c>
      <c r="L1676" s="32" t="str">
        <f>IF($A1676="","",VLOOKUP($J1676,APOIO!$H:$J,3,FALSE))</f>
        <v/>
      </c>
      <c r="M1676" s="31"/>
      <c r="N1676" s="34"/>
      <c r="O1676" s="32"/>
      <c r="P1676" s="32"/>
      <c r="Q1676" s="32"/>
      <c r="R1676" s="32"/>
      <c r="S1676" s="35"/>
      <c r="T1676" s="91"/>
      <c r="U1676" s="60"/>
      <c r="V1676" s="36"/>
      <c r="W1676" s="31"/>
      <c r="X1676" s="59"/>
      <c r="Y1676" s="59" t="str">
        <f>IFERROR(VLOOKUP($A1676,APOIO!$A:$A,1,FALSE),"ERRO")</f>
        <v>ERRO</v>
      </c>
      <c r="Z1676"/>
    </row>
    <row r="1677" spans="1:26" ht="15" x14ac:dyDescent="0.25">
      <c r="A1677" s="94"/>
      <c r="B1677" s="32" t="str">
        <f>IF($A1677="","",VLOOKUP($A1677,APOIO!$A:$E,2,FALSE))</f>
        <v/>
      </c>
      <c r="C1677" s="94"/>
      <c r="D1677" s="32" t="str">
        <f>IF($A1677="","",INDEX(APOIO!$D:$D,MATCH(CONCATENATE($A1677,"_",$B1677,"_",$C1677),APOIO!$F:$F,0)))</f>
        <v/>
      </c>
      <c r="E1677" s="31"/>
      <c r="F1677" s="31"/>
      <c r="G1677" s="33"/>
      <c r="H1677" s="105"/>
      <c r="I1677" s="32" t="str">
        <f>IF($A1677="","",VLOOKUP($H1677,APOIO!$L:$M,2,FALSE))</f>
        <v/>
      </c>
      <c r="J1677" s="31"/>
      <c r="K1677" s="32" t="str">
        <f>IF($A1677="","",VLOOKUP($J1677,APOIO!$H:$J,2,FALSE))</f>
        <v/>
      </c>
      <c r="L1677" s="32" t="str">
        <f>IF($A1677="","",VLOOKUP($J1677,APOIO!$H:$J,3,FALSE))</f>
        <v/>
      </c>
      <c r="M1677" s="31"/>
      <c r="N1677" s="34"/>
      <c r="O1677" s="32"/>
      <c r="P1677" s="32"/>
      <c r="Q1677" s="32"/>
      <c r="R1677" s="32"/>
      <c r="S1677" s="35"/>
      <c r="T1677" s="91"/>
      <c r="U1677" s="60"/>
      <c r="V1677" s="36"/>
      <c r="W1677" s="31"/>
      <c r="X1677" s="59"/>
      <c r="Y1677" s="59" t="str">
        <f>IFERROR(VLOOKUP($A1677,APOIO!$A:$A,1,FALSE),"ERRO")</f>
        <v>ERRO</v>
      </c>
      <c r="Z1677"/>
    </row>
    <row r="1678" spans="1:26" ht="15" x14ac:dyDescent="0.25">
      <c r="A1678" s="94"/>
      <c r="B1678" s="32" t="str">
        <f>IF($A1678="","",VLOOKUP($A1678,APOIO!$A:$E,2,FALSE))</f>
        <v/>
      </c>
      <c r="C1678" s="94"/>
      <c r="D1678" s="32" t="str">
        <f>IF($A1678="","",INDEX(APOIO!$D:$D,MATCH(CONCATENATE($A1678,"_",$B1678,"_",$C1678),APOIO!$F:$F,0)))</f>
        <v/>
      </c>
      <c r="E1678" s="31"/>
      <c r="F1678" s="31"/>
      <c r="G1678" s="33"/>
      <c r="H1678" s="105"/>
      <c r="I1678" s="32" t="str">
        <f>IF($A1678="","",VLOOKUP($H1678,APOIO!$L:$M,2,FALSE))</f>
        <v/>
      </c>
      <c r="J1678" s="31"/>
      <c r="K1678" s="32" t="str">
        <f>IF($A1678="","",VLOOKUP($J1678,APOIO!$H:$J,2,FALSE))</f>
        <v/>
      </c>
      <c r="L1678" s="32" t="str">
        <f>IF($A1678="","",VLOOKUP($J1678,APOIO!$H:$J,3,FALSE))</f>
        <v/>
      </c>
      <c r="M1678" s="31"/>
      <c r="N1678" s="34"/>
      <c r="O1678" s="32"/>
      <c r="P1678" s="32"/>
      <c r="Q1678" s="32"/>
      <c r="R1678" s="32"/>
      <c r="S1678" s="35"/>
      <c r="T1678" s="91"/>
      <c r="U1678" s="60"/>
      <c r="V1678" s="36"/>
      <c r="W1678" s="31"/>
      <c r="X1678" s="59"/>
      <c r="Y1678" s="59" t="str">
        <f>IFERROR(VLOOKUP($A1678,APOIO!$A:$A,1,FALSE),"ERRO")</f>
        <v>ERRO</v>
      </c>
      <c r="Z1678"/>
    </row>
    <row r="1679" spans="1:26" ht="15" x14ac:dyDescent="0.25">
      <c r="A1679" s="94"/>
      <c r="B1679" s="32" t="str">
        <f>IF($A1679="","",VLOOKUP($A1679,APOIO!$A:$E,2,FALSE))</f>
        <v/>
      </c>
      <c r="C1679" s="94"/>
      <c r="D1679" s="32" t="str">
        <f>IF($A1679="","",INDEX(APOIO!$D:$D,MATCH(CONCATENATE($A1679,"_",$B1679,"_",$C1679),APOIO!$F:$F,0)))</f>
        <v/>
      </c>
      <c r="E1679" s="31"/>
      <c r="F1679" s="31"/>
      <c r="G1679" s="33"/>
      <c r="H1679" s="105"/>
      <c r="I1679" s="32" t="str">
        <f>IF($A1679="","",VLOOKUP($H1679,APOIO!$L:$M,2,FALSE))</f>
        <v/>
      </c>
      <c r="J1679" s="31"/>
      <c r="K1679" s="32" t="str">
        <f>IF($A1679="","",VLOOKUP($J1679,APOIO!$H:$J,2,FALSE))</f>
        <v/>
      </c>
      <c r="L1679" s="32" t="str">
        <f>IF($A1679="","",VLOOKUP($J1679,APOIO!$H:$J,3,FALSE))</f>
        <v/>
      </c>
      <c r="M1679" s="31"/>
      <c r="N1679" s="34"/>
      <c r="O1679" s="32"/>
      <c r="P1679" s="32"/>
      <c r="Q1679" s="32"/>
      <c r="R1679" s="32"/>
      <c r="S1679" s="35"/>
      <c r="T1679" s="91"/>
      <c r="U1679" s="60"/>
      <c r="V1679" s="36"/>
      <c r="W1679" s="31"/>
      <c r="X1679" s="59"/>
      <c r="Y1679" s="59" t="str">
        <f>IFERROR(VLOOKUP($A1679,APOIO!$A:$A,1,FALSE),"ERRO")</f>
        <v>ERRO</v>
      </c>
      <c r="Z1679"/>
    </row>
    <row r="1680" spans="1:26" ht="15" x14ac:dyDescent="0.25">
      <c r="A1680" s="94"/>
      <c r="B1680" s="32" t="str">
        <f>IF($A1680="","",VLOOKUP($A1680,APOIO!$A:$E,2,FALSE))</f>
        <v/>
      </c>
      <c r="C1680" s="94"/>
      <c r="D1680" s="32" t="str">
        <f>IF($A1680="","",INDEX(APOIO!$D:$D,MATCH(CONCATENATE($A1680,"_",$B1680,"_",$C1680),APOIO!$F:$F,0)))</f>
        <v/>
      </c>
      <c r="E1680" s="31"/>
      <c r="F1680" s="31"/>
      <c r="G1680" s="33"/>
      <c r="H1680" s="105"/>
      <c r="I1680" s="32" t="str">
        <f>IF($A1680="","",VLOOKUP($H1680,APOIO!$L:$M,2,FALSE))</f>
        <v/>
      </c>
      <c r="J1680" s="31"/>
      <c r="K1680" s="32" t="str">
        <f>IF($A1680="","",VLOOKUP($J1680,APOIO!$H:$J,2,FALSE))</f>
        <v/>
      </c>
      <c r="L1680" s="32" t="str">
        <f>IF($A1680="","",VLOOKUP($J1680,APOIO!$H:$J,3,FALSE))</f>
        <v/>
      </c>
      <c r="M1680" s="31"/>
      <c r="N1680" s="34"/>
      <c r="O1680" s="32"/>
      <c r="P1680" s="32"/>
      <c r="Q1680" s="32"/>
      <c r="R1680" s="32"/>
      <c r="S1680" s="35"/>
      <c r="T1680" s="91"/>
      <c r="U1680" s="60"/>
      <c r="V1680" s="36"/>
      <c r="W1680" s="31"/>
      <c r="X1680" s="59"/>
      <c r="Y1680" s="59" t="str">
        <f>IFERROR(VLOOKUP($A1680,APOIO!$A:$A,1,FALSE),"ERRO")</f>
        <v>ERRO</v>
      </c>
      <c r="Z1680"/>
    </row>
    <row r="1681" spans="1:26" ht="15" x14ac:dyDescent="0.25">
      <c r="A1681" s="94"/>
      <c r="B1681" s="32" t="str">
        <f>IF($A1681="","",VLOOKUP($A1681,APOIO!$A:$E,2,FALSE))</f>
        <v/>
      </c>
      <c r="C1681" s="94"/>
      <c r="D1681" s="32" t="str">
        <f>IF($A1681="","",INDEX(APOIO!$D:$D,MATCH(CONCATENATE($A1681,"_",$B1681,"_",$C1681),APOIO!$F:$F,0)))</f>
        <v/>
      </c>
      <c r="E1681" s="31"/>
      <c r="F1681" s="31"/>
      <c r="G1681" s="33"/>
      <c r="H1681" s="105"/>
      <c r="I1681" s="32" t="str">
        <f>IF($A1681="","",VLOOKUP($H1681,APOIO!$L:$M,2,FALSE))</f>
        <v/>
      </c>
      <c r="J1681" s="31"/>
      <c r="K1681" s="32" t="str">
        <f>IF($A1681="","",VLOOKUP($J1681,APOIO!$H:$J,2,FALSE))</f>
        <v/>
      </c>
      <c r="L1681" s="32" t="str">
        <f>IF($A1681="","",VLOOKUP($J1681,APOIO!$H:$J,3,FALSE))</f>
        <v/>
      </c>
      <c r="M1681" s="31"/>
      <c r="N1681" s="34"/>
      <c r="O1681" s="32"/>
      <c r="P1681" s="32"/>
      <c r="Q1681" s="32"/>
      <c r="R1681" s="32"/>
      <c r="S1681" s="35"/>
      <c r="T1681" s="91"/>
      <c r="U1681" s="60"/>
      <c r="V1681" s="36"/>
      <c r="W1681" s="31"/>
      <c r="X1681" s="59"/>
      <c r="Y1681" s="59" t="str">
        <f>IFERROR(VLOOKUP($A1681,APOIO!$A:$A,1,FALSE),"ERRO")</f>
        <v>ERRO</v>
      </c>
      <c r="Z1681"/>
    </row>
    <row r="1682" spans="1:26" ht="15" x14ac:dyDescent="0.25">
      <c r="A1682" s="94"/>
      <c r="B1682" s="32" t="str">
        <f>IF($A1682="","",VLOOKUP($A1682,APOIO!$A:$E,2,FALSE))</f>
        <v/>
      </c>
      <c r="C1682" s="94"/>
      <c r="D1682" s="32" t="str">
        <f>IF($A1682="","",INDEX(APOIO!$D:$D,MATCH(CONCATENATE($A1682,"_",$B1682,"_",$C1682),APOIO!$F:$F,0)))</f>
        <v/>
      </c>
      <c r="E1682" s="31"/>
      <c r="F1682" s="31"/>
      <c r="G1682" s="33"/>
      <c r="H1682" s="105"/>
      <c r="I1682" s="32" t="str">
        <f>IF($A1682="","",VLOOKUP($H1682,APOIO!$L:$M,2,FALSE))</f>
        <v/>
      </c>
      <c r="J1682" s="31"/>
      <c r="K1682" s="32" t="str">
        <f>IF($A1682="","",VLOOKUP($J1682,APOIO!$H:$J,2,FALSE))</f>
        <v/>
      </c>
      <c r="L1682" s="32" t="str">
        <f>IF($A1682="","",VLOOKUP($J1682,APOIO!$H:$J,3,FALSE))</f>
        <v/>
      </c>
      <c r="M1682" s="31"/>
      <c r="N1682" s="34"/>
      <c r="O1682" s="32"/>
      <c r="P1682" s="32"/>
      <c r="Q1682" s="32"/>
      <c r="R1682" s="32"/>
      <c r="S1682" s="35"/>
      <c r="T1682" s="91"/>
      <c r="U1682" s="60"/>
      <c r="V1682" s="36"/>
      <c r="W1682" s="31"/>
      <c r="X1682" s="59"/>
      <c r="Y1682" s="59" t="str">
        <f>IFERROR(VLOOKUP($A1682,APOIO!$A:$A,1,FALSE),"ERRO")</f>
        <v>ERRO</v>
      </c>
      <c r="Z1682"/>
    </row>
    <row r="1683" spans="1:26" ht="15" x14ac:dyDescent="0.25">
      <c r="A1683" s="94"/>
      <c r="B1683" s="32" t="str">
        <f>IF($A1683="","",VLOOKUP($A1683,APOIO!$A:$E,2,FALSE))</f>
        <v/>
      </c>
      <c r="C1683" s="94"/>
      <c r="D1683" s="32" t="str">
        <f>IF($A1683="","",INDEX(APOIO!$D:$D,MATCH(CONCATENATE($A1683,"_",$B1683,"_",$C1683),APOIO!$F:$F,0)))</f>
        <v/>
      </c>
      <c r="E1683" s="31"/>
      <c r="F1683" s="31"/>
      <c r="G1683" s="33"/>
      <c r="H1683" s="105"/>
      <c r="I1683" s="32" t="str">
        <f>IF($A1683="","",VLOOKUP($H1683,APOIO!$L:$M,2,FALSE))</f>
        <v/>
      </c>
      <c r="J1683" s="31"/>
      <c r="K1683" s="32" t="str">
        <f>IF($A1683="","",VLOOKUP($J1683,APOIO!$H:$J,2,FALSE))</f>
        <v/>
      </c>
      <c r="L1683" s="32" t="str">
        <f>IF($A1683="","",VLOOKUP($J1683,APOIO!$H:$J,3,FALSE))</f>
        <v/>
      </c>
      <c r="M1683" s="31"/>
      <c r="N1683" s="34"/>
      <c r="O1683" s="32"/>
      <c r="P1683" s="32"/>
      <c r="Q1683" s="32"/>
      <c r="R1683" s="32"/>
      <c r="S1683" s="35"/>
      <c r="T1683" s="91"/>
      <c r="U1683" s="60"/>
      <c r="V1683" s="36"/>
      <c r="W1683" s="31"/>
      <c r="X1683" s="59"/>
      <c r="Y1683" s="59" t="str">
        <f>IFERROR(VLOOKUP($A1683,APOIO!$A:$A,1,FALSE),"ERRO")</f>
        <v>ERRO</v>
      </c>
      <c r="Z1683"/>
    </row>
    <row r="1684" spans="1:26" ht="15" x14ac:dyDescent="0.25">
      <c r="A1684" s="94"/>
      <c r="B1684" s="32" t="str">
        <f>IF($A1684="","",VLOOKUP($A1684,APOIO!$A:$E,2,FALSE))</f>
        <v/>
      </c>
      <c r="C1684" s="94"/>
      <c r="D1684" s="32" t="str">
        <f>IF($A1684="","",INDEX(APOIO!$D:$D,MATCH(CONCATENATE($A1684,"_",$B1684,"_",$C1684),APOIO!$F:$F,0)))</f>
        <v/>
      </c>
      <c r="E1684" s="31"/>
      <c r="F1684" s="31"/>
      <c r="G1684" s="33"/>
      <c r="H1684" s="105"/>
      <c r="I1684" s="32" t="str">
        <f>IF($A1684="","",VLOOKUP($H1684,APOIO!$L:$M,2,FALSE))</f>
        <v/>
      </c>
      <c r="J1684" s="31"/>
      <c r="K1684" s="32" t="str">
        <f>IF($A1684="","",VLOOKUP($J1684,APOIO!$H:$J,2,FALSE))</f>
        <v/>
      </c>
      <c r="L1684" s="32" t="str">
        <f>IF($A1684="","",VLOOKUP($J1684,APOIO!$H:$J,3,FALSE))</f>
        <v/>
      </c>
      <c r="M1684" s="31"/>
      <c r="N1684" s="34"/>
      <c r="O1684" s="32"/>
      <c r="P1684" s="32"/>
      <c r="Q1684" s="32"/>
      <c r="R1684" s="32"/>
      <c r="S1684" s="35"/>
      <c r="T1684" s="91"/>
      <c r="U1684" s="60"/>
      <c r="V1684" s="36"/>
      <c r="W1684" s="31"/>
      <c r="X1684" s="59"/>
      <c r="Y1684" s="59" t="str">
        <f>IFERROR(VLOOKUP($A1684,APOIO!$A:$A,1,FALSE),"ERRO")</f>
        <v>ERRO</v>
      </c>
      <c r="Z1684"/>
    </row>
    <row r="1685" spans="1:26" ht="15" x14ac:dyDescent="0.25">
      <c r="A1685" s="94"/>
      <c r="B1685" s="32" t="str">
        <f>IF($A1685="","",VLOOKUP($A1685,APOIO!$A:$E,2,FALSE))</f>
        <v/>
      </c>
      <c r="C1685" s="94"/>
      <c r="D1685" s="32" t="str">
        <f>IF($A1685="","",INDEX(APOIO!$D:$D,MATCH(CONCATENATE($A1685,"_",$B1685,"_",$C1685),APOIO!$F:$F,0)))</f>
        <v/>
      </c>
      <c r="E1685" s="31"/>
      <c r="F1685" s="31"/>
      <c r="G1685" s="33"/>
      <c r="H1685" s="105"/>
      <c r="I1685" s="32" t="str">
        <f>IF($A1685="","",VLOOKUP($H1685,APOIO!$L:$M,2,FALSE))</f>
        <v/>
      </c>
      <c r="J1685" s="31"/>
      <c r="K1685" s="32" t="str">
        <f>IF($A1685="","",VLOOKUP($J1685,APOIO!$H:$J,2,FALSE))</f>
        <v/>
      </c>
      <c r="L1685" s="32" t="str">
        <f>IF($A1685="","",VLOOKUP($J1685,APOIO!$H:$J,3,FALSE))</f>
        <v/>
      </c>
      <c r="M1685" s="31"/>
      <c r="N1685" s="34"/>
      <c r="O1685" s="32"/>
      <c r="P1685" s="32"/>
      <c r="Q1685" s="32"/>
      <c r="R1685" s="32"/>
      <c r="S1685" s="35"/>
      <c r="T1685" s="91"/>
      <c r="U1685" s="60"/>
      <c r="V1685" s="36"/>
      <c r="W1685" s="31"/>
      <c r="X1685" s="59"/>
      <c r="Y1685" s="59" t="str">
        <f>IFERROR(VLOOKUP($A1685,APOIO!$A:$A,1,FALSE),"ERRO")</f>
        <v>ERRO</v>
      </c>
      <c r="Z1685"/>
    </row>
    <row r="1686" spans="1:26" ht="15" x14ac:dyDescent="0.25">
      <c r="A1686" s="94"/>
      <c r="B1686" s="32" t="str">
        <f>IF($A1686="","",VLOOKUP($A1686,APOIO!$A:$E,2,FALSE))</f>
        <v/>
      </c>
      <c r="C1686" s="94"/>
      <c r="D1686" s="32" t="str">
        <f>IF($A1686="","",INDEX(APOIO!$D:$D,MATCH(CONCATENATE($A1686,"_",$B1686,"_",$C1686),APOIO!$F:$F,0)))</f>
        <v/>
      </c>
      <c r="E1686" s="31"/>
      <c r="F1686" s="31"/>
      <c r="G1686" s="33"/>
      <c r="H1686" s="105"/>
      <c r="I1686" s="32" t="str">
        <f>IF($A1686="","",VLOOKUP($H1686,APOIO!$L:$M,2,FALSE))</f>
        <v/>
      </c>
      <c r="J1686" s="31"/>
      <c r="K1686" s="32" t="str">
        <f>IF($A1686="","",VLOOKUP($J1686,APOIO!$H:$J,2,FALSE))</f>
        <v/>
      </c>
      <c r="L1686" s="32" t="str">
        <f>IF($A1686="","",VLOOKUP($J1686,APOIO!$H:$J,3,FALSE))</f>
        <v/>
      </c>
      <c r="M1686" s="31"/>
      <c r="N1686" s="34"/>
      <c r="O1686" s="32"/>
      <c r="P1686" s="32"/>
      <c r="Q1686" s="32"/>
      <c r="R1686" s="32"/>
      <c r="S1686" s="35"/>
      <c r="T1686" s="91"/>
      <c r="U1686" s="60"/>
      <c r="V1686" s="36"/>
      <c r="W1686" s="31"/>
      <c r="X1686" s="59"/>
      <c r="Y1686" s="59" t="str">
        <f>IFERROR(VLOOKUP($A1686,APOIO!$A:$A,1,FALSE),"ERRO")</f>
        <v>ERRO</v>
      </c>
      <c r="Z1686"/>
    </row>
    <row r="1687" spans="1:26" ht="15" x14ac:dyDescent="0.25">
      <c r="A1687" s="94"/>
      <c r="B1687" s="32" t="str">
        <f>IF($A1687="","",VLOOKUP($A1687,APOIO!$A:$E,2,FALSE))</f>
        <v/>
      </c>
      <c r="C1687" s="94"/>
      <c r="D1687" s="32" t="str">
        <f>IF($A1687="","",INDEX(APOIO!$D:$D,MATCH(CONCATENATE($A1687,"_",$B1687,"_",$C1687),APOIO!$F:$F,0)))</f>
        <v/>
      </c>
      <c r="E1687" s="31"/>
      <c r="F1687" s="31"/>
      <c r="G1687" s="33"/>
      <c r="H1687" s="105"/>
      <c r="I1687" s="32" t="str">
        <f>IF($A1687="","",VLOOKUP($H1687,APOIO!$L:$M,2,FALSE))</f>
        <v/>
      </c>
      <c r="J1687" s="31"/>
      <c r="K1687" s="32" t="str">
        <f>IF($A1687="","",VLOOKUP($J1687,APOIO!$H:$J,2,FALSE))</f>
        <v/>
      </c>
      <c r="L1687" s="32" t="str">
        <f>IF($A1687="","",VLOOKUP($J1687,APOIO!$H:$J,3,FALSE))</f>
        <v/>
      </c>
      <c r="M1687" s="31"/>
      <c r="N1687" s="34"/>
      <c r="O1687" s="32"/>
      <c r="P1687" s="32"/>
      <c r="Q1687" s="32"/>
      <c r="R1687" s="32"/>
      <c r="S1687" s="35"/>
      <c r="T1687" s="91"/>
      <c r="U1687" s="60"/>
      <c r="V1687" s="36"/>
      <c r="W1687" s="31"/>
      <c r="X1687" s="59"/>
      <c r="Y1687" s="59" t="str">
        <f>IFERROR(VLOOKUP($A1687,APOIO!$A:$A,1,FALSE),"ERRO")</f>
        <v>ERRO</v>
      </c>
      <c r="Z1687"/>
    </row>
    <row r="1688" spans="1:26" ht="15" x14ac:dyDescent="0.25">
      <c r="A1688" s="94"/>
      <c r="B1688" s="32" t="str">
        <f>IF($A1688="","",VLOOKUP($A1688,APOIO!$A:$E,2,FALSE))</f>
        <v/>
      </c>
      <c r="C1688" s="94"/>
      <c r="D1688" s="32" t="str">
        <f>IF($A1688="","",INDEX(APOIO!$D:$D,MATCH(CONCATENATE($A1688,"_",$B1688,"_",$C1688),APOIO!$F:$F,0)))</f>
        <v/>
      </c>
      <c r="E1688" s="31"/>
      <c r="F1688" s="31"/>
      <c r="G1688" s="33"/>
      <c r="H1688" s="105"/>
      <c r="I1688" s="32" t="str">
        <f>IF($A1688="","",VLOOKUP($H1688,APOIO!$L:$M,2,FALSE))</f>
        <v/>
      </c>
      <c r="J1688" s="31"/>
      <c r="K1688" s="32" t="str">
        <f>IF($A1688="","",VLOOKUP($J1688,APOIO!$H:$J,2,FALSE))</f>
        <v/>
      </c>
      <c r="L1688" s="32" t="str">
        <f>IF($A1688="","",VLOOKUP($J1688,APOIO!$H:$J,3,FALSE))</f>
        <v/>
      </c>
      <c r="M1688" s="31"/>
      <c r="N1688" s="34"/>
      <c r="O1688" s="32"/>
      <c r="P1688" s="32"/>
      <c r="Q1688" s="32"/>
      <c r="R1688" s="32"/>
      <c r="S1688" s="35"/>
      <c r="T1688" s="91"/>
      <c r="U1688" s="60"/>
      <c r="V1688" s="36"/>
      <c r="W1688" s="31"/>
      <c r="X1688" s="59"/>
      <c r="Y1688" s="59" t="str">
        <f>IFERROR(VLOOKUP($A1688,APOIO!$A:$A,1,FALSE),"ERRO")</f>
        <v>ERRO</v>
      </c>
      <c r="Z1688"/>
    </row>
    <row r="1689" spans="1:26" ht="15" x14ac:dyDescent="0.25">
      <c r="A1689" s="94"/>
      <c r="B1689" s="32" t="str">
        <f>IF($A1689="","",VLOOKUP($A1689,APOIO!$A:$E,2,FALSE))</f>
        <v/>
      </c>
      <c r="C1689" s="94"/>
      <c r="D1689" s="32" t="str">
        <f>IF($A1689="","",INDEX(APOIO!$D:$D,MATCH(CONCATENATE($A1689,"_",$B1689,"_",$C1689),APOIO!$F:$F,0)))</f>
        <v/>
      </c>
      <c r="E1689" s="31"/>
      <c r="F1689" s="31"/>
      <c r="G1689" s="33"/>
      <c r="H1689" s="105"/>
      <c r="I1689" s="32" t="str">
        <f>IF($A1689="","",VLOOKUP($H1689,APOIO!$L:$M,2,FALSE))</f>
        <v/>
      </c>
      <c r="J1689" s="31"/>
      <c r="K1689" s="32" t="str">
        <f>IF($A1689="","",VLOOKUP($J1689,APOIO!$H:$J,2,FALSE))</f>
        <v/>
      </c>
      <c r="L1689" s="32" t="str">
        <f>IF($A1689="","",VLOOKUP($J1689,APOIO!$H:$J,3,FALSE))</f>
        <v/>
      </c>
      <c r="M1689" s="31"/>
      <c r="N1689" s="34"/>
      <c r="O1689" s="32"/>
      <c r="P1689" s="32"/>
      <c r="Q1689" s="32"/>
      <c r="R1689" s="32"/>
      <c r="S1689" s="35"/>
      <c r="T1689" s="91"/>
      <c r="U1689" s="60"/>
      <c r="V1689" s="36"/>
      <c r="W1689" s="31"/>
      <c r="X1689" s="59"/>
      <c r="Y1689" s="59" t="str">
        <f>IFERROR(VLOOKUP($A1689,APOIO!$A:$A,1,FALSE),"ERRO")</f>
        <v>ERRO</v>
      </c>
      <c r="Z1689"/>
    </row>
    <row r="1690" spans="1:26" ht="15" x14ac:dyDescent="0.25">
      <c r="A1690" s="94"/>
      <c r="B1690" s="32" t="str">
        <f>IF($A1690="","",VLOOKUP($A1690,APOIO!$A:$E,2,FALSE))</f>
        <v/>
      </c>
      <c r="C1690" s="94"/>
      <c r="D1690" s="32" t="str">
        <f>IF($A1690="","",INDEX(APOIO!$D:$D,MATCH(CONCATENATE($A1690,"_",$B1690,"_",$C1690),APOIO!$F:$F,0)))</f>
        <v/>
      </c>
      <c r="E1690" s="31"/>
      <c r="F1690" s="31"/>
      <c r="G1690" s="33"/>
      <c r="H1690" s="105"/>
      <c r="I1690" s="32" t="str">
        <f>IF($A1690="","",VLOOKUP($H1690,APOIO!$L:$M,2,FALSE))</f>
        <v/>
      </c>
      <c r="J1690" s="31"/>
      <c r="K1690" s="32" t="str">
        <f>IF($A1690="","",VLOOKUP($J1690,APOIO!$H:$J,2,FALSE))</f>
        <v/>
      </c>
      <c r="L1690" s="32" t="str">
        <f>IF($A1690="","",VLOOKUP($J1690,APOIO!$H:$J,3,FALSE))</f>
        <v/>
      </c>
      <c r="M1690" s="31"/>
      <c r="N1690" s="34"/>
      <c r="O1690" s="32"/>
      <c r="P1690" s="32"/>
      <c r="Q1690" s="32"/>
      <c r="R1690" s="32"/>
      <c r="S1690" s="35"/>
      <c r="T1690" s="91"/>
      <c r="U1690" s="60"/>
      <c r="V1690" s="36"/>
      <c r="W1690" s="31"/>
      <c r="X1690" s="59"/>
      <c r="Y1690" s="59" t="str">
        <f>IFERROR(VLOOKUP($A1690,APOIO!$A:$A,1,FALSE),"ERRO")</f>
        <v>ERRO</v>
      </c>
      <c r="Z1690"/>
    </row>
    <row r="1691" spans="1:26" ht="15" x14ac:dyDescent="0.25">
      <c r="A1691" s="94"/>
      <c r="B1691" s="32" t="str">
        <f>IF($A1691="","",VLOOKUP($A1691,APOIO!$A:$E,2,FALSE))</f>
        <v/>
      </c>
      <c r="C1691" s="94"/>
      <c r="D1691" s="32" t="str">
        <f>IF($A1691="","",INDEX(APOIO!$D:$D,MATCH(CONCATENATE($A1691,"_",$B1691,"_",$C1691),APOIO!$F:$F,0)))</f>
        <v/>
      </c>
      <c r="E1691" s="31"/>
      <c r="F1691" s="31"/>
      <c r="G1691" s="33"/>
      <c r="H1691" s="105"/>
      <c r="I1691" s="32" t="str">
        <f>IF($A1691="","",VLOOKUP($H1691,APOIO!$L:$M,2,FALSE))</f>
        <v/>
      </c>
      <c r="J1691" s="31"/>
      <c r="K1691" s="32" t="str">
        <f>IF($A1691="","",VLOOKUP($J1691,APOIO!$H:$J,2,FALSE))</f>
        <v/>
      </c>
      <c r="L1691" s="32" t="str">
        <f>IF($A1691="","",VLOOKUP($J1691,APOIO!$H:$J,3,FALSE))</f>
        <v/>
      </c>
      <c r="M1691" s="31"/>
      <c r="N1691" s="34"/>
      <c r="O1691" s="32"/>
      <c r="P1691" s="32"/>
      <c r="Q1691" s="32"/>
      <c r="R1691" s="32"/>
      <c r="S1691" s="35"/>
      <c r="T1691" s="91"/>
      <c r="U1691" s="60"/>
      <c r="V1691" s="36"/>
      <c r="W1691" s="31"/>
      <c r="X1691" s="59"/>
      <c r="Y1691" s="59" t="str">
        <f>IFERROR(VLOOKUP($A1691,APOIO!$A:$A,1,FALSE),"ERRO")</f>
        <v>ERRO</v>
      </c>
      <c r="Z1691"/>
    </row>
    <row r="1692" spans="1:26" ht="15" x14ac:dyDescent="0.25">
      <c r="A1692" s="94"/>
      <c r="B1692" s="32" t="str">
        <f>IF($A1692="","",VLOOKUP($A1692,APOIO!$A:$E,2,FALSE))</f>
        <v/>
      </c>
      <c r="C1692" s="94"/>
      <c r="D1692" s="32" t="str">
        <f>IF($A1692="","",INDEX(APOIO!$D:$D,MATCH(CONCATENATE($A1692,"_",$B1692,"_",$C1692),APOIO!$F:$F,0)))</f>
        <v/>
      </c>
      <c r="E1692" s="31"/>
      <c r="F1692" s="31"/>
      <c r="G1692" s="33"/>
      <c r="H1692" s="105"/>
      <c r="I1692" s="32" t="str">
        <f>IF($A1692="","",VLOOKUP($H1692,APOIO!$L:$M,2,FALSE))</f>
        <v/>
      </c>
      <c r="J1692" s="31"/>
      <c r="K1692" s="32" t="str">
        <f>IF($A1692="","",VLOOKUP($J1692,APOIO!$H:$J,2,FALSE))</f>
        <v/>
      </c>
      <c r="L1692" s="32" t="str">
        <f>IF($A1692="","",VLOOKUP($J1692,APOIO!$H:$J,3,FALSE))</f>
        <v/>
      </c>
      <c r="M1692" s="31"/>
      <c r="N1692" s="34"/>
      <c r="O1692" s="32"/>
      <c r="P1692" s="32"/>
      <c r="Q1692" s="32"/>
      <c r="R1692" s="32"/>
      <c r="S1692" s="35"/>
      <c r="T1692" s="91"/>
      <c r="U1692" s="60"/>
      <c r="V1692" s="36"/>
      <c r="W1692" s="31"/>
      <c r="X1692" s="59"/>
      <c r="Y1692" s="59" t="str">
        <f>IFERROR(VLOOKUP($A1692,APOIO!$A:$A,1,FALSE),"ERRO")</f>
        <v>ERRO</v>
      </c>
      <c r="Z1692"/>
    </row>
    <row r="1693" spans="1:26" ht="15" x14ac:dyDescent="0.25">
      <c r="A1693" s="94"/>
      <c r="B1693" s="32" t="str">
        <f>IF($A1693="","",VLOOKUP($A1693,APOIO!$A:$E,2,FALSE))</f>
        <v/>
      </c>
      <c r="C1693" s="94"/>
      <c r="D1693" s="32" t="str">
        <f>IF($A1693="","",INDEX(APOIO!$D:$D,MATCH(CONCATENATE($A1693,"_",$B1693,"_",$C1693),APOIO!$F:$F,0)))</f>
        <v/>
      </c>
      <c r="E1693" s="31"/>
      <c r="F1693" s="31"/>
      <c r="G1693" s="33"/>
      <c r="H1693" s="105"/>
      <c r="I1693" s="32" t="str">
        <f>IF($A1693="","",VLOOKUP($H1693,APOIO!$L:$M,2,FALSE))</f>
        <v/>
      </c>
      <c r="J1693" s="31"/>
      <c r="K1693" s="32" t="str">
        <f>IF($A1693="","",VLOOKUP($J1693,APOIO!$H:$J,2,FALSE))</f>
        <v/>
      </c>
      <c r="L1693" s="32" t="str">
        <f>IF($A1693="","",VLOOKUP($J1693,APOIO!$H:$J,3,FALSE))</f>
        <v/>
      </c>
      <c r="M1693" s="31"/>
      <c r="N1693" s="34"/>
      <c r="O1693" s="32"/>
      <c r="P1693" s="32"/>
      <c r="Q1693" s="32"/>
      <c r="R1693" s="32"/>
      <c r="S1693" s="35"/>
      <c r="T1693" s="91"/>
      <c r="U1693" s="60"/>
      <c r="V1693" s="36"/>
      <c r="W1693" s="31"/>
      <c r="X1693" s="59"/>
      <c r="Y1693" s="59" t="str">
        <f>IFERROR(VLOOKUP($A1693,APOIO!$A:$A,1,FALSE),"ERRO")</f>
        <v>ERRO</v>
      </c>
      <c r="Z1693"/>
    </row>
    <row r="1694" spans="1:26" ht="15" x14ac:dyDescent="0.25">
      <c r="A1694" s="94"/>
      <c r="B1694" s="32" t="str">
        <f>IF($A1694="","",VLOOKUP($A1694,APOIO!$A:$E,2,FALSE))</f>
        <v/>
      </c>
      <c r="C1694" s="94"/>
      <c r="D1694" s="32" t="str">
        <f>IF($A1694="","",INDEX(APOIO!$D:$D,MATCH(CONCATENATE($A1694,"_",$B1694,"_",$C1694),APOIO!$F:$F,0)))</f>
        <v/>
      </c>
      <c r="E1694" s="31"/>
      <c r="F1694" s="31"/>
      <c r="G1694" s="33"/>
      <c r="H1694" s="105"/>
      <c r="I1694" s="32" t="str">
        <f>IF($A1694="","",VLOOKUP($H1694,APOIO!$L:$M,2,FALSE))</f>
        <v/>
      </c>
      <c r="J1694" s="31"/>
      <c r="K1694" s="32" t="str">
        <f>IF($A1694="","",VLOOKUP($J1694,APOIO!$H:$J,2,FALSE))</f>
        <v/>
      </c>
      <c r="L1694" s="32" t="str">
        <f>IF($A1694="","",VLOOKUP($J1694,APOIO!$H:$J,3,FALSE))</f>
        <v/>
      </c>
      <c r="M1694" s="31"/>
      <c r="N1694" s="34"/>
      <c r="O1694" s="32"/>
      <c r="P1694" s="32"/>
      <c r="Q1694" s="32"/>
      <c r="R1694" s="32"/>
      <c r="S1694" s="35"/>
      <c r="T1694" s="91"/>
      <c r="U1694" s="60"/>
      <c r="V1694" s="36"/>
      <c r="W1694" s="31"/>
      <c r="X1694" s="59"/>
      <c r="Y1694" s="59" t="str">
        <f>IFERROR(VLOOKUP($A1694,APOIO!$A:$A,1,FALSE),"ERRO")</f>
        <v>ERRO</v>
      </c>
      <c r="Z1694"/>
    </row>
    <row r="1695" spans="1:26" ht="15" x14ac:dyDescent="0.25">
      <c r="A1695" s="94"/>
      <c r="B1695" s="32" t="str">
        <f>IF($A1695="","",VLOOKUP($A1695,APOIO!$A:$E,2,FALSE))</f>
        <v/>
      </c>
      <c r="C1695" s="94"/>
      <c r="D1695" s="32" t="str">
        <f>IF($A1695="","",INDEX(APOIO!$D:$D,MATCH(CONCATENATE($A1695,"_",$B1695,"_",$C1695),APOIO!$F:$F,0)))</f>
        <v/>
      </c>
      <c r="E1695" s="31"/>
      <c r="F1695" s="31"/>
      <c r="G1695" s="33"/>
      <c r="H1695" s="105"/>
      <c r="I1695" s="32" t="str">
        <f>IF($A1695="","",VLOOKUP($H1695,APOIO!$L:$M,2,FALSE))</f>
        <v/>
      </c>
      <c r="J1695" s="31"/>
      <c r="K1695" s="32" t="str">
        <f>IF($A1695="","",VLOOKUP($J1695,APOIO!$H:$J,2,FALSE))</f>
        <v/>
      </c>
      <c r="L1695" s="32" t="str">
        <f>IF($A1695="","",VLOOKUP($J1695,APOIO!$H:$J,3,FALSE))</f>
        <v/>
      </c>
      <c r="M1695" s="31"/>
      <c r="N1695" s="34"/>
      <c r="O1695" s="32"/>
      <c r="P1695" s="32"/>
      <c r="Q1695" s="32"/>
      <c r="R1695" s="32"/>
      <c r="S1695" s="35"/>
      <c r="T1695" s="91"/>
      <c r="U1695" s="60"/>
      <c r="V1695" s="36"/>
      <c r="W1695" s="31"/>
      <c r="X1695" s="59"/>
      <c r="Y1695" s="59" t="str">
        <f>IFERROR(VLOOKUP($A1695,APOIO!$A:$A,1,FALSE),"ERRO")</f>
        <v>ERRO</v>
      </c>
      <c r="Z1695"/>
    </row>
    <row r="1696" spans="1:26" ht="15" x14ac:dyDescent="0.25">
      <c r="A1696" s="94"/>
      <c r="B1696" s="32" t="str">
        <f>IF($A1696="","",VLOOKUP($A1696,APOIO!$A:$E,2,FALSE))</f>
        <v/>
      </c>
      <c r="C1696" s="94"/>
      <c r="D1696" s="32" t="str">
        <f>IF($A1696="","",INDEX(APOIO!$D:$D,MATCH(CONCATENATE($A1696,"_",$B1696,"_",$C1696),APOIO!$F:$F,0)))</f>
        <v/>
      </c>
      <c r="E1696" s="31"/>
      <c r="F1696" s="31"/>
      <c r="G1696" s="33"/>
      <c r="H1696" s="105"/>
      <c r="I1696" s="32" t="str">
        <f>IF($A1696="","",VLOOKUP($H1696,APOIO!$L:$M,2,FALSE))</f>
        <v/>
      </c>
      <c r="J1696" s="31"/>
      <c r="K1696" s="32" t="str">
        <f>IF($A1696="","",VLOOKUP($J1696,APOIO!$H:$J,2,FALSE))</f>
        <v/>
      </c>
      <c r="L1696" s="32" t="str">
        <f>IF($A1696="","",VLOOKUP($J1696,APOIO!$H:$J,3,FALSE))</f>
        <v/>
      </c>
      <c r="M1696" s="31"/>
      <c r="N1696" s="34"/>
      <c r="O1696" s="32"/>
      <c r="P1696" s="32"/>
      <c r="Q1696" s="32"/>
      <c r="R1696" s="32"/>
      <c r="S1696" s="35"/>
      <c r="T1696" s="91"/>
      <c r="U1696" s="60"/>
      <c r="V1696" s="36"/>
      <c r="W1696" s="31"/>
      <c r="X1696" s="59"/>
      <c r="Y1696" s="59" t="str">
        <f>IFERROR(VLOOKUP($A1696,APOIO!$A:$A,1,FALSE),"ERRO")</f>
        <v>ERRO</v>
      </c>
      <c r="Z1696"/>
    </row>
    <row r="1697" spans="1:26" ht="15" x14ac:dyDescent="0.25">
      <c r="A1697" s="94"/>
      <c r="B1697" s="32" t="str">
        <f>IF($A1697="","",VLOOKUP($A1697,APOIO!$A:$E,2,FALSE))</f>
        <v/>
      </c>
      <c r="C1697" s="94"/>
      <c r="D1697" s="32" t="str">
        <f>IF($A1697="","",INDEX(APOIO!$D:$D,MATCH(CONCATENATE($A1697,"_",$B1697,"_",$C1697),APOIO!$F:$F,0)))</f>
        <v/>
      </c>
      <c r="E1697" s="31"/>
      <c r="F1697" s="31"/>
      <c r="G1697" s="33"/>
      <c r="H1697" s="105"/>
      <c r="I1697" s="32" t="str">
        <f>IF($A1697="","",VLOOKUP($H1697,APOIO!$L:$M,2,FALSE))</f>
        <v/>
      </c>
      <c r="J1697" s="31"/>
      <c r="K1697" s="32" t="str">
        <f>IF($A1697="","",VLOOKUP($J1697,APOIO!$H:$J,2,FALSE))</f>
        <v/>
      </c>
      <c r="L1697" s="32" t="str">
        <f>IF($A1697="","",VLOOKUP($J1697,APOIO!$H:$J,3,FALSE))</f>
        <v/>
      </c>
      <c r="M1697" s="31"/>
      <c r="N1697" s="34"/>
      <c r="O1697" s="32"/>
      <c r="P1697" s="32"/>
      <c r="Q1697" s="32"/>
      <c r="R1697" s="32"/>
      <c r="S1697" s="35"/>
      <c r="T1697" s="91"/>
      <c r="U1697" s="60"/>
      <c r="V1697" s="36"/>
      <c r="W1697" s="31"/>
      <c r="X1697" s="59"/>
      <c r="Y1697" s="59" t="str">
        <f>IFERROR(VLOOKUP($A1697,APOIO!$A:$A,1,FALSE),"ERRO")</f>
        <v>ERRO</v>
      </c>
      <c r="Z1697"/>
    </row>
    <row r="1698" spans="1:26" ht="15" x14ac:dyDescent="0.25">
      <c r="A1698" s="94"/>
      <c r="B1698" s="32" t="str">
        <f>IF($A1698="","",VLOOKUP($A1698,APOIO!$A:$E,2,FALSE))</f>
        <v/>
      </c>
      <c r="C1698" s="94"/>
      <c r="D1698" s="32" t="str">
        <f>IF($A1698="","",INDEX(APOIO!$D:$D,MATCH(CONCATENATE($A1698,"_",$B1698,"_",$C1698),APOIO!$F:$F,0)))</f>
        <v/>
      </c>
      <c r="E1698" s="31"/>
      <c r="F1698" s="31"/>
      <c r="G1698" s="33"/>
      <c r="H1698" s="105"/>
      <c r="I1698" s="32" t="str">
        <f>IF($A1698="","",VLOOKUP($H1698,APOIO!$L:$M,2,FALSE))</f>
        <v/>
      </c>
      <c r="J1698" s="31"/>
      <c r="K1698" s="32" t="str">
        <f>IF($A1698="","",VLOOKUP($J1698,APOIO!$H:$J,2,FALSE))</f>
        <v/>
      </c>
      <c r="L1698" s="32" t="str">
        <f>IF($A1698="","",VLOOKUP($J1698,APOIO!$H:$J,3,FALSE))</f>
        <v/>
      </c>
      <c r="M1698" s="31"/>
      <c r="N1698" s="34"/>
      <c r="O1698" s="32"/>
      <c r="P1698" s="32"/>
      <c r="Q1698" s="32"/>
      <c r="R1698" s="32"/>
      <c r="S1698" s="35"/>
      <c r="T1698" s="91"/>
      <c r="U1698" s="60"/>
      <c r="V1698" s="36"/>
      <c r="W1698" s="31"/>
      <c r="X1698" s="59"/>
      <c r="Y1698" s="59" t="str">
        <f>IFERROR(VLOOKUP($A1698,APOIO!$A:$A,1,FALSE),"ERRO")</f>
        <v>ERRO</v>
      </c>
      <c r="Z1698"/>
    </row>
    <row r="1699" spans="1:26" ht="15" x14ac:dyDescent="0.25">
      <c r="A1699" s="94"/>
      <c r="B1699" s="32" t="str">
        <f>IF($A1699="","",VLOOKUP($A1699,APOIO!$A:$E,2,FALSE))</f>
        <v/>
      </c>
      <c r="C1699" s="94"/>
      <c r="D1699" s="32" t="str">
        <f>IF($A1699="","",INDEX(APOIO!$D:$D,MATCH(CONCATENATE($A1699,"_",$B1699,"_",$C1699),APOIO!$F:$F,0)))</f>
        <v/>
      </c>
      <c r="E1699" s="31"/>
      <c r="F1699" s="31"/>
      <c r="G1699" s="33"/>
      <c r="H1699" s="105"/>
      <c r="I1699" s="32" t="str">
        <f>IF($A1699="","",VLOOKUP($H1699,APOIO!$L:$M,2,FALSE))</f>
        <v/>
      </c>
      <c r="J1699" s="31"/>
      <c r="K1699" s="32" t="str">
        <f>IF($A1699="","",VLOOKUP($J1699,APOIO!$H:$J,2,FALSE))</f>
        <v/>
      </c>
      <c r="L1699" s="32" t="str">
        <f>IF($A1699="","",VLOOKUP($J1699,APOIO!$H:$J,3,FALSE))</f>
        <v/>
      </c>
      <c r="M1699" s="31"/>
      <c r="N1699" s="34"/>
      <c r="O1699" s="32"/>
      <c r="P1699" s="32"/>
      <c r="Q1699" s="32"/>
      <c r="R1699" s="32"/>
      <c r="S1699" s="35"/>
      <c r="T1699" s="91"/>
      <c r="U1699" s="60"/>
      <c r="V1699" s="36"/>
      <c r="W1699" s="31"/>
      <c r="X1699" s="59"/>
      <c r="Y1699" s="59" t="str">
        <f>IFERROR(VLOOKUP($A1699,APOIO!$A:$A,1,FALSE),"ERRO")</f>
        <v>ERRO</v>
      </c>
      <c r="Z1699"/>
    </row>
    <row r="1700" spans="1:26" ht="15" x14ac:dyDescent="0.25">
      <c r="A1700" s="94"/>
      <c r="B1700" s="32" t="str">
        <f>IF($A1700="","",VLOOKUP($A1700,APOIO!$A:$E,2,FALSE))</f>
        <v/>
      </c>
      <c r="C1700" s="94"/>
      <c r="D1700" s="32" t="str">
        <f>IF($A1700="","",INDEX(APOIO!$D:$D,MATCH(CONCATENATE($A1700,"_",$B1700,"_",$C1700),APOIO!$F:$F,0)))</f>
        <v/>
      </c>
      <c r="E1700" s="31"/>
      <c r="F1700" s="31"/>
      <c r="G1700" s="33"/>
      <c r="H1700" s="105"/>
      <c r="I1700" s="32" t="str">
        <f>IF($A1700="","",VLOOKUP($H1700,APOIO!$L:$M,2,FALSE))</f>
        <v/>
      </c>
      <c r="J1700" s="31"/>
      <c r="K1700" s="32" t="str">
        <f>IF($A1700="","",VLOOKUP($J1700,APOIO!$H:$J,2,FALSE))</f>
        <v/>
      </c>
      <c r="L1700" s="32" t="str">
        <f>IF($A1700="","",VLOOKUP($J1700,APOIO!$H:$J,3,FALSE))</f>
        <v/>
      </c>
      <c r="M1700" s="31"/>
      <c r="N1700" s="34"/>
      <c r="O1700" s="32"/>
      <c r="P1700" s="32"/>
      <c r="Q1700" s="32"/>
      <c r="R1700" s="32"/>
      <c r="S1700" s="35"/>
      <c r="T1700" s="91"/>
      <c r="U1700" s="60"/>
      <c r="V1700" s="36"/>
      <c r="W1700" s="31"/>
      <c r="X1700" s="59"/>
      <c r="Y1700" s="59" t="str">
        <f>IFERROR(VLOOKUP($A1700,APOIO!$A:$A,1,FALSE),"ERRO")</f>
        <v>ERRO</v>
      </c>
      <c r="Z1700"/>
    </row>
    <row r="1701" spans="1:26" ht="15" x14ac:dyDescent="0.25">
      <c r="A1701" s="94"/>
      <c r="B1701" s="32" t="str">
        <f>IF($A1701="","",VLOOKUP($A1701,APOIO!$A:$E,2,FALSE))</f>
        <v/>
      </c>
      <c r="C1701" s="94"/>
      <c r="D1701" s="32" t="str">
        <f>IF($A1701="","",INDEX(APOIO!$D:$D,MATCH(CONCATENATE($A1701,"_",$B1701,"_",$C1701),APOIO!$F:$F,0)))</f>
        <v/>
      </c>
      <c r="E1701" s="31"/>
      <c r="F1701" s="31"/>
      <c r="G1701" s="33"/>
      <c r="H1701" s="105"/>
      <c r="I1701" s="32" t="str">
        <f>IF($A1701="","",VLOOKUP($H1701,APOIO!$L:$M,2,FALSE))</f>
        <v/>
      </c>
      <c r="J1701" s="31"/>
      <c r="K1701" s="32" t="str">
        <f>IF($A1701="","",VLOOKUP($J1701,APOIO!$H:$J,2,FALSE))</f>
        <v/>
      </c>
      <c r="L1701" s="32" t="str">
        <f>IF($A1701="","",VLOOKUP($J1701,APOIO!$H:$J,3,FALSE))</f>
        <v/>
      </c>
      <c r="M1701" s="31"/>
      <c r="N1701" s="34"/>
      <c r="O1701" s="32"/>
      <c r="P1701" s="32"/>
      <c r="Q1701" s="32"/>
      <c r="R1701" s="32"/>
      <c r="S1701" s="35"/>
      <c r="T1701" s="91"/>
      <c r="U1701" s="60"/>
      <c r="V1701" s="36"/>
      <c r="W1701" s="31"/>
      <c r="X1701" s="59"/>
      <c r="Y1701" s="59" t="str">
        <f>IFERROR(VLOOKUP($A1701,APOIO!$A:$A,1,FALSE),"ERRO")</f>
        <v>ERRO</v>
      </c>
      <c r="Z1701"/>
    </row>
    <row r="1702" spans="1:26" ht="15" x14ac:dyDescent="0.25">
      <c r="A1702" s="94"/>
      <c r="B1702" s="32" t="str">
        <f>IF($A1702="","",VLOOKUP($A1702,APOIO!$A:$E,2,FALSE))</f>
        <v/>
      </c>
      <c r="C1702" s="94"/>
      <c r="D1702" s="32" t="str">
        <f>IF($A1702="","",INDEX(APOIO!$D:$D,MATCH(CONCATENATE($A1702,"_",$B1702,"_",$C1702),APOIO!$F:$F,0)))</f>
        <v/>
      </c>
      <c r="E1702" s="31"/>
      <c r="F1702" s="31"/>
      <c r="G1702" s="33"/>
      <c r="H1702" s="105"/>
      <c r="I1702" s="32" t="str">
        <f>IF($A1702="","",VLOOKUP($H1702,APOIO!$L:$M,2,FALSE))</f>
        <v/>
      </c>
      <c r="J1702" s="31"/>
      <c r="K1702" s="32" t="str">
        <f>IF($A1702="","",VLOOKUP($J1702,APOIO!$H:$J,2,FALSE))</f>
        <v/>
      </c>
      <c r="L1702" s="32" t="str">
        <f>IF($A1702="","",VLOOKUP($J1702,APOIO!$H:$J,3,FALSE))</f>
        <v/>
      </c>
      <c r="M1702" s="31"/>
      <c r="N1702" s="34"/>
      <c r="O1702" s="32"/>
      <c r="P1702" s="32"/>
      <c r="Q1702" s="32"/>
      <c r="R1702" s="32"/>
      <c r="S1702" s="35"/>
      <c r="T1702" s="91"/>
      <c r="U1702" s="60"/>
      <c r="V1702" s="36"/>
      <c r="W1702" s="31"/>
      <c r="X1702" s="59"/>
      <c r="Y1702" s="59" t="str">
        <f>IFERROR(VLOOKUP($A1702,APOIO!$A:$A,1,FALSE),"ERRO")</f>
        <v>ERRO</v>
      </c>
      <c r="Z1702"/>
    </row>
    <row r="1703" spans="1:26" ht="15" x14ac:dyDescent="0.25">
      <c r="A1703" s="94"/>
      <c r="B1703" s="32" t="str">
        <f>IF($A1703="","",VLOOKUP($A1703,APOIO!$A:$E,2,FALSE))</f>
        <v/>
      </c>
      <c r="C1703" s="94"/>
      <c r="D1703" s="32" t="str">
        <f>IF($A1703="","",INDEX(APOIO!$D:$D,MATCH(CONCATENATE($A1703,"_",$B1703,"_",$C1703),APOIO!$F:$F,0)))</f>
        <v/>
      </c>
      <c r="E1703" s="31"/>
      <c r="F1703" s="31"/>
      <c r="G1703" s="33"/>
      <c r="H1703" s="105"/>
      <c r="I1703" s="32" t="str">
        <f>IF($A1703="","",VLOOKUP($H1703,APOIO!$L:$M,2,FALSE))</f>
        <v/>
      </c>
      <c r="J1703" s="31"/>
      <c r="K1703" s="32" t="str">
        <f>IF($A1703="","",VLOOKUP($J1703,APOIO!$H:$J,2,FALSE))</f>
        <v/>
      </c>
      <c r="L1703" s="32" t="str">
        <f>IF($A1703="","",VLOOKUP($J1703,APOIO!$H:$J,3,FALSE))</f>
        <v/>
      </c>
      <c r="M1703" s="31"/>
      <c r="N1703" s="34"/>
      <c r="O1703" s="32"/>
      <c r="P1703" s="32"/>
      <c r="Q1703" s="32"/>
      <c r="R1703" s="32"/>
      <c r="S1703" s="35"/>
      <c r="T1703" s="91"/>
      <c r="U1703" s="60"/>
      <c r="V1703" s="36"/>
      <c r="W1703" s="31"/>
      <c r="X1703" s="59"/>
      <c r="Y1703" s="59" t="str">
        <f>IFERROR(VLOOKUP($A1703,APOIO!$A:$A,1,FALSE),"ERRO")</f>
        <v>ERRO</v>
      </c>
      <c r="Z1703"/>
    </row>
    <row r="1704" spans="1:26" ht="15" x14ac:dyDescent="0.25">
      <c r="A1704" s="94"/>
      <c r="B1704" s="32" t="str">
        <f>IF($A1704="","",VLOOKUP($A1704,APOIO!$A:$E,2,FALSE))</f>
        <v/>
      </c>
      <c r="C1704" s="94"/>
      <c r="D1704" s="32" t="str">
        <f>IF($A1704="","",INDEX(APOIO!$D:$D,MATCH(CONCATENATE($A1704,"_",$B1704,"_",$C1704),APOIO!$F:$F,0)))</f>
        <v/>
      </c>
      <c r="E1704" s="31"/>
      <c r="F1704" s="31"/>
      <c r="G1704" s="33"/>
      <c r="H1704" s="105"/>
      <c r="I1704" s="32" t="str">
        <f>IF($A1704="","",VLOOKUP($H1704,APOIO!$L:$M,2,FALSE))</f>
        <v/>
      </c>
      <c r="J1704" s="31"/>
      <c r="K1704" s="32" t="str">
        <f>IF($A1704="","",VLOOKUP($J1704,APOIO!$H:$J,2,FALSE))</f>
        <v/>
      </c>
      <c r="L1704" s="32" t="str">
        <f>IF($A1704="","",VLOOKUP($J1704,APOIO!$H:$J,3,FALSE))</f>
        <v/>
      </c>
      <c r="M1704" s="31"/>
      <c r="N1704" s="34"/>
      <c r="O1704" s="32"/>
      <c r="P1704" s="32"/>
      <c r="Q1704" s="32"/>
      <c r="R1704" s="32"/>
      <c r="S1704" s="35"/>
      <c r="T1704" s="91"/>
      <c r="U1704" s="60"/>
      <c r="V1704" s="36"/>
      <c r="W1704" s="31"/>
      <c r="X1704" s="59"/>
      <c r="Y1704" s="59" t="str">
        <f>IFERROR(VLOOKUP($A1704,APOIO!$A:$A,1,FALSE),"ERRO")</f>
        <v>ERRO</v>
      </c>
      <c r="Z1704"/>
    </row>
    <row r="1705" spans="1:26" ht="15" x14ac:dyDescent="0.25">
      <c r="A1705" s="94"/>
      <c r="B1705" s="32" t="str">
        <f>IF($A1705="","",VLOOKUP($A1705,APOIO!$A:$E,2,FALSE))</f>
        <v/>
      </c>
      <c r="C1705" s="94"/>
      <c r="D1705" s="32" t="str">
        <f>IF($A1705="","",INDEX(APOIO!$D:$D,MATCH(CONCATENATE($A1705,"_",$B1705,"_",$C1705),APOIO!$F:$F,0)))</f>
        <v/>
      </c>
      <c r="E1705" s="31"/>
      <c r="F1705" s="31"/>
      <c r="G1705" s="33"/>
      <c r="H1705" s="105"/>
      <c r="I1705" s="32" t="str">
        <f>IF($A1705="","",VLOOKUP($H1705,APOIO!$L:$M,2,FALSE))</f>
        <v/>
      </c>
      <c r="J1705" s="31"/>
      <c r="K1705" s="32" t="str">
        <f>IF($A1705="","",VLOOKUP($J1705,APOIO!$H:$J,2,FALSE))</f>
        <v/>
      </c>
      <c r="L1705" s="32" t="str">
        <f>IF($A1705="","",VLOOKUP($J1705,APOIO!$H:$J,3,FALSE))</f>
        <v/>
      </c>
      <c r="M1705" s="31"/>
      <c r="N1705" s="34"/>
      <c r="O1705" s="32"/>
      <c r="P1705" s="32"/>
      <c r="Q1705" s="32"/>
      <c r="R1705" s="32"/>
      <c r="S1705" s="35"/>
      <c r="T1705" s="91"/>
      <c r="U1705" s="60"/>
      <c r="V1705" s="36"/>
      <c r="W1705" s="31"/>
      <c r="X1705" s="59"/>
      <c r="Y1705" s="59" t="str">
        <f>IFERROR(VLOOKUP($A1705,APOIO!$A:$A,1,FALSE),"ERRO")</f>
        <v>ERRO</v>
      </c>
      <c r="Z1705"/>
    </row>
    <row r="1706" spans="1:26" ht="15" x14ac:dyDescent="0.25">
      <c r="A1706" s="94"/>
      <c r="B1706" s="32" t="str">
        <f>IF($A1706="","",VLOOKUP($A1706,APOIO!$A:$E,2,FALSE))</f>
        <v/>
      </c>
      <c r="C1706" s="94"/>
      <c r="D1706" s="32" t="str">
        <f>IF($A1706="","",INDEX(APOIO!$D:$D,MATCH(CONCATENATE($A1706,"_",$B1706,"_",$C1706),APOIO!$F:$F,0)))</f>
        <v/>
      </c>
      <c r="E1706" s="31"/>
      <c r="F1706" s="31"/>
      <c r="G1706" s="33"/>
      <c r="H1706" s="105"/>
      <c r="I1706" s="32" t="str">
        <f>IF($A1706="","",VLOOKUP($H1706,APOIO!$L:$M,2,FALSE))</f>
        <v/>
      </c>
      <c r="J1706" s="31"/>
      <c r="K1706" s="32" t="str">
        <f>IF($A1706="","",VLOOKUP($J1706,APOIO!$H:$J,2,FALSE))</f>
        <v/>
      </c>
      <c r="L1706" s="32" t="str">
        <f>IF($A1706="","",VLOOKUP($J1706,APOIO!$H:$J,3,FALSE))</f>
        <v/>
      </c>
      <c r="M1706" s="31"/>
      <c r="N1706" s="34"/>
      <c r="O1706" s="32"/>
      <c r="P1706" s="32"/>
      <c r="Q1706" s="32"/>
      <c r="R1706" s="32"/>
      <c r="S1706" s="35"/>
      <c r="T1706" s="91"/>
      <c r="U1706" s="60"/>
      <c r="V1706" s="36"/>
      <c r="W1706" s="31"/>
      <c r="X1706" s="59"/>
      <c r="Y1706" s="59" t="str">
        <f>IFERROR(VLOOKUP($A1706,APOIO!$A:$A,1,FALSE),"ERRO")</f>
        <v>ERRO</v>
      </c>
      <c r="Z1706"/>
    </row>
    <row r="1707" spans="1:26" ht="15" x14ac:dyDescent="0.25">
      <c r="A1707" s="94"/>
      <c r="B1707" s="32" t="str">
        <f>IF($A1707="","",VLOOKUP($A1707,APOIO!$A:$E,2,FALSE))</f>
        <v/>
      </c>
      <c r="C1707" s="94"/>
      <c r="D1707" s="32" t="str">
        <f>IF($A1707="","",INDEX(APOIO!$D:$D,MATCH(CONCATENATE($A1707,"_",$B1707,"_",$C1707),APOIO!$F:$F,0)))</f>
        <v/>
      </c>
      <c r="E1707" s="31"/>
      <c r="F1707" s="31"/>
      <c r="G1707" s="33"/>
      <c r="H1707" s="105"/>
      <c r="I1707" s="32" t="str">
        <f>IF($A1707="","",VLOOKUP($H1707,APOIO!$L:$M,2,FALSE))</f>
        <v/>
      </c>
      <c r="J1707" s="31"/>
      <c r="K1707" s="32" t="str">
        <f>IF($A1707="","",VLOOKUP($J1707,APOIO!$H:$J,2,FALSE))</f>
        <v/>
      </c>
      <c r="L1707" s="32" t="str">
        <f>IF($A1707="","",VLOOKUP($J1707,APOIO!$H:$J,3,FALSE))</f>
        <v/>
      </c>
      <c r="M1707" s="31"/>
      <c r="N1707" s="34"/>
      <c r="O1707" s="32"/>
      <c r="P1707" s="32"/>
      <c r="Q1707" s="32"/>
      <c r="R1707" s="32"/>
      <c r="S1707" s="35"/>
      <c r="T1707" s="91"/>
      <c r="U1707" s="60"/>
      <c r="V1707" s="36"/>
      <c r="W1707" s="31"/>
      <c r="X1707" s="59"/>
      <c r="Y1707" s="59" t="str">
        <f>IFERROR(VLOOKUP($A1707,APOIO!$A:$A,1,FALSE),"ERRO")</f>
        <v>ERRO</v>
      </c>
      <c r="Z1707"/>
    </row>
    <row r="1708" spans="1:26" ht="15" x14ac:dyDescent="0.25">
      <c r="A1708" s="94"/>
      <c r="B1708" s="32" t="str">
        <f>IF($A1708="","",VLOOKUP($A1708,APOIO!$A:$E,2,FALSE))</f>
        <v/>
      </c>
      <c r="C1708" s="94"/>
      <c r="D1708" s="32" t="str">
        <f>IF($A1708="","",INDEX(APOIO!$D:$D,MATCH(CONCATENATE($A1708,"_",$B1708,"_",$C1708),APOIO!$F:$F,0)))</f>
        <v/>
      </c>
      <c r="E1708" s="31"/>
      <c r="F1708" s="31"/>
      <c r="G1708" s="33"/>
      <c r="H1708" s="105"/>
      <c r="I1708" s="32" t="str">
        <f>IF($A1708="","",VLOOKUP($H1708,APOIO!$L:$M,2,FALSE))</f>
        <v/>
      </c>
      <c r="J1708" s="31"/>
      <c r="K1708" s="32" t="str">
        <f>IF($A1708="","",VLOOKUP($J1708,APOIO!$H:$J,2,FALSE))</f>
        <v/>
      </c>
      <c r="L1708" s="32" t="str">
        <f>IF($A1708="","",VLOOKUP($J1708,APOIO!$H:$J,3,FALSE))</f>
        <v/>
      </c>
      <c r="M1708" s="31"/>
      <c r="N1708" s="34"/>
      <c r="O1708" s="32"/>
      <c r="P1708" s="32"/>
      <c r="Q1708" s="32"/>
      <c r="R1708" s="32"/>
      <c r="S1708" s="35"/>
      <c r="T1708" s="91"/>
      <c r="U1708" s="60"/>
      <c r="V1708" s="36"/>
      <c r="W1708" s="31"/>
      <c r="X1708" s="59"/>
      <c r="Y1708" s="59" t="str">
        <f>IFERROR(VLOOKUP($A1708,APOIO!$A:$A,1,FALSE),"ERRO")</f>
        <v>ERRO</v>
      </c>
      <c r="Z1708"/>
    </row>
    <row r="1709" spans="1:26" ht="15" x14ac:dyDescent="0.25">
      <c r="A1709" s="94"/>
      <c r="B1709" s="32" t="str">
        <f>IF($A1709="","",VLOOKUP($A1709,APOIO!$A:$E,2,FALSE))</f>
        <v/>
      </c>
      <c r="C1709" s="94"/>
      <c r="D1709" s="32" t="str">
        <f>IF($A1709="","",INDEX(APOIO!$D:$D,MATCH(CONCATENATE($A1709,"_",$B1709,"_",$C1709),APOIO!$F:$F,0)))</f>
        <v/>
      </c>
      <c r="E1709" s="31"/>
      <c r="F1709" s="31"/>
      <c r="G1709" s="33"/>
      <c r="H1709" s="105"/>
      <c r="I1709" s="32" t="str">
        <f>IF($A1709="","",VLOOKUP($H1709,APOIO!$L:$M,2,FALSE))</f>
        <v/>
      </c>
      <c r="J1709" s="31"/>
      <c r="K1709" s="32" t="str">
        <f>IF($A1709="","",VLOOKUP($J1709,APOIO!$H:$J,2,FALSE))</f>
        <v/>
      </c>
      <c r="L1709" s="32" t="str">
        <f>IF($A1709="","",VLOOKUP($J1709,APOIO!$H:$J,3,FALSE))</f>
        <v/>
      </c>
      <c r="M1709" s="31"/>
      <c r="N1709" s="34"/>
      <c r="O1709" s="32"/>
      <c r="P1709" s="32"/>
      <c r="Q1709" s="32"/>
      <c r="R1709" s="32"/>
      <c r="S1709" s="35"/>
      <c r="T1709" s="91"/>
      <c r="U1709" s="60"/>
      <c r="V1709" s="36"/>
      <c r="W1709" s="31"/>
      <c r="X1709" s="59"/>
      <c r="Y1709" s="59" t="str">
        <f>IFERROR(VLOOKUP($A1709,APOIO!$A:$A,1,FALSE),"ERRO")</f>
        <v>ERRO</v>
      </c>
      <c r="Z1709"/>
    </row>
    <row r="1710" spans="1:26" ht="15" x14ac:dyDescent="0.25">
      <c r="A1710" s="94"/>
      <c r="B1710" s="32" t="str">
        <f>IF($A1710="","",VLOOKUP($A1710,APOIO!$A:$E,2,FALSE))</f>
        <v/>
      </c>
      <c r="C1710" s="94"/>
      <c r="D1710" s="32" t="str">
        <f>IF($A1710="","",INDEX(APOIO!$D:$D,MATCH(CONCATENATE($A1710,"_",$B1710,"_",$C1710),APOIO!$F:$F,0)))</f>
        <v/>
      </c>
      <c r="E1710" s="31"/>
      <c r="F1710" s="31"/>
      <c r="G1710" s="33"/>
      <c r="H1710" s="105"/>
      <c r="I1710" s="32" t="str">
        <f>IF($A1710="","",VLOOKUP($H1710,APOIO!$L:$M,2,FALSE))</f>
        <v/>
      </c>
      <c r="J1710" s="31"/>
      <c r="K1710" s="32" t="str">
        <f>IF($A1710="","",VLOOKUP($J1710,APOIO!$H:$J,2,FALSE))</f>
        <v/>
      </c>
      <c r="L1710" s="32" t="str">
        <f>IF($A1710="","",VLOOKUP($J1710,APOIO!$H:$J,3,FALSE))</f>
        <v/>
      </c>
      <c r="M1710" s="31"/>
      <c r="N1710" s="34"/>
      <c r="O1710" s="32"/>
      <c r="P1710" s="32"/>
      <c r="Q1710" s="32"/>
      <c r="R1710" s="32"/>
      <c r="S1710" s="35"/>
      <c r="T1710" s="91"/>
      <c r="U1710" s="60"/>
      <c r="V1710" s="36"/>
      <c r="W1710" s="31"/>
      <c r="X1710" s="59"/>
      <c r="Y1710" s="59" t="str">
        <f>IFERROR(VLOOKUP($A1710,APOIO!$A:$A,1,FALSE),"ERRO")</f>
        <v>ERRO</v>
      </c>
      <c r="Z1710"/>
    </row>
    <row r="1711" spans="1:26" ht="15" x14ac:dyDescent="0.25">
      <c r="A1711" s="94"/>
      <c r="B1711" s="32" t="str">
        <f>IF($A1711="","",VLOOKUP($A1711,APOIO!$A:$E,2,FALSE))</f>
        <v/>
      </c>
      <c r="C1711" s="94"/>
      <c r="D1711" s="32" t="str">
        <f>IF($A1711="","",INDEX(APOIO!$D:$D,MATCH(CONCATENATE($A1711,"_",$B1711,"_",$C1711),APOIO!$F:$F,0)))</f>
        <v/>
      </c>
      <c r="E1711" s="31"/>
      <c r="F1711" s="31"/>
      <c r="G1711" s="33"/>
      <c r="H1711" s="105"/>
      <c r="I1711" s="32" t="str">
        <f>IF($A1711="","",VLOOKUP($H1711,APOIO!$L:$M,2,FALSE))</f>
        <v/>
      </c>
      <c r="J1711" s="31"/>
      <c r="K1711" s="32" t="str">
        <f>IF($A1711="","",VLOOKUP($J1711,APOIO!$H:$J,2,FALSE))</f>
        <v/>
      </c>
      <c r="L1711" s="32" t="str">
        <f>IF($A1711="","",VLOOKUP($J1711,APOIO!$H:$J,3,FALSE))</f>
        <v/>
      </c>
      <c r="M1711" s="31"/>
      <c r="N1711" s="34"/>
      <c r="O1711" s="32"/>
      <c r="P1711" s="32"/>
      <c r="Q1711" s="32"/>
      <c r="R1711" s="32"/>
      <c r="S1711" s="35"/>
      <c r="T1711" s="91"/>
      <c r="U1711" s="60"/>
      <c r="V1711" s="36"/>
      <c r="W1711" s="31"/>
      <c r="X1711" s="59"/>
      <c r="Y1711" s="59" t="str">
        <f>IFERROR(VLOOKUP($A1711,APOIO!$A:$A,1,FALSE),"ERRO")</f>
        <v>ERRO</v>
      </c>
      <c r="Z1711"/>
    </row>
    <row r="1712" spans="1:26" ht="15" x14ac:dyDescent="0.25">
      <c r="A1712" s="94"/>
      <c r="B1712" s="32" t="str">
        <f>IF($A1712="","",VLOOKUP($A1712,APOIO!$A:$E,2,FALSE))</f>
        <v/>
      </c>
      <c r="C1712" s="94"/>
      <c r="D1712" s="32" t="str">
        <f>IF($A1712="","",INDEX(APOIO!$D:$D,MATCH(CONCATENATE($A1712,"_",$B1712,"_",$C1712),APOIO!$F:$F,0)))</f>
        <v/>
      </c>
      <c r="E1712" s="31"/>
      <c r="F1712" s="31"/>
      <c r="G1712" s="33"/>
      <c r="H1712" s="105"/>
      <c r="I1712" s="32" t="str">
        <f>IF($A1712="","",VLOOKUP($H1712,APOIO!$L:$M,2,FALSE))</f>
        <v/>
      </c>
      <c r="J1712" s="31"/>
      <c r="K1712" s="32" t="str">
        <f>IF($A1712="","",VLOOKUP($J1712,APOIO!$H:$J,2,FALSE))</f>
        <v/>
      </c>
      <c r="L1712" s="32" t="str">
        <f>IF($A1712="","",VLOOKUP($J1712,APOIO!$H:$J,3,FALSE))</f>
        <v/>
      </c>
      <c r="M1712" s="31"/>
      <c r="N1712" s="34"/>
      <c r="O1712" s="32"/>
      <c r="P1712" s="32"/>
      <c r="Q1712" s="32"/>
      <c r="R1712" s="32"/>
      <c r="S1712" s="35"/>
      <c r="T1712" s="91"/>
      <c r="U1712" s="60"/>
      <c r="V1712" s="36"/>
      <c r="W1712" s="31"/>
      <c r="X1712" s="59"/>
      <c r="Y1712" s="59" t="str">
        <f>IFERROR(VLOOKUP($A1712,APOIO!$A:$A,1,FALSE),"ERRO")</f>
        <v>ERRO</v>
      </c>
      <c r="Z1712"/>
    </row>
    <row r="1713" spans="1:26" ht="15" x14ac:dyDescent="0.25">
      <c r="A1713" s="94"/>
      <c r="B1713" s="32" t="str">
        <f>IF($A1713="","",VLOOKUP($A1713,APOIO!$A:$E,2,FALSE))</f>
        <v/>
      </c>
      <c r="C1713" s="94"/>
      <c r="D1713" s="32" t="str">
        <f>IF($A1713="","",INDEX(APOIO!$D:$D,MATCH(CONCATENATE($A1713,"_",$B1713,"_",$C1713),APOIO!$F:$F,0)))</f>
        <v/>
      </c>
      <c r="E1713" s="31"/>
      <c r="F1713" s="31"/>
      <c r="G1713" s="33"/>
      <c r="H1713" s="105"/>
      <c r="I1713" s="32" t="str">
        <f>IF($A1713="","",VLOOKUP($H1713,APOIO!$L:$M,2,FALSE))</f>
        <v/>
      </c>
      <c r="J1713" s="31"/>
      <c r="K1713" s="32" t="str">
        <f>IF($A1713="","",VLOOKUP($J1713,APOIO!$H:$J,2,FALSE))</f>
        <v/>
      </c>
      <c r="L1713" s="32" t="str">
        <f>IF($A1713="","",VLOOKUP($J1713,APOIO!$H:$J,3,FALSE))</f>
        <v/>
      </c>
      <c r="M1713" s="31"/>
      <c r="N1713" s="34"/>
      <c r="O1713" s="32"/>
      <c r="P1713" s="32"/>
      <c r="Q1713" s="32"/>
      <c r="R1713" s="32"/>
      <c r="S1713" s="35"/>
      <c r="T1713" s="91"/>
      <c r="U1713" s="60"/>
      <c r="V1713" s="36"/>
      <c r="W1713" s="31"/>
      <c r="X1713" s="59"/>
      <c r="Y1713" s="59" t="str">
        <f>IFERROR(VLOOKUP($A1713,APOIO!$A:$A,1,FALSE),"ERRO")</f>
        <v>ERRO</v>
      </c>
      <c r="Z1713"/>
    </row>
    <row r="1714" spans="1:26" ht="15" x14ac:dyDescent="0.25">
      <c r="A1714" s="94"/>
      <c r="B1714" s="32" t="str">
        <f>IF($A1714="","",VLOOKUP($A1714,APOIO!$A:$E,2,FALSE))</f>
        <v/>
      </c>
      <c r="C1714" s="94"/>
      <c r="D1714" s="32" t="str">
        <f>IF($A1714="","",INDEX(APOIO!$D:$D,MATCH(CONCATENATE($A1714,"_",$B1714,"_",$C1714),APOIO!$F:$F,0)))</f>
        <v/>
      </c>
      <c r="E1714" s="31"/>
      <c r="F1714" s="31"/>
      <c r="G1714" s="33"/>
      <c r="H1714" s="105"/>
      <c r="I1714" s="32" t="str">
        <f>IF($A1714="","",VLOOKUP($H1714,APOIO!$L:$M,2,FALSE))</f>
        <v/>
      </c>
      <c r="J1714" s="31"/>
      <c r="K1714" s="32" t="str">
        <f>IF($A1714="","",VLOOKUP($J1714,APOIO!$H:$J,2,FALSE))</f>
        <v/>
      </c>
      <c r="L1714" s="32" t="str">
        <f>IF($A1714="","",VLOOKUP($J1714,APOIO!$H:$J,3,FALSE))</f>
        <v/>
      </c>
      <c r="M1714" s="31"/>
      <c r="N1714" s="34"/>
      <c r="O1714" s="32"/>
      <c r="P1714" s="32"/>
      <c r="Q1714" s="32"/>
      <c r="R1714" s="32"/>
      <c r="S1714" s="35"/>
      <c r="T1714" s="91"/>
      <c r="U1714" s="60"/>
      <c r="V1714" s="36"/>
      <c r="W1714" s="31"/>
      <c r="X1714" s="59"/>
      <c r="Y1714" s="59" t="str">
        <f>IFERROR(VLOOKUP($A1714,APOIO!$A:$A,1,FALSE),"ERRO")</f>
        <v>ERRO</v>
      </c>
      <c r="Z1714"/>
    </row>
    <row r="1715" spans="1:26" ht="15" x14ac:dyDescent="0.25">
      <c r="A1715" s="94"/>
      <c r="B1715" s="32" t="str">
        <f>IF($A1715="","",VLOOKUP($A1715,APOIO!$A:$E,2,FALSE))</f>
        <v/>
      </c>
      <c r="C1715" s="94"/>
      <c r="D1715" s="32" t="str">
        <f>IF($A1715="","",INDEX(APOIO!$D:$D,MATCH(CONCATENATE($A1715,"_",$B1715,"_",$C1715),APOIO!$F:$F,0)))</f>
        <v/>
      </c>
      <c r="E1715" s="31"/>
      <c r="F1715" s="31"/>
      <c r="G1715" s="33"/>
      <c r="H1715" s="105"/>
      <c r="I1715" s="32" t="str">
        <f>IF($A1715="","",VLOOKUP($H1715,APOIO!$L:$M,2,FALSE))</f>
        <v/>
      </c>
      <c r="J1715" s="31"/>
      <c r="K1715" s="32" t="str">
        <f>IF($A1715="","",VLOOKUP($J1715,APOIO!$H:$J,2,FALSE))</f>
        <v/>
      </c>
      <c r="L1715" s="32" t="str">
        <f>IF($A1715="","",VLOOKUP($J1715,APOIO!$H:$J,3,FALSE))</f>
        <v/>
      </c>
      <c r="M1715" s="31"/>
      <c r="N1715" s="34"/>
      <c r="O1715" s="32"/>
      <c r="P1715" s="32"/>
      <c r="Q1715" s="32"/>
      <c r="R1715" s="32"/>
      <c r="S1715" s="35"/>
      <c r="T1715" s="91"/>
      <c r="U1715" s="60"/>
      <c r="V1715" s="36"/>
      <c r="W1715" s="31"/>
      <c r="X1715" s="59"/>
      <c r="Y1715" s="59" t="str">
        <f>IFERROR(VLOOKUP($A1715,APOIO!$A:$A,1,FALSE),"ERRO")</f>
        <v>ERRO</v>
      </c>
      <c r="Z1715"/>
    </row>
    <row r="1716" spans="1:26" ht="15" x14ac:dyDescent="0.25">
      <c r="A1716" s="94"/>
      <c r="B1716" s="32" t="str">
        <f>IF($A1716="","",VLOOKUP($A1716,APOIO!$A:$E,2,FALSE))</f>
        <v/>
      </c>
      <c r="C1716" s="94"/>
      <c r="D1716" s="32" t="str">
        <f>IF($A1716="","",INDEX(APOIO!$D:$D,MATCH(CONCATENATE($A1716,"_",$B1716,"_",$C1716),APOIO!$F:$F,0)))</f>
        <v/>
      </c>
      <c r="E1716" s="31"/>
      <c r="F1716" s="31"/>
      <c r="G1716" s="33"/>
      <c r="H1716" s="105"/>
      <c r="I1716" s="32" t="str">
        <f>IF($A1716="","",VLOOKUP($H1716,APOIO!$L:$M,2,FALSE))</f>
        <v/>
      </c>
      <c r="J1716" s="31"/>
      <c r="K1716" s="32" t="str">
        <f>IF($A1716="","",VLOOKUP($J1716,APOIO!$H:$J,2,FALSE))</f>
        <v/>
      </c>
      <c r="L1716" s="32" t="str">
        <f>IF($A1716="","",VLOOKUP($J1716,APOIO!$H:$J,3,FALSE))</f>
        <v/>
      </c>
      <c r="M1716" s="31"/>
      <c r="N1716" s="34"/>
      <c r="O1716" s="32"/>
      <c r="P1716" s="32"/>
      <c r="Q1716" s="32"/>
      <c r="R1716" s="32"/>
      <c r="S1716" s="35"/>
      <c r="T1716" s="91"/>
      <c r="U1716" s="60"/>
      <c r="V1716" s="36"/>
      <c r="W1716" s="31"/>
      <c r="X1716" s="59"/>
      <c r="Y1716" s="59" t="str">
        <f>IFERROR(VLOOKUP($A1716,APOIO!$A:$A,1,FALSE),"ERRO")</f>
        <v>ERRO</v>
      </c>
      <c r="Z1716"/>
    </row>
    <row r="1717" spans="1:26" ht="15" x14ac:dyDescent="0.25">
      <c r="A1717" s="94"/>
      <c r="B1717" s="32" t="str">
        <f>IF($A1717="","",VLOOKUP($A1717,APOIO!$A:$E,2,FALSE))</f>
        <v/>
      </c>
      <c r="C1717" s="94"/>
      <c r="D1717" s="32" t="str">
        <f>IF($A1717="","",INDEX(APOIO!$D:$D,MATCH(CONCATENATE($A1717,"_",$B1717,"_",$C1717),APOIO!$F:$F,0)))</f>
        <v/>
      </c>
      <c r="E1717" s="31"/>
      <c r="F1717" s="31"/>
      <c r="G1717" s="33"/>
      <c r="H1717" s="105"/>
      <c r="I1717" s="32" t="str">
        <f>IF($A1717="","",VLOOKUP($H1717,APOIO!$L:$M,2,FALSE))</f>
        <v/>
      </c>
      <c r="J1717" s="31"/>
      <c r="K1717" s="32" t="str">
        <f>IF($A1717="","",VLOOKUP($J1717,APOIO!$H:$J,2,FALSE))</f>
        <v/>
      </c>
      <c r="L1717" s="32" t="str">
        <f>IF($A1717="","",VLOOKUP($J1717,APOIO!$H:$J,3,FALSE))</f>
        <v/>
      </c>
      <c r="M1717" s="31"/>
      <c r="N1717" s="34"/>
      <c r="O1717" s="32"/>
      <c r="P1717" s="32"/>
      <c r="Q1717" s="32"/>
      <c r="R1717" s="32"/>
      <c r="S1717" s="35"/>
      <c r="T1717" s="91"/>
      <c r="U1717" s="60"/>
      <c r="V1717" s="36"/>
      <c r="W1717" s="31"/>
      <c r="X1717" s="59"/>
      <c r="Y1717" s="59" t="str">
        <f>IFERROR(VLOOKUP($A1717,APOIO!$A:$A,1,FALSE),"ERRO")</f>
        <v>ERRO</v>
      </c>
      <c r="Z1717"/>
    </row>
    <row r="1718" spans="1:26" ht="15" x14ac:dyDescent="0.25">
      <c r="A1718" s="94"/>
      <c r="B1718" s="32" t="str">
        <f>IF($A1718="","",VLOOKUP($A1718,APOIO!$A:$E,2,FALSE))</f>
        <v/>
      </c>
      <c r="C1718" s="94"/>
      <c r="D1718" s="32" t="str">
        <f>IF($A1718="","",INDEX(APOIO!$D:$D,MATCH(CONCATENATE($A1718,"_",$B1718,"_",$C1718),APOIO!$F:$F,0)))</f>
        <v/>
      </c>
      <c r="E1718" s="31"/>
      <c r="F1718" s="31"/>
      <c r="G1718" s="33"/>
      <c r="H1718" s="105"/>
      <c r="I1718" s="32" t="str">
        <f>IF($A1718="","",VLOOKUP($H1718,APOIO!$L:$M,2,FALSE))</f>
        <v/>
      </c>
      <c r="J1718" s="31"/>
      <c r="K1718" s="32" t="str">
        <f>IF($A1718="","",VLOOKUP($J1718,APOIO!$H:$J,2,FALSE))</f>
        <v/>
      </c>
      <c r="L1718" s="32" t="str">
        <f>IF($A1718="","",VLOOKUP($J1718,APOIO!$H:$J,3,FALSE))</f>
        <v/>
      </c>
      <c r="M1718" s="31"/>
      <c r="N1718" s="34"/>
      <c r="O1718" s="32"/>
      <c r="P1718" s="32"/>
      <c r="Q1718" s="32"/>
      <c r="R1718" s="32"/>
      <c r="S1718" s="35"/>
      <c r="T1718" s="91"/>
      <c r="U1718" s="60"/>
      <c r="V1718" s="36"/>
      <c r="W1718" s="31"/>
      <c r="X1718" s="59"/>
      <c r="Y1718" s="59" t="str">
        <f>IFERROR(VLOOKUP($A1718,APOIO!$A:$A,1,FALSE),"ERRO")</f>
        <v>ERRO</v>
      </c>
      <c r="Z1718"/>
    </row>
    <row r="1719" spans="1:26" ht="15" x14ac:dyDescent="0.25">
      <c r="A1719" s="94"/>
      <c r="B1719" s="32" t="str">
        <f>IF($A1719="","",VLOOKUP($A1719,APOIO!$A:$E,2,FALSE))</f>
        <v/>
      </c>
      <c r="C1719" s="94"/>
      <c r="D1719" s="32" t="str">
        <f>IF($A1719="","",INDEX(APOIO!$D:$D,MATCH(CONCATENATE($A1719,"_",$B1719,"_",$C1719),APOIO!$F:$F,0)))</f>
        <v/>
      </c>
      <c r="E1719" s="31"/>
      <c r="F1719" s="31"/>
      <c r="G1719" s="33"/>
      <c r="H1719" s="105"/>
      <c r="I1719" s="32" t="str">
        <f>IF($A1719="","",VLOOKUP($H1719,APOIO!$L:$M,2,FALSE))</f>
        <v/>
      </c>
      <c r="J1719" s="31"/>
      <c r="K1719" s="32" t="str">
        <f>IF($A1719="","",VLOOKUP($J1719,APOIO!$H:$J,2,FALSE))</f>
        <v/>
      </c>
      <c r="L1719" s="32" t="str">
        <f>IF($A1719="","",VLOOKUP($J1719,APOIO!$H:$J,3,FALSE))</f>
        <v/>
      </c>
      <c r="M1719" s="31"/>
      <c r="N1719" s="34"/>
      <c r="O1719" s="32"/>
      <c r="P1719" s="32"/>
      <c r="Q1719" s="32"/>
      <c r="R1719" s="32"/>
      <c r="S1719" s="35"/>
      <c r="T1719" s="91"/>
      <c r="U1719" s="60"/>
      <c r="V1719" s="36"/>
      <c r="W1719" s="31"/>
      <c r="X1719" s="59"/>
      <c r="Y1719" s="59" t="str">
        <f>IFERROR(VLOOKUP($A1719,APOIO!$A:$A,1,FALSE),"ERRO")</f>
        <v>ERRO</v>
      </c>
      <c r="Z1719"/>
    </row>
    <row r="1720" spans="1:26" ht="15" x14ac:dyDescent="0.25">
      <c r="A1720" s="94"/>
      <c r="B1720" s="32" t="str">
        <f>IF($A1720="","",VLOOKUP($A1720,APOIO!$A:$E,2,FALSE))</f>
        <v/>
      </c>
      <c r="C1720" s="94"/>
      <c r="D1720" s="32" t="str">
        <f>IF($A1720="","",INDEX(APOIO!$D:$D,MATCH(CONCATENATE($A1720,"_",$B1720,"_",$C1720),APOIO!$F:$F,0)))</f>
        <v/>
      </c>
      <c r="E1720" s="31"/>
      <c r="F1720" s="31"/>
      <c r="G1720" s="33"/>
      <c r="H1720" s="105"/>
      <c r="I1720" s="32" t="str">
        <f>IF($A1720="","",VLOOKUP($H1720,APOIO!$L:$M,2,FALSE))</f>
        <v/>
      </c>
      <c r="J1720" s="31"/>
      <c r="K1720" s="32" t="str">
        <f>IF($A1720="","",VLOOKUP($J1720,APOIO!$H:$J,2,FALSE))</f>
        <v/>
      </c>
      <c r="L1720" s="32" t="str">
        <f>IF($A1720="","",VLOOKUP($J1720,APOIO!$H:$J,3,FALSE))</f>
        <v/>
      </c>
      <c r="M1720" s="31"/>
      <c r="N1720" s="34"/>
      <c r="O1720" s="32"/>
      <c r="P1720" s="32"/>
      <c r="Q1720" s="32"/>
      <c r="R1720" s="32"/>
      <c r="S1720" s="35"/>
      <c r="T1720" s="91"/>
      <c r="U1720" s="60"/>
      <c r="V1720" s="36"/>
      <c r="W1720" s="31"/>
      <c r="X1720" s="59"/>
      <c r="Y1720" s="59" t="str">
        <f>IFERROR(VLOOKUP($A1720,APOIO!$A:$A,1,FALSE),"ERRO")</f>
        <v>ERRO</v>
      </c>
      <c r="Z1720"/>
    </row>
    <row r="1721" spans="1:26" ht="15" x14ac:dyDescent="0.25">
      <c r="A1721" s="94"/>
      <c r="B1721" s="32" t="str">
        <f>IF($A1721="","",VLOOKUP($A1721,APOIO!$A:$E,2,FALSE))</f>
        <v/>
      </c>
      <c r="C1721" s="94"/>
      <c r="D1721" s="32" t="str">
        <f>IF($A1721="","",INDEX(APOIO!$D:$D,MATCH(CONCATENATE($A1721,"_",$B1721,"_",$C1721),APOIO!$F:$F,0)))</f>
        <v/>
      </c>
      <c r="E1721" s="31"/>
      <c r="F1721" s="31"/>
      <c r="G1721" s="33"/>
      <c r="H1721" s="105"/>
      <c r="I1721" s="32" t="str">
        <f>IF($A1721="","",VLOOKUP($H1721,APOIO!$L:$M,2,FALSE))</f>
        <v/>
      </c>
      <c r="J1721" s="31"/>
      <c r="K1721" s="32" t="str">
        <f>IF($A1721="","",VLOOKUP($J1721,APOIO!$H:$J,2,FALSE))</f>
        <v/>
      </c>
      <c r="L1721" s="32" t="str">
        <f>IF($A1721="","",VLOOKUP($J1721,APOIO!$H:$J,3,FALSE))</f>
        <v/>
      </c>
      <c r="M1721" s="31"/>
      <c r="N1721" s="34"/>
      <c r="O1721" s="32"/>
      <c r="P1721" s="32"/>
      <c r="Q1721" s="32"/>
      <c r="R1721" s="32"/>
      <c r="S1721" s="35"/>
      <c r="T1721" s="91"/>
      <c r="U1721" s="60"/>
      <c r="V1721" s="36"/>
      <c r="W1721" s="31"/>
      <c r="X1721" s="59"/>
      <c r="Y1721" s="59" t="str">
        <f>IFERROR(VLOOKUP($A1721,APOIO!$A:$A,1,FALSE),"ERRO")</f>
        <v>ERRO</v>
      </c>
      <c r="Z1721"/>
    </row>
    <row r="1722" spans="1:26" ht="15" x14ac:dyDescent="0.25">
      <c r="A1722" s="94"/>
      <c r="B1722" s="32" t="str">
        <f>IF($A1722="","",VLOOKUP($A1722,APOIO!$A:$E,2,FALSE))</f>
        <v/>
      </c>
      <c r="C1722" s="94"/>
      <c r="D1722" s="32" t="str">
        <f>IF($A1722="","",INDEX(APOIO!$D:$D,MATCH(CONCATENATE($A1722,"_",$B1722,"_",$C1722),APOIO!$F:$F,0)))</f>
        <v/>
      </c>
      <c r="E1722" s="31"/>
      <c r="F1722" s="31"/>
      <c r="G1722" s="33"/>
      <c r="H1722" s="105"/>
      <c r="I1722" s="32" t="str">
        <f>IF($A1722="","",VLOOKUP($H1722,APOIO!$L:$M,2,FALSE))</f>
        <v/>
      </c>
      <c r="J1722" s="31"/>
      <c r="K1722" s="32" t="str">
        <f>IF($A1722="","",VLOOKUP($J1722,APOIO!$H:$J,2,FALSE))</f>
        <v/>
      </c>
      <c r="L1722" s="32" t="str">
        <f>IF($A1722="","",VLOOKUP($J1722,APOIO!$H:$J,3,FALSE))</f>
        <v/>
      </c>
      <c r="M1722" s="31"/>
      <c r="N1722" s="34"/>
      <c r="O1722" s="32"/>
      <c r="P1722" s="32"/>
      <c r="Q1722" s="32"/>
      <c r="R1722" s="32"/>
      <c r="S1722" s="35"/>
      <c r="T1722" s="91"/>
      <c r="U1722" s="60"/>
      <c r="V1722" s="36"/>
      <c r="W1722" s="31"/>
      <c r="X1722" s="59"/>
      <c r="Y1722" s="59" t="str">
        <f>IFERROR(VLOOKUP($A1722,APOIO!$A:$A,1,FALSE),"ERRO")</f>
        <v>ERRO</v>
      </c>
      <c r="Z1722"/>
    </row>
    <row r="1723" spans="1:26" ht="15" x14ac:dyDescent="0.25">
      <c r="A1723" s="94"/>
      <c r="B1723" s="32" t="str">
        <f>IF($A1723="","",VLOOKUP($A1723,APOIO!$A:$E,2,FALSE))</f>
        <v/>
      </c>
      <c r="C1723" s="94"/>
      <c r="D1723" s="32" t="str">
        <f>IF($A1723="","",INDEX(APOIO!$D:$D,MATCH(CONCATENATE($A1723,"_",$B1723,"_",$C1723),APOIO!$F:$F,0)))</f>
        <v/>
      </c>
      <c r="E1723" s="31"/>
      <c r="F1723" s="31"/>
      <c r="G1723" s="33"/>
      <c r="H1723" s="105"/>
      <c r="I1723" s="32" t="str">
        <f>IF($A1723="","",VLOOKUP($H1723,APOIO!$L:$M,2,FALSE))</f>
        <v/>
      </c>
      <c r="J1723" s="31"/>
      <c r="K1723" s="32" t="str">
        <f>IF($A1723="","",VLOOKUP($J1723,APOIO!$H:$J,2,FALSE))</f>
        <v/>
      </c>
      <c r="L1723" s="32" t="str">
        <f>IF($A1723="","",VLOOKUP($J1723,APOIO!$H:$J,3,FALSE))</f>
        <v/>
      </c>
      <c r="M1723" s="31"/>
      <c r="N1723" s="34"/>
      <c r="O1723" s="32"/>
      <c r="P1723" s="32"/>
      <c r="Q1723" s="32"/>
      <c r="R1723" s="32"/>
      <c r="S1723" s="35"/>
      <c r="T1723" s="91"/>
      <c r="U1723" s="60"/>
      <c r="V1723" s="36"/>
      <c r="W1723" s="31"/>
      <c r="X1723" s="59"/>
      <c r="Y1723" s="59" t="str">
        <f>IFERROR(VLOOKUP($A1723,APOIO!$A:$A,1,FALSE),"ERRO")</f>
        <v>ERRO</v>
      </c>
      <c r="Z1723"/>
    </row>
    <row r="1724" spans="1:26" ht="15" x14ac:dyDescent="0.25">
      <c r="A1724" s="94"/>
      <c r="B1724" s="32" t="str">
        <f>IF($A1724="","",VLOOKUP($A1724,APOIO!$A:$E,2,FALSE))</f>
        <v/>
      </c>
      <c r="C1724" s="94"/>
      <c r="D1724" s="32" t="str">
        <f>IF($A1724="","",INDEX(APOIO!$D:$D,MATCH(CONCATENATE($A1724,"_",$B1724,"_",$C1724),APOIO!$F:$F,0)))</f>
        <v/>
      </c>
      <c r="E1724" s="31"/>
      <c r="F1724" s="31"/>
      <c r="G1724" s="33"/>
      <c r="H1724" s="105"/>
      <c r="I1724" s="32" t="str">
        <f>IF($A1724="","",VLOOKUP($H1724,APOIO!$L:$M,2,FALSE))</f>
        <v/>
      </c>
      <c r="J1724" s="31"/>
      <c r="K1724" s="32" t="str">
        <f>IF($A1724="","",VLOOKUP($J1724,APOIO!$H:$J,2,FALSE))</f>
        <v/>
      </c>
      <c r="L1724" s="32" t="str">
        <f>IF($A1724="","",VLOOKUP($J1724,APOIO!$H:$J,3,FALSE))</f>
        <v/>
      </c>
      <c r="M1724" s="31"/>
      <c r="N1724" s="34"/>
      <c r="O1724" s="32"/>
      <c r="P1724" s="32"/>
      <c r="Q1724" s="32"/>
      <c r="R1724" s="32"/>
      <c r="S1724" s="35"/>
      <c r="T1724" s="91"/>
      <c r="U1724" s="60"/>
      <c r="V1724" s="36"/>
      <c r="W1724" s="31"/>
      <c r="X1724" s="59"/>
      <c r="Y1724" s="59" t="str">
        <f>IFERROR(VLOOKUP($A1724,APOIO!$A:$A,1,FALSE),"ERRO")</f>
        <v>ERRO</v>
      </c>
      <c r="Z1724"/>
    </row>
    <row r="1725" spans="1:26" ht="15" x14ac:dyDescent="0.25">
      <c r="A1725" s="94"/>
      <c r="B1725" s="32" t="str">
        <f>IF($A1725="","",VLOOKUP($A1725,APOIO!$A:$E,2,FALSE))</f>
        <v/>
      </c>
      <c r="C1725" s="94"/>
      <c r="D1725" s="32" t="str">
        <f>IF($A1725="","",INDEX(APOIO!$D:$D,MATCH(CONCATENATE($A1725,"_",$B1725,"_",$C1725),APOIO!$F:$F,0)))</f>
        <v/>
      </c>
      <c r="E1725" s="31"/>
      <c r="F1725" s="31"/>
      <c r="G1725" s="33"/>
      <c r="H1725" s="105"/>
      <c r="I1725" s="32" t="str">
        <f>IF($A1725="","",VLOOKUP($H1725,APOIO!$L:$M,2,FALSE))</f>
        <v/>
      </c>
      <c r="J1725" s="31"/>
      <c r="K1725" s="32" t="str">
        <f>IF($A1725="","",VLOOKUP($J1725,APOIO!$H:$J,2,FALSE))</f>
        <v/>
      </c>
      <c r="L1725" s="32" t="str">
        <f>IF($A1725="","",VLOOKUP($J1725,APOIO!$H:$J,3,FALSE))</f>
        <v/>
      </c>
      <c r="M1725" s="31"/>
      <c r="N1725" s="34"/>
      <c r="O1725" s="32"/>
      <c r="P1725" s="32"/>
      <c r="Q1725" s="32"/>
      <c r="R1725" s="32"/>
      <c r="S1725" s="35"/>
      <c r="T1725" s="91"/>
      <c r="U1725" s="60"/>
      <c r="V1725" s="36"/>
      <c r="W1725" s="31"/>
      <c r="X1725" s="59"/>
      <c r="Y1725" s="59" t="str">
        <f>IFERROR(VLOOKUP($A1725,APOIO!$A:$A,1,FALSE),"ERRO")</f>
        <v>ERRO</v>
      </c>
      <c r="Z1725"/>
    </row>
    <row r="1726" spans="1:26" ht="15" x14ac:dyDescent="0.25">
      <c r="A1726" s="94"/>
      <c r="B1726" s="32" t="str">
        <f>IF($A1726="","",VLOOKUP($A1726,APOIO!$A:$E,2,FALSE))</f>
        <v/>
      </c>
      <c r="C1726" s="94"/>
      <c r="D1726" s="32" t="str">
        <f>IF($A1726="","",INDEX(APOIO!$D:$D,MATCH(CONCATENATE($A1726,"_",$B1726,"_",$C1726),APOIO!$F:$F,0)))</f>
        <v/>
      </c>
      <c r="E1726" s="31"/>
      <c r="F1726" s="31"/>
      <c r="G1726" s="33"/>
      <c r="H1726" s="105"/>
      <c r="I1726" s="32" t="str">
        <f>IF($A1726="","",VLOOKUP($H1726,APOIO!$L:$M,2,FALSE))</f>
        <v/>
      </c>
      <c r="J1726" s="31"/>
      <c r="K1726" s="32" t="str">
        <f>IF($A1726="","",VLOOKUP($J1726,APOIO!$H:$J,2,FALSE))</f>
        <v/>
      </c>
      <c r="L1726" s="32" t="str">
        <f>IF($A1726="","",VLOOKUP($J1726,APOIO!$H:$J,3,FALSE))</f>
        <v/>
      </c>
      <c r="M1726" s="31"/>
      <c r="N1726" s="34"/>
      <c r="O1726" s="32"/>
      <c r="P1726" s="32"/>
      <c r="Q1726" s="32"/>
      <c r="R1726" s="32"/>
      <c r="S1726" s="35"/>
      <c r="T1726" s="91"/>
      <c r="U1726" s="60"/>
      <c r="V1726" s="36"/>
      <c r="W1726" s="31"/>
      <c r="X1726" s="59"/>
      <c r="Y1726" s="59" t="str">
        <f>IFERROR(VLOOKUP($A1726,APOIO!$A:$A,1,FALSE),"ERRO")</f>
        <v>ERRO</v>
      </c>
      <c r="Z1726"/>
    </row>
    <row r="1727" spans="1:26" ht="15" x14ac:dyDescent="0.25">
      <c r="A1727" s="94"/>
      <c r="B1727" s="32" t="str">
        <f>IF($A1727="","",VLOOKUP($A1727,APOIO!$A:$E,2,FALSE))</f>
        <v/>
      </c>
      <c r="C1727" s="94"/>
      <c r="D1727" s="32" t="str">
        <f>IF($A1727="","",INDEX(APOIO!$D:$D,MATCH(CONCATENATE($A1727,"_",$B1727,"_",$C1727),APOIO!$F:$F,0)))</f>
        <v/>
      </c>
      <c r="E1727" s="31"/>
      <c r="F1727" s="31"/>
      <c r="G1727" s="33"/>
      <c r="H1727" s="105"/>
      <c r="I1727" s="32" t="str">
        <f>IF($A1727="","",VLOOKUP($H1727,APOIO!$L:$M,2,FALSE))</f>
        <v/>
      </c>
      <c r="J1727" s="31"/>
      <c r="K1727" s="32" t="str">
        <f>IF($A1727="","",VLOOKUP($J1727,APOIO!$H:$J,2,FALSE))</f>
        <v/>
      </c>
      <c r="L1727" s="32" t="str">
        <f>IF($A1727="","",VLOOKUP($J1727,APOIO!$H:$J,3,FALSE))</f>
        <v/>
      </c>
      <c r="M1727" s="31"/>
      <c r="N1727" s="34"/>
      <c r="O1727" s="32"/>
      <c r="P1727" s="32"/>
      <c r="Q1727" s="32"/>
      <c r="R1727" s="32"/>
      <c r="S1727" s="35"/>
      <c r="T1727" s="91"/>
      <c r="U1727" s="60"/>
      <c r="V1727" s="36"/>
      <c r="W1727" s="31"/>
      <c r="X1727" s="59"/>
      <c r="Y1727" s="59" t="str">
        <f>IFERROR(VLOOKUP($A1727,APOIO!$A:$A,1,FALSE),"ERRO")</f>
        <v>ERRO</v>
      </c>
      <c r="Z1727"/>
    </row>
    <row r="1728" spans="1:26" ht="15" x14ac:dyDescent="0.25">
      <c r="A1728" s="94"/>
      <c r="B1728" s="32" t="str">
        <f>IF($A1728="","",VLOOKUP($A1728,APOIO!$A:$E,2,FALSE))</f>
        <v/>
      </c>
      <c r="C1728" s="94"/>
      <c r="D1728" s="32" t="str">
        <f>IF($A1728="","",INDEX(APOIO!$D:$D,MATCH(CONCATENATE($A1728,"_",$B1728,"_",$C1728),APOIO!$F:$F,0)))</f>
        <v/>
      </c>
      <c r="E1728" s="31"/>
      <c r="F1728" s="31"/>
      <c r="G1728" s="33"/>
      <c r="H1728" s="105"/>
      <c r="I1728" s="32" t="str">
        <f>IF($A1728="","",VLOOKUP($H1728,APOIO!$L:$M,2,FALSE))</f>
        <v/>
      </c>
      <c r="J1728" s="31"/>
      <c r="K1728" s="32" t="str">
        <f>IF($A1728="","",VLOOKUP($J1728,APOIO!$H:$J,2,FALSE))</f>
        <v/>
      </c>
      <c r="L1728" s="32" t="str">
        <f>IF($A1728="","",VLOOKUP($J1728,APOIO!$H:$J,3,FALSE))</f>
        <v/>
      </c>
      <c r="M1728" s="31"/>
      <c r="N1728" s="34"/>
      <c r="O1728" s="32"/>
      <c r="P1728" s="32"/>
      <c r="Q1728" s="32"/>
      <c r="R1728" s="32"/>
      <c r="S1728" s="35"/>
      <c r="T1728" s="91"/>
      <c r="U1728" s="60"/>
      <c r="V1728" s="36"/>
      <c r="W1728" s="31"/>
      <c r="X1728" s="59"/>
      <c r="Y1728" s="59" t="str">
        <f>IFERROR(VLOOKUP($A1728,APOIO!$A:$A,1,FALSE),"ERRO")</f>
        <v>ERRO</v>
      </c>
      <c r="Z1728"/>
    </row>
    <row r="1729" spans="1:26" ht="15" x14ac:dyDescent="0.25">
      <c r="A1729" s="94"/>
      <c r="B1729" s="32" t="str">
        <f>IF($A1729="","",VLOOKUP($A1729,APOIO!$A:$E,2,FALSE))</f>
        <v/>
      </c>
      <c r="C1729" s="94"/>
      <c r="D1729" s="32" t="str">
        <f>IF($A1729="","",INDEX(APOIO!$D:$D,MATCH(CONCATENATE($A1729,"_",$B1729,"_",$C1729),APOIO!$F:$F,0)))</f>
        <v/>
      </c>
      <c r="E1729" s="31"/>
      <c r="F1729" s="31"/>
      <c r="G1729" s="33"/>
      <c r="H1729" s="105"/>
      <c r="I1729" s="32" t="str">
        <f>IF($A1729="","",VLOOKUP($H1729,APOIO!$L:$M,2,FALSE))</f>
        <v/>
      </c>
      <c r="J1729" s="31"/>
      <c r="K1729" s="32" t="str">
        <f>IF($A1729="","",VLOOKUP($J1729,APOIO!$H:$J,2,FALSE))</f>
        <v/>
      </c>
      <c r="L1729" s="32" t="str">
        <f>IF($A1729="","",VLOOKUP($J1729,APOIO!$H:$J,3,FALSE))</f>
        <v/>
      </c>
      <c r="M1729" s="31"/>
      <c r="N1729" s="34"/>
      <c r="O1729" s="32"/>
      <c r="P1729" s="32"/>
      <c r="Q1729" s="32"/>
      <c r="R1729" s="32"/>
      <c r="S1729" s="35"/>
      <c r="T1729" s="91"/>
      <c r="U1729" s="60"/>
      <c r="V1729" s="36"/>
      <c r="W1729" s="31"/>
      <c r="X1729" s="59"/>
      <c r="Y1729" s="59" t="str">
        <f>IFERROR(VLOOKUP($A1729,APOIO!$A:$A,1,FALSE),"ERRO")</f>
        <v>ERRO</v>
      </c>
      <c r="Z1729"/>
    </row>
    <row r="1730" spans="1:26" ht="15" x14ac:dyDescent="0.25">
      <c r="A1730" s="94"/>
      <c r="B1730" s="32" t="str">
        <f>IF($A1730="","",VLOOKUP($A1730,APOIO!$A:$E,2,FALSE))</f>
        <v/>
      </c>
      <c r="C1730" s="94"/>
      <c r="D1730" s="32" t="str">
        <f>IF($A1730="","",INDEX(APOIO!$D:$D,MATCH(CONCATENATE($A1730,"_",$B1730,"_",$C1730),APOIO!$F:$F,0)))</f>
        <v/>
      </c>
      <c r="E1730" s="31"/>
      <c r="F1730" s="31"/>
      <c r="G1730" s="33"/>
      <c r="H1730" s="105"/>
      <c r="I1730" s="32" t="str">
        <f>IF($A1730="","",VLOOKUP($H1730,APOIO!$L:$M,2,FALSE))</f>
        <v/>
      </c>
      <c r="J1730" s="31"/>
      <c r="K1730" s="32" t="str">
        <f>IF($A1730="","",VLOOKUP($J1730,APOIO!$H:$J,2,FALSE))</f>
        <v/>
      </c>
      <c r="L1730" s="32" t="str">
        <f>IF($A1730="","",VLOOKUP($J1730,APOIO!$H:$J,3,FALSE))</f>
        <v/>
      </c>
      <c r="M1730" s="31"/>
      <c r="N1730" s="34"/>
      <c r="O1730" s="32"/>
      <c r="P1730" s="32"/>
      <c r="Q1730" s="32"/>
      <c r="R1730" s="32"/>
      <c r="S1730" s="35"/>
      <c r="T1730" s="91"/>
      <c r="U1730" s="60"/>
      <c r="V1730" s="36"/>
      <c r="W1730" s="31"/>
      <c r="X1730" s="59"/>
      <c r="Y1730" s="59" t="str">
        <f>IFERROR(VLOOKUP($A1730,APOIO!$A:$A,1,FALSE),"ERRO")</f>
        <v>ERRO</v>
      </c>
      <c r="Z1730"/>
    </row>
    <row r="1731" spans="1:26" ht="15" x14ac:dyDescent="0.25">
      <c r="A1731" s="94"/>
      <c r="B1731" s="32" t="str">
        <f>IF($A1731="","",VLOOKUP($A1731,APOIO!$A:$E,2,FALSE))</f>
        <v/>
      </c>
      <c r="C1731" s="94"/>
      <c r="D1731" s="32" t="str">
        <f>IF($A1731="","",INDEX(APOIO!$D:$D,MATCH(CONCATENATE($A1731,"_",$B1731,"_",$C1731),APOIO!$F:$F,0)))</f>
        <v/>
      </c>
      <c r="E1731" s="31"/>
      <c r="F1731" s="31"/>
      <c r="G1731" s="33"/>
      <c r="H1731" s="105"/>
      <c r="I1731" s="32" t="str">
        <f>IF($A1731="","",VLOOKUP($H1731,APOIO!$L:$M,2,FALSE))</f>
        <v/>
      </c>
      <c r="J1731" s="31"/>
      <c r="K1731" s="32" t="str">
        <f>IF($A1731="","",VLOOKUP($J1731,APOIO!$H:$J,2,FALSE))</f>
        <v/>
      </c>
      <c r="L1731" s="32" t="str">
        <f>IF($A1731="","",VLOOKUP($J1731,APOIO!$H:$J,3,FALSE))</f>
        <v/>
      </c>
      <c r="M1731" s="31"/>
      <c r="N1731" s="34"/>
      <c r="O1731" s="32"/>
      <c r="P1731" s="32"/>
      <c r="Q1731" s="32"/>
      <c r="R1731" s="32"/>
      <c r="S1731" s="35"/>
      <c r="T1731" s="91"/>
      <c r="U1731" s="60"/>
      <c r="V1731" s="36"/>
      <c r="W1731" s="31"/>
      <c r="X1731" s="59"/>
      <c r="Y1731" s="59" t="str">
        <f>IFERROR(VLOOKUP($A1731,APOIO!$A:$A,1,FALSE),"ERRO")</f>
        <v>ERRO</v>
      </c>
      <c r="Z1731"/>
    </row>
    <row r="1732" spans="1:26" ht="15" x14ac:dyDescent="0.25">
      <c r="A1732" s="94"/>
      <c r="B1732" s="32" t="str">
        <f>IF($A1732="","",VLOOKUP($A1732,APOIO!$A:$E,2,FALSE))</f>
        <v/>
      </c>
      <c r="C1732" s="94"/>
      <c r="D1732" s="32" t="str">
        <f>IF($A1732="","",INDEX(APOIO!$D:$D,MATCH(CONCATENATE($A1732,"_",$B1732,"_",$C1732),APOIO!$F:$F,0)))</f>
        <v/>
      </c>
      <c r="E1732" s="31"/>
      <c r="F1732" s="31"/>
      <c r="G1732" s="33"/>
      <c r="H1732" s="105"/>
      <c r="I1732" s="32" t="str">
        <f>IF($A1732="","",VLOOKUP($H1732,APOIO!$L:$M,2,FALSE))</f>
        <v/>
      </c>
      <c r="J1732" s="31"/>
      <c r="K1732" s="32" t="str">
        <f>IF($A1732="","",VLOOKUP($J1732,APOIO!$H:$J,2,FALSE))</f>
        <v/>
      </c>
      <c r="L1732" s="32" t="str">
        <f>IF($A1732="","",VLOOKUP($J1732,APOIO!$H:$J,3,FALSE))</f>
        <v/>
      </c>
      <c r="M1732" s="31"/>
      <c r="N1732" s="34"/>
      <c r="O1732" s="32"/>
      <c r="P1732" s="32"/>
      <c r="Q1732" s="32"/>
      <c r="R1732" s="32"/>
      <c r="S1732" s="35"/>
      <c r="T1732" s="91"/>
      <c r="U1732" s="60"/>
      <c r="V1732" s="36"/>
      <c r="W1732" s="31"/>
      <c r="X1732" s="59"/>
      <c r="Y1732" s="59" t="str">
        <f>IFERROR(VLOOKUP($A1732,APOIO!$A:$A,1,FALSE),"ERRO")</f>
        <v>ERRO</v>
      </c>
      <c r="Z1732"/>
    </row>
    <row r="1733" spans="1:26" ht="15" x14ac:dyDescent="0.25">
      <c r="A1733" s="94"/>
      <c r="B1733" s="32" t="str">
        <f>IF($A1733="","",VLOOKUP($A1733,APOIO!$A:$E,2,FALSE))</f>
        <v/>
      </c>
      <c r="C1733" s="94"/>
      <c r="D1733" s="32" t="str">
        <f>IF($A1733="","",INDEX(APOIO!$D:$D,MATCH(CONCATENATE($A1733,"_",$B1733,"_",$C1733),APOIO!$F:$F,0)))</f>
        <v/>
      </c>
      <c r="E1733" s="31"/>
      <c r="F1733" s="31"/>
      <c r="G1733" s="33"/>
      <c r="H1733" s="105"/>
      <c r="I1733" s="32" t="str">
        <f>IF($A1733="","",VLOOKUP($H1733,APOIO!$L:$M,2,FALSE))</f>
        <v/>
      </c>
      <c r="J1733" s="31"/>
      <c r="K1733" s="32" t="str">
        <f>IF($A1733="","",VLOOKUP($J1733,APOIO!$H:$J,2,FALSE))</f>
        <v/>
      </c>
      <c r="L1733" s="32" t="str">
        <f>IF($A1733="","",VLOOKUP($J1733,APOIO!$H:$J,3,FALSE))</f>
        <v/>
      </c>
      <c r="M1733" s="31"/>
      <c r="N1733" s="34"/>
      <c r="O1733" s="32"/>
      <c r="P1733" s="32"/>
      <c r="Q1733" s="32"/>
      <c r="R1733" s="32"/>
      <c r="S1733" s="35"/>
      <c r="T1733" s="91"/>
      <c r="U1733" s="60"/>
      <c r="V1733" s="36"/>
      <c r="W1733" s="31"/>
      <c r="X1733" s="59"/>
      <c r="Y1733" s="59" t="str">
        <f>IFERROR(VLOOKUP($A1733,APOIO!$A:$A,1,FALSE),"ERRO")</f>
        <v>ERRO</v>
      </c>
      <c r="Z1733"/>
    </row>
    <row r="1734" spans="1:26" ht="15" x14ac:dyDescent="0.25">
      <c r="A1734" s="94"/>
      <c r="B1734" s="32" t="str">
        <f>IF($A1734="","",VLOOKUP($A1734,APOIO!$A:$E,2,FALSE))</f>
        <v/>
      </c>
      <c r="C1734" s="94"/>
      <c r="D1734" s="32" t="str">
        <f>IF($A1734="","",INDEX(APOIO!$D:$D,MATCH(CONCATENATE($A1734,"_",$B1734,"_",$C1734),APOIO!$F:$F,0)))</f>
        <v/>
      </c>
      <c r="E1734" s="31"/>
      <c r="F1734" s="31"/>
      <c r="G1734" s="33"/>
      <c r="H1734" s="105"/>
      <c r="I1734" s="32" t="str">
        <f>IF($A1734="","",VLOOKUP($H1734,APOIO!$L:$M,2,FALSE))</f>
        <v/>
      </c>
      <c r="J1734" s="31"/>
      <c r="K1734" s="32" t="str">
        <f>IF($A1734="","",VLOOKUP($J1734,APOIO!$H:$J,2,FALSE))</f>
        <v/>
      </c>
      <c r="L1734" s="32" t="str">
        <f>IF($A1734="","",VLOOKUP($J1734,APOIO!$H:$J,3,FALSE))</f>
        <v/>
      </c>
      <c r="M1734" s="31"/>
      <c r="N1734" s="34"/>
      <c r="O1734" s="32"/>
      <c r="P1734" s="32"/>
      <c r="Q1734" s="32"/>
      <c r="R1734" s="32"/>
      <c r="S1734" s="35"/>
      <c r="T1734" s="91"/>
      <c r="U1734" s="60"/>
      <c r="V1734" s="36"/>
      <c r="W1734" s="31"/>
      <c r="X1734" s="59"/>
      <c r="Y1734" s="59" t="str">
        <f>IFERROR(VLOOKUP($A1734,APOIO!$A:$A,1,FALSE),"ERRO")</f>
        <v>ERRO</v>
      </c>
      <c r="Z1734"/>
    </row>
    <row r="1735" spans="1:26" ht="15" x14ac:dyDescent="0.25">
      <c r="A1735" s="94"/>
      <c r="B1735" s="32" t="str">
        <f>IF($A1735="","",VLOOKUP($A1735,APOIO!$A:$E,2,FALSE))</f>
        <v/>
      </c>
      <c r="C1735" s="94"/>
      <c r="D1735" s="32" t="str">
        <f>IF($A1735="","",INDEX(APOIO!$D:$D,MATCH(CONCATENATE($A1735,"_",$B1735,"_",$C1735),APOIO!$F:$F,0)))</f>
        <v/>
      </c>
      <c r="E1735" s="31"/>
      <c r="F1735" s="31"/>
      <c r="G1735" s="33"/>
      <c r="H1735" s="105"/>
      <c r="I1735" s="32" t="str">
        <f>IF($A1735="","",VLOOKUP($H1735,APOIO!$L:$M,2,FALSE))</f>
        <v/>
      </c>
      <c r="J1735" s="31"/>
      <c r="K1735" s="32" t="str">
        <f>IF($A1735="","",VLOOKUP($J1735,APOIO!$H:$J,2,FALSE))</f>
        <v/>
      </c>
      <c r="L1735" s="32" t="str">
        <f>IF($A1735="","",VLOOKUP($J1735,APOIO!$H:$J,3,FALSE))</f>
        <v/>
      </c>
      <c r="M1735" s="31"/>
      <c r="N1735" s="34"/>
      <c r="O1735" s="32"/>
      <c r="P1735" s="32"/>
      <c r="Q1735" s="32"/>
      <c r="R1735" s="32"/>
      <c r="S1735" s="35"/>
      <c r="T1735" s="91"/>
      <c r="U1735" s="60"/>
      <c r="V1735" s="36"/>
      <c r="W1735" s="31"/>
      <c r="X1735" s="59"/>
      <c r="Y1735" s="59" t="str">
        <f>IFERROR(VLOOKUP($A1735,APOIO!$A:$A,1,FALSE),"ERRO")</f>
        <v>ERRO</v>
      </c>
      <c r="Z1735"/>
    </row>
    <row r="1736" spans="1:26" ht="15" x14ac:dyDescent="0.25">
      <c r="A1736" s="94"/>
      <c r="B1736" s="32" t="str">
        <f>IF($A1736="","",VLOOKUP($A1736,APOIO!$A:$E,2,FALSE))</f>
        <v/>
      </c>
      <c r="C1736" s="94"/>
      <c r="D1736" s="32" t="str">
        <f>IF($A1736="","",INDEX(APOIO!$D:$D,MATCH(CONCATENATE($A1736,"_",$B1736,"_",$C1736),APOIO!$F:$F,0)))</f>
        <v/>
      </c>
      <c r="E1736" s="31"/>
      <c r="F1736" s="31"/>
      <c r="G1736" s="33"/>
      <c r="H1736" s="105"/>
      <c r="I1736" s="32" t="str">
        <f>IF($A1736="","",VLOOKUP($H1736,APOIO!$L:$M,2,FALSE))</f>
        <v/>
      </c>
      <c r="J1736" s="31"/>
      <c r="K1736" s="32" t="str">
        <f>IF($A1736="","",VLOOKUP($J1736,APOIO!$H:$J,2,FALSE))</f>
        <v/>
      </c>
      <c r="L1736" s="32" t="str">
        <f>IF($A1736="","",VLOOKUP($J1736,APOIO!$H:$J,3,FALSE))</f>
        <v/>
      </c>
      <c r="M1736" s="31"/>
      <c r="N1736" s="34"/>
      <c r="O1736" s="32"/>
      <c r="P1736" s="32"/>
      <c r="Q1736" s="32"/>
      <c r="R1736" s="32"/>
      <c r="S1736" s="35"/>
      <c r="T1736" s="91"/>
      <c r="U1736" s="60"/>
      <c r="V1736" s="36"/>
      <c r="W1736" s="31"/>
      <c r="X1736" s="59"/>
      <c r="Y1736" s="59" t="str">
        <f>IFERROR(VLOOKUP($A1736,APOIO!$A:$A,1,FALSE),"ERRO")</f>
        <v>ERRO</v>
      </c>
      <c r="Z1736"/>
    </row>
    <row r="1737" spans="1:26" ht="15" x14ac:dyDescent="0.25">
      <c r="A1737" s="94"/>
      <c r="B1737" s="32" t="str">
        <f>IF($A1737="","",VLOOKUP($A1737,APOIO!$A:$E,2,FALSE))</f>
        <v/>
      </c>
      <c r="C1737" s="94"/>
      <c r="D1737" s="32" t="str">
        <f>IF($A1737="","",INDEX(APOIO!$D:$D,MATCH(CONCATENATE($A1737,"_",$B1737,"_",$C1737),APOIO!$F:$F,0)))</f>
        <v/>
      </c>
      <c r="E1737" s="31"/>
      <c r="F1737" s="31"/>
      <c r="G1737" s="33"/>
      <c r="H1737" s="105"/>
      <c r="I1737" s="32" t="str">
        <f>IF($A1737="","",VLOOKUP($H1737,APOIO!$L:$M,2,FALSE))</f>
        <v/>
      </c>
      <c r="J1737" s="31"/>
      <c r="K1737" s="32" t="str">
        <f>IF($A1737="","",VLOOKUP($J1737,APOIO!$H:$J,2,FALSE))</f>
        <v/>
      </c>
      <c r="L1737" s="32" t="str">
        <f>IF($A1737="","",VLOOKUP($J1737,APOIO!$H:$J,3,FALSE))</f>
        <v/>
      </c>
      <c r="M1737" s="31"/>
      <c r="N1737" s="34"/>
      <c r="O1737" s="32"/>
      <c r="P1737" s="32"/>
      <c r="Q1737" s="32"/>
      <c r="R1737" s="32"/>
      <c r="S1737" s="35"/>
      <c r="T1737" s="91"/>
      <c r="U1737" s="60"/>
      <c r="V1737" s="36"/>
      <c r="W1737" s="31"/>
      <c r="X1737" s="59"/>
      <c r="Y1737" s="59" t="str">
        <f>IFERROR(VLOOKUP($A1737,APOIO!$A:$A,1,FALSE),"ERRO")</f>
        <v>ERRO</v>
      </c>
      <c r="Z1737"/>
    </row>
    <row r="1738" spans="1:26" ht="15" x14ac:dyDescent="0.25">
      <c r="A1738" s="94"/>
      <c r="B1738" s="32" t="str">
        <f>IF($A1738="","",VLOOKUP($A1738,APOIO!$A:$E,2,FALSE))</f>
        <v/>
      </c>
      <c r="C1738" s="94"/>
      <c r="D1738" s="32" t="str">
        <f>IF($A1738="","",INDEX(APOIO!$D:$D,MATCH(CONCATENATE($A1738,"_",$B1738,"_",$C1738),APOIO!$F:$F,0)))</f>
        <v/>
      </c>
      <c r="E1738" s="31"/>
      <c r="F1738" s="31"/>
      <c r="G1738" s="33"/>
      <c r="H1738" s="105"/>
      <c r="I1738" s="32" t="str">
        <f>IF($A1738="","",VLOOKUP($H1738,APOIO!$L:$M,2,FALSE))</f>
        <v/>
      </c>
      <c r="J1738" s="31"/>
      <c r="K1738" s="32" t="str">
        <f>IF($A1738="","",VLOOKUP($J1738,APOIO!$H:$J,2,FALSE))</f>
        <v/>
      </c>
      <c r="L1738" s="32" t="str">
        <f>IF($A1738="","",VLOOKUP($J1738,APOIO!$H:$J,3,FALSE))</f>
        <v/>
      </c>
      <c r="M1738" s="31"/>
      <c r="N1738" s="34"/>
      <c r="O1738" s="32"/>
      <c r="P1738" s="32"/>
      <c r="Q1738" s="32"/>
      <c r="R1738" s="32"/>
      <c r="S1738" s="35"/>
      <c r="T1738" s="91"/>
      <c r="U1738" s="60"/>
      <c r="V1738" s="36"/>
      <c r="W1738" s="31"/>
      <c r="X1738" s="59"/>
      <c r="Y1738" s="59" t="str">
        <f>IFERROR(VLOOKUP($A1738,APOIO!$A:$A,1,FALSE),"ERRO")</f>
        <v>ERRO</v>
      </c>
      <c r="Z1738"/>
    </row>
    <row r="1739" spans="1:26" ht="15" x14ac:dyDescent="0.25">
      <c r="A1739" s="94"/>
      <c r="B1739" s="32" t="str">
        <f>IF($A1739="","",VLOOKUP($A1739,APOIO!$A:$E,2,FALSE))</f>
        <v/>
      </c>
      <c r="C1739" s="94"/>
      <c r="D1739" s="32" t="str">
        <f>IF($A1739="","",INDEX(APOIO!$D:$D,MATCH(CONCATENATE($A1739,"_",$B1739,"_",$C1739),APOIO!$F:$F,0)))</f>
        <v/>
      </c>
      <c r="E1739" s="31"/>
      <c r="F1739" s="31"/>
      <c r="G1739" s="33"/>
      <c r="H1739" s="105"/>
      <c r="I1739" s="32" t="str">
        <f>IF($A1739="","",VLOOKUP($H1739,APOIO!$L:$M,2,FALSE))</f>
        <v/>
      </c>
      <c r="J1739" s="31"/>
      <c r="K1739" s="32" t="str">
        <f>IF($A1739="","",VLOOKUP($J1739,APOIO!$H:$J,2,FALSE))</f>
        <v/>
      </c>
      <c r="L1739" s="32" t="str">
        <f>IF($A1739="","",VLOOKUP($J1739,APOIO!$H:$J,3,FALSE))</f>
        <v/>
      </c>
      <c r="M1739" s="31"/>
      <c r="N1739" s="34"/>
      <c r="O1739" s="32"/>
      <c r="P1739" s="32"/>
      <c r="Q1739" s="32"/>
      <c r="R1739" s="32"/>
      <c r="S1739" s="35"/>
      <c r="T1739" s="91"/>
      <c r="U1739" s="60"/>
      <c r="V1739" s="36"/>
      <c r="W1739" s="31"/>
      <c r="X1739" s="59"/>
      <c r="Y1739" s="59" t="str">
        <f>IFERROR(VLOOKUP($A1739,APOIO!$A:$A,1,FALSE),"ERRO")</f>
        <v>ERRO</v>
      </c>
      <c r="Z1739"/>
    </row>
    <row r="1740" spans="1:26" ht="15" x14ac:dyDescent="0.25">
      <c r="A1740" s="94"/>
      <c r="B1740" s="32" t="str">
        <f>IF($A1740="","",VLOOKUP($A1740,APOIO!$A:$E,2,FALSE))</f>
        <v/>
      </c>
      <c r="C1740" s="94"/>
      <c r="D1740" s="32" t="str">
        <f>IF($A1740="","",INDEX(APOIO!$D:$D,MATCH(CONCATENATE($A1740,"_",$B1740,"_",$C1740),APOIO!$F:$F,0)))</f>
        <v/>
      </c>
      <c r="E1740" s="31"/>
      <c r="F1740" s="31"/>
      <c r="G1740" s="33"/>
      <c r="H1740" s="105"/>
      <c r="I1740" s="32" t="str">
        <f>IF($A1740="","",VLOOKUP($H1740,APOIO!$L:$M,2,FALSE))</f>
        <v/>
      </c>
      <c r="J1740" s="31"/>
      <c r="K1740" s="32" t="str">
        <f>IF($A1740="","",VLOOKUP($J1740,APOIO!$H:$J,2,FALSE))</f>
        <v/>
      </c>
      <c r="L1740" s="32" t="str">
        <f>IF($A1740="","",VLOOKUP($J1740,APOIO!$H:$J,3,FALSE))</f>
        <v/>
      </c>
      <c r="M1740" s="31"/>
      <c r="N1740" s="34"/>
      <c r="O1740" s="32"/>
      <c r="P1740" s="32"/>
      <c r="Q1740" s="32"/>
      <c r="R1740" s="32"/>
      <c r="S1740" s="35"/>
      <c r="T1740" s="91"/>
      <c r="U1740" s="60"/>
      <c r="V1740" s="36"/>
      <c r="W1740" s="31"/>
      <c r="X1740" s="59"/>
      <c r="Y1740" s="59" t="str">
        <f>IFERROR(VLOOKUP($A1740,APOIO!$A:$A,1,FALSE),"ERRO")</f>
        <v>ERRO</v>
      </c>
      <c r="Z1740"/>
    </row>
    <row r="1741" spans="1:26" ht="15" x14ac:dyDescent="0.25">
      <c r="A1741" s="94"/>
      <c r="B1741" s="32" t="str">
        <f>IF($A1741="","",VLOOKUP($A1741,APOIO!$A:$E,2,FALSE))</f>
        <v/>
      </c>
      <c r="C1741" s="94"/>
      <c r="D1741" s="32" t="str">
        <f>IF($A1741="","",INDEX(APOIO!$D:$D,MATCH(CONCATENATE($A1741,"_",$B1741,"_",$C1741),APOIO!$F:$F,0)))</f>
        <v/>
      </c>
      <c r="E1741" s="31"/>
      <c r="F1741" s="31"/>
      <c r="G1741" s="33"/>
      <c r="H1741" s="105"/>
      <c r="I1741" s="32" t="str">
        <f>IF($A1741="","",VLOOKUP($H1741,APOIO!$L:$M,2,FALSE))</f>
        <v/>
      </c>
      <c r="J1741" s="31"/>
      <c r="K1741" s="32" t="str">
        <f>IF($A1741="","",VLOOKUP($J1741,APOIO!$H:$J,2,FALSE))</f>
        <v/>
      </c>
      <c r="L1741" s="32" t="str">
        <f>IF($A1741="","",VLOOKUP($J1741,APOIO!$H:$J,3,FALSE))</f>
        <v/>
      </c>
      <c r="M1741" s="31"/>
      <c r="N1741" s="34"/>
      <c r="O1741" s="32"/>
      <c r="P1741" s="32"/>
      <c r="Q1741" s="32"/>
      <c r="R1741" s="32"/>
      <c r="S1741" s="35"/>
      <c r="T1741" s="91"/>
      <c r="U1741" s="60"/>
      <c r="V1741" s="36"/>
      <c r="W1741" s="31"/>
      <c r="X1741" s="59"/>
      <c r="Y1741" s="59" t="str">
        <f>IFERROR(VLOOKUP($A1741,APOIO!$A:$A,1,FALSE),"ERRO")</f>
        <v>ERRO</v>
      </c>
      <c r="Z1741"/>
    </row>
    <row r="1742" spans="1:26" ht="15" x14ac:dyDescent="0.25">
      <c r="A1742" s="94"/>
      <c r="B1742" s="32" t="str">
        <f>IF($A1742="","",VLOOKUP($A1742,APOIO!$A:$E,2,FALSE))</f>
        <v/>
      </c>
      <c r="C1742" s="94"/>
      <c r="D1742" s="32" t="str">
        <f>IF($A1742="","",INDEX(APOIO!$D:$D,MATCH(CONCATENATE($A1742,"_",$B1742,"_",$C1742),APOIO!$F:$F,0)))</f>
        <v/>
      </c>
      <c r="E1742" s="31"/>
      <c r="F1742" s="31"/>
      <c r="G1742" s="33"/>
      <c r="H1742" s="105"/>
      <c r="I1742" s="32" t="str">
        <f>IF($A1742="","",VLOOKUP($H1742,APOIO!$L:$M,2,FALSE))</f>
        <v/>
      </c>
      <c r="J1742" s="31"/>
      <c r="K1742" s="32" t="str">
        <f>IF($A1742="","",VLOOKUP($J1742,APOIO!$H:$J,2,FALSE))</f>
        <v/>
      </c>
      <c r="L1742" s="32" t="str">
        <f>IF($A1742="","",VLOOKUP($J1742,APOIO!$H:$J,3,FALSE))</f>
        <v/>
      </c>
      <c r="M1742" s="31"/>
      <c r="N1742" s="34"/>
      <c r="O1742" s="32"/>
      <c r="P1742" s="32"/>
      <c r="Q1742" s="32"/>
      <c r="R1742" s="32"/>
      <c r="S1742" s="35"/>
      <c r="T1742" s="91"/>
      <c r="U1742" s="60"/>
      <c r="V1742" s="36"/>
      <c r="W1742" s="31"/>
      <c r="X1742" s="59"/>
      <c r="Y1742" s="59" t="str">
        <f>IFERROR(VLOOKUP($A1742,APOIO!$A:$A,1,FALSE),"ERRO")</f>
        <v>ERRO</v>
      </c>
      <c r="Z1742"/>
    </row>
    <row r="1743" spans="1:26" ht="15" x14ac:dyDescent="0.25">
      <c r="A1743" s="94"/>
      <c r="B1743" s="32" t="str">
        <f>IF($A1743="","",VLOOKUP($A1743,APOIO!$A:$E,2,FALSE))</f>
        <v/>
      </c>
      <c r="C1743" s="94"/>
      <c r="D1743" s="32" t="str">
        <f>IF($A1743="","",INDEX(APOIO!$D:$D,MATCH(CONCATENATE($A1743,"_",$B1743,"_",$C1743),APOIO!$F:$F,0)))</f>
        <v/>
      </c>
      <c r="E1743" s="31"/>
      <c r="F1743" s="31"/>
      <c r="G1743" s="33"/>
      <c r="H1743" s="105"/>
      <c r="I1743" s="32" t="str">
        <f>IF($A1743="","",VLOOKUP($H1743,APOIO!$L:$M,2,FALSE))</f>
        <v/>
      </c>
      <c r="J1743" s="31"/>
      <c r="K1743" s="32" t="str">
        <f>IF($A1743="","",VLOOKUP($J1743,APOIO!$H:$J,2,FALSE))</f>
        <v/>
      </c>
      <c r="L1743" s="32" t="str">
        <f>IF($A1743="","",VLOOKUP($J1743,APOIO!$H:$J,3,FALSE))</f>
        <v/>
      </c>
      <c r="M1743" s="31"/>
      <c r="N1743" s="34"/>
      <c r="O1743" s="32"/>
      <c r="P1743" s="32"/>
      <c r="Q1743" s="32"/>
      <c r="R1743" s="32"/>
      <c r="S1743" s="35"/>
      <c r="T1743" s="91"/>
      <c r="U1743" s="60"/>
      <c r="V1743" s="36"/>
      <c r="W1743" s="31"/>
      <c r="X1743" s="59"/>
      <c r="Y1743" s="59" t="str">
        <f>IFERROR(VLOOKUP($A1743,APOIO!$A:$A,1,FALSE),"ERRO")</f>
        <v>ERRO</v>
      </c>
      <c r="Z1743"/>
    </row>
    <row r="1744" spans="1:26" ht="15" x14ac:dyDescent="0.25">
      <c r="A1744" s="94"/>
      <c r="B1744" s="32" t="str">
        <f>IF($A1744="","",VLOOKUP($A1744,APOIO!$A:$E,2,FALSE))</f>
        <v/>
      </c>
      <c r="C1744" s="94"/>
      <c r="D1744" s="32" t="str">
        <f>IF($A1744="","",INDEX(APOIO!$D:$D,MATCH(CONCATENATE($A1744,"_",$B1744,"_",$C1744),APOIO!$F:$F,0)))</f>
        <v/>
      </c>
      <c r="E1744" s="31"/>
      <c r="F1744" s="31"/>
      <c r="G1744" s="33"/>
      <c r="H1744" s="105"/>
      <c r="I1744" s="32" t="str">
        <f>IF($A1744="","",VLOOKUP($H1744,APOIO!$L:$M,2,FALSE))</f>
        <v/>
      </c>
      <c r="J1744" s="31"/>
      <c r="K1744" s="32" t="str">
        <f>IF($A1744="","",VLOOKUP($J1744,APOIO!$H:$J,2,FALSE))</f>
        <v/>
      </c>
      <c r="L1744" s="32" t="str">
        <f>IF($A1744="","",VLOOKUP($J1744,APOIO!$H:$J,3,FALSE))</f>
        <v/>
      </c>
      <c r="M1744" s="31"/>
      <c r="N1744" s="34"/>
      <c r="O1744" s="32"/>
      <c r="P1744" s="32"/>
      <c r="Q1744" s="32"/>
      <c r="R1744" s="32"/>
      <c r="S1744" s="35"/>
      <c r="T1744" s="91"/>
      <c r="U1744" s="60"/>
      <c r="V1744" s="36"/>
      <c r="W1744" s="31"/>
      <c r="X1744" s="59"/>
      <c r="Y1744" s="59" t="str">
        <f>IFERROR(VLOOKUP($A1744,APOIO!$A:$A,1,FALSE),"ERRO")</f>
        <v>ERRO</v>
      </c>
      <c r="Z1744"/>
    </row>
    <row r="1745" spans="1:26" ht="15" x14ac:dyDescent="0.25">
      <c r="A1745" s="94"/>
      <c r="B1745" s="32" t="str">
        <f>IF($A1745="","",VLOOKUP($A1745,APOIO!$A:$E,2,FALSE))</f>
        <v/>
      </c>
      <c r="C1745" s="94"/>
      <c r="D1745" s="32" t="str">
        <f>IF($A1745="","",INDEX(APOIO!$D:$D,MATCH(CONCATENATE($A1745,"_",$B1745,"_",$C1745),APOIO!$F:$F,0)))</f>
        <v/>
      </c>
      <c r="E1745" s="31"/>
      <c r="F1745" s="31"/>
      <c r="G1745" s="33"/>
      <c r="H1745" s="105"/>
      <c r="I1745" s="32" t="str">
        <f>IF($A1745="","",VLOOKUP($H1745,APOIO!$L:$M,2,FALSE))</f>
        <v/>
      </c>
      <c r="J1745" s="31"/>
      <c r="K1745" s="32" t="str">
        <f>IF($A1745="","",VLOOKUP($J1745,APOIO!$H:$J,2,FALSE))</f>
        <v/>
      </c>
      <c r="L1745" s="32" t="str">
        <f>IF($A1745="","",VLOOKUP($J1745,APOIO!$H:$J,3,FALSE))</f>
        <v/>
      </c>
      <c r="M1745" s="31"/>
      <c r="N1745" s="34"/>
      <c r="O1745" s="32"/>
      <c r="P1745" s="32"/>
      <c r="Q1745" s="32"/>
      <c r="R1745" s="32"/>
      <c r="S1745" s="35"/>
      <c r="T1745" s="91"/>
      <c r="U1745" s="60"/>
      <c r="V1745" s="36"/>
      <c r="W1745" s="31"/>
      <c r="X1745" s="59"/>
      <c r="Y1745" s="59" t="str">
        <f>IFERROR(VLOOKUP($A1745,APOIO!$A:$A,1,FALSE),"ERRO")</f>
        <v>ERRO</v>
      </c>
      <c r="Z1745"/>
    </row>
    <row r="1746" spans="1:26" ht="15" x14ac:dyDescent="0.25">
      <c r="A1746" s="94"/>
      <c r="B1746" s="32" t="str">
        <f>IF($A1746="","",VLOOKUP($A1746,APOIO!$A:$E,2,FALSE))</f>
        <v/>
      </c>
      <c r="C1746" s="94"/>
      <c r="D1746" s="32" t="str">
        <f>IF($A1746="","",INDEX(APOIO!$D:$D,MATCH(CONCATENATE($A1746,"_",$B1746,"_",$C1746),APOIO!$F:$F,0)))</f>
        <v/>
      </c>
      <c r="E1746" s="31"/>
      <c r="F1746" s="31"/>
      <c r="G1746" s="33"/>
      <c r="H1746" s="105"/>
      <c r="I1746" s="32" t="str">
        <f>IF($A1746="","",VLOOKUP($H1746,APOIO!$L:$M,2,FALSE))</f>
        <v/>
      </c>
      <c r="J1746" s="31"/>
      <c r="K1746" s="32" t="str">
        <f>IF($A1746="","",VLOOKUP($J1746,APOIO!$H:$J,2,FALSE))</f>
        <v/>
      </c>
      <c r="L1746" s="32" t="str">
        <f>IF($A1746="","",VLOOKUP($J1746,APOIO!$H:$J,3,FALSE))</f>
        <v/>
      </c>
      <c r="M1746" s="31"/>
      <c r="N1746" s="34"/>
      <c r="O1746" s="32"/>
      <c r="P1746" s="32"/>
      <c r="Q1746" s="32"/>
      <c r="R1746" s="32"/>
      <c r="S1746" s="35"/>
      <c r="T1746" s="91"/>
      <c r="U1746" s="60"/>
      <c r="V1746" s="36"/>
      <c r="W1746" s="31"/>
      <c r="X1746" s="59"/>
      <c r="Y1746" s="59" t="str">
        <f>IFERROR(VLOOKUP($A1746,APOIO!$A:$A,1,FALSE),"ERRO")</f>
        <v>ERRO</v>
      </c>
      <c r="Z1746"/>
    </row>
    <row r="1747" spans="1:26" ht="15" x14ac:dyDescent="0.25">
      <c r="A1747" s="94"/>
      <c r="B1747" s="32" t="str">
        <f>IF($A1747="","",VLOOKUP($A1747,APOIO!$A:$E,2,FALSE))</f>
        <v/>
      </c>
      <c r="C1747" s="94"/>
      <c r="D1747" s="32" t="str">
        <f>IF($A1747="","",INDEX(APOIO!$D:$D,MATCH(CONCATENATE($A1747,"_",$B1747,"_",$C1747),APOIO!$F:$F,0)))</f>
        <v/>
      </c>
      <c r="E1747" s="31"/>
      <c r="F1747" s="31"/>
      <c r="G1747" s="33"/>
      <c r="H1747" s="105"/>
      <c r="I1747" s="32" t="str">
        <f>IF($A1747="","",VLOOKUP($H1747,APOIO!$L:$M,2,FALSE))</f>
        <v/>
      </c>
      <c r="J1747" s="31"/>
      <c r="K1747" s="32" t="str">
        <f>IF($A1747="","",VLOOKUP($J1747,APOIO!$H:$J,2,FALSE))</f>
        <v/>
      </c>
      <c r="L1747" s="32" t="str">
        <f>IF($A1747="","",VLOOKUP($J1747,APOIO!$H:$J,3,FALSE))</f>
        <v/>
      </c>
      <c r="M1747" s="31"/>
      <c r="N1747" s="34"/>
      <c r="O1747" s="32"/>
      <c r="P1747" s="32"/>
      <c r="Q1747" s="32"/>
      <c r="R1747" s="32"/>
      <c r="S1747" s="35"/>
      <c r="T1747" s="91"/>
      <c r="U1747" s="60"/>
      <c r="V1747" s="36"/>
      <c r="W1747" s="31"/>
      <c r="X1747" s="59"/>
      <c r="Y1747" s="59" t="str">
        <f>IFERROR(VLOOKUP($A1747,APOIO!$A:$A,1,FALSE),"ERRO")</f>
        <v>ERRO</v>
      </c>
      <c r="Z1747"/>
    </row>
    <row r="1748" spans="1:26" ht="15" x14ac:dyDescent="0.25">
      <c r="A1748" s="94"/>
      <c r="B1748" s="32" t="str">
        <f>IF($A1748="","",VLOOKUP($A1748,APOIO!$A:$E,2,FALSE))</f>
        <v/>
      </c>
      <c r="C1748" s="94"/>
      <c r="D1748" s="32" t="str">
        <f>IF($A1748="","",INDEX(APOIO!$D:$D,MATCH(CONCATENATE($A1748,"_",$B1748,"_",$C1748),APOIO!$F:$F,0)))</f>
        <v/>
      </c>
      <c r="E1748" s="31"/>
      <c r="F1748" s="31"/>
      <c r="G1748" s="33"/>
      <c r="H1748" s="105"/>
      <c r="I1748" s="32" t="str">
        <f>IF($A1748="","",VLOOKUP($H1748,APOIO!$L:$M,2,FALSE))</f>
        <v/>
      </c>
      <c r="J1748" s="31"/>
      <c r="K1748" s="32" t="str">
        <f>IF($A1748="","",VLOOKUP($J1748,APOIO!$H:$J,2,FALSE))</f>
        <v/>
      </c>
      <c r="L1748" s="32" t="str">
        <f>IF($A1748="","",VLOOKUP($J1748,APOIO!$H:$J,3,FALSE))</f>
        <v/>
      </c>
      <c r="M1748" s="31"/>
      <c r="N1748" s="34"/>
      <c r="O1748" s="32"/>
      <c r="P1748" s="32"/>
      <c r="Q1748" s="32"/>
      <c r="R1748" s="32"/>
      <c r="S1748" s="35"/>
      <c r="T1748" s="91"/>
      <c r="U1748" s="60"/>
      <c r="V1748" s="36"/>
      <c r="W1748" s="31"/>
      <c r="X1748" s="59"/>
      <c r="Y1748" s="59" t="str">
        <f>IFERROR(VLOOKUP($A1748,APOIO!$A:$A,1,FALSE),"ERRO")</f>
        <v>ERRO</v>
      </c>
      <c r="Z1748"/>
    </row>
    <row r="1749" spans="1:26" ht="15" x14ac:dyDescent="0.25">
      <c r="A1749" s="94"/>
      <c r="B1749" s="32" t="str">
        <f>IF($A1749="","",VLOOKUP($A1749,APOIO!$A:$E,2,FALSE))</f>
        <v/>
      </c>
      <c r="C1749" s="94"/>
      <c r="D1749" s="32" t="str">
        <f>IF($A1749="","",INDEX(APOIO!$D:$D,MATCH(CONCATENATE($A1749,"_",$B1749,"_",$C1749),APOIO!$F:$F,0)))</f>
        <v/>
      </c>
      <c r="E1749" s="31"/>
      <c r="F1749" s="31"/>
      <c r="G1749" s="33"/>
      <c r="H1749" s="105"/>
      <c r="I1749" s="32" t="str">
        <f>IF($A1749="","",VLOOKUP($H1749,APOIO!$L:$M,2,FALSE))</f>
        <v/>
      </c>
      <c r="J1749" s="31"/>
      <c r="K1749" s="32" t="str">
        <f>IF($A1749="","",VLOOKUP($J1749,APOIO!$H:$J,2,FALSE))</f>
        <v/>
      </c>
      <c r="L1749" s="32" t="str">
        <f>IF($A1749="","",VLOOKUP($J1749,APOIO!$H:$J,3,FALSE))</f>
        <v/>
      </c>
      <c r="M1749" s="31"/>
      <c r="N1749" s="34"/>
      <c r="O1749" s="32"/>
      <c r="P1749" s="32"/>
      <c r="Q1749" s="32"/>
      <c r="R1749" s="32"/>
      <c r="S1749" s="35"/>
      <c r="T1749" s="91"/>
      <c r="U1749" s="60"/>
      <c r="V1749" s="36"/>
      <c r="W1749" s="31"/>
      <c r="X1749" s="59"/>
      <c r="Y1749" s="59" t="str">
        <f>IFERROR(VLOOKUP($A1749,APOIO!$A:$A,1,FALSE),"ERRO")</f>
        <v>ERRO</v>
      </c>
      <c r="Z1749"/>
    </row>
    <row r="1750" spans="1:26" ht="15" x14ac:dyDescent="0.25">
      <c r="A1750" s="94"/>
      <c r="B1750" s="32" t="str">
        <f>IF($A1750="","",VLOOKUP($A1750,APOIO!$A:$E,2,FALSE))</f>
        <v/>
      </c>
      <c r="C1750" s="94"/>
      <c r="D1750" s="32" t="str">
        <f>IF($A1750="","",INDEX(APOIO!$D:$D,MATCH(CONCATENATE($A1750,"_",$B1750,"_",$C1750),APOIO!$F:$F,0)))</f>
        <v/>
      </c>
      <c r="E1750" s="31"/>
      <c r="F1750" s="31"/>
      <c r="G1750" s="33"/>
      <c r="H1750" s="105"/>
      <c r="I1750" s="32" t="str">
        <f>IF($A1750="","",VLOOKUP($H1750,APOIO!$L:$M,2,FALSE))</f>
        <v/>
      </c>
      <c r="J1750" s="31"/>
      <c r="K1750" s="32" t="str">
        <f>IF($A1750="","",VLOOKUP($J1750,APOIO!$H:$J,2,FALSE))</f>
        <v/>
      </c>
      <c r="L1750" s="32" t="str">
        <f>IF($A1750="","",VLOOKUP($J1750,APOIO!$H:$J,3,FALSE))</f>
        <v/>
      </c>
      <c r="M1750" s="31"/>
      <c r="N1750" s="34"/>
      <c r="O1750" s="32"/>
      <c r="P1750" s="32"/>
      <c r="Q1750" s="32"/>
      <c r="R1750" s="32"/>
      <c r="S1750" s="35"/>
      <c r="T1750" s="91"/>
      <c r="U1750" s="60"/>
      <c r="V1750" s="36"/>
      <c r="W1750" s="31"/>
      <c r="X1750" s="59"/>
      <c r="Y1750" s="59" t="str">
        <f>IFERROR(VLOOKUP($A1750,APOIO!$A:$A,1,FALSE),"ERRO")</f>
        <v>ERRO</v>
      </c>
      <c r="Z1750"/>
    </row>
    <row r="1751" spans="1:26" ht="15" x14ac:dyDescent="0.25">
      <c r="A1751" s="94"/>
      <c r="B1751" s="32" t="str">
        <f>IF($A1751="","",VLOOKUP($A1751,APOIO!$A:$E,2,FALSE))</f>
        <v/>
      </c>
      <c r="C1751" s="94"/>
      <c r="D1751" s="32" t="str">
        <f>IF($A1751="","",INDEX(APOIO!$D:$D,MATCH(CONCATENATE($A1751,"_",$B1751,"_",$C1751),APOIO!$F:$F,0)))</f>
        <v/>
      </c>
      <c r="E1751" s="31"/>
      <c r="F1751" s="31"/>
      <c r="G1751" s="33"/>
      <c r="H1751" s="105"/>
      <c r="I1751" s="32" t="str">
        <f>IF($A1751="","",VLOOKUP($H1751,APOIO!$L:$M,2,FALSE))</f>
        <v/>
      </c>
      <c r="J1751" s="31"/>
      <c r="K1751" s="32" t="str">
        <f>IF($A1751="","",VLOOKUP($J1751,APOIO!$H:$J,2,FALSE))</f>
        <v/>
      </c>
      <c r="L1751" s="32" t="str">
        <f>IF($A1751="","",VLOOKUP($J1751,APOIO!$H:$J,3,FALSE))</f>
        <v/>
      </c>
      <c r="M1751" s="31"/>
      <c r="N1751" s="34"/>
      <c r="O1751" s="32"/>
      <c r="P1751" s="32"/>
      <c r="Q1751" s="32"/>
      <c r="R1751" s="32"/>
      <c r="S1751" s="35"/>
      <c r="T1751" s="91"/>
      <c r="U1751" s="60"/>
      <c r="V1751" s="36"/>
      <c r="W1751" s="31"/>
      <c r="X1751" s="59"/>
      <c r="Y1751" s="59" t="str">
        <f>IFERROR(VLOOKUP($A1751,APOIO!$A:$A,1,FALSE),"ERRO")</f>
        <v>ERRO</v>
      </c>
      <c r="Z1751"/>
    </row>
    <row r="1752" spans="1:26" ht="15" x14ac:dyDescent="0.25">
      <c r="A1752" s="94"/>
      <c r="B1752" s="32" t="str">
        <f>IF($A1752="","",VLOOKUP($A1752,APOIO!$A:$E,2,FALSE))</f>
        <v/>
      </c>
      <c r="C1752" s="94"/>
      <c r="D1752" s="32" t="str">
        <f>IF($A1752="","",INDEX(APOIO!$D:$D,MATCH(CONCATENATE($A1752,"_",$B1752,"_",$C1752),APOIO!$F:$F,0)))</f>
        <v/>
      </c>
      <c r="E1752" s="31"/>
      <c r="F1752" s="31"/>
      <c r="G1752" s="33"/>
      <c r="H1752" s="105"/>
      <c r="I1752" s="32" t="str">
        <f>IF($A1752="","",VLOOKUP($H1752,APOIO!$L:$M,2,FALSE))</f>
        <v/>
      </c>
      <c r="J1752" s="31"/>
      <c r="K1752" s="32" t="str">
        <f>IF($A1752="","",VLOOKUP($J1752,APOIO!$H:$J,2,FALSE))</f>
        <v/>
      </c>
      <c r="L1752" s="32" t="str">
        <f>IF($A1752="","",VLOOKUP($J1752,APOIO!$H:$J,3,FALSE))</f>
        <v/>
      </c>
      <c r="M1752" s="31"/>
      <c r="N1752" s="34"/>
      <c r="O1752" s="32"/>
      <c r="P1752" s="32"/>
      <c r="Q1752" s="32"/>
      <c r="R1752" s="32"/>
      <c r="S1752" s="35"/>
      <c r="T1752" s="91"/>
      <c r="U1752" s="60"/>
      <c r="V1752" s="36"/>
      <c r="W1752" s="31"/>
      <c r="X1752" s="59"/>
      <c r="Y1752" s="59" t="str">
        <f>IFERROR(VLOOKUP($A1752,APOIO!$A:$A,1,FALSE),"ERRO")</f>
        <v>ERRO</v>
      </c>
      <c r="Z1752"/>
    </row>
    <row r="1753" spans="1:26" ht="15" x14ac:dyDescent="0.25">
      <c r="A1753" s="94"/>
      <c r="B1753" s="32" t="str">
        <f>IF($A1753="","",VLOOKUP($A1753,APOIO!$A:$E,2,FALSE))</f>
        <v/>
      </c>
      <c r="C1753" s="94"/>
      <c r="D1753" s="32" t="str">
        <f>IF($A1753="","",INDEX(APOIO!$D:$D,MATCH(CONCATENATE($A1753,"_",$B1753,"_",$C1753),APOIO!$F:$F,0)))</f>
        <v/>
      </c>
      <c r="E1753" s="31"/>
      <c r="F1753" s="31"/>
      <c r="G1753" s="33"/>
      <c r="H1753" s="105"/>
      <c r="I1753" s="32" t="str">
        <f>IF($A1753="","",VLOOKUP($H1753,APOIO!$L:$M,2,FALSE))</f>
        <v/>
      </c>
      <c r="J1753" s="31"/>
      <c r="K1753" s="32" t="str">
        <f>IF($A1753="","",VLOOKUP($J1753,APOIO!$H:$J,2,FALSE))</f>
        <v/>
      </c>
      <c r="L1753" s="32" t="str">
        <f>IF($A1753="","",VLOOKUP($J1753,APOIO!$H:$J,3,FALSE))</f>
        <v/>
      </c>
      <c r="M1753" s="31"/>
      <c r="N1753" s="34"/>
      <c r="O1753" s="32"/>
      <c r="P1753" s="32"/>
      <c r="Q1753" s="32"/>
      <c r="R1753" s="32"/>
      <c r="S1753" s="35"/>
      <c r="T1753" s="91"/>
      <c r="U1753" s="60"/>
      <c r="V1753" s="36"/>
      <c r="W1753" s="31"/>
      <c r="X1753" s="59"/>
      <c r="Y1753" s="59" t="str">
        <f>IFERROR(VLOOKUP($A1753,APOIO!$A:$A,1,FALSE),"ERRO")</f>
        <v>ERRO</v>
      </c>
      <c r="Z1753"/>
    </row>
    <row r="1754" spans="1:26" ht="15" x14ac:dyDescent="0.25">
      <c r="A1754" s="94"/>
      <c r="B1754" s="32" t="str">
        <f>IF($A1754="","",VLOOKUP($A1754,APOIO!$A:$E,2,FALSE))</f>
        <v/>
      </c>
      <c r="C1754" s="94"/>
      <c r="D1754" s="32" t="str">
        <f>IF($A1754="","",INDEX(APOIO!$D:$D,MATCH(CONCATENATE($A1754,"_",$B1754,"_",$C1754),APOIO!$F:$F,0)))</f>
        <v/>
      </c>
      <c r="E1754" s="31"/>
      <c r="F1754" s="31"/>
      <c r="G1754" s="33"/>
      <c r="H1754" s="105"/>
      <c r="I1754" s="32" t="str">
        <f>IF($A1754="","",VLOOKUP($H1754,APOIO!$L:$M,2,FALSE))</f>
        <v/>
      </c>
      <c r="J1754" s="31"/>
      <c r="K1754" s="32" t="str">
        <f>IF($A1754="","",VLOOKUP($J1754,APOIO!$H:$J,2,FALSE))</f>
        <v/>
      </c>
      <c r="L1754" s="32" t="str">
        <f>IF($A1754="","",VLOOKUP($J1754,APOIO!$H:$J,3,FALSE))</f>
        <v/>
      </c>
      <c r="M1754" s="31"/>
      <c r="N1754" s="34"/>
      <c r="O1754" s="32"/>
      <c r="P1754" s="32"/>
      <c r="Q1754" s="32"/>
      <c r="R1754" s="32"/>
      <c r="S1754" s="35"/>
      <c r="T1754" s="91"/>
      <c r="U1754" s="60"/>
      <c r="V1754" s="36"/>
      <c r="W1754" s="31"/>
      <c r="X1754" s="59"/>
      <c r="Y1754" s="59" t="str">
        <f>IFERROR(VLOOKUP($A1754,APOIO!$A:$A,1,FALSE),"ERRO")</f>
        <v>ERRO</v>
      </c>
      <c r="Z1754"/>
    </row>
    <row r="1755" spans="1:26" ht="15" x14ac:dyDescent="0.25">
      <c r="A1755" s="94"/>
      <c r="B1755" s="32" t="str">
        <f>IF($A1755="","",VLOOKUP($A1755,APOIO!$A:$E,2,FALSE))</f>
        <v/>
      </c>
      <c r="C1755" s="94"/>
      <c r="D1755" s="32" t="str">
        <f>IF($A1755="","",INDEX(APOIO!$D:$D,MATCH(CONCATENATE($A1755,"_",$B1755,"_",$C1755),APOIO!$F:$F,0)))</f>
        <v/>
      </c>
      <c r="E1755" s="31"/>
      <c r="F1755" s="31"/>
      <c r="G1755" s="33"/>
      <c r="H1755" s="105"/>
      <c r="I1755" s="32" t="str">
        <f>IF($A1755="","",VLOOKUP($H1755,APOIO!$L:$M,2,FALSE))</f>
        <v/>
      </c>
      <c r="J1755" s="31"/>
      <c r="K1755" s="32" t="str">
        <f>IF($A1755="","",VLOOKUP($J1755,APOIO!$H:$J,2,FALSE))</f>
        <v/>
      </c>
      <c r="L1755" s="32" t="str">
        <f>IF($A1755="","",VLOOKUP($J1755,APOIO!$H:$J,3,FALSE))</f>
        <v/>
      </c>
      <c r="M1755" s="31"/>
      <c r="N1755" s="34"/>
      <c r="O1755" s="32"/>
      <c r="P1755" s="32"/>
      <c r="Q1755" s="32"/>
      <c r="R1755" s="32"/>
      <c r="S1755" s="35"/>
      <c r="T1755" s="91"/>
      <c r="U1755" s="60"/>
      <c r="V1755" s="36"/>
      <c r="W1755" s="31"/>
      <c r="X1755" s="59"/>
      <c r="Y1755" s="59" t="str">
        <f>IFERROR(VLOOKUP($A1755,APOIO!$A:$A,1,FALSE),"ERRO")</f>
        <v>ERRO</v>
      </c>
      <c r="Z1755"/>
    </row>
    <row r="1756" spans="1:26" ht="15" x14ac:dyDescent="0.25">
      <c r="A1756" s="94"/>
      <c r="B1756" s="32" t="str">
        <f>IF($A1756="","",VLOOKUP($A1756,APOIO!$A:$E,2,FALSE))</f>
        <v/>
      </c>
      <c r="C1756" s="94"/>
      <c r="D1756" s="32" t="str">
        <f>IF($A1756="","",INDEX(APOIO!$D:$D,MATCH(CONCATENATE($A1756,"_",$B1756,"_",$C1756),APOIO!$F:$F,0)))</f>
        <v/>
      </c>
      <c r="E1756" s="31"/>
      <c r="F1756" s="31"/>
      <c r="G1756" s="33"/>
      <c r="H1756" s="105"/>
      <c r="I1756" s="32" t="str">
        <f>IF($A1756="","",VLOOKUP($H1756,APOIO!$L:$M,2,FALSE))</f>
        <v/>
      </c>
      <c r="J1756" s="31"/>
      <c r="K1756" s="32" t="str">
        <f>IF($A1756="","",VLOOKUP($J1756,APOIO!$H:$J,2,FALSE))</f>
        <v/>
      </c>
      <c r="L1756" s="32" t="str">
        <f>IF($A1756="","",VLOOKUP($J1756,APOIO!$H:$J,3,FALSE))</f>
        <v/>
      </c>
      <c r="M1756" s="31"/>
      <c r="N1756" s="34"/>
      <c r="O1756" s="32"/>
      <c r="P1756" s="32"/>
      <c r="Q1756" s="32"/>
      <c r="R1756" s="32"/>
      <c r="S1756" s="35"/>
      <c r="T1756" s="91"/>
      <c r="U1756" s="60"/>
      <c r="V1756" s="36"/>
      <c r="W1756" s="31"/>
      <c r="X1756" s="59"/>
      <c r="Y1756" s="59" t="str">
        <f>IFERROR(VLOOKUP($A1756,APOIO!$A:$A,1,FALSE),"ERRO")</f>
        <v>ERRO</v>
      </c>
      <c r="Z1756"/>
    </row>
    <row r="1757" spans="1:26" ht="15" x14ac:dyDescent="0.25">
      <c r="A1757" s="94"/>
      <c r="B1757" s="32" t="str">
        <f>IF($A1757="","",VLOOKUP($A1757,APOIO!$A:$E,2,FALSE))</f>
        <v/>
      </c>
      <c r="C1757" s="94"/>
      <c r="D1757" s="32" t="str">
        <f>IF($A1757="","",INDEX(APOIO!$D:$D,MATCH(CONCATENATE($A1757,"_",$B1757,"_",$C1757),APOIO!$F:$F,0)))</f>
        <v/>
      </c>
      <c r="E1757" s="31"/>
      <c r="F1757" s="31"/>
      <c r="G1757" s="33"/>
      <c r="H1757" s="105"/>
      <c r="I1757" s="32" t="str">
        <f>IF($A1757="","",VLOOKUP($H1757,APOIO!$L:$M,2,FALSE))</f>
        <v/>
      </c>
      <c r="J1757" s="31"/>
      <c r="K1757" s="32" t="str">
        <f>IF($A1757="","",VLOOKUP($J1757,APOIO!$H:$J,2,FALSE))</f>
        <v/>
      </c>
      <c r="L1757" s="32" t="str">
        <f>IF($A1757="","",VLOOKUP($J1757,APOIO!$H:$J,3,FALSE))</f>
        <v/>
      </c>
      <c r="M1757" s="31"/>
      <c r="N1757" s="34"/>
      <c r="O1757" s="32"/>
      <c r="P1757" s="32"/>
      <c r="Q1757" s="32"/>
      <c r="R1757" s="32"/>
      <c r="S1757" s="35"/>
      <c r="T1757" s="91"/>
      <c r="U1757" s="60"/>
      <c r="V1757" s="36"/>
      <c r="W1757" s="31"/>
      <c r="X1757" s="59"/>
      <c r="Y1757" s="59" t="str">
        <f>IFERROR(VLOOKUP($A1757,APOIO!$A:$A,1,FALSE),"ERRO")</f>
        <v>ERRO</v>
      </c>
      <c r="Z1757"/>
    </row>
    <row r="1758" spans="1:26" ht="15" x14ac:dyDescent="0.25">
      <c r="A1758" s="94"/>
      <c r="B1758" s="32" t="str">
        <f>IF($A1758="","",VLOOKUP($A1758,APOIO!$A:$E,2,FALSE))</f>
        <v/>
      </c>
      <c r="C1758" s="94"/>
      <c r="D1758" s="32" t="str">
        <f>IF($A1758="","",INDEX(APOIO!$D:$D,MATCH(CONCATENATE($A1758,"_",$B1758,"_",$C1758),APOIO!$F:$F,0)))</f>
        <v/>
      </c>
      <c r="E1758" s="31"/>
      <c r="F1758" s="31"/>
      <c r="G1758" s="33"/>
      <c r="H1758" s="105"/>
      <c r="I1758" s="32" t="str">
        <f>IF($A1758="","",VLOOKUP($H1758,APOIO!$L:$M,2,FALSE))</f>
        <v/>
      </c>
      <c r="J1758" s="31"/>
      <c r="K1758" s="32" t="str">
        <f>IF($A1758="","",VLOOKUP($J1758,APOIO!$H:$J,2,FALSE))</f>
        <v/>
      </c>
      <c r="L1758" s="32" t="str">
        <f>IF($A1758="","",VLOOKUP($J1758,APOIO!$H:$J,3,FALSE))</f>
        <v/>
      </c>
      <c r="M1758" s="31"/>
      <c r="N1758" s="34"/>
      <c r="O1758" s="32"/>
      <c r="P1758" s="32"/>
      <c r="Q1758" s="32"/>
      <c r="R1758" s="32"/>
      <c r="S1758" s="35"/>
      <c r="T1758" s="91"/>
      <c r="U1758" s="60"/>
      <c r="V1758" s="36"/>
      <c r="W1758" s="31"/>
      <c r="X1758" s="59"/>
      <c r="Y1758" s="59" t="str">
        <f>IFERROR(VLOOKUP($A1758,APOIO!$A:$A,1,FALSE),"ERRO")</f>
        <v>ERRO</v>
      </c>
      <c r="Z1758"/>
    </row>
    <row r="1759" spans="1:26" ht="15" x14ac:dyDescent="0.25">
      <c r="A1759" s="94"/>
      <c r="B1759" s="32" t="str">
        <f>IF($A1759="","",VLOOKUP($A1759,APOIO!$A:$E,2,FALSE))</f>
        <v/>
      </c>
      <c r="C1759" s="94"/>
      <c r="D1759" s="32" t="str">
        <f>IF($A1759="","",INDEX(APOIO!$D:$D,MATCH(CONCATENATE($A1759,"_",$B1759,"_",$C1759),APOIO!$F:$F,0)))</f>
        <v/>
      </c>
      <c r="E1759" s="31"/>
      <c r="F1759" s="31"/>
      <c r="G1759" s="33"/>
      <c r="H1759" s="105"/>
      <c r="I1759" s="32" t="str">
        <f>IF($A1759="","",VLOOKUP($H1759,APOIO!$L:$M,2,FALSE))</f>
        <v/>
      </c>
      <c r="J1759" s="31"/>
      <c r="K1759" s="32" t="str">
        <f>IF($A1759="","",VLOOKUP($J1759,APOIO!$H:$J,2,FALSE))</f>
        <v/>
      </c>
      <c r="L1759" s="32" t="str">
        <f>IF($A1759="","",VLOOKUP($J1759,APOIO!$H:$J,3,FALSE))</f>
        <v/>
      </c>
      <c r="M1759" s="31"/>
      <c r="N1759" s="34"/>
      <c r="O1759" s="32"/>
      <c r="P1759" s="32"/>
      <c r="Q1759" s="32"/>
      <c r="R1759" s="32"/>
      <c r="S1759" s="35"/>
      <c r="T1759" s="91"/>
      <c r="U1759" s="60"/>
      <c r="V1759" s="36"/>
      <c r="W1759" s="31"/>
      <c r="X1759" s="59"/>
      <c r="Y1759" s="59" t="str">
        <f>IFERROR(VLOOKUP($A1759,APOIO!$A:$A,1,FALSE),"ERRO")</f>
        <v>ERRO</v>
      </c>
      <c r="Z1759"/>
    </row>
    <row r="1760" spans="1:26" ht="15" x14ac:dyDescent="0.25">
      <c r="A1760" s="94"/>
      <c r="B1760" s="32" t="str">
        <f>IF($A1760="","",VLOOKUP($A1760,APOIO!$A:$E,2,FALSE))</f>
        <v/>
      </c>
      <c r="C1760" s="94"/>
      <c r="D1760" s="32" t="str">
        <f>IF($A1760="","",INDEX(APOIO!$D:$D,MATCH(CONCATENATE($A1760,"_",$B1760,"_",$C1760),APOIO!$F:$F,0)))</f>
        <v/>
      </c>
      <c r="E1760" s="31"/>
      <c r="F1760" s="31"/>
      <c r="G1760" s="33"/>
      <c r="H1760" s="105"/>
      <c r="I1760" s="32" t="str">
        <f>IF($A1760="","",VLOOKUP($H1760,APOIO!$L:$M,2,FALSE))</f>
        <v/>
      </c>
      <c r="J1760" s="31"/>
      <c r="K1760" s="32" t="str">
        <f>IF($A1760="","",VLOOKUP($J1760,APOIO!$H:$J,2,FALSE))</f>
        <v/>
      </c>
      <c r="L1760" s="32" t="str">
        <f>IF($A1760="","",VLOOKUP($J1760,APOIO!$H:$J,3,FALSE))</f>
        <v/>
      </c>
      <c r="M1760" s="31"/>
      <c r="N1760" s="34"/>
      <c r="O1760" s="32"/>
      <c r="P1760" s="32"/>
      <c r="Q1760" s="32"/>
      <c r="R1760" s="32"/>
      <c r="S1760" s="35"/>
      <c r="T1760" s="91"/>
      <c r="U1760" s="60"/>
      <c r="V1760" s="36"/>
      <c r="W1760" s="31"/>
      <c r="X1760" s="59"/>
      <c r="Y1760" s="59" t="str">
        <f>IFERROR(VLOOKUP($A1760,APOIO!$A:$A,1,FALSE),"ERRO")</f>
        <v>ERRO</v>
      </c>
      <c r="Z1760"/>
    </row>
    <row r="1761" spans="1:26" ht="15" x14ac:dyDescent="0.25">
      <c r="A1761" s="94"/>
      <c r="B1761" s="32" t="str">
        <f>IF($A1761="","",VLOOKUP($A1761,APOIO!$A:$E,2,FALSE))</f>
        <v/>
      </c>
      <c r="C1761" s="94"/>
      <c r="D1761" s="32" t="str">
        <f>IF($A1761="","",INDEX(APOIO!$D:$D,MATCH(CONCATENATE($A1761,"_",$B1761,"_",$C1761),APOIO!$F:$F,0)))</f>
        <v/>
      </c>
      <c r="E1761" s="31"/>
      <c r="F1761" s="31"/>
      <c r="G1761" s="33"/>
      <c r="H1761" s="105"/>
      <c r="I1761" s="32" t="str">
        <f>IF($A1761="","",VLOOKUP($H1761,APOIO!$L:$M,2,FALSE))</f>
        <v/>
      </c>
      <c r="J1761" s="31"/>
      <c r="K1761" s="32" t="str">
        <f>IF($A1761="","",VLOOKUP($J1761,APOIO!$H:$J,2,FALSE))</f>
        <v/>
      </c>
      <c r="L1761" s="32" t="str">
        <f>IF($A1761="","",VLOOKUP($J1761,APOIO!$H:$J,3,FALSE))</f>
        <v/>
      </c>
      <c r="M1761" s="31"/>
      <c r="N1761" s="34"/>
      <c r="O1761" s="32"/>
      <c r="P1761" s="32"/>
      <c r="Q1761" s="32"/>
      <c r="R1761" s="32"/>
      <c r="S1761" s="35"/>
      <c r="T1761" s="91"/>
      <c r="U1761" s="60"/>
      <c r="V1761" s="36"/>
      <c r="W1761" s="31"/>
      <c r="X1761" s="59"/>
      <c r="Y1761" s="59" t="str">
        <f>IFERROR(VLOOKUP($A1761,APOIO!$A:$A,1,FALSE),"ERRO")</f>
        <v>ERRO</v>
      </c>
      <c r="Z1761"/>
    </row>
    <row r="1762" spans="1:26" ht="15" x14ac:dyDescent="0.25">
      <c r="A1762" s="94"/>
      <c r="B1762" s="32" t="str">
        <f>IF($A1762="","",VLOOKUP($A1762,APOIO!$A:$E,2,FALSE))</f>
        <v/>
      </c>
      <c r="C1762" s="94"/>
      <c r="D1762" s="32" t="str">
        <f>IF($A1762="","",INDEX(APOIO!$D:$D,MATCH(CONCATENATE($A1762,"_",$B1762,"_",$C1762),APOIO!$F:$F,0)))</f>
        <v/>
      </c>
      <c r="E1762" s="31"/>
      <c r="F1762" s="31"/>
      <c r="G1762" s="33"/>
      <c r="H1762" s="105"/>
      <c r="I1762" s="32" t="str">
        <f>IF($A1762="","",VLOOKUP($H1762,APOIO!$L:$M,2,FALSE))</f>
        <v/>
      </c>
      <c r="J1762" s="31"/>
      <c r="K1762" s="32" t="str">
        <f>IF($A1762="","",VLOOKUP($J1762,APOIO!$H:$J,2,FALSE))</f>
        <v/>
      </c>
      <c r="L1762" s="32" t="str">
        <f>IF($A1762="","",VLOOKUP($J1762,APOIO!$H:$J,3,FALSE))</f>
        <v/>
      </c>
      <c r="M1762" s="31"/>
      <c r="N1762" s="34"/>
      <c r="O1762" s="32"/>
      <c r="P1762" s="32"/>
      <c r="Q1762" s="32"/>
      <c r="R1762" s="32"/>
      <c r="S1762" s="35"/>
      <c r="T1762" s="91"/>
      <c r="U1762" s="60"/>
      <c r="V1762" s="36"/>
      <c r="W1762" s="31"/>
      <c r="X1762" s="59"/>
      <c r="Y1762" s="59" t="str">
        <f>IFERROR(VLOOKUP($A1762,APOIO!$A:$A,1,FALSE),"ERRO")</f>
        <v>ERRO</v>
      </c>
      <c r="Z1762"/>
    </row>
    <row r="1763" spans="1:26" ht="15" x14ac:dyDescent="0.25">
      <c r="A1763" s="94"/>
      <c r="B1763" s="32" t="str">
        <f>IF($A1763="","",VLOOKUP($A1763,APOIO!$A:$E,2,FALSE))</f>
        <v/>
      </c>
      <c r="C1763" s="94"/>
      <c r="D1763" s="32" t="str">
        <f>IF($A1763="","",INDEX(APOIO!$D:$D,MATCH(CONCATENATE($A1763,"_",$B1763,"_",$C1763),APOIO!$F:$F,0)))</f>
        <v/>
      </c>
      <c r="E1763" s="31"/>
      <c r="F1763" s="31"/>
      <c r="G1763" s="33"/>
      <c r="H1763" s="105"/>
      <c r="I1763" s="32" t="str">
        <f>IF($A1763="","",VLOOKUP($H1763,APOIO!$L:$M,2,FALSE))</f>
        <v/>
      </c>
      <c r="J1763" s="31"/>
      <c r="K1763" s="32" t="str">
        <f>IF($A1763="","",VLOOKUP($J1763,APOIO!$H:$J,2,FALSE))</f>
        <v/>
      </c>
      <c r="L1763" s="32" t="str">
        <f>IF($A1763="","",VLOOKUP($J1763,APOIO!$H:$J,3,FALSE))</f>
        <v/>
      </c>
      <c r="M1763" s="31"/>
      <c r="N1763" s="34"/>
      <c r="O1763" s="32"/>
      <c r="P1763" s="32"/>
      <c r="Q1763" s="32"/>
      <c r="R1763" s="32"/>
      <c r="S1763" s="35"/>
      <c r="T1763" s="91"/>
      <c r="U1763" s="60"/>
      <c r="V1763" s="36"/>
      <c r="W1763" s="31"/>
      <c r="X1763" s="59"/>
      <c r="Y1763" s="59" t="str">
        <f>IFERROR(VLOOKUP($A1763,APOIO!$A:$A,1,FALSE),"ERRO")</f>
        <v>ERRO</v>
      </c>
      <c r="Z1763"/>
    </row>
    <row r="1764" spans="1:26" ht="15" x14ac:dyDescent="0.25">
      <c r="A1764" s="94"/>
      <c r="B1764" s="32" t="str">
        <f>IF($A1764="","",VLOOKUP($A1764,APOIO!$A:$E,2,FALSE))</f>
        <v/>
      </c>
      <c r="C1764" s="94"/>
      <c r="D1764" s="32" t="str">
        <f>IF($A1764="","",INDEX(APOIO!$D:$D,MATCH(CONCATENATE($A1764,"_",$B1764,"_",$C1764),APOIO!$F:$F,0)))</f>
        <v/>
      </c>
      <c r="E1764" s="31"/>
      <c r="F1764" s="31"/>
      <c r="G1764" s="33"/>
      <c r="H1764" s="105"/>
      <c r="I1764" s="32" t="str">
        <f>IF($A1764="","",VLOOKUP($H1764,APOIO!$L:$M,2,FALSE))</f>
        <v/>
      </c>
      <c r="J1764" s="31"/>
      <c r="K1764" s="32" t="str">
        <f>IF($A1764="","",VLOOKUP($J1764,APOIO!$H:$J,2,FALSE))</f>
        <v/>
      </c>
      <c r="L1764" s="32" t="str">
        <f>IF($A1764="","",VLOOKUP($J1764,APOIO!$H:$J,3,FALSE))</f>
        <v/>
      </c>
      <c r="M1764" s="31"/>
      <c r="N1764" s="34"/>
      <c r="O1764" s="32"/>
      <c r="P1764" s="32"/>
      <c r="Q1764" s="32"/>
      <c r="R1764" s="32"/>
      <c r="S1764" s="35"/>
      <c r="T1764" s="91"/>
      <c r="U1764" s="60"/>
      <c r="V1764" s="36"/>
      <c r="W1764" s="31"/>
      <c r="X1764" s="59"/>
      <c r="Y1764" s="59" t="str">
        <f>IFERROR(VLOOKUP($A1764,APOIO!$A:$A,1,FALSE),"ERRO")</f>
        <v>ERRO</v>
      </c>
      <c r="Z1764"/>
    </row>
    <row r="1765" spans="1:26" ht="15" x14ac:dyDescent="0.25">
      <c r="A1765" s="94"/>
      <c r="B1765" s="32" t="str">
        <f>IF($A1765="","",VLOOKUP($A1765,APOIO!$A:$E,2,FALSE))</f>
        <v/>
      </c>
      <c r="C1765" s="94"/>
      <c r="D1765" s="32" t="str">
        <f>IF($A1765="","",INDEX(APOIO!$D:$D,MATCH(CONCATENATE($A1765,"_",$B1765,"_",$C1765),APOIO!$F:$F,0)))</f>
        <v/>
      </c>
      <c r="E1765" s="31"/>
      <c r="F1765" s="31"/>
      <c r="G1765" s="33"/>
      <c r="H1765" s="105"/>
      <c r="I1765" s="32" t="str">
        <f>IF($A1765="","",VLOOKUP($H1765,APOIO!$L:$M,2,FALSE))</f>
        <v/>
      </c>
      <c r="J1765" s="31"/>
      <c r="K1765" s="32" t="str">
        <f>IF($A1765="","",VLOOKUP($J1765,APOIO!$H:$J,2,FALSE))</f>
        <v/>
      </c>
      <c r="L1765" s="32" t="str">
        <f>IF($A1765="","",VLOOKUP($J1765,APOIO!$H:$J,3,FALSE))</f>
        <v/>
      </c>
      <c r="M1765" s="31"/>
      <c r="N1765" s="34"/>
      <c r="O1765" s="32"/>
      <c r="P1765" s="32"/>
      <c r="Q1765" s="32"/>
      <c r="R1765" s="32"/>
      <c r="S1765" s="35"/>
      <c r="T1765" s="91"/>
      <c r="U1765" s="60"/>
      <c r="V1765" s="36"/>
      <c r="W1765" s="31"/>
      <c r="X1765" s="59"/>
      <c r="Y1765" s="59" t="str">
        <f>IFERROR(VLOOKUP($A1765,APOIO!$A:$A,1,FALSE),"ERRO")</f>
        <v>ERRO</v>
      </c>
      <c r="Z1765"/>
    </row>
    <row r="1766" spans="1:26" ht="15" x14ac:dyDescent="0.25">
      <c r="A1766" s="94"/>
      <c r="B1766" s="32" t="str">
        <f>IF($A1766="","",VLOOKUP($A1766,APOIO!$A:$E,2,FALSE))</f>
        <v/>
      </c>
      <c r="C1766" s="94"/>
      <c r="D1766" s="32" t="str">
        <f>IF($A1766="","",INDEX(APOIO!$D:$D,MATCH(CONCATENATE($A1766,"_",$B1766,"_",$C1766),APOIO!$F:$F,0)))</f>
        <v/>
      </c>
      <c r="E1766" s="31"/>
      <c r="F1766" s="31"/>
      <c r="G1766" s="33"/>
      <c r="H1766" s="105"/>
      <c r="I1766" s="32" t="str">
        <f>IF($A1766="","",VLOOKUP($H1766,APOIO!$L:$M,2,FALSE))</f>
        <v/>
      </c>
      <c r="J1766" s="31"/>
      <c r="K1766" s="32" t="str">
        <f>IF($A1766="","",VLOOKUP($J1766,APOIO!$H:$J,2,FALSE))</f>
        <v/>
      </c>
      <c r="L1766" s="32" t="str">
        <f>IF($A1766="","",VLOOKUP($J1766,APOIO!$H:$J,3,FALSE))</f>
        <v/>
      </c>
      <c r="M1766" s="31"/>
      <c r="N1766" s="34"/>
      <c r="O1766" s="32"/>
      <c r="P1766" s="32"/>
      <c r="Q1766" s="32"/>
      <c r="R1766" s="32"/>
      <c r="S1766" s="35"/>
      <c r="T1766" s="91"/>
      <c r="U1766" s="60"/>
      <c r="V1766" s="36"/>
      <c r="W1766" s="31"/>
      <c r="X1766" s="59"/>
      <c r="Y1766" s="59" t="str">
        <f>IFERROR(VLOOKUP($A1766,APOIO!$A:$A,1,FALSE),"ERRO")</f>
        <v>ERRO</v>
      </c>
      <c r="Z1766"/>
    </row>
    <row r="1767" spans="1:26" ht="15" x14ac:dyDescent="0.25">
      <c r="A1767" s="94"/>
      <c r="B1767" s="32" t="str">
        <f>IF($A1767="","",VLOOKUP($A1767,APOIO!$A:$E,2,FALSE))</f>
        <v/>
      </c>
      <c r="C1767" s="94"/>
      <c r="D1767" s="32" t="str">
        <f>IF($A1767="","",INDEX(APOIO!$D:$D,MATCH(CONCATENATE($A1767,"_",$B1767,"_",$C1767),APOIO!$F:$F,0)))</f>
        <v/>
      </c>
      <c r="E1767" s="31"/>
      <c r="F1767" s="31"/>
      <c r="G1767" s="33"/>
      <c r="H1767" s="105"/>
      <c r="I1767" s="32" t="str">
        <f>IF($A1767="","",VLOOKUP($H1767,APOIO!$L:$M,2,FALSE))</f>
        <v/>
      </c>
      <c r="J1767" s="31"/>
      <c r="K1767" s="32" t="str">
        <f>IF($A1767="","",VLOOKUP($J1767,APOIO!$H:$J,2,FALSE))</f>
        <v/>
      </c>
      <c r="L1767" s="32" t="str">
        <f>IF($A1767="","",VLOOKUP($J1767,APOIO!$H:$J,3,FALSE))</f>
        <v/>
      </c>
      <c r="M1767" s="31"/>
      <c r="N1767" s="34"/>
      <c r="O1767" s="32"/>
      <c r="P1767" s="32"/>
      <c r="Q1767" s="32"/>
      <c r="R1767" s="32"/>
      <c r="S1767" s="35"/>
      <c r="T1767" s="91"/>
      <c r="U1767" s="60"/>
      <c r="V1767" s="36"/>
      <c r="W1767" s="31"/>
      <c r="X1767" s="59"/>
      <c r="Y1767" s="59" t="str">
        <f>IFERROR(VLOOKUP($A1767,APOIO!$A:$A,1,FALSE),"ERRO")</f>
        <v>ERRO</v>
      </c>
      <c r="Z1767"/>
    </row>
    <row r="1768" spans="1:26" ht="15" x14ac:dyDescent="0.25">
      <c r="A1768" s="94"/>
      <c r="B1768" s="32" t="str">
        <f>IF($A1768="","",VLOOKUP($A1768,APOIO!$A:$E,2,FALSE))</f>
        <v/>
      </c>
      <c r="C1768" s="94"/>
      <c r="D1768" s="32" t="str">
        <f>IF($A1768="","",INDEX(APOIO!$D:$D,MATCH(CONCATENATE($A1768,"_",$B1768,"_",$C1768),APOIO!$F:$F,0)))</f>
        <v/>
      </c>
      <c r="E1768" s="31"/>
      <c r="F1768" s="31"/>
      <c r="G1768" s="33"/>
      <c r="H1768" s="105"/>
      <c r="I1768" s="32" t="str">
        <f>IF($A1768="","",VLOOKUP($H1768,APOIO!$L:$M,2,FALSE))</f>
        <v/>
      </c>
      <c r="J1768" s="31"/>
      <c r="K1768" s="32" t="str">
        <f>IF($A1768="","",VLOOKUP($J1768,APOIO!$H:$J,2,FALSE))</f>
        <v/>
      </c>
      <c r="L1768" s="32" t="str">
        <f>IF($A1768="","",VLOOKUP($J1768,APOIO!$H:$J,3,FALSE))</f>
        <v/>
      </c>
      <c r="M1768" s="31"/>
      <c r="N1768" s="34"/>
      <c r="O1768" s="32"/>
      <c r="P1768" s="32"/>
      <c r="Q1768" s="32"/>
      <c r="R1768" s="32"/>
      <c r="S1768" s="35"/>
      <c r="T1768" s="91"/>
      <c r="U1768" s="60"/>
      <c r="V1768" s="36"/>
      <c r="W1768" s="31"/>
      <c r="X1768" s="59"/>
      <c r="Y1768" s="59" t="str">
        <f>IFERROR(VLOOKUP($A1768,APOIO!$A:$A,1,FALSE),"ERRO")</f>
        <v>ERRO</v>
      </c>
      <c r="Z1768"/>
    </row>
    <row r="1769" spans="1:26" ht="15" x14ac:dyDescent="0.25">
      <c r="A1769" s="94"/>
      <c r="B1769" s="32" t="str">
        <f>IF($A1769="","",VLOOKUP($A1769,APOIO!$A:$E,2,FALSE))</f>
        <v/>
      </c>
      <c r="C1769" s="94"/>
      <c r="D1769" s="32" t="str">
        <f>IF($A1769="","",INDEX(APOIO!$D:$D,MATCH(CONCATENATE($A1769,"_",$B1769,"_",$C1769),APOIO!$F:$F,0)))</f>
        <v/>
      </c>
      <c r="E1769" s="31"/>
      <c r="F1769" s="31"/>
      <c r="G1769" s="33"/>
      <c r="H1769" s="105"/>
      <c r="I1769" s="32" t="str">
        <f>IF($A1769="","",VLOOKUP($H1769,APOIO!$L:$M,2,FALSE))</f>
        <v/>
      </c>
      <c r="J1769" s="31"/>
      <c r="K1769" s="32" t="str">
        <f>IF($A1769="","",VLOOKUP($J1769,APOIO!$H:$J,2,FALSE))</f>
        <v/>
      </c>
      <c r="L1769" s="32" t="str">
        <f>IF($A1769="","",VLOOKUP($J1769,APOIO!$H:$J,3,FALSE))</f>
        <v/>
      </c>
      <c r="M1769" s="31"/>
      <c r="N1769" s="34"/>
      <c r="O1769" s="32"/>
      <c r="P1769" s="32"/>
      <c r="Q1769" s="32"/>
      <c r="R1769" s="32"/>
      <c r="S1769" s="35"/>
      <c r="T1769" s="91"/>
      <c r="U1769" s="60"/>
      <c r="V1769" s="36"/>
      <c r="W1769" s="31"/>
      <c r="X1769" s="59"/>
      <c r="Y1769" s="59" t="str">
        <f>IFERROR(VLOOKUP($A1769,APOIO!$A:$A,1,FALSE),"ERRO")</f>
        <v>ERRO</v>
      </c>
      <c r="Z1769"/>
    </row>
    <row r="1770" spans="1:26" ht="15" x14ac:dyDescent="0.25">
      <c r="A1770" s="94"/>
      <c r="B1770" s="32" t="str">
        <f>IF($A1770="","",VLOOKUP($A1770,APOIO!$A:$E,2,FALSE))</f>
        <v/>
      </c>
      <c r="C1770" s="94"/>
      <c r="D1770" s="32" t="str">
        <f>IF($A1770="","",INDEX(APOIO!$D:$D,MATCH(CONCATENATE($A1770,"_",$B1770,"_",$C1770),APOIO!$F:$F,0)))</f>
        <v/>
      </c>
      <c r="E1770" s="31"/>
      <c r="F1770" s="31"/>
      <c r="G1770" s="33"/>
      <c r="H1770" s="105"/>
      <c r="I1770" s="32" t="str">
        <f>IF($A1770="","",VLOOKUP($H1770,APOIO!$L:$M,2,FALSE))</f>
        <v/>
      </c>
      <c r="J1770" s="31"/>
      <c r="K1770" s="32" t="str">
        <f>IF($A1770="","",VLOOKUP($J1770,APOIO!$H:$J,2,FALSE))</f>
        <v/>
      </c>
      <c r="L1770" s="32" t="str">
        <f>IF($A1770="","",VLOOKUP($J1770,APOIO!$H:$J,3,FALSE))</f>
        <v/>
      </c>
      <c r="M1770" s="31"/>
      <c r="N1770" s="34"/>
      <c r="O1770" s="32"/>
      <c r="P1770" s="32"/>
      <c r="Q1770" s="32"/>
      <c r="R1770" s="32"/>
      <c r="S1770" s="35"/>
      <c r="T1770" s="91"/>
      <c r="U1770" s="60"/>
      <c r="V1770" s="36"/>
      <c r="W1770" s="31"/>
      <c r="X1770" s="59"/>
      <c r="Y1770" s="59" t="str">
        <f>IFERROR(VLOOKUP($A1770,APOIO!$A:$A,1,FALSE),"ERRO")</f>
        <v>ERRO</v>
      </c>
      <c r="Z1770"/>
    </row>
    <row r="1771" spans="1:26" ht="15" x14ac:dyDescent="0.25">
      <c r="A1771" s="94"/>
      <c r="B1771" s="32" t="str">
        <f>IF($A1771="","",VLOOKUP($A1771,APOIO!$A:$E,2,FALSE))</f>
        <v/>
      </c>
      <c r="C1771" s="94"/>
      <c r="D1771" s="32" t="str">
        <f>IF($A1771="","",INDEX(APOIO!$D:$D,MATCH(CONCATENATE($A1771,"_",$B1771,"_",$C1771),APOIO!$F:$F,0)))</f>
        <v/>
      </c>
      <c r="E1771" s="31"/>
      <c r="F1771" s="31"/>
      <c r="G1771" s="33"/>
      <c r="H1771" s="105"/>
      <c r="I1771" s="32" t="str">
        <f>IF($A1771="","",VLOOKUP($H1771,APOIO!$L:$M,2,FALSE))</f>
        <v/>
      </c>
      <c r="J1771" s="31"/>
      <c r="K1771" s="32" t="str">
        <f>IF($A1771="","",VLOOKUP($J1771,APOIO!$H:$J,2,FALSE))</f>
        <v/>
      </c>
      <c r="L1771" s="32" t="str">
        <f>IF($A1771="","",VLOOKUP($J1771,APOIO!$H:$J,3,FALSE))</f>
        <v/>
      </c>
      <c r="M1771" s="31"/>
      <c r="N1771" s="34"/>
      <c r="O1771" s="32"/>
      <c r="P1771" s="32"/>
      <c r="Q1771" s="32"/>
      <c r="R1771" s="32"/>
      <c r="S1771" s="35"/>
      <c r="T1771" s="91"/>
      <c r="U1771" s="60"/>
      <c r="V1771" s="36"/>
      <c r="W1771" s="31"/>
      <c r="X1771" s="59"/>
      <c r="Y1771" s="59" t="str">
        <f>IFERROR(VLOOKUP($A1771,APOIO!$A:$A,1,FALSE),"ERRO")</f>
        <v>ERRO</v>
      </c>
      <c r="Z1771"/>
    </row>
    <row r="1772" spans="1:26" ht="15" x14ac:dyDescent="0.25">
      <c r="A1772" s="94"/>
      <c r="B1772" s="32" t="str">
        <f>IF($A1772="","",VLOOKUP($A1772,APOIO!$A:$E,2,FALSE))</f>
        <v/>
      </c>
      <c r="C1772" s="94"/>
      <c r="D1772" s="32" t="str">
        <f>IF($A1772="","",INDEX(APOIO!$D:$D,MATCH(CONCATENATE($A1772,"_",$B1772,"_",$C1772),APOIO!$F:$F,0)))</f>
        <v/>
      </c>
      <c r="E1772" s="31"/>
      <c r="F1772" s="31"/>
      <c r="G1772" s="33"/>
      <c r="H1772" s="105"/>
      <c r="I1772" s="32" t="str">
        <f>IF($A1772="","",VLOOKUP($H1772,APOIO!$L:$M,2,FALSE))</f>
        <v/>
      </c>
      <c r="J1772" s="31"/>
      <c r="K1772" s="32" t="str">
        <f>IF($A1772="","",VLOOKUP($J1772,APOIO!$H:$J,2,FALSE))</f>
        <v/>
      </c>
      <c r="L1772" s="32" t="str">
        <f>IF($A1772="","",VLOOKUP($J1772,APOIO!$H:$J,3,FALSE))</f>
        <v/>
      </c>
      <c r="M1772" s="31"/>
      <c r="N1772" s="34"/>
      <c r="O1772" s="32"/>
      <c r="P1772" s="32"/>
      <c r="Q1772" s="32"/>
      <c r="R1772" s="32"/>
      <c r="S1772" s="35"/>
      <c r="T1772" s="91"/>
      <c r="U1772" s="60"/>
      <c r="V1772" s="36"/>
      <c r="W1772" s="31"/>
      <c r="X1772" s="59"/>
      <c r="Y1772" s="59" t="str">
        <f>IFERROR(VLOOKUP($A1772,APOIO!$A:$A,1,FALSE),"ERRO")</f>
        <v>ERRO</v>
      </c>
      <c r="Z1772"/>
    </row>
    <row r="1773" spans="1:26" ht="15" x14ac:dyDescent="0.25">
      <c r="A1773" s="94"/>
      <c r="B1773" s="32" t="str">
        <f>IF($A1773="","",VLOOKUP($A1773,APOIO!$A:$E,2,FALSE))</f>
        <v/>
      </c>
      <c r="C1773" s="94"/>
      <c r="D1773" s="32" t="str">
        <f>IF($A1773="","",INDEX(APOIO!$D:$D,MATCH(CONCATENATE($A1773,"_",$B1773,"_",$C1773),APOIO!$F:$F,0)))</f>
        <v/>
      </c>
      <c r="E1773" s="31"/>
      <c r="F1773" s="31"/>
      <c r="G1773" s="33"/>
      <c r="H1773" s="105"/>
      <c r="I1773" s="32" t="str">
        <f>IF($A1773="","",VLOOKUP($H1773,APOIO!$L:$M,2,FALSE))</f>
        <v/>
      </c>
      <c r="J1773" s="31"/>
      <c r="K1773" s="32" t="str">
        <f>IF($A1773="","",VLOOKUP($J1773,APOIO!$H:$J,2,FALSE))</f>
        <v/>
      </c>
      <c r="L1773" s="32" t="str">
        <f>IF($A1773="","",VLOOKUP($J1773,APOIO!$H:$J,3,FALSE))</f>
        <v/>
      </c>
      <c r="M1773" s="31"/>
      <c r="N1773" s="34"/>
      <c r="O1773" s="32"/>
      <c r="P1773" s="32"/>
      <c r="Q1773" s="32"/>
      <c r="R1773" s="32"/>
      <c r="S1773" s="35"/>
      <c r="T1773" s="91"/>
      <c r="U1773" s="60"/>
      <c r="V1773" s="36"/>
      <c r="W1773" s="31"/>
      <c r="X1773" s="59"/>
      <c r="Y1773" s="59" t="str">
        <f>IFERROR(VLOOKUP($A1773,APOIO!$A:$A,1,FALSE),"ERRO")</f>
        <v>ERRO</v>
      </c>
      <c r="Z1773"/>
    </row>
    <row r="1774" spans="1:26" ht="15" x14ac:dyDescent="0.25">
      <c r="A1774" s="94"/>
      <c r="B1774" s="32" t="str">
        <f>IF($A1774="","",VLOOKUP($A1774,APOIO!$A:$E,2,FALSE))</f>
        <v/>
      </c>
      <c r="C1774" s="94"/>
      <c r="D1774" s="32" t="str">
        <f>IF($A1774="","",INDEX(APOIO!$D:$D,MATCH(CONCATENATE($A1774,"_",$B1774,"_",$C1774),APOIO!$F:$F,0)))</f>
        <v/>
      </c>
      <c r="E1774" s="31"/>
      <c r="F1774" s="31"/>
      <c r="G1774" s="33"/>
      <c r="H1774" s="105"/>
      <c r="I1774" s="32" t="str">
        <f>IF($A1774="","",VLOOKUP($H1774,APOIO!$L:$M,2,FALSE))</f>
        <v/>
      </c>
      <c r="J1774" s="31"/>
      <c r="K1774" s="32" t="str">
        <f>IF($A1774="","",VLOOKUP($J1774,APOIO!$H:$J,2,FALSE))</f>
        <v/>
      </c>
      <c r="L1774" s="32" t="str">
        <f>IF($A1774="","",VLOOKUP($J1774,APOIO!$H:$J,3,FALSE))</f>
        <v/>
      </c>
      <c r="M1774" s="31"/>
      <c r="N1774" s="34"/>
      <c r="O1774" s="32"/>
      <c r="P1774" s="32"/>
      <c r="Q1774" s="32"/>
      <c r="R1774" s="32"/>
      <c r="S1774" s="35"/>
      <c r="T1774" s="91"/>
      <c r="U1774" s="60"/>
      <c r="V1774" s="36"/>
      <c r="W1774" s="31"/>
      <c r="X1774" s="59"/>
      <c r="Y1774" s="59" t="str">
        <f>IFERROR(VLOOKUP($A1774,APOIO!$A:$A,1,FALSE),"ERRO")</f>
        <v>ERRO</v>
      </c>
      <c r="Z1774"/>
    </row>
    <row r="1775" spans="1:26" ht="15" x14ac:dyDescent="0.25">
      <c r="A1775" s="94"/>
      <c r="B1775" s="32" t="str">
        <f>IF($A1775="","",VLOOKUP($A1775,APOIO!$A:$E,2,FALSE))</f>
        <v/>
      </c>
      <c r="C1775" s="94"/>
      <c r="D1775" s="32" t="str">
        <f>IF($A1775="","",INDEX(APOIO!$D:$D,MATCH(CONCATENATE($A1775,"_",$B1775,"_",$C1775),APOIO!$F:$F,0)))</f>
        <v/>
      </c>
      <c r="E1775" s="31"/>
      <c r="F1775" s="31"/>
      <c r="G1775" s="33"/>
      <c r="H1775" s="105"/>
      <c r="I1775" s="32" t="str">
        <f>IF($A1775="","",VLOOKUP($H1775,APOIO!$L:$M,2,FALSE))</f>
        <v/>
      </c>
      <c r="J1775" s="31"/>
      <c r="K1775" s="32" t="str">
        <f>IF($A1775="","",VLOOKUP($J1775,APOIO!$H:$J,2,FALSE))</f>
        <v/>
      </c>
      <c r="L1775" s="32" t="str">
        <f>IF($A1775="","",VLOOKUP($J1775,APOIO!$H:$J,3,FALSE))</f>
        <v/>
      </c>
      <c r="M1775" s="31"/>
      <c r="N1775" s="34"/>
      <c r="O1775" s="32"/>
      <c r="P1775" s="32"/>
      <c r="Q1775" s="32"/>
      <c r="R1775" s="32"/>
      <c r="S1775" s="35"/>
      <c r="T1775" s="91"/>
      <c r="U1775" s="60"/>
      <c r="V1775" s="36"/>
      <c r="W1775" s="31"/>
      <c r="X1775" s="59"/>
      <c r="Y1775" s="59" t="str">
        <f>IFERROR(VLOOKUP($A1775,APOIO!$A:$A,1,FALSE),"ERRO")</f>
        <v>ERRO</v>
      </c>
      <c r="Z1775"/>
    </row>
    <row r="1776" spans="1:26" ht="15" x14ac:dyDescent="0.25">
      <c r="A1776" s="94"/>
      <c r="B1776" s="32" t="str">
        <f>IF($A1776="","",VLOOKUP($A1776,APOIO!$A:$E,2,FALSE))</f>
        <v/>
      </c>
      <c r="C1776" s="94"/>
      <c r="D1776" s="32" t="str">
        <f>IF($A1776="","",INDEX(APOIO!$D:$D,MATCH(CONCATENATE($A1776,"_",$B1776,"_",$C1776),APOIO!$F:$F,0)))</f>
        <v/>
      </c>
      <c r="E1776" s="31"/>
      <c r="F1776" s="31"/>
      <c r="G1776" s="33"/>
      <c r="H1776" s="105"/>
      <c r="I1776" s="32" t="str">
        <f>IF($A1776="","",VLOOKUP($H1776,APOIO!$L:$M,2,FALSE))</f>
        <v/>
      </c>
      <c r="J1776" s="31"/>
      <c r="K1776" s="32" t="str">
        <f>IF($A1776="","",VLOOKUP($J1776,APOIO!$H:$J,2,FALSE))</f>
        <v/>
      </c>
      <c r="L1776" s="32" t="str">
        <f>IF($A1776="","",VLOOKUP($J1776,APOIO!$H:$J,3,FALSE))</f>
        <v/>
      </c>
      <c r="M1776" s="31"/>
      <c r="N1776" s="34"/>
      <c r="O1776" s="32"/>
      <c r="P1776" s="32"/>
      <c r="Q1776" s="32"/>
      <c r="R1776" s="32"/>
      <c r="S1776" s="35"/>
      <c r="T1776" s="91"/>
      <c r="U1776" s="60"/>
      <c r="V1776" s="36"/>
      <c r="W1776" s="31"/>
      <c r="X1776" s="59"/>
      <c r="Y1776" s="59" t="str">
        <f>IFERROR(VLOOKUP($A1776,APOIO!$A:$A,1,FALSE),"ERRO")</f>
        <v>ERRO</v>
      </c>
      <c r="Z1776"/>
    </row>
    <row r="1777" spans="1:26" ht="15" x14ac:dyDescent="0.25">
      <c r="A1777" s="94"/>
      <c r="B1777" s="32" t="str">
        <f>IF($A1777="","",VLOOKUP($A1777,APOIO!$A:$E,2,FALSE))</f>
        <v/>
      </c>
      <c r="C1777" s="94"/>
      <c r="D1777" s="32" t="str">
        <f>IF($A1777="","",INDEX(APOIO!$D:$D,MATCH(CONCATENATE($A1777,"_",$B1777,"_",$C1777),APOIO!$F:$F,0)))</f>
        <v/>
      </c>
      <c r="E1777" s="31"/>
      <c r="F1777" s="31"/>
      <c r="G1777" s="33"/>
      <c r="H1777" s="105"/>
      <c r="I1777" s="32" t="str">
        <f>IF($A1777="","",VLOOKUP($H1777,APOIO!$L:$M,2,FALSE))</f>
        <v/>
      </c>
      <c r="J1777" s="31"/>
      <c r="K1777" s="32" t="str">
        <f>IF($A1777="","",VLOOKUP($J1777,APOIO!$H:$J,2,FALSE))</f>
        <v/>
      </c>
      <c r="L1777" s="32" t="str">
        <f>IF($A1777="","",VLOOKUP($J1777,APOIO!$H:$J,3,FALSE))</f>
        <v/>
      </c>
      <c r="M1777" s="31"/>
      <c r="N1777" s="34"/>
      <c r="O1777" s="32"/>
      <c r="P1777" s="32"/>
      <c r="Q1777" s="32"/>
      <c r="R1777" s="32"/>
      <c r="S1777" s="35"/>
      <c r="T1777" s="91"/>
      <c r="U1777" s="60"/>
      <c r="V1777" s="36"/>
      <c r="W1777" s="31"/>
      <c r="X1777" s="59"/>
      <c r="Y1777" s="59" t="str">
        <f>IFERROR(VLOOKUP($A1777,APOIO!$A:$A,1,FALSE),"ERRO")</f>
        <v>ERRO</v>
      </c>
      <c r="Z1777"/>
    </row>
    <row r="1778" spans="1:26" ht="15" x14ac:dyDescent="0.25">
      <c r="A1778" s="94"/>
      <c r="B1778" s="32" t="str">
        <f>IF($A1778="","",VLOOKUP($A1778,APOIO!$A:$E,2,FALSE))</f>
        <v/>
      </c>
      <c r="C1778" s="94"/>
      <c r="D1778" s="32" t="str">
        <f>IF($A1778="","",INDEX(APOIO!$D:$D,MATCH(CONCATENATE($A1778,"_",$B1778,"_",$C1778),APOIO!$F:$F,0)))</f>
        <v/>
      </c>
      <c r="E1778" s="31"/>
      <c r="F1778" s="31"/>
      <c r="G1778" s="33"/>
      <c r="H1778" s="105"/>
      <c r="I1778" s="32" t="str">
        <f>IF($A1778="","",VLOOKUP($H1778,APOIO!$L:$M,2,FALSE))</f>
        <v/>
      </c>
      <c r="J1778" s="31"/>
      <c r="K1778" s="32" t="str">
        <f>IF($A1778="","",VLOOKUP($J1778,APOIO!$H:$J,2,FALSE))</f>
        <v/>
      </c>
      <c r="L1778" s="32" t="str">
        <f>IF($A1778="","",VLOOKUP($J1778,APOIO!$H:$J,3,FALSE))</f>
        <v/>
      </c>
      <c r="M1778" s="31"/>
      <c r="N1778" s="34"/>
      <c r="O1778" s="32"/>
      <c r="P1778" s="32"/>
      <c r="Q1778" s="32"/>
      <c r="R1778" s="32"/>
      <c r="S1778" s="35"/>
      <c r="T1778" s="91"/>
      <c r="U1778" s="60"/>
      <c r="V1778" s="36"/>
      <c r="W1778" s="31"/>
      <c r="X1778" s="59"/>
      <c r="Y1778" s="59" t="str">
        <f>IFERROR(VLOOKUP($A1778,APOIO!$A:$A,1,FALSE),"ERRO")</f>
        <v>ERRO</v>
      </c>
      <c r="Z1778"/>
    </row>
    <row r="1779" spans="1:26" ht="15" x14ac:dyDescent="0.25">
      <c r="A1779" s="94"/>
      <c r="B1779" s="32" t="str">
        <f>IF($A1779="","",VLOOKUP($A1779,APOIO!$A:$E,2,FALSE))</f>
        <v/>
      </c>
      <c r="C1779" s="94"/>
      <c r="D1779" s="32" t="str">
        <f>IF($A1779="","",INDEX(APOIO!$D:$D,MATCH(CONCATENATE($A1779,"_",$B1779,"_",$C1779),APOIO!$F:$F,0)))</f>
        <v/>
      </c>
      <c r="E1779" s="31"/>
      <c r="F1779" s="31"/>
      <c r="G1779" s="33"/>
      <c r="H1779" s="105"/>
      <c r="I1779" s="32" t="str">
        <f>IF($A1779="","",VLOOKUP($H1779,APOIO!$L:$M,2,FALSE))</f>
        <v/>
      </c>
      <c r="J1779" s="31"/>
      <c r="K1779" s="32" t="str">
        <f>IF($A1779="","",VLOOKUP($J1779,APOIO!$H:$J,2,FALSE))</f>
        <v/>
      </c>
      <c r="L1779" s="32" t="str">
        <f>IF($A1779="","",VLOOKUP($J1779,APOIO!$H:$J,3,FALSE))</f>
        <v/>
      </c>
      <c r="M1779" s="31"/>
      <c r="N1779" s="34"/>
      <c r="O1779" s="32"/>
      <c r="P1779" s="32"/>
      <c r="Q1779" s="32"/>
      <c r="R1779" s="32"/>
      <c r="S1779" s="35"/>
      <c r="T1779" s="91"/>
      <c r="U1779" s="60"/>
      <c r="V1779" s="36"/>
      <c r="W1779" s="31"/>
      <c r="X1779" s="59"/>
      <c r="Y1779" s="59" t="str">
        <f>IFERROR(VLOOKUP($A1779,APOIO!$A:$A,1,FALSE),"ERRO")</f>
        <v>ERRO</v>
      </c>
      <c r="Z1779"/>
    </row>
    <row r="1780" spans="1:26" ht="15" x14ac:dyDescent="0.25">
      <c r="A1780" s="94"/>
      <c r="B1780" s="32" t="str">
        <f>IF($A1780="","",VLOOKUP($A1780,APOIO!$A:$E,2,FALSE))</f>
        <v/>
      </c>
      <c r="C1780" s="94"/>
      <c r="D1780" s="32" t="str">
        <f>IF($A1780="","",INDEX(APOIO!$D:$D,MATCH(CONCATENATE($A1780,"_",$B1780,"_",$C1780),APOIO!$F:$F,0)))</f>
        <v/>
      </c>
      <c r="E1780" s="31"/>
      <c r="F1780" s="31"/>
      <c r="G1780" s="33"/>
      <c r="H1780" s="105"/>
      <c r="I1780" s="32" t="str">
        <f>IF($A1780="","",VLOOKUP($H1780,APOIO!$L:$M,2,FALSE))</f>
        <v/>
      </c>
      <c r="J1780" s="31"/>
      <c r="K1780" s="32" t="str">
        <f>IF($A1780="","",VLOOKUP($J1780,APOIO!$H:$J,2,FALSE))</f>
        <v/>
      </c>
      <c r="L1780" s="32" t="str">
        <f>IF($A1780="","",VLOOKUP($J1780,APOIO!$H:$J,3,FALSE))</f>
        <v/>
      </c>
      <c r="M1780" s="31"/>
      <c r="N1780" s="34"/>
      <c r="O1780" s="32"/>
      <c r="P1780" s="32"/>
      <c r="Q1780" s="32"/>
      <c r="R1780" s="32"/>
      <c r="S1780" s="35"/>
      <c r="T1780" s="91"/>
      <c r="U1780" s="60"/>
      <c r="V1780" s="36"/>
      <c r="W1780" s="31"/>
      <c r="X1780" s="59"/>
      <c r="Y1780" s="59" t="str">
        <f>IFERROR(VLOOKUP($A1780,APOIO!$A:$A,1,FALSE),"ERRO")</f>
        <v>ERRO</v>
      </c>
      <c r="Z1780"/>
    </row>
    <row r="1781" spans="1:26" ht="15" x14ac:dyDescent="0.25">
      <c r="A1781" s="94"/>
      <c r="B1781" s="32" t="str">
        <f>IF($A1781="","",VLOOKUP($A1781,APOIO!$A:$E,2,FALSE))</f>
        <v/>
      </c>
      <c r="C1781" s="94"/>
      <c r="D1781" s="32" t="str">
        <f>IF($A1781="","",INDEX(APOIO!$D:$D,MATCH(CONCATENATE($A1781,"_",$B1781,"_",$C1781),APOIO!$F:$F,0)))</f>
        <v/>
      </c>
      <c r="E1781" s="31"/>
      <c r="F1781" s="31"/>
      <c r="G1781" s="33"/>
      <c r="H1781" s="105"/>
      <c r="I1781" s="32" t="str">
        <f>IF($A1781="","",VLOOKUP($H1781,APOIO!$L:$M,2,FALSE))</f>
        <v/>
      </c>
      <c r="J1781" s="31"/>
      <c r="K1781" s="32" t="str">
        <f>IF($A1781="","",VLOOKUP($J1781,APOIO!$H:$J,2,FALSE))</f>
        <v/>
      </c>
      <c r="L1781" s="32" t="str">
        <f>IF($A1781="","",VLOOKUP($J1781,APOIO!$H:$J,3,FALSE))</f>
        <v/>
      </c>
      <c r="M1781" s="31"/>
      <c r="N1781" s="34"/>
      <c r="O1781" s="32"/>
      <c r="P1781" s="32"/>
      <c r="Q1781" s="32"/>
      <c r="R1781" s="32"/>
      <c r="S1781" s="35"/>
      <c r="T1781" s="91"/>
      <c r="U1781" s="60"/>
      <c r="V1781" s="36"/>
      <c r="W1781" s="31"/>
      <c r="X1781" s="59"/>
      <c r="Y1781" s="59" t="str">
        <f>IFERROR(VLOOKUP($A1781,APOIO!$A:$A,1,FALSE),"ERRO")</f>
        <v>ERRO</v>
      </c>
      <c r="Z1781"/>
    </row>
    <row r="1782" spans="1:26" ht="15" x14ac:dyDescent="0.25">
      <c r="A1782" s="94"/>
      <c r="B1782" s="32" t="str">
        <f>IF($A1782="","",VLOOKUP($A1782,APOIO!$A:$E,2,FALSE))</f>
        <v/>
      </c>
      <c r="C1782" s="94"/>
      <c r="D1782" s="32" t="str">
        <f>IF($A1782="","",INDEX(APOIO!$D:$D,MATCH(CONCATENATE($A1782,"_",$B1782,"_",$C1782),APOIO!$F:$F,0)))</f>
        <v/>
      </c>
      <c r="E1782" s="31"/>
      <c r="F1782" s="31"/>
      <c r="G1782" s="33"/>
      <c r="H1782" s="105"/>
      <c r="I1782" s="32" t="str">
        <f>IF($A1782="","",VLOOKUP($H1782,APOIO!$L:$M,2,FALSE))</f>
        <v/>
      </c>
      <c r="J1782" s="31"/>
      <c r="K1782" s="32" t="str">
        <f>IF($A1782="","",VLOOKUP($J1782,APOIO!$H:$J,2,FALSE))</f>
        <v/>
      </c>
      <c r="L1782" s="32" t="str">
        <f>IF($A1782="","",VLOOKUP($J1782,APOIO!$H:$J,3,FALSE))</f>
        <v/>
      </c>
      <c r="M1782" s="31"/>
      <c r="N1782" s="34"/>
      <c r="O1782" s="32"/>
      <c r="P1782" s="32"/>
      <c r="Q1782" s="32"/>
      <c r="R1782" s="32"/>
      <c r="S1782" s="35"/>
      <c r="T1782" s="91"/>
      <c r="U1782" s="60"/>
      <c r="V1782" s="36"/>
      <c r="W1782" s="31"/>
      <c r="X1782" s="59"/>
      <c r="Y1782" s="59" t="str">
        <f>IFERROR(VLOOKUP($A1782,APOIO!$A:$A,1,FALSE),"ERRO")</f>
        <v>ERRO</v>
      </c>
      <c r="Z1782"/>
    </row>
    <row r="1783" spans="1:26" ht="15" x14ac:dyDescent="0.25">
      <c r="A1783" s="94"/>
      <c r="B1783" s="32" t="str">
        <f>IF($A1783="","",VLOOKUP($A1783,APOIO!$A:$E,2,FALSE))</f>
        <v/>
      </c>
      <c r="C1783" s="94"/>
      <c r="D1783" s="32" t="str">
        <f>IF($A1783="","",INDEX(APOIO!$D:$D,MATCH(CONCATENATE($A1783,"_",$B1783,"_",$C1783),APOIO!$F:$F,0)))</f>
        <v/>
      </c>
      <c r="E1783" s="31"/>
      <c r="F1783" s="31"/>
      <c r="G1783" s="33"/>
      <c r="H1783" s="105"/>
      <c r="I1783" s="32" t="str">
        <f>IF($A1783="","",VLOOKUP($H1783,APOIO!$L:$M,2,FALSE))</f>
        <v/>
      </c>
      <c r="J1783" s="31"/>
      <c r="K1783" s="32" t="str">
        <f>IF($A1783="","",VLOOKUP($J1783,APOIO!$H:$J,2,FALSE))</f>
        <v/>
      </c>
      <c r="L1783" s="32" t="str">
        <f>IF($A1783="","",VLOOKUP($J1783,APOIO!$H:$J,3,FALSE))</f>
        <v/>
      </c>
      <c r="M1783" s="31"/>
      <c r="N1783" s="34"/>
      <c r="O1783" s="32"/>
      <c r="P1783" s="32"/>
      <c r="Q1783" s="32"/>
      <c r="R1783" s="32"/>
      <c r="S1783" s="35"/>
      <c r="T1783" s="91"/>
      <c r="U1783" s="60"/>
      <c r="V1783" s="36"/>
      <c r="W1783" s="31"/>
      <c r="X1783" s="59"/>
      <c r="Y1783" s="59" t="str">
        <f>IFERROR(VLOOKUP($A1783,APOIO!$A:$A,1,FALSE),"ERRO")</f>
        <v>ERRO</v>
      </c>
      <c r="Z1783"/>
    </row>
    <row r="1784" spans="1:26" ht="15" x14ac:dyDescent="0.25">
      <c r="A1784" s="94"/>
      <c r="B1784" s="32" t="str">
        <f>IF($A1784="","",VLOOKUP($A1784,APOIO!$A:$E,2,FALSE))</f>
        <v/>
      </c>
      <c r="C1784" s="94"/>
      <c r="D1784" s="32" t="str">
        <f>IF($A1784="","",INDEX(APOIO!$D:$D,MATCH(CONCATENATE($A1784,"_",$B1784,"_",$C1784),APOIO!$F:$F,0)))</f>
        <v/>
      </c>
      <c r="E1784" s="31"/>
      <c r="F1784" s="31"/>
      <c r="G1784" s="33"/>
      <c r="H1784" s="105"/>
      <c r="I1784" s="32" t="str">
        <f>IF($A1784="","",VLOOKUP($H1784,APOIO!$L:$M,2,FALSE))</f>
        <v/>
      </c>
      <c r="J1784" s="31"/>
      <c r="K1784" s="32" t="str">
        <f>IF($A1784="","",VLOOKUP($J1784,APOIO!$H:$J,2,FALSE))</f>
        <v/>
      </c>
      <c r="L1784" s="32" t="str">
        <f>IF($A1784="","",VLOOKUP($J1784,APOIO!$H:$J,3,FALSE))</f>
        <v/>
      </c>
      <c r="M1784" s="31"/>
      <c r="N1784" s="34"/>
      <c r="O1784" s="32"/>
      <c r="P1784" s="32"/>
      <c r="Q1784" s="32"/>
      <c r="R1784" s="32"/>
      <c r="S1784" s="35"/>
      <c r="T1784" s="91"/>
      <c r="U1784" s="60"/>
      <c r="V1784" s="36"/>
      <c r="W1784" s="31"/>
      <c r="X1784" s="59"/>
      <c r="Y1784" s="59" t="str">
        <f>IFERROR(VLOOKUP($A1784,APOIO!$A:$A,1,FALSE),"ERRO")</f>
        <v>ERRO</v>
      </c>
      <c r="Z1784"/>
    </row>
    <row r="1785" spans="1:26" ht="15" x14ac:dyDescent="0.25">
      <c r="A1785" s="94"/>
      <c r="B1785" s="32" t="str">
        <f>IF($A1785="","",VLOOKUP($A1785,APOIO!$A:$E,2,FALSE))</f>
        <v/>
      </c>
      <c r="C1785" s="94"/>
      <c r="D1785" s="32" t="str">
        <f>IF($A1785="","",INDEX(APOIO!$D:$D,MATCH(CONCATENATE($A1785,"_",$B1785,"_",$C1785),APOIO!$F:$F,0)))</f>
        <v/>
      </c>
      <c r="E1785" s="31"/>
      <c r="F1785" s="31"/>
      <c r="G1785" s="33"/>
      <c r="H1785" s="105"/>
      <c r="I1785" s="32" t="str">
        <f>IF($A1785="","",VLOOKUP($H1785,APOIO!$L:$M,2,FALSE))</f>
        <v/>
      </c>
      <c r="J1785" s="31"/>
      <c r="K1785" s="32" t="str">
        <f>IF($A1785="","",VLOOKUP($J1785,APOIO!$H:$J,2,FALSE))</f>
        <v/>
      </c>
      <c r="L1785" s="32" t="str">
        <f>IF($A1785="","",VLOOKUP($J1785,APOIO!$H:$J,3,FALSE))</f>
        <v/>
      </c>
      <c r="M1785" s="31"/>
      <c r="N1785" s="34"/>
      <c r="O1785" s="32"/>
      <c r="P1785" s="32"/>
      <c r="Q1785" s="32"/>
      <c r="R1785" s="32"/>
      <c r="S1785" s="35"/>
      <c r="T1785" s="91"/>
      <c r="U1785" s="60"/>
      <c r="V1785" s="36"/>
      <c r="W1785" s="31"/>
      <c r="X1785" s="59"/>
      <c r="Y1785" s="59" t="str">
        <f>IFERROR(VLOOKUP($A1785,APOIO!$A:$A,1,FALSE),"ERRO")</f>
        <v>ERRO</v>
      </c>
      <c r="Z1785"/>
    </row>
    <row r="1786" spans="1:26" ht="15" x14ac:dyDescent="0.25">
      <c r="A1786" s="94"/>
      <c r="B1786" s="32" t="str">
        <f>IF($A1786="","",VLOOKUP($A1786,APOIO!$A:$E,2,FALSE))</f>
        <v/>
      </c>
      <c r="C1786" s="94"/>
      <c r="D1786" s="32" t="str">
        <f>IF($A1786="","",INDEX(APOIO!$D:$D,MATCH(CONCATENATE($A1786,"_",$B1786,"_",$C1786),APOIO!$F:$F,0)))</f>
        <v/>
      </c>
      <c r="E1786" s="31"/>
      <c r="F1786" s="31"/>
      <c r="G1786" s="33"/>
      <c r="H1786" s="105"/>
      <c r="I1786" s="32" t="str">
        <f>IF($A1786="","",VLOOKUP($H1786,APOIO!$L:$M,2,FALSE))</f>
        <v/>
      </c>
      <c r="J1786" s="31"/>
      <c r="K1786" s="32" t="str">
        <f>IF($A1786="","",VLOOKUP($J1786,APOIO!$H:$J,2,FALSE))</f>
        <v/>
      </c>
      <c r="L1786" s="32" t="str">
        <f>IF($A1786="","",VLOOKUP($J1786,APOIO!$H:$J,3,FALSE))</f>
        <v/>
      </c>
      <c r="M1786" s="31"/>
      <c r="N1786" s="34"/>
      <c r="O1786" s="32"/>
      <c r="P1786" s="32"/>
      <c r="Q1786" s="32"/>
      <c r="R1786" s="32"/>
      <c r="S1786" s="35"/>
      <c r="T1786" s="91"/>
      <c r="U1786" s="60"/>
      <c r="V1786" s="36"/>
      <c r="W1786" s="31"/>
      <c r="X1786" s="59"/>
      <c r="Y1786" s="59" t="str">
        <f>IFERROR(VLOOKUP($A1786,APOIO!$A:$A,1,FALSE),"ERRO")</f>
        <v>ERRO</v>
      </c>
      <c r="Z1786"/>
    </row>
    <row r="1787" spans="1:26" ht="15" x14ac:dyDescent="0.25">
      <c r="A1787" s="94"/>
      <c r="B1787" s="32" t="str">
        <f>IF($A1787="","",VLOOKUP($A1787,APOIO!$A:$E,2,FALSE))</f>
        <v/>
      </c>
      <c r="C1787" s="94"/>
      <c r="D1787" s="32" t="str">
        <f>IF($A1787="","",INDEX(APOIO!$D:$D,MATCH(CONCATENATE($A1787,"_",$B1787,"_",$C1787),APOIO!$F:$F,0)))</f>
        <v/>
      </c>
      <c r="E1787" s="31"/>
      <c r="F1787" s="31"/>
      <c r="G1787" s="33"/>
      <c r="H1787" s="105"/>
      <c r="I1787" s="32" t="str">
        <f>IF($A1787="","",VLOOKUP($H1787,APOIO!$L:$M,2,FALSE))</f>
        <v/>
      </c>
      <c r="J1787" s="31"/>
      <c r="K1787" s="32" t="str">
        <f>IF($A1787="","",VLOOKUP($J1787,APOIO!$H:$J,2,FALSE))</f>
        <v/>
      </c>
      <c r="L1787" s="32" t="str">
        <f>IF($A1787="","",VLOOKUP($J1787,APOIO!$H:$J,3,FALSE))</f>
        <v/>
      </c>
      <c r="M1787" s="31"/>
      <c r="N1787" s="34"/>
      <c r="O1787" s="32"/>
      <c r="P1787" s="32"/>
      <c r="Q1787" s="32"/>
      <c r="R1787" s="32"/>
      <c r="S1787" s="35"/>
      <c r="T1787" s="91"/>
      <c r="U1787" s="60"/>
      <c r="V1787" s="36"/>
      <c r="W1787" s="31"/>
      <c r="X1787" s="59"/>
      <c r="Y1787" s="59" t="str">
        <f>IFERROR(VLOOKUP($A1787,APOIO!$A:$A,1,FALSE),"ERRO")</f>
        <v>ERRO</v>
      </c>
      <c r="Z1787"/>
    </row>
    <row r="1788" spans="1:26" ht="15" x14ac:dyDescent="0.25">
      <c r="A1788" s="94"/>
      <c r="B1788" s="32" t="str">
        <f>IF($A1788="","",VLOOKUP($A1788,APOIO!$A:$E,2,FALSE))</f>
        <v/>
      </c>
      <c r="C1788" s="94"/>
      <c r="D1788" s="32" t="str">
        <f>IF($A1788="","",INDEX(APOIO!$D:$D,MATCH(CONCATENATE($A1788,"_",$B1788,"_",$C1788),APOIO!$F:$F,0)))</f>
        <v/>
      </c>
      <c r="E1788" s="31"/>
      <c r="F1788" s="31"/>
      <c r="G1788" s="33"/>
      <c r="H1788" s="105"/>
      <c r="I1788" s="32" t="str">
        <f>IF($A1788="","",VLOOKUP($H1788,APOIO!$L:$M,2,FALSE))</f>
        <v/>
      </c>
      <c r="J1788" s="31"/>
      <c r="K1788" s="32" t="str">
        <f>IF($A1788="","",VLOOKUP($J1788,APOIO!$H:$J,2,FALSE))</f>
        <v/>
      </c>
      <c r="L1788" s="32" t="str">
        <f>IF($A1788="","",VLOOKUP($J1788,APOIO!$H:$J,3,FALSE))</f>
        <v/>
      </c>
      <c r="M1788" s="31"/>
      <c r="N1788" s="34"/>
      <c r="O1788" s="32"/>
      <c r="P1788" s="32"/>
      <c r="Q1788" s="32"/>
      <c r="R1788" s="32"/>
      <c r="S1788" s="35"/>
      <c r="T1788" s="91"/>
      <c r="U1788" s="60"/>
      <c r="V1788" s="36"/>
      <c r="W1788" s="31"/>
      <c r="X1788" s="59"/>
      <c r="Y1788" s="59" t="str">
        <f>IFERROR(VLOOKUP($A1788,APOIO!$A:$A,1,FALSE),"ERRO")</f>
        <v>ERRO</v>
      </c>
      <c r="Z1788"/>
    </row>
    <row r="1789" spans="1:26" ht="15" x14ac:dyDescent="0.25">
      <c r="A1789" s="94"/>
      <c r="B1789" s="32" t="str">
        <f>IF($A1789="","",VLOOKUP($A1789,APOIO!$A:$E,2,FALSE))</f>
        <v/>
      </c>
      <c r="C1789" s="94"/>
      <c r="D1789" s="32" t="str">
        <f>IF($A1789="","",INDEX(APOIO!$D:$D,MATCH(CONCATENATE($A1789,"_",$B1789,"_",$C1789),APOIO!$F:$F,0)))</f>
        <v/>
      </c>
      <c r="E1789" s="31"/>
      <c r="F1789" s="31"/>
      <c r="G1789" s="33"/>
      <c r="H1789" s="105"/>
      <c r="I1789" s="32" t="str">
        <f>IF($A1789="","",VLOOKUP($H1789,APOIO!$L:$M,2,FALSE))</f>
        <v/>
      </c>
      <c r="J1789" s="31"/>
      <c r="K1789" s="32" t="str">
        <f>IF($A1789="","",VLOOKUP($J1789,APOIO!$H:$J,2,FALSE))</f>
        <v/>
      </c>
      <c r="L1789" s="32" t="str">
        <f>IF($A1789="","",VLOOKUP($J1789,APOIO!$H:$J,3,FALSE))</f>
        <v/>
      </c>
      <c r="M1789" s="31"/>
      <c r="N1789" s="34"/>
      <c r="O1789" s="32"/>
      <c r="P1789" s="32"/>
      <c r="Q1789" s="32"/>
      <c r="R1789" s="32"/>
      <c r="S1789" s="35"/>
      <c r="T1789" s="91"/>
      <c r="U1789" s="60"/>
      <c r="V1789" s="36"/>
      <c r="W1789" s="31"/>
      <c r="X1789" s="59"/>
      <c r="Y1789" s="59" t="str">
        <f>IFERROR(VLOOKUP($A1789,APOIO!$A:$A,1,FALSE),"ERRO")</f>
        <v>ERRO</v>
      </c>
      <c r="Z1789"/>
    </row>
    <row r="1790" spans="1:26" ht="15" x14ac:dyDescent="0.25">
      <c r="A1790" s="94"/>
      <c r="B1790" s="32" t="str">
        <f>IF($A1790="","",VLOOKUP($A1790,APOIO!$A:$E,2,FALSE))</f>
        <v/>
      </c>
      <c r="C1790" s="94"/>
      <c r="D1790" s="32" t="str">
        <f>IF($A1790="","",INDEX(APOIO!$D:$D,MATCH(CONCATENATE($A1790,"_",$B1790,"_",$C1790),APOIO!$F:$F,0)))</f>
        <v/>
      </c>
      <c r="E1790" s="31"/>
      <c r="F1790" s="31"/>
      <c r="G1790" s="33"/>
      <c r="H1790" s="105"/>
      <c r="I1790" s="32" t="str">
        <f>IF($A1790="","",VLOOKUP($H1790,APOIO!$L:$M,2,FALSE))</f>
        <v/>
      </c>
      <c r="J1790" s="31"/>
      <c r="K1790" s="32" t="str">
        <f>IF($A1790="","",VLOOKUP($J1790,APOIO!$H:$J,2,FALSE))</f>
        <v/>
      </c>
      <c r="L1790" s="32" t="str">
        <f>IF($A1790="","",VLOOKUP($J1790,APOIO!$H:$J,3,FALSE))</f>
        <v/>
      </c>
      <c r="M1790" s="31"/>
      <c r="N1790" s="34"/>
      <c r="O1790" s="32"/>
      <c r="P1790" s="32"/>
      <c r="Q1790" s="32"/>
      <c r="R1790" s="32"/>
      <c r="S1790" s="35"/>
      <c r="T1790" s="91"/>
      <c r="U1790" s="60"/>
      <c r="V1790" s="36"/>
      <c r="W1790" s="31"/>
      <c r="X1790" s="59"/>
      <c r="Y1790" s="59" t="str">
        <f>IFERROR(VLOOKUP($A1790,APOIO!$A:$A,1,FALSE),"ERRO")</f>
        <v>ERRO</v>
      </c>
      <c r="Z1790"/>
    </row>
    <row r="1791" spans="1:26" ht="15" x14ac:dyDescent="0.25">
      <c r="A1791" s="94"/>
      <c r="B1791" s="32" t="str">
        <f>IF($A1791="","",VLOOKUP($A1791,APOIO!$A:$E,2,FALSE))</f>
        <v/>
      </c>
      <c r="C1791" s="94"/>
      <c r="D1791" s="32" t="str">
        <f>IF($A1791="","",INDEX(APOIO!$D:$D,MATCH(CONCATENATE($A1791,"_",$B1791,"_",$C1791),APOIO!$F:$F,0)))</f>
        <v/>
      </c>
      <c r="E1791" s="31"/>
      <c r="F1791" s="31"/>
      <c r="G1791" s="33"/>
      <c r="H1791" s="105"/>
      <c r="I1791" s="32" t="str">
        <f>IF($A1791="","",VLOOKUP($H1791,APOIO!$L:$M,2,FALSE))</f>
        <v/>
      </c>
      <c r="J1791" s="31"/>
      <c r="K1791" s="32" t="str">
        <f>IF($A1791="","",VLOOKUP($J1791,APOIO!$H:$J,2,FALSE))</f>
        <v/>
      </c>
      <c r="L1791" s="32" t="str">
        <f>IF($A1791="","",VLOOKUP($J1791,APOIO!$H:$J,3,FALSE))</f>
        <v/>
      </c>
      <c r="M1791" s="31"/>
      <c r="N1791" s="34"/>
      <c r="O1791" s="32"/>
      <c r="P1791" s="32"/>
      <c r="Q1791" s="32"/>
      <c r="R1791" s="32"/>
      <c r="S1791" s="35"/>
      <c r="T1791" s="91"/>
      <c r="U1791" s="60"/>
      <c r="V1791" s="36"/>
      <c r="W1791" s="31"/>
      <c r="X1791" s="59"/>
      <c r="Y1791" s="59" t="str">
        <f>IFERROR(VLOOKUP($A1791,APOIO!$A:$A,1,FALSE),"ERRO")</f>
        <v>ERRO</v>
      </c>
      <c r="Z1791"/>
    </row>
    <row r="1792" spans="1:26" ht="15" x14ac:dyDescent="0.25">
      <c r="A1792" s="94"/>
      <c r="B1792" s="32" t="str">
        <f>IF($A1792="","",VLOOKUP($A1792,APOIO!$A:$E,2,FALSE))</f>
        <v/>
      </c>
      <c r="C1792" s="94"/>
      <c r="D1792" s="32" t="str">
        <f>IF($A1792="","",INDEX(APOIO!$D:$D,MATCH(CONCATENATE($A1792,"_",$B1792,"_",$C1792),APOIO!$F:$F,0)))</f>
        <v/>
      </c>
      <c r="E1792" s="31"/>
      <c r="F1792" s="31"/>
      <c r="G1792" s="33"/>
      <c r="H1792" s="105"/>
      <c r="I1792" s="32" t="str">
        <f>IF($A1792="","",VLOOKUP($H1792,APOIO!$L:$M,2,FALSE))</f>
        <v/>
      </c>
      <c r="J1792" s="31"/>
      <c r="K1792" s="32" t="str">
        <f>IF($A1792="","",VLOOKUP($J1792,APOIO!$H:$J,2,FALSE))</f>
        <v/>
      </c>
      <c r="L1792" s="32" t="str">
        <f>IF($A1792="","",VLOOKUP($J1792,APOIO!$H:$J,3,FALSE))</f>
        <v/>
      </c>
      <c r="M1792" s="31"/>
      <c r="N1792" s="34"/>
      <c r="O1792" s="32"/>
      <c r="P1792" s="32"/>
      <c r="Q1792" s="32"/>
      <c r="R1792" s="32"/>
      <c r="S1792" s="35"/>
      <c r="T1792" s="91"/>
      <c r="U1792" s="60"/>
      <c r="V1792" s="36"/>
      <c r="W1792" s="31"/>
      <c r="X1792" s="59"/>
      <c r="Y1792" s="59" t="str">
        <f>IFERROR(VLOOKUP($A1792,APOIO!$A:$A,1,FALSE),"ERRO")</f>
        <v>ERRO</v>
      </c>
      <c r="Z1792"/>
    </row>
    <row r="1793" spans="1:26" ht="15" x14ac:dyDescent="0.25">
      <c r="A1793" s="94"/>
      <c r="B1793" s="32" t="str">
        <f>IF($A1793="","",VLOOKUP($A1793,APOIO!$A:$E,2,FALSE))</f>
        <v/>
      </c>
      <c r="C1793" s="94"/>
      <c r="D1793" s="32" t="str">
        <f>IF($A1793="","",INDEX(APOIO!$D:$D,MATCH(CONCATENATE($A1793,"_",$B1793,"_",$C1793),APOIO!$F:$F,0)))</f>
        <v/>
      </c>
      <c r="E1793" s="31"/>
      <c r="F1793" s="31"/>
      <c r="G1793" s="33"/>
      <c r="H1793" s="105"/>
      <c r="I1793" s="32" t="str">
        <f>IF($A1793="","",VLOOKUP($H1793,APOIO!$L:$M,2,FALSE))</f>
        <v/>
      </c>
      <c r="J1793" s="31"/>
      <c r="K1793" s="32" t="str">
        <f>IF($A1793="","",VLOOKUP($J1793,APOIO!$H:$J,2,FALSE))</f>
        <v/>
      </c>
      <c r="L1793" s="32" t="str">
        <f>IF($A1793="","",VLOOKUP($J1793,APOIO!$H:$J,3,FALSE))</f>
        <v/>
      </c>
      <c r="M1793" s="31"/>
      <c r="N1793" s="34"/>
      <c r="O1793" s="32"/>
      <c r="P1793" s="32"/>
      <c r="Q1793" s="32"/>
      <c r="R1793" s="32"/>
      <c r="S1793" s="35"/>
      <c r="T1793" s="91"/>
      <c r="U1793" s="60"/>
      <c r="V1793" s="36"/>
      <c r="W1793" s="31"/>
      <c r="X1793" s="59"/>
      <c r="Y1793" s="59" t="str">
        <f>IFERROR(VLOOKUP($A1793,APOIO!$A:$A,1,FALSE),"ERRO")</f>
        <v>ERRO</v>
      </c>
      <c r="Z1793"/>
    </row>
    <row r="1794" spans="1:26" ht="15" x14ac:dyDescent="0.25">
      <c r="A1794" s="94"/>
      <c r="B1794" s="32" t="str">
        <f>IF($A1794="","",VLOOKUP($A1794,APOIO!$A:$E,2,FALSE))</f>
        <v/>
      </c>
      <c r="C1794" s="94"/>
      <c r="D1794" s="32" t="str">
        <f>IF($A1794="","",INDEX(APOIO!$D:$D,MATCH(CONCATENATE($A1794,"_",$B1794,"_",$C1794),APOIO!$F:$F,0)))</f>
        <v/>
      </c>
      <c r="E1794" s="31"/>
      <c r="F1794" s="31"/>
      <c r="G1794" s="33"/>
      <c r="H1794" s="105"/>
      <c r="I1794" s="32" t="str">
        <f>IF($A1794="","",VLOOKUP($H1794,APOIO!$L:$M,2,FALSE))</f>
        <v/>
      </c>
      <c r="J1794" s="31"/>
      <c r="K1794" s="32" t="str">
        <f>IF($A1794="","",VLOOKUP($J1794,APOIO!$H:$J,2,FALSE))</f>
        <v/>
      </c>
      <c r="L1794" s="32" t="str">
        <f>IF($A1794="","",VLOOKUP($J1794,APOIO!$H:$J,3,FALSE))</f>
        <v/>
      </c>
      <c r="M1794" s="31"/>
      <c r="N1794" s="34"/>
      <c r="O1794" s="32"/>
      <c r="P1794" s="32"/>
      <c r="Q1794" s="32"/>
      <c r="R1794" s="32"/>
      <c r="S1794" s="35"/>
      <c r="T1794" s="91"/>
      <c r="U1794" s="60"/>
      <c r="V1794" s="36"/>
      <c r="W1794" s="31"/>
      <c r="X1794" s="59"/>
      <c r="Y1794" s="59" t="str">
        <f>IFERROR(VLOOKUP($A1794,APOIO!$A:$A,1,FALSE),"ERRO")</f>
        <v>ERRO</v>
      </c>
      <c r="Z1794"/>
    </row>
    <row r="1795" spans="1:26" ht="15" x14ac:dyDescent="0.25">
      <c r="A1795" s="94"/>
      <c r="B1795" s="32" t="str">
        <f>IF($A1795="","",VLOOKUP($A1795,APOIO!$A:$E,2,FALSE))</f>
        <v/>
      </c>
      <c r="C1795" s="94"/>
      <c r="D1795" s="32" t="str">
        <f>IF($A1795="","",INDEX(APOIO!$D:$D,MATCH(CONCATENATE($A1795,"_",$B1795,"_",$C1795),APOIO!$F:$F,0)))</f>
        <v/>
      </c>
      <c r="E1795" s="31"/>
      <c r="F1795" s="31"/>
      <c r="G1795" s="33"/>
      <c r="H1795" s="105"/>
      <c r="I1795" s="32" t="str">
        <f>IF($A1795="","",VLOOKUP($H1795,APOIO!$L:$M,2,FALSE))</f>
        <v/>
      </c>
      <c r="J1795" s="31"/>
      <c r="K1795" s="32" t="str">
        <f>IF($A1795="","",VLOOKUP($J1795,APOIO!$H:$J,2,FALSE))</f>
        <v/>
      </c>
      <c r="L1795" s="32" t="str">
        <f>IF($A1795="","",VLOOKUP($J1795,APOIO!$H:$J,3,FALSE))</f>
        <v/>
      </c>
      <c r="M1795" s="31"/>
      <c r="N1795" s="34"/>
      <c r="O1795" s="32"/>
      <c r="P1795" s="32"/>
      <c r="Q1795" s="32"/>
      <c r="R1795" s="32"/>
      <c r="S1795" s="35"/>
      <c r="T1795" s="91"/>
      <c r="U1795" s="60"/>
      <c r="V1795" s="36"/>
      <c r="W1795" s="31"/>
      <c r="X1795" s="59"/>
      <c r="Y1795" s="59" t="str">
        <f>IFERROR(VLOOKUP($A1795,APOIO!$A:$A,1,FALSE),"ERRO")</f>
        <v>ERRO</v>
      </c>
      <c r="Z1795"/>
    </row>
    <row r="1796" spans="1:26" ht="15" x14ac:dyDescent="0.25">
      <c r="A1796" s="94"/>
      <c r="B1796" s="32" t="str">
        <f>IF($A1796="","",VLOOKUP($A1796,APOIO!$A:$E,2,FALSE))</f>
        <v/>
      </c>
      <c r="C1796" s="94"/>
      <c r="D1796" s="32" t="str">
        <f>IF($A1796="","",INDEX(APOIO!$D:$D,MATCH(CONCATENATE($A1796,"_",$B1796,"_",$C1796),APOIO!$F:$F,0)))</f>
        <v/>
      </c>
      <c r="E1796" s="31"/>
      <c r="F1796" s="31"/>
      <c r="G1796" s="33"/>
      <c r="H1796" s="105"/>
      <c r="I1796" s="32" t="str">
        <f>IF($A1796="","",VLOOKUP($H1796,APOIO!$L:$M,2,FALSE))</f>
        <v/>
      </c>
      <c r="J1796" s="31"/>
      <c r="K1796" s="32" t="str">
        <f>IF($A1796="","",VLOOKUP($J1796,APOIO!$H:$J,2,FALSE))</f>
        <v/>
      </c>
      <c r="L1796" s="32" t="str">
        <f>IF($A1796="","",VLOOKUP($J1796,APOIO!$H:$J,3,FALSE))</f>
        <v/>
      </c>
      <c r="M1796" s="31"/>
      <c r="N1796" s="34"/>
      <c r="O1796" s="32"/>
      <c r="P1796" s="32"/>
      <c r="Q1796" s="32"/>
      <c r="R1796" s="32"/>
      <c r="S1796" s="35"/>
      <c r="T1796" s="91"/>
      <c r="U1796" s="60"/>
      <c r="V1796" s="36"/>
      <c r="W1796" s="31"/>
      <c r="X1796" s="59"/>
      <c r="Y1796" s="59" t="str">
        <f>IFERROR(VLOOKUP($A1796,APOIO!$A:$A,1,FALSE),"ERRO")</f>
        <v>ERRO</v>
      </c>
      <c r="Z1796"/>
    </row>
    <row r="1797" spans="1:26" ht="15" x14ac:dyDescent="0.25">
      <c r="A1797" s="94"/>
      <c r="B1797" s="32" t="str">
        <f>IF($A1797="","",VLOOKUP($A1797,APOIO!$A:$E,2,FALSE))</f>
        <v/>
      </c>
      <c r="C1797" s="94"/>
      <c r="D1797" s="32" t="str">
        <f>IF($A1797="","",INDEX(APOIO!$D:$D,MATCH(CONCATENATE($A1797,"_",$B1797,"_",$C1797),APOIO!$F:$F,0)))</f>
        <v/>
      </c>
      <c r="E1797" s="31"/>
      <c r="F1797" s="31"/>
      <c r="G1797" s="33"/>
      <c r="H1797" s="105"/>
      <c r="I1797" s="32" t="str">
        <f>IF($A1797="","",VLOOKUP($H1797,APOIO!$L:$M,2,FALSE))</f>
        <v/>
      </c>
      <c r="J1797" s="31"/>
      <c r="K1797" s="32" t="str">
        <f>IF($A1797="","",VLOOKUP($J1797,APOIO!$H:$J,2,FALSE))</f>
        <v/>
      </c>
      <c r="L1797" s="32" t="str">
        <f>IF($A1797="","",VLOOKUP($J1797,APOIO!$H:$J,3,FALSE))</f>
        <v/>
      </c>
      <c r="M1797" s="31"/>
      <c r="N1797" s="34"/>
      <c r="O1797" s="32"/>
      <c r="P1797" s="32"/>
      <c r="Q1797" s="32"/>
      <c r="R1797" s="32"/>
      <c r="S1797" s="35"/>
      <c r="T1797" s="91"/>
      <c r="U1797" s="60"/>
      <c r="V1797" s="36"/>
      <c r="W1797" s="31"/>
      <c r="X1797" s="59"/>
      <c r="Y1797" s="59" t="str">
        <f>IFERROR(VLOOKUP($A1797,APOIO!$A:$A,1,FALSE),"ERRO")</f>
        <v>ERRO</v>
      </c>
      <c r="Z1797"/>
    </row>
    <row r="1798" spans="1:26" ht="15" x14ac:dyDescent="0.25">
      <c r="A1798" s="94"/>
      <c r="B1798" s="32" t="str">
        <f>IF($A1798="","",VLOOKUP($A1798,APOIO!$A:$E,2,FALSE))</f>
        <v/>
      </c>
      <c r="C1798" s="94"/>
      <c r="D1798" s="32" t="str">
        <f>IF($A1798="","",INDEX(APOIO!$D:$D,MATCH(CONCATENATE($A1798,"_",$B1798,"_",$C1798),APOIO!$F:$F,0)))</f>
        <v/>
      </c>
      <c r="E1798" s="31"/>
      <c r="F1798" s="31"/>
      <c r="G1798" s="33"/>
      <c r="H1798" s="105"/>
      <c r="I1798" s="32" t="str">
        <f>IF($A1798="","",VLOOKUP($H1798,APOIO!$L:$M,2,FALSE))</f>
        <v/>
      </c>
      <c r="J1798" s="31"/>
      <c r="K1798" s="32" t="str">
        <f>IF($A1798="","",VLOOKUP($J1798,APOIO!$H:$J,2,FALSE))</f>
        <v/>
      </c>
      <c r="L1798" s="32" t="str">
        <f>IF($A1798="","",VLOOKUP($J1798,APOIO!$H:$J,3,FALSE))</f>
        <v/>
      </c>
      <c r="M1798" s="31"/>
      <c r="N1798" s="34"/>
      <c r="O1798" s="32"/>
      <c r="P1798" s="32"/>
      <c r="Q1798" s="32"/>
      <c r="R1798" s="32"/>
      <c r="S1798" s="35"/>
      <c r="T1798" s="91"/>
      <c r="U1798" s="60"/>
      <c r="V1798" s="36"/>
      <c r="W1798" s="31"/>
      <c r="X1798" s="59"/>
      <c r="Y1798" s="59" t="str">
        <f>IFERROR(VLOOKUP($A1798,APOIO!$A:$A,1,FALSE),"ERRO")</f>
        <v>ERRO</v>
      </c>
      <c r="Z1798"/>
    </row>
    <row r="1799" spans="1:26" ht="15" x14ac:dyDescent="0.25">
      <c r="A1799" s="94"/>
      <c r="B1799" s="32" t="str">
        <f>IF($A1799="","",VLOOKUP($A1799,APOIO!$A:$E,2,FALSE))</f>
        <v/>
      </c>
      <c r="C1799" s="94"/>
      <c r="D1799" s="32" t="str">
        <f>IF($A1799="","",INDEX(APOIO!$D:$D,MATCH(CONCATENATE($A1799,"_",$B1799,"_",$C1799),APOIO!$F:$F,0)))</f>
        <v/>
      </c>
      <c r="E1799" s="31"/>
      <c r="F1799" s="31"/>
      <c r="G1799" s="33"/>
      <c r="H1799" s="105"/>
      <c r="I1799" s="32" t="str">
        <f>IF($A1799="","",VLOOKUP($H1799,APOIO!$L:$M,2,FALSE))</f>
        <v/>
      </c>
      <c r="J1799" s="31"/>
      <c r="K1799" s="32" t="str">
        <f>IF($A1799="","",VLOOKUP($J1799,APOIO!$H:$J,2,FALSE))</f>
        <v/>
      </c>
      <c r="L1799" s="32" t="str">
        <f>IF($A1799="","",VLOOKUP($J1799,APOIO!$H:$J,3,FALSE))</f>
        <v/>
      </c>
      <c r="M1799" s="31"/>
      <c r="N1799" s="34"/>
      <c r="O1799" s="32"/>
      <c r="P1799" s="32"/>
      <c r="Q1799" s="32"/>
      <c r="R1799" s="32"/>
      <c r="S1799" s="35"/>
      <c r="T1799" s="91"/>
      <c r="U1799" s="60"/>
      <c r="V1799" s="36"/>
      <c r="W1799" s="31"/>
      <c r="X1799" s="59"/>
      <c r="Y1799" s="59" t="str">
        <f>IFERROR(VLOOKUP($A1799,APOIO!$A:$A,1,FALSE),"ERRO")</f>
        <v>ERRO</v>
      </c>
      <c r="Z1799"/>
    </row>
    <row r="1800" spans="1:26" ht="15" x14ac:dyDescent="0.25">
      <c r="A1800" s="94"/>
      <c r="B1800" s="32" t="str">
        <f>IF($A1800="","",VLOOKUP($A1800,APOIO!$A:$E,2,FALSE))</f>
        <v/>
      </c>
      <c r="C1800" s="94"/>
      <c r="D1800" s="32" t="str">
        <f>IF($A1800="","",INDEX(APOIO!$D:$D,MATCH(CONCATENATE($A1800,"_",$B1800,"_",$C1800),APOIO!$F:$F,0)))</f>
        <v/>
      </c>
      <c r="E1800" s="31"/>
      <c r="F1800" s="31"/>
      <c r="G1800" s="33"/>
      <c r="H1800" s="105"/>
      <c r="I1800" s="32" t="str">
        <f>IF($A1800="","",VLOOKUP($H1800,APOIO!$L:$M,2,FALSE))</f>
        <v/>
      </c>
      <c r="J1800" s="31"/>
      <c r="K1800" s="32" t="str">
        <f>IF($A1800="","",VLOOKUP($J1800,APOIO!$H:$J,2,FALSE))</f>
        <v/>
      </c>
      <c r="L1800" s="32" t="str">
        <f>IF($A1800="","",VLOOKUP($J1800,APOIO!$H:$J,3,FALSE))</f>
        <v/>
      </c>
      <c r="M1800" s="31"/>
      <c r="N1800" s="34"/>
      <c r="O1800" s="32"/>
      <c r="P1800" s="32"/>
      <c r="Q1800" s="32"/>
      <c r="R1800" s="32"/>
      <c r="S1800" s="35"/>
      <c r="T1800" s="91"/>
      <c r="U1800" s="60"/>
      <c r="V1800" s="36"/>
      <c r="W1800" s="31"/>
      <c r="X1800" s="59"/>
      <c r="Y1800" s="59" t="str">
        <f>IFERROR(VLOOKUP($A1800,APOIO!$A:$A,1,FALSE),"ERRO")</f>
        <v>ERRO</v>
      </c>
      <c r="Z1800"/>
    </row>
    <row r="1801" spans="1:26" ht="15" x14ac:dyDescent="0.25">
      <c r="A1801" s="94"/>
      <c r="B1801" s="32" t="str">
        <f>IF($A1801="","",VLOOKUP($A1801,APOIO!$A:$E,2,FALSE))</f>
        <v/>
      </c>
      <c r="C1801" s="94"/>
      <c r="D1801" s="32" t="str">
        <f>IF($A1801="","",INDEX(APOIO!$D:$D,MATCH(CONCATENATE($A1801,"_",$B1801,"_",$C1801),APOIO!$F:$F,0)))</f>
        <v/>
      </c>
      <c r="E1801" s="31"/>
      <c r="F1801" s="31"/>
      <c r="G1801" s="33"/>
      <c r="H1801" s="105"/>
      <c r="I1801" s="32" t="str">
        <f>IF($A1801="","",VLOOKUP($H1801,APOIO!$L:$M,2,FALSE))</f>
        <v/>
      </c>
      <c r="J1801" s="31"/>
      <c r="K1801" s="32" t="str">
        <f>IF($A1801="","",VLOOKUP($J1801,APOIO!$H:$J,2,FALSE))</f>
        <v/>
      </c>
      <c r="L1801" s="32" t="str">
        <f>IF($A1801="","",VLOOKUP($J1801,APOIO!$H:$J,3,FALSE))</f>
        <v/>
      </c>
      <c r="M1801" s="31"/>
      <c r="N1801" s="34"/>
      <c r="O1801" s="32"/>
      <c r="P1801" s="32"/>
      <c r="Q1801" s="32"/>
      <c r="R1801" s="32"/>
      <c r="S1801" s="35"/>
      <c r="T1801" s="91"/>
      <c r="U1801" s="60"/>
      <c r="V1801" s="36"/>
      <c r="W1801" s="31"/>
      <c r="X1801" s="59"/>
      <c r="Y1801" s="59" t="str">
        <f>IFERROR(VLOOKUP($A1801,APOIO!$A:$A,1,FALSE),"ERRO")</f>
        <v>ERRO</v>
      </c>
      <c r="Z1801"/>
    </row>
    <row r="1802" spans="1:26" ht="15" x14ac:dyDescent="0.25">
      <c r="A1802" s="94"/>
      <c r="B1802" s="32" t="str">
        <f>IF($A1802="","",VLOOKUP($A1802,APOIO!$A:$E,2,FALSE))</f>
        <v/>
      </c>
      <c r="C1802" s="94"/>
      <c r="D1802" s="32" t="str">
        <f>IF($A1802="","",INDEX(APOIO!$D:$D,MATCH(CONCATENATE($A1802,"_",$B1802,"_",$C1802),APOIO!$F:$F,0)))</f>
        <v/>
      </c>
      <c r="E1802" s="31"/>
      <c r="F1802" s="31"/>
      <c r="G1802" s="33"/>
      <c r="H1802" s="105"/>
      <c r="I1802" s="32" t="str">
        <f>IF($A1802="","",VLOOKUP($H1802,APOIO!$L:$M,2,FALSE))</f>
        <v/>
      </c>
      <c r="J1802" s="31"/>
      <c r="K1802" s="32" t="str">
        <f>IF($A1802="","",VLOOKUP($J1802,APOIO!$H:$J,2,FALSE))</f>
        <v/>
      </c>
      <c r="L1802" s="32" t="str">
        <f>IF($A1802="","",VLOOKUP($J1802,APOIO!$H:$J,3,FALSE))</f>
        <v/>
      </c>
      <c r="M1802" s="31"/>
      <c r="N1802" s="34"/>
      <c r="O1802" s="32"/>
      <c r="P1802" s="32"/>
      <c r="Q1802" s="32"/>
      <c r="R1802" s="32"/>
      <c r="S1802" s="35"/>
      <c r="T1802" s="91"/>
      <c r="U1802" s="60"/>
      <c r="V1802" s="36"/>
      <c r="W1802" s="31"/>
      <c r="X1802" s="59"/>
      <c r="Y1802" s="59" t="str">
        <f>IFERROR(VLOOKUP($A1802,APOIO!$A:$A,1,FALSE),"ERRO")</f>
        <v>ERRO</v>
      </c>
      <c r="Z1802"/>
    </row>
    <row r="1803" spans="1:26" ht="15" x14ac:dyDescent="0.25">
      <c r="A1803" s="94"/>
      <c r="B1803" s="32" t="str">
        <f>IF($A1803="","",VLOOKUP($A1803,APOIO!$A:$E,2,FALSE))</f>
        <v/>
      </c>
      <c r="C1803" s="94"/>
      <c r="D1803" s="32" t="str">
        <f>IF($A1803="","",INDEX(APOIO!$D:$D,MATCH(CONCATENATE($A1803,"_",$B1803,"_",$C1803),APOIO!$F:$F,0)))</f>
        <v/>
      </c>
      <c r="E1803" s="31"/>
      <c r="F1803" s="31"/>
      <c r="G1803" s="33"/>
      <c r="H1803" s="105"/>
      <c r="I1803" s="32" t="str">
        <f>IF($A1803="","",VLOOKUP($H1803,APOIO!$L:$M,2,FALSE))</f>
        <v/>
      </c>
      <c r="J1803" s="31"/>
      <c r="K1803" s="32" t="str">
        <f>IF($A1803="","",VLOOKUP($J1803,APOIO!$H:$J,2,FALSE))</f>
        <v/>
      </c>
      <c r="L1803" s="32" t="str">
        <f>IF($A1803="","",VLOOKUP($J1803,APOIO!$H:$J,3,FALSE))</f>
        <v/>
      </c>
      <c r="M1803" s="31"/>
      <c r="N1803" s="34"/>
      <c r="O1803" s="32"/>
      <c r="P1803" s="32"/>
      <c r="Q1803" s="32"/>
      <c r="R1803" s="32"/>
      <c r="S1803" s="35"/>
      <c r="T1803" s="91"/>
      <c r="U1803" s="60"/>
      <c r="V1803" s="36"/>
      <c r="W1803" s="31"/>
      <c r="X1803" s="59"/>
      <c r="Y1803" s="59" t="str">
        <f>IFERROR(VLOOKUP($A1803,APOIO!$A:$A,1,FALSE),"ERRO")</f>
        <v>ERRO</v>
      </c>
      <c r="Z1803"/>
    </row>
    <row r="1804" spans="1:26" ht="15" x14ac:dyDescent="0.25">
      <c r="A1804" s="94"/>
      <c r="B1804" s="32" t="str">
        <f>IF($A1804="","",VLOOKUP($A1804,APOIO!$A:$E,2,FALSE))</f>
        <v/>
      </c>
      <c r="C1804" s="94"/>
      <c r="D1804" s="32" t="str">
        <f>IF($A1804="","",INDEX(APOIO!$D:$D,MATCH(CONCATENATE($A1804,"_",$B1804,"_",$C1804),APOIO!$F:$F,0)))</f>
        <v/>
      </c>
      <c r="E1804" s="31"/>
      <c r="F1804" s="31"/>
      <c r="G1804" s="33"/>
      <c r="H1804" s="105"/>
      <c r="I1804" s="32" t="str">
        <f>IF($A1804="","",VLOOKUP($H1804,APOIO!$L:$M,2,FALSE))</f>
        <v/>
      </c>
      <c r="J1804" s="31"/>
      <c r="K1804" s="32" t="str">
        <f>IF($A1804="","",VLOOKUP($J1804,APOIO!$H:$J,2,FALSE))</f>
        <v/>
      </c>
      <c r="L1804" s="32" t="str">
        <f>IF($A1804="","",VLOOKUP($J1804,APOIO!$H:$J,3,FALSE))</f>
        <v/>
      </c>
      <c r="M1804" s="31"/>
      <c r="N1804" s="34"/>
      <c r="O1804" s="32"/>
      <c r="P1804" s="32"/>
      <c r="Q1804" s="32"/>
      <c r="R1804" s="32"/>
      <c r="S1804" s="35"/>
      <c r="T1804" s="91"/>
      <c r="U1804" s="60"/>
      <c r="V1804" s="36"/>
      <c r="W1804" s="31"/>
      <c r="X1804" s="59"/>
      <c r="Y1804" s="59" t="str">
        <f>IFERROR(VLOOKUP($A1804,APOIO!$A:$A,1,FALSE),"ERRO")</f>
        <v>ERRO</v>
      </c>
      <c r="Z1804"/>
    </row>
    <row r="1805" spans="1:26" ht="15" x14ac:dyDescent="0.25">
      <c r="A1805" s="94"/>
      <c r="B1805" s="32" t="str">
        <f>IF($A1805="","",VLOOKUP($A1805,APOIO!$A:$E,2,FALSE))</f>
        <v/>
      </c>
      <c r="C1805" s="94"/>
      <c r="D1805" s="32" t="str">
        <f>IF($A1805="","",INDEX(APOIO!$D:$D,MATCH(CONCATENATE($A1805,"_",$B1805,"_",$C1805),APOIO!$F:$F,0)))</f>
        <v/>
      </c>
      <c r="E1805" s="31"/>
      <c r="F1805" s="31"/>
      <c r="G1805" s="33"/>
      <c r="H1805" s="105"/>
      <c r="I1805" s="32" t="str">
        <f>IF($A1805="","",VLOOKUP($H1805,APOIO!$L:$M,2,FALSE))</f>
        <v/>
      </c>
      <c r="J1805" s="31"/>
      <c r="K1805" s="32" t="str">
        <f>IF($A1805="","",VLOOKUP($J1805,APOIO!$H:$J,2,FALSE))</f>
        <v/>
      </c>
      <c r="L1805" s="32" t="str">
        <f>IF($A1805="","",VLOOKUP($J1805,APOIO!$H:$J,3,FALSE))</f>
        <v/>
      </c>
      <c r="M1805" s="31"/>
      <c r="N1805" s="34"/>
      <c r="O1805" s="32"/>
      <c r="P1805" s="32"/>
      <c r="Q1805" s="32"/>
      <c r="R1805" s="32"/>
      <c r="S1805" s="35"/>
      <c r="T1805" s="91"/>
      <c r="U1805" s="60"/>
      <c r="V1805" s="36"/>
      <c r="W1805" s="31"/>
      <c r="X1805" s="59"/>
      <c r="Y1805" s="59" t="str">
        <f>IFERROR(VLOOKUP($A1805,APOIO!$A:$A,1,FALSE),"ERRO")</f>
        <v>ERRO</v>
      </c>
      <c r="Z1805"/>
    </row>
    <row r="1806" spans="1:26" ht="15" x14ac:dyDescent="0.25">
      <c r="A1806" s="94"/>
      <c r="B1806" s="32" t="str">
        <f>IF($A1806="","",VLOOKUP($A1806,APOIO!$A:$E,2,FALSE))</f>
        <v/>
      </c>
      <c r="C1806" s="94"/>
      <c r="D1806" s="32" t="str">
        <f>IF($A1806="","",INDEX(APOIO!$D:$D,MATCH(CONCATENATE($A1806,"_",$B1806,"_",$C1806),APOIO!$F:$F,0)))</f>
        <v/>
      </c>
      <c r="E1806" s="31"/>
      <c r="F1806" s="31"/>
      <c r="G1806" s="33"/>
      <c r="H1806" s="105"/>
      <c r="I1806" s="32" t="str">
        <f>IF($A1806="","",VLOOKUP($H1806,APOIO!$L:$M,2,FALSE))</f>
        <v/>
      </c>
      <c r="J1806" s="31"/>
      <c r="K1806" s="32" t="str">
        <f>IF($A1806="","",VLOOKUP($J1806,APOIO!$H:$J,2,FALSE))</f>
        <v/>
      </c>
      <c r="L1806" s="32" t="str">
        <f>IF($A1806="","",VLOOKUP($J1806,APOIO!$H:$J,3,FALSE))</f>
        <v/>
      </c>
      <c r="M1806" s="31"/>
      <c r="N1806" s="34"/>
      <c r="O1806" s="32"/>
      <c r="P1806" s="32"/>
      <c r="Q1806" s="32"/>
      <c r="R1806" s="32"/>
      <c r="S1806" s="35"/>
      <c r="T1806" s="91"/>
      <c r="U1806" s="60"/>
      <c r="V1806" s="36"/>
      <c r="W1806" s="31"/>
      <c r="X1806" s="59"/>
      <c r="Y1806" s="59" t="str">
        <f>IFERROR(VLOOKUP($A1806,APOIO!$A:$A,1,FALSE),"ERRO")</f>
        <v>ERRO</v>
      </c>
      <c r="Z1806"/>
    </row>
    <row r="1807" spans="1:26" ht="15" x14ac:dyDescent="0.25">
      <c r="A1807" s="94"/>
      <c r="B1807" s="32" t="str">
        <f>IF($A1807="","",VLOOKUP($A1807,APOIO!$A:$E,2,FALSE))</f>
        <v/>
      </c>
      <c r="C1807" s="94"/>
      <c r="D1807" s="32" t="str">
        <f>IF($A1807="","",INDEX(APOIO!$D:$D,MATCH(CONCATENATE($A1807,"_",$B1807,"_",$C1807),APOIO!$F:$F,0)))</f>
        <v/>
      </c>
      <c r="E1807" s="31"/>
      <c r="F1807" s="31"/>
      <c r="G1807" s="33"/>
      <c r="H1807" s="105"/>
      <c r="I1807" s="32" t="str">
        <f>IF($A1807="","",VLOOKUP($H1807,APOIO!$L:$M,2,FALSE))</f>
        <v/>
      </c>
      <c r="J1807" s="31"/>
      <c r="K1807" s="32" t="str">
        <f>IF($A1807="","",VLOOKUP($J1807,APOIO!$H:$J,2,FALSE))</f>
        <v/>
      </c>
      <c r="L1807" s="32" t="str">
        <f>IF($A1807="","",VLOOKUP($J1807,APOIO!$H:$J,3,FALSE))</f>
        <v/>
      </c>
      <c r="M1807" s="31"/>
      <c r="N1807" s="34"/>
      <c r="O1807" s="32"/>
      <c r="P1807" s="32"/>
      <c r="Q1807" s="32"/>
      <c r="R1807" s="32"/>
      <c r="S1807" s="35"/>
      <c r="T1807" s="91"/>
      <c r="U1807" s="60"/>
      <c r="V1807" s="36"/>
      <c r="W1807" s="31"/>
      <c r="X1807" s="59"/>
      <c r="Y1807" s="59" t="str">
        <f>IFERROR(VLOOKUP($A1807,APOIO!$A:$A,1,FALSE),"ERRO")</f>
        <v>ERRO</v>
      </c>
      <c r="Z1807"/>
    </row>
    <row r="1808" spans="1:26" ht="15" x14ac:dyDescent="0.25">
      <c r="A1808" s="94"/>
      <c r="B1808" s="32" t="str">
        <f>IF($A1808="","",VLOOKUP($A1808,APOIO!$A:$E,2,FALSE))</f>
        <v/>
      </c>
      <c r="C1808" s="94"/>
      <c r="D1808" s="32" t="str">
        <f>IF($A1808="","",INDEX(APOIO!$D:$D,MATCH(CONCATENATE($A1808,"_",$B1808,"_",$C1808),APOIO!$F:$F,0)))</f>
        <v/>
      </c>
      <c r="E1808" s="31"/>
      <c r="F1808" s="31"/>
      <c r="G1808" s="33"/>
      <c r="H1808" s="105"/>
      <c r="I1808" s="32" t="str">
        <f>IF($A1808="","",VLOOKUP($H1808,APOIO!$L:$M,2,FALSE))</f>
        <v/>
      </c>
      <c r="J1808" s="31"/>
      <c r="K1808" s="32" t="str">
        <f>IF($A1808="","",VLOOKUP($J1808,APOIO!$H:$J,2,FALSE))</f>
        <v/>
      </c>
      <c r="L1808" s="32" t="str">
        <f>IF($A1808="","",VLOOKUP($J1808,APOIO!$H:$J,3,FALSE))</f>
        <v/>
      </c>
      <c r="M1808" s="31"/>
      <c r="N1808" s="34"/>
      <c r="O1808" s="32"/>
      <c r="P1808" s="32"/>
      <c r="Q1808" s="32"/>
      <c r="R1808" s="32"/>
      <c r="S1808" s="35"/>
      <c r="T1808" s="91"/>
      <c r="U1808" s="60"/>
      <c r="V1808" s="36"/>
      <c r="W1808" s="31"/>
      <c r="X1808" s="59"/>
      <c r="Y1808" s="59" t="str">
        <f>IFERROR(VLOOKUP($A1808,APOIO!$A:$A,1,FALSE),"ERRO")</f>
        <v>ERRO</v>
      </c>
      <c r="Z1808"/>
    </row>
    <row r="1809" spans="1:26" ht="15" x14ac:dyDescent="0.25">
      <c r="A1809" s="94"/>
      <c r="B1809" s="32" t="str">
        <f>IF($A1809="","",VLOOKUP($A1809,APOIO!$A:$E,2,FALSE))</f>
        <v/>
      </c>
      <c r="C1809" s="94"/>
      <c r="D1809" s="32" t="str">
        <f>IF($A1809="","",INDEX(APOIO!$D:$D,MATCH(CONCATENATE($A1809,"_",$B1809,"_",$C1809),APOIO!$F:$F,0)))</f>
        <v/>
      </c>
      <c r="E1809" s="31"/>
      <c r="F1809" s="31"/>
      <c r="G1809" s="33"/>
      <c r="H1809" s="105"/>
      <c r="I1809" s="32" t="str">
        <f>IF($A1809="","",VLOOKUP($H1809,APOIO!$L:$M,2,FALSE))</f>
        <v/>
      </c>
      <c r="J1809" s="31"/>
      <c r="K1809" s="32" t="str">
        <f>IF($A1809="","",VLOOKUP($J1809,APOIO!$H:$J,2,FALSE))</f>
        <v/>
      </c>
      <c r="L1809" s="32" t="str">
        <f>IF($A1809="","",VLOOKUP($J1809,APOIO!$H:$J,3,FALSE))</f>
        <v/>
      </c>
      <c r="M1809" s="31"/>
      <c r="N1809" s="34"/>
      <c r="O1809" s="32"/>
      <c r="P1809" s="32"/>
      <c r="Q1809" s="32"/>
      <c r="R1809" s="32"/>
      <c r="S1809" s="35"/>
      <c r="T1809" s="91"/>
      <c r="U1809" s="60"/>
      <c r="V1809" s="36"/>
      <c r="W1809" s="31"/>
      <c r="X1809" s="59"/>
      <c r="Y1809" s="59" t="str">
        <f>IFERROR(VLOOKUP($A1809,APOIO!$A:$A,1,FALSE),"ERRO")</f>
        <v>ERRO</v>
      </c>
      <c r="Z1809"/>
    </row>
    <row r="1810" spans="1:26" ht="15" x14ac:dyDescent="0.25">
      <c r="A1810" s="94"/>
      <c r="B1810" s="32" t="str">
        <f>IF($A1810="","",VLOOKUP($A1810,APOIO!$A:$E,2,FALSE))</f>
        <v/>
      </c>
      <c r="C1810" s="94"/>
      <c r="D1810" s="32" t="str">
        <f>IF($A1810="","",INDEX(APOIO!$D:$D,MATCH(CONCATENATE($A1810,"_",$B1810,"_",$C1810),APOIO!$F:$F,0)))</f>
        <v/>
      </c>
      <c r="E1810" s="31"/>
      <c r="F1810" s="31"/>
      <c r="G1810" s="33"/>
      <c r="H1810" s="105"/>
      <c r="I1810" s="32" t="str">
        <f>IF($A1810="","",VLOOKUP($H1810,APOIO!$L:$M,2,FALSE))</f>
        <v/>
      </c>
      <c r="J1810" s="31"/>
      <c r="K1810" s="32" t="str">
        <f>IF($A1810="","",VLOOKUP($J1810,APOIO!$H:$J,2,FALSE))</f>
        <v/>
      </c>
      <c r="L1810" s="32" t="str">
        <f>IF($A1810="","",VLOOKUP($J1810,APOIO!$H:$J,3,FALSE))</f>
        <v/>
      </c>
      <c r="M1810" s="31"/>
      <c r="N1810" s="34"/>
      <c r="O1810" s="32"/>
      <c r="P1810" s="32"/>
      <c r="Q1810" s="32"/>
      <c r="R1810" s="32"/>
      <c r="S1810" s="35"/>
      <c r="T1810" s="91"/>
      <c r="U1810" s="60"/>
      <c r="V1810" s="36"/>
      <c r="W1810" s="31"/>
      <c r="X1810" s="59"/>
      <c r="Y1810" s="59" t="str">
        <f>IFERROR(VLOOKUP($A1810,APOIO!$A:$A,1,FALSE),"ERRO")</f>
        <v>ERRO</v>
      </c>
      <c r="Z1810"/>
    </row>
    <row r="1811" spans="1:26" ht="15" x14ac:dyDescent="0.25">
      <c r="A1811" s="94"/>
      <c r="B1811" s="32" t="str">
        <f>IF($A1811="","",VLOOKUP($A1811,APOIO!$A:$E,2,FALSE))</f>
        <v/>
      </c>
      <c r="C1811" s="94"/>
      <c r="D1811" s="32" t="str">
        <f>IF($A1811="","",INDEX(APOIO!$D:$D,MATCH(CONCATENATE($A1811,"_",$B1811,"_",$C1811),APOIO!$F:$F,0)))</f>
        <v/>
      </c>
      <c r="E1811" s="31"/>
      <c r="F1811" s="31"/>
      <c r="G1811" s="33"/>
      <c r="H1811" s="105"/>
      <c r="I1811" s="32" t="str">
        <f>IF($A1811="","",VLOOKUP($H1811,APOIO!$L:$M,2,FALSE))</f>
        <v/>
      </c>
      <c r="J1811" s="31"/>
      <c r="K1811" s="32" t="str">
        <f>IF($A1811="","",VLOOKUP($J1811,APOIO!$H:$J,2,FALSE))</f>
        <v/>
      </c>
      <c r="L1811" s="32" t="str">
        <f>IF($A1811="","",VLOOKUP($J1811,APOIO!$H:$J,3,FALSE))</f>
        <v/>
      </c>
      <c r="M1811" s="31"/>
      <c r="N1811" s="34"/>
      <c r="O1811" s="32"/>
      <c r="P1811" s="32"/>
      <c r="Q1811" s="32"/>
      <c r="R1811" s="32"/>
      <c r="S1811" s="35"/>
      <c r="T1811" s="91"/>
      <c r="U1811" s="60"/>
      <c r="V1811" s="36"/>
      <c r="W1811" s="31"/>
      <c r="X1811" s="59"/>
      <c r="Y1811" s="59" t="str">
        <f>IFERROR(VLOOKUP($A1811,APOIO!$A:$A,1,FALSE),"ERRO")</f>
        <v>ERRO</v>
      </c>
      <c r="Z1811"/>
    </row>
    <row r="1812" spans="1:26" ht="15" x14ac:dyDescent="0.25">
      <c r="A1812" s="94"/>
      <c r="B1812" s="32" t="str">
        <f>IF($A1812="","",VLOOKUP($A1812,APOIO!$A:$E,2,FALSE))</f>
        <v/>
      </c>
      <c r="C1812" s="94"/>
      <c r="D1812" s="32" t="str">
        <f>IF($A1812="","",INDEX(APOIO!$D:$D,MATCH(CONCATENATE($A1812,"_",$B1812,"_",$C1812),APOIO!$F:$F,0)))</f>
        <v/>
      </c>
      <c r="E1812" s="31"/>
      <c r="F1812" s="31"/>
      <c r="G1812" s="33"/>
      <c r="H1812" s="105"/>
      <c r="I1812" s="32" t="str">
        <f>IF($A1812="","",VLOOKUP($H1812,APOIO!$L:$M,2,FALSE))</f>
        <v/>
      </c>
      <c r="J1812" s="31"/>
      <c r="K1812" s="32" t="str">
        <f>IF($A1812="","",VLOOKUP($J1812,APOIO!$H:$J,2,FALSE))</f>
        <v/>
      </c>
      <c r="L1812" s="32" t="str">
        <f>IF($A1812="","",VLOOKUP($J1812,APOIO!$H:$J,3,FALSE))</f>
        <v/>
      </c>
      <c r="M1812" s="31"/>
      <c r="N1812" s="34"/>
      <c r="O1812" s="32"/>
      <c r="P1812" s="32"/>
      <c r="Q1812" s="32"/>
      <c r="R1812" s="32"/>
      <c r="S1812" s="35"/>
      <c r="T1812" s="91"/>
      <c r="U1812" s="60"/>
      <c r="V1812" s="36"/>
      <c r="W1812" s="31"/>
      <c r="X1812" s="59"/>
      <c r="Y1812" s="59" t="str">
        <f>IFERROR(VLOOKUP($A1812,APOIO!$A:$A,1,FALSE),"ERRO")</f>
        <v>ERRO</v>
      </c>
      <c r="Z1812"/>
    </row>
    <row r="1813" spans="1:26" ht="15" x14ac:dyDescent="0.25">
      <c r="A1813" s="94"/>
      <c r="B1813" s="32" t="str">
        <f>IF($A1813="","",VLOOKUP($A1813,APOIO!$A:$E,2,FALSE))</f>
        <v/>
      </c>
      <c r="C1813" s="94"/>
      <c r="D1813" s="32" t="str">
        <f>IF($A1813="","",INDEX(APOIO!$D:$D,MATCH(CONCATENATE($A1813,"_",$B1813,"_",$C1813),APOIO!$F:$F,0)))</f>
        <v/>
      </c>
      <c r="E1813" s="31"/>
      <c r="F1813" s="31"/>
      <c r="G1813" s="33"/>
      <c r="H1813" s="105"/>
      <c r="I1813" s="32" t="str">
        <f>IF($A1813="","",VLOOKUP($H1813,APOIO!$L:$M,2,FALSE))</f>
        <v/>
      </c>
      <c r="J1813" s="31"/>
      <c r="K1813" s="32" t="str">
        <f>IF($A1813="","",VLOOKUP($J1813,APOIO!$H:$J,2,FALSE))</f>
        <v/>
      </c>
      <c r="L1813" s="32" t="str">
        <f>IF($A1813="","",VLOOKUP($J1813,APOIO!$H:$J,3,FALSE))</f>
        <v/>
      </c>
      <c r="M1813" s="31"/>
      <c r="N1813" s="34"/>
      <c r="O1813" s="32"/>
      <c r="P1813" s="32"/>
      <c r="Q1813" s="32"/>
      <c r="R1813" s="32"/>
      <c r="S1813" s="35"/>
      <c r="T1813" s="91"/>
      <c r="U1813" s="60"/>
      <c r="V1813" s="36"/>
      <c r="W1813" s="31"/>
      <c r="X1813" s="59"/>
      <c r="Y1813" s="59" t="str">
        <f>IFERROR(VLOOKUP($A1813,APOIO!$A:$A,1,FALSE),"ERRO")</f>
        <v>ERRO</v>
      </c>
      <c r="Z1813"/>
    </row>
    <row r="1814" spans="1:26" ht="15" x14ac:dyDescent="0.25">
      <c r="A1814" s="94"/>
      <c r="B1814" s="32" t="str">
        <f>IF($A1814="","",VLOOKUP($A1814,APOIO!$A:$E,2,FALSE))</f>
        <v/>
      </c>
      <c r="C1814" s="94"/>
      <c r="D1814" s="32" t="str">
        <f>IF($A1814="","",INDEX(APOIO!$D:$D,MATCH(CONCATENATE($A1814,"_",$B1814,"_",$C1814),APOIO!$F:$F,0)))</f>
        <v/>
      </c>
      <c r="E1814" s="31"/>
      <c r="F1814" s="31"/>
      <c r="G1814" s="33"/>
      <c r="H1814" s="105"/>
      <c r="I1814" s="32" t="str">
        <f>IF($A1814="","",VLOOKUP($H1814,APOIO!$L:$M,2,FALSE))</f>
        <v/>
      </c>
      <c r="J1814" s="31"/>
      <c r="K1814" s="32" t="str">
        <f>IF($A1814="","",VLOOKUP($J1814,APOIO!$H:$J,2,FALSE))</f>
        <v/>
      </c>
      <c r="L1814" s="32" t="str">
        <f>IF($A1814="","",VLOOKUP($J1814,APOIO!$H:$J,3,FALSE))</f>
        <v/>
      </c>
      <c r="M1814" s="31"/>
      <c r="N1814" s="34"/>
      <c r="O1814" s="32"/>
      <c r="P1814" s="32"/>
      <c r="Q1814" s="32"/>
      <c r="R1814" s="32"/>
      <c r="S1814" s="35"/>
      <c r="T1814" s="91"/>
      <c r="U1814" s="60"/>
      <c r="V1814" s="36"/>
      <c r="W1814" s="31"/>
      <c r="X1814" s="59"/>
      <c r="Y1814" s="59" t="str">
        <f>IFERROR(VLOOKUP($A1814,APOIO!$A:$A,1,FALSE),"ERRO")</f>
        <v>ERRO</v>
      </c>
      <c r="Z1814"/>
    </row>
    <row r="1815" spans="1:26" ht="15" x14ac:dyDescent="0.25">
      <c r="A1815" s="94"/>
      <c r="B1815" s="32" t="str">
        <f>IF($A1815="","",VLOOKUP($A1815,APOIO!$A:$E,2,FALSE))</f>
        <v/>
      </c>
      <c r="C1815" s="94"/>
      <c r="D1815" s="32" t="str">
        <f>IF($A1815="","",INDEX(APOIO!$D:$D,MATCH(CONCATENATE($A1815,"_",$B1815,"_",$C1815),APOIO!$F:$F,0)))</f>
        <v/>
      </c>
      <c r="E1815" s="31"/>
      <c r="F1815" s="31"/>
      <c r="G1815" s="33"/>
      <c r="H1815" s="105"/>
      <c r="I1815" s="32" t="str">
        <f>IF($A1815="","",VLOOKUP($H1815,APOIO!$L:$M,2,FALSE))</f>
        <v/>
      </c>
      <c r="J1815" s="31"/>
      <c r="K1815" s="32" t="str">
        <f>IF($A1815="","",VLOOKUP($J1815,APOIO!$H:$J,2,FALSE))</f>
        <v/>
      </c>
      <c r="L1815" s="32" t="str">
        <f>IF($A1815="","",VLOOKUP($J1815,APOIO!$H:$J,3,FALSE))</f>
        <v/>
      </c>
      <c r="M1815" s="31"/>
      <c r="N1815" s="34"/>
      <c r="O1815" s="32"/>
      <c r="P1815" s="32"/>
      <c r="Q1815" s="32"/>
      <c r="R1815" s="32"/>
      <c r="S1815" s="35"/>
      <c r="T1815" s="91"/>
      <c r="U1815" s="60"/>
      <c r="V1815" s="36"/>
      <c r="W1815" s="31"/>
      <c r="X1815" s="59"/>
      <c r="Y1815" s="59" t="str">
        <f>IFERROR(VLOOKUP($A1815,APOIO!$A:$A,1,FALSE),"ERRO")</f>
        <v>ERRO</v>
      </c>
      <c r="Z1815"/>
    </row>
    <row r="1816" spans="1:26" ht="15" x14ac:dyDescent="0.25">
      <c r="A1816" s="94"/>
      <c r="B1816" s="32" t="str">
        <f>IF($A1816="","",VLOOKUP($A1816,APOIO!$A:$E,2,FALSE))</f>
        <v/>
      </c>
      <c r="C1816" s="94"/>
      <c r="D1816" s="32" t="str">
        <f>IF($A1816="","",INDEX(APOIO!$D:$D,MATCH(CONCATENATE($A1816,"_",$B1816,"_",$C1816),APOIO!$F:$F,0)))</f>
        <v/>
      </c>
      <c r="E1816" s="31"/>
      <c r="F1816" s="31"/>
      <c r="G1816" s="33"/>
      <c r="H1816" s="105"/>
      <c r="I1816" s="32" t="str">
        <f>IF($A1816="","",VLOOKUP($H1816,APOIO!$L:$M,2,FALSE))</f>
        <v/>
      </c>
      <c r="J1816" s="31"/>
      <c r="K1816" s="32" t="str">
        <f>IF($A1816="","",VLOOKUP($J1816,APOIO!$H:$J,2,FALSE))</f>
        <v/>
      </c>
      <c r="L1816" s="32" t="str">
        <f>IF($A1816="","",VLOOKUP($J1816,APOIO!$H:$J,3,FALSE))</f>
        <v/>
      </c>
      <c r="M1816" s="31"/>
      <c r="N1816" s="34"/>
      <c r="O1816" s="32"/>
      <c r="P1816" s="32"/>
      <c r="Q1816" s="32"/>
      <c r="R1816" s="32"/>
      <c r="S1816" s="35"/>
      <c r="T1816" s="91"/>
      <c r="U1816" s="60"/>
      <c r="V1816" s="36"/>
      <c r="W1816" s="31"/>
      <c r="X1816" s="59"/>
      <c r="Y1816" s="59" t="str">
        <f>IFERROR(VLOOKUP($A1816,APOIO!$A:$A,1,FALSE),"ERRO")</f>
        <v>ERRO</v>
      </c>
      <c r="Z1816"/>
    </row>
    <row r="1817" spans="1:26" ht="15" x14ac:dyDescent="0.25">
      <c r="A1817" s="94"/>
      <c r="B1817" s="32" t="str">
        <f>IF($A1817="","",VLOOKUP($A1817,APOIO!$A:$E,2,FALSE))</f>
        <v/>
      </c>
      <c r="C1817" s="94"/>
      <c r="D1817" s="32" t="str">
        <f>IF($A1817="","",INDEX(APOIO!$D:$D,MATCH(CONCATENATE($A1817,"_",$B1817,"_",$C1817),APOIO!$F:$F,0)))</f>
        <v/>
      </c>
      <c r="E1817" s="31"/>
      <c r="F1817" s="31"/>
      <c r="G1817" s="33"/>
      <c r="H1817" s="105"/>
      <c r="I1817" s="32" t="str">
        <f>IF($A1817="","",VLOOKUP($H1817,APOIO!$L:$M,2,FALSE))</f>
        <v/>
      </c>
      <c r="J1817" s="31"/>
      <c r="K1817" s="32" t="str">
        <f>IF($A1817="","",VLOOKUP($J1817,APOIO!$H:$J,2,FALSE))</f>
        <v/>
      </c>
      <c r="L1817" s="32" t="str">
        <f>IF($A1817="","",VLOOKUP($J1817,APOIO!$H:$J,3,FALSE))</f>
        <v/>
      </c>
      <c r="M1817" s="31"/>
      <c r="N1817" s="34"/>
      <c r="O1817" s="32"/>
      <c r="P1817" s="32"/>
      <c r="Q1817" s="32"/>
      <c r="R1817" s="32"/>
      <c r="S1817" s="35"/>
      <c r="T1817" s="91"/>
      <c r="U1817" s="60"/>
      <c r="V1817" s="36"/>
      <c r="W1817" s="31"/>
      <c r="X1817" s="59"/>
      <c r="Y1817" s="59" t="str">
        <f>IFERROR(VLOOKUP($A1817,APOIO!$A:$A,1,FALSE),"ERRO")</f>
        <v>ERRO</v>
      </c>
      <c r="Z1817"/>
    </row>
    <row r="1818" spans="1:26" ht="15" x14ac:dyDescent="0.25">
      <c r="A1818" s="94"/>
      <c r="B1818" s="32" t="str">
        <f>IF($A1818="","",VLOOKUP($A1818,APOIO!$A:$E,2,FALSE))</f>
        <v/>
      </c>
      <c r="C1818" s="94"/>
      <c r="D1818" s="32" t="str">
        <f>IF($A1818="","",INDEX(APOIO!$D:$D,MATCH(CONCATENATE($A1818,"_",$B1818,"_",$C1818),APOIO!$F:$F,0)))</f>
        <v/>
      </c>
      <c r="E1818" s="31"/>
      <c r="F1818" s="31"/>
      <c r="G1818" s="33"/>
      <c r="H1818" s="105"/>
      <c r="I1818" s="32" t="str">
        <f>IF($A1818="","",VLOOKUP($H1818,APOIO!$L:$M,2,FALSE))</f>
        <v/>
      </c>
      <c r="J1818" s="31"/>
      <c r="K1818" s="32" t="str">
        <f>IF($A1818="","",VLOOKUP($J1818,APOIO!$H:$J,2,FALSE))</f>
        <v/>
      </c>
      <c r="L1818" s="32" t="str">
        <f>IF($A1818="","",VLOOKUP($J1818,APOIO!$H:$J,3,FALSE))</f>
        <v/>
      </c>
      <c r="M1818" s="31"/>
      <c r="N1818" s="34"/>
      <c r="O1818" s="32"/>
      <c r="P1818" s="32"/>
      <c r="Q1818" s="32"/>
      <c r="R1818" s="32"/>
      <c r="S1818" s="35"/>
      <c r="T1818" s="91"/>
      <c r="U1818" s="60"/>
      <c r="V1818" s="36"/>
      <c r="W1818" s="31"/>
      <c r="X1818" s="59"/>
      <c r="Y1818" s="59" t="str">
        <f>IFERROR(VLOOKUP($A1818,APOIO!$A:$A,1,FALSE),"ERRO")</f>
        <v>ERRO</v>
      </c>
      <c r="Z1818"/>
    </row>
    <row r="1819" spans="1:26" ht="15" x14ac:dyDescent="0.25">
      <c r="A1819" s="94"/>
      <c r="B1819" s="32" t="str">
        <f>IF($A1819="","",VLOOKUP($A1819,APOIO!$A:$E,2,FALSE))</f>
        <v/>
      </c>
      <c r="C1819" s="94"/>
      <c r="D1819" s="32" t="str">
        <f>IF($A1819="","",INDEX(APOIO!$D:$D,MATCH(CONCATENATE($A1819,"_",$B1819,"_",$C1819),APOIO!$F:$F,0)))</f>
        <v/>
      </c>
      <c r="E1819" s="31"/>
      <c r="F1819" s="31"/>
      <c r="G1819" s="33"/>
      <c r="H1819" s="105"/>
      <c r="I1819" s="32" t="str">
        <f>IF($A1819="","",VLOOKUP($H1819,APOIO!$L:$M,2,FALSE))</f>
        <v/>
      </c>
      <c r="J1819" s="31"/>
      <c r="K1819" s="32" t="str">
        <f>IF($A1819="","",VLOOKUP($J1819,APOIO!$H:$J,2,FALSE))</f>
        <v/>
      </c>
      <c r="L1819" s="32" t="str">
        <f>IF($A1819="","",VLOOKUP($J1819,APOIO!$H:$J,3,FALSE))</f>
        <v/>
      </c>
      <c r="M1819" s="31"/>
      <c r="N1819" s="34"/>
      <c r="O1819" s="32"/>
      <c r="P1819" s="32"/>
      <c r="Q1819" s="32"/>
      <c r="R1819" s="32"/>
      <c r="S1819" s="35"/>
      <c r="T1819" s="91"/>
      <c r="U1819" s="60"/>
      <c r="V1819" s="36"/>
      <c r="W1819" s="31"/>
      <c r="X1819" s="59"/>
      <c r="Y1819" s="59" t="str">
        <f>IFERROR(VLOOKUP($A1819,APOIO!$A:$A,1,FALSE),"ERRO")</f>
        <v>ERRO</v>
      </c>
      <c r="Z1819"/>
    </row>
    <row r="1820" spans="1:26" ht="15" x14ac:dyDescent="0.25">
      <c r="A1820" s="94"/>
      <c r="B1820" s="32" t="str">
        <f>IF($A1820="","",VLOOKUP($A1820,APOIO!$A:$E,2,FALSE))</f>
        <v/>
      </c>
      <c r="C1820" s="94"/>
      <c r="D1820" s="32" t="str">
        <f>IF($A1820="","",INDEX(APOIO!$D:$D,MATCH(CONCATENATE($A1820,"_",$B1820,"_",$C1820),APOIO!$F:$F,0)))</f>
        <v/>
      </c>
      <c r="E1820" s="31"/>
      <c r="F1820" s="31"/>
      <c r="G1820" s="33"/>
      <c r="H1820" s="105"/>
      <c r="I1820" s="32" t="str">
        <f>IF($A1820="","",VLOOKUP($H1820,APOIO!$L:$M,2,FALSE))</f>
        <v/>
      </c>
      <c r="J1820" s="31"/>
      <c r="K1820" s="32" t="str">
        <f>IF($A1820="","",VLOOKUP($J1820,APOIO!$H:$J,2,FALSE))</f>
        <v/>
      </c>
      <c r="L1820" s="32" t="str">
        <f>IF($A1820="","",VLOOKUP($J1820,APOIO!$H:$J,3,FALSE))</f>
        <v/>
      </c>
      <c r="M1820" s="31"/>
      <c r="N1820" s="34"/>
      <c r="O1820" s="32"/>
      <c r="P1820" s="32"/>
      <c r="Q1820" s="32"/>
      <c r="R1820" s="32"/>
      <c r="S1820" s="35"/>
      <c r="T1820" s="91"/>
      <c r="U1820" s="60"/>
      <c r="V1820" s="36"/>
      <c r="W1820" s="31"/>
      <c r="X1820" s="59"/>
      <c r="Y1820" s="59" t="str">
        <f>IFERROR(VLOOKUP($A1820,APOIO!$A:$A,1,FALSE),"ERRO")</f>
        <v>ERRO</v>
      </c>
      <c r="Z1820"/>
    </row>
    <row r="1821" spans="1:26" ht="15" x14ac:dyDescent="0.25">
      <c r="A1821" s="94"/>
      <c r="B1821" s="32" t="str">
        <f>IF($A1821="","",VLOOKUP($A1821,APOIO!$A:$E,2,FALSE))</f>
        <v/>
      </c>
      <c r="C1821" s="94"/>
      <c r="D1821" s="32" t="str">
        <f>IF($A1821="","",INDEX(APOIO!$D:$D,MATCH(CONCATENATE($A1821,"_",$B1821,"_",$C1821),APOIO!$F:$F,0)))</f>
        <v/>
      </c>
      <c r="E1821" s="31"/>
      <c r="F1821" s="31"/>
      <c r="G1821" s="33"/>
      <c r="H1821" s="105"/>
      <c r="I1821" s="32" t="str">
        <f>IF($A1821="","",VLOOKUP($H1821,APOIO!$L:$M,2,FALSE))</f>
        <v/>
      </c>
      <c r="J1821" s="31"/>
      <c r="K1821" s="32" t="str">
        <f>IF($A1821="","",VLOOKUP($J1821,APOIO!$H:$J,2,FALSE))</f>
        <v/>
      </c>
      <c r="L1821" s="32" t="str">
        <f>IF($A1821="","",VLOOKUP($J1821,APOIO!$H:$J,3,FALSE))</f>
        <v/>
      </c>
      <c r="M1821" s="31"/>
      <c r="N1821" s="34"/>
      <c r="O1821" s="32"/>
      <c r="P1821" s="32"/>
      <c r="Q1821" s="32"/>
      <c r="R1821" s="32"/>
      <c r="S1821" s="35"/>
      <c r="T1821" s="91"/>
      <c r="U1821" s="60"/>
      <c r="V1821" s="36"/>
      <c r="W1821" s="31"/>
      <c r="X1821" s="59"/>
      <c r="Y1821" s="59" t="str">
        <f>IFERROR(VLOOKUP($A1821,APOIO!$A:$A,1,FALSE),"ERRO")</f>
        <v>ERRO</v>
      </c>
      <c r="Z1821"/>
    </row>
    <row r="1822" spans="1:26" ht="15" x14ac:dyDescent="0.25">
      <c r="A1822" s="94"/>
      <c r="B1822" s="32" t="str">
        <f>IF($A1822="","",VLOOKUP($A1822,APOIO!$A:$E,2,FALSE))</f>
        <v/>
      </c>
      <c r="C1822" s="94"/>
      <c r="D1822" s="32" t="str">
        <f>IF($A1822="","",INDEX(APOIO!$D:$D,MATCH(CONCATENATE($A1822,"_",$B1822,"_",$C1822),APOIO!$F:$F,0)))</f>
        <v/>
      </c>
      <c r="E1822" s="31"/>
      <c r="F1822" s="31"/>
      <c r="G1822" s="33"/>
      <c r="H1822" s="105"/>
      <c r="I1822" s="32" t="str">
        <f>IF($A1822="","",VLOOKUP($H1822,APOIO!$L:$M,2,FALSE))</f>
        <v/>
      </c>
      <c r="J1822" s="31"/>
      <c r="K1822" s="32" t="str">
        <f>IF($A1822="","",VLOOKUP($J1822,APOIO!$H:$J,2,FALSE))</f>
        <v/>
      </c>
      <c r="L1822" s="32" t="str">
        <f>IF($A1822="","",VLOOKUP($J1822,APOIO!$H:$J,3,FALSE))</f>
        <v/>
      </c>
      <c r="M1822" s="31"/>
      <c r="N1822" s="34"/>
      <c r="O1822" s="32"/>
      <c r="P1822" s="32"/>
      <c r="Q1822" s="32"/>
      <c r="R1822" s="32"/>
      <c r="S1822" s="35"/>
      <c r="T1822" s="91"/>
      <c r="U1822" s="60"/>
      <c r="V1822" s="36"/>
      <c r="W1822" s="31"/>
      <c r="X1822" s="59"/>
      <c r="Y1822" s="59" t="str">
        <f>IFERROR(VLOOKUP($A1822,APOIO!$A:$A,1,FALSE),"ERRO")</f>
        <v>ERRO</v>
      </c>
      <c r="Z1822"/>
    </row>
    <row r="1823" spans="1:26" ht="15" x14ac:dyDescent="0.25">
      <c r="A1823" s="94"/>
      <c r="B1823" s="32" t="str">
        <f>IF($A1823="","",VLOOKUP($A1823,APOIO!$A:$E,2,FALSE))</f>
        <v/>
      </c>
      <c r="C1823" s="94"/>
      <c r="D1823" s="32" t="str">
        <f>IF($A1823="","",INDEX(APOIO!$D:$D,MATCH(CONCATENATE($A1823,"_",$B1823,"_",$C1823),APOIO!$F:$F,0)))</f>
        <v/>
      </c>
      <c r="E1823" s="31"/>
      <c r="F1823" s="31"/>
      <c r="G1823" s="33"/>
      <c r="H1823" s="105"/>
      <c r="I1823" s="32" t="str">
        <f>IF($A1823="","",VLOOKUP($H1823,APOIO!$L:$M,2,FALSE))</f>
        <v/>
      </c>
      <c r="J1823" s="31"/>
      <c r="K1823" s="32" t="str">
        <f>IF($A1823="","",VLOOKUP($J1823,APOIO!$H:$J,2,FALSE))</f>
        <v/>
      </c>
      <c r="L1823" s="32" t="str">
        <f>IF($A1823="","",VLOOKUP($J1823,APOIO!$H:$J,3,FALSE))</f>
        <v/>
      </c>
      <c r="M1823" s="31"/>
      <c r="N1823" s="34"/>
      <c r="O1823" s="32"/>
      <c r="P1823" s="32"/>
      <c r="Q1823" s="32"/>
      <c r="R1823" s="32"/>
      <c r="S1823" s="35"/>
      <c r="T1823" s="91"/>
      <c r="U1823" s="60"/>
      <c r="V1823" s="36"/>
      <c r="W1823" s="31"/>
      <c r="X1823" s="59"/>
      <c r="Y1823" s="59" t="str">
        <f>IFERROR(VLOOKUP($A1823,APOIO!$A:$A,1,FALSE),"ERRO")</f>
        <v>ERRO</v>
      </c>
      <c r="Z1823"/>
    </row>
    <row r="1824" spans="1:26" ht="15" x14ac:dyDescent="0.25">
      <c r="A1824" s="94"/>
      <c r="B1824" s="32" t="str">
        <f>IF($A1824="","",VLOOKUP($A1824,APOIO!$A:$E,2,FALSE))</f>
        <v/>
      </c>
      <c r="C1824" s="94"/>
      <c r="D1824" s="32" t="str">
        <f>IF($A1824="","",INDEX(APOIO!$D:$D,MATCH(CONCATENATE($A1824,"_",$B1824,"_",$C1824),APOIO!$F:$F,0)))</f>
        <v/>
      </c>
      <c r="E1824" s="31"/>
      <c r="F1824" s="31"/>
      <c r="G1824" s="33"/>
      <c r="H1824" s="105"/>
      <c r="I1824" s="32" t="str">
        <f>IF($A1824="","",VLOOKUP($H1824,APOIO!$L:$M,2,FALSE))</f>
        <v/>
      </c>
      <c r="J1824" s="31"/>
      <c r="K1824" s="32" t="str">
        <f>IF($A1824="","",VLOOKUP($J1824,APOIO!$H:$J,2,FALSE))</f>
        <v/>
      </c>
      <c r="L1824" s="32" t="str">
        <f>IF($A1824="","",VLOOKUP($J1824,APOIO!$H:$J,3,FALSE))</f>
        <v/>
      </c>
      <c r="M1824" s="31"/>
      <c r="N1824" s="34"/>
      <c r="O1824" s="32"/>
      <c r="P1824" s="32"/>
      <c r="Q1824" s="32"/>
      <c r="R1824" s="32"/>
      <c r="S1824" s="35"/>
      <c r="T1824" s="91"/>
      <c r="U1824" s="60"/>
      <c r="V1824" s="36"/>
      <c r="W1824" s="31"/>
      <c r="X1824" s="59"/>
      <c r="Y1824" s="59" t="str">
        <f>IFERROR(VLOOKUP($A1824,APOIO!$A:$A,1,FALSE),"ERRO")</f>
        <v>ERRO</v>
      </c>
      <c r="Z1824"/>
    </row>
    <row r="1825" spans="1:26" ht="15" x14ac:dyDescent="0.25">
      <c r="A1825" s="94"/>
      <c r="B1825" s="32" t="str">
        <f>IF($A1825="","",VLOOKUP($A1825,APOIO!$A:$E,2,FALSE))</f>
        <v/>
      </c>
      <c r="C1825" s="94"/>
      <c r="D1825" s="32" t="str">
        <f>IF($A1825="","",INDEX(APOIO!$D:$D,MATCH(CONCATENATE($A1825,"_",$B1825,"_",$C1825),APOIO!$F:$F,0)))</f>
        <v/>
      </c>
      <c r="E1825" s="31"/>
      <c r="F1825" s="31"/>
      <c r="G1825" s="33"/>
      <c r="H1825" s="105"/>
      <c r="I1825" s="32" t="str">
        <f>IF($A1825="","",VLOOKUP($H1825,APOIO!$L:$M,2,FALSE))</f>
        <v/>
      </c>
      <c r="J1825" s="31"/>
      <c r="K1825" s="32" t="str">
        <f>IF($A1825="","",VLOOKUP($J1825,APOIO!$H:$J,2,FALSE))</f>
        <v/>
      </c>
      <c r="L1825" s="32" t="str">
        <f>IF($A1825="","",VLOOKUP($J1825,APOIO!$H:$J,3,FALSE))</f>
        <v/>
      </c>
      <c r="M1825" s="31"/>
      <c r="N1825" s="34"/>
      <c r="O1825" s="32"/>
      <c r="P1825" s="32"/>
      <c r="Q1825" s="32"/>
      <c r="R1825" s="32"/>
      <c r="S1825" s="35"/>
      <c r="T1825" s="91"/>
      <c r="U1825" s="60"/>
      <c r="V1825" s="36"/>
      <c r="W1825" s="31"/>
      <c r="X1825" s="59"/>
      <c r="Y1825" s="59" t="str">
        <f>IFERROR(VLOOKUP($A1825,APOIO!$A:$A,1,FALSE),"ERRO")</f>
        <v>ERRO</v>
      </c>
      <c r="Z1825"/>
    </row>
    <row r="1826" spans="1:26" ht="15" x14ac:dyDescent="0.25">
      <c r="A1826" s="94"/>
      <c r="B1826" s="32" t="str">
        <f>IF($A1826="","",VLOOKUP($A1826,APOIO!$A:$E,2,FALSE))</f>
        <v/>
      </c>
      <c r="C1826" s="94"/>
      <c r="D1826" s="32" t="str">
        <f>IF($A1826="","",INDEX(APOIO!$D:$D,MATCH(CONCATENATE($A1826,"_",$B1826,"_",$C1826),APOIO!$F:$F,0)))</f>
        <v/>
      </c>
      <c r="E1826" s="31"/>
      <c r="F1826" s="31"/>
      <c r="G1826" s="33"/>
      <c r="H1826" s="105"/>
      <c r="I1826" s="32" t="str">
        <f>IF($A1826="","",VLOOKUP($H1826,APOIO!$L:$M,2,FALSE))</f>
        <v/>
      </c>
      <c r="J1826" s="31"/>
      <c r="K1826" s="32" t="str">
        <f>IF($A1826="","",VLOOKUP($J1826,APOIO!$H:$J,2,FALSE))</f>
        <v/>
      </c>
      <c r="L1826" s="32" t="str">
        <f>IF($A1826="","",VLOOKUP($J1826,APOIO!$H:$J,3,FALSE))</f>
        <v/>
      </c>
      <c r="M1826" s="31"/>
      <c r="N1826" s="34"/>
      <c r="O1826" s="32"/>
      <c r="P1826" s="32"/>
      <c r="Q1826" s="32"/>
      <c r="R1826" s="32"/>
      <c r="S1826" s="35"/>
      <c r="T1826" s="91"/>
      <c r="U1826" s="60"/>
      <c r="V1826" s="36"/>
      <c r="W1826" s="31"/>
      <c r="X1826" s="59"/>
      <c r="Y1826" s="59" t="str">
        <f>IFERROR(VLOOKUP($A1826,APOIO!$A:$A,1,FALSE),"ERRO")</f>
        <v>ERRO</v>
      </c>
      <c r="Z1826"/>
    </row>
    <row r="1827" spans="1:26" ht="15" x14ac:dyDescent="0.25">
      <c r="A1827" s="94"/>
      <c r="B1827" s="32" t="str">
        <f>IF($A1827="","",VLOOKUP($A1827,APOIO!$A:$E,2,FALSE))</f>
        <v/>
      </c>
      <c r="C1827" s="94"/>
      <c r="D1827" s="32" t="str">
        <f>IF($A1827="","",INDEX(APOIO!$D:$D,MATCH(CONCATENATE($A1827,"_",$B1827,"_",$C1827),APOIO!$F:$F,0)))</f>
        <v/>
      </c>
      <c r="E1827" s="31"/>
      <c r="F1827" s="31"/>
      <c r="G1827" s="33"/>
      <c r="H1827" s="105"/>
      <c r="I1827" s="32" t="str">
        <f>IF($A1827="","",VLOOKUP($H1827,APOIO!$L:$M,2,FALSE))</f>
        <v/>
      </c>
      <c r="J1827" s="31"/>
      <c r="K1827" s="32" t="str">
        <f>IF($A1827="","",VLOOKUP($J1827,APOIO!$H:$J,2,FALSE))</f>
        <v/>
      </c>
      <c r="L1827" s="32" t="str">
        <f>IF($A1827="","",VLOOKUP($J1827,APOIO!$H:$J,3,FALSE))</f>
        <v/>
      </c>
      <c r="M1827" s="31"/>
      <c r="N1827" s="34"/>
      <c r="O1827" s="32"/>
      <c r="P1827" s="32"/>
      <c r="Q1827" s="32"/>
      <c r="R1827" s="32"/>
      <c r="S1827" s="35"/>
      <c r="T1827" s="91"/>
      <c r="U1827" s="60"/>
      <c r="V1827" s="36"/>
      <c r="W1827" s="31"/>
      <c r="X1827" s="59"/>
      <c r="Y1827" s="59" t="str">
        <f>IFERROR(VLOOKUP($A1827,APOIO!$A:$A,1,FALSE),"ERRO")</f>
        <v>ERRO</v>
      </c>
      <c r="Z1827"/>
    </row>
    <row r="1828" spans="1:26" ht="15" x14ac:dyDescent="0.25">
      <c r="A1828" s="94"/>
      <c r="B1828" s="32" t="str">
        <f>IF($A1828="","",VLOOKUP($A1828,APOIO!$A:$E,2,FALSE))</f>
        <v/>
      </c>
      <c r="C1828" s="94"/>
      <c r="D1828" s="32" t="str">
        <f>IF($A1828="","",INDEX(APOIO!$D:$D,MATCH(CONCATENATE($A1828,"_",$B1828,"_",$C1828),APOIO!$F:$F,0)))</f>
        <v/>
      </c>
      <c r="E1828" s="31"/>
      <c r="F1828" s="31"/>
      <c r="G1828" s="33"/>
      <c r="H1828" s="105"/>
      <c r="I1828" s="32" t="str">
        <f>IF($A1828="","",VLOOKUP($H1828,APOIO!$L:$M,2,FALSE))</f>
        <v/>
      </c>
      <c r="J1828" s="31"/>
      <c r="K1828" s="32" t="str">
        <f>IF($A1828="","",VLOOKUP($J1828,APOIO!$H:$J,2,FALSE))</f>
        <v/>
      </c>
      <c r="L1828" s="32" t="str">
        <f>IF($A1828="","",VLOOKUP($J1828,APOIO!$H:$J,3,FALSE))</f>
        <v/>
      </c>
      <c r="M1828" s="31"/>
      <c r="N1828" s="34"/>
      <c r="O1828" s="32"/>
      <c r="P1828" s="32"/>
      <c r="Q1828" s="32"/>
      <c r="R1828" s="32"/>
      <c r="S1828" s="35"/>
      <c r="T1828" s="91"/>
      <c r="U1828" s="60"/>
      <c r="V1828" s="36"/>
      <c r="W1828" s="31"/>
      <c r="X1828" s="59"/>
      <c r="Y1828" s="59" t="str">
        <f>IFERROR(VLOOKUP($A1828,APOIO!$A:$A,1,FALSE),"ERRO")</f>
        <v>ERRO</v>
      </c>
      <c r="Z1828"/>
    </row>
    <row r="1829" spans="1:26" ht="15" x14ac:dyDescent="0.25">
      <c r="A1829" s="94"/>
      <c r="B1829" s="32" t="str">
        <f>IF($A1829="","",VLOOKUP($A1829,APOIO!$A:$E,2,FALSE))</f>
        <v/>
      </c>
      <c r="C1829" s="94"/>
      <c r="D1829" s="32" t="str">
        <f>IF($A1829="","",INDEX(APOIO!$D:$D,MATCH(CONCATENATE($A1829,"_",$B1829,"_",$C1829),APOIO!$F:$F,0)))</f>
        <v/>
      </c>
      <c r="E1829" s="31"/>
      <c r="F1829" s="31"/>
      <c r="G1829" s="33"/>
      <c r="H1829" s="105"/>
      <c r="I1829" s="32" t="str">
        <f>IF($A1829="","",VLOOKUP($H1829,APOIO!$L:$M,2,FALSE))</f>
        <v/>
      </c>
      <c r="J1829" s="31"/>
      <c r="K1829" s="32" t="str">
        <f>IF($A1829="","",VLOOKUP($J1829,APOIO!$H:$J,2,FALSE))</f>
        <v/>
      </c>
      <c r="L1829" s="32" t="str">
        <f>IF($A1829="","",VLOOKUP($J1829,APOIO!$H:$J,3,FALSE))</f>
        <v/>
      </c>
      <c r="M1829" s="31"/>
      <c r="N1829" s="34"/>
      <c r="O1829" s="32"/>
      <c r="P1829" s="32"/>
      <c r="Q1829" s="32"/>
      <c r="R1829" s="32"/>
      <c r="S1829" s="35"/>
      <c r="T1829" s="91"/>
      <c r="U1829" s="60"/>
      <c r="V1829" s="36"/>
      <c r="W1829" s="31"/>
      <c r="X1829" s="59"/>
      <c r="Y1829" s="59" t="str">
        <f>IFERROR(VLOOKUP($A1829,APOIO!$A:$A,1,FALSE),"ERRO")</f>
        <v>ERRO</v>
      </c>
      <c r="Z1829"/>
    </row>
    <row r="1830" spans="1:26" ht="15" x14ac:dyDescent="0.25">
      <c r="A1830" s="94"/>
      <c r="B1830" s="32" t="str">
        <f>IF($A1830="","",VLOOKUP($A1830,APOIO!$A:$E,2,FALSE))</f>
        <v/>
      </c>
      <c r="C1830" s="94"/>
      <c r="D1830" s="32" t="str">
        <f>IF($A1830="","",INDEX(APOIO!$D:$D,MATCH(CONCATENATE($A1830,"_",$B1830,"_",$C1830),APOIO!$F:$F,0)))</f>
        <v/>
      </c>
      <c r="E1830" s="31"/>
      <c r="F1830" s="31"/>
      <c r="G1830" s="33"/>
      <c r="H1830" s="105"/>
      <c r="I1830" s="32" t="str">
        <f>IF($A1830="","",VLOOKUP($H1830,APOIO!$L:$M,2,FALSE))</f>
        <v/>
      </c>
      <c r="J1830" s="31"/>
      <c r="K1830" s="32" t="str">
        <f>IF($A1830="","",VLOOKUP($J1830,APOIO!$H:$J,2,FALSE))</f>
        <v/>
      </c>
      <c r="L1830" s="32" t="str">
        <f>IF($A1830="","",VLOOKUP($J1830,APOIO!$H:$J,3,FALSE))</f>
        <v/>
      </c>
      <c r="M1830" s="31"/>
      <c r="N1830" s="34"/>
      <c r="O1830" s="32"/>
      <c r="P1830" s="32"/>
      <c r="Q1830" s="32"/>
      <c r="R1830" s="32"/>
      <c r="S1830" s="35"/>
      <c r="T1830" s="91"/>
      <c r="U1830" s="60"/>
      <c r="V1830" s="36"/>
      <c r="W1830" s="31"/>
      <c r="X1830" s="59"/>
      <c r="Y1830" s="59" t="str">
        <f>IFERROR(VLOOKUP($A1830,APOIO!$A:$A,1,FALSE),"ERRO")</f>
        <v>ERRO</v>
      </c>
      <c r="Z1830"/>
    </row>
    <row r="1831" spans="1:26" ht="15" x14ac:dyDescent="0.25">
      <c r="A1831" s="94"/>
      <c r="B1831" s="32" t="str">
        <f>IF($A1831="","",VLOOKUP($A1831,APOIO!$A:$E,2,FALSE))</f>
        <v/>
      </c>
      <c r="C1831" s="94"/>
      <c r="D1831" s="32" t="str">
        <f>IF($A1831="","",INDEX(APOIO!$D:$D,MATCH(CONCATENATE($A1831,"_",$B1831,"_",$C1831),APOIO!$F:$F,0)))</f>
        <v/>
      </c>
      <c r="E1831" s="31"/>
      <c r="F1831" s="31"/>
      <c r="G1831" s="33"/>
      <c r="H1831" s="105"/>
      <c r="I1831" s="32" t="str">
        <f>IF($A1831="","",VLOOKUP($H1831,APOIO!$L:$M,2,FALSE))</f>
        <v/>
      </c>
      <c r="J1831" s="31"/>
      <c r="K1831" s="32" t="str">
        <f>IF($A1831="","",VLOOKUP($J1831,APOIO!$H:$J,2,FALSE))</f>
        <v/>
      </c>
      <c r="L1831" s="32" t="str">
        <f>IF($A1831="","",VLOOKUP($J1831,APOIO!$H:$J,3,FALSE))</f>
        <v/>
      </c>
      <c r="M1831" s="31"/>
      <c r="N1831" s="34"/>
      <c r="O1831" s="32"/>
      <c r="P1831" s="32"/>
      <c r="Q1831" s="32"/>
      <c r="R1831" s="32"/>
      <c r="S1831" s="35"/>
      <c r="T1831" s="91"/>
      <c r="U1831" s="60"/>
      <c r="V1831" s="36"/>
      <c r="W1831" s="31"/>
      <c r="X1831" s="59"/>
      <c r="Y1831" s="59" t="str">
        <f>IFERROR(VLOOKUP($A1831,APOIO!$A:$A,1,FALSE),"ERRO")</f>
        <v>ERRO</v>
      </c>
      <c r="Z1831"/>
    </row>
    <row r="1832" spans="1:26" ht="15" x14ac:dyDescent="0.25">
      <c r="A1832" s="94"/>
      <c r="B1832" s="32" t="str">
        <f>IF($A1832="","",VLOOKUP($A1832,APOIO!$A:$E,2,FALSE))</f>
        <v/>
      </c>
      <c r="C1832" s="94"/>
      <c r="D1832" s="32" t="str">
        <f>IF($A1832="","",INDEX(APOIO!$D:$D,MATCH(CONCATENATE($A1832,"_",$B1832,"_",$C1832),APOIO!$F:$F,0)))</f>
        <v/>
      </c>
      <c r="E1832" s="31"/>
      <c r="F1832" s="31"/>
      <c r="G1832" s="33"/>
      <c r="H1832" s="105"/>
      <c r="I1832" s="32" t="str">
        <f>IF($A1832="","",VLOOKUP($H1832,APOIO!$L:$M,2,FALSE))</f>
        <v/>
      </c>
      <c r="J1832" s="31"/>
      <c r="K1832" s="32" t="str">
        <f>IF($A1832="","",VLOOKUP($J1832,APOIO!$H:$J,2,FALSE))</f>
        <v/>
      </c>
      <c r="L1832" s="32" t="str">
        <f>IF($A1832="","",VLOOKUP($J1832,APOIO!$H:$J,3,FALSE))</f>
        <v/>
      </c>
      <c r="M1832" s="31"/>
      <c r="N1832" s="34"/>
      <c r="O1832" s="32"/>
      <c r="P1832" s="32"/>
      <c r="Q1832" s="32"/>
      <c r="R1832" s="32"/>
      <c r="S1832" s="35"/>
      <c r="T1832" s="91"/>
      <c r="U1832" s="60"/>
      <c r="V1832" s="36"/>
      <c r="W1832" s="31"/>
      <c r="X1832" s="59"/>
      <c r="Y1832" s="59" t="str">
        <f>IFERROR(VLOOKUP($A1832,APOIO!$A:$A,1,FALSE),"ERRO")</f>
        <v>ERRO</v>
      </c>
      <c r="Z1832"/>
    </row>
    <row r="1833" spans="1:26" ht="15" x14ac:dyDescent="0.25">
      <c r="A1833" s="94"/>
      <c r="B1833" s="32" t="str">
        <f>IF($A1833="","",VLOOKUP($A1833,APOIO!$A:$E,2,FALSE))</f>
        <v/>
      </c>
      <c r="C1833" s="94"/>
      <c r="D1833" s="32" t="str">
        <f>IF($A1833="","",INDEX(APOIO!$D:$D,MATCH(CONCATENATE($A1833,"_",$B1833,"_",$C1833),APOIO!$F:$F,0)))</f>
        <v/>
      </c>
      <c r="E1833" s="31"/>
      <c r="F1833" s="31"/>
      <c r="G1833" s="33"/>
      <c r="H1833" s="105"/>
      <c r="I1833" s="32" t="str">
        <f>IF($A1833="","",VLOOKUP($H1833,APOIO!$L:$M,2,FALSE))</f>
        <v/>
      </c>
      <c r="J1833" s="31"/>
      <c r="K1833" s="32" t="str">
        <f>IF($A1833="","",VLOOKUP($J1833,APOIO!$H:$J,2,FALSE))</f>
        <v/>
      </c>
      <c r="L1833" s="32" t="str">
        <f>IF($A1833="","",VLOOKUP($J1833,APOIO!$H:$J,3,FALSE))</f>
        <v/>
      </c>
      <c r="M1833" s="31"/>
      <c r="N1833" s="34"/>
      <c r="O1833" s="32"/>
      <c r="P1833" s="32"/>
      <c r="Q1833" s="32"/>
      <c r="R1833" s="32"/>
      <c r="S1833" s="35"/>
      <c r="T1833" s="91"/>
      <c r="U1833" s="60"/>
      <c r="V1833" s="36"/>
      <c r="W1833" s="31"/>
      <c r="X1833" s="59"/>
      <c r="Y1833" s="59" t="str">
        <f>IFERROR(VLOOKUP($A1833,APOIO!$A:$A,1,FALSE),"ERRO")</f>
        <v>ERRO</v>
      </c>
      <c r="Z1833"/>
    </row>
    <row r="1834" spans="1:26" ht="15" x14ac:dyDescent="0.25">
      <c r="A1834" s="94"/>
      <c r="B1834" s="32" t="str">
        <f>IF($A1834="","",VLOOKUP($A1834,APOIO!$A:$E,2,FALSE))</f>
        <v/>
      </c>
      <c r="C1834" s="94"/>
      <c r="D1834" s="32" t="str">
        <f>IF($A1834="","",INDEX(APOIO!$D:$D,MATCH(CONCATENATE($A1834,"_",$B1834,"_",$C1834),APOIO!$F:$F,0)))</f>
        <v/>
      </c>
      <c r="E1834" s="31"/>
      <c r="F1834" s="31"/>
      <c r="G1834" s="33"/>
      <c r="H1834" s="105"/>
      <c r="I1834" s="32" t="str">
        <f>IF($A1834="","",VLOOKUP($H1834,APOIO!$L:$M,2,FALSE))</f>
        <v/>
      </c>
      <c r="J1834" s="31"/>
      <c r="K1834" s="32" t="str">
        <f>IF($A1834="","",VLOOKUP($J1834,APOIO!$H:$J,2,FALSE))</f>
        <v/>
      </c>
      <c r="L1834" s="32" t="str">
        <f>IF($A1834="","",VLOOKUP($J1834,APOIO!$H:$J,3,FALSE))</f>
        <v/>
      </c>
      <c r="M1834" s="31"/>
      <c r="N1834" s="34"/>
      <c r="O1834" s="32"/>
      <c r="P1834" s="32"/>
      <c r="Q1834" s="32"/>
      <c r="R1834" s="32"/>
      <c r="S1834" s="35"/>
      <c r="T1834" s="91"/>
      <c r="U1834" s="60"/>
      <c r="V1834" s="36"/>
      <c r="W1834" s="31"/>
      <c r="X1834" s="59"/>
      <c r="Y1834" s="59" t="str">
        <f>IFERROR(VLOOKUP($A1834,APOIO!$A:$A,1,FALSE),"ERRO")</f>
        <v>ERRO</v>
      </c>
      <c r="Z1834"/>
    </row>
    <row r="1835" spans="1:26" ht="15" x14ac:dyDescent="0.25">
      <c r="A1835" s="94"/>
      <c r="B1835" s="32" t="str">
        <f>IF($A1835="","",VLOOKUP($A1835,APOIO!$A:$E,2,FALSE))</f>
        <v/>
      </c>
      <c r="C1835" s="94"/>
      <c r="D1835" s="32" t="str">
        <f>IF($A1835="","",INDEX(APOIO!$D:$D,MATCH(CONCATENATE($A1835,"_",$B1835,"_",$C1835),APOIO!$F:$F,0)))</f>
        <v/>
      </c>
      <c r="E1835" s="31"/>
      <c r="F1835" s="31"/>
      <c r="G1835" s="33"/>
      <c r="H1835" s="105"/>
      <c r="I1835" s="32" t="str">
        <f>IF($A1835="","",VLOOKUP($H1835,APOIO!$L:$M,2,FALSE))</f>
        <v/>
      </c>
      <c r="J1835" s="31"/>
      <c r="K1835" s="32" t="str">
        <f>IF($A1835="","",VLOOKUP($J1835,APOIO!$H:$J,2,FALSE))</f>
        <v/>
      </c>
      <c r="L1835" s="32" t="str">
        <f>IF($A1835="","",VLOOKUP($J1835,APOIO!$H:$J,3,FALSE))</f>
        <v/>
      </c>
      <c r="M1835" s="31"/>
      <c r="N1835" s="34"/>
      <c r="O1835" s="32"/>
      <c r="P1835" s="32"/>
      <c r="Q1835" s="32"/>
      <c r="R1835" s="32"/>
      <c r="S1835" s="35"/>
      <c r="T1835" s="91"/>
      <c r="U1835" s="60"/>
      <c r="V1835" s="36"/>
      <c r="W1835" s="31"/>
      <c r="X1835" s="59"/>
      <c r="Y1835" s="59" t="str">
        <f>IFERROR(VLOOKUP($A1835,APOIO!$A:$A,1,FALSE),"ERRO")</f>
        <v>ERRO</v>
      </c>
      <c r="Z1835"/>
    </row>
    <row r="1836" spans="1:26" ht="15" x14ac:dyDescent="0.25">
      <c r="A1836" s="94"/>
      <c r="B1836" s="32" t="str">
        <f>IF($A1836="","",VLOOKUP($A1836,APOIO!$A:$E,2,FALSE))</f>
        <v/>
      </c>
      <c r="C1836" s="94"/>
      <c r="D1836" s="32" t="str">
        <f>IF($A1836="","",INDEX(APOIO!$D:$D,MATCH(CONCATENATE($A1836,"_",$B1836,"_",$C1836),APOIO!$F:$F,0)))</f>
        <v/>
      </c>
      <c r="E1836" s="31"/>
      <c r="F1836" s="31"/>
      <c r="G1836" s="33"/>
      <c r="H1836" s="105"/>
      <c r="I1836" s="32" t="str">
        <f>IF($A1836="","",VLOOKUP($H1836,APOIO!$L:$M,2,FALSE))</f>
        <v/>
      </c>
      <c r="J1836" s="31"/>
      <c r="K1836" s="32" t="str">
        <f>IF($A1836="","",VLOOKUP($J1836,APOIO!$H:$J,2,FALSE))</f>
        <v/>
      </c>
      <c r="L1836" s="32" t="str">
        <f>IF($A1836="","",VLOOKUP($J1836,APOIO!$H:$J,3,FALSE))</f>
        <v/>
      </c>
      <c r="M1836" s="31"/>
      <c r="N1836" s="34"/>
      <c r="O1836" s="32"/>
      <c r="P1836" s="32"/>
      <c r="Q1836" s="32"/>
      <c r="R1836" s="32"/>
      <c r="S1836" s="35"/>
      <c r="T1836" s="91"/>
      <c r="U1836" s="60"/>
      <c r="V1836" s="36"/>
      <c r="W1836" s="31"/>
      <c r="X1836" s="59"/>
      <c r="Y1836" s="59" t="str">
        <f>IFERROR(VLOOKUP($A1836,APOIO!$A:$A,1,FALSE),"ERRO")</f>
        <v>ERRO</v>
      </c>
      <c r="Z1836"/>
    </row>
    <row r="1837" spans="1:26" ht="15" x14ac:dyDescent="0.25">
      <c r="A1837" s="94"/>
      <c r="B1837" s="32" t="str">
        <f>IF($A1837="","",VLOOKUP($A1837,APOIO!$A:$E,2,FALSE))</f>
        <v/>
      </c>
      <c r="C1837" s="94"/>
      <c r="D1837" s="32" t="str">
        <f>IF($A1837="","",INDEX(APOIO!$D:$D,MATCH(CONCATENATE($A1837,"_",$B1837,"_",$C1837),APOIO!$F:$F,0)))</f>
        <v/>
      </c>
      <c r="E1837" s="31"/>
      <c r="F1837" s="31"/>
      <c r="G1837" s="33"/>
      <c r="H1837" s="105"/>
      <c r="I1837" s="32" t="str">
        <f>IF($A1837="","",VLOOKUP($H1837,APOIO!$L:$M,2,FALSE))</f>
        <v/>
      </c>
      <c r="J1837" s="31"/>
      <c r="K1837" s="32" t="str">
        <f>IF($A1837="","",VLOOKUP($J1837,APOIO!$H:$J,2,FALSE))</f>
        <v/>
      </c>
      <c r="L1837" s="32" t="str">
        <f>IF($A1837="","",VLOOKUP($J1837,APOIO!$H:$J,3,FALSE))</f>
        <v/>
      </c>
      <c r="M1837" s="31"/>
      <c r="N1837" s="34"/>
      <c r="O1837" s="32"/>
      <c r="P1837" s="32"/>
      <c r="Q1837" s="32"/>
      <c r="R1837" s="32"/>
      <c r="S1837" s="35"/>
      <c r="T1837" s="91"/>
      <c r="U1837" s="60"/>
      <c r="V1837" s="36"/>
      <c r="W1837" s="31"/>
      <c r="X1837" s="59"/>
      <c r="Y1837" s="59" t="str">
        <f>IFERROR(VLOOKUP($A1837,APOIO!$A:$A,1,FALSE),"ERRO")</f>
        <v>ERRO</v>
      </c>
      <c r="Z1837"/>
    </row>
    <row r="1838" spans="1:26" ht="15" x14ac:dyDescent="0.25">
      <c r="A1838" s="94"/>
      <c r="B1838" s="32" t="str">
        <f>IF($A1838="","",VLOOKUP($A1838,APOIO!$A:$E,2,FALSE))</f>
        <v/>
      </c>
      <c r="C1838" s="94"/>
      <c r="D1838" s="32" t="str">
        <f>IF($A1838="","",INDEX(APOIO!$D:$D,MATCH(CONCATENATE($A1838,"_",$B1838,"_",$C1838),APOIO!$F:$F,0)))</f>
        <v/>
      </c>
      <c r="E1838" s="31"/>
      <c r="F1838" s="31"/>
      <c r="G1838" s="33"/>
      <c r="H1838" s="105"/>
      <c r="I1838" s="32" t="str">
        <f>IF($A1838="","",VLOOKUP($H1838,APOIO!$L:$M,2,FALSE))</f>
        <v/>
      </c>
      <c r="J1838" s="31"/>
      <c r="K1838" s="32" t="str">
        <f>IF($A1838="","",VLOOKUP($J1838,APOIO!$H:$J,2,FALSE))</f>
        <v/>
      </c>
      <c r="L1838" s="32" t="str">
        <f>IF($A1838="","",VLOOKUP($J1838,APOIO!$H:$J,3,FALSE))</f>
        <v/>
      </c>
      <c r="M1838" s="31"/>
      <c r="N1838" s="34"/>
      <c r="O1838" s="32"/>
      <c r="P1838" s="32"/>
      <c r="Q1838" s="32"/>
      <c r="R1838" s="32"/>
      <c r="S1838" s="35"/>
      <c r="T1838" s="91"/>
      <c r="U1838" s="60"/>
      <c r="V1838" s="36"/>
      <c r="W1838" s="31"/>
      <c r="X1838" s="59"/>
      <c r="Y1838" s="59" t="str">
        <f>IFERROR(VLOOKUP($A1838,APOIO!$A:$A,1,FALSE),"ERRO")</f>
        <v>ERRO</v>
      </c>
      <c r="Z1838"/>
    </row>
    <row r="1839" spans="1:26" ht="15" x14ac:dyDescent="0.25">
      <c r="A1839" s="94"/>
      <c r="B1839" s="32" t="str">
        <f>IF($A1839="","",VLOOKUP($A1839,APOIO!$A:$E,2,FALSE))</f>
        <v/>
      </c>
      <c r="C1839" s="94"/>
      <c r="D1839" s="32" t="str">
        <f>IF($A1839="","",INDEX(APOIO!$D:$D,MATCH(CONCATENATE($A1839,"_",$B1839,"_",$C1839),APOIO!$F:$F,0)))</f>
        <v/>
      </c>
      <c r="E1839" s="31"/>
      <c r="F1839" s="31"/>
      <c r="G1839" s="33"/>
      <c r="H1839" s="105"/>
      <c r="I1839" s="32" t="str">
        <f>IF($A1839="","",VLOOKUP($H1839,APOIO!$L:$M,2,FALSE))</f>
        <v/>
      </c>
      <c r="J1839" s="31"/>
      <c r="K1839" s="32" t="str">
        <f>IF($A1839="","",VLOOKUP($J1839,APOIO!$H:$J,2,FALSE))</f>
        <v/>
      </c>
      <c r="L1839" s="32" t="str">
        <f>IF($A1839="","",VLOOKUP($J1839,APOIO!$H:$J,3,FALSE))</f>
        <v/>
      </c>
      <c r="M1839" s="31"/>
      <c r="N1839" s="34"/>
      <c r="O1839" s="32"/>
      <c r="P1839" s="32"/>
      <c r="Q1839" s="32"/>
      <c r="R1839" s="32"/>
      <c r="S1839" s="35"/>
      <c r="T1839" s="91"/>
      <c r="U1839" s="60"/>
      <c r="V1839" s="36"/>
      <c r="W1839" s="31"/>
      <c r="X1839" s="59"/>
      <c r="Y1839" s="59" t="str">
        <f>IFERROR(VLOOKUP($A1839,APOIO!$A:$A,1,FALSE),"ERRO")</f>
        <v>ERRO</v>
      </c>
      <c r="Z1839"/>
    </row>
    <row r="1840" spans="1:26" ht="15" x14ac:dyDescent="0.25">
      <c r="A1840" s="94"/>
      <c r="B1840" s="32" t="str">
        <f>IF($A1840="","",VLOOKUP($A1840,APOIO!$A:$E,2,FALSE))</f>
        <v/>
      </c>
      <c r="C1840" s="94"/>
      <c r="D1840" s="32" t="str">
        <f>IF($A1840="","",INDEX(APOIO!$D:$D,MATCH(CONCATENATE($A1840,"_",$B1840,"_",$C1840),APOIO!$F:$F,0)))</f>
        <v/>
      </c>
      <c r="E1840" s="31"/>
      <c r="F1840" s="31"/>
      <c r="G1840" s="33"/>
      <c r="H1840" s="105"/>
      <c r="I1840" s="32" t="str">
        <f>IF($A1840="","",VLOOKUP($H1840,APOIO!$L:$M,2,FALSE))</f>
        <v/>
      </c>
      <c r="J1840" s="31"/>
      <c r="K1840" s="32" t="str">
        <f>IF($A1840="","",VLOOKUP($J1840,APOIO!$H:$J,2,FALSE))</f>
        <v/>
      </c>
      <c r="L1840" s="32" t="str">
        <f>IF($A1840="","",VLOOKUP($J1840,APOIO!$H:$J,3,FALSE))</f>
        <v/>
      </c>
      <c r="M1840" s="31"/>
      <c r="N1840" s="34"/>
      <c r="O1840" s="32"/>
      <c r="P1840" s="32"/>
      <c r="Q1840" s="32"/>
      <c r="R1840" s="32"/>
      <c r="S1840" s="35"/>
      <c r="T1840" s="91"/>
      <c r="U1840" s="60"/>
      <c r="V1840" s="36"/>
      <c r="W1840" s="31"/>
      <c r="X1840" s="59"/>
      <c r="Y1840" s="59" t="str">
        <f>IFERROR(VLOOKUP($A1840,APOIO!$A:$A,1,FALSE),"ERRO")</f>
        <v>ERRO</v>
      </c>
      <c r="Z1840"/>
    </row>
    <row r="1841" spans="1:26" ht="15" x14ac:dyDescent="0.25">
      <c r="A1841" s="94"/>
      <c r="B1841" s="32" t="str">
        <f>IF($A1841="","",VLOOKUP($A1841,APOIO!$A:$E,2,FALSE))</f>
        <v/>
      </c>
      <c r="C1841" s="94"/>
      <c r="D1841" s="32" t="str">
        <f>IF($A1841="","",INDEX(APOIO!$D:$D,MATCH(CONCATENATE($A1841,"_",$B1841,"_",$C1841),APOIO!$F:$F,0)))</f>
        <v/>
      </c>
      <c r="E1841" s="31"/>
      <c r="F1841" s="31"/>
      <c r="G1841" s="33"/>
      <c r="H1841" s="105"/>
      <c r="I1841" s="32" t="str">
        <f>IF($A1841="","",VLOOKUP($H1841,APOIO!$L:$M,2,FALSE))</f>
        <v/>
      </c>
      <c r="J1841" s="31"/>
      <c r="K1841" s="32" t="str">
        <f>IF($A1841="","",VLOOKUP($J1841,APOIO!$H:$J,2,FALSE))</f>
        <v/>
      </c>
      <c r="L1841" s="32" t="str">
        <f>IF($A1841="","",VLOOKUP($J1841,APOIO!$H:$J,3,FALSE))</f>
        <v/>
      </c>
      <c r="M1841" s="31"/>
      <c r="N1841" s="34"/>
      <c r="O1841" s="32"/>
      <c r="P1841" s="32"/>
      <c r="Q1841" s="32"/>
      <c r="R1841" s="32"/>
      <c r="S1841" s="35"/>
      <c r="T1841" s="91"/>
      <c r="U1841" s="60"/>
      <c r="V1841" s="36"/>
      <c r="W1841" s="31"/>
      <c r="X1841" s="59"/>
      <c r="Y1841" s="59" t="str">
        <f>IFERROR(VLOOKUP($A1841,APOIO!$A:$A,1,FALSE),"ERRO")</f>
        <v>ERRO</v>
      </c>
      <c r="Z1841"/>
    </row>
    <row r="1842" spans="1:26" ht="15" x14ac:dyDescent="0.25">
      <c r="A1842" s="94"/>
      <c r="B1842" s="32" t="str">
        <f>IF($A1842="","",VLOOKUP($A1842,APOIO!$A:$E,2,FALSE))</f>
        <v/>
      </c>
      <c r="C1842" s="94"/>
      <c r="D1842" s="32" t="str">
        <f>IF($A1842="","",INDEX(APOIO!$D:$D,MATCH(CONCATENATE($A1842,"_",$B1842,"_",$C1842),APOIO!$F:$F,0)))</f>
        <v/>
      </c>
      <c r="E1842" s="31"/>
      <c r="F1842" s="31"/>
      <c r="G1842" s="33"/>
      <c r="H1842" s="105"/>
      <c r="I1842" s="32" t="str">
        <f>IF($A1842="","",VLOOKUP($H1842,APOIO!$L:$M,2,FALSE))</f>
        <v/>
      </c>
      <c r="J1842" s="31"/>
      <c r="K1842" s="32" t="str">
        <f>IF($A1842="","",VLOOKUP($J1842,APOIO!$H:$J,2,FALSE))</f>
        <v/>
      </c>
      <c r="L1842" s="32" t="str">
        <f>IF($A1842="","",VLOOKUP($J1842,APOIO!$H:$J,3,FALSE))</f>
        <v/>
      </c>
      <c r="M1842" s="31"/>
      <c r="N1842" s="34"/>
      <c r="O1842" s="32"/>
      <c r="P1842" s="32"/>
      <c r="Q1842" s="32"/>
      <c r="R1842" s="32"/>
      <c r="S1842" s="35"/>
      <c r="T1842" s="91"/>
      <c r="U1842" s="60"/>
      <c r="V1842" s="36"/>
      <c r="W1842" s="31"/>
      <c r="X1842" s="59"/>
      <c r="Y1842" s="59" t="str">
        <f>IFERROR(VLOOKUP($A1842,APOIO!$A:$A,1,FALSE),"ERRO")</f>
        <v>ERRO</v>
      </c>
      <c r="Z1842"/>
    </row>
    <row r="1843" spans="1:26" ht="15" x14ac:dyDescent="0.25">
      <c r="A1843" s="94"/>
      <c r="B1843" s="32" t="str">
        <f>IF($A1843="","",VLOOKUP($A1843,APOIO!$A:$E,2,FALSE))</f>
        <v/>
      </c>
      <c r="C1843" s="94"/>
      <c r="D1843" s="32" t="str">
        <f>IF($A1843="","",INDEX(APOIO!$D:$D,MATCH(CONCATENATE($A1843,"_",$B1843,"_",$C1843),APOIO!$F:$F,0)))</f>
        <v/>
      </c>
      <c r="E1843" s="31"/>
      <c r="F1843" s="31"/>
      <c r="G1843" s="33"/>
      <c r="H1843" s="105"/>
      <c r="I1843" s="32" t="str">
        <f>IF($A1843="","",VLOOKUP($H1843,APOIO!$L:$M,2,FALSE))</f>
        <v/>
      </c>
      <c r="J1843" s="31"/>
      <c r="K1843" s="32" t="str">
        <f>IF($A1843="","",VLOOKUP($J1843,APOIO!$H:$J,2,FALSE))</f>
        <v/>
      </c>
      <c r="L1843" s="32" t="str">
        <f>IF($A1843="","",VLOOKUP($J1843,APOIO!$H:$J,3,FALSE))</f>
        <v/>
      </c>
      <c r="M1843" s="31"/>
      <c r="N1843" s="34"/>
      <c r="O1843" s="32"/>
      <c r="P1843" s="32"/>
      <c r="Q1843" s="32"/>
      <c r="R1843" s="32"/>
      <c r="S1843" s="35"/>
      <c r="T1843" s="91"/>
      <c r="U1843" s="60"/>
      <c r="V1843" s="36"/>
      <c r="W1843" s="31"/>
      <c r="X1843" s="59"/>
      <c r="Y1843" s="59" t="str">
        <f>IFERROR(VLOOKUP($A1843,APOIO!$A:$A,1,FALSE),"ERRO")</f>
        <v>ERRO</v>
      </c>
      <c r="Z1843"/>
    </row>
    <row r="1844" spans="1:26" ht="15" x14ac:dyDescent="0.25">
      <c r="A1844" s="94"/>
      <c r="B1844" s="32" t="str">
        <f>IF($A1844="","",VLOOKUP($A1844,APOIO!$A:$E,2,FALSE))</f>
        <v/>
      </c>
      <c r="C1844" s="94"/>
      <c r="D1844" s="32" t="str">
        <f>IF($A1844="","",INDEX(APOIO!$D:$D,MATCH(CONCATENATE($A1844,"_",$B1844,"_",$C1844),APOIO!$F:$F,0)))</f>
        <v/>
      </c>
      <c r="E1844" s="31"/>
      <c r="F1844" s="31"/>
      <c r="G1844" s="33"/>
      <c r="H1844" s="105"/>
      <c r="I1844" s="32" t="str">
        <f>IF($A1844="","",VLOOKUP($H1844,APOIO!$L:$M,2,FALSE))</f>
        <v/>
      </c>
      <c r="J1844" s="31"/>
      <c r="K1844" s="32" t="str">
        <f>IF($A1844="","",VLOOKUP($J1844,APOIO!$H:$J,2,FALSE))</f>
        <v/>
      </c>
      <c r="L1844" s="32" t="str">
        <f>IF($A1844="","",VLOOKUP($J1844,APOIO!$H:$J,3,FALSE))</f>
        <v/>
      </c>
      <c r="M1844" s="31"/>
      <c r="N1844" s="34"/>
      <c r="O1844" s="32"/>
      <c r="P1844" s="32"/>
      <c r="Q1844" s="32"/>
      <c r="R1844" s="32"/>
      <c r="S1844" s="35"/>
      <c r="T1844" s="91"/>
      <c r="U1844" s="60"/>
      <c r="V1844" s="36"/>
      <c r="W1844" s="31"/>
      <c r="X1844" s="59"/>
      <c r="Y1844" s="59" t="str">
        <f>IFERROR(VLOOKUP($A1844,APOIO!$A:$A,1,FALSE),"ERRO")</f>
        <v>ERRO</v>
      </c>
      <c r="Z1844"/>
    </row>
    <row r="1845" spans="1:26" ht="15" x14ac:dyDescent="0.25">
      <c r="A1845" s="94"/>
      <c r="B1845" s="32" t="str">
        <f>IF($A1845="","",VLOOKUP($A1845,APOIO!$A:$E,2,FALSE))</f>
        <v/>
      </c>
      <c r="C1845" s="94"/>
      <c r="D1845" s="32" t="str">
        <f>IF($A1845="","",INDEX(APOIO!$D:$D,MATCH(CONCATENATE($A1845,"_",$B1845,"_",$C1845),APOIO!$F:$F,0)))</f>
        <v/>
      </c>
      <c r="E1845" s="31"/>
      <c r="F1845" s="31"/>
      <c r="G1845" s="33"/>
      <c r="H1845" s="105"/>
      <c r="I1845" s="32" t="str">
        <f>IF($A1845="","",VLOOKUP($H1845,APOIO!$L:$M,2,FALSE))</f>
        <v/>
      </c>
      <c r="J1845" s="31"/>
      <c r="K1845" s="32" t="str">
        <f>IF($A1845="","",VLOOKUP($J1845,APOIO!$H:$J,2,FALSE))</f>
        <v/>
      </c>
      <c r="L1845" s="32" t="str">
        <f>IF($A1845="","",VLOOKUP($J1845,APOIO!$H:$J,3,FALSE))</f>
        <v/>
      </c>
      <c r="M1845" s="31"/>
      <c r="N1845" s="34"/>
      <c r="O1845" s="32"/>
      <c r="P1845" s="32"/>
      <c r="Q1845" s="32"/>
      <c r="R1845" s="32"/>
      <c r="S1845" s="35"/>
      <c r="T1845" s="91"/>
      <c r="U1845" s="60"/>
      <c r="V1845" s="36"/>
      <c r="W1845" s="31"/>
      <c r="X1845" s="59"/>
      <c r="Y1845" s="59" t="str">
        <f>IFERROR(VLOOKUP($A1845,APOIO!$A:$A,1,FALSE),"ERRO")</f>
        <v>ERRO</v>
      </c>
      <c r="Z1845"/>
    </row>
    <row r="1846" spans="1:26" ht="15" x14ac:dyDescent="0.25">
      <c r="A1846" s="94"/>
      <c r="B1846" s="32" t="str">
        <f>IF($A1846="","",VLOOKUP($A1846,APOIO!$A:$E,2,FALSE))</f>
        <v/>
      </c>
      <c r="C1846" s="94"/>
      <c r="D1846" s="32" t="str">
        <f>IF($A1846="","",INDEX(APOIO!$D:$D,MATCH(CONCATENATE($A1846,"_",$B1846,"_",$C1846),APOIO!$F:$F,0)))</f>
        <v/>
      </c>
      <c r="E1846" s="31"/>
      <c r="F1846" s="31"/>
      <c r="G1846" s="33"/>
      <c r="H1846" s="105"/>
      <c r="I1846" s="32" t="str">
        <f>IF($A1846="","",VLOOKUP($H1846,APOIO!$L:$M,2,FALSE))</f>
        <v/>
      </c>
      <c r="J1846" s="31"/>
      <c r="K1846" s="32" t="str">
        <f>IF($A1846="","",VLOOKUP($J1846,APOIO!$H:$J,2,FALSE))</f>
        <v/>
      </c>
      <c r="L1846" s="32" t="str">
        <f>IF($A1846="","",VLOOKUP($J1846,APOIO!$H:$J,3,FALSE))</f>
        <v/>
      </c>
      <c r="M1846" s="31"/>
      <c r="N1846" s="34"/>
      <c r="O1846" s="32"/>
      <c r="P1846" s="32"/>
      <c r="Q1846" s="32"/>
      <c r="R1846" s="32"/>
      <c r="S1846" s="35"/>
      <c r="T1846" s="91"/>
      <c r="U1846" s="60"/>
      <c r="V1846" s="36"/>
      <c r="W1846" s="31"/>
      <c r="X1846" s="59"/>
      <c r="Y1846" s="59" t="str">
        <f>IFERROR(VLOOKUP($A1846,APOIO!$A:$A,1,FALSE),"ERRO")</f>
        <v>ERRO</v>
      </c>
      <c r="Z1846"/>
    </row>
    <row r="1847" spans="1:26" ht="15" x14ac:dyDescent="0.25">
      <c r="A1847" s="94"/>
      <c r="B1847" s="32" t="str">
        <f>IF($A1847="","",VLOOKUP($A1847,APOIO!$A:$E,2,FALSE))</f>
        <v/>
      </c>
      <c r="C1847" s="94"/>
      <c r="D1847" s="32" t="str">
        <f>IF($A1847="","",INDEX(APOIO!$D:$D,MATCH(CONCATENATE($A1847,"_",$B1847,"_",$C1847),APOIO!$F:$F,0)))</f>
        <v/>
      </c>
      <c r="E1847" s="31"/>
      <c r="F1847" s="31"/>
      <c r="G1847" s="33"/>
      <c r="H1847" s="105"/>
      <c r="I1847" s="32" t="str">
        <f>IF($A1847="","",VLOOKUP($H1847,APOIO!$L:$M,2,FALSE))</f>
        <v/>
      </c>
      <c r="J1847" s="31"/>
      <c r="K1847" s="32" t="str">
        <f>IF($A1847="","",VLOOKUP($J1847,APOIO!$H:$J,2,FALSE))</f>
        <v/>
      </c>
      <c r="L1847" s="32" t="str">
        <f>IF($A1847="","",VLOOKUP($J1847,APOIO!$H:$J,3,FALSE))</f>
        <v/>
      </c>
      <c r="M1847" s="31"/>
      <c r="N1847" s="34"/>
      <c r="O1847" s="32"/>
      <c r="P1847" s="32"/>
      <c r="Q1847" s="32"/>
      <c r="R1847" s="32"/>
      <c r="S1847" s="35"/>
      <c r="T1847" s="91"/>
      <c r="U1847" s="60"/>
      <c r="V1847" s="36"/>
      <c r="W1847" s="31"/>
      <c r="X1847" s="59"/>
      <c r="Y1847" s="59" t="str">
        <f>IFERROR(VLOOKUP($A1847,APOIO!$A:$A,1,FALSE),"ERRO")</f>
        <v>ERRO</v>
      </c>
      <c r="Z1847"/>
    </row>
    <row r="1848" spans="1:26" ht="15" x14ac:dyDescent="0.25">
      <c r="A1848" s="94"/>
      <c r="B1848" s="32" t="str">
        <f>IF($A1848="","",VLOOKUP($A1848,APOIO!$A:$E,2,FALSE))</f>
        <v/>
      </c>
      <c r="C1848" s="94"/>
      <c r="D1848" s="32" t="str">
        <f>IF($A1848="","",INDEX(APOIO!$D:$D,MATCH(CONCATENATE($A1848,"_",$B1848,"_",$C1848),APOIO!$F:$F,0)))</f>
        <v/>
      </c>
      <c r="E1848" s="31"/>
      <c r="F1848" s="31"/>
      <c r="G1848" s="33"/>
      <c r="H1848" s="105"/>
      <c r="I1848" s="32" t="str">
        <f>IF($A1848="","",VLOOKUP($H1848,APOIO!$L:$M,2,FALSE))</f>
        <v/>
      </c>
      <c r="J1848" s="31"/>
      <c r="K1848" s="32" t="str">
        <f>IF($A1848="","",VLOOKUP($J1848,APOIO!$H:$J,2,FALSE))</f>
        <v/>
      </c>
      <c r="L1848" s="32" t="str">
        <f>IF($A1848="","",VLOOKUP($J1848,APOIO!$H:$J,3,FALSE))</f>
        <v/>
      </c>
      <c r="M1848" s="31"/>
      <c r="N1848" s="34"/>
      <c r="O1848" s="32"/>
      <c r="P1848" s="32"/>
      <c r="Q1848" s="32"/>
      <c r="R1848" s="32"/>
      <c r="S1848" s="35"/>
      <c r="T1848" s="91"/>
      <c r="U1848" s="60"/>
      <c r="V1848" s="36"/>
      <c r="W1848" s="31"/>
      <c r="X1848" s="59"/>
      <c r="Y1848" s="59" t="str">
        <f>IFERROR(VLOOKUP($A1848,APOIO!$A:$A,1,FALSE),"ERRO")</f>
        <v>ERRO</v>
      </c>
      <c r="Z1848"/>
    </row>
    <row r="1849" spans="1:26" ht="15" x14ac:dyDescent="0.25">
      <c r="A1849" s="94"/>
      <c r="B1849" s="32" t="str">
        <f>IF($A1849="","",VLOOKUP($A1849,APOIO!$A:$E,2,FALSE))</f>
        <v/>
      </c>
      <c r="C1849" s="94"/>
      <c r="D1849" s="32" t="str">
        <f>IF($A1849="","",INDEX(APOIO!$D:$D,MATCH(CONCATENATE($A1849,"_",$B1849,"_",$C1849),APOIO!$F:$F,0)))</f>
        <v/>
      </c>
      <c r="E1849" s="31"/>
      <c r="F1849" s="31"/>
      <c r="G1849" s="33"/>
      <c r="H1849" s="105"/>
      <c r="I1849" s="32" t="str">
        <f>IF($A1849="","",VLOOKUP($H1849,APOIO!$L:$M,2,FALSE))</f>
        <v/>
      </c>
      <c r="J1849" s="31"/>
      <c r="K1849" s="32" t="str">
        <f>IF($A1849="","",VLOOKUP($J1849,APOIO!$H:$J,2,FALSE))</f>
        <v/>
      </c>
      <c r="L1849" s="32" t="str">
        <f>IF($A1849="","",VLOOKUP($J1849,APOIO!$H:$J,3,FALSE))</f>
        <v/>
      </c>
      <c r="M1849" s="31"/>
      <c r="N1849" s="34"/>
      <c r="O1849" s="32"/>
      <c r="P1849" s="32"/>
      <c r="Q1849" s="32"/>
      <c r="R1849" s="32"/>
      <c r="S1849" s="35"/>
      <c r="T1849" s="91"/>
      <c r="U1849" s="60"/>
      <c r="V1849" s="36"/>
      <c r="W1849" s="31"/>
      <c r="X1849" s="59"/>
      <c r="Y1849" s="59" t="str">
        <f>IFERROR(VLOOKUP($A1849,APOIO!$A:$A,1,FALSE),"ERRO")</f>
        <v>ERRO</v>
      </c>
      <c r="Z1849"/>
    </row>
    <row r="1850" spans="1:26" ht="15" x14ac:dyDescent="0.25">
      <c r="A1850" s="94"/>
      <c r="B1850" s="32" t="str">
        <f>IF($A1850="","",VLOOKUP($A1850,APOIO!$A:$E,2,FALSE))</f>
        <v/>
      </c>
      <c r="C1850" s="94"/>
      <c r="D1850" s="32" t="str">
        <f>IF($A1850="","",INDEX(APOIO!$D:$D,MATCH(CONCATENATE($A1850,"_",$B1850,"_",$C1850),APOIO!$F:$F,0)))</f>
        <v/>
      </c>
      <c r="E1850" s="31"/>
      <c r="F1850" s="31"/>
      <c r="G1850" s="33"/>
      <c r="H1850" s="105"/>
      <c r="I1850" s="32" t="str">
        <f>IF($A1850="","",VLOOKUP($H1850,APOIO!$L:$M,2,FALSE))</f>
        <v/>
      </c>
      <c r="J1850" s="31"/>
      <c r="K1850" s="32" t="str">
        <f>IF($A1850="","",VLOOKUP($J1850,APOIO!$H:$J,2,FALSE))</f>
        <v/>
      </c>
      <c r="L1850" s="32" t="str">
        <f>IF($A1850="","",VLOOKUP($J1850,APOIO!$H:$J,3,FALSE))</f>
        <v/>
      </c>
      <c r="M1850" s="31"/>
      <c r="N1850" s="34"/>
      <c r="O1850" s="32"/>
      <c r="P1850" s="32"/>
      <c r="Q1850" s="32"/>
      <c r="R1850" s="32"/>
      <c r="S1850" s="35"/>
      <c r="T1850" s="91"/>
      <c r="U1850" s="60"/>
      <c r="V1850" s="36"/>
      <c r="W1850" s="31"/>
      <c r="X1850" s="59"/>
      <c r="Y1850" s="59" t="str">
        <f>IFERROR(VLOOKUP($A1850,APOIO!$A:$A,1,FALSE),"ERRO")</f>
        <v>ERRO</v>
      </c>
      <c r="Z1850"/>
    </row>
    <row r="1851" spans="1:26" ht="15" x14ac:dyDescent="0.25">
      <c r="A1851" s="94"/>
      <c r="B1851" s="32" t="str">
        <f>IF($A1851="","",VLOOKUP($A1851,APOIO!$A:$E,2,FALSE))</f>
        <v/>
      </c>
      <c r="C1851" s="94"/>
      <c r="D1851" s="32" t="str">
        <f>IF($A1851="","",INDEX(APOIO!$D:$D,MATCH(CONCATENATE($A1851,"_",$B1851,"_",$C1851),APOIO!$F:$F,0)))</f>
        <v/>
      </c>
      <c r="E1851" s="31"/>
      <c r="F1851" s="31"/>
      <c r="G1851" s="33"/>
      <c r="H1851" s="105"/>
      <c r="I1851" s="32" t="str">
        <f>IF($A1851="","",VLOOKUP($H1851,APOIO!$L:$M,2,FALSE))</f>
        <v/>
      </c>
      <c r="J1851" s="31"/>
      <c r="K1851" s="32" t="str">
        <f>IF($A1851="","",VLOOKUP($J1851,APOIO!$H:$J,2,FALSE))</f>
        <v/>
      </c>
      <c r="L1851" s="32" t="str">
        <f>IF($A1851="","",VLOOKUP($J1851,APOIO!$H:$J,3,FALSE))</f>
        <v/>
      </c>
      <c r="M1851" s="31"/>
      <c r="N1851" s="34"/>
      <c r="O1851" s="32"/>
      <c r="P1851" s="32"/>
      <c r="Q1851" s="32"/>
      <c r="R1851" s="32"/>
      <c r="S1851" s="35"/>
      <c r="T1851" s="91"/>
      <c r="U1851" s="60"/>
      <c r="V1851" s="36"/>
      <c r="W1851" s="31"/>
      <c r="X1851" s="59"/>
      <c r="Y1851" s="59" t="str">
        <f>IFERROR(VLOOKUP($A1851,APOIO!$A:$A,1,FALSE),"ERRO")</f>
        <v>ERRO</v>
      </c>
      <c r="Z1851"/>
    </row>
    <row r="1852" spans="1:26" ht="15" x14ac:dyDescent="0.25">
      <c r="A1852" s="94"/>
      <c r="B1852" s="32" t="str">
        <f>IF($A1852="","",VLOOKUP($A1852,APOIO!$A:$E,2,FALSE))</f>
        <v/>
      </c>
      <c r="C1852" s="94"/>
      <c r="D1852" s="32" t="str">
        <f>IF($A1852="","",INDEX(APOIO!$D:$D,MATCH(CONCATENATE($A1852,"_",$B1852,"_",$C1852),APOIO!$F:$F,0)))</f>
        <v/>
      </c>
      <c r="E1852" s="31"/>
      <c r="F1852" s="31"/>
      <c r="G1852" s="33"/>
      <c r="H1852" s="105"/>
      <c r="I1852" s="32" t="str">
        <f>IF($A1852="","",VLOOKUP($H1852,APOIO!$L:$M,2,FALSE))</f>
        <v/>
      </c>
      <c r="J1852" s="31"/>
      <c r="K1852" s="32" t="str">
        <f>IF($A1852="","",VLOOKUP($J1852,APOIO!$H:$J,2,FALSE))</f>
        <v/>
      </c>
      <c r="L1852" s="32" t="str">
        <f>IF($A1852="","",VLOOKUP($J1852,APOIO!$H:$J,3,FALSE))</f>
        <v/>
      </c>
      <c r="M1852" s="31"/>
      <c r="N1852" s="34"/>
      <c r="O1852" s="32"/>
      <c r="P1852" s="32"/>
      <c r="Q1852" s="32"/>
      <c r="R1852" s="32"/>
      <c r="S1852" s="35"/>
      <c r="T1852" s="91"/>
      <c r="U1852" s="60"/>
      <c r="V1852" s="36"/>
      <c r="W1852" s="31"/>
      <c r="X1852" s="59"/>
      <c r="Y1852" s="59" t="str">
        <f>IFERROR(VLOOKUP($A1852,APOIO!$A:$A,1,FALSE),"ERRO")</f>
        <v>ERRO</v>
      </c>
      <c r="Z1852"/>
    </row>
    <row r="1853" spans="1:26" ht="15" x14ac:dyDescent="0.25">
      <c r="A1853" s="94"/>
      <c r="B1853" s="32" t="str">
        <f>IF($A1853="","",VLOOKUP($A1853,APOIO!$A:$E,2,FALSE))</f>
        <v/>
      </c>
      <c r="C1853" s="94"/>
      <c r="D1853" s="32" t="str">
        <f>IF($A1853="","",INDEX(APOIO!$D:$D,MATCH(CONCATENATE($A1853,"_",$B1853,"_",$C1853),APOIO!$F:$F,0)))</f>
        <v/>
      </c>
      <c r="E1853" s="31"/>
      <c r="F1853" s="31"/>
      <c r="G1853" s="33"/>
      <c r="H1853" s="105"/>
      <c r="I1853" s="32" t="str">
        <f>IF($A1853="","",VLOOKUP($H1853,APOIO!$L:$M,2,FALSE))</f>
        <v/>
      </c>
      <c r="J1853" s="31"/>
      <c r="K1853" s="32" t="str">
        <f>IF($A1853="","",VLOOKUP($J1853,APOIO!$H:$J,2,FALSE))</f>
        <v/>
      </c>
      <c r="L1853" s="32" t="str">
        <f>IF($A1853="","",VLOOKUP($J1853,APOIO!$H:$J,3,FALSE))</f>
        <v/>
      </c>
      <c r="M1853" s="31"/>
      <c r="N1853" s="34"/>
      <c r="O1853" s="32"/>
      <c r="P1853" s="32"/>
      <c r="Q1853" s="32"/>
      <c r="R1853" s="32"/>
      <c r="S1853" s="35"/>
      <c r="T1853" s="91"/>
      <c r="U1853" s="60"/>
      <c r="V1853" s="36"/>
      <c r="W1853" s="31"/>
      <c r="X1853" s="59"/>
      <c r="Y1853" s="59" t="str">
        <f>IFERROR(VLOOKUP($A1853,APOIO!$A:$A,1,FALSE),"ERRO")</f>
        <v>ERRO</v>
      </c>
      <c r="Z1853"/>
    </row>
    <row r="1854" spans="1:26" ht="15" x14ac:dyDescent="0.25">
      <c r="A1854" s="94"/>
      <c r="B1854" s="32" t="str">
        <f>IF($A1854="","",VLOOKUP($A1854,APOIO!$A:$E,2,FALSE))</f>
        <v/>
      </c>
      <c r="C1854" s="94"/>
      <c r="D1854" s="32" t="str">
        <f>IF($A1854="","",INDEX(APOIO!$D:$D,MATCH(CONCATENATE($A1854,"_",$B1854,"_",$C1854),APOIO!$F:$F,0)))</f>
        <v/>
      </c>
      <c r="E1854" s="31"/>
      <c r="F1854" s="31"/>
      <c r="G1854" s="33"/>
      <c r="H1854" s="105"/>
      <c r="I1854" s="32" t="str">
        <f>IF($A1854="","",VLOOKUP($H1854,APOIO!$L:$M,2,FALSE))</f>
        <v/>
      </c>
      <c r="J1854" s="31"/>
      <c r="K1854" s="32" t="str">
        <f>IF($A1854="","",VLOOKUP($J1854,APOIO!$H:$J,2,FALSE))</f>
        <v/>
      </c>
      <c r="L1854" s="32" t="str">
        <f>IF($A1854="","",VLOOKUP($J1854,APOIO!$H:$J,3,FALSE))</f>
        <v/>
      </c>
      <c r="M1854" s="31"/>
      <c r="N1854" s="34"/>
      <c r="O1854" s="32"/>
      <c r="P1854" s="32"/>
      <c r="Q1854" s="32"/>
      <c r="R1854" s="32"/>
      <c r="S1854" s="35"/>
      <c r="T1854" s="91"/>
      <c r="U1854" s="60"/>
      <c r="V1854" s="36"/>
      <c r="W1854" s="31"/>
      <c r="X1854" s="59"/>
      <c r="Y1854" s="59" t="str">
        <f>IFERROR(VLOOKUP($A1854,APOIO!$A:$A,1,FALSE),"ERRO")</f>
        <v>ERRO</v>
      </c>
      <c r="Z1854"/>
    </row>
    <row r="1855" spans="1:26" ht="15" x14ac:dyDescent="0.25">
      <c r="A1855" s="94"/>
      <c r="B1855" s="32" t="str">
        <f>IF($A1855="","",VLOOKUP($A1855,APOIO!$A:$E,2,FALSE))</f>
        <v/>
      </c>
      <c r="C1855" s="94"/>
      <c r="D1855" s="32" t="str">
        <f>IF($A1855="","",INDEX(APOIO!$D:$D,MATCH(CONCATENATE($A1855,"_",$B1855,"_",$C1855),APOIO!$F:$F,0)))</f>
        <v/>
      </c>
      <c r="E1855" s="31"/>
      <c r="F1855" s="31"/>
      <c r="G1855" s="33"/>
      <c r="H1855" s="105"/>
      <c r="I1855" s="32" t="str">
        <f>IF($A1855="","",VLOOKUP($H1855,APOIO!$L:$M,2,FALSE))</f>
        <v/>
      </c>
      <c r="J1855" s="31"/>
      <c r="K1855" s="32" t="str">
        <f>IF($A1855="","",VLOOKUP($J1855,APOIO!$H:$J,2,FALSE))</f>
        <v/>
      </c>
      <c r="L1855" s="32" t="str">
        <f>IF($A1855="","",VLOOKUP($J1855,APOIO!$H:$J,3,FALSE))</f>
        <v/>
      </c>
      <c r="M1855" s="31"/>
      <c r="N1855" s="34"/>
      <c r="O1855" s="32"/>
      <c r="P1855" s="32"/>
      <c r="Q1855" s="32"/>
      <c r="R1855" s="32"/>
      <c r="S1855" s="35"/>
      <c r="T1855" s="91"/>
      <c r="U1855" s="60"/>
      <c r="V1855" s="36"/>
      <c r="W1855" s="31"/>
      <c r="X1855" s="59"/>
      <c r="Y1855" s="59" t="str">
        <f>IFERROR(VLOOKUP($A1855,APOIO!$A:$A,1,FALSE),"ERRO")</f>
        <v>ERRO</v>
      </c>
      <c r="Z1855"/>
    </row>
    <row r="1856" spans="1:26" ht="15" x14ac:dyDescent="0.25">
      <c r="A1856" s="94"/>
      <c r="B1856" s="32" t="str">
        <f>IF($A1856="","",VLOOKUP($A1856,APOIO!$A:$E,2,FALSE))</f>
        <v/>
      </c>
      <c r="C1856" s="94"/>
      <c r="D1856" s="32" t="str">
        <f>IF($A1856="","",INDEX(APOIO!$D:$D,MATCH(CONCATENATE($A1856,"_",$B1856,"_",$C1856),APOIO!$F:$F,0)))</f>
        <v/>
      </c>
      <c r="E1856" s="31"/>
      <c r="F1856" s="31"/>
      <c r="G1856" s="33"/>
      <c r="H1856" s="105"/>
      <c r="I1856" s="32" t="str">
        <f>IF($A1856="","",VLOOKUP($H1856,APOIO!$L:$M,2,FALSE))</f>
        <v/>
      </c>
      <c r="J1856" s="31"/>
      <c r="K1856" s="32" t="str">
        <f>IF($A1856="","",VLOOKUP($J1856,APOIO!$H:$J,2,FALSE))</f>
        <v/>
      </c>
      <c r="L1856" s="32" t="str">
        <f>IF($A1856="","",VLOOKUP($J1856,APOIO!$H:$J,3,FALSE))</f>
        <v/>
      </c>
      <c r="M1856" s="31"/>
      <c r="N1856" s="34"/>
      <c r="O1856" s="32"/>
      <c r="P1856" s="32"/>
      <c r="Q1856" s="32"/>
      <c r="R1856" s="32"/>
      <c r="S1856" s="35"/>
      <c r="T1856" s="91"/>
      <c r="U1856" s="60"/>
      <c r="V1856" s="36"/>
      <c r="W1856" s="31"/>
      <c r="X1856" s="59"/>
      <c r="Y1856" s="59" t="str">
        <f>IFERROR(VLOOKUP($A1856,APOIO!$A:$A,1,FALSE),"ERRO")</f>
        <v>ERRO</v>
      </c>
      <c r="Z1856"/>
    </row>
    <row r="1857" spans="1:26" ht="15" x14ac:dyDescent="0.25">
      <c r="A1857" s="94"/>
      <c r="B1857" s="32" t="str">
        <f>IF($A1857="","",VLOOKUP($A1857,APOIO!$A:$E,2,FALSE))</f>
        <v/>
      </c>
      <c r="C1857" s="94"/>
      <c r="D1857" s="32" t="str">
        <f>IF($A1857="","",INDEX(APOIO!$D:$D,MATCH(CONCATENATE($A1857,"_",$B1857,"_",$C1857),APOIO!$F:$F,0)))</f>
        <v/>
      </c>
      <c r="E1857" s="31"/>
      <c r="F1857" s="31"/>
      <c r="G1857" s="33"/>
      <c r="H1857" s="105"/>
      <c r="I1857" s="32" t="str">
        <f>IF($A1857="","",VLOOKUP($H1857,APOIO!$L:$M,2,FALSE))</f>
        <v/>
      </c>
      <c r="J1857" s="31"/>
      <c r="K1857" s="32" t="str">
        <f>IF($A1857="","",VLOOKUP($J1857,APOIO!$H:$J,2,FALSE))</f>
        <v/>
      </c>
      <c r="L1857" s="32" t="str">
        <f>IF($A1857="","",VLOOKUP($J1857,APOIO!$H:$J,3,FALSE))</f>
        <v/>
      </c>
      <c r="M1857" s="31"/>
      <c r="N1857" s="34"/>
      <c r="O1857" s="32"/>
      <c r="P1857" s="32"/>
      <c r="Q1857" s="32"/>
      <c r="R1857" s="32"/>
      <c r="S1857" s="35"/>
      <c r="T1857" s="91"/>
      <c r="U1857" s="60"/>
      <c r="V1857" s="36"/>
      <c r="W1857" s="31"/>
      <c r="X1857" s="59"/>
      <c r="Y1857" s="59" t="str">
        <f>IFERROR(VLOOKUP($A1857,APOIO!$A:$A,1,FALSE),"ERRO")</f>
        <v>ERRO</v>
      </c>
      <c r="Z1857"/>
    </row>
    <row r="1858" spans="1:26" ht="15" x14ac:dyDescent="0.25">
      <c r="A1858" s="94"/>
      <c r="B1858" s="32" t="str">
        <f>IF($A1858="","",VLOOKUP($A1858,APOIO!$A:$E,2,FALSE))</f>
        <v/>
      </c>
      <c r="C1858" s="94"/>
      <c r="D1858" s="32" t="str">
        <f>IF($A1858="","",INDEX(APOIO!$D:$D,MATCH(CONCATENATE($A1858,"_",$B1858,"_",$C1858),APOIO!$F:$F,0)))</f>
        <v/>
      </c>
      <c r="E1858" s="31"/>
      <c r="F1858" s="31"/>
      <c r="G1858" s="33"/>
      <c r="H1858" s="105"/>
      <c r="I1858" s="32" t="str">
        <f>IF($A1858="","",VLOOKUP($H1858,APOIO!$L:$M,2,FALSE))</f>
        <v/>
      </c>
      <c r="J1858" s="31"/>
      <c r="K1858" s="32" t="str">
        <f>IF($A1858="","",VLOOKUP($J1858,APOIO!$H:$J,2,FALSE))</f>
        <v/>
      </c>
      <c r="L1858" s="32" t="str">
        <f>IF($A1858="","",VLOOKUP($J1858,APOIO!$H:$J,3,FALSE))</f>
        <v/>
      </c>
      <c r="M1858" s="31"/>
      <c r="N1858" s="34"/>
      <c r="O1858" s="32"/>
      <c r="P1858" s="32"/>
      <c r="Q1858" s="32"/>
      <c r="R1858" s="32"/>
      <c r="S1858" s="35"/>
      <c r="T1858" s="91"/>
      <c r="U1858" s="60"/>
      <c r="V1858" s="36"/>
      <c r="W1858" s="31"/>
      <c r="X1858" s="59"/>
      <c r="Y1858" s="59" t="str">
        <f>IFERROR(VLOOKUP($A1858,APOIO!$A:$A,1,FALSE),"ERRO")</f>
        <v>ERRO</v>
      </c>
      <c r="Z1858"/>
    </row>
    <row r="1859" spans="1:26" ht="15" x14ac:dyDescent="0.25">
      <c r="A1859" s="94"/>
      <c r="B1859" s="32" t="str">
        <f>IF($A1859="","",VLOOKUP($A1859,APOIO!$A:$E,2,FALSE))</f>
        <v/>
      </c>
      <c r="C1859" s="94"/>
      <c r="D1859" s="32" t="str">
        <f>IF($A1859="","",INDEX(APOIO!$D:$D,MATCH(CONCATENATE($A1859,"_",$B1859,"_",$C1859),APOIO!$F:$F,0)))</f>
        <v/>
      </c>
      <c r="E1859" s="31"/>
      <c r="F1859" s="31"/>
      <c r="G1859" s="33"/>
      <c r="H1859" s="105"/>
      <c r="I1859" s="32" t="str">
        <f>IF($A1859="","",VLOOKUP($H1859,APOIO!$L:$M,2,FALSE))</f>
        <v/>
      </c>
      <c r="J1859" s="31"/>
      <c r="K1859" s="32" t="str">
        <f>IF($A1859="","",VLOOKUP($J1859,APOIO!$H:$J,2,FALSE))</f>
        <v/>
      </c>
      <c r="L1859" s="32" t="str">
        <f>IF($A1859="","",VLOOKUP($J1859,APOIO!$H:$J,3,FALSE))</f>
        <v/>
      </c>
      <c r="M1859" s="31"/>
      <c r="N1859" s="34"/>
      <c r="O1859" s="32"/>
      <c r="P1859" s="32"/>
      <c r="Q1859" s="32"/>
      <c r="R1859" s="32"/>
      <c r="S1859" s="35"/>
      <c r="T1859" s="91"/>
      <c r="U1859" s="60"/>
      <c r="V1859" s="36"/>
      <c r="W1859" s="31"/>
      <c r="X1859" s="59"/>
      <c r="Y1859" s="59" t="str">
        <f>IFERROR(VLOOKUP($A1859,APOIO!$A:$A,1,FALSE),"ERRO")</f>
        <v>ERRO</v>
      </c>
      <c r="Z1859"/>
    </row>
    <row r="1860" spans="1:26" ht="15" x14ac:dyDescent="0.25">
      <c r="A1860" s="94"/>
      <c r="B1860" s="32" t="str">
        <f>IF($A1860="","",VLOOKUP($A1860,APOIO!$A:$E,2,FALSE))</f>
        <v/>
      </c>
      <c r="C1860" s="94"/>
      <c r="D1860" s="32" t="str">
        <f>IF($A1860="","",INDEX(APOIO!$D:$D,MATCH(CONCATENATE($A1860,"_",$B1860,"_",$C1860),APOIO!$F:$F,0)))</f>
        <v/>
      </c>
      <c r="E1860" s="31"/>
      <c r="F1860" s="31"/>
      <c r="G1860" s="33"/>
      <c r="H1860" s="105"/>
      <c r="I1860" s="32" t="str">
        <f>IF($A1860="","",VLOOKUP($H1860,APOIO!$L:$M,2,FALSE))</f>
        <v/>
      </c>
      <c r="J1860" s="31"/>
      <c r="K1860" s="32" t="str">
        <f>IF($A1860="","",VLOOKUP($J1860,APOIO!$H:$J,2,FALSE))</f>
        <v/>
      </c>
      <c r="L1860" s="32" t="str">
        <f>IF($A1860="","",VLOOKUP($J1860,APOIO!$H:$J,3,FALSE))</f>
        <v/>
      </c>
      <c r="M1860" s="31"/>
      <c r="N1860" s="34"/>
      <c r="O1860" s="32"/>
      <c r="P1860" s="32"/>
      <c r="Q1860" s="32"/>
      <c r="R1860" s="32"/>
      <c r="S1860" s="35"/>
      <c r="T1860" s="91"/>
      <c r="U1860" s="60"/>
      <c r="V1860" s="36"/>
      <c r="W1860" s="31"/>
      <c r="X1860" s="59"/>
      <c r="Y1860" s="59" t="str">
        <f>IFERROR(VLOOKUP($A1860,APOIO!$A:$A,1,FALSE),"ERRO")</f>
        <v>ERRO</v>
      </c>
      <c r="Z1860"/>
    </row>
    <row r="1861" spans="1:26" ht="15" x14ac:dyDescent="0.25">
      <c r="A1861" s="94"/>
      <c r="B1861" s="32" t="str">
        <f>IF($A1861="","",VLOOKUP($A1861,APOIO!$A:$E,2,FALSE))</f>
        <v/>
      </c>
      <c r="C1861" s="94"/>
      <c r="D1861" s="32" t="str">
        <f>IF($A1861="","",INDEX(APOIO!$D:$D,MATCH(CONCATENATE($A1861,"_",$B1861,"_",$C1861),APOIO!$F:$F,0)))</f>
        <v/>
      </c>
      <c r="E1861" s="31"/>
      <c r="F1861" s="31"/>
      <c r="G1861" s="33"/>
      <c r="H1861" s="105"/>
      <c r="I1861" s="32" t="str">
        <f>IF($A1861="","",VLOOKUP($H1861,APOIO!$L:$M,2,FALSE))</f>
        <v/>
      </c>
      <c r="J1861" s="31"/>
      <c r="K1861" s="32" t="str">
        <f>IF($A1861="","",VLOOKUP($J1861,APOIO!$H:$J,2,FALSE))</f>
        <v/>
      </c>
      <c r="L1861" s="32" t="str">
        <f>IF($A1861="","",VLOOKUP($J1861,APOIO!$H:$J,3,FALSE))</f>
        <v/>
      </c>
      <c r="M1861" s="31"/>
      <c r="N1861" s="34"/>
      <c r="O1861" s="32"/>
      <c r="P1861" s="32"/>
      <c r="Q1861" s="32"/>
      <c r="R1861" s="32"/>
      <c r="S1861" s="35"/>
      <c r="T1861" s="91"/>
      <c r="U1861" s="60"/>
      <c r="V1861" s="36"/>
      <c r="W1861" s="31"/>
      <c r="X1861" s="59"/>
      <c r="Y1861" s="59" t="str">
        <f>IFERROR(VLOOKUP($A1861,APOIO!$A:$A,1,FALSE),"ERRO")</f>
        <v>ERRO</v>
      </c>
      <c r="Z1861"/>
    </row>
    <row r="1862" spans="1:26" ht="15" x14ac:dyDescent="0.25">
      <c r="A1862" s="94"/>
      <c r="B1862" s="32" t="str">
        <f>IF($A1862="","",VLOOKUP($A1862,APOIO!$A:$E,2,FALSE))</f>
        <v/>
      </c>
      <c r="C1862" s="94"/>
      <c r="D1862" s="32" t="str">
        <f>IF($A1862="","",INDEX(APOIO!$D:$D,MATCH(CONCATENATE($A1862,"_",$B1862,"_",$C1862),APOIO!$F:$F,0)))</f>
        <v/>
      </c>
      <c r="E1862" s="31"/>
      <c r="F1862" s="31"/>
      <c r="G1862" s="33"/>
      <c r="H1862" s="105"/>
      <c r="I1862" s="32" t="str">
        <f>IF($A1862="","",VLOOKUP($H1862,APOIO!$L:$M,2,FALSE))</f>
        <v/>
      </c>
      <c r="J1862" s="31"/>
      <c r="K1862" s="32" t="str">
        <f>IF($A1862="","",VLOOKUP($J1862,APOIO!$H:$J,2,FALSE))</f>
        <v/>
      </c>
      <c r="L1862" s="32" t="str">
        <f>IF($A1862="","",VLOOKUP($J1862,APOIO!$H:$J,3,FALSE))</f>
        <v/>
      </c>
      <c r="M1862" s="31"/>
      <c r="N1862" s="34"/>
      <c r="O1862" s="32"/>
      <c r="P1862" s="32"/>
      <c r="Q1862" s="32"/>
      <c r="R1862" s="32"/>
      <c r="S1862" s="35"/>
      <c r="T1862" s="91"/>
      <c r="U1862" s="60"/>
      <c r="V1862" s="36"/>
      <c r="W1862" s="31"/>
      <c r="X1862" s="59"/>
      <c r="Y1862" s="59" t="str">
        <f>IFERROR(VLOOKUP($A1862,APOIO!$A:$A,1,FALSE),"ERRO")</f>
        <v>ERRO</v>
      </c>
      <c r="Z1862"/>
    </row>
    <row r="1863" spans="1:26" ht="15" x14ac:dyDescent="0.25">
      <c r="A1863" s="94"/>
      <c r="B1863" s="32" t="str">
        <f>IF($A1863="","",VLOOKUP($A1863,APOIO!$A:$E,2,FALSE))</f>
        <v/>
      </c>
      <c r="C1863" s="94"/>
      <c r="D1863" s="32" t="str">
        <f>IF($A1863="","",INDEX(APOIO!$D:$D,MATCH(CONCATENATE($A1863,"_",$B1863,"_",$C1863),APOIO!$F:$F,0)))</f>
        <v/>
      </c>
      <c r="E1863" s="31"/>
      <c r="F1863" s="31"/>
      <c r="G1863" s="33"/>
      <c r="H1863" s="105"/>
      <c r="I1863" s="32" t="str">
        <f>IF($A1863="","",VLOOKUP($H1863,APOIO!$L:$M,2,FALSE))</f>
        <v/>
      </c>
      <c r="J1863" s="31"/>
      <c r="K1863" s="32" t="str">
        <f>IF($A1863="","",VLOOKUP($J1863,APOIO!$H:$J,2,FALSE))</f>
        <v/>
      </c>
      <c r="L1863" s="32" t="str">
        <f>IF($A1863="","",VLOOKUP($J1863,APOIO!$H:$J,3,FALSE))</f>
        <v/>
      </c>
      <c r="M1863" s="31"/>
      <c r="N1863" s="34"/>
      <c r="O1863" s="32"/>
      <c r="P1863" s="32"/>
      <c r="Q1863" s="32"/>
      <c r="R1863" s="32"/>
      <c r="S1863" s="35"/>
      <c r="T1863" s="91"/>
      <c r="U1863" s="60"/>
      <c r="V1863" s="36"/>
      <c r="W1863" s="31"/>
      <c r="X1863" s="59"/>
      <c r="Y1863" s="59" t="str">
        <f>IFERROR(VLOOKUP($A1863,APOIO!$A:$A,1,FALSE),"ERRO")</f>
        <v>ERRO</v>
      </c>
      <c r="Z1863"/>
    </row>
    <row r="1864" spans="1:26" ht="15" x14ac:dyDescent="0.25">
      <c r="A1864" s="94"/>
      <c r="B1864" s="32" t="str">
        <f>IF($A1864="","",VLOOKUP($A1864,APOIO!$A:$E,2,FALSE))</f>
        <v/>
      </c>
      <c r="C1864" s="94"/>
      <c r="D1864" s="32" t="str">
        <f>IF($A1864="","",INDEX(APOIO!$D:$D,MATCH(CONCATENATE($A1864,"_",$B1864,"_",$C1864),APOIO!$F:$F,0)))</f>
        <v/>
      </c>
      <c r="E1864" s="31"/>
      <c r="F1864" s="31"/>
      <c r="G1864" s="33"/>
      <c r="H1864" s="105"/>
      <c r="I1864" s="32" t="str">
        <f>IF($A1864="","",VLOOKUP($H1864,APOIO!$L:$M,2,FALSE))</f>
        <v/>
      </c>
      <c r="J1864" s="31"/>
      <c r="K1864" s="32" t="str">
        <f>IF($A1864="","",VLOOKUP($J1864,APOIO!$H:$J,2,FALSE))</f>
        <v/>
      </c>
      <c r="L1864" s="32" t="str">
        <f>IF($A1864="","",VLOOKUP($J1864,APOIO!$H:$J,3,FALSE))</f>
        <v/>
      </c>
      <c r="M1864" s="31"/>
      <c r="N1864" s="34"/>
      <c r="O1864" s="32"/>
      <c r="P1864" s="32"/>
      <c r="Q1864" s="32"/>
      <c r="R1864" s="32"/>
      <c r="S1864" s="35"/>
      <c r="T1864" s="91"/>
      <c r="U1864" s="60"/>
      <c r="V1864" s="36"/>
      <c r="W1864" s="31"/>
      <c r="X1864" s="59"/>
      <c r="Y1864" s="59" t="str">
        <f>IFERROR(VLOOKUP($A1864,APOIO!$A:$A,1,FALSE),"ERRO")</f>
        <v>ERRO</v>
      </c>
      <c r="Z1864"/>
    </row>
    <row r="1865" spans="1:26" ht="15" x14ac:dyDescent="0.25">
      <c r="A1865" s="94"/>
      <c r="B1865" s="32" t="str">
        <f>IF($A1865="","",VLOOKUP($A1865,APOIO!$A:$E,2,FALSE))</f>
        <v/>
      </c>
      <c r="C1865" s="94"/>
      <c r="D1865" s="32" t="str">
        <f>IF($A1865="","",INDEX(APOIO!$D:$D,MATCH(CONCATENATE($A1865,"_",$B1865,"_",$C1865),APOIO!$F:$F,0)))</f>
        <v/>
      </c>
      <c r="E1865" s="31"/>
      <c r="F1865" s="31"/>
      <c r="G1865" s="33"/>
      <c r="H1865" s="105"/>
      <c r="I1865" s="32" t="str">
        <f>IF($A1865="","",VLOOKUP($H1865,APOIO!$L:$M,2,FALSE))</f>
        <v/>
      </c>
      <c r="J1865" s="31"/>
      <c r="K1865" s="32" t="str">
        <f>IF($A1865="","",VLOOKUP($J1865,APOIO!$H:$J,2,FALSE))</f>
        <v/>
      </c>
      <c r="L1865" s="32" t="str">
        <f>IF($A1865="","",VLOOKUP($J1865,APOIO!$H:$J,3,FALSE))</f>
        <v/>
      </c>
      <c r="M1865" s="31"/>
      <c r="N1865" s="34"/>
      <c r="O1865" s="32"/>
      <c r="P1865" s="32"/>
      <c r="Q1865" s="32"/>
      <c r="R1865" s="32"/>
      <c r="S1865" s="35"/>
      <c r="T1865" s="91"/>
      <c r="U1865" s="60"/>
      <c r="V1865" s="36"/>
      <c r="W1865" s="31"/>
      <c r="X1865" s="59"/>
      <c r="Y1865" s="59" t="str">
        <f>IFERROR(VLOOKUP($A1865,APOIO!$A:$A,1,FALSE),"ERRO")</f>
        <v>ERRO</v>
      </c>
      <c r="Z1865"/>
    </row>
    <row r="1866" spans="1:26" ht="15" x14ac:dyDescent="0.25">
      <c r="A1866" s="94"/>
      <c r="B1866" s="32" t="str">
        <f>IF($A1866="","",VLOOKUP($A1866,APOIO!$A:$E,2,FALSE))</f>
        <v/>
      </c>
      <c r="C1866" s="94"/>
      <c r="D1866" s="32" t="str">
        <f>IF($A1866="","",INDEX(APOIO!$D:$D,MATCH(CONCATENATE($A1866,"_",$B1866,"_",$C1866),APOIO!$F:$F,0)))</f>
        <v/>
      </c>
      <c r="E1866" s="31"/>
      <c r="F1866" s="31"/>
      <c r="G1866" s="33"/>
      <c r="H1866" s="105"/>
      <c r="I1866" s="32" t="str">
        <f>IF($A1866="","",VLOOKUP($H1866,APOIO!$L:$M,2,FALSE))</f>
        <v/>
      </c>
      <c r="J1866" s="31"/>
      <c r="K1866" s="32" t="str">
        <f>IF($A1866="","",VLOOKUP($J1866,APOIO!$H:$J,2,FALSE))</f>
        <v/>
      </c>
      <c r="L1866" s="32" t="str">
        <f>IF($A1866="","",VLOOKUP($J1866,APOIO!$H:$J,3,FALSE))</f>
        <v/>
      </c>
      <c r="M1866" s="31"/>
      <c r="N1866" s="34"/>
      <c r="O1866" s="32"/>
      <c r="P1866" s="32"/>
      <c r="Q1866" s="32"/>
      <c r="R1866" s="32"/>
      <c r="S1866" s="35"/>
      <c r="T1866" s="91"/>
      <c r="U1866" s="60"/>
      <c r="V1866" s="36"/>
      <c r="W1866" s="31"/>
      <c r="X1866" s="59"/>
      <c r="Y1866" s="59" t="str">
        <f>IFERROR(VLOOKUP($A1866,APOIO!$A:$A,1,FALSE),"ERRO")</f>
        <v>ERRO</v>
      </c>
      <c r="Z1866"/>
    </row>
    <row r="1867" spans="1:26" ht="15" x14ac:dyDescent="0.25">
      <c r="A1867" s="94"/>
      <c r="B1867" s="32" t="str">
        <f>IF($A1867="","",VLOOKUP($A1867,APOIO!$A:$E,2,FALSE))</f>
        <v/>
      </c>
      <c r="C1867" s="94"/>
      <c r="D1867" s="32" t="str">
        <f>IF($A1867="","",INDEX(APOIO!$D:$D,MATCH(CONCATENATE($A1867,"_",$B1867,"_",$C1867),APOIO!$F:$F,0)))</f>
        <v/>
      </c>
      <c r="E1867" s="31"/>
      <c r="F1867" s="31"/>
      <c r="G1867" s="33"/>
      <c r="H1867" s="105"/>
      <c r="I1867" s="32" t="str">
        <f>IF($A1867="","",VLOOKUP($H1867,APOIO!$L:$M,2,FALSE))</f>
        <v/>
      </c>
      <c r="J1867" s="31"/>
      <c r="K1867" s="32" t="str">
        <f>IF($A1867="","",VLOOKUP($J1867,APOIO!$H:$J,2,FALSE))</f>
        <v/>
      </c>
      <c r="L1867" s="32" t="str">
        <f>IF($A1867="","",VLOOKUP($J1867,APOIO!$H:$J,3,FALSE))</f>
        <v/>
      </c>
      <c r="M1867" s="31"/>
      <c r="N1867" s="34"/>
      <c r="O1867" s="32"/>
      <c r="P1867" s="32"/>
      <c r="Q1867" s="32"/>
      <c r="R1867" s="32"/>
      <c r="S1867" s="35"/>
      <c r="T1867" s="91"/>
      <c r="U1867" s="60"/>
      <c r="V1867" s="36"/>
      <c r="W1867" s="31"/>
      <c r="X1867" s="59"/>
      <c r="Y1867" s="59" t="str">
        <f>IFERROR(VLOOKUP($A1867,APOIO!$A:$A,1,FALSE),"ERRO")</f>
        <v>ERRO</v>
      </c>
      <c r="Z1867"/>
    </row>
    <row r="1868" spans="1:26" ht="15" x14ac:dyDescent="0.25">
      <c r="A1868" s="94"/>
      <c r="B1868" s="32" t="str">
        <f>IF($A1868="","",VLOOKUP($A1868,APOIO!$A:$E,2,FALSE))</f>
        <v/>
      </c>
      <c r="C1868" s="94"/>
      <c r="D1868" s="32" t="str">
        <f>IF($A1868="","",INDEX(APOIO!$D:$D,MATCH(CONCATENATE($A1868,"_",$B1868,"_",$C1868),APOIO!$F:$F,0)))</f>
        <v/>
      </c>
      <c r="E1868" s="31"/>
      <c r="F1868" s="31"/>
      <c r="G1868" s="33"/>
      <c r="H1868" s="105"/>
      <c r="I1868" s="32" t="str">
        <f>IF($A1868="","",VLOOKUP($H1868,APOIO!$L:$M,2,FALSE))</f>
        <v/>
      </c>
      <c r="J1868" s="31"/>
      <c r="K1868" s="32" t="str">
        <f>IF($A1868="","",VLOOKUP($J1868,APOIO!$H:$J,2,FALSE))</f>
        <v/>
      </c>
      <c r="L1868" s="32" t="str">
        <f>IF($A1868="","",VLOOKUP($J1868,APOIO!$H:$J,3,FALSE))</f>
        <v/>
      </c>
      <c r="M1868" s="31"/>
      <c r="N1868" s="34"/>
      <c r="O1868" s="32"/>
      <c r="P1868" s="32"/>
      <c r="Q1868" s="32"/>
      <c r="R1868" s="32"/>
      <c r="S1868" s="35"/>
      <c r="T1868" s="91"/>
      <c r="U1868" s="60"/>
      <c r="V1868" s="36"/>
      <c r="W1868" s="31"/>
      <c r="X1868" s="59"/>
      <c r="Y1868" s="59" t="str">
        <f>IFERROR(VLOOKUP($A1868,APOIO!$A:$A,1,FALSE),"ERRO")</f>
        <v>ERRO</v>
      </c>
      <c r="Z1868"/>
    </row>
    <row r="1869" spans="1:26" ht="15" x14ac:dyDescent="0.25">
      <c r="A1869" s="94"/>
      <c r="B1869" s="32" t="str">
        <f>IF($A1869="","",VLOOKUP($A1869,APOIO!$A:$E,2,FALSE))</f>
        <v/>
      </c>
      <c r="C1869" s="94"/>
      <c r="D1869" s="32" t="str">
        <f>IF($A1869="","",INDEX(APOIO!$D:$D,MATCH(CONCATENATE($A1869,"_",$B1869,"_",$C1869),APOIO!$F:$F,0)))</f>
        <v/>
      </c>
      <c r="E1869" s="31"/>
      <c r="F1869" s="31"/>
      <c r="G1869" s="33"/>
      <c r="H1869" s="105"/>
      <c r="I1869" s="32" t="str">
        <f>IF($A1869="","",VLOOKUP($H1869,APOIO!$L:$M,2,FALSE))</f>
        <v/>
      </c>
      <c r="J1869" s="31"/>
      <c r="K1869" s="32" t="str">
        <f>IF($A1869="","",VLOOKUP($J1869,APOIO!$H:$J,2,FALSE))</f>
        <v/>
      </c>
      <c r="L1869" s="32" t="str">
        <f>IF($A1869="","",VLOOKUP($J1869,APOIO!$H:$J,3,FALSE))</f>
        <v/>
      </c>
      <c r="M1869" s="31"/>
      <c r="N1869" s="34"/>
      <c r="O1869" s="32"/>
      <c r="P1869" s="32"/>
      <c r="Q1869" s="32"/>
      <c r="R1869" s="32"/>
      <c r="S1869" s="35"/>
      <c r="T1869" s="91"/>
      <c r="U1869" s="60"/>
      <c r="V1869" s="36"/>
      <c r="W1869" s="31"/>
      <c r="X1869" s="59"/>
      <c r="Y1869" s="59" t="str">
        <f>IFERROR(VLOOKUP($A1869,APOIO!$A:$A,1,FALSE),"ERRO")</f>
        <v>ERRO</v>
      </c>
      <c r="Z1869"/>
    </row>
    <row r="1870" spans="1:26" ht="15" x14ac:dyDescent="0.25">
      <c r="A1870" s="94"/>
      <c r="B1870" s="32" t="str">
        <f>IF($A1870="","",VLOOKUP($A1870,APOIO!$A:$E,2,FALSE))</f>
        <v/>
      </c>
      <c r="C1870" s="94"/>
      <c r="D1870" s="32" t="str">
        <f>IF($A1870="","",INDEX(APOIO!$D:$D,MATCH(CONCATENATE($A1870,"_",$B1870,"_",$C1870),APOIO!$F:$F,0)))</f>
        <v/>
      </c>
      <c r="E1870" s="31"/>
      <c r="F1870" s="31"/>
      <c r="G1870" s="33"/>
      <c r="H1870" s="105"/>
      <c r="I1870" s="32" t="str">
        <f>IF($A1870="","",VLOOKUP($H1870,APOIO!$L:$M,2,FALSE))</f>
        <v/>
      </c>
      <c r="J1870" s="31"/>
      <c r="K1870" s="32" t="str">
        <f>IF($A1870="","",VLOOKUP($J1870,APOIO!$H:$J,2,FALSE))</f>
        <v/>
      </c>
      <c r="L1870" s="32" t="str">
        <f>IF($A1870="","",VLOOKUP($J1870,APOIO!$H:$J,3,FALSE))</f>
        <v/>
      </c>
      <c r="M1870" s="31"/>
      <c r="N1870" s="34"/>
      <c r="O1870" s="32"/>
      <c r="P1870" s="32"/>
      <c r="Q1870" s="32"/>
      <c r="R1870" s="32"/>
      <c r="S1870" s="35"/>
      <c r="T1870" s="91"/>
      <c r="U1870" s="60"/>
      <c r="V1870" s="36"/>
      <c r="W1870" s="31"/>
      <c r="X1870" s="59"/>
      <c r="Y1870" s="59" t="str">
        <f>IFERROR(VLOOKUP($A1870,APOIO!$A:$A,1,FALSE),"ERRO")</f>
        <v>ERRO</v>
      </c>
      <c r="Z1870"/>
    </row>
    <row r="1871" spans="1:26" ht="15" x14ac:dyDescent="0.25">
      <c r="A1871" s="94"/>
      <c r="B1871" s="32" t="str">
        <f>IF($A1871="","",VLOOKUP($A1871,APOIO!$A:$E,2,FALSE))</f>
        <v/>
      </c>
      <c r="C1871" s="94"/>
      <c r="D1871" s="32" t="str">
        <f>IF($A1871="","",INDEX(APOIO!$D:$D,MATCH(CONCATENATE($A1871,"_",$B1871,"_",$C1871),APOIO!$F:$F,0)))</f>
        <v/>
      </c>
      <c r="E1871" s="31"/>
      <c r="F1871" s="31"/>
      <c r="G1871" s="33"/>
      <c r="H1871" s="105"/>
      <c r="I1871" s="32" t="str">
        <f>IF($A1871="","",VLOOKUP($H1871,APOIO!$L:$M,2,FALSE))</f>
        <v/>
      </c>
      <c r="J1871" s="31"/>
      <c r="K1871" s="32" t="str">
        <f>IF($A1871="","",VLOOKUP($J1871,APOIO!$H:$J,2,FALSE))</f>
        <v/>
      </c>
      <c r="L1871" s="32" t="str">
        <f>IF($A1871="","",VLOOKUP($J1871,APOIO!$H:$J,3,FALSE))</f>
        <v/>
      </c>
      <c r="M1871" s="31"/>
      <c r="N1871" s="34"/>
      <c r="O1871" s="32"/>
      <c r="P1871" s="32"/>
      <c r="Q1871" s="32"/>
      <c r="R1871" s="32"/>
      <c r="S1871" s="35"/>
      <c r="T1871" s="91"/>
      <c r="U1871" s="60"/>
      <c r="V1871" s="36"/>
      <c r="W1871" s="31"/>
      <c r="X1871" s="59"/>
      <c r="Y1871" s="59" t="str">
        <f>IFERROR(VLOOKUP($A1871,APOIO!$A:$A,1,FALSE),"ERRO")</f>
        <v>ERRO</v>
      </c>
      <c r="Z1871"/>
    </row>
    <row r="1872" spans="1:26" ht="15" x14ac:dyDescent="0.25">
      <c r="A1872" s="94"/>
      <c r="B1872" s="32" t="str">
        <f>IF($A1872="","",VLOOKUP($A1872,APOIO!$A:$E,2,FALSE))</f>
        <v/>
      </c>
      <c r="C1872" s="94"/>
      <c r="D1872" s="32" t="str">
        <f>IF($A1872="","",INDEX(APOIO!$D:$D,MATCH(CONCATENATE($A1872,"_",$B1872,"_",$C1872),APOIO!$F:$F,0)))</f>
        <v/>
      </c>
      <c r="E1872" s="31"/>
      <c r="F1872" s="31"/>
      <c r="G1872" s="33"/>
      <c r="H1872" s="105"/>
      <c r="I1872" s="32" t="str">
        <f>IF($A1872="","",VLOOKUP($H1872,APOIO!$L:$M,2,FALSE))</f>
        <v/>
      </c>
      <c r="J1872" s="31"/>
      <c r="K1872" s="32" t="str">
        <f>IF($A1872="","",VLOOKUP($J1872,APOIO!$H:$J,2,FALSE))</f>
        <v/>
      </c>
      <c r="L1872" s="32" t="str">
        <f>IF($A1872="","",VLOOKUP($J1872,APOIO!$H:$J,3,FALSE))</f>
        <v/>
      </c>
      <c r="M1872" s="31"/>
      <c r="N1872" s="34"/>
      <c r="O1872" s="32"/>
      <c r="P1872" s="32"/>
      <c r="Q1872" s="32"/>
      <c r="R1872" s="32"/>
      <c r="S1872" s="35"/>
      <c r="T1872" s="91"/>
      <c r="U1872" s="60"/>
      <c r="V1872" s="36"/>
      <c r="W1872" s="31"/>
      <c r="X1872" s="59"/>
      <c r="Y1872" s="59" t="str">
        <f>IFERROR(VLOOKUP($A1872,APOIO!$A:$A,1,FALSE),"ERRO")</f>
        <v>ERRO</v>
      </c>
      <c r="Z1872"/>
    </row>
    <row r="1873" spans="1:26" ht="15" x14ac:dyDescent="0.25">
      <c r="A1873" s="94"/>
      <c r="B1873" s="32" t="str">
        <f>IF($A1873="","",VLOOKUP($A1873,APOIO!$A:$E,2,FALSE))</f>
        <v/>
      </c>
      <c r="C1873" s="94"/>
      <c r="D1873" s="32" t="str">
        <f>IF($A1873="","",INDEX(APOIO!$D:$D,MATCH(CONCATENATE($A1873,"_",$B1873,"_",$C1873),APOIO!$F:$F,0)))</f>
        <v/>
      </c>
      <c r="E1873" s="31"/>
      <c r="F1873" s="31"/>
      <c r="G1873" s="33"/>
      <c r="H1873" s="105"/>
      <c r="I1873" s="32" t="str">
        <f>IF($A1873="","",VLOOKUP($H1873,APOIO!$L:$M,2,FALSE))</f>
        <v/>
      </c>
      <c r="J1873" s="31"/>
      <c r="K1873" s="32" t="str">
        <f>IF($A1873="","",VLOOKUP($J1873,APOIO!$H:$J,2,FALSE))</f>
        <v/>
      </c>
      <c r="L1873" s="32" t="str">
        <f>IF($A1873="","",VLOOKUP($J1873,APOIO!$H:$J,3,FALSE))</f>
        <v/>
      </c>
      <c r="M1873" s="31"/>
      <c r="N1873" s="34"/>
      <c r="O1873" s="32"/>
      <c r="P1873" s="32"/>
      <c r="Q1873" s="32"/>
      <c r="R1873" s="32"/>
      <c r="S1873" s="35"/>
      <c r="T1873" s="91"/>
      <c r="U1873" s="60"/>
      <c r="V1873" s="36"/>
      <c r="W1873" s="31"/>
      <c r="X1873" s="59"/>
      <c r="Y1873" s="59" t="str">
        <f>IFERROR(VLOOKUP($A1873,APOIO!$A:$A,1,FALSE),"ERRO")</f>
        <v>ERRO</v>
      </c>
      <c r="Z1873"/>
    </row>
    <row r="1874" spans="1:26" ht="15" x14ac:dyDescent="0.25">
      <c r="A1874" s="94"/>
      <c r="B1874" s="32" t="str">
        <f>IF($A1874="","",VLOOKUP($A1874,APOIO!$A:$E,2,FALSE))</f>
        <v/>
      </c>
      <c r="C1874" s="94"/>
      <c r="D1874" s="32" t="str">
        <f>IF($A1874="","",INDEX(APOIO!$D:$D,MATCH(CONCATENATE($A1874,"_",$B1874,"_",$C1874),APOIO!$F:$F,0)))</f>
        <v/>
      </c>
      <c r="E1874" s="31"/>
      <c r="F1874" s="31"/>
      <c r="G1874" s="33"/>
      <c r="H1874" s="105"/>
      <c r="I1874" s="32" t="str">
        <f>IF($A1874="","",VLOOKUP($H1874,APOIO!$L:$M,2,FALSE))</f>
        <v/>
      </c>
      <c r="J1874" s="31"/>
      <c r="K1874" s="32" t="str">
        <f>IF($A1874="","",VLOOKUP($J1874,APOIO!$H:$J,2,FALSE))</f>
        <v/>
      </c>
      <c r="L1874" s="32" t="str">
        <f>IF($A1874="","",VLOOKUP($J1874,APOIO!$H:$J,3,FALSE))</f>
        <v/>
      </c>
      <c r="M1874" s="31"/>
      <c r="N1874" s="34"/>
      <c r="O1874" s="32"/>
      <c r="P1874" s="32"/>
      <c r="Q1874" s="32"/>
      <c r="R1874" s="32"/>
      <c r="S1874" s="35"/>
      <c r="T1874" s="91"/>
      <c r="U1874" s="60"/>
      <c r="V1874" s="36"/>
      <c r="W1874" s="31"/>
      <c r="X1874" s="59"/>
      <c r="Y1874" s="59" t="str">
        <f>IFERROR(VLOOKUP($A1874,APOIO!$A:$A,1,FALSE),"ERRO")</f>
        <v>ERRO</v>
      </c>
      <c r="Z1874"/>
    </row>
    <row r="1875" spans="1:26" ht="15" x14ac:dyDescent="0.25">
      <c r="A1875" s="94"/>
      <c r="B1875" s="32" t="str">
        <f>IF($A1875="","",VLOOKUP($A1875,APOIO!$A:$E,2,FALSE))</f>
        <v/>
      </c>
      <c r="C1875" s="94"/>
      <c r="D1875" s="32" t="str">
        <f>IF($A1875="","",INDEX(APOIO!$D:$D,MATCH(CONCATENATE($A1875,"_",$B1875,"_",$C1875),APOIO!$F:$F,0)))</f>
        <v/>
      </c>
      <c r="E1875" s="31"/>
      <c r="F1875" s="31"/>
      <c r="G1875" s="33"/>
      <c r="H1875" s="105"/>
      <c r="I1875" s="32" t="str">
        <f>IF($A1875="","",VLOOKUP($H1875,APOIO!$L:$M,2,FALSE))</f>
        <v/>
      </c>
      <c r="J1875" s="31"/>
      <c r="K1875" s="32" t="str">
        <f>IF($A1875="","",VLOOKUP($J1875,APOIO!$H:$J,2,FALSE))</f>
        <v/>
      </c>
      <c r="L1875" s="32" t="str">
        <f>IF($A1875="","",VLOOKUP($J1875,APOIO!$H:$J,3,FALSE))</f>
        <v/>
      </c>
      <c r="M1875" s="31"/>
      <c r="N1875" s="34"/>
      <c r="O1875" s="32"/>
      <c r="P1875" s="32"/>
      <c r="Q1875" s="32"/>
      <c r="R1875" s="32"/>
      <c r="S1875" s="35"/>
      <c r="T1875" s="91"/>
      <c r="U1875" s="60"/>
      <c r="V1875" s="36"/>
      <c r="W1875" s="31"/>
      <c r="X1875" s="59"/>
      <c r="Y1875" s="59" t="str">
        <f>IFERROR(VLOOKUP($A1875,APOIO!$A:$A,1,FALSE),"ERRO")</f>
        <v>ERRO</v>
      </c>
      <c r="Z1875"/>
    </row>
    <row r="1876" spans="1:26" ht="15" x14ac:dyDescent="0.25">
      <c r="A1876" s="94"/>
      <c r="B1876" s="32" t="str">
        <f>IF($A1876="","",VLOOKUP($A1876,APOIO!$A:$E,2,FALSE))</f>
        <v/>
      </c>
      <c r="C1876" s="94"/>
      <c r="D1876" s="32" t="str">
        <f>IF($A1876="","",INDEX(APOIO!$D:$D,MATCH(CONCATENATE($A1876,"_",$B1876,"_",$C1876),APOIO!$F:$F,0)))</f>
        <v/>
      </c>
      <c r="E1876" s="31"/>
      <c r="F1876" s="31"/>
      <c r="G1876" s="33"/>
      <c r="H1876" s="105"/>
      <c r="I1876" s="32" t="str">
        <f>IF($A1876="","",VLOOKUP($H1876,APOIO!$L:$M,2,FALSE))</f>
        <v/>
      </c>
      <c r="J1876" s="31"/>
      <c r="K1876" s="32" t="str">
        <f>IF($A1876="","",VLOOKUP($J1876,APOIO!$H:$J,2,FALSE))</f>
        <v/>
      </c>
      <c r="L1876" s="32" t="str">
        <f>IF($A1876="","",VLOOKUP($J1876,APOIO!$H:$J,3,FALSE))</f>
        <v/>
      </c>
      <c r="M1876" s="31"/>
      <c r="N1876" s="34"/>
      <c r="O1876" s="32"/>
      <c r="P1876" s="32"/>
      <c r="Q1876" s="32"/>
      <c r="R1876" s="32"/>
      <c r="S1876" s="35"/>
      <c r="T1876" s="91"/>
      <c r="U1876" s="60"/>
      <c r="V1876" s="36"/>
      <c r="W1876" s="31"/>
      <c r="X1876" s="59"/>
      <c r="Y1876" s="59" t="str">
        <f>IFERROR(VLOOKUP($A1876,APOIO!$A:$A,1,FALSE),"ERRO")</f>
        <v>ERRO</v>
      </c>
      <c r="Z1876"/>
    </row>
    <row r="1877" spans="1:26" ht="15" x14ac:dyDescent="0.25">
      <c r="A1877" s="94"/>
      <c r="B1877" s="32" t="str">
        <f>IF($A1877="","",VLOOKUP($A1877,APOIO!$A:$E,2,FALSE))</f>
        <v/>
      </c>
      <c r="C1877" s="94"/>
      <c r="D1877" s="32" t="str">
        <f>IF($A1877="","",INDEX(APOIO!$D:$D,MATCH(CONCATENATE($A1877,"_",$B1877,"_",$C1877),APOIO!$F:$F,0)))</f>
        <v/>
      </c>
      <c r="E1877" s="31"/>
      <c r="F1877" s="31"/>
      <c r="G1877" s="33"/>
      <c r="H1877" s="105"/>
      <c r="I1877" s="32" t="str">
        <f>IF($A1877="","",VLOOKUP($H1877,APOIO!$L:$M,2,FALSE))</f>
        <v/>
      </c>
      <c r="J1877" s="31"/>
      <c r="K1877" s="32" t="str">
        <f>IF($A1877="","",VLOOKUP($J1877,APOIO!$H:$J,2,FALSE))</f>
        <v/>
      </c>
      <c r="L1877" s="32" t="str">
        <f>IF($A1877="","",VLOOKUP($J1877,APOIO!$H:$J,3,FALSE))</f>
        <v/>
      </c>
      <c r="M1877" s="31"/>
      <c r="N1877" s="34"/>
      <c r="O1877" s="32"/>
      <c r="P1877" s="32"/>
      <c r="Q1877" s="32"/>
      <c r="R1877" s="32"/>
      <c r="S1877" s="35"/>
      <c r="T1877" s="91"/>
      <c r="U1877" s="60"/>
      <c r="V1877" s="36"/>
      <c r="W1877" s="31"/>
      <c r="X1877" s="59"/>
      <c r="Y1877" s="59" t="str">
        <f>IFERROR(VLOOKUP($A1877,APOIO!$A:$A,1,FALSE),"ERRO")</f>
        <v>ERRO</v>
      </c>
      <c r="Z1877"/>
    </row>
    <row r="1878" spans="1:26" ht="15" x14ac:dyDescent="0.25">
      <c r="A1878" s="94"/>
      <c r="B1878" s="32" t="str">
        <f>IF($A1878="","",VLOOKUP($A1878,APOIO!$A:$E,2,FALSE))</f>
        <v/>
      </c>
      <c r="C1878" s="94"/>
      <c r="D1878" s="32" t="str">
        <f>IF($A1878="","",INDEX(APOIO!$D:$D,MATCH(CONCATENATE($A1878,"_",$B1878,"_",$C1878),APOIO!$F:$F,0)))</f>
        <v/>
      </c>
      <c r="E1878" s="31"/>
      <c r="F1878" s="31"/>
      <c r="G1878" s="33"/>
      <c r="H1878" s="105"/>
      <c r="I1878" s="32" t="str">
        <f>IF($A1878="","",VLOOKUP($H1878,APOIO!$L:$M,2,FALSE))</f>
        <v/>
      </c>
      <c r="J1878" s="31"/>
      <c r="K1878" s="32" t="str">
        <f>IF($A1878="","",VLOOKUP($J1878,APOIO!$H:$J,2,FALSE))</f>
        <v/>
      </c>
      <c r="L1878" s="32" t="str">
        <f>IF($A1878="","",VLOOKUP($J1878,APOIO!$H:$J,3,FALSE))</f>
        <v/>
      </c>
      <c r="M1878" s="31"/>
      <c r="N1878" s="34"/>
      <c r="O1878" s="32"/>
      <c r="P1878" s="32"/>
      <c r="Q1878" s="32"/>
      <c r="R1878" s="32"/>
      <c r="S1878" s="35"/>
      <c r="T1878" s="91"/>
      <c r="U1878" s="60"/>
      <c r="V1878" s="36"/>
      <c r="W1878" s="31"/>
      <c r="X1878" s="59"/>
      <c r="Y1878" s="59" t="str">
        <f>IFERROR(VLOOKUP($A1878,APOIO!$A:$A,1,FALSE),"ERRO")</f>
        <v>ERRO</v>
      </c>
      <c r="Z1878"/>
    </row>
    <row r="1879" spans="1:26" ht="15" x14ac:dyDescent="0.25">
      <c r="A1879" s="94"/>
      <c r="B1879" s="32" t="str">
        <f>IF($A1879="","",VLOOKUP($A1879,APOIO!$A:$E,2,FALSE))</f>
        <v/>
      </c>
      <c r="C1879" s="94"/>
      <c r="D1879" s="32" t="str">
        <f>IF($A1879="","",INDEX(APOIO!$D:$D,MATCH(CONCATENATE($A1879,"_",$B1879,"_",$C1879),APOIO!$F:$F,0)))</f>
        <v/>
      </c>
      <c r="E1879" s="31"/>
      <c r="F1879" s="31"/>
      <c r="G1879" s="33"/>
      <c r="H1879" s="105"/>
      <c r="I1879" s="32" t="str">
        <f>IF($A1879="","",VLOOKUP($H1879,APOIO!$L:$M,2,FALSE))</f>
        <v/>
      </c>
      <c r="J1879" s="31"/>
      <c r="K1879" s="32" t="str">
        <f>IF($A1879="","",VLOOKUP($J1879,APOIO!$H:$J,2,FALSE))</f>
        <v/>
      </c>
      <c r="L1879" s="32" t="str">
        <f>IF($A1879="","",VLOOKUP($J1879,APOIO!$H:$J,3,FALSE))</f>
        <v/>
      </c>
      <c r="M1879" s="31"/>
      <c r="N1879" s="34"/>
      <c r="O1879" s="32"/>
      <c r="P1879" s="32"/>
      <c r="Q1879" s="32"/>
      <c r="R1879" s="32"/>
      <c r="S1879" s="35"/>
      <c r="T1879" s="91"/>
      <c r="U1879" s="60"/>
      <c r="V1879" s="36"/>
      <c r="W1879" s="31"/>
      <c r="X1879" s="59"/>
      <c r="Y1879" s="59" t="str">
        <f>IFERROR(VLOOKUP($A1879,APOIO!$A:$A,1,FALSE),"ERRO")</f>
        <v>ERRO</v>
      </c>
      <c r="Z1879"/>
    </row>
    <row r="1880" spans="1:26" ht="15" x14ac:dyDescent="0.25">
      <c r="A1880" s="94"/>
      <c r="B1880" s="32" t="str">
        <f>IF($A1880="","",VLOOKUP($A1880,APOIO!$A:$E,2,FALSE))</f>
        <v/>
      </c>
      <c r="C1880" s="94"/>
      <c r="D1880" s="32" t="str">
        <f>IF($A1880="","",INDEX(APOIO!$D:$D,MATCH(CONCATENATE($A1880,"_",$B1880,"_",$C1880),APOIO!$F:$F,0)))</f>
        <v/>
      </c>
      <c r="E1880" s="31"/>
      <c r="F1880" s="31"/>
      <c r="G1880" s="33"/>
      <c r="H1880" s="105"/>
      <c r="I1880" s="32" t="str">
        <f>IF($A1880="","",VLOOKUP($H1880,APOIO!$L:$M,2,FALSE))</f>
        <v/>
      </c>
      <c r="J1880" s="31"/>
      <c r="K1880" s="32" t="str">
        <f>IF($A1880="","",VLOOKUP($J1880,APOIO!$H:$J,2,FALSE))</f>
        <v/>
      </c>
      <c r="L1880" s="32" t="str">
        <f>IF($A1880="","",VLOOKUP($J1880,APOIO!$H:$J,3,FALSE))</f>
        <v/>
      </c>
      <c r="M1880" s="31"/>
      <c r="N1880" s="34"/>
      <c r="O1880" s="32"/>
      <c r="P1880" s="32"/>
      <c r="Q1880" s="32"/>
      <c r="R1880" s="32"/>
      <c r="S1880" s="35"/>
      <c r="T1880" s="91"/>
      <c r="U1880" s="60"/>
      <c r="V1880" s="36"/>
      <c r="W1880" s="31"/>
      <c r="X1880" s="59"/>
      <c r="Y1880" s="59" t="str">
        <f>IFERROR(VLOOKUP($A1880,APOIO!$A:$A,1,FALSE),"ERRO")</f>
        <v>ERRO</v>
      </c>
      <c r="Z1880"/>
    </row>
    <row r="1881" spans="1:26" ht="15" x14ac:dyDescent="0.25">
      <c r="A1881" s="94"/>
      <c r="B1881" s="32" t="str">
        <f>IF($A1881="","",VLOOKUP($A1881,APOIO!$A:$E,2,FALSE))</f>
        <v/>
      </c>
      <c r="C1881" s="94"/>
      <c r="D1881" s="32" t="str">
        <f>IF($A1881="","",INDEX(APOIO!$D:$D,MATCH(CONCATENATE($A1881,"_",$B1881,"_",$C1881),APOIO!$F:$F,0)))</f>
        <v/>
      </c>
      <c r="E1881" s="31"/>
      <c r="F1881" s="31"/>
      <c r="G1881" s="33"/>
      <c r="H1881" s="105"/>
      <c r="I1881" s="32" t="str">
        <f>IF($A1881="","",VLOOKUP($H1881,APOIO!$L:$M,2,FALSE))</f>
        <v/>
      </c>
      <c r="J1881" s="31"/>
      <c r="K1881" s="32" t="str">
        <f>IF($A1881="","",VLOOKUP($J1881,APOIO!$H:$J,2,FALSE))</f>
        <v/>
      </c>
      <c r="L1881" s="32" t="str">
        <f>IF($A1881="","",VLOOKUP($J1881,APOIO!$H:$J,3,FALSE))</f>
        <v/>
      </c>
      <c r="M1881" s="31"/>
      <c r="N1881" s="34"/>
      <c r="O1881" s="32"/>
      <c r="P1881" s="32"/>
      <c r="Q1881" s="32"/>
      <c r="R1881" s="32"/>
      <c r="S1881" s="35"/>
      <c r="T1881" s="91"/>
      <c r="U1881" s="60"/>
      <c r="V1881" s="36"/>
      <c r="W1881" s="31"/>
      <c r="X1881" s="59"/>
      <c r="Y1881" s="59" t="str">
        <f>IFERROR(VLOOKUP($A1881,APOIO!$A:$A,1,FALSE),"ERRO")</f>
        <v>ERRO</v>
      </c>
      <c r="Z1881"/>
    </row>
    <row r="1882" spans="1:26" ht="15" x14ac:dyDescent="0.25">
      <c r="A1882" s="94"/>
      <c r="B1882" s="32" t="str">
        <f>IF($A1882="","",VLOOKUP($A1882,APOIO!$A:$E,2,FALSE))</f>
        <v/>
      </c>
      <c r="C1882" s="94"/>
      <c r="D1882" s="32" t="str">
        <f>IF($A1882="","",INDEX(APOIO!$D:$D,MATCH(CONCATENATE($A1882,"_",$B1882,"_",$C1882),APOIO!$F:$F,0)))</f>
        <v/>
      </c>
      <c r="E1882" s="31"/>
      <c r="F1882" s="31"/>
      <c r="G1882" s="33"/>
      <c r="H1882" s="105"/>
      <c r="I1882" s="32" t="str">
        <f>IF($A1882="","",VLOOKUP($H1882,APOIO!$L:$M,2,FALSE))</f>
        <v/>
      </c>
      <c r="J1882" s="31"/>
      <c r="K1882" s="32" t="str">
        <f>IF($A1882="","",VLOOKUP($J1882,APOIO!$H:$J,2,FALSE))</f>
        <v/>
      </c>
      <c r="L1882" s="32" t="str">
        <f>IF($A1882="","",VLOOKUP($J1882,APOIO!$H:$J,3,FALSE))</f>
        <v/>
      </c>
      <c r="M1882" s="31"/>
      <c r="N1882" s="34"/>
      <c r="O1882" s="32"/>
      <c r="P1882" s="32"/>
      <c r="Q1882" s="32"/>
      <c r="R1882" s="32"/>
      <c r="S1882" s="35"/>
      <c r="T1882" s="91"/>
      <c r="U1882" s="60"/>
      <c r="V1882" s="36"/>
      <c r="W1882" s="31"/>
      <c r="X1882" s="59"/>
      <c r="Y1882" s="59" t="str">
        <f>IFERROR(VLOOKUP($A1882,APOIO!$A:$A,1,FALSE),"ERRO")</f>
        <v>ERRO</v>
      </c>
      <c r="Z1882"/>
    </row>
    <row r="1883" spans="1:26" ht="15" x14ac:dyDescent="0.25">
      <c r="A1883" s="94"/>
      <c r="B1883" s="32" t="str">
        <f>IF($A1883="","",VLOOKUP($A1883,APOIO!$A:$E,2,FALSE))</f>
        <v/>
      </c>
      <c r="C1883" s="94"/>
      <c r="D1883" s="32" t="str">
        <f>IF($A1883="","",INDEX(APOIO!$D:$D,MATCH(CONCATENATE($A1883,"_",$B1883,"_",$C1883),APOIO!$F:$F,0)))</f>
        <v/>
      </c>
      <c r="E1883" s="31"/>
      <c r="F1883" s="31"/>
      <c r="G1883" s="33"/>
      <c r="H1883" s="105"/>
      <c r="I1883" s="32" t="str">
        <f>IF($A1883="","",VLOOKUP($H1883,APOIO!$L:$M,2,FALSE))</f>
        <v/>
      </c>
      <c r="J1883" s="31"/>
      <c r="K1883" s="32" t="str">
        <f>IF($A1883="","",VLOOKUP($J1883,APOIO!$H:$J,2,FALSE))</f>
        <v/>
      </c>
      <c r="L1883" s="32" t="str">
        <f>IF($A1883="","",VLOOKUP($J1883,APOIO!$H:$J,3,FALSE))</f>
        <v/>
      </c>
      <c r="M1883" s="31"/>
      <c r="N1883" s="34"/>
      <c r="O1883" s="32"/>
      <c r="P1883" s="32"/>
      <c r="Q1883" s="32"/>
      <c r="R1883" s="32"/>
      <c r="S1883" s="35"/>
      <c r="T1883" s="91"/>
      <c r="U1883" s="60"/>
      <c r="V1883" s="36"/>
      <c r="W1883" s="31"/>
      <c r="X1883" s="59"/>
      <c r="Y1883" s="59" t="str">
        <f>IFERROR(VLOOKUP($A1883,APOIO!$A:$A,1,FALSE),"ERRO")</f>
        <v>ERRO</v>
      </c>
      <c r="Z1883"/>
    </row>
    <row r="1884" spans="1:26" ht="15" x14ac:dyDescent="0.25">
      <c r="A1884" s="94"/>
      <c r="B1884" s="32" t="str">
        <f>IF($A1884="","",VLOOKUP($A1884,APOIO!$A:$E,2,FALSE))</f>
        <v/>
      </c>
      <c r="C1884" s="94"/>
      <c r="D1884" s="32" t="str">
        <f>IF($A1884="","",INDEX(APOIO!$D:$D,MATCH(CONCATENATE($A1884,"_",$B1884,"_",$C1884),APOIO!$F:$F,0)))</f>
        <v/>
      </c>
      <c r="E1884" s="31"/>
      <c r="F1884" s="31"/>
      <c r="G1884" s="33"/>
      <c r="H1884" s="105"/>
      <c r="I1884" s="32" t="str">
        <f>IF($A1884="","",VLOOKUP($H1884,APOIO!$L:$M,2,FALSE))</f>
        <v/>
      </c>
      <c r="J1884" s="31"/>
      <c r="K1884" s="32" t="str">
        <f>IF($A1884="","",VLOOKUP($J1884,APOIO!$H:$J,2,FALSE))</f>
        <v/>
      </c>
      <c r="L1884" s="32" t="str">
        <f>IF($A1884="","",VLOOKUP($J1884,APOIO!$H:$J,3,FALSE))</f>
        <v/>
      </c>
      <c r="M1884" s="31"/>
      <c r="N1884" s="34"/>
      <c r="O1884" s="32"/>
      <c r="P1884" s="32"/>
      <c r="Q1884" s="32"/>
      <c r="R1884" s="32"/>
      <c r="S1884" s="35"/>
      <c r="T1884" s="91"/>
      <c r="U1884" s="60"/>
      <c r="V1884" s="36"/>
      <c r="W1884" s="31"/>
      <c r="X1884" s="59"/>
      <c r="Y1884" s="59" t="str">
        <f>IFERROR(VLOOKUP($A1884,APOIO!$A:$A,1,FALSE),"ERRO")</f>
        <v>ERRO</v>
      </c>
      <c r="Z1884"/>
    </row>
    <row r="1885" spans="1:26" ht="15" x14ac:dyDescent="0.25">
      <c r="A1885" s="94"/>
      <c r="B1885" s="32" t="str">
        <f>IF($A1885="","",VLOOKUP($A1885,APOIO!$A:$E,2,FALSE))</f>
        <v/>
      </c>
      <c r="C1885" s="94"/>
      <c r="D1885" s="32" t="str">
        <f>IF($A1885="","",INDEX(APOIO!$D:$D,MATCH(CONCATENATE($A1885,"_",$B1885,"_",$C1885),APOIO!$F:$F,0)))</f>
        <v/>
      </c>
      <c r="E1885" s="31"/>
      <c r="F1885" s="31"/>
      <c r="G1885" s="33"/>
      <c r="H1885" s="105"/>
      <c r="I1885" s="32" t="str">
        <f>IF($A1885="","",VLOOKUP($H1885,APOIO!$L:$M,2,FALSE))</f>
        <v/>
      </c>
      <c r="J1885" s="31"/>
      <c r="K1885" s="32" t="str">
        <f>IF($A1885="","",VLOOKUP($J1885,APOIO!$H:$J,2,FALSE))</f>
        <v/>
      </c>
      <c r="L1885" s="32" t="str">
        <f>IF($A1885="","",VLOOKUP($J1885,APOIO!$H:$J,3,FALSE))</f>
        <v/>
      </c>
      <c r="M1885" s="31"/>
      <c r="N1885" s="34"/>
      <c r="O1885" s="32"/>
      <c r="P1885" s="32"/>
      <c r="Q1885" s="32"/>
      <c r="R1885" s="32"/>
      <c r="S1885" s="35"/>
      <c r="T1885" s="91"/>
      <c r="U1885" s="60"/>
      <c r="V1885" s="36"/>
      <c r="W1885" s="31"/>
      <c r="X1885" s="59"/>
      <c r="Y1885" s="59" t="str">
        <f>IFERROR(VLOOKUP($A1885,APOIO!$A:$A,1,FALSE),"ERRO")</f>
        <v>ERRO</v>
      </c>
      <c r="Z1885"/>
    </row>
    <row r="1886" spans="1:26" ht="15" x14ac:dyDescent="0.25">
      <c r="A1886" s="94"/>
      <c r="B1886" s="32" t="str">
        <f>IF($A1886="","",VLOOKUP($A1886,APOIO!$A:$E,2,FALSE))</f>
        <v/>
      </c>
      <c r="C1886" s="94"/>
      <c r="D1886" s="32" t="str">
        <f>IF($A1886="","",INDEX(APOIO!$D:$D,MATCH(CONCATENATE($A1886,"_",$B1886,"_",$C1886),APOIO!$F:$F,0)))</f>
        <v/>
      </c>
      <c r="E1886" s="31"/>
      <c r="F1886" s="31"/>
      <c r="G1886" s="33"/>
      <c r="H1886" s="105"/>
      <c r="I1886" s="32" t="str">
        <f>IF($A1886="","",VLOOKUP($H1886,APOIO!$L:$M,2,FALSE))</f>
        <v/>
      </c>
      <c r="J1886" s="31"/>
      <c r="K1886" s="32" t="str">
        <f>IF($A1886="","",VLOOKUP($J1886,APOIO!$H:$J,2,FALSE))</f>
        <v/>
      </c>
      <c r="L1886" s="32" t="str">
        <f>IF($A1886="","",VLOOKUP($J1886,APOIO!$H:$J,3,FALSE))</f>
        <v/>
      </c>
      <c r="M1886" s="31"/>
      <c r="N1886" s="34"/>
      <c r="O1886" s="32"/>
      <c r="P1886" s="32"/>
      <c r="Q1886" s="32"/>
      <c r="R1886" s="32"/>
      <c r="S1886" s="35"/>
      <c r="T1886" s="91"/>
      <c r="U1886" s="60"/>
      <c r="V1886" s="36"/>
      <c r="W1886" s="31"/>
      <c r="X1886" s="59"/>
      <c r="Y1886" s="59" t="str">
        <f>IFERROR(VLOOKUP($A1886,APOIO!$A:$A,1,FALSE),"ERRO")</f>
        <v>ERRO</v>
      </c>
      <c r="Z1886"/>
    </row>
    <row r="1887" spans="1:26" ht="15" x14ac:dyDescent="0.25">
      <c r="A1887" s="94"/>
      <c r="B1887" s="32" t="str">
        <f>IF($A1887="","",VLOOKUP($A1887,APOIO!$A:$E,2,FALSE))</f>
        <v/>
      </c>
      <c r="C1887" s="94"/>
      <c r="D1887" s="32" t="str">
        <f>IF($A1887="","",INDEX(APOIO!$D:$D,MATCH(CONCATENATE($A1887,"_",$B1887,"_",$C1887),APOIO!$F:$F,0)))</f>
        <v/>
      </c>
      <c r="E1887" s="31"/>
      <c r="F1887" s="31"/>
      <c r="G1887" s="33"/>
      <c r="H1887" s="105"/>
      <c r="I1887" s="32" t="str">
        <f>IF($A1887="","",VLOOKUP($H1887,APOIO!$L:$M,2,FALSE))</f>
        <v/>
      </c>
      <c r="J1887" s="31"/>
      <c r="K1887" s="32" t="str">
        <f>IF($A1887="","",VLOOKUP($J1887,APOIO!$H:$J,2,FALSE))</f>
        <v/>
      </c>
      <c r="L1887" s="32" t="str">
        <f>IF($A1887="","",VLOOKUP($J1887,APOIO!$H:$J,3,FALSE))</f>
        <v/>
      </c>
      <c r="M1887" s="31"/>
      <c r="N1887" s="34"/>
      <c r="O1887" s="32"/>
      <c r="P1887" s="32"/>
      <c r="Q1887" s="32"/>
      <c r="R1887" s="32"/>
      <c r="S1887" s="35"/>
      <c r="T1887" s="91"/>
      <c r="U1887" s="60"/>
      <c r="V1887" s="36"/>
      <c r="W1887" s="31"/>
      <c r="X1887" s="59"/>
      <c r="Y1887" s="59" t="str">
        <f>IFERROR(VLOOKUP($A1887,APOIO!$A:$A,1,FALSE),"ERRO")</f>
        <v>ERRO</v>
      </c>
      <c r="Z1887"/>
    </row>
    <row r="1888" spans="1:26" ht="15" x14ac:dyDescent="0.25">
      <c r="A1888" s="94"/>
      <c r="B1888" s="32" t="str">
        <f>IF($A1888="","",VLOOKUP($A1888,APOIO!$A:$E,2,FALSE))</f>
        <v/>
      </c>
      <c r="C1888" s="94"/>
      <c r="D1888" s="32" t="str">
        <f>IF($A1888="","",INDEX(APOIO!$D:$D,MATCH(CONCATENATE($A1888,"_",$B1888,"_",$C1888),APOIO!$F:$F,0)))</f>
        <v/>
      </c>
      <c r="E1888" s="31"/>
      <c r="F1888" s="31"/>
      <c r="G1888" s="33"/>
      <c r="H1888" s="105"/>
      <c r="I1888" s="32" t="str">
        <f>IF($A1888="","",VLOOKUP($H1888,APOIO!$L:$M,2,FALSE))</f>
        <v/>
      </c>
      <c r="J1888" s="31"/>
      <c r="K1888" s="32" t="str">
        <f>IF($A1888="","",VLOOKUP($J1888,APOIO!$H:$J,2,FALSE))</f>
        <v/>
      </c>
      <c r="L1888" s="32" t="str">
        <f>IF($A1888="","",VLOOKUP($J1888,APOIO!$H:$J,3,FALSE))</f>
        <v/>
      </c>
      <c r="M1888" s="31"/>
      <c r="N1888" s="34"/>
      <c r="O1888" s="32"/>
      <c r="P1888" s="32"/>
      <c r="Q1888" s="32"/>
      <c r="R1888" s="32"/>
      <c r="S1888" s="35"/>
      <c r="T1888" s="91"/>
      <c r="U1888" s="60"/>
      <c r="V1888" s="36"/>
      <c r="W1888" s="31"/>
      <c r="X1888" s="59"/>
      <c r="Y1888" s="59" t="str">
        <f>IFERROR(VLOOKUP($A1888,APOIO!$A:$A,1,FALSE),"ERRO")</f>
        <v>ERRO</v>
      </c>
      <c r="Z1888"/>
    </row>
    <row r="1889" spans="1:26" ht="15" x14ac:dyDescent="0.25">
      <c r="A1889" s="94"/>
      <c r="B1889" s="32" t="str">
        <f>IF($A1889="","",VLOOKUP($A1889,APOIO!$A:$E,2,FALSE))</f>
        <v/>
      </c>
      <c r="C1889" s="94"/>
      <c r="D1889" s="32" t="str">
        <f>IF($A1889="","",INDEX(APOIO!$D:$D,MATCH(CONCATENATE($A1889,"_",$B1889,"_",$C1889),APOIO!$F:$F,0)))</f>
        <v/>
      </c>
      <c r="E1889" s="31"/>
      <c r="F1889" s="31"/>
      <c r="G1889" s="33"/>
      <c r="H1889" s="105"/>
      <c r="I1889" s="32" t="str">
        <f>IF($A1889="","",VLOOKUP($H1889,APOIO!$L:$M,2,FALSE))</f>
        <v/>
      </c>
      <c r="J1889" s="31"/>
      <c r="K1889" s="32" t="str">
        <f>IF($A1889="","",VLOOKUP($J1889,APOIO!$H:$J,2,FALSE))</f>
        <v/>
      </c>
      <c r="L1889" s="32" t="str">
        <f>IF($A1889="","",VLOOKUP($J1889,APOIO!$H:$J,3,FALSE))</f>
        <v/>
      </c>
      <c r="M1889" s="31"/>
      <c r="N1889" s="34"/>
      <c r="O1889" s="32"/>
      <c r="P1889" s="32"/>
      <c r="Q1889" s="32"/>
      <c r="R1889" s="32"/>
      <c r="S1889" s="35"/>
      <c r="T1889" s="91"/>
      <c r="U1889" s="60"/>
      <c r="V1889" s="36"/>
      <c r="W1889" s="31"/>
      <c r="X1889" s="59"/>
      <c r="Y1889" s="59" t="str">
        <f>IFERROR(VLOOKUP($A1889,APOIO!$A:$A,1,FALSE),"ERRO")</f>
        <v>ERRO</v>
      </c>
      <c r="Z1889"/>
    </row>
    <row r="1890" spans="1:26" ht="15" x14ac:dyDescent="0.25">
      <c r="A1890" s="94"/>
      <c r="B1890" s="32" t="str">
        <f>IF($A1890="","",VLOOKUP($A1890,APOIO!$A:$E,2,FALSE))</f>
        <v/>
      </c>
      <c r="C1890" s="94"/>
      <c r="D1890" s="32" t="str">
        <f>IF($A1890="","",INDEX(APOIO!$D:$D,MATCH(CONCATENATE($A1890,"_",$B1890,"_",$C1890),APOIO!$F:$F,0)))</f>
        <v/>
      </c>
      <c r="E1890" s="31"/>
      <c r="F1890" s="31"/>
      <c r="G1890" s="33"/>
      <c r="H1890" s="105"/>
      <c r="I1890" s="32" t="str">
        <f>IF($A1890="","",VLOOKUP($H1890,APOIO!$L:$M,2,FALSE))</f>
        <v/>
      </c>
      <c r="J1890" s="31"/>
      <c r="K1890" s="32" t="str">
        <f>IF($A1890="","",VLOOKUP($J1890,APOIO!$H:$J,2,FALSE))</f>
        <v/>
      </c>
      <c r="L1890" s="32" t="str">
        <f>IF($A1890="","",VLOOKUP($J1890,APOIO!$H:$J,3,FALSE))</f>
        <v/>
      </c>
      <c r="M1890" s="31"/>
      <c r="N1890" s="34"/>
      <c r="O1890" s="32"/>
      <c r="P1890" s="32"/>
      <c r="Q1890" s="32"/>
      <c r="R1890" s="32"/>
      <c r="S1890" s="35"/>
      <c r="T1890" s="91"/>
      <c r="U1890" s="60"/>
      <c r="V1890" s="36"/>
      <c r="W1890" s="31"/>
      <c r="X1890" s="59"/>
      <c r="Y1890" s="59" t="str">
        <f>IFERROR(VLOOKUP($A1890,APOIO!$A:$A,1,FALSE),"ERRO")</f>
        <v>ERRO</v>
      </c>
      <c r="Z1890"/>
    </row>
    <row r="1891" spans="1:26" ht="15" x14ac:dyDescent="0.25">
      <c r="A1891" s="94"/>
      <c r="B1891" s="32" t="str">
        <f>IF($A1891="","",VLOOKUP($A1891,APOIO!$A:$E,2,FALSE))</f>
        <v/>
      </c>
      <c r="C1891" s="94"/>
      <c r="D1891" s="32" t="str">
        <f>IF($A1891="","",INDEX(APOIO!$D:$D,MATCH(CONCATENATE($A1891,"_",$B1891,"_",$C1891),APOIO!$F:$F,0)))</f>
        <v/>
      </c>
      <c r="E1891" s="31"/>
      <c r="F1891" s="31"/>
      <c r="G1891" s="33"/>
      <c r="H1891" s="105"/>
      <c r="I1891" s="32" t="str">
        <f>IF($A1891="","",VLOOKUP($H1891,APOIO!$L:$M,2,FALSE))</f>
        <v/>
      </c>
      <c r="J1891" s="31"/>
      <c r="K1891" s="32" t="str">
        <f>IF($A1891="","",VLOOKUP($J1891,APOIO!$H:$J,2,FALSE))</f>
        <v/>
      </c>
      <c r="L1891" s="32" t="str">
        <f>IF($A1891="","",VLOOKUP($J1891,APOIO!$H:$J,3,FALSE))</f>
        <v/>
      </c>
      <c r="M1891" s="31"/>
      <c r="N1891" s="34"/>
      <c r="O1891" s="32"/>
      <c r="P1891" s="32"/>
      <c r="Q1891" s="32"/>
      <c r="R1891" s="32"/>
      <c r="S1891" s="35"/>
      <c r="T1891" s="91"/>
      <c r="U1891" s="60"/>
      <c r="V1891" s="36"/>
      <c r="W1891" s="31"/>
      <c r="X1891" s="59"/>
      <c r="Y1891" s="59" t="str">
        <f>IFERROR(VLOOKUP($A1891,APOIO!$A:$A,1,FALSE),"ERRO")</f>
        <v>ERRO</v>
      </c>
      <c r="Z1891"/>
    </row>
    <row r="1892" spans="1:26" ht="15" x14ac:dyDescent="0.25">
      <c r="A1892" s="94"/>
      <c r="B1892" s="32" t="str">
        <f>IF($A1892="","",VLOOKUP($A1892,APOIO!$A:$E,2,FALSE))</f>
        <v/>
      </c>
      <c r="C1892" s="94"/>
      <c r="D1892" s="32" t="str">
        <f>IF($A1892="","",INDEX(APOIO!$D:$D,MATCH(CONCATENATE($A1892,"_",$B1892,"_",$C1892),APOIO!$F:$F,0)))</f>
        <v/>
      </c>
      <c r="E1892" s="31"/>
      <c r="F1892" s="31"/>
      <c r="G1892" s="33"/>
      <c r="H1892" s="105"/>
      <c r="I1892" s="32" t="str">
        <f>IF($A1892="","",VLOOKUP($H1892,APOIO!$L:$M,2,FALSE))</f>
        <v/>
      </c>
      <c r="J1892" s="31"/>
      <c r="K1892" s="32" t="str">
        <f>IF($A1892="","",VLOOKUP($J1892,APOIO!$H:$J,2,FALSE))</f>
        <v/>
      </c>
      <c r="L1892" s="32" t="str">
        <f>IF($A1892="","",VLOOKUP($J1892,APOIO!$H:$J,3,FALSE))</f>
        <v/>
      </c>
      <c r="M1892" s="31"/>
      <c r="N1892" s="34"/>
      <c r="O1892" s="32"/>
      <c r="P1892" s="32"/>
      <c r="Q1892" s="32"/>
      <c r="R1892" s="32"/>
      <c r="S1892" s="35"/>
      <c r="T1892" s="91"/>
      <c r="U1892" s="60"/>
      <c r="V1892" s="36"/>
      <c r="W1892" s="31"/>
      <c r="X1892" s="59"/>
      <c r="Y1892" s="59" t="str">
        <f>IFERROR(VLOOKUP($A1892,APOIO!$A:$A,1,FALSE),"ERRO")</f>
        <v>ERRO</v>
      </c>
      <c r="Z1892"/>
    </row>
    <row r="1893" spans="1:26" ht="15" x14ac:dyDescent="0.25">
      <c r="A1893" s="94"/>
      <c r="B1893" s="32" t="str">
        <f>IF($A1893="","",VLOOKUP($A1893,APOIO!$A:$E,2,FALSE))</f>
        <v/>
      </c>
      <c r="C1893" s="94"/>
      <c r="D1893" s="32" t="str">
        <f>IF($A1893="","",INDEX(APOIO!$D:$D,MATCH(CONCATENATE($A1893,"_",$B1893,"_",$C1893),APOIO!$F:$F,0)))</f>
        <v/>
      </c>
      <c r="E1893" s="31"/>
      <c r="F1893" s="31"/>
      <c r="G1893" s="33"/>
      <c r="H1893" s="105"/>
      <c r="I1893" s="32" t="str">
        <f>IF($A1893="","",VLOOKUP($H1893,APOIO!$L:$M,2,FALSE))</f>
        <v/>
      </c>
      <c r="J1893" s="31"/>
      <c r="K1893" s="32" t="str">
        <f>IF($A1893="","",VLOOKUP($J1893,APOIO!$H:$J,2,FALSE))</f>
        <v/>
      </c>
      <c r="L1893" s="32" t="str">
        <f>IF($A1893="","",VLOOKUP($J1893,APOIO!$H:$J,3,FALSE))</f>
        <v/>
      </c>
      <c r="M1893" s="31"/>
      <c r="N1893" s="34"/>
      <c r="O1893" s="32"/>
      <c r="P1893" s="32"/>
      <c r="Q1893" s="32"/>
      <c r="R1893" s="32"/>
      <c r="S1893" s="35"/>
      <c r="T1893" s="91"/>
      <c r="U1893" s="60"/>
      <c r="V1893" s="36"/>
      <c r="W1893" s="31"/>
      <c r="X1893" s="59"/>
      <c r="Y1893" s="59" t="str">
        <f>IFERROR(VLOOKUP($A1893,APOIO!$A:$A,1,FALSE),"ERRO")</f>
        <v>ERRO</v>
      </c>
      <c r="Z1893"/>
    </row>
    <row r="1894" spans="1:26" ht="15" x14ac:dyDescent="0.25">
      <c r="A1894" s="94"/>
      <c r="B1894" s="32" t="str">
        <f>IF($A1894="","",VLOOKUP($A1894,APOIO!$A:$E,2,FALSE))</f>
        <v/>
      </c>
      <c r="C1894" s="94"/>
      <c r="D1894" s="32" t="str">
        <f>IF($A1894="","",INDEX(APOIO!$D:$D,MATCH(CONCATENATE($A1894,"_",$B1894,"_",$C1894),APOIO!$F:$F,0)))</f>
        <v/>
      </c>
      <c r="E1894" s="31"/>
      <c r="F1894" s="31"/>
      <c r="G1894" s="33"/>
      <c r="H1894" s="105"/>
      <c r="I1894" s="32" t="str">
        <f>IF($A1894="","",VLOOKUP($H1894,APOIO!$L:$M,2,FALSE))</f>
        <v/>
      </c>
      <c r="J1894" s="31"/>
      <c r="K1894" s="32" t="str">
        <f>IF($A1894="","",VLOOKUP($J1894,APOIO!$H:$J,2,FALSE))</f>
        <v/>
      </c>
      <c r="L1894" s="32" t="str">
        <f>IF($A1894="","",VLOOKUP($J1894,APOIO!$H:$J,3,FALSE))</f>
        <v/>
      </c>
      <c r="M1894" s="31"/>
      <c r="N1894" s="34"/>
      <c r="O1894" s="32"/>
      <c r="P1894" s="32"/>
      <c r="Q1894" s="32"/>
      <c r="R1894" s="32"/>
      <c r="S1894" s="35"/>
      <c r="T1894" s="91"/>
      <c r="U1894" s="60"/>
      <c r="V1894" s="36"/>
      <c r="W1894" s="31"/>
      <c r="X1894" s="59"/>
      <c r="Y1894" s="59" t="str">
        <f>IFERROR(VLOOKUP($A1894,APOIO!$A:$A,1,FALSE),"ERRO")</f>
        <v>ERRO</v>
      </c>
      <c r="Z1894"/>
    </row>
    <row r="1895" spans="1:26" ht="15" x14ac:dyDescent="0.25">
      <c r="A1895" s="94"/>
      <c r="B1895" s="32" t="str">
        <f>IF($A1895="","",VLOOKUP($A1895,APOIO!$A:$E,2,FALSE))</f>
        <v/>
      </c>
      <c r="C1895" s="94"/>
      <c r="D1895" s="32" t="str">
        <f>IF($A1895="","",INDEX(APOIO!$D:$D,MATCH(CONCATENATE($A1895,"_",$B1895,"_",$C1895),APOIO!$F:$F,0)))</f>
        <v/>
      </c>
      <c r="E1895" s="31"/>
      <c r="F1895" s="31"/>
      <c r="G1895" s="33"/>
      <c r="H1895" s="105"/>
      <c r="I1895" s="32" t="str">
        <f>IF($A1895="","",VLOOKUP($H1895,APOIO!$L:$M,2,FALSE))</f>
        <v/>
      </c>
      <c r="J1895" s="31"/>
      <c r="K1895" s="32" t="str">
        <f>IF($A1895="","",VLOOKUP($J1895,APOIO!$H:$J,2,FALSE))</f>
        <v/>
      </c>
      <c r="L1895" s="32" t="str">
        <f>IF($A1895="","",VLOOKUP($J1895,APOIO!$H:$J,3,FALSE))</f>
        <v/>
      </c>
      <c r="M1895" s="31"/>
      <c r="N1895" s="34"/>
      <c r="O1895" s="32"/>
      <c r="P1895" s="32"/>
      <c r="Q1895" s="32"/>
      <c r="R1895" s="32"/>
      <c r="S1895" s="35"/>
      <c r="T1895" s="91"/>
      <c r="U1895" s="60"/>
      <c r="V1895" s="36"/>
      <c r="W1895" s="31"/>
      <c r="X1895" s="59"/>
      <c r="Y1895" s="59" t="str">
        <f>IFERROR(VLOOKUP($A1895,APOIO!$A:$A,1,FALSE),"ERRO")</f>
        <v>ERRO</v>
      </c>
      <c r="Z1895"/>
    </row>
    <row r="1896" spans="1:26" ht="15" x14ac:dyDescent="0.25">
      <c r="A1896" s="94"/>
      <c r="B1896" s="32" t="str">
        <f>IF($A1896="","",VLOOKUP($A1896,APOIO!$A:$E,2,FALSE))</f>
        <v/>
      </c>
      <c r="C1896" s="94"/>
      <c r="D1896" s="32" t="str">
        <f>IF($A1896="","",INDEX(APOIO!$D:$D,MATCH(CONCATENATE($A1896,"_",$B1896,"_",$C1896),APOIO!$F:$F,0)))</f>
        <v/>
      </c>
      <c r="E1896" s="31"/>
      <c r="F1896" s="31"/>
      <c r="G1896" s="33"/>
      <c r="H1896" s="105"/>
      <c r="I1896" s="32" t="str">
        <f>IF($A1896="","",VLOOKUP($H1896,APOIO!$L:$M,2,FALSE))</f>
        <v/>
      </c>
      <c r="J1896" s="31"/>
      <c r="K1896" s="32" t="str">
        <f>IF($A1896="","",VLOOKUP($J1896,APOIO!$H:$J,2,FALSE))</f>
        <v/>
      </c>
      <c r="L1896" s="32" t="str">
        <f>IF($A1896="","",VLOOKUP($J1896,APOIO!$H:$J,3,FALSE))</f>
        <v/>
      </c>
      <c r="M1896" s="31"/>
      <c r="N1896" s="34"/>
      <c r="O1896" s="32"/>
      <c r="P1896" s="32"/>
      <c r="Q1896" s="32"/>
      <c r="R1896" s="32"/>
      <c r="S1896" s="35"/>
      <c r="T1896" s="91"/>
      <c r="U1896" s="60"/>
      <c r="V1896" s="36"/>
      <c r="W1896" s="31"/>
      <c r="X1896" s="59"/>
      <c r="Y1896" s="59" t="str">
        <f>IFERROR(VLOOKUP($A1896,APOIO!$A:$A,1,FALSE),"ERRO")</f>
        <v>ERRO</v>
      </c>
      <c r="Z1896"/>
    </row>
    <row r="1897" spans="1:26" ht="15" x14ac:dyDescent="0.25">
      <c r="A1897" s="94"/>
      <c r="B1897" s="32" t="str">
        <f>IF($A1897="","",VLOOKUP($A1897,APOIO!$A:$E,2,FALSE))</f>
        <v/>
      </c>
      <c r="C1897" s="94"/>
      <c r="D1897" s="32" t="str">
        <f>IF($A1897="","",INDEX(APOIO!$D:$D,MATCH(CONCATENATE($A1897,"_",$B1897,"_",$C1897),APOIO!$F:$F,0)))</f>
        <v/>
      </c>
      <c r="E1897" s="31"/>
      <c r="F1897" s="31"/>
      <c r="G1897" s="33"/>
      <c r="H1897" s="105"/>
      <c r="I1897" s="32" t="str">
        <f>IF($A1897="","",VLOOKUP($H1897,APOIO!$L:$M,2,FALSE))</f>
        <v/>
      </c>
      <c r="J1897" s="31"/>
      <c r="K1897" s="32" t="str">
        <f>IF($A1897="","",VLOOKUP($J1897,APOIO!$H:$J,2,FALSE))</f>
        <v/>
      </c>
      <c r="L1897" s="32" t="str">
        <f>IF($A1897="","",VLOOKUP($J1897,APOIO!$H:$J,3,FALSE))</f>
        <v/>
      </c>
      <c r="M1897" s="31"/>
      <c r="N1897" s="34"/>
      <c r="O1897" s="32"/>
      <c r="P1897" s="32"/>
      <c r="Q1897" s="32"/>
      <c r="R1897" s="32"/>
      <c r="S1897" s="35"/>
      <c r="T1897" s="91"/>
      <c r="U1897" s="60"/>
      <c r="V1897" s="36"/>
      <c r="W1897" s="31"/>
      <c r="X1897" s="59"/>
      <c r="Y1897" s="59" t="str">
        <f>IFERROR(VLOOKUP($A1897,APOIO!$A:$A,1,FALSE),"ERRO")</f>
        <v>ERRO</v>
      </c>
      <c r="Z1897"/>
    </row>
    <row r="1898" spans="1:26" ht="15" x14ac:dyDescent="0.25">
      <c r="A1898" s="94"/>
      <c r="B1898" s="32" t="str">
        <f>IF($A1898="","",VLOOKUP($A1898,APOIO!$A:$E,2,FALSE))</f>
        <v/>
      </c>
      <c r="C1898" s="94"/>
      <c r="D1898" s="32" t="str">
        <f>IF($A1898="","",INDEX(APOIO!$D:$D,MATCH(CONCATENATE($A1898,"_",$B1898,"_",$C1898),APOIO!$F:$F,0)))</f>
        <v/>
      </c>
      <c r="E1898" s="31"/>
      <c r="F1898" s="31"/>
      <c r="G1898" s="33"/>
      <c r="H1898" s="105"/>
      <c r="I1898" s="32" t="str">
        <f>IF($A1898="","",VLOOKUP($H1898,APOIO!$L:$M,2,FALSE))</f>
        <v/>
      </c>
      <c r="J1898" s="31"/>
      <c r="K1898" s="32" t="str">
        <f>IF($A1898="","",VLOOKUP($J1898,APOIO!$H:$J,2,FALSE))</f>
        <v/>
      </c>
      <c r="L1898" s="32" t="str">
        <f>IF($A1898="","",VLOOKUP($J1898,APOIO!$H:$J,3,FALSE))</f>
        <v/>
      </c>
      <c r="M1898" s="31"/>
      <c r="N1898" s="34"/>
      <c r="O1898" s="32"/>
      <c r="P1898" s="32"/>
      <c r="Q1898" s="32"/>
      <c r="R1898" s="32"/>
      <c r="S1898" s="35"/>
      <c r="T1898" s="91"/>
      <c r="U1898" s="60"/>
      <c r="V1898" s="36"/>
      <c r="W1898" s="31"/>
      <c r="X1898" s="59"/>
      <c r="Y1898" s="59" t="str">
        <f>IFERROR(VLOOKUP($A1898,APOIO!$A:$A,1,FALSE),"ERRO")</f>
        <v>ERRO</v>
      </c>
      <c r="Z1898"/>
    </row>
    <row r="1899" spans="1:26" ht="15" x14ac:dyDescent="0.25">
      <c r="A1899" s="94"/>
      <c r="B1899" s="32" t="str">
        <f>IF($A1899="","",VLOOKUP($A1899,APOIO!$A:$E,2,FALSE))</f>
        <v/>
      </c>
      <c r="C1899" s="94"/>
      <c r="D1899" s="32" t="str">
        <f>IF($A1899="","",INDEX(APOIO!$D:$D,MATCH(CONCATENATE($A1899,"_",$B1899,"_",$C1899),APOIO!$F:$F,0)))</f>
        <v/>
      </c>
      <c r="E1899" s="31"/>
      <c r="F1899" s="31"/>
      <c r="G1899" s="33"/>
      <c r="H1899" s="105"/>
      <c r="I1899" s="32" t="str">
        <f>IF($A1899="","",VLOOKUP($H1899,APOIO!$L:$M,2,FALSE))</f>
        <v/>
      </c>
      <c r="J1899" s="31"/>
      <c r="K1899" s="32" t="str">
        <f>IF($A1899="","",VLOOKUP($J1899,APOIO!$H:$J,2,FALSE))</f>
        <v/>
      </c>
      <c r="L1899" s="32" t="str">
        <f>IF($A1899="","",VLOOKUP($J1899,APOIO!$H:$J,3,FALSE))</f>
        <v/>
      </c>
      <c r="M1899" s="31"/>
      <c r="N1899" s="34"/>
      <c r="O1899" s="32"/>
      <c r="P1899" s="32"/>
      <c r="Q1899" s="32"/>
      <c r="R1899" s="32"/>
      <c r="S1899" s="35"/>
      <c r="T1899" s="91"/>
      <c r="U1899" s="60"/>
      <c r="V1899" s="36"/>
      <c r="W1899" s="31"/>
      <c r="X1899" s="59"/>
      <c r="Y1899" s="59" t="str">
        <f>IFERROR(VLOOKUP($A1899,APOIO!$A:$A,1,FALSE),"ERRO")</f>
        <v>ERRO</v>
      </c>
      <c r="Z1899"/>
    </row>
    <row r="1900" spans="1:26" ht="15" x14ac:dyDescent="0.25">
      <c r="A1900" s="94"/>
      <c r="B1900" s="32" t="str">
        <f>IF($A1900="","",VLOOKUP($A1900,APOIO!$A:$E,2,FALSE))</f>
        <v/>
      </c>
      <c r="C1900" s="94"/>
      <c r="D1900" s="32" t="str">
        <f>IF($A1900="","",INDEX(APOIO!$D:$D,MATCH(CONCATENATE($A1900,"_",$B1900,"_",$C1900),APOIO!$F:$F,0)))</f>
        <v/>
      </c>
      <c r="E1900" s="31"/>
      <c r="F1900" s="31"/>
      <c r="G1900" s="33"/>
      <c r="H1900" s="105"/>
      <c r="I1900" s="32" t="str">
        <f>IF($A1900="","",VLOOKUP($H1900,APOIO!$L:$M,2,FALSE))</f>
        <v/>
      </c>
      <c r="J1900" s="31"/>
      <c r="K1900" s="32" t="str">
        <f>IF($A1900="","",VLOOKUP($J1900,APOIO!$H:$J,2,FALSE))</f>
        <v/>
      </c>
      <c r="L1900" s="32" t="str">
        <f>IF($A1900="","",VLOOKUP($J1900,APOIO!$H:$J,3,FALSE))</f>
        <v/>
      </c>
      <c r="M1900" s="31"/>
      <c r="N1900" s="34"/>
      <c r="O1900" s="32"/>
      <c r="P1900" s="32"/>
      <c r="Q1900" s="32"/>
      <c r="R1900" s="32"/>
      <c r="S1900" s="35"/>
      <c r="T1900" s="91"/>
      <c r="U1900" s="60"/>
      <c r="V1900" s="36"/>
      <c r="W1900" s="31"/>
      <c r="X1900" s="59"/>
      <c r="Y1900" s="59" t="str">
        <f>IFERROR(VLOOKUP($A1900,APOIO!$A:$A,1,FALSE),"ERRO")</f>
        <v>ERRO</v>
      </c>
      <c r="Z1900"/>
    </row>
    <row r="1901" spans="1:26" ht="15" x14ac:dyDescent="0.25">
      <c r="A1901" s="94"/>
      <c r="B1901" s="32" t="str">
        <f>IF($A1901="","",VLOOKUP($A1901,APOIO!$A:$E,2,FALSE))</f>
        <v/>
      </c>
      <c r="C1901" s="94"/>
      <c r="D1901" s="32" t="str">
        <f>IF($A1901="","",INDEX(APOIO!$D:$D,MATCH(CONCATENATE($A1901,"_",$B1901,"_",$C1901),APOIO!$F:$F,0)))</f>
        <v/>
      </c>
      <c r="E1901" s="31"/>
      <c r="F1901" s="31"/>
      <c r="G1901" s="33"/>
      <c r="H1901" s="105"/>
      <c r="I1901" s="32" t="str">
        <f>IF($A1901="","",VLOOKUP($H1901,APOIO!$L:$M,2,FALSE))</f>
        <v/>
      </c>
      <c r="J1901" s="31"/>
      <c r="K1901" s="32" t="str">
        <f>IF($A1901="","",VLOOKUP($J1901,APOIO!$H:$J,2,FALSE))</f>
        <v/>
      </c>
      <c r="L1901" s="32" t="str">
        <f>IF($A1901="","",VLOOKUP($J1901,APOIO!$H:$J,3,FALSE))</f>
        <v/>
      </c>
      <c r="M1901" s="31"/>
      <c r="N1901" s="34"/>
      <c r="O1901" s="32"/>
      <c r="P1901" s="32"/>
      <c r="Q1901" s="32"/>
      <c r="R1901" s="32"/>
      <c r="S1901" s="35"/>
      <c r="T1901" s="91"/>
      <c r="U1901" s="60"/>
      <c r="V1901" s="36"/>
      <c r="W1901" s="31"/>
      <c r="X1901" s="59"/>
      <c r="Y1901" s="59" t="str">
        <f>IFERROR(VLOOKUP($A1901,APOIO!$A:$A,1,FALSE),"ERRO")</f>
        <v>ERRO</v>
      </c>
      <c r="Z1901"/>
    </row>
    <row r="1902" spans="1:26" ht="15" x14ac:dyDescent="0.25">
      <c r="A1902" s="94"/>
      <c r="B1902" s="32" t="str">
        <f>IF($A1902="","",VLOOKUP($A1902,APOIO!$A:$E,2,FALSE))</f>
        <v/>
      </c>
      <c r="C1902" s="94"/>
      <c r="D1902" s="32" t="str">
        <f>IF($A1902="","",INDEX(APOIO!$D:$D,MATCH(CONCATENATE($A1902,"_",$B1902,"_",$C1902),APOIO!$F:$F,0)))</f>
        <v/>
      </c>
      <c r="E1902" s="31"/>
      <c r="F1902" s="31"/>
      <c r="G1902" s="33"/>
      <c r="H1902" s="105"/>
      <c r="I1902" s="32" t="str">
        <f>IF($A1902="","",VLOOKUP($H1902,APOIO!$L:$M,2,FALSE))</f>
        <v/>
      </c>
      <c r="J1902" s="31"/>
      <c r="K1902" s="32" t="str">
        <f>IF($A1902="","",VLOOKUP($J1902,APOIO!$H:$J,2,FALSE))</f>
        <v/>
      </c>
      <c r="L1902" s="32" t="str">
        <f>IF($A1902="","",VLOOKUP($J1902,APOIO!$H:$J,3,FALSE))</f>
        <v/>
      </c>
      <c r="M1902" s="31"/>
      <c r="N1902" s="34"/>
      <c r="O1902" s="32"/>
      <c r="P1902" s="32"/>
      <c r="Q1902" s="32"/>
      <c r="R1902" s="32"/>
      <c r="S1902" s="35"/>
      <c r="T1902" s="91"/>
      <c r="U1902" s="60"/>
      <c r="V1902" s="36"/>
      <c r="W1902" s="31"/>
      <c r="X1902" s="59"/>
      <c r="Y1902" s="59" t="str">
        <f>IFERROR(VLOOKUP($A1902,APOIO!$A:$A,1,FALSE),"ERRO")</f>
        <v>ERRO</v>
      </c>
      <c r="Z1902"/>
    </row>
    <row r="1903" spans="1:26" ht="15" x14ac:dyDescent="0.25">
      <c r="A1903" s="94"/>
      <c r="B1903" s="32" t="str">
        <f>IF($A1903="","",VLOOKUP($A1903,APOIO!$A:$E,2,FALSE))</f>
        <v/>
      </c>
      <c r="C1903" s="94"/>
      <c r="D1903" s="32" t="str">
        <f>IF($A1903="","",INDEX(APOIO!$D:$D,MATCH(CONCATENATE($A1903,"_",$B1903,"_",$C1903),APOIO!$F:$F,0)))</f>
        <v/>
      </c>
      <c r="E1903" s="31"/>
      <c r="F1903" s="31"/>
      <c r="G1903" s="33"/>
      <c r="H1903" s="105"/>
      <c r="I1903" s="32" t="str">
        <f>IF($A1903="","",VLOOKUP($H1903,APOIO!$L:$M,2,FALSE))</f>
        <v/>
      </c>
      <c r="J1903" s="31"/>
      <c r="K1903" s="32" t="str">
        <f>IF($A1903="","",VLOOKUP($J1903,APOIO!$H:$J,2,FALSE))</f>
        <v/>
      </c>
      <c r="L1903" s="32" t="str">
        <f>IF($A1903="","",VLOOKUP($J1903,APOIO!$H:$J,3,FALSE))</f>
        <v/>
      </c>
      <c r="M1903" s="31"/>
      <c r="N1903" s="34"/>
      <c r="O1903" s="32"/>
      <c r="P1903" s="32"/>
      <c r="Q1903" s="32"/>
      <c r="R1903" s="32"/>
      <c r="S1903" s="35"/>
      <c r="T1903" s="91"/>
      <c r="U1903" s="60"/>
      <c r="V1903" s="36"/>
      <c r="W1903" s="31"/>
      <c r="X1903" s="59"/>
      <c r="Y1903" s="59" t="str">
        <f>IFERROR(VLOOKUP($A1903,APOIO!$A:$A,1,FALSE),"ERRO")</f>
        <v>ERRO</v>
      </c>
      <c r="Z1903"/>
    </row>
    <row r="1904" spans="1:26" ht="15" x14ac:dyDescent="0.25">
      <c r="A1904" s="94"/>
      <c r="B1904" s="32" t="str">
        <f>IF($A1904="","",VLOOKUP($A1904,APOIO!$A:$E,2,FALSE))</f>
        <v/>
      </c>
      <c r="C1904" s="94"/>
      <c r="D1904" s="32" t="str">
        <f>IF($A1904="","",INDEX(APOIO!$D:$D,MATCH(CONCATENATE($A1904,"_",$B1904,"_",$C1904),APOIO!$F:$F,0)))</f>
        <v/>
      </c>
      <c r="E1904" s="31"/>
      <c r="F1904" s="31"/>
      <c r="G1904" s="33"/>
      <c r="H1904" s="105"/>
      <c r="I1904" s="32" t="str">
        <f>IF($A1904="","",VLOOKUP($H1904,APOIO!$L:$M,2,FALSE))</f>
        <v/>
      </c>
      <c r="J1904" s="31"/>
      <c r="K1904" s="32" t="str">
        <f>IF($A1904="","",VLOOKUP($J1904,APOIO!$H:$J,2,FALSE))</f>
        <v/>
      </c>
      <c r="L1904" s="32" t="str">
        <f>IF($A1904="","",VLOOKUP($J1904,APOIO!$H:$J,3,FALSE))</f>
        <v/>
      </c>
      <c r="M1904" s="31"/>
      <c r="N1904" s="34"/>
      <c r="O1904" s="32"/>
      <c r="P1904" s="32"/>
      <c r="Q1904" s="32"/>
      <c r="R1904" s="32"/>
      <c r="S1904" s="35"/>
      <c r="T1904" s="91"/>
      <c r="U1904" s="60"/>
      <c r="V1904" s="36"/>
      <c r="W1904" s="31"/>
      <c r="X1904" s="59"/>
      <c r="Y1904" s="59" t="str">
        <f>IFERROR(VLOOKUP($A1904,APOIO!$A:$A,1,FALSE),"ERRO")</f>
        <v>ERRO</v>
      </c>
      <c r="Z1904"/>
    </row>
    <row r="1905" spans="1:26" ht="15" x14ac:dyDescent="0.25">
      <c r="A1905" s="94"/>
      <c r="B1905" s="32" t="str">
        <f>IF($A1905="","",VLOOKUP($A1905,APOIO!$A:$E,2,FALSE))</f>
        <v/>
      </c>
      <c r="C1905" s="94"/>
      <c r="D1905" s="32" t="str">
        <f>IF($A1905="","",INDEX(APOIO!$D:$D,MATCH(CONCATENATE($A1905,"_",$B1905,"_",$C1905),APOIO!$F:$F,0)))</f>
        <v/>
      </c>
      <c r="E1905" s="31"/>
      <c r="F1905" s="31"/>
      <c r="G1905" s="33"/>
      <c r="H1905" s="105"/>
      <c r="I1905" s="32" t="str">
        <f>IF($A1905="","",VLOOKUP($H1905,APOIO!$L:$M,2,FALSE))</f>
        <v/>
      </c>
      <c r="J1905" s="31"/>
      <c r="K1905" s="32" t="str">
        <f>IF($A1905="","",VLOOKUP($J1905,APOIO!$H:$J,2,FALSE))</f>
        <v/>
      </c>
      <c r="L1905" s="32" t="str">
        <f>IF($A1905="","",VLOOKUP($J1905,APOIO!$H:$J,3,FALSE))</f>
        <v/>
      </c>
      <c r="M1905" s="31"/>
      <c r="N1905" s="34"/>
      <c r="O1905" s="32"/>
      <c r="P1905" s="32"/>
      <c r="Q1905" s="32"/>
      <c r="R1905" s="32"/>
      <c r="S1905" s="35"/>
      <c r="T1905" s="91"/>
      <c r="U1905" s="60"/>
      <c r="V1905" s="36"/>
      <c r="W1905" s="31"/>
      <c r="X1905" s="59"/>
      <c r="Y1905" s="59" t="str">
        <f>IFERROR(VLOOKUP($A1905,APOIO!$A:$A,1,FALSE),"ERRO")</f>
        <v>ERRO</v>
      </c>
      <c r="Z1905"/>
    </row>
    <row r="1906" spans="1:26" ht="15" x14ac:dyDescent="0.25">
      <c r="A1906" s="94"/>
      <c r="B1906" s="32" t="str">
        <f>IF($A1906="","",VLOOKUP($A1906,APOIO!$A:$E,2,FALSE))</f>
        <v/>
      </c>
      <c r="C1906" s="94"/>
      <c r="D1906" s="32" t="str">
        <f>IF($A1906="","",INDEX(APOIO!$D:$D,MATCH(CONCATENATE($A1906,"_",$B1906,"_",$C1906),APOIO!$F:$F,0)))</f>
        <v/>
      </c>
      <c r="E1906" s="31"/>
      <c r="F1906" s="31"/>
      <c r="G1906" s="33"/>
      <c r="H1906" s="105"/>
      <c r="I1906" s="32" t="str">
        <f>IF($A1906="","",VLOOKUP($H1906,APOIO!$L:$M,2,FALSE))</f>
        <v/>
      </c>
      <c r="J1906" s="31"/>
      <c r="K1906" s="32" t="str">
        <f>IF($A1906="","",VLOOKUP($J1906,APOIO!$H:$J,2,FALSE))</f>
        <v/>
      </c>
      <c r="L1906" s="32" t="str">
        <f>IF($A1906="","",VLOOKUP($J1906,APOIO!$H:$J,3,FALSE))</f>
        <v/>
      </c>
      <c r="M1906" s="31"/>
      <c r="N1906" s="34"/>
      <c r="O1906" s="32"/>
      <c r="P1906" s="32"/>
      <c r="Q1906" s="32"/>
      <c r="R1906" s="32"/>
      <c r="S1906" s="35"/>
      <c r="T1906" s="91"/>
      <c r="U1906" s="60"/>
      <c r="V1906" s="36"/>
      <c r="W1906" s="31"/>
      <c r="X1906" s="59"/>
      <c r="Y1906" s="59" t="str">
        <f>IFERROR(VLOOKUP($A1906,APOIO!$A:$A,1,FALSE),"ERRO")</f>
        <v>ERRO</v>
      </c>
      <c r="Z1906"/>
    </row>
    <row r="1907" spans="1:26" ht="15" x14ac:dyDescent="0.25">
      <c r="A1907" s="94"/>
      <c r="B1907" s="32" t="str">
        <f>IF($A1907="","",VLOOKUP($A1907,APOIO!$A:$E,2,FALSE))</f>
        <v/>
      </c>
      <c r="C1907" s="94"/>
      <c r="D1907" s="32" t="str">
        <f>IF($A1907="","",INDEX(APOIO!$D:$D,MATCH(CONCATENATE($A1907,"_",$B1907,"_",$C1907),APOIO!$F:$F,0)))</f>
        <v/>
      </c>
      <c r="E1907" s="31"/>
      <c r="F1907" s="31"/>
      <c r="G1907" s="33"/>
      <c r="H1907" s="105"/>
      <c r="I1907" s="32" t="str">
        <f>IF($A1907="","",VLOOKUP($H1907,APOIO!$L:$M,2,FALSE))</f>
        <v/>
      </c>
      <c r="J1907" s="31"/>
      <c r="K1907" s="32" t="str">
        <f>IF($A1907="","",VLOOKUP($J1907,APOIO!$H:$J,2,FALSE))</f>
        <v/>
      </c>
      <c r="L1907" s="32" t="str">
        <f>IF($A1907="","",VLOOKUP($J1907,APOIO!$H:$J,3,FALSE))</f>
        <v/>
      </c>
      <c r="M1907" s="31"/>
      <c r="N1907" s="34"/>
      <c r="O1907" s="32"/>
      <c r="P1907" s="32"/>
      <c r="Q1907" s="32"/>
      <c r="R1907" s="32"/>
      <c r="S1907" s="35"/>
      <c r="T1907" s="91"/>
      <c r="U1907" s="60"/>
      <c r="V1907" s="36"/>
      <c r="W1907" s="31"/>
      <c r="X1907" s="59"/>
      <c r="Y1907" s="59" t="str">
        <f>IFERROR(VLOOKUP($A1907,APOIO!$A:$A,1,FALSE),"ERRO")</f>
        <v>ERRO</v>
      </c>
      <c r="Z1907"/>
    </row>
    <row r="1908" spans="1:26" ht="15" x14ac:dyDescent="0.25">
      <c r="A1908" s="94"/>
      <c r="B1908" s="32" t="str">
        <f>IF($A1908="","",VLOOKUP($A1908,APOIO!$A:$E,2,FALSE))</f>
        <v/>
      </c>
      <c r="C1908" s="94"/>
      <c r="D1908" s="32" t="str">
        <f>IF($A1908="","",INDEX(APOIO!$D:$D,MATCH(CONCATENATE($A1908,"_",$B1908,"_",$C1908),APOIO!$F:$F,0)))</f>
        <v/>
      </c>
      <c r="E1908" s="31"/>
      <c r="F1908" s="31"/>
      <c r="G1908" s="33"/>
      <c r="H1908" s="105"/>
      <c r="I1908" s="32" t="str">
        <f>IF($A1908="","",VLOOKUP($H1908,APOIO!$L:$M,2,FALSE))</f>
        <v/>
      </c>
      <c r="J1908" s="31"/>
      <c r="K1908" s="32" t="str">
        <f>IF($A1908="","",VLOOKUP($J1908,APOIO!$H:$J,2,FALSE))</f>
        <v/>
      </c>
      <c r="L1908" s="32" t="str">
        <f>IF($A1908="","",VLOOKUP($J1908,APOIO!$H:$J,3,FALSE))</f>
        <v/>
      </c>
      <c r="M1908" s="31"/>
      <c r="N1908" s="34"/>
      <c r="O1908" s="32"/>
      <c r="P1908" s="32"/>
      <c r="Q1908" s="32"/>
      <c r="R1908" s="32"/>
      <c r="S1908" s="35"/>
      <c r="T1908" s="91"/>
      <c r="U1908" s="60"/>
      <c r="V1908" s="36"/>
      <c r="W1908" s="31"/>
      <c r="X1908" s="59"/>
      <c r="Y1908" s="59" t="str">
        <f>IFERROR(VLOOKUP($A1908,APOIO!$A:$A,1,FALSE),"ERRO")</f>
        <v>ERRO</v>
      </c>
      <c r="Z1908"/>
    </row>
    <row r="1909" spans="1:26" ht="15" x14ac:dyDescent="0.25">
      <c r="A1909" s="94"/>
      <c r="B1909" s="32" t="str">
        <f>IF($A1909="","",VLOOKUP($A1909,APOIO!$A:$E,2,FALSE))</f>
        <v/>
      </c>
      <c r="C1909" s="94"/>
      <c r="D1909" s="32" t="str">
        <f>IF($A1909="","",INDEX(APOIO!$D:$D,MATCH(CONCATENATE($A1909,"_",$B1909,"_",$C1909),APOIO!$F:$F,0)))</f>
        <v/>
      </c>
      <c r="E1909" s="31"/>
      <c r="F1909" s="31"/>
      <c r="G1909" s="33"/>
      <c r="H1909" s="105"/>
      <c r="I1909" s="32" t="str">
        <f>IF($A1909="","",VLOOKUP($H1909,APOIO!$L:$M,2,FALSE))</f>
        <v/>
      </c>
      <c r="J1909" s="31"/>
      <c r="K1909" s="32" t="str">
        <f>IF($A1909="","",VLOOKUP($J1909,APOIO!$H:$J,2,FALSE))</f>
        <v/>
      </c>
      <c r="L1909" s="32" t="str">
        <f>IF($A1909="","",VLOOKUP($J1909,APOIO!$H:$J,3,FALSE))</f>
        <v/>
      </c>
      <c r="M1909" s="31"/>
      <c r="N1909" s="34"/>
      <c r="O1909" s="32"/>
      <c r="P1909" s="32"/>
      <c r="Q1909" s="32"/>
      <c r="R1909" s="32"/>
      <c r="S1909" s="35"/>
      <c r="T1909" s="91"/>
      <c r="U1909" s="60"/>
      <c r="V1909" s="36"/>
      <c r="W1909" s="31"/>
      <c r="X1909" s="59"/>
      <c r="Y1909" s="59" t="str">
        <f>IFERROR(VLOOKUP($A1909,APOIO!$A:$A,1,FALSE),"ERRO")</f>
        <v>ERRO</v>
      </c>
      <c r="Z1909"/>
    </row>
    <row r="1910" spans="1:26" ht="15" x14ac:dyDescent="0.25">
      <c r="A1910" s="94"/>
      <c r="B1910" s="32" t="str">
        <f>IF($A1910="","",VLOOKUP($A1910,APOIO!$A:$E,2,FALSE))</f>
        <v/>
      </c>
      <c r="C1910" s="94"/>
      <c r="D1910" s="32" t="str">
        <f>IF($A1910="","",INDEX(APOIO!$D:$D,MATCH(CONCATENATE($A1910,"_",$B1910,"_",$C1910),APOIO!$F:$F,0)))</f>
        <v/>
      </c>
      <c r="E1910" s="31"/>
      <c r="F1910" s="31"/>
      <c r="G1910" s="33"/>
      <c r="H1910" s="105"/>
      <c r="I1910" s="32" t="str">
        <f>IF($A1910="","",VLOOKUP($H1910,APOIO!$L:$M,2,FALSE))</f>
        <v/>
      </c>
      <c r="J1910" s="31"/>
      <c r="K1910" s="32" t="str">
        <f>IF($A1910="","",VLOOKUP($J1910,APOIO!$H:$J,2,FALSE))</f>
        <v/>
      </c>
      <c r="L1910" s="32" t="str">
        <f>IF($A1910="","",VLOOKUP($J1910,APOIO!$H:$J,3,FALSE))</f>
        <v/>
      </c>
      <c r="M1910" s="31"/>
      <c r="N1910" s="34"/>
      <c r="O1910" s="32"/>
      <c r="P1910" s="32"/>
      <c r="Q1910" s="32"/>
      <c r="R1910" s="32"/>
      <c r="S1910" s="35"/>
      <c r="T1910" s="91"/>
      <c r="U1910" s="60"/>
      <c r="V1910" s="36"/>
      <c r="W1910" s="31"/>
      <c r="X1910" s="59"/>
      <c r="Y1910" s="59" t="str">
        <f>IFERROR(VLOOKUP($A1910,APOIO!$A:$A,1,FALSE),"ERRO")</f>
        <v>ERRO</v>
      </c>
      <c r="Z1910"/>
    </row>
    <row r="1911" spans="1:26" ht="15" x14ac:dyDescent="0.25">
      <c r="A1911" s="94"/>
      <c r="B1911" s="32" t="str">
        <f>IF($A1911="","",VLOOKUP($A1911,APOIO!$A:$E,2,FALSE))</f>
        <v/>
      </c>
      <c r="C1911" s="94"/>
      <c r="D1911" s="32" t="str">
        <f>IF($A1911="","",INDEX(APOIO!$D:$D,MATCH(CONCATENATE($A1911,"_",$B1911,"_",$C1911),APOIO!$F:$F,0)))</f>
        <v/>
      </c>
      <c r="E1911" s="31"/>
      <c r="F1911" s="31"/>
      <c r="G1911" s="33"/>
      <c r="H1911" s="105"/>
      <c r="I1911" s="32" t="str">
        <f>IF($A1911="","",VLOOKUP($H1911,APOIO!$L:$M,2,FALSE))</f>
        <v/>
      </c>
      <c r="J1911" s="31"/>
      <c r="K1911" s="32" t="str">
        <f>IF($A1911="","",VLOOKUP($J1911,APOIO!$H:$J,2,FALSE))</f>
        <v/>
      </c>
      <c r="L1911" s="32" t="str">
        <f>IF($A1911="","",VLOOKUP($J1911,APOIO!$H:$J,3,FALSE))</f>
        <v/>
      </c>
      <c r="M1911" s="31"/>
      <c r="N1911" s="34"/>
      <c r="O1911" s="32"/>
      <c r="P1911" s="32"/>
      <c r="Q1911" s="32"/>
      <c r="R1911" s="32"/>
      <c r="S1911" s="35"/>
      <c r="T1911" s="91"/>
      <c r="U1911" s="60"/>
      <c r="V1911" s="36"/>
      <c r="W1911" s="31"/>
      <c r="X1911" s="59"/>
      <c r="Y1911" s="59" t="str">
        <f>IFERROR(VLOOKUP($A1911,APOIO!$A:$A,1,FALSE),"ERRO")</f>
        <v>ERRO</v>
      </c>
      <c r="Z1911"/>
    </row>
    <row r="1912" spans="1:26" ht="15" x14ac:dyDescent="0.25">
      <c r="A1912" s="94"/>
      <c r="B1912" s="32" t="str">
        <f>IF($A1912="","",VLOOKUP($A1912,APOIO!$A:$E,2,FALSE))</f>
        <v/>
      </c>
      <c r="C1912" s="94"/>
      <c r="D1912" s="32" t="str">
        <f>IF($A1912="","",INDEX(APOIO!$D:$D,MATCH(CONCATENATE($A1912,"_",$B1912,"_",$C1912),APOIO!$F:$F,0)))</f>
        <v/>
      </c>
      <c r="E1912" s="31"/>
      <c r="F1912" s="31"/>
      <c r="G1912" s="33"/>
      <c r="H1912" s="105"/>
      <c r="I1912" s="32" t="str">
        <f>IF($A1912="","",VLOOKUP($H1912,APOIO!$L:$M,2,FALSE))</f>
        <v/>
      </c>
      <c r="J1912" s="31"/>
      <c r="K1912" s="32" t="str">
        <f>IF($A1912="","",VLOOKUP($J1912,APOIO!$H:$J,2,FALSE))</f>
        <v/>
      </c>
      <c r="L1912" s="32" t="str">
        <f>IF($A1912="","",VLOOKUP($J1912,APOIO!$H:$J,3,FALSE))</f>
        <v/>
      </c>
      <c r="M1912" s="31"/>
      <c r="N1912" s="34"/>
      <c r="O1912" s="32"/>
      <c r="P1912" s="32"/>
      <c r="Q1912" s="32"/>
      <c r="R1912" s="32"/>
      <c r="S1912" s="35"/>
      <c r="T1912" s="91"/>
      <c r="U1912" s="60"/>
      <c r="V1912" s="36"/>
      <c r="W1912" s="31"/>
      <c r="X1912" s="59"/>
      <c r="Y1912" s="59" t="str">
        <f>IFERROR(VLOOKUP($A1912,APOIO!$A:$A,1,FALSE),"ERRO")</f>
        <v>ERRO</v>
      </c>
      <c r="Z1912"/>
    </row>
    <row r="1913" spans="1:26" ht="15" x14ac:dyDescent="0.25">
      <c r="A1913" s="94"/>
      <c r="B1913" s="32" t="str">
        <f>IF($A1913="","",VLOOKUP($A1913,APOIO!$A:$E,2,FALSE))</f>
        <v/>
      </c>
      <c r="C1913" s="94"/>
      <c r="D1913" s="32" t="str">
        <f>IF($A1913="","",INDEX(APOIO!$D:$D,MATCH(CONCATENATE($A1913,"_",$B1913,"_",$C1913),APOIO!$F:$F,0)))</f>
        <v/>
      </c>
      <c r="E1913" s="31"/>
      <c r="F1913" s="31"/>
      <c r="G1913" s="33"/>
      <c r="H1913" s="105"/>
      <c r="I1913" s="32" t="str">
        <f>IF($A1913="","",VLOOKUP($H1913,APOIO!$L:$M,2,FALSE))</f>
        <v/>
      </c>
      <c r="J1913" s="31"/>
      <c r="K1913" s="32" t="str">
        <f>IF($A1913="","",VLOOKUP($J1913,APOIO!$H:$J,2,FALSE))</f>
        <v/>
      </c>
      <c r="L1913" s="32" t="str">
        <f>IF($A1913="","",VLOOKUP($J1913,APOIO!$H:$J,3,FALSE))</f>
        <v/>
      </c>
      <c r="M1913" s="31"/>
      <c r="N1913" s="34"/>
      <c r="O1913" s="32"/>
      <c r="P1913" s="32"/>
      <c r="Q1913" s="32"/>
      <c r="R1913" s="32"/>
      <c r="S1913" s="35"/>
      <c r="T1913" s="91"/>
      <c r="U1913" s="60"/>
      <c r="V1913" s="36"/>
      <c r="W1913" s="31"/>
      <c r="X1913" s="59"/>
      <c r="Y1913" s="59" t="str">
        <f>IFERROR(VLOOKUP($A1913,APOIO!$A:$A,1,FALSE),"ERRO")</f>
        <v>ERRO</v>
      </c>
      <c r="Z1913"/>
    </row>
    <row r="1914" spans="1:26" ht="15" x14ac:dyDescent="0.25">
      <c r="A1914" s="94"/>
      <c r="B1914" s="32" t="str">
        <f>IF($A1914="","",VLOOKUP($A1914,APOIO!$A:$E,2,FALSE))</f>
        <v/>
      </c>
      <c r="C1914" s="94"/>
      <c r="D1914" s="32" t="str">
        <f>IF($A1914="","",INDEX(APOIO!$D:$D,MATCH(CONCATENATE($A1914,"_",$B1914,"_",$C1914),APOIO!$F:$F,0)))</f>
        <v/>
      </c>
      <c r="E1914" s="31"/>
      <c r="F1914" s="31"/>
      <c r="G1914" s="33"/>
      <c r="H1914" s="105"/>
      <c r="I1914" s="32" t="str">
        <f>IF($A1914="","",VLOOKUP($H1914,APOIO!$L:$M,2,FALSE))</f>
        <v/>
      </c>
      <c r="J1914" s="31"/>
      <c r="K1914" s="32" t="str">
        <f>IF($A1914="","",VLOOKUP($J1914,APOIO!$H:$J,2,FALSE))</f>
        <v/>
      </c>
      <c r="L1914" s="32" t="str">
        <f>IF($A1914="","",VLOOKUP($J1914,APOIO!$H:$J,3,FALSE))</f>
        <v/>
      </c>
      <c r="M1914" s="31"/>
      <c r="N1914" s="34"/>
      <c r="O1914" s="32"/>
      <c r="P1914" s="32"/>
      <c r="Q1914" s="32"/>
      <c r="R1914" s="32"/>
      <c r="S1914" s="35"/>
      <c r="T1914" s="91"/>
      <c r="U1914" s="60"/>
      <c r="V1914" s="36"/>
      <c r="W1914" s="31"/>
      <c r="X1914" s="59"/>
      <c r="Y1914" s="59" t="str">
        <f>IFERROR(VLOOKUP($A1914,APOIO!$A:$A,1,FALSE),"ERRO")</f>
        <v>ERRO</v>
      </c>
      <c r="Z1914"/>
    </row>
    <row r="1915" spans="1:26" ht="15" x14ac:dyDescent="0.25">
      <c r="A1915" s="94"/>
      <c r="B1915" s="32" t="str">
        <f>IF($A1915="","",VLOOKUP($A1915,APOIO!$A:$E,2,FALSE))</f>
        <v/>
      </c>
      <c r="C1915" s="94"/>
      <c r="D1915" s="32" t="str">
        <f>IF($A1915="","",INDEX(APOIO!$D:$D,MATCH(CONCATENATE($A1915,"_",$B1915,"_",$C1915),APOIO!$F:$F,0)))</f>
        <v/>
      </c>
      <c r="E1915" s="31"/>
      <c r="F1915" s="31"/>
      <c r="G1915" s="33"/>
      <c r="H1915" s="105"/>
      <c r="I1915" s="32" t="str">
        <f>IF($A1915="","",VLOOKUP($H1915,APOIO!$L:$M,2,FALSE))</f>
        <v/>
      </c>
      <c r="J1915" s="31"/>
      <c r="K1915" s="32" t="str">
        <f>IF($A1915="","",VLOOKUP($J1915,APOIO!$H:$J,2,FALSE))</f>
        <v/>
      </c>
      <c r="L1915" s="32" t="str">
        <f>IF($A1915="","",VLOOKUP($J1915,APOIO!$H:$J,3,FALSE))</f>
        <v/>
      </c>
      <c r="M1915" s="31"/>
      <c r="N1915" s="34"/>
      <c r="O1915" s="32"/>
      <c r="P1915" s="32"/>
      <c r="Q1915" s="32"/>
      <c r="R1915" s="32"/>
      <c r="S1915" s="35"/>
      <c r="T1915" s="91"/>
      <c r="U1915" s="60"/>
      <c r="V1915" s="36"/>
      <c r="W1915" s="31"/>
      <c r="X1915" s="59"/>
      <c r="Y1915" s="59" t="str">
        <f>IFERROR(VLOOKUP($A1915,APOIO!$A:$A,1,FALSE),"ERRO")</f>
        <v>ERRO</v>
      </c>
      <c r="Z1915"/>
    </row>
    <row r="1916" spans="1:26" ht="15" x14ac:dyDescent="0.25">
      <c r="A1916" s="94"/>
      <c r="B1916" s="32" t="str">
        <f>IF($A1916="","",VLOOKUP($A1916,APOIO!$A:$E,2,FALSE))</f>
        <v/>
      </c>
      <c r="C1916" s="94"/>
      <c r="D1916" s="32" t="str">
        <f>IF($A1916="","",INDEX(APOIO!$D:$D,MATCH(CONCATENATE($A1916,"_",$B1916,"_",$C1916),APOIO!$F:$F,0)))</f>
        <v/>
      </c>
      <c r="E1916" s="31"/>
      <c r="F1916" s="31"/>
      <c r="G1916" s="33"/>
      <c r="H1916" s="105"/>
      <c r="I1916" s="32" t="str">
        <f>IF($A1916="","",VLOOKUP($H1916,APOIO!$L:$M,2,FALSE))</f>
        <v/>
      </c>
      <c r="J1916" s="31"/>
      <c r="K1916" s="32" t="str">
        <f>IF($A1916="","",VLOOKUP($J1916,APOIO!$H:$J,2,FALSE))</f>
        <v/>
      </c>
      <c r="L1916" s="32" t="str">
        <f>IF($A1916="","",VLOOKUP($J1916,APOIO!$H:$J,3,FALSE))</f>
        <v/>
      </c>
      <c r="M1916" s="31"/>
      <c r="N1916" s="34"/>
      <c r="O1916" s="32"/>
      <c r="P1916" s="32"/>
      <c r="Q1916" s="32"/>
      <c r="R1916" s="32"/>
      <c r="S1916" s="35"/>
      <c r="T1916" s="91"/>
      <c r="U1916" s="60"/>
      <c r="V1916" s="36"/>
      <c r="W1916" s="31"/>
      <c r="X1916" s="59"/>
      <c r="Y1916" s="59" t="str">
        <f>IFERROR(VLOOKUP($A1916,APOIO!$A:$A,1,FALSE),"ERRO")</f>
        <v>ERRO</v>
      </c>
      <c r="Z1916"/>
    </row>
    <row r="1917" spans="1:26" ht="15" x14ac:dyDescent="0.25">
      <c r="A1917" s="94"/>
      <c r="B1917" s="32" t="str">
        <f>IF($A1917="","",VLOOKUP($A1917,APOIO!$A:$E,2,FALSE))</f>
        <v/>
      </c>
      <c r="C1917" s="94"/>
      <c r="D1917" s="32" t="str">
        <f>IF($A1917="","",INDEX(APOIO!$D:$D,MATCH(CONCATENATE($A1917,"_",$B1917,"_",$C1917),APOIO!$F:$F,0)))</f>
        <v/>
      </c>
      <c r="E1917" s="31"/>
      <c r="F1917" s="31"/>
      <c r="G1917" s="33"/>
      <c r="H1917" s="105"/>
      <c r="I1917" s="32" t="str">
        <f>IF($A1917="","",VLOOKUP($H1917,APOIO!$L:$M,2,FALSE))</f>
        <v/>
      </c>
      <c r="J1917" s="31"/>
      <c r="K1917" s="32" t="str">
        <f>IF($A1917="","",VLOOKUP($J1917,APOIO!$H:$J,2,FALSE))</f>
        <v/>
      </c>
      <c r="L1917" s="32" t="str">
        <f>IF($A1917="","",VLOOKUP($J1917,APOIO!$H:$J,3,FALSE))</f>
        <v/>
      </c>
      <c r="M1917" s="31"/>
      <c r="N1917" s="34"/>
      <c r="O1917" s="32"/>
      <c r="P1917" s="32"/>
      <c r="Q1917" s="32"/>
      <c r="R1917" s="32"/>
      <c r="S1917" s="35"/>
      <c r="T1917" s="91"/>
      <c r="U1917" s="60"/>
      <c r="V1917" s="36"/>
      <c r="W1917" s="31"/>
      <c r="X1917" s="59"/>
      <c r="Y1917" s="59" t="str">
        <f>IFERROR(VLOOKUP($A1917,APOIO!$A:$A,1,FALSE),"ERRO")</f>
        <v>ERRO</v>
      </c>
      <c r="Z1917"/>
    </row>
    <row r="1918" spans="1:26" ht="15" x14ac:dyDescent="0.25">
      <c r="A1918" s="94"/>
      <c r="B1918" s="32" t="str">
        <f>IF($A1918="","",VLOOKUP($A1918,APOIO!$A:$E,2,FALSE))</f>
        <v/>
      </c>
      <c r="C1918" s="94"/>
      <c r="D1918" s="32" t="str">
        <f>IF($A1918="","",INDEX(APOIO!$D:$D,MATCH(CONCATENATE($A1918,"_",$B1918,"_",$C1918),APOIO!$F:$F,0)))</f>
        <v/>
      </c>
      <c r="E1918" s="31"/>
      <c r="F1918" s="31"/>
      <c r="G1918" s="33"/>
      <c r="H1918" s="105"/>
      <c r="I1918" s="32" t="str">
        <f>IF($A1918="","",VLOOKUP($H1918,APOIO!$L:$M,2,FALSE))</f>
        <v/>
      </c>
      <c r="J1918" s="31"/>
      <c r="K1918" s="32" t="str">
        <f>IF($A1918="","",VLOOKUP($J1918,APOIO!$H:$J,2,FALSE))</f>
        <v/>
      </c>
      <c r="L1918" s="32" t="str">
        <f>IF($A1918="","",VLOOKUP($J1918,APOIO!$H:$J,3,FALSE))</f>
        <v/>
      </c>
      <c r="M1918" s="31"/>
      <c r="N1918" s="34"/>
      <c r="O1918" s="32"/>
      <c r="P1918" s="32"/>
      <c r="Q1918" s="32"/>
      <c r="R1918" s="32"/>
      <c r="S1918" s="35"/>
      <c r="T1918" s="91"/>
      <c r="U1918" s="60"/>
      <c r="V1918" s="36"/>
      <c r="W1918" s="31"/>
      <c r="X1918" s="59"/>
      <c r="Y1918" s="59" t="str">
        <f>IFERROR(VLOOKUP($A1918,APOIO!$A:$A,1,FALSE),"ERRO")</f>
        <v>ERRO</v>
      </c>
      <c r="Z1918"/>
    </row>
    <row r="1919" spans="1:26" ht="15" x14ac:dyDescent="0.25">
      <c r="A1919" s="94"/>
      <c r="B1919" s="32" t="str">
        <f>IF($A1919="","",VLOOKUP($A1919,APOIO!$A:$E,2,FALSE))</f>
        <v/>
      </c>
      <c r="C1919" s="94"/>
      <c r="D1919" s="32" t="str">
        <f>IF($A1919="","",INDEX(APOIO!$D:$D,MATCH(CONCATENATE($A1919,"_",$B1919,"_",$C1919),APOIO!$F:$F,0)))</f>
        <v/>
      </c>
      <c r="E1919" s="31"/>
      <c r="F1919" s="31"/>
      <c r="G1919" s="33"/>
      <c r="H1919" s="105"/>
      <c r="I1919" s="32" t="str">
        <f>IF($A1919="","",VLOOKUP($H1919,APOIO!$L:$M,2,FALSE))</f>
        <v/>
      </c>
      <c r="J1919" s="31"/>
      <c r="K1919" s="32" t="str">
        <f>IF($A1919="","",VLOOKUP($J1919,APOIO!$H:$J,2,FALSE))</f>
        <v/>
      </c>
      <c r="L1919" s="32" t="str">
        <f>IF($A1919="","",VLOOKUP($J1919,APOIO!$H:$J,3,FALSE))</f>
        <v/>
      </c>
      <c r="M1919" s="31"/>
      <c r="N1919" s="34"/>
      <c r="O1919" s="32"/>
      <c r="P1919" s="32"/>
      <c r="Q1919" s="32"/>
      <c r="R1919" s="32"/>
      <c r="S1919" s="35"/>
      <c r="T1919" s="91"/>
      <c r="U1919" s="60"/>
      <c r="V1919" s="36"/>
      <c r="W1919" s="31"/>
      <c r="X1919" s="59"/>
      <c r="Y1919" s="59" t="str">
        <f>IFERROR(VLOOKUP($A1919,APOIO!$A:$A,1,FALSE),"ERRO")</f>
        <v>ERRO</v>
      </c>
      <c r="Z1919"/>
    </row>
    <row r="1920" spans="1:26" ht="15" x14ac:dyDescent="0.25">
      <c r="A1920" s="94"/>
      <c r="B1920" s="32" t="str">
        <f>IF($A1920="","",VLOOKUP($A1920,APOIO!$A:$E,2,FALSE))</f>
        <v/>
      </c>
      <c r="C1920" s="94"/>
      <c r="D1920" s="32" t="str">
        <f>IF($A1920="","",INDEX(APOIO!$D:$D,MATCH(CONCATENATE($A1920,"_",$B1920,"_",$C1920),APOIO!$F:$F,0)))</f>
        <v/>
      </c>
      <c r="E1920" s="31"/>
      <c r="F1920" s="31"/>
      <c r="G1920" s="33"/>
      <c r="H1920" s="105"/>
      <c r="I1920" s="32" t="str">
        <f>IF($A1920="","",VLOOKUP($H1920,APOIO!$L:$M,2,FALSE))</f>
        <v/>
      </c>
      <c r="J1920" s="31"/>
      <c r="K1920" s="32" t="str">
        <f>IF($A1920="","",VLOOKUP($J1920,APOIO!$H:$J,2,FALSE))</f>
        <v/>
      </c>
      <c r="L1920" s="32" t="str">
        <f>IF($A1920="","",VLOOKUP($J1920,APOIO!$H:$J,3,FALSE))</f>
        <v/>
      </c>
      <c r="M1920" s="31"/>
      <c r="N1920" s="34"/>
      <c r="O1920" s="32"/>
      <c r="P1920" s="32"/>
      <c r="Q1920" s="32"/>
      <c r="R1920" s="32"/>
      <c r="S1920" s="35"/>
      <c r="T1920" s="91"/>
      <c r="U1920" s="60"/>
      <c r="V1920" s="36"/>
      <c r="W1920" s="31"/>
      <c r="X1920" s="59"/>
      <c r="Y1920" s="59" t="str">
        <f>IFERROR(VLOOKUP($A1920,APOIO!$A:$A,1,FALSE),"ERRO")</f>
        <v>ERRO</v>
      </c>
      <c r="Z1920"/>
    </row>
    <row r="1921" spans="1:26" ht="15" x14ac:dyDescent="0.25">
      <c r="A1921" s="94"/>
      <c r="B1921" s="32" t="str">
        <f>IF($A1921="","",VLOOKUP($A1921,APOIO!$A:$E,2,FALSE))</f>
        <v/>
      </c>
      <c r="C1921" s="94"/>
      <c r="D1921" s="32" t="str">
        <f>IF($A1921="","",INDEX(APOIO!$D:$D,MATCH(CONCATENATE($A1921,"_",$B1921,"_",$C1921),APOIO!$F:$F,0)))</f>
        <v/>
      </c>
      <c r="E1921" s="31"/>
      <c r="F1921" s="31"/>
      <c r="G1921" s="33"/>
      <c r="H1921" s="105"/>
      <c r="I1921" s="32" t="str">
        <f>IF($A1921="","",VLOOKUP($H1921,APOIO!$L:$M,2,FALSE))</f>
        <v/>
      </c>
      <c r="J1921" s="31"/>
      <c r="K1921" s="32" t="str">
        <f>IF($A1921="","",VLOOKUP($J1921,APOIO!$H:$J,2,FALSE))</f>
        <v/>
      </c>
      <c r="L1921" s="32" t="str">
        <f>IF($A1921="","",VLOOKUP($J1921,APOIO!$H:$J,3,FALSE))</f>
        <v/>
      </c>
      <c r="M1921" s="31"/>
      <c r="N1921" s="34"/>
      <c r="O1921" s="32"/>
      <c r="P1921" s="32"/>
      <c r="Q1921" s="32"/>
      <c r="R1921" s="32"/>
      <c r="S1921" s="35"/>
      <c r="T1921" s="91"/>
      <c r="U1921" s="60"/>
      <c r="V1921" s="36"/>
      <c r="W1921" s="31"/>
      <c r="X1921" s="59"/>
      <c r="Y1921" s="59" t="str">
        <f>IFERROR(VLOOKUP($A1921,APOIO!$A:$A,1,FALSE),"ERRO")</f>
        <v>ERRO</v>
      </c>
      <c r="Z1921"/>
    </row>
    <row r="1922" spans="1:26" ht="15" x14ac:dyDescent="0.25">
      <c r="A1922" s="94"/>
      <c r="B1922" s="32" t="str">
        <f>IF($A1922="","",VLOOKUP($A1922,APOIO!$A:$E,2,FALSE))</f>
        <v/>
      </c>
      <c r="C1922" s="94"/>
      <c r="D1922" s="32" t="str">
        <f>IF($A1922="","",INDEX(APOIO!$D:$D,MATCH(CONCATENATE($A1922,"_",$B1922,"_",$C1922),APOIO!$F:$F,0)))</f>
        <v/>
      </c>
      <c r="E1922" s="31"/>
      <c r="F1922" s="31"/>
      <c r="G1922" s="33"/>
      <c r="H1922" s="105"/>
      <c r="I1922" s="32" t="str">
        <f>IF($A1922="","",VLOOKUP($H1922,APOIO!$L:$M,2,FALSE))</f>
        <v/>
      </c>
      <c r="J1922" s="31"/>
      <c r="K1922" s="32" t="str">
        <f>IF($A1922="","",VLOOKUP($J1922,APOIO!$H:$J,2,FALSE))</f>
        <v/>
      </c>
      <c r="L1922" s="32" t="str">
        <f>IF($A1922="","",VLOOKUP($J1922,APOIO!$H:$J,3,FALSE))</f>
        <v/>
      </c>
      <c r="M1922" s="31"/>
      <c r="N1922" s="34"/>
      <c r="O1922" s="32"/>
      <c r="P1922" s="32"/>
      <c r="Q1922" s="32"/>
      <c r="R1922" s="32"/>
      <c r="S1922" s="35"/>
      <c r="T1922" s="91"/>
      <c r="U1922" s="60"/>
      <c r="V1922" s="36"/>
      <c r="W1922" s="31"/>
      <c r="X1922" s="59"/>
      <c r="Y1922" s="59" t="str">
        <f>IFERROR(VLOOKUP($A1922,APOIO!$A:$A,1,FALSE),"ERRO")</f>
        <v>ERRO</v>
      </c>
      <c r="Z1922"/>
    </row>
    <row r="1923" spans="1:26" ht="15" x14ac:dyDescent="0.25">
      <c r="A1923" s="94"/>
      <c r="B1923" s="32" t="str">
        <f>IF($A1923="","",VLOOKUP($A1923,APOIO!$A:$E,2,FALSE))</f>
        <v/>
      </c>
      <c r="C1923" s="94"/>
      <c r="D1923" s="32" t="str">
        <f>IF($A1923="","",INDEX(APOIO!$D:$D,MATCH(CONCATENATE($A1923,"_",$B1923,"_",$C1923),APOIO!$F:$F,0)))</f>
        <v/>
      </c>
      <c r="E1923" s="31"/>
      <c r="F1923" s="31"/>
      <c r="G1923" s="33"/>
      <c r="H1923" s="105"/>
      <c r="I1923" s="32" t="str">
        <f>IF($A1923="","",VLOOKUP($H1923,APOIO!$L:$M,2,FALSE))</f>
        <v/>
      </c>
      <c r="J1923" s="31"/>
      <c r="K1923" s="32" t="str">
        <f>IF($A1923="","",VLOOKUP($J1923,APOIO!$H:$J,2,FALSE))</f>
        <v/>
      </c>
      <c r="L1923" s="32" t="str">
        <f>IF($A1923="","",VLOOKUP($J1923,APOIO!$H:$J,3,FALSE))</f>
        <v/>
      </c>
      <c r="M1923" s="31"/>
      <c r="N1923" s="34"/>
      <c r="O1923" s="32"/>
      <c r="P1923" s="32"/>
      <c r="Q1923" s="32"/>
      <c r="R1923" s="32"/>
      <c r="S1923" s="35"/>
      <c r="T1923" s="91"/>
      <c r="U1923" s="60"/>
      <c r="V1923" s="36"/>
      <c r="W1923" s="31"/>
      <c r="X1923" s="59"/>
      <c r="Y1923" s="59" t="str">
        <f>IFERROR(VLOOKUP($A1923,APOIO!$A:$A,1,FALSE),"ERRO")</f>
        <v>ERRO</v>
      </c>
      <c r="Z1923"/>
    </row>
    <row r="1924" spans="1:26" ht="15" x14ac:dyDescent="0.25">
      <c r="A1924" s="94"/>
      <c r="B1924" s="32" t="str">
        <f>IF($A1924="","",VLOOKUP($A1924,APOIO!$A:$E,2,FALSE))</f>
        <v/>
      </c>
      <c r="C1924" s="94"/>
      <c r="D1924" s="32" t="str">
        <f>IF($A1924="","",INDEX(APOIO!$D:$D,MATCH(CONCATENATE($A1924,"_",$B1924,"_",$C1924),APOIO!$F:$F,0)))</f>
        <v/>
      </c>
      <c r="E1924" s="31"/>
      <c r="F1924" s="31"/>
      <c r="G1924" s="33"/>
      <c r="H1924" s="105"/>
      <c r="I1924" s="32" t="str">
        <f>IF($A1924="","",VLOOKUP($H1924,APOIO!$L:$M,2,FALSE))</f>
        <v/>
      </c>
      <c r="J1924" s="31"/>
      <c r="K1924" s="32" t="str">
        <f>IF($A1924="","",VLOOKUP($J1924,APOIO!$H:$J,2,FALSE))</f>
        <v/>
      </c>
      <c r="L1924" s="32" t="str">
        <f>IF($A1924="","",VLOOKUP($J1924,APOIO!$H:$J,3,FALSE))</f>
        <v/>
      </c>
      <c r="M1924" s="31"/>
      <c r="N1924" s="34"/>
      <c r="O1924" s="32"/>
      <c r="P1924" s="32"/>
      <c r="Q1924" s="32"/>
      <c r="R1924" s="32"/>
      <c r="S1924" s="35"/>
      <c r="T1924" s="91"/>
      <c r="U1924" s="60"/>
      <c r="V1924" s="36"/>
      <c r="W1924" s="31"/>
      <c r="X1924" s="59"/>
      <c r="Y1924" s="59" t="str">
        <f>IFERROR(VLOOKUP($A1924,APOIO!$A:$A,1,FALSE),"ERRO")</f>
        <v>ERRO</v>
      </c>
      <c r="Z1924"/>
    </row>
    <row r="1925" spans="1:26" ht="15" x14ac:dyDescent="0.25">
      <c r="A1925" s="94"/>
      <c r="B1925" s="32" t="str">
        <f>IF($A1925="","",VLOOKUP($A1925,APOIO!$A:$E,2,FALSE))</f>
        <v/>
      </c>
      <c r="C1925" s="94"/>
      <c r="D1925" s="32" t="str">
        <f>IF($A1925="","",INDEX(APOIO!$D:$D,MATCH(CONCATENATE($A1925,"_",$B1925,"_",$C1925),APOIO!$F:$F,0)))</f>
        <v/>
      </c>
      <c r="E1925" s="31"/>
      <c r="F1925" s="31"/>
      <c r="G1925" s="33"/>
      <c r="H1925" s="105"/>
      <c r="I1925" s="32" t="str">
        <f>IF($A1925="","",VLOOKUP($H1925,APOIO!$L:$M,2,FALSE))</f>
        <v/>
      </c>
      <c r="J1925" s="31"/>
      <c r="K1925" s="32" t="str">
        <f>IF($A1925="","",VLOOKUP($J1925,APOIO!$H:$J,2,FALSE))</f>
        <v/>
      </c>
      <c r="L1925" s="32" t="str">
        <f>IF($A1925="","",VLOOKUP($J1925,APOIO!$H:$J,3,FALSE))</f>
        <v/>
      </c>
      <c r="M1925" s="31"/>
      <c r="N1925" s="34"/>
      <c r="O1925" s="32"/>
      <c r="P1925" s="32"/>
      <c r="Q1925" s="32"/>
      <c r="R1925" s="32"/>
      <c r="S1925" s="35"/>
      <c r="T1925" s="91"/>
      <c r="U1925" s="60"/>
      <c r="V1925" s="36"/>
      <c r="W1925" s="31"/>
      <c r="X1925" s="59"/>
      <c r="Y1925" s="59" t="str">
        <f>IFERROR(VLOOKUP($A1925,APOIO!$A:$A,1,FALSE),"ERRO")</f>
        <v>ERRO</v>
      </c>
      <c r="Z1925"/>
    </row>
    <row r="1926" spans="1:26" ht="15" x14ac:dyDescent="0.25">
      <c r="A1926" s="94"/>
      <c r="B1926" s="32" t="str">
        <f>IF($A1926="","",VLOOKUP($A1926,APOIO!$A:$E,2,FALSE))</f>
        <v/>
      </c>
      <c r="C1926" s="94"/>
      <c r="D1926" s="32" t="str">
        <f>IF($A1926="","",INDEX(APOIO!$D:$D,MATCH(CONCATENATE($A1926,"_",$B1926,"_",$C1926),APOIO!$F:$F,0)))</f>
        <v/>
      </c>
      <c r="E1926" s="31"/>
      <c r="F1926" s="31"/>
      <c r="G1926" s="33"/>
      <c r="H1926" s="105"/>
      <c r="I1926" s="32" t="str">
        <f>IF($A1926="","",VLOOKUP($H1926,APOIO!$L:$M,2,FALSE))</f>
        <v/>
      </c>
      <c r="J1926" s="31"/>
      <c r="K1926" s="32" t="str">
        <f>IF($A1926="","",VLOOKUP($J1926,APOIO!$H:$J,2,FALSE))</f>
        <v/>
      </c>
      <c r="L1926" s="32" t="str">
        <f>IF($A1926="","",VLOOKUP($J1926,APOIO!$H:$J,3,FALSE))</f>
        <v/>
      </c>
      <c r="M1926" s="31"/>
      <c r="N1926" s="34"/>
      <c r="O1926" s="32"/>
      <c r="P1926" s="32"/>
      <c r="Q1926" s="32"/>
      <c r="R1926" s="32"/>
      <c r="S1926" s="35"/>
      <c r="T1926" s="91"/>
      <c r="U1926" s="60"/>
      <c r="V1926" s="36"/>
      <c r="W1926" s="31"/>
      <c r="X1926" s="59"/>
      <c r="Y1926" s="59" t="str">
        <f>IFERROR(VLOOKUP($A1926,APOIO!$A:$A,1,FALSE),"ERRO")</f>
        <v>ERRO</v>
      </c>
      <c r="Z1926"/>
    </row>
    <row r="1927" spans="1:26" ht="15" x14ac:dyDescent="0.25">
      <c r="A1927" s="94"/>
      <c r="B1927" s="32" t="str">
        <f>IF($A1927="","",VLOOKUP($A1927,APOIO!$A:$E,2,FALSE))</f>
        <v/>
      </c>
      <c r="C1927" s="94"/>
      <c r="D1927" s="32" t="str">
        <f>IF($A1927="","",INDEX(APOIO!$D:$D,MATCH(CONCATENATE($A1927,"_",$B1927,"_",$C1927),APOIO!$F:$F,0)))</f>
        <v/>
      </c>
      <c r="E1927" s="31"/>
      <c r="F1927" s="31"/>
      <c r="G1927" s="33"/>
      <c r="H1927" s="105"/>
      <c r="I1927" s="32" t="str">
        <f>IF($A1927="","",VLOOKUP($H1927,APOIO!$L:$M,2,FALSE))</f>
        <v/>
      </c>
      <c r="J1927" s="31"/>
      <c r="K1927" s="32" t="str">
        <f>IF($A1927="","",VLOOKUP($J1927,APOIO!$H:$J,2,FALSE))</f>
        <v/>
      </c>
      <c r="L1927" s="32" t="str">
        <f>IF($A1927="","",VLOOKUP($J1927,APOIO!$H:$J,3,FALSE))</f>
        <v/>
      </c>
      <c r="M1927" s="31"/>
      <c r="N1927" s="34"/>
      <c r="O1927" s="32"/>
      <c r="P1927" s="32"/>
      <c r="Q1927" s="32"/>
      <c r="R1927" s="32"/>
      <c r="S1927" s="35"/>
      <c r="T1927" s="91"/>
      <c r="U1927" s="60"/>
      <c r="V1927" s="36"/>
      <c r="W1927" s="31"/>
      <c r="X1927" s="59"/>
      <c r="Y1927" s="59" t="str">
        <f>IFERROR(VLOOKUP($A1927,APOIO!$A:$A,1,FALSE),"ERRO")</f>
        <v>ERRO</v>
      </c>
      <c r="Z1927"/>
    </row>
    <row r="1928" spans="1:26" ht="15" x14ac:dyDescent="0.25">
      <c r="A1928" s="94"/>
      <c r="B1928" s="32" t="str">
        <f>IF($A1928="","",VLOOKUP($A1928,APOIO!$A:$E,2,FALSE))</f>
        <v/>
      </c>
      <c r="C1928" s="94"/>
      <c r="D1928" s="32" t="str">
        <f>IF($A1928="","",INDEX(APOIO!$D:$D,MATCH(CONCATENATE($A1928,"_",$B1928,"_",$C1928),APOIO!$F:$F,0)))</f>
        <v/>
      </c>
      <c r="E1928" s="31"/>
      <c r="F1928" s="31"/>
      <c r="G1928" s="33"/>
      <c r="H1928" s="105"/>
      <c r="I1928" s="32" t="str">
        <f>IF($A1928="","",VLOOKUP($H1928,APOIO!$L:$M,2,FALSE))</f>
        <v/>
      </c>
      <c r="J1928" s="31"/>
      <c r="K1928" s="32" t="str">
        <f>IF($A1928="","",VLOOKUP($J1928,APOIO!$H:$J,2,FALSE))</f>
        <v/>
      </c>
      <c r="L1928" s="32" t="str">
        <f>IF($A1928="","",VLOOKUP($J1928,APOIO!$H:$J,3,FALSE))</f>
        <v/>
      </c>
      <c r="M1928" s="31"/>
      <c r="N1928" s="34"/>
      <c r="O1928" s="32"/>
      <c r="P1928" s="32"/>
      <c r="Q1928" s="32"/>
      <c r="R1928" s="32"/>
      <c r="S1928" s="35"/>
      <c r="T1928" s="91"/>
      <c r="U1928" s="60"/>
      <c r="V1928" s="36"/>
      <c r="W1928" s="31"/>
      <c r="X1928" s="59"/>
      <c r="Y1928" s="59" t="str">
        <f>IFERROR(VLOOKUP($A1928,APOIO!$A:$A,1,FALSE),"ERRO")</f>
        <v>ERRO</v>
      </c>
      <c r="Z1928"/>
    </row>
    <row r="1929" spans="1:26" ht="15" x14ac:dyDescent="0.25">
      <c r="A1929" s="94"/>
      <c r="B1929" s="32" t="str">
        <f>IF($A1929="","",VLOOKUP($A1929,APOIO!$A:$E,2,FALSE))</f>
        <v/>
      </c>
      <c r="C1929" s="94"/>
      <c r="D1929" s="32" t="str">
        <f>IF($A1929="","",INDEX(APOIO!$D:$D,MATCH(CONCATENATE($A1929,"_",$B1929,"_",$C1929),APOIO!$F:$F,0)))</f>
        <v/>
      </c>
      <c r="E1929" s="31"/>
      <c r="F1929" s="31"/>
      <c r="G1929" s="33"/>
      <c r="H1929" s="105"/>
      <c r="I1929" s="32" t="str">
        <f>IF($A1929="","",VLOOKUP($H1929,APOIO!$L:$M,2,FALSE))</f>
        <v/>
      </c>
      <c r="J1929" s="31"/>
      <c r="K1929" s="32" t="str">
        <f>IF($A1929="","",VLOOKUP($J1929,APOIO!$H:$J,2,FALSE))</f>
        <v/>
      </c>
      <c r="L1929" s="32" t="str">
        <f>IF($A1929="","",VLOOKUP($J1929,APOIO!$H:$J,3,FALSE))</f>
        <v/>
      </c>
      <c r="M1929" s="31"/>
      <c r="N1929" s="34"/>
      <c r="O1929" s="32"/>
      <c r="P1929" s="32"/>
      <c r="Q1929" s="32"/>
      <c r="R1929" s="32"/>
      <c r="S1929" s="35"/>
      <c r="T1929" s="91"/>
      <c r="U1929" s="60"/>
      <c r="V1929" s="36"/>
      <c r="W1929" s="31"/>
      <c r="X1929" s="59"/>
      <c r="Y1929" s="59" t="str">
        <f>IFERROR(VLOOKUP($A1929,APOIO!$A:$A,1,FALSE),"ERRO")</f>
        <v>ERRO</v>
      </c>
      <c r="Z1929"/>
    </row>
    <row r="1930" spans="1:26" ht="15" x14ac:dyDescent="0.25">
      <c r="A1930" s="94"/>
      <c r="B1930" s="32" t="str">
        <f>IF($A1930="","",VLOOKUP($A1930,APOIO!$A:$E,2,FALSE))</f>
        <v/>
      </c>
      <c r="C1930" s="94"/>
      <c r="D1930" s="32" t="str">
        <f>IF($A1930="","",INDEX(APOIO!$D:$D,MATCH(CONCATENATE($A1930,"_",$B1930,"_",$C1930),APOIO!$F:$F,0)))</f>
        <v/>
      </c>
      <c r="E1930" s="31"/>
      <c r="F1930" s="31"/>
      <c r="G1930" s="33"/>
      <c r="H1930" s="105"/>
      <c r="I1930" s="32" t="str">
        <f>IF($A1930="","",VLOOKUP($H1930,APOIO!$L:$M,2,FALSE))</f>
        <v/>
      </c>
      <c r="J1930" s="31"/>
      <c r="K1930" s="32" t="str">
        <f>IF($A1930="","",VLOOKUP($J1930,APOIO!$H:$J,2,FALSE))</f>
        <v/>
      </c>
      <c r="L1930" s="32" t="str">
        <f>IF($A1930="","",VLOOKUP($J1930,APOIO!$H:$J,3,FALSE))</f>
        <v/>
      </c>
      <c r="M1930" s="31"/>
      <c r="N1930" s="34"/>
      <c r="O1930" s="32"/>
      <c r="P1930" s="32"/>
      <c r="Q1930" s="32"/>
      <c r="R1930" s="32"/>
      <c r="S1930" s="35"/>
      <c r="T1930" s="91"/>
      <c r="U1930" s="60"/>
      <c r="V1930" s="36"/>
      <c r="W1930" s="31"/>
      <c r="X1930" s="59"/>
      <c r="Y1930" s="59" t="str">
        <f>IFERROR(VLOOKUP($A1930,APOIO!$A:$A,1,FALSE),"ERRO")</f>
        <v>ERRO</v>
      </c>
      <c r="Z1930"/>
    </row>
    <row r="1931" spans="1:26" ht="15" x14ac:dyDescent="0.25">
      <c r="A1931" s="94"/>
      <c r="B1931" s="32" t="str">
        <f>IF($A1931="","",VLOOKUP($A1931,APOIO!$A:$E,2,FALSE))</f>
        <v/>
      </c>
      <c r="C1931" s="94"/>
      <c r="D1931" s="32" t="str">
        <f>IF($A1931="","",INDEX(APOIO!$D:$D,MATCH(CONCATENATE($A1931,"_",$B1931,"_",$C1931),APOIO!$F:$F,0)))</f>
        <v/>
      </c>
      <c r="E1931" s="31"/>
      <c r="F1931" s="31"/>
      <c r="G1931" s="33"/>
      <c r="H1931" s="105"/>
      <c r="I1931" s="32" t="str">
        <f>IF($A1931="","",VLOOKUP($H1931,APOIO!$L:$M,2,FALSE))</f>
        <v/>
      </c>
      <c r="J1931" s="31"/>
      <c r="K1931" s="32" t="str">
        <f>IF($A1931="","",VLOOKUP($J1931,APOIO!$H:$J,2,FALSE))</f>
        <v/>
      </c>
      <c r="L1931" s="32" t="str">
        <f>IF($A1931="","",VLOOKUP($J1931,APOIO!$H:$J,3,FALSE))</f>
        <v/>
      </c>
      <c r="M1931" s="31"/>
      <c r="N1931" s="34"/>
      <c r="O1931" s="32"/>
      <c r="P1931" s="32"/>
      <c r="Q1931" s="32"/>
      <c r="R1931" s="32"/>
      <c r="S1931" s="35"/>
      <c r="T1931" s="91"/>
      <c r="U1931" s="60"/>
      <c r="V1931" s="36"/>
      <c r="W1931" s="31"/>
      <c r="X1931" s="59"/>
      <c r="Y1931" s="59" t="str">
        <f>IFERROR(VLOOKUP($A1931,APOIO!$A:$A,1,FALSE),"ERRO")</f>
        <v>ERRO</v>
      </c>
      <c r="Z1931"/>
    </row>
    <row r="1932" spans="1:26" ht="15" x14ac:dyDescent="0.25">
      <c r="A1932" s="94"/>
      <c r="B1932" s="32" t="str">
        <f>IF($A1932="","",VLOOKUP($A1932,APOIO!$A:$E,2,FALSE))</f>
        <v/>
      </c>
      <c r="C1932" s="94"/>
      <c r="D1932" s="32" t="str">
        <f>IF($A1932="","",INDEX(APOIO!$D:$D,MATCH(CONCATENATE($A1932,"_",$B1932,"_",$C1932),APOIO!$F:$F,0)))</f>
        <v/>
      </c>
      <c r="E1932" s="31"/>
      <c r="F1932" s="31"/>
      <c r="G1932" s="33"/>
      <c r="H1932" s="105"/>
      <c r="I1932" s="32" t="str">
        <f>IF($A1932="","",VLOOKUP($H1932,APOIO!$L:$M,2,FALSE))</f>
        <v/>
      </c>
      <c r="J1932" s="31"/>
      <c r="K1932" s="32" t="str">
        <f>IF($A1932="","",VLOOKUP($J1932,APOIO!$H:$J,2,FALSE))</f>
        <v/>
      </c>
      <c r="L1932" s="32" t="str">
        <f>IF($A1932="","",VLOOKUP($J1932,APOIO!$H:$J,3,FALSE))</f>
        <v/>
      </c>
      <c r="M1932" s="31"/>
      <c r="N1932" s="34"/>
      <c r="O1932" s="32"/>
      <c r="P1932" s="32"/>
      <c r="Q1932" s="32"/>
      <c r="R1932" s="32"/>
      <c r="S1932" s="35"/>
      <c r="T1932" s="91"/>
      <c r="U1932" s="60"/>
      <c r="V1932" s="36"/>
      <c r="W1932" s="31"/>
      <c r="X1932" s="59"/>
      <c r="Y1932" s="59" t="str">
        <f>IFERROR(VLOOKUP($A1932,APOIO!$A:$A,1,FALSE),"ERRO")</f>
        <v>ERRO</v>
      </c>
      <c r="Z1932"/>
    </row>
    <row r="1933" spans="1:26" ht="15" x14ac:dyDescent="0.25">
      <c r="A1933" s="94"/>
      <c r="B1933" s="32" t="str">
        <f>IF($A1933="","",VLOOKUP($A1933,APOIO!$A:$E,2,FALSE))</f>
        <v/>
      </c>
      <c r="C1933" s="94"/>
      <c r="D1933" s="32" t="str">
        <f>IF($A1933="","",INDEX(APOIO!$D:$D,MATCH(CONCATENATE($A1933,"_",$B1933,"_",$C1933),APOIO!$F:$F,0)))</f>
        <v/>
      </c>
      <c r="E1933" s="31"/>
      <c r="F1933" s="31"/>
      <c r="G1933" s="33"/>
      <c r="H1933" s="105"/>
      <c r="I1933" s="32" t="str">
        <f>IF($A1933="","",VLOOKUP($H1933,APOIO!$L:$M,2,FALSE))</f>
        <v/>
      </c>
      <c r="J1933" s="31"/>
      <c r="K1933" s="32" t="str">
        <f>IF($A1933="","",VLOOKUP($J1933,APOIO!$H:$J,2,FALSE))</f>
        <v/>
      </c>
      <c r="L1933" s="32" t="str">
        <f>IF($A1933="","",VLOOKUP($J1933,APOIO!$H:$J,3,FALSE))</f>
        <v/>
      </c>
      <c r="M1933" s="31"/>
      <c r="N1933" s="34"/>
      <c r="O1933" s="32"/>
      <c r="P1933" s="32"/>
      <c r="Q1933" s="32"/>
      <c r="R1933" s="32"/>
      <c r="S1933" s="35"/>
      <c r="T1933" s="91"/>
      <c r="U1933" s="60"/>
      <c r="V1933" s="36"/>
      <c r="W1933" s="31"/>
      <c r="X1933" s="59"/>
      <c r="Y1933" s="59" t="str">
        <f>IFERROR(VLOOKUP($A1933,APOIO!$A:$A,1,FALSE),"ERRO")</f>
        <v>ERRO</v>
      </c>
      <c r="Z1933"/>
    </row>
    <row r="1934" spans="1:26" ht="15" x14ac:dyDescent="0.25">
      <c r="A1934" s="94"/>
      <c r="B1934" s="32" t="str">
        <f>IF($A1934="","",VLOOKUP($A1934,APOIO!$A:$E,2,FALSE))</f>
        <v/>
      </c>
      <c r="C1934" s="94"/>
      <c r="D1934" s="32" t="str">
        <f>IF($A1934="","",INDEX(APOIO!$D:$D,MATCH(CONCATENATE($A1934,"_",$B1934,"_",$C1934),APOIO!$F:$F,0)))</f>
        <v/>
      </c>
      <c r="E1934" s="31"/>
      <c r="F1934" s="31"/>
      <c r="G1934" s="33"/>
      <c r="H1934" s="105"/>
      <c r="I1934" s="32" t="str">
        <f>IF($A1934="","",VLOOKUP($H1934,APOIO!$L:$M,2,FALSE))</f>
        <v/>
      </c>
      <c r="J1934" s="31"/>
      <c r="K1934" s="32" t="str">
        <f>IF($A1934="","",VLOOKUP($J1934,APOIO!$H:$J,2,FALSE))</f>
        <v/>
      </c>
      <c r="L1934" s="32" t="str">
        <f>IF($A1934="","",VLOOKUP($J1934,APOIO!$H:$J,3,FALSE))</f>
        <v/>
      </c>
      <c r="M1934" s="31"/>
      <c r="N1934" s="34"/>
      <c r="O1934" s="32"/>
      <c r="P1934" s="32"/>
      <c r="Q1934" s="32"/>
      <c r="R1934" s="32"/>
      <c r="S1934" s="35"/>
      <c r="T1934" s="91"/>
      <c r="U1934" s="60"/>
      <c r="V1934" s="36"/>
      <c r="W1934" s="31"/>
      <c r="X1934" s="59"/>
      <c r="Y1934" s="59" t="str">
        <f>IFERROR(VLOOKUP($A1934,APOIO!$A:$A,1,FALSE),"ERRO")</f>
        <v>ERRO</v>
      </c>
      <c r="Z1934"/>
    </row>
    <row r="1935" spans="1:26" ht="15" x14ac:dyDescent="0.25">
      <c r="A1935" s="94"/>
      <c r="B1935" s="32" t="str">
        <f>IF($A1935="","",VLOOKUP($A1935,APOIO!$A:$E,2,FALSE))</f>
        <v/>
      </c>
      <c r="C1935" s="94"/>
      <c r="D1935" s="32" t="str">
        <f>IF($A1935="","",INDEX(APOIO!$D:$D,MATCH(CONCATENATE($A1935,"_",$B1935,"_",$C1935),APOIO!$F:$F,0)))</f>
        <v/>
      </c>
      <c r="E1935" s="31"/>
      <c r="F1935" s="31"/>
      <c r="G1935" s="33"/>
      <c r="H1935" s="105"/>
      <c r="I1935" s="32" t="str">
        <f>IF($A1935="","",VLOOKUP($H1935,APOIO!$L:$M,2,FALSE))</f>
        <v/>
      </c>
      <c r="J1935" s="31"/>
      <c r="K1935" s="32" t="str">
        <f>IF($A1935="","",VLOOKUP($J1935,APOIO!$H:$J,2,FALSE))</f>
        <v/>
      </c>
      <c r="L1935" s="32" t="str">
        <f>IF($A1935="","",VLOOKUP($J1935,APOIO!$H:$J,3,FALSE))</f>
        <v/>
      </c>
      <c r="M1935" s="31"/>
      <c r="N1935" s="34"/>
      <c r="O1935" s="32"/>
      <c r="P1935" s="32"/>
      <c r="Q1935" s="32"/>
      <c r="R1935" s="32"/>
      <c r="S1935" s="35"/>
      <c r="T1935" s="91"/>
      <c r="U1935" s="60"/>
      <c r="V1935" s="36"/>
      <c r="W1935" s="31"/>
      <c r="X1935" s="59"/>
      <c r="Y1935" s="59" t="str">
        <f>IFERROR(VLOOKUP($A1935,APOIO!$A:$A,1,FALSE),"ERRO")</f>
        <v>ERRO</v>
      </c>
      <c r="Z1935"/>
    </row>
    <row r="1936" spans="1:26" ht="15" x14ac:dyDescent="0.25">
      <c r="A1936" s="94"/>
      <c r="B1936" s="32" t="str">
        <f>IF($A1936="","",VLOOKUP($A1936,APOIO!$A:$E,2,FALSE))</f>
        <v/>
      </c>
      <c r="C1936" s="94"/>
      <c r="D1936" s="32" t="str">
        <f>IF($A1936="","",INDEX(APOIO!$D:$D,MATCH(CONCATENATE($A1936,"_",$B1936,"_",$C1936),APOIO!$F:$F,0)))</f>
        <v/>
      </c>
      <c r="E1936" s="31"/>
      <c r="F1936" s="31"/>
      <c r="G1936" s="33"/>
      <c r="H1936" s="105"/>
      <c r="I1936" s="32" t="str">
        <f>IF($A1936="","",VLOOKUP($H1936,APOIO!$L:$M,2,FALSE))</f>
        <v/>
      </c>
      <c r="J1936" s="31"/>
      <c r="K1936" s="32" t="str">
        <f>IF($A1936="","",VLOOKUP($J1936,APOIO!$H:$J,2,FALSE))</f>
        <v/>
      </c>
      <c r="L1936" s="32" t="str">
        <f>IF($A1936="","",VLOOKUP($J1936,APOIO!$H:$J,3,FALSE))</f>
        <v/>
      </c>
      <c r="M1936" s="31"/>
      <c r="N1936" s="34"/>
      <c r="O1936" s="32"/>
      <c r="P1936" s="32"/>
      <c r="Q1936" s="32"/>
      <c r="R1936" s="32"/>
      <c r="S1936" s="35"/>
      <c r="T1936" s="91"/>
      <c r="U1936" s="60"/>
      <c r="V1936" s="36"/>
      <c r="W1936" s="31"/>
      <c r="X1936" s="59"/>
      <c r="Y1936" s="59" t="str">
        <f>IFERROR(VLOOKUP($A1936,APOIO!$A:$A,1,FALSE),"ERRO")</f>
        <v>ERRO</v>
      </c>
      <c r="Z1936"/>
    </row>
    <row r="1937" spans="1:26" ht="15" x14ac:dyDescent="0.25">
      <c r="A1937" s="94"/>
      <c r="B1937" s="32" t="str">
        <f>IF($A1937="","",VLOOKUP($A1937,APOIO!$A:$E,2,FALSE))</f>
        <v/>
      </c>
      <c r="C1937" s="94"/>
      <c r="D1937" s="32" t="str">
        <f>IF($A1937="","",INDEX(APOIO!$D:$D,MATCH(CONCATENATE($A1937,"_",$B1937,"_",$C1937),APOIO!$F:$F,0)))</f>
        <v/>
      </c>
      <c r="E1937" s="31"/>
      <c r="F1937" s="31"/>
      <c r="G1937" s="33"/>
      <c r="H1937" s="105"/>
      <c r="I1937" s="32" t="str">
        <f>IF($A1937="","",VLOOKUP($H1937,APOIO!$L:$M,2,FALSE))</f>
        <v/>
      </c>
      <c r="J1937" s="31"/>
      <c r="K1937" s="32" t="str">
        <f>IF($A1937="","",VLOOKUP($J1937,APOIO!$H:$J,2,FALSE))</f>
        <v/>
      </c>
      <c r="L1937" s="32" t="str">
        <f>IF($A1937="","",VLOOKUP($J1937,APOIO!$H:$J,3,FALSE))</f>
        <v/>
      </c>
      <c r="M1937" s="31"/>
      <c r="N1937" s="34"/>
      <c r="O1937" s="32"/>
      <c r="P1937" s="32"/>
      <c r="Q1937" s="32"/>
      <c r="R1937" s="32"/>
      <c r="S1937" s="35"/>
      <c r="T1937" s="91"/>
      <c r="U1937" s="60"/>
      <c r="V1937" s="36"/>
      <c r="W1937" s="31"/>
      <c r="X1937" s="59"/>
      <c r="Y1937" s="59" t="str">
        <f>IFERROR(VLOOKUP($A1937,APOIO!$A:$A,1,FALSE),"ERRO")</f>
        <v>ERRO</v>
      </c>
      <c r="Z1937"/>
    </row>
    <row r="1938" spans="1:26" ht="15" x14ac:dyDescent="0.25">
      <c r="A1938" s="94"/>
      <c r="B1938" s="32" t="str">
        <f>IF($A1938="","",VLOOKUP($A1938,APOIO!$A:$E,2,FALSE))</f>
        <v/>
      </c>
      <c r="C1938" s="94"/>
      <c r="D1938" s="32" t="str">
        <f>IF($A1938="","",INDEX(APOIO!$D:$D,MATCH(CONCATENATE($A1938,"_",$B1938,"_",$C1938),APOIO!$F:$F,0)))</f>
        <v/>
      </c>
      <c r="E1938" s="31"/>
      <c r="F1938" s="31"/>
      <c r="G1938" s="33"/>
      <c r="H1938" s="105"/>
      <c r="I1938" s="32" t="str">
        <f>IF($A1938="","",VLOOKUP($H1938,APOIO!$L:$M,2,FALSE))</f>
        <v/>
      </c>
      <c r="J1938" s="31"/>
      <c r="K1938" s="32" t="str">
        <f>IF($A1938="","",VLOOKUP($J1938,APOIO!$H:$J,2,FALSE))</f>
        <v/>
      </c>
      <c r="L1938" s="32" t="str">
        <f>IF($A1938="","",VLOOKUP($J1938,APOIO!$H:$J,3,FALSE))</f>
        <v/>
      </c>
      <c r="M1938" s="31"/>
      <c r="N1938" s="34"/>
      <c r="O1938" s="32"/>
      <c r="P1938" s="32"/>
      <c r="Q1938" s="32"/>
      <c r="R1938" s="32"/>
      <c r="S1938" s="35"/>
      <c r="T1938" s="91"/>
      <c r="U1938" s="60"/>
      <c r="V1938" s="36"/>
      <c r="W1938" s="31"/>
      <c r="X1938" s="59"/>
      <c r="Y1938" s="59" t="str">
        <f>IFERROR(VLOOKUP($A1938,APOIO!$A:$A,1,FALSE),"ERRO")</f>
        <v>ERRO</v>
      </c>
      <c r="Z1938"/>
    </row>
    <row r="1939" spans="1:26" ht="15" x14ac:dyDescent="0.25">
      <c r="A1939" s="94"/>
      <c r="B1939" s="32" t="str">
        <f>IF($A1939="","",VLOOKUP($A1939,APOIO!$A:$E,2,FALSE))</f>
        <v/>
      </c>
      <c r="C1939" s="94"/>
      <c r="D1939" s="32" t="str">
        <f>IF($A1939="","",INDEX(APOIO!$D:$D,MATCH(CONCATENATE($A1939,"_",$B1939,"_",$C1939),APOIO!$F:$F,0)))</f>
        <v/>
      </c>
      <c r="E1939" s="31"/>
      <c r="F1939" s="31"/>
      <c r="G1939" s="33"/>
      <c r="H1939" s="105"/>
      <c r="I1939" s="32" t="str">
        <f>IF($A1939="","",VLOOKUP($H1939,APOIO!$L:$M,2,FALSE))</f>
        <v/>
      </c>
      <c r="J1939" s="31"/>
      <c r="K1939" s="32" t="str">
        <f>IF($A1939="","",VLOOKUP($J1939,APOIO!$H:$J,2,FALSE))</f>
        <v/>
      </c>
      <c r="L1939" s="32" t="str">
        <f>IF($A1939="","",VLOOKUP($J1939,APOIO!$H:$J,3,FALSE))</f>
        <v/>
      </c>
      <c r="M1939" s="31"/>
      <c r="N1939" s="34"/>
      <c r="O1939" s="32"/>
      <c r="P1939" s="32"/>
      <c r="Q1939" s="32"/>
      <c r="R1939" s="32"/>
      <c r="S1939" s="35"/>
      <c r="T1939" s="91"/>
      <c r="U1939" s="60"/>
      <c r="V1939" s="36"/>
      <c r="W1939" s="31"/>
      <c r="X1939" s="59"/>
      <c r="Y1939" s="59" t="str">
        <f>IFERROR(VLOOKUP($A1939,APOIO!$A:$A,1,FALSE),"ERRO")</f>
        <v>ERRO</v>
      </c>
      <c r="Z1939"/>
    </row>
    <row r="1940" spans="1:26" ht="15" x14ac:dyDescent="0.25">
      <c r="A1940" s="94"/>
      <c r="B1940" s="32" t="str">
        <f>IF($A1940="","",VLOOKUP($A1940,APOIO!$A:$E,2,FALSE))</f>
        <v/>
      </c>
      <c r="C1940" s="94"/>
      <c r="D1940" s="32" t="str">
        <f>IF($A1940="","",INDEX(APOIO!$D:$D,MATCH(CONCATENATE($A1940,"_",$B1940,"_",$C1940),APOIO!$F:$F,0)))</f>
        <v/>
      </c>
      <c r="E1940" s="31"/>
      <c r="F1940" s="31"/>
      <c r="G1940" s="33"/>
      <c r="H1940" s="105"/>
      <c r="I1940" s="32" t="str">
        <f>IF($A1940="","",VLOOKUP($H1940,APOIO!$L:$M,2,FALSE))</f>
        <v/>
      </c>
      <c r="J1940" s="31"/>
      <c r="K1940" s="32" t="str">
        <f>IF($A1940="","",VLOOKUP($J1940,APOIO!$H:$J,2,FALSE))</f>
        <v/>
      </c>
      <c r="L1940" s="32" t="str">
        <f>IF($A1940="","",VLOOKUP($J1940,APOIO!$H:$J,3,FALSE))</f>
        <v/>
      </c>
      <c r="M1940" s="31"/>
      <c r="N1940" s="34"/>
      <c r="O1940" s="32"/>
      <c r="P1940" s="32"/>
      <c r="Q1940" s="32"/>
      <c r="R1940" s="32"/>
      <c r="S1940" s="35"/>
      <c r="T1940" s="91"/>
      <c r="U1940" s="60"/>
      <c r="V1940" s="36"/>
      <c r="W1940" s="31"/>
      <c r="X1940" s="59"/>
      <c r="Y1940" s="59" t="str">
        <f>IFERROR(VLOOKUP($A1940,APOIO!$A:$A,1,FALSE),"ERRO")</f>
        <v>ERRO</v>
      </c>
      <c r="Z1940"/>
    </row>
    <row r="1941" spans="1:26" ht="15" x14ac:dyDescent="0.25">
      <c r="A1941" s="94"/>
      <c r="B1941" s="32" t="str">
        <f>IF($A1941="","",VLOOKUP($A1941,APOIO!$A:$E,2,FALSE))</f>
        <v/>
      </c>
      <c r="C1941" s="94"/>
      <c r="D1941" s="32" t="str">
        <f>IF($A1941="","",INDEX(APOIO!$D:$D,MATCH(CONCATENATE($A1941,"_",$B1941,"_",$C1941),APOIO!$F:$F,0)))</f>
        <v/>
      </c>
      <c r="E1941" s="31"/>
      <c r="F1941" s="31"/>
      <c r="G1941" s="33"/>
      <c r="H1941" s="105"/>
      <c r="I1941" s="32" t="str">
        <f>IF($A1941="","",VLOOKUP($H1941,APOIO!$L:$M,2,FALSE))</f>
        <v/>
      </c>
      <c r="J1941" s="31"/>
      <c r="K1941" s="32" t="str">
        <f>IF($A1941="","",VLOOKUP($J1941,APOIO!$H:$J,2,FALSE))</f>
        <v/>
      </c>
      <c r="L1941" s="32" t="str">
        <f>IF($A1941="","",VLOOKUP($J1941,APOIO!$H:$J,3,FALSE))</f>
        <v/>
      </c>
      <c r="M1941" s="31"/>
      <c r="N1941" s="34"/>
      <c r="O1941" s="32"/>
      <c r="P1941" s="32"/>
      <c r="Q1941" s="32"/>
      <c r="R1941" s="32"/>
      <c r="S1941" s="35"/>
      <c r="T1941" s="91"/>
      <c r="U1941" s="60"/>
      <c r="V1941" s="36"/>
      <c r="W1941" s="31"/>
      <c r="X1941" s="59"/>
      <c r="Y1941" s="59" t="str">
        <f>IFERROR(VLOOKUP($A1941,APOIO!$A:$A,1,FALSE),"ERRO")</f>
        <v>ERRO</v>
      </c>
      <c r="Z1941"/>
    </row>
    <row r="1942" spans="1:26" ht="15" x14ac:dyDescent="0.25">
      <c r="A1942" s="94"/>
      <c r="B1942" s="32" t="str">
        <f>IF($A1942="","",VLOOKUP($A1942,APOIO!$A:$E,2,FALSE))</f>
        <v/>
      </c>
      <c r="C1942" s="94"/>
      <c r="D1942" s="32" t="str">
        <f>IF($A1942="","",INDEX(APOIO!$D:$D,MATCH(CONCATENATE($A1942,"_",$B1942,"_",$C1942),APOIO!$F:$F,0)))</f>
        <v/>
      </c>
      <c r="E1942" s="31"/>
      <c r="F1942" s="31"/>
      <c r="G1942" s="33"/>
      <c r="H1942" s="105"/>
      <c r="I1942" s="32" t="str">
        <f>IF($A1942="","",VLOOKUP($H1942,APOIO!$L:$M,2,FALSE))</f>
        <v/>
      </c>
      <c r="J1942" s="31"/>
      <c r="K1942" s="32" t="str">
        <f>IF($A1942="","",VLOOKUP($J1942,APOIO!$H:$J,2,FALSE))</f>
        <v/>
      </c>
      <c r="L1942" s="32" t="str">
        <f>IF($A1942="","",VLOOKUP($J1942,APOIO!$H:$J,3,FALSE))</f>
        <v/>
      </c>
      <c r="M1942" s="31"/>
      <c r="N1942" s="34"/>
      <c r="O1942" s="32"/>
      <c r="P1942" s="32"/>
      <c r="Q1942" s="32"/>
      <c r="R1942" s="32"/>
      <c r="S1942" s="35"/>
      <c r="T1942" s="91"/>
      <c r="U1942" s="60"/>
      <c r="V1942" s="36"/>
      <c r="W1942" s="31"/>
      <c r="X1942" s="59"/>
      <c r="Y1942" s="59" t="str">
        <f>IFERROR(VLOOKUP($A1942,APOIO!$A:$A,1,FALSE),"ERRO")</f>
        <v>ERRO</v>
      </c>
      <c r="Z1942"/>
    </row>
    <row r="1943" spans="1:26" ht="15" x14ac:dyDescent="0.25">
      <c r="A1943" s="94"/>
      <c r="B1943" s="32" t="str">
        <f>IF($A1943="","",VLOOKUP($A1943,APOIO!$A:$E,2,FALSE))</f>
        <v/>
      </c>
      <c r="C1943" s="94"/>
      <c r="D1943" s="32" t="str">
        <f>IF($A1943="","",INDEX(APOIO!$D:$D,MATCH(CONCATENATE($A1943,"_",$B1943,"_",$C1943),APOIO!$F:$F,0)))</f>
        <v/>
      </c>
      <c r="E1943" s="31"/>
      <c r="F1943" s="31"/>
      <c r="G1943" s="33"/>
      <c r="H1943" s="105"/>
      <c r="I1943" s="32" t="str">
        <f>IF($A1943="","",VLOOKUP($H1943,APOIO!$L:$M,2,FALSE))</f>
        <v/>
      </c>
      <c r="J1943" s="31"/>
      <c r="K1943" s="32" t="str">
        <f>IF($A1943="","",VLOOKUP($J1943,APOIO!$H:$J,2,FALSE))</f>
        <v/>
      </c>
      <c r="L1943" s="32" t="str">
        <f>IF($A1943="","",VLOOKUP($J1943,APOIO!$H:$J,3,FALSE))</f>
        <v/>
      </c>
      <c r="M1943" s="31"/>
      <c r="N1943" s="34"/>
      <c r="O1943" s="32"/>
      <c r="P1943" s="32"/>
      <c r="Q1943" s="32"/>
      <c r="R1943" s="32"/>
      <c r="S1943" s="35"/>
      <c r="T1943" s="91"/>
      <c r="U1943" s="60"/>
      <c r="V1943" s="36"/>
      <c r="W1943" s="31"/>
      <c r="X1943" s="59"/>
      <c r="Y1943" s="59" t="str">
        <f>IFERROR(VLOOKUP($A1943,APOIO!$A:$A,1,FALSE),"ERRO")</f>
        <v>ERRO</v>
      </c>
      <c r="Z1943"/>
    </row>
    <row r="1944" spans="1:26" ht="15" x14ac:dyDescent="0.25">
      <c r="A1944" s="94"/>
      <c r="B1944" s="32" t="str">
        <f>IF($A1944="","",VLOOKUP($A1944,APOIO!$A:$E,2,FALSE))</f>
        <v/>
      </c>
      <c r="C1944" s="94"/>
      <c r="D1944" s="32" t="str">
        <f>IF($A1944="","",INDEX(APOIO!$D:$D,MATCH(CONCATENATE($A1944,"_",$B1944,"_",$C1944),APOIO!$F:$F,0)))</f>
        <v/>
      </c>
      <c r="E1944" s="31"/>
      <c r="F1944" s="31"/>
      <c r="G1944" s="33"/>
      <c r="H1944" s="105"/>
      <c r="I1944" s="32" t="str">
        <f>IF($A1944="","",VLOOKUP($H1944,APOIO!$L:$M,2,FALSE))</f>
        <v/>
      </c>
      <c r="J1944" s="31"/>
      <c r="K1944" s="32" t="str">
        <f>IF($A1944="","",VLOOKUP($J1944,APOIO!$H:$J,2,FALSE))</f>
        <v/>
      </c>
      <c r="L1944" s="32" t="str">
        <f>IF($A1944="","",VLOOKUP($J1944,APOIO!$H:$J,3,FALSE))</f>
        <v/>
      </c>
      <c r="M1944" s="31"/>
      <c r="N1944" s="34"/>
      <c r="O1944" s="32"/>
      <c r="P1944" s="32"/>
      <c r="Q1944" s="32"/>
      <c r="R1944" s="32"/>
      <c r="S1944" s="35"/>
      <c r="T1944" s="91"/>
      <c r="U1944" s="60"/>
      <c r="V1944" s="36"/>
      <c r="W1944" s="31"/>
      <c r="X1944" s="59"/>
      <c r="Y1944" s="59" t="str">
        <f>IFERROR(VLOOKUP($A1944,APOIO!$A:$A,1,FALSE),"ERRO")</f>
        <v>ERRO</v>
      </c>
      <c r="Z1944"/>
    </row>
    <row r="1945" spans="1:26" ht="15" x14ac:dyDescent="0.25">
      <c r="A1945" s="94"/>
      <c r="B1945" s="32" t="str">
        <f>IF($A1945="","",VLOOKUP($A1945,APOIO!$A:$E,2,FALSE))</f>
        <v/>
      </c>
      <c r="C1945" s="94"/>
      <c r="D1945" s="32" t="str">
        <f>IF($A1945="","",INDEX(APOIO!$D:$D,MATCH(CONCATENATE($A1945,"_",$B1945,"_",$C1945),APOIO!$F:$F,0)))</f>
        <v/>
      </c>
      <c r="E1945" s="31"/>
      <c r="F1945" s="31"/>
      <c r="G1945" s="33"/>
      <c r="H1945" s="105"/>
      <c r="I1945" s="32" t="str">
        <f>IF($A1945="","",VLOOKUP($H1945,APOIO!$L:$M,2,FALSE))</f>
        <v/>
      </c>
      <c r="J1945" s="31"/>
      <c r="K1945" s="32" t="str">
        <f>IF($A1945="","",VLOOKUP($J1945,APOIO!$H:$J,2,FALSE))</f>
        <v/>
      </c>
      <c r="L1945" s="32" t="str">
        <f>IF($A1945="","",VLOOKUP($J1945,APOIO!$H:$J,3,FALSE))</f>
        <v/>
      </c>
      <c r="M1945" s="31"/>
      <c r="N1945" s="34"/>
      <c r="O1945" s="32"/>
      <c r="P1945" s="32"/>
      <c r="Q1945" s="32"/>
      <c r="R1945" s="32"/>
      <c r="S1945" s="35"/>
      <c r="T1945" s="91"/>
      <c r="U1945" s="60"/>
      <c r="V1945" s="36"/>
      <c r="W1945" s="31"/>
      <c r="X1945" s="59"/>
      <c r="Y1945" s="59" t="str">
        <f>IFERROR(VLOOKUP($A1945,APOIO!$A:$A,1,FALSE),"ERRO")</f>
        <v>ERRO</v>
      </c>
      <c r="Z1945"/>
    </row>
    <row r="1946" spans="1:26" ht="15" x14ac:dyDescent="0.25">
      <c r="A1946" s="94"/>
      <c r="B1946" s="32" t="str">
        <f>IF($A1946="","",VLOOKUP($A1946,APOIO!$A:$E,2,FALSE))</f>
        <v/>
      </c>
      <c r="C1946" s="94"/>
      <c r="D1946" s="32" t="str">
        <f>IF($A1946="","",INDEX(APOIO!$D:$D,MATCH(CONCATENATE($A1946,"_",$B1946,"_",$C1946),APOIO!$F:$F,0)))</f>
        <v/>
      </c>
      <c r="E1946" s="31"/>
      <c r="F1946" s="31"/>
      <c r="G1946" s="33"/>
      <c r="H1946" s="105"/>
      <c r="I1946" s="32" t="str">
        <f>IF($A1946="","",VLOOKUP($H1946,APOIO!$L:$M,2,FALSE))</f>
        <v/>
      </c>
      <c r="J1946" s="31"/>
      <c r="K1946" s="32" t="str">
        <f>IF($A1946="","",VLOOKUP($J1946,APOIO!$H:$J,2,FALSE))</f>
        <v/>
      </c>
      <c r="L1946" s="32" t="str">
        <f>IF($A1946="","",VLOOKUP($J1946,APOIO!$H:$J,3,FALSE))</f>
        <v/>
      </c>
      <c r="M1946" s="31"/>
      <c r="N1946" s="34"/>
      <c r="O1946" s="32"/>
      <c r="P1946" s="32"/>
      <c r="Q1946" s="32"/>
      <c r="R1946" s="32"/>
      <c r="S1946" s="35"/>
      <c r="T1946" s="91"/>
      <c r="U1946" s="60"/>
      <c r="V1946" s="36"/>
      <c r="W1946" s="31"/>
      <c r="X1946" s="59"/>
      <c r="Y1946" s="59" t="str">
        <f>IFERROR(VLOOKUP($A1946,APOIO!$A:$A,1,FALSE),"ERRO")</f>
        <v>ERRO</v>
      </c>
      <c r="Z1946"/>
    </row>
    <row r="1947" spans="1:26" ht="15" x14ac:dyDescent="0.25">
      <c r="A1947" s="94"/>
      <c r="B1947" s="32" t="str">
        <f>IF($A1947="","",VLOOKUP($A1947,APOIO!$A:$E,2,FALSE))</f>
        <v/>
      </c>
      <c r="C1947" s="94"/>
      <c r="D1947" s="32" t="str">
        <f>IF($A1947="","",INDEX(APOIO!$D:$D,MATCH(CONCATENATE($A1947,"_",$B1947,"_",$C1947),APOIO!$F:$F,0)))</f>
        <v/>
      </c>
      <c r="E1947" s="31"/>
      <c r="F1947" s="31"/>
      <c r="G1947" s="33"/>
      <c r="H1947" s="105"/>
      <c r="I1947" s="32" t="str">
        <f>IF($A1947="","",VLOOKUP($H1947,APOIO!$L:$M,2,FALSE))</f>
        <v/>
      </c>
      <c r="J1947" s="31"/>
      <c r="K1947" s="32" t="str">
        <f>IF($A1947="","",VLOOKUP($J1947,APOIO!$H:$J,2,FALSE))</f>
        <v/>
      </c>
      <c r="L1947" s="32" t="str">
        <f>IF($A1947="","",VLOOKUP($J1947,APOIO!$H:$J,3,FALSE))</f>
        <v/>
      </c>
      <c r="M1947" s="31"/>
      <c r="N1947" s="34"/>
      <c r="O1947" s="32"/>
      <c r="P1947" s="32"/>
      <c r="Q1947" s="32"/>
      <c r="R1947" s="32"/>
      <c r="S1947" s="35"/>
      <c r="T1947" s="91"/>
      <c r="U1947" s="60"/>
      <c r="V1947" s="36"/>
      <c r="W1947" s="31"/>
      <c r="X1947" s="59"/>
      <c r="Y1947" s="59" t="str">
        <f>IFERROR(VLOOKUP($A1947,APOIO!$A:$A,1,FALSE),"ERRO")</f>
        <v>ERRO</v>
      </c>
      <c r="Z1947"/>
    </row>
    <row r="1948" spans="1:26" ht="15" x14ac:dyDescent="0.25">
      <c r="A1948" s="94"/>
      <c r="B1948" s="32" t="str">
        <f>IF($A1948="","",VLOOKUP($A1948,APOIO!$A:$E,2,FALSE))</f>
        <v/>
      </c>
      <c r="C1948" s="94"/>
      <c r="D1948" s="32" t="str">
        <f>IF($A1948="","",INDEX(APOIO!$D:$D,MATCH(CONCATENATE($A1948,"_",$B1948,"_",$C1948),APOIO!$F:$F,0)))</f>
        <v/>
      </c>
      <c r="E1948" s="31"/>
      <c r="F1948" s="31"/>
      <c r="G1948" s="33"/>
      <c r="H1948" s="105"/>
      <c r="I1948" s="32" t="str">
        <f>IF($A1948="","",VLOOKUP($H1948,APOIO!$L:$M,2,FALSE))</f>
        <v/>
      </c>
      <c r="J1948" s="31"/>
      <c r="K1948" s="32" t="str">
        <f>IF($A1948="","",VLOOKUP($J1948,APOIO!$H:$J,2,FALSE))</f>
        <v/>
      </c>
      <c r="L1948" s="32" t="str">
        <f>IF($A1948="","",VLOOKUP($J1948,APOIO!$H:$J,3,FALSE))</f>
        <v/>
      </c>
      <c r="M1948" s="31"/>
      <c r="N1948" s="34"/>
      <c r="O1948" s="32"/>
      <c r="P1948" s="32"/>
      <c r="Q1948" s="32"/>
      <c r="R1948" s="32"/>
      <c r="S1948" s="35"/>
      <c r="T1948" s="91"/>
      <c r="U1948" s="60"/>
      <c r="V1948" s="36"/>
      <c r="W1948" s="31"/>
      <c r="X1948" s="59"/>
      <c r="Y1948" s="59" t="str">
        <f>IFERROR(VLOOKUP($A1948,APOIO!$A:$A,1,FALSE),"ERRO")</f>
        <v>ERRO</v>
      </c>
      <c r="Z1948"/>
    </row>
    <row r="1949" spans="1:26" ht="15" x14ac:dyDescent="0.25">
      <c r="A1949" s="94"/>
      <c r="B1949" s="32" t="str">
        <f>IF($A1949="","",VLOOKUP($A1949,APOIO!$A:$E,2,FALSE))</f>
        <v/>
      </c>
      <c r="C1949" s="94"/>
      <c r="D1949" s="32" t="str">
        <f>IF($A1949="","",INDEX(APOIO!$D:$D,MATCH(CONCATENATE($A1949,"_",$B1949,"_",$C1949),APOIO!$F:$F,0)))</f>
        <v/>
      </c>
      <c r="E1949" s="31"/>
      <c r="F1949" s="31"/>
      <c r="G1949" s="33"/>
      <c r="H1949" s="105"/>
      <c r="I1949" s="32" t="str">
        <f>IF($A1949="","",VLOOKUP($H1949,APOIO!$L:$M,2,FALSE))</f>
        <v/>
      </c>
      <c r="J1949" s="31"/>
      <c r="K1949" s="32" t="str">
        <f>IF($A1949="","",VLOOKUP($J1949,APOIO!$H:$J,2,FALSE))</f>
        <v/>
      </c>
      <c r="L1949" s="32" t="str">
        <f>IF($A1949="","",VLOOKUP($J1949,APOIO!$H:$J,3,FALSE))</f>
        <v/>
      </c>
      <c r="M1949" s="31"/>
      <c r="N1949" s="34"/>
      <c r="O1949" s="32"/>
      <c r="P1949" s="32"/>
      <c r="Q1949" s="32"/>
      <c r="R1949" s="32"/>
      <c r="S1949" s="35"/>
      <c r="T1949" s="91"/>
      <c r="U1949" s="60"/>
      <c r="V1949" s="36"/>
      <c r="W1949" s="31"/>
      <c r="X1949" s="59"/>
      <c r="Y1949" s="59" t="str">
        <f>IFERROR(VLOOKUP($A1949,APOIO!$A:$A,1,FALSE),"ERRO")</f>
        <v>ERRO</v>
      </c>
      <c r="Z1949"/>
    </row>
    <row r="1950" spans="1:26" ht="15" x14ac:dyDescent="0.25">
      <c r="A1950" s="94"/>
      <c r="B1950" s="32" t="str">
        <f>IF($A1950="","",VLOOKUP($A1950,APOIO!$A:$E,2,FALSE))</f>
        <v/>
      </c>
      <c r="C1950" s="94"/>
      <c r="D1950" s="32" t="str">
        <f>IF($A1950="","",INDEX(APOIO!$D:$D,MATCH(CONCATENATE($A1950,"_",$B1950,"_",$C1950),APOIO!$F:$F,0)))</f>
        <v/>
      </c>
      <c r="E1950" s="31"/>
      <c r="F1950" s="31"/>
      <c r="G1950" s="33"/>
      <c r="H1950" s="105"/>
      <c r="I1950" s="32" t="str">
        <f>IF($A1950="","",VLOOKUP($H1950,APOIO!$L:$M,2,FALSE))</f>
        <v/>
      </c>
      <c r="J1950" s="31"/>
      <c r="K1950" s="32" t="str">
        <f>IF($A1950="","",VLOOKUP($J1950,APOIO!$H:$J,2,FALSE))</f>
        <v/>
      </c>
      <c r="L1950" s="32" t="str">
        <f>IF($A1950="","",VLOOKUP($J1950,APOIO!$H:$J,3,FALSE))</f>
        <v/>
      </c>
      <c r="M1950" s="31"/>
      <c r="N1950" s="34"/>
      <c r="O1950" s="32"/>
      <c r="P1950" s="32"/>
      <c r="Q1950" s="32"/>
      <c r="R1950" s="32"/>
      <c r="S1950" s="35"/>
      <c r="T1950" s="91"/>
      <c r="U1950" s="60"/>
      <c r="V1950" s="36"/>
      <c r="W1950" s="31"/>
      <c r="X1950" s="59"/>
      <c r="Y1950" s="59" t="str">
        <f>IFERROR(VLOOKUP($A1950,APOIO!$A:$A,1,FALSE),"ERRO")</f>
        <v>ERRO</v>
      </c>
      <c r="Z1950"/>
    </row>
    <row r="1951" spans="1:26" ht="15" x14ac:dyDescent="0.25">
      <c r="A1951" s="94"/>
      <c r="B1951" s="32" t="str">
        <f>IF($A1951="","",VLOOKUP($A1951,APOIO!$A:$E,2,FALSE))</f>
        <v/>
      </c>
      <c r="C1951" s="94"/>
      <c r="D1951" s="32" t="str">
        <f>IF($A1951="","",INDEX(APOIO!$D:$D,MATCH(CONCATENATE($A1951,"_",$B1951,"_",$C1951),APOIO!$F:$F,0)))</f>
        <v/>
      </c>
      <c r="E1951" s="31"/>
      <c r="F1951" s="31"/>
      <c r="G1951" s="33"/>
      <c r="H1951" s="105"/>
      <c r="I1951" s="32" t="str">
        <f>IF($A1951="","",VLOOKUP($H1951,APOIO!$L:$M,2,FALSE))</f>
        <v/>
      </c>
      <c r="J1951" s="31"/>
      <c r="K1951" s="32" t="str">
        <f>IF($A1951="","",VLOOKUP($J1951,APOIO!$H:$J,2,FALSE))</f>
        <v/>
      </c>
      <c r="L1951" s="32" t="str">
        <f>IF($A1951="","",VLOOKUP($J1951,APOIO!$H:$J,3,FALSE))</f>
        <v/>
      </c>
      <c r="M1951" s="31"/>
      <c r="N1951" s="34"/>
      <c r="O1951" s="32"/>
      <c r="P1951" s="32"/>
      <c r="Q1951" s="32"/>
      <c r="R1951" s="32"/>
      <c r="S1951" s="35"/>
      <c r="T1951" s="91"/>
      <c r="U1951" s="60"/>
      <c r="V1951" s="36"/>
      <c r="W1951" s="31"/>
      <c r="X1951" s="59"/>
      <c r="Y1951" s="59" t="str">
        <f>IFERROR(VLOOKUP($A1951,APOIO!$A:$A,1,FALSE),"ERRO")</f>
        <v>ERRO</v>
      </c>
      <c r="Z1951"/>
    </row>
    <row r="1952" spans="1:26" ht="15" x14ac:dyDescent="0.25">
      <c r="A1952" s="94"/>
      <c r="B1952" s="32" t="str">
        <f>IF($A1952="","",VLOOKUP($A1952,APOIO!$A:$E,2,FALSE))</f>
        <v/>
      </c>
      <c r="C1952" s="94"/>
      <c r="D1952" s="32" t="str">
        <f>IF($A1952="","",INDEX(APOIO!$D:$D,MATCH(CONCATENATE($A1952,"_",$B1952,"_",$C1952),APOIO!$F:$F,0)))</f>
        <v/>
      </c>
      <c r="E1952" s="31"/>
      <c r="F1952" s="31"/>
      <c r="G1952" s="33"/>
      <c r="H1952" s="105"/>
      <c r="I1952" s="32" t="str">
        <f>IF($A1952="","",VLOOKUP($H1952,APOIO!$L:$M,2,FALSE))</f>
        <v/>
      </c>
      <c r="J1952" s="31"/>
      <c r="K1952" s="32" t="str">
        <f>IF($A1952="","",VLOOKUP($J1952,APOIO!$H:$J,2,FALSE))</f>
        <v/>
      </c>
      <c r="L1952" s="32" t="str">
        <f>IF($A1952="","",VLOOKUP($J1952,APOIO!$H:$J,3,FALSE))</f>
        <v/>
      </c>
      <c r="M1952" s="31"/>
      <c r="N1952" s="34"/>
      <c r="O1952" s="32"/>
      <c r="P1952" s="32"/>
      <c r="Q1952" s="32"/>
      <c r="R1952" s="32"/>
      <c r="S1952" s="35"/>
      <c r="T1952" s="91"/>
      <c r="U1952" s="60"/>
      <c r="V1952" s="36"/>
      <c r="W1952" s="31"/>
      <c r="X1952" s="59"/>
      <c r="Y1952" s="59" t="str">
        <f>IFERROR(VLOOKUP($A1952,APOIO!$A:$A,1,FALSE),"ERRO")</f>
        <v>ERRO</v>
      </c>
      <c r="Z1952"/>
    </row>
    <row r="1953" spans="1:26" ht="15" x14ac:dyDescent="0.25">
      <c r="A1953" s="94"/>
      <c r="B1953" s="32" t="str">
        <f>IF($A1953="","",VLOOKUP($A1953,APOIO!$A:$E,2,FALSE))</f>
        <v/>
      </c>
      <c r="C1953" s="94"/>
      <c r="D1953" s="32" t="str">
        <f>IF($A1953="","",INDEX(APOIO!$D:$D,MATCH(CONCATENATE($A1953,"_",$B1953,"_",$C1953),APOIO!$F:$F,0)))</f>
        <v/>
      </c>
      <c r="E1953" s="31"/>
      <c r="F1953" s="31"/>
      <c r="G1953" s="33"/>
      <c r="H1953" s="105"/>
      <c r="I1953" s="32" t="str">
        <f>IF($A1953="","",VLOOKUP($H1953,APOIO!$L:$M,2,FALSE))</f>
        <v/>
      </c>
      <c r="J1953" s="31"/>
      <c r="K1953" s="32" t="str">
        <f>IF($A1953="","",VLOOKUP($J1953,APOIO!$H:$J,2,FALSE))</f>
        <v/>
      </c>
      <c r="L1953" s="32" t="str">
        <f>IF($A1953="","",VLOOKUP($J1953,APOIO!$H:$J,3,FALSE))</f>
        <v/>
      </c>
      <c r="M1953" s="31"/>
      <c r="N1953" s="34"/>
      <c r="O1953" s="32"/>
      <c r="P1953" s="32"/>
      <c r="Q1953" s="32"/>
      <c r="R1953" s="32"/>
      <c r="S1953" s="35"/>
      <c r="T1953" s="91"/>
      <c r="U1953" s="60"/>
      <c r="V1953" s="36"/>
      <c r="W1953" s="31"/>
      <c r="X1953" s="59"/>
      <c r="Y1953" s="59" t="str">
        <f>IFERROR(VLOOKUP($A1953,APOIO!$A:$A,1,FALSE),"ERRO")</f>
        <v>ERRO</v>
      </c>
      <c r="Z1953"/>
    </row>
    <row r="1954" spans="1:26" ht="15" x14ac:dyDescent="0.25">
      <c r="A1954" s="94"/>
      <c r="B1954" s="32" t="str">
        <f>IF($A1954="","",VLOOKUP($A1954,APOIO!$A:$E,2,FALSE))</f>
        <v/>
      </c>
      <c r="C1954" s="94"/>
      <c r="D1954" s="32" t="str">
        <f>IF($A1954="","",INDEX(APOIO!$D:$D,MATCH(CONCATENATE($A1954,"_",$B1954,"_",$C1954),APOIO!$F:$F,0)))</f>
        <v/>
      </c>
      <c r="E1954" s="31"/>
      <c r="F1954" s="31"/>
      <c r="G1954" s="33"/>
      <c r="H1954" s="105"/>
      <c r="I1954" s="32" t="str">
        <f>IF($A1954="","",VLOOKUP($H1954,APOIO!$L:$M,2,FALSE))</f>
        <v/>
      </c>
      <c r="J1954" s="31"/>
      <c r="K1954" s="32" t="str">
        <f>IF($A1954="","",VLOOKUP($J1954,APOIO!$H:$J,2,FALSE))</f>
        <v/>
      </c>
      <c r="L1954" s="32" t="str">
        <f>IF($A1954="","",VLOOKUP($J1954,APOIO!$H:$J,3,FALSE))</f>
        <v/>
      </c>
      <c r="M1954" s="31"/>
      <c r="N1954" s="34"/>
      <c r="O1954" s="32"/>
      <c r="P1954" s="32"/>
      <c r="Q1954" s="32"/>
      <c r="R1954" s="32"/>
      <c r="S1954" s="35"/>
      <c r="T1954" s="91"/>
      <c r="U1954" s="60"/>
      <c r="V1954" s="36"/>
      <c r="W1954" s="31"/>
      <c r="X1954" s="59"/>
      <c r="Y1954" s="59" t="str">
        <f>IFERROR(VLOOKUP($A1954,APOIO!$A:$A,1,FALSE),"ERRO")</f>
        <v>ERRO</v>
      </c>
      <c r="Z1954"/>
    </row>
    <row r="1955" spans="1:26" ht="15" x14ac:dyDescent="0.25">
      <c r="A1955" s="94"/>
      <c r="B1955" s="32" t="str">
        <f>IF($A1955="","",VLOOKUP($A1955,APOIO!$A:$E,2,FALSE))</f>
        <v/>
      </c>
      <c r="C1955" s="94"/>
      <c r="D1955" s="32" t="str">
        <f>IF($A1955="","",INDEX(APOIO!$D:$D,MATCH(CONCATENATE($A1955,"_",$B1955,"_",$C1955),APOIO!$F:$F,0)))</f>
        <v/>
      </c>
      <c r="E1955" s="31"/>
      <c r="F1955" s="31"/>
      <c r="G1955" s="33"/>
      <c r="H1955" s="105"/>
      <c r="I1955" s="32" t="str">
        <f>IF($A1955="","",VLOOKUP($H1955,APOIO!$L:$M,2,FALSE))</f>
        <v/>
      </c>
      <c r="J1955" s="31"/>
      <c r="K1955" s="32" t="str">
        <f>IF($A1955="","",VLOOKUP($J1955,APOIO!$H:$J,2,FALSE))</f>
        <v/>
      </c>
      <c r="L1955" s="32" t="str">
        <f>IF($A1955="","",VLOOKUP($J1955,APOIO!$H:$J,3,FALSE))</f>
        <v/>
      </c>
      <c r="M1955" s="31"/>
      <c r="N1955" s="34"/>
      <c r="O1955" s="32"/>
      <c r="P1955" s="32"/>
      <c r="Q1955" s="32"/>
      <c r="R1955" s="32"/>
      <c r="S1955" s="35"/>
      <c r="T1955" s="91"/>
      <c r="U1955" s="60"/>
      <c r="V1955" s="36"/>
      <c r="W1955" s="31"/>
      <c r="X1955" s="59"/>
      <c r="Y1955" s="59" t="str">
        <f>IFERROR(VLOOKUP($A1955,APOIO!$A:$A,1,FALSE),"ERRO")</f>
        <v>ERRO</v>
      </c>
      <c r="Z1955"/>
    </row>
    <row r="1956" spans="1:26" ht="15" x14ac:dyDescent="0.25">
      <c r="A1956" s="94"/>
      <c r="B1956" s="32" t="str">
        <f>IF($A1956="","",VLOOKUP($A1956,APOIO!$A:$E,2,FALSE))</f>
        <v/>
      </c>
      <c r="C1956" s="94"/>
      <c r="D1956" s="32" t="str">
        <f>IF($A1956="","",INDEX(APOIO!$D:$D,MATCH(CONCATENATE($A1956,"_",$B1956,"_",$C1956),APOIO!$F:$F,0)))</f>
        <v/>
      </c>
      <c r="E1956" s="31"/>
      <c r="F1956" s="31"/>
      <c r="G1956" s="33"/>
      <c r="H1956" s="105"/>
      <c r="I1956" s="32" t="str">
        <f>IF($A1956="","",VLOOKUP($H1956,APOIO!$L:$M,2,FALSE))</f>
        <v/>
      </c>
      <c r="J1956" s="31"/>
      <c r="K1956" s="32" t="str">
        <f>IF($A1956="","",VLOOKUP($J1956,APOIO!$H:$J,2,FALSE))</f>
        <v/>
      </c>
      <c r="L1956" s="32" t="str">
        <f>IF($A1956="","",VLOOKUP($J1956,APOIO!$H:$J,3,FALSE))</f>
        <v/>
      </c>
      <c r="M1956" s="31"/>
      <c r="N1956" s="34"/>
      <c r="O1956" s="32"/>
      <c r="P1956" s="32"/>
      <c r="Q1956" s="32"/>
      <c r="R1956" s="32"/>
      <c r="S1956" s="35"/>
      <c r="T1956" s="91"/>
      <c r="U1956" s="60"/>
      <c r="V1956" s="36"/>
      <c r="W1956" s="31"/>
      <c r="X1956" s="59"/>
      <c r="Y1956" s="59" t="str">
        <f>IFERROR(VLOOKUP($A1956,APOIO!$A:$A,1,FALSE),"ERRO")</f>
        <v>ERRO</v>
      </c>
      <c r="Z1956"/>
    </row>
    <row r="1957" spans="1:26" ht="15" x14ac:dyDescent="0.25">
      <c r="A1957" s="94"/>
      <c r="B1957" s="32" t="str">
        <f>IF($A1957="","",VLOOKUP($A1957,APOIO!$A:$E,2,FALSE))</f>
        <v/>
      </c>
      <c r="C1957" s="94"/>
      <c r="D1957" s="32" t="str">
        <f>IF($A1957="","",INDEX(APOIO!$D:$D,MATCH(CONCATENATE($A1957,"_",$B1957,"_",$C1957),APOIO!$F:$F,0)))</f>
        <v/>
      </c>
      <c r="E1957" s="31"/>
      <c r="F1957" s="31"/>
      <c r="G1957" s="33"/>
      <c r="H1957" s="105"/>
      <c r="I1957" s="32" t="str">
        <f>IF($A1957="","",VLOOKUP($H1957,APOIO!$L:$M,2,FALSE))</f>
        <v/>
      </c>
      <c r="J1957" s="31"/>
      <c r="K1957" s="32" t="str">
        <f>IF($A1957="","",VLOOKUP($J1957,APOIO!$H:$J,2,FALSE))</f>
        <v/>
      </c>
      <c r="L1957" s="32" t="str">
        <f>IF($A1957="","",VLOOKUP($J1957,APOIO!$H:$J,3,FALSE))</f>
        <v/>
      </c>
      <c r="M1957" s="31"/>
      <c r="N1957" s="34"/>
      <c r="O1957" s="32"/>
      <c r="P1957" s="32"/>
      <c r="Q1957" s="32"/>
      <c r="R1957" s="32"/>
      <c r="S1957" s="35"/>
      <c r="T1957" s="91"/>
      <c r="U1957" s="60"/>
      <c r="V1957" s="36"/>
      <c r="W1957" s="31"/>
      <c r="X1957" s="59"/>
      <c r="Y1957" s="59" t="str">
        <f>IFERROR(VLOOKUP($A1957,APOIO!$A:$A,1,FALSE),"ERRO")</f>
        <v>ERRO</v>
      </c>
      <c r="Z1957"/>
    </row>
    <row r="1958" spans="1:26" ht="15" x14ac:dyDescent="0.25">
      <c r="A1958" s="94"/>
      <c r="B1958" s="32" t="str">
        <f>IF($A1958="","",VLOOKUP($A1958,APOIO!$A:$E,2,FALSE))</f>
        <v/>
      </c>
      <c r="C1958" s="94"/>
      <c r="D1958" s="32" t="str">
        <f>IF($A1958="","",INDEX(APOIO!$D:$D,MATCH(CONCATENATE($A1958,"_",$B1958,"_",$C1958),APOIO!$F:$F,0)))</f>
        <v/>
      </c>
      <c r="E1958" s="31"/>
      <c r="F1958" s="31"/>
      <c r="G1958" s="33"/>
      <c r="H1958" s="105"/>
      <c r="I1958" s="32" t="str">
        <f>IF($A1958="","",VLOOKUP($H1958,APOIO!$L:$M,2,FALSE))</f>
        <v/>
      </c>
      <c r="J1958" s="31"/>
      <c r="K1958" s="32" t="str">
        <f>IF($A1958="","",VLOOKUP($J1958,APOIO!$H:$J,2,FALSE))</f>
        <v/>
      </c>
      <c r="L1958" s="32" t="str">
        <f>IF($A1958="","",VLOOKUP($J1958,APOIO!$H:$J,3,FALSE))</f>
        <v/>
      </c>
      <c r="M1958" s="31"/>
      <c r="N1958" s="34"/>
      <c r="O1958" s="32"/>
      <c r="P1958" s="32"/>
      <c r="Q1958" s="32"/>
      <c r="R1958" s="32"/>
      <c r="S1958" s="35"/>
      <c r="T1958" s="91"/>
      <c r="U1958" s="60"/>
      <c r="V1958" s="36"/>
      <c r="W1958" s="31"/>
      <c r="X1958" s="59"/>
      <c r="Y1958" s="59" t="str">
        <f>IFERROR(VLOOKUP($A1958,APOIO!$A:$A,1,FALSE),"ERRO")</f>
        <v>ERRO</v>
      </c>
      <c r="Z1958"/>
    </row>
    <row r="1959" spans="1:26" ht="15" x14ac:dyDescent="0.25">
      <c r="A1959" s="94"/>
      <c r="B1959" s="32" t="str">
        <f>IF($A1959="","",VLOOKUP($A1959,APOIO!$A:$E,2,FALSE))</f>
        <v/>
      </c>
      <c r="C1959" s="94"/>
      <c r="D1959" s="32" t="str">
        <f>IF($A1959="","",INDEX(APOIO!$D:$D,MATCH(CONCATENATE($A1959,"_",$B1959,"_",$C1959),APOIO!$F:$F,0)))</f>
        <v/>
      </c>
      <c r="E1959" s="31"/>
      <c r="F1959" s="31"/>
      <c r="G1959" s="33"/>
      <c r="H1959" s="105"/>
      <c r="I1959" s="32" t="str">
        <f>IF($A1959="","",VLOOKUP($H1959,APOIO!$L:$M,2,FALSE))</f>
        <v/>
      </c>
      <c r="J1959" s="31"/>
      <c r="K1959" s="32" t="str">
        <f>IF($A1959="","",VLOOKUP($J1959,APOIO!$H:$J,2,FALSE))</f>
        <v/>
      </c>
      <c r="L1959" s="32" t="str">
        <f>IF($A1959="","",VLOOKUP($J1959,APOIO!$H:$J,3,FALSE))</f>
        <v/>
      </c>
      <c r="M1959" s="31"/>
      <c r="N1959" s="34"/>
      <c r="O1959" s="32"/>
      <c r="P1959" s="32"/>
      <c r="Q1959" s="32"/>
      <c r="R1959" s="32"/>
      <c r="S1959" s="35"/>
      <c r="T1959" s="91"/>
      <c r="U1959" s="60"/>
      <c r="V1959" s="36"/>
      <c r="W1959" s="31"/>
      <c r="X1959" s="59"/>
      <c r="Y1959" s="59" t="str">
        <f>IFERROR(VLOOKUP($A1959,APOIO!$A:$A,1,FALSE),"ERRO")</f>
        <v>ERRO</v>
      </c>
      <c r="Z1959"/>
    </row>
    <row r="1960" spans="1:26" ht="15" x14ac:dyDescent="0.25">
      <c r="A1960" s="94"/>
      <c r="B1960" s="32" t="str">
        <f>IF($A1960="","",VLOOKUP($A1960,APOIO!$A:$E,2,FALSE))</f>
        <v/>
      </c>
      <c r="C1960" s="94"/>
      <c r="D1960" s="32" t="str">
        <f>IF($A1960="","",INDEX(APOIO!$D:$D,MATCH(CONCATENATE($A1960,"_",$B1960,"_",$C1960),APOIO!$F:$F,0)))</f>
        <v/>
      </c>
      <c r="E1960" s="31"/>
      <c r="F1960" s="31"/>
      <c r="G1960" s="33"/>
      <c r="H1960" s="105"/>
      <c r="I1960" s="32" t="str">
        <f>IF($A1960="","",VLOOKUP($H1960,APOIO!$L:$M,2,FALSE))</f>
        <v/>
      </c>
      <c r="J1960" s="31"/>
      <c r="K1960" s="32" t="str">
        <f>IF($A1960="","",VLOOKUP($J1960,APOIO!$H:$J,2,FALSE))</f>
        <v/>
      </c>
      <c r="L1960" s="32" t="str">
        <f>IF($A1960="","",VLOOKUP($J1960,APOIO!$H:$J,3,FALSE))</f>
        <v/>
      </c>
      <c r="M1960" s="31"/>
      <c r="N1960" s="34"/>
      <c r="O1960" s="32"/>
      <c r="P1960" s="32"/>
      <c r="Q1960" s="32"/>
      <c r="R1960" s="32"/>
      <c r="S1960" s="35"/>
      <c r="T1960" s="91"/>
      <c r="U1960" s="60"/>
      <c r="V1960" s="36"/>
      <c r="W1960" s="31"/>
      <c r="X1960" s="59"/>
      <c r="Y1960" s="59" t="str">
        <f>IFERROR(VLOOKUP($A1960,APOIO!$A:$A,1,FALSE),"ERRO")</f>
        <v>ERRO</v>
      </c>
      <c r="Z1960"/>
    </row>
    <row r="1961" spans="1:26" ht="15" x14ac:dyDescent="0.25">
      <c r="A1961" s="94"/>
      <c r="B1961" s="32" t="str">
        <f>IF($A1961="","",VLOOKUP($A1961,APOIO!$A:$E,2,FALSE))</f>
        <v/>
      </c>
      <c r="C1961" s="94"/>
      <c r="D1961" s="32" t="str">
        <f>IF($A1961="","",INDEX(APOIO!$D:$D,MATCH(CONCATENATE($A1961,"_",$B1961,"_",$C1961),APOIO!$F:$F,0)))</f>
        <v/>
      </c>
      <c r="E1961" s="31"/>
      <c r="F1961" s="31"/>
      <c r="G1961" s="33"/>
      <c r="H1961" s="105"/>
      <c r="I1961" s="32" t="str">
        <f>IF($A1961="","",VLOOKUP($H1961,APOIO!$L:$M,2,FALSE))</f>
        <v/>
      </c>
      <c r="J1961" s="31"/>
      <c r="K1961" s="32" t="str">
        <f>IF($A1961="","",VLOOKUP($J1961,APOIO!$H:$J,2,FALSE))</f>
        <v/>
      </c>
      <c r="L1961" s="32" t="str">
        <f>IF($A1961="","",VLOOKUP($J1961,APOIO!$H:$J,3,FALSE))</f>
        <v/>
      </c>
      <c r="M1961" s="31"/>
      <c r="N1961" s="34"/>
      <c r="O1961" s="32"/>
      <c r="P1961" s="32"/>
      <c r="Q1961" s="32"/>
      <c r="R1961" s="32"/>
      <c r="S1961" s="35"/>
      <c r="T1961" s="91"/>
      <c r="U1961" s="60"/>
      <c r="V1961" s="36"/>
      <c r="W1961" s="31"/>
      <c r="X1961" s="59"/>
      <c r="Y1961" s="59" t="str">
        <f>IFERROR(VLOOKUP($A1961,APOIO!$A:$A,1,FALSE),"ERRO")</f>
        <v>ERRO</v>
      </c>
      <c r="Z1961"/>
    </row>
    <row r="1962" spans="1:26" ht="15" x14ac:dyDescent="0.25">
      <c r="A1962" s="94"/>
      <c r="B1962" s="32" t="str">
        <f>IF($A1962="","",VLOOKUP($A1962,APOIO!$A:$E,2,FALSE))</f>
        <v/>
      </c>
      <c r="C1962" s="94"/>
      <c r="D1962" s="32" t="str">
        <f>IF($A1962="","",INDEX(APOIO!$D:$D,MATCH(CONCATENATE($A1962,"_",$B1962,"_",$C1962),APOIO!$F:$F,0)))</f>
        <v/>
      </c>
      <c r="E1962" s="31"/>
      <c r="F1962" s="31"/>
      <c r="G1962" s="33"/>
      <c r="H1962" s="105"/>
      <c r="I1962" s="32" t="str">
        <f>IF($A1962="","",VLOOKUP($H1962,APOIO!$L:$M,2,FALSE))</f>
        <v/>
      </c>
      <c r="J1962" s="31"/>
      <c r="K1962" s="32" t="str">
        <f>IF($A1962="","",VLOOKUP($J1962,APOIO!$H:$J,2,FALSE))</f>
        <v/>
      </c>
      <c r="L1962" s="32" t="str">
        <f>IF($A1962="","",VLOOKUP($J1962,APOIO!$H:$J,3,FALSE))</f>
        <v/>
      </c>
      <c r="M1962" s="31"/>
      <c r="N1962" s="34"/>
      <c r="O1962" s="32"/>
      <c r="P1962" s="32"/>
      <c r="Q1962" s="32"/>
      <c r="R1962" s="32"/>
      <c r="S1962" s="35"/>
      <c r="T1962" s="91"/>
      <c r="U1962" s="60"/>
      <c r="V1962" s="36"/>
      <c r="W1962" s="31"/>
      <c r="X1962" s="59"/>
      <c r="Y1962" s="59" t="str">
        <f>IFERROR(VLOOKUP($A1962,APOIO!$A:$A,1,FALSE),"ERRO")</f>
        <v>ERRO</v>
      </c>
      <c r="Z1962"/>
    </row>
    <row r="1963" spans="1:26" ht="15" x14ac:dyDescent="0.25">
      <c r="A1963" s="94"/>
      <c r="B1963" s="32" t="str">
        <f>IF($A1963="","",VLOOKUP($A1963,APOIO!$A:$E,2,FALSE))</f>
        <v/>
      </c>
      <c r="C1963" s="94"/>
      <c r="D1963" s="32" t="str">
        <f>IF($A1963="","",INDEX(APOIO!$D:$D,MATCH(CONCATENATE($A1963,"_",$B1963,"_",$C1963),APOIO!$F:$F,0)))</f>
        <v/>
      </c>
      <c r="E1963" s="31"/>
      <c r="F1963" s="31"/>
      <c r="G1963" s="33"/>
      <c r="H1963" s="105"/>
      <c r="I1963" s="32" t="str">
        <f>IF($A1963="","",VLOOKUP($H1963,APOIO!$L:$M,2,FALSE))</f>
        <v/>
      </c>
      <c r="J1963" s="31"/>
      <c r="K1963" s="32" t="str">
        <f>IF($A1963="","",VLOOKUP($J1963,APOIO!$H:$J,2,FALSE))</f>
        <v/>
      </c>
      <c r="L1963" s="32" t="str">
        <f>IF($A1963="","",VLOOKUP($J1963,APOIO!$H:$J,3,FALSE))</f>
        <v/>
      </c>
      <c r="M1963" s="31"/>
      <c r="N1963" s="34"/>
      <c r="O1963" s="32"/>
      <c r="P1963" s="32"/>
      <c r="Q1963" s="32"/>
      <c r="R1963" s="32"/>
      <c r="S1963" s="35"/>
      <c r="T1963" s="91"/>
      <c r="U1963" s="60"/>
      <c r="V1963" s="36"/>
      <c r="W1963" s="31"/>
      <c r="X1963" s="59"/>
      <c r="Y1963" s="59" t="str">
        <f>IFERROR(VLOOKUP($A1963,APOIO!$A:$A,1,FALSE),"ERRO")</f>
        <v>ERRO</v>
      </c>
      <c r="Z1963"/>
    </row>
    <row r="1964" spans="1:26" ht="15" x14ac:dyDescent="0.25">
      <c r="A1964" s="94"/>
      <c r="B1964" s="32" t="str">
        <f>IF($A1964="","",VLOOKUP($A1964,APOIO!$A:$E,2,FALSE))</f>
        <v/>
      </c>
      <c r="C1964" s="94"/>
      <c r="D1964" s="32" t="str">
        <f>IF($A1964="","",INDEX(APOIO!$D:$D,MATCH(CONCATENATE($A1964,"_",$B1964,"_",$C1964),APOIO!$F:$F,0)))</f>
        <v/>
      </c>
      <c r="E1964" s="31"/>
      <c r="F1964" s="31"/>
      <c r="G1964" s="33"/>
      <c r="H1964" s="105"/>
      <c r="I1964" s="32" t="str">
        <f>IF($A1964="","",VLOOKUP($H1964,APOIO!$L:$M,2,FALSE))</f>
        <v/>
      </c>
      <c r="J1964" s="31"/>
      <c r="K1964" s="32" t="str">
        <f>IF($A1964="","",VLOOKUP($J1964,APOIO!$H:$J,2,FALSE))</f>
        <v/>
      </c>
      <c r="L1964" s="32" t="str">
        <f>IF($A1964="","",VLOOKUP($J1964,APOIO!$H:$J,3,FALSE))</f>
        <v/>
      </c>
      <c r="M1964" s="31"/>
      <c r="N1964" s="34"/>
      <c r="O1964" s="32"/>
      <c r="P1964" s="32"/>
      <c r="Q1964" s="32"/>
      <c r="R1964" s="32"/>
      <c r="S1964" s="35"/>
      <c r="T1964" s="91"/>
      <c r="U1964" s="60"/>
      <c r="V1964" s="36"/>
      <c r="W1964" s="31"/>
      <c r="X1964" s="59"/>
      <c r="Y1964" s="59" t="str">
        <f>IFERROR(VLOOKUP($A1964,APOIO!$A:$A,1,FALSE),"ERRO")</f>
        <v>ERRO</v>
      </c>
      <c r="Z1964"/>
    </row>
    <row r="1965" spans="1:26" ht="15" x14ac:dyDescent="0.25">
      <c r="A1965" s="94"/>
      <c r="B1965" s="32" t="str">
        <f>IF($A1965="","",VLOOKUP($A1965,APOIO!$A:$E,2,FALSE))</f>
        <v/>
      </c>
      <c r="C1965" s="94"/>
      <c r="D1965" s="32" t="str">
        <f>IF($A1965="","",INDEX(APOIO!$D:$D,MATCH(CONCATENATE($A1965,"_",$B1965,"_",$C1965),APOIO!$F:$F,0)))</f>
        <v/>
      </c>
      <c r="E1965" s="31"/>
      <c r="F1965" s="31"/>
      <c r="G1965" s="33"/>
      <c r="H1965" s="105"/>
      <c r="I1965" s="32" t="str">
        <f>IF($A1965="","",VLOOKUP($H1965,APOIO!$L:$M,2,FALSE))</f>
        <v/>
      </c>
      <c r="J1965" s="31"/>
      <c r="K1965" s="32" t="str">
        <f>IF($A1965="","",VLOOKUP($J1965,APOIO!$H:$J,2,FALSE))</f>
        <v/>
      </c>
      <c r="L1965" s="32" t="str">
        <f>IF($A1965="","",VLOOKUP($J1965,APOIO!$H:$J,3,FALSE))</f>
        <v/>
      </c>
      <c r="M1965" s="31"/>
      <c r="N1965" s="34"/>
      <c r="O1965" s="32"/>
      <c r="P1965" s="32"/>
      <c r="Q1965" s="32"/>
      <c r="R1965" s="32"/>
      <c r="S1965" s="35"/>
      <c r="T1965" s="91"/>
      <c r="U1965" s="60"/>
      <c r="V1965" s="36"/>
      <c r="W1965" s="31"/>
      <c r="X1965" s="59"/>
      <c r="Y1965" s="59" t="str">
        <f>IFERROR(VLOOKUP($A1965,APOIO!$A:$A,1,FALSE),"ERRO")</f>
        <v>ERRO</v>
      </c>
      <c r="Z1965"/>
    </row>
    <row r="1966" spans="1:26" ht="15" x14ac:dyDescent="0.25">
      <c r="A1966" s="94"/>
      <c r="B1966" s="32" t="str">
        <f>IF($A1966="","",VLOOKUP($A1966,APOIO!$A:$E,2,FALSE))</f>
        <v/>
      </c>
      <c r="C1966" s="94"/>
      <c r="D1966" s="32" t="str">
        <f>IF($A1966="","",INDEX(APOIO!$D:$D,MATCH(CONCATENATE($A1966,"_",$B1966,"_",$C1966),APOIO!$F:$F,0)))</f>
        <v/>
      </c>
      <c r="E1966" s="31"/>
      <c r="F1966" s="31"/>
      <c r="G1966" s="33"/>
      <c r="H1966" s="105"/>
      <c r="I1966" s="32" t="str">
        <f>IF($A1966="","",VLOOKUP($H1966,APOIO!$L:$M,2,FALSE))</f>
        <v/>
      </c>
      <c r="J1966" s="31"/>
      <c r="K1966" s="32" t="str">
        <f>IF($A1966="","",VLOOKUP($J1966,APOIO!$H:$J,2,FALSE))</f>
        <v/>
      </c>
      <c r="L1966" s="32" t="str">
        <f>IF($A1966="","",VLOOKUP($J1966,APOIO!$H:$J,3,FALSE))</f>
        <v/>
      </c>
      <c r="M1966" s="31"/>
      <c r="N1966" s="34"/>
      <c r="O1966" s="32"/>
      <c r="P1966" s="32"/>
      <c r="Q1966" s="32"/>
      <c r="R1966" s="32"/>
      <c r="S1966" s="35"/>
      <c r="T1966" s="91"/>
      <c r="U1966" s="60"/>
      <c r="V1966" s="36"/>
      <c r="W1966" s="31"/>
      <c r="X1966" s="59"/>
      <c r="Y1966" s="59" t="str">
        <f>IFERROR(VLOOKUP($A1966,APOIO!$A:$A,1,FALSE),"ERRO")</f>
        <v>ERRO</v>
      </c>
      <c r="Z1966"/>
    </row>
    <row r="1967" spans="1:26" ht="15" x14ac:dyDescent="0.25">
      <c r="A1967" s="94"/>
      <c r="B1967" s="32" t="str">
        <f>IF($A1967="","",VLOOKUP($A1967,APOIO!$A:$E,2,FALSE))</f>
        <v/>
      </c>
      <c r="C1967" s="94"/>
      <c r="D1967" s="32" t="str">
        <f>IF($A1967="","",INDEX(APOIO!$D:$D,MATCH(CONCATENATE($A1967,"_",$B1967,"_",$C1967),APOIO!$F:$F,0)))</f>
        <v/>
      </c>
      <c r="E1967" s="31"/>
      <c r="F1967" s="31"/>
      <c r="G1967" s="33"/>
      <c r="H1967" s="105"/>
      <c r="I1967" s="32" t="str">
        <f>IF($A1967="","",VLOOKUP($H1967,APOIO!$L:$M,2,FALSE))</f>
        <v/>
      </c>
      <c r="J1967" s="31"/>
      <c r="K1967" s="32" t="str">
        <f>IF($A1967="","",VLOOKUP($J1967,APOIO!$H:$J,2,FALSE))</f>
        <v/>
      </c>
      <c r="L1967" s="32" t="str">
        <f>IF($A1967="","",VLOOKUP($J1967,APOIO!$H:$J,3,FALSE))</f>
        <v/>
      </c>
      <c r="M1967" s="31"/>
      <c r="N1967" s="34"/>
      <c r="O1967" s="32"/>
      <c r="P1967" s="32"/>
      <c r="Q1967" s="32"/>
      <c r="R1967" s="32"/>
      <c r="S1967" s="35"/>
      <c r="T1967" s="91"/>
      <c r="U1967" s="60"/>
      <c r="V1967" s="36"/>
      <c r="W1967" s="31"/>
      <c r="X1967" s="59"/>
      <c r="Y1967" s="59" t="str">
        <f>IFERROR(VLOOKUP($A1967,APOIO!$A:$A,1,FALSE),"ERRO")</f>
        <v>ERRO</v>
      </c>
      <c r="Z1967"/>
    </row>
    <row r="1968" spans="1:26" ht="15" x14ac:dyDescent="0.25">
      <c r="A1968" s="94"/>
      <c r="B1968" s="32" t="str">
        <f>IF($A1968="","",VLOOKUP($A1968,APOIO!$A:$E,2,FALSE))</f>
        <v/>
      </c>
      <c r="C1968" s="94"/>
      <c r="D1968" s="32" t="str">
        <f>IF($A1968="","",INDEX(APOIO!$D:$D,MATCH(CONCATENATE($A1968,"_",$B1968,"_",$C1968),APOIO!$F:$F,0)))</f>
        <v/>
      </c>
      <c r="E1968" s="31"/>
      <c r="F1968" s="31"/>
      <c r="G1968" s="33"/>
      <c r="H1968" s="105"/>
      <c r="I1968" s="32" t="str">
        <f>IF($A1968="","",VLOOKUP($H1968,APOIO!$L:$M,2,FALSE))</f>
        <v/>
      </c>
      <c r="J1968" s="31"/>
      <c r="K1968" s="32" t="str">
        <f>IF($A1968="","",VLOOKUP($J1968,APOIO!$H:$J,2,FALSE))</f>
        <v/>
      </c>
      <c r="L1968" s="32" t="str">
        <f>IF($A1968="","",VLOOKUP($J1968,APOIO!$H:$J,3,FALSE))</f>
        <v/>
      </c>
      <c r="M1968" s="31"/>
      <c r="N1968" s="34"/>
      <c r="O1968" s="32"/>
      <c r="P1968" s="32"/>
      <c r="Q1968" s="32"/>
      <c r="R1968" s="32"/>
      <c r="S1968" s="35"/>
      <c r="T1968" s="91"/>
      <c r="U1968" s="60"/>
      <c r="V1968" s="36"/>
      <c r="W1968" s="31"/>
      <c r="X1968" s="59"/>
      <c r="Y1968" s="59" t="str">
        <f>IFERROR(VLOOKUP($A1968,APOIO!$A:$A,1,FALSE),"ERRO")</f>
        <v>ERRO</v>
      </c>
      <c r="Z1968"/>
    </row>
    <row r="1969" spans="1:26" ht="15" x14ac:dyDescent="0.25">
      <c r="A1969" s="94"/>
      <c r="B1969" s="32" t="str">
        <f>IF($A1969="","",VLOOKUP($A1969,APOIO!$A:$E,2,FALSE))</f>
        <v/>
      </c>
      <c r="C1969" s="94"/>
      <c r="D1969" s="32" t="str">
        <f>IF($A1969="","",INDEX(APOIO!$D:$D,MATCH(CONCATENATE($A1969,"_",$B1969,"_",$C1969),APOIO!$F:$F,0)))</f>
        <v/>
      </c>
      <c r="E1969" s="31"/>
      <c r="F1969" s="31"/>
      <c r="G1969" s="33"/>
      <c r="H1969" s="105"/>
      <c r="I1969" s="32" t="str">
        <f>IF($A1969="","",VLOOKUP($H1969,APOIO!$L:$M,2,FALSE))</f>
        <v/>
      </c>
      <c r="J1969" s="31"/>
      <c r="K1969" s="32" t="str">
        <f>IF($A1969="","",VLOOKUP($J1969,APOIO!$H:$J,2,FALSE))</f>
        <v/>
      </c>
      <c r="L1969" s="32" t="str">
        <f>IF($A1969="","",VLOOKUP($J1969,APOIO!$H:$J,3,FALSE))</f>
        <v/>
      </c>
      <c r="M1969" s="31"/>
      <c r="N1969" s="34"/>
      <c r="O1969" s="32"/>
      <c r="P1969" s="32"/>
      <c r="Q1969" s="32"/>
      <c r="R1969" s="32"/>
      <c r="S1969" s="35"/>
      <c r="T1969" s="91"/>
      <c r="U1969" s="60"/>
      <c r="V1969" s="36"/>
      <c r="W1969" s="31"/>
      <c r="X1969" s="59"/>
      <c r="Y1969" s="59" t="str">
        <f>IFERROR(VLOOKUP($A1969,APOIO!$A:$A,1,FALSE),"ERRO")</f>
        <v>ERRO</v>
      </c>
      <c r="Z1969"/>
    </row>
    <row r="1970" spans="1:26" ht="15" x14ac:dyDescent="0.25">
      <c r="A1970" s="94"/>
      <c r="B1970" s="32" t="str">
        <f>IF($A1970="","",VLOOKUP($A1970,APOIO!$A:$E,2,FALSE))</f>
        <v/>
      </c>
      <c r="C1970" s="94"/>
      <c r="D1970" s="32" t="str">
        <f>IF($A1970="","",INDEX(APOIO!$D:$D,MATCH(CONCATENATE($A1970,"_",$B1970,"_",$C1970),APOIO!$F:$F,0)))</f>
        <v/>
      </c>
      <c r="E1970" s="31"/>
      <c r="F1970" s="31"/>
      <c r="G1970" s="33"/>
      <c r="H1970" s="105"/>
      <c r="I1970" s="32" t="str">
        <f>IF($A1970="","",VLOOKUP($H1970,APOIO!$L:$M,2,FALSE))</f>
        <v/>
      </c>
      <c r="J1970" s="31"/>
      <c r="K1970" s="32" t="str">
        <f>IF($A1970="","",VLOOKUP($J1970,APOIO!$H:$J,2,FALSE))</f>
        <v/>
      </c>
      <c r="L1970" s="32" t="str">
        <f>IF($A1970="","",VLOOKUP($J1970,APOIO!$H:$J,3,FALSE))</f>
        <v/>
      </c>
      <c r="M1970" s="31"/>
      <c r="N1970" s="34"/>
      <c r="O1970" s="32"/>
      <c r="P1970" s="32"/>
      <c r="Q1970" s="32"/>
      <c r="R1970" s="32"/>
      <c r="S1970" s="35"/>
      <c r="T1970" s="91"/>
      <c r="U1970" s="60"/>
      <c r="V1970" s="36"/>
      <c r="W1970" s="31"/>
      <c r="X1970" s="59"/>
      <c r="Y1970" s="59" t="str">
        <f>IFERROR(VLOOKUP($A1970,APOIO!$A:$A,1,FALSE),"ERRO")</f>
        <v>ERRO</v>
      </c>
      <c r="Z1970"/>
    </row>
    <row r="1971" spans="1:26" ht="15" x14ac:dyDescent="0.25">
      <c r="A1971" s="94"/>
      <c r="B1971" s="32" t="str">
        <f>IF($A1971="","",VLOOKUP($A1971,APOIO!$A:$E,2,FALSE))</f>
        <v/>
      </c>
      <c r="C1971" s="94"/>
      <c r="D1971" s="32" t="str">
        <f>IF($A1971="","",INDEX(APOIO!$D:$D,MATCH(CONCATENATE($A1971,"_",$B1971,"_",$C1971),APOIO!$F:$F,0)))</f>
        <v/>
      </c>
      <c r="E1971" s="31"/>
      <c r="F1971" s="31"/>
      <c r="G1971" s="33"/>
      <c r="H1971" s="105"/>
      <c r="I1971" s="32" t="str">
        <f>IF($A1971="","",VLOOKUP($H1971,APOIO!$L:$M,2,FALSE))</f>
        <v/>
      </c>
      <c r="J1971" s="31"/>
      <c r="K1971" s="32" t="str">
        <f>IF($A1971="","",VLOOKUP($J1971,APOIO!$H:$J,2,FALSE))</f>
        <v/>
      </c>
      <c r="L1971" s="32" t="str">
        <f>IF($A1971="","",VLOOKUP($J1971,APOIO!$H:$J,3,FALSE))</f>
        <v/>
      </c>
      <c r="M1971" s="31"/>
      <c r="N1971" s="34"/>
      <c r="O1971" s="32"/>
      <c r="P1971" s="32"/>
      <c r="Q1971" s="32"/>
      <c r="R1971" s="32"/>
      <c r="S1971" s="35"/>
      <c r="T1971" s="91"/>
      <c r="U1971" s="60"/>
      <c r="V1971" s="36"/>
      <c r="W1971" s="31"/>
      <c r="X1971" s="59"/>
      <c r="Y1971" s="59" t="str">
        <f>IFERROR(VLOOKUP($A1971,APOIO!$A:$A,1,FALSE),"ERRO")</f>
        <v>ERRO</v>
      </c>
      <c r="Z1971"/>
    </row>
    <row r="1972" spans="1:26" ht="15" x14ac:dyDescent="0.25">
      <c r="A1972" s="94"/>
      <c r="B1972" s="32" t="str">
        <f>IF($A1972="","",VLOOKUP($A1972,APOIO!$A:$E,2,FALSE))</f>
        <v/>
      </c>
      <c r="C1972" s="94"/>
      <c r="D1972" s="32" t="str">
        <f>IF($A1972="","",INDEX(APOIO!$D:$D,MATCH(CONCATENATE($A1972,"_",$B1972,"_",$C1972),APOIO!$F:$F,0)))</f>
        <v/>
      </c>
      <c r="E1972" s="31"/>
      <c r="F1972" s="31"/>
      <c r="G1972" s="33"/>
      <c r="H1972" s="105"/>
      <c r="I1972" s="32" t="str">
        <f>IF($A1972="","",VLOOKUP($H1972,APOIO!$L:$M,2,FALSE))</f>
        <v/>
      </c>
      <c r="J1972" s="31"/>
      <c r="K1972" s="32" t="str">
        <f>IF($A1972="","",VLOOKUP($J1972,APOIO!$H:$J,2,FALSE))</f>
        <v/>
      </c>
      <c r="L1972" s="32" t="str">
        <f>IF($A1972="","",VLOOKUP($J1972,APOIO!$H:$J,3,FALSE))</f>
        <v/>
      </c>
      <c r="M1972" s="31"/>
      <c r="N1972" s="34"/>
      <c r="O1972" s="32"/>
      <c r="P1972" s="32"/>
      <c r="Q1972" s="32"/>
      <c r="R1972" s="32"/>
      <c r="S1972" s="35"/>
      <c r="T1972" s="91"/>
      <c r="U1972" s="60"/>
      <c r="V1972" s="36"/>
      <c r="W1972" s="31"/>
      <c r="X1972" s="59"/>
      <c r="Y1972" s="59" t="str">
        <f>IFERROR(VLOOKUP($A1972,APOIO!$A:$A,1,FALSE),"ERRO")</f>
        <v>ERRO</v>
      </c>
      <c r="Z1972"/>
    </row>
    <row r="1973" spans="1:26" ht="15" x14ac:dyDescent="0.25">
      <c r="A1973" s="94"/>
      <c r="B1973" s="32" t="str">
        <f>IF($A1973="","",VLOOKUP($A1973,APOIO!$A:$E,2,FALSE))</f>
        <v/>
      </c>
      <c r="C1973" s="94"/>
      <c r="D1973" s="32" t="str">
        <f>IF($A1973="","",INDEX(APOIO!$D:$D,MATCH(CONCATENATE($A1973,"_",$B1973,"_",$C1973),APOIO!$F:$F,0)))</f>
        <v/>
      </c>
      <c r="E1973" s="31"/>
      <c r="F1973" s="31"/>
      <c r="G1973" s="33"/>
      <c r="H1973" s="105"/>
      <c r="I1973" s="32" t="str">
        <f>IF($A1973="","",VLOOKUP($H1973,APOIO!$L:$M,2,FALSE))</f>
        <v/>
      </c>
      <c r="J1973" s="31"/>
      <c r="K1973" s="32" t="str">
        <f>IF($A1973="","",VLOOKUP($J1973,APOIO!$H:$J,2,FALSE))</f>
        <v/>
      </c>
      <c r="L1973" s="32" t="str">
        <f>IF($A1973="","",VLOOKUP($J1973,APOIO!$H:$J,3,FALSE))</f>
        <v/>
      </c>
      <c r="M1973" s="31"/>
      <c r="N1973" s="34"/>
      <c r="O1973" s="32"/>
      <c r="P1973" s="32"/>
      <c r="Q1973" s="32"/>
      <c r="R1973" s="32"/>
      <c r="S1973" s="35"/>
      <c r="T1973" s="91"/>
      <c r="U1973" s="60"/>
      <c r="V1973" s="36"/>
      <c r="W1973" s="31"/>
      <c r="X1973" s="59"/>
      <c r="Y1973" s="59" t="str">
        <f>IFERROR(VLOOKUP($A1973,APOIO!$A:$A,1,FALSE),"ERRO")</f>
        <v>ERRO</v>
      </c>
      <c r="Z1973"/>
    </row>
    <row r="1974" spans="1:26" ht="15" x14ac:dyDescent="0.25">
      <c r="A1974" s="94"/>
      <c r="B1974" s="32" t="str">
        <f>IF($A1974="","",VLOOKUP($A1974,APOIO!$A:$E,2,FALSE))</f>
        <v/>
      </c>
      <c r="C1974" s="94"/>
      <c r="D1974" s="32" t="str">
        <f>IF($A1974="","",INDEX(APOIO!$D:$D,MATCH(CONCATENATE($A1974,"_",$B1974,"_",$C1974),APOIO!$F:$F,0)))</f>
        <v/>
      </c>
      <c r="E1974" s="31"/>
      <c r="F1974" s="31"/>
      <c r="G1974" s="33"/>
      <c r="H1974" s="105"/>
      <c r="I1974" s="32" t="str">
        <f>IF($A1974="","",VLOOKUP($H1974,APOIO!$L:$M,2,FALSE))</f>
        <v/>
      </c>
      <c r="J1974" s="31"/>
      <c r="K1974" s="32" t="str">
        <f>IF($A1974="","",VLOOKUP($J1974,APOIO!$H:$J,2,FALSE))</f>
        <v/>
      </c>
      <c r="L1974" s="32" t="str">
        <f>IF($A1974="","",VLOOKUP($J1974,APOIO!$H:$J,3,FALSE))</f>
        <v/>
      </c>
      <c r="M1974" s="31"/>
      <c r="N1974" s="34"/>
      <c r="O1974" s="32"/>
      <c r="P1974" s="32"/>
      <c r="Q1974" s="32"/>
      <c r="R1974" s="32"/>
      <c r="S1974" s="35"/>
      <c r="T1974" s="91"/>
      <c r="U1974" s="60"/>
      <c r="V1974" s="36"/>
      <c r="W1974" s="31"/>
      <c r="X1974" s="59"/>
      <c r="Y1974" s="59" t="str">
        <f>IFERROR(VLOOKUP($A1974,APOIO!$A:$A,1,FALSE),"ERRO")</f>
        <v>ERRO</v>
      </c>
      <c r="Z1974"/>
    </row>
    <row r="1975" spans="1:26" ht="15" x14ac:dyDescent="0.25">
      <c r="A1975" s="94"/>
      <c r="B1975" s="32" t="str">
        <f>IF($A1975="","",VLOOKUP($A1975,APOIO!$A:$E,2,FALSE))</f>
        <v/>
      </c>
      <c r="C1975" s="94"/>
      <c r="D1975" s="32" t="str">
        <f>IF($A1975="","",INDEX(APOIO!$D:$D,MATCH(CONCATENATE($A1975,"_",$B1975,"_",$C1975),APOIO!$F:$F,0)))</f>
        <v/>
      </c>
      <c r="E1975" s="31"/>
      <c r="F1975" s="31"/>
      <c r="G1975" s="33"/>
      <c r="H1975" s="105"/>
      <c r="I1975" s="32" t="str">
        <f>IF($A1975="","",VLOOKUP($H1975,APOIO!$L:$M,2,FALSE))</f>
        <v/>
      </c>
      <c r="J1975" s="31"/>
      <c r="K1975" s="32" t="str">
        <f>IF($A1975="","",VLOOKUP($J1975,APOIO!$H:$J,2,FALSE))</f>
        <v/>
      </c>
      <c r="L1975" s="32" t="str">
        <f>IF($A1975="","",VLOOKUP($J1975,APOIO!$H:$J,3,FALSE))</f>
        <v/>
      </c>
      <c r="M1975" s="31"/>
      <c r="N1975" s="34"/>
      <c r="O1975" s="32"/>
      <c r="P1975" s="32"/>
      <c r="Q1975" s="32"/>
      <c r="R1975" s="32"/>
      <c r="S1975" s="35"/>
      <c r="T1975" s="91"/>
      <c r="U1975" s="60"/>
      <c r="V1975" s="36"/>
      <c r="W1975" s="31"/>
      <c r="X1975" s="59"/>
      <c r="Y1975" s="59" t="str">
        <f>IFERROR(VLOOKUP($A1975,APOIO!$A:$A,1,FALSE),"ERRO")</f>
        <v>ERRO</v>
      </c>
      <c r="Z1975"/>
    </row>
    <row r="1976" spans="1:26" ht="15" x14ac:dyDescent="0.25">
      <c r="A1976" s="94"/>
      <c r="B1976" s="32" t="str">
        <f>IF($A1976="","",VLOOKUP($A1976,APOIO!$A:$E,2,FALSE))</f>
        <v/>
      </c>
      <c r="C1976" s="94"/>
      <c r="D1976" s="32" t="str">
        <f>IF($A1976="","",INDEX(APOIO!$D:$D,MATCH(CONCATENATE($A1976,"_",$B1976,"_",$C1976),APOIO!$F:$F,0)))</f>
        <v/>
      </c>
      <c r="E1976" s="31"/>
      <c r="F1976" s="31"/>
      <c r="G1976" s="33"/>
      <c r="H1976" s="105"/>
      <c r="I1976" s="32" t="str">
        <f>IF($A1976="","",VLOOKUP($H1976,APOIO!$L:$M,2,FALSE))</f>
        <v/>
      </c>
      <c r="J1976" s="31"/>
      <c r="K1976" s="32" t="str">
        <f>IF($A1976="","",VLOOKUP($J1976,APOIO!$H:$J,2,FALSE))</f>
        <v/>
      </c>
      <c r="L1976" s="32" t="str">
        <f>IF($A1976="","",VLOOKUP($J1976,APOIO!$H:$J,3,FALSE))</f>
        <v/>
      </c>
      <c r="M1976" s="31"/>
      <c r="N1976" s="34"/>
      <c r="O1976" s="32"/>
      <c r="P1976" s="32"/>
      <c r="Q1976" s="32"/>
      <c r="R1976" s="32"/>
      <c r="S1976" s="35"/>
      <c r="T1976" s="91"/>
      <c r="U1976" s="60"/>
      <c r="V1976" s="36"/>
      <c r="W1976" s="31"/>
      <c r="X1976" s="59"/>
      <c r="Y1976" s="59" t="str">
        <f>IFERROR(VLOOKUP($A1976,APOIO!$A:$A,1,FALSE),"ERRO")</f>
        <v>ERRO</v>
      </c>
      <c r="Z1976"/>
    </row>
    <row r="1977" spans="1:26" ht="15" x14ac:dyDescent="0.25">
      <c r="A1977" s="94"/>
      <c r="B1977" s="32" t="str">
        <f>IF($A1977="","",VLOOKUP($A1977,APOIO!$A:$E,2,FALSE))</f>
        <v/>
      </c>
      <c r="C1977" s="94"/>
      <c r="D1977" s="32" t="str">
        <f>IF($A1977="","",INDEX(APOIO!$D:$D,MATCH(CONCATENATE($A1977,"_",$B1977,"_",$C1977),APOIO!$F:$F,0)))</f>
        <v/>
      </c>
      <c r="E1977" s="31"/>
      <c r="F1977" s="31"/>
      <c r="G1977" s="33"/>
      <c r="H1977" s="105"/>
      <c r="I1977" s="32" t="str">
        <f>IF($A1977="","",VLOOKUP($H1977,APOIO!$L:$M,2,FALSE))</f>
        <v/>
      </c>
      <c r="J1977" s="31"/>
      <c r="K1977" s="32" t="str">
        <f>IF($A1977="","",VLOOKUP($J1977,APOIO!$H:$J,2,FALSE))</f>
        <v/>
      </c>
      <c r="L1977" s="32" t="str">
        <f>IF($A1977="","",VLOOKUP($J1977,APOIO!$H:$J,3,FALSE))</f>
        <v/>
      </c>
      <c r="M1977" s="31"/>
      <c r="N1977" s="34"/>
      <c r="O1977" s="32"/>
      <c r="P1977" s="32"/>
      <c r="Q1977" s="32"/>
      <c r="R1977" s="32"/>
      <c r="S1977" s="35"/>
      <c r="T1977" s="91"/>
      <c r="U1977" s="60"/>
      <c r="V1977" s="36"/>
      <c r="W1977" s="31"/>
      <c r="X1977" s="59"/>
      <c r="Y1977" s="59" t="str">
        <f>IFERROR(VLOOKUP($A1977,APOIO!$A:$A,1,FALSE),"ERRO")</f>
        <v>ERRO</v>
      </c>
      <c r="Z1977"/>
    </row>
    <row r="1978" spans="1:26" ht="15" x14ac:dyDescent="0.25">
      <c r="A1978" s="94"/>
      <c r="B1978" s="32" t="str">
        <f>IF($A1978="","",VLOOKUP($A1978,APOIO!$A:$E,2,FALSE))</f>
        <v/>
      </c>
      <c r="C1978" s="94"/>
      <c r="D1978" s="32" t="str">
        <f>IF($A1978="","",INDEX(APOIO!$D:$D,MATCH(CONCATENATE($A1978,"_",$B1978,"_",$C1978),APOIO!$F:$F,0)))</f>
        <v/>
      </c>
      <c r="E1978" s="31"/>
      <c r="F1978" s="31"/>
      <c r="G1978" s="33"/>
      <c r="H1978" s="105"/>
      <c r="I1978" s="32" t="str">
        <f>IF($A1978="","",VLOOKUP($H1978,APOIO!$L:$M,2,FALSE))</f>
        <v/>
      </c>
      <c r="J1978" s="31"/>
      <c r="K1978" s="32" t="str">
        <f>IF($A1978="","",VLOOKUP($J1978,APOIO!$H:$J,2,FALSE))</f>
        <v/>
      </c>
      <c r="L1978" s="32" t="str">
        <f>IF($A1978="","",VLOOKUP($J1978,APOIO!$H:$J,3,FALSE))</f>
        <v/>
      </c>
      <c r="M1978" s="31"/>
      <c r="N1978" s="34"/>
      <c r="O1978" s="32"/>
      <c r="P1978" s="32"/>
      <c r="Q1978" s="32"/>
      <c r="R1978" s="32"/>
      <c r="S1978" s="35"/>
      <c r="T1978" s="91"/>
      <c r="U1978" s="60"/>
      <c r="V1978" s="36"/>
      <c r="W1978" s="31"/>
      <c r="X1978" s="59"/>
      <c r="Y1978" s="59" t="str">
        <f>IFERROR(VLOOKUP($A1978,APOIO!$A:$A,1,FALSE),"ERRO")</f>
        <v>ERRO</v>
      </c>
      <c r="Z1978"/>
    </row>
    <row r="1979" spans="1:26" ht="15" x14ac:dyDescent="0.25">
      <c r="A1979" s="94"/>
      <c r="B1979" s="32" t="str">
        <f>IF($A1979="","",VLOOKUP($A1979,APOIO!$A:$E,2,FALSE))</f>
        <v/>
      </c>
      <c r="C1979" s="94"/>
      <c r="D1979" s="32" t="str">
        <f>IF($A1979="","",INDEX(APOIO!$D:$D,MATCH(CONCATENATE($A1979,"_",$B1979,"_",$C1979),APOIO!$F:$F,0)))</f>
        <v/>
      </c>
      <c r="E1979" s="31"/>
      <c r="F1979" s="31"/>
      <c r="G1979" s="33"/>
      <c r="H1979" s="105"/>
      <c r="I1979" s="32" t="str">
        <f>IF($A1979="","",VLOOKUP($H1979,APOIO!$L:$M,2,FALSE))</f>
        <v/>
      </c>
      <c r="J1979" s="31"/>
      <c r="K1979" s="32" t="str">
        <f>IF($A1979="","",VLOOKUP($J1979,APOIO!$H:$J,2,FALSE))</f>
        <v/>
      </c>
      <c r="L1979" s="32" t="str">
        <f>IF($A1979="","",VLOOKUP($J1979,APOIO!$H:$J,3,FALSE))</f>
        <v/>
      </c>
      <c r="M1979" s="31"/>
      <c r="N1979" s="34"/>
      <c r="O1979" s="32"/>
      <c r="P1979" s="32"/>
      <c r="Q1979" s="32"/>
      <c r="R1979" s="32"/>
      <c r="S1979" s="35"/>
      <c r="T1979" s="91"/>
      <c r="U1979" s="60"/>
      <c r="V1979" s="36"/>
      <c r="W1979" s="31"/>
      <c r="X1979" s="59"/>
      <c r="Y1979" s="59" t="str">
        <f>IFERROR(VLOOKUP($A1979,APOIO!$A:$A,1,FALSE),"ERRO")</f>
        <v>ERRO</v>
      </c>
      <c r="Z1979"/>
    </row>
    <row r="1980" spans="1:26" ht="15" x14ac:dyDescent="0.25">
      <c r="A1980" s="94"/>
      <c r="B1980" s="32" t="str">
        <f>IF($A1980="","",VLOOKUP($A1980,APOIO!$A:$E,2,FALSE))</f>
        <v/>
      </c>
      <c r="C1980" s="94"/>
      <c r="D1980" s="32" t="str">
        <f>IF($A1980="","",INDEX(APOIO!$D:$D,MATCH(CONCATENATE($A1980,"_",$B1980,"_",$C1980),APOIO!$F:$F,0)))</f>
        <v/>
      </c>
      <c r="E1980" s="31"/>
      <c r="F1980" s="31"/>
      <c r="G1980" s="33"/>
      <c r="H1980" s="105"/>
      <c r="I1980" s="32" t="str">
        <f>IF($A1980="","",VLOOKUP($H1980,APOIO!$L:$M,2,FALSE))</f>
        <v/>
      </c>
      <c r="J1980" s="31"/>
      <c r="K1980" s="32" t="str">
        <f>IF($A1980="","",VLOOKUP($J1980,APOIO!$H:$J,2,FALSE))</f>
        <v/>
      </c>
      <c r="L1980" s="32" t="str">
        <f>IF($A1980="","",VLOOKUP($J1980,APOIO!$H:$J,3,FALSE))</f>
        <v/>
      </c>
      <c r="M1980" s="31"/>
      <c r="N1980" s="34"/>
      <c r="O1980" s="32"/>
      <c r="P1980" s="32"/>
      <c r="Q1980" s="32"/>
      <c r="R1980" s="32"/>
      <c r="S1980" s="35"/>
      <c r="T1980" s="91"/>
      <c r="U1980" s="60"/>
      <c r="V1980" s="36"/>
      <c r="W1980" s="31"/>
      <c r="X1980" s="59"/>
      <c r="Y1980" s="59" t="str">
        <f>IFERROR(VLOOKUP($A1980,APOIO!$A:$A,1,FALSE),"ERRO")</f>
        <v>ERRO</v>
      </c>
      <c r="Z1980"/>
    </row>
    <row r="1981" spans="1:26" ht="15" x14ac:dyDescent="0.25">
      <c r="A1981" s="94"/>
      <c r="B1981" s="32" t="str">
        <f>IF($A1981="","",VLOOKUP($A1981,APOIO!$A:$E,2,FALSE))</f>
        <v/>
      </c>
      <c r="C1981" s="94"/>
      <c r="D1981" s="32" t="str">
        <f>IF($A1981="","",INDEX(APOIO!$D:$D,MATCH(CONCATENATE($A1981,"_",$B1981,"_",$C1981),APOIO!$F:$F,0)))</f>
        <v/>
      </c>
      <c r="E1981" s="31"/>
      <c r="F1981" s="31"/>
      <c r="G1981" s="33"/>
      <c r="H1981" s="105"/>
      <c r="I1981" s="32" t="str">
        <f>IF($A1981="","",VLOOKUP($H1981,APOIO!$L:$M,2,FALSE))</f>
        <v/>
      </c>
      <c r="J1981" s="31"/>
      <c r="K1981" s="32" t="str">
        <f>IF($A1981="","",VLOOKUP($J1981,APOIO!$H:$J,2,FALSE))</f>
        <v/>
      </c>
      <c r="L1981" s="32" t="str">
        <f>IF($A1981="","",VLOOKUP($J1981,APOIO!$H:$J,3,FALSE))</f>
        <v/>
      </c>
      <c r="M1981" s="31"/>
      <c r="N1981" s="34"/>
      <c r="O1981" s="32"/>
      <c r="P1981" s="32"/>
      <c r="Q1981" s="32"/>
      <c r="R1981" s="32"/>
      <c r="S1981" s="35"/>
      <c r="T1981" s="91"/>
      <c r="U1981" s="60"/>
      <c r="V1981" s="36"/>
      <c r="W1981" s="31"/>
      <c r="X1981" s="59"/>
      <c r="Y1981" s="59" t="str">
        <f>IFERROR(VLOOKUP($A1981,APOIO!$A:$A,1,FALSE),"ERRO")</f>
        <v>ERRO</v>
      </c>
      <c r="Z1981"/>
    </row>
    <row r="1982" spans="1:26" ht="15" x14ac:dyDescent="0.25">
      <c r="A1982" s="94"/>
      <c r="B1982" s="32" t="str">
        <f>IF($A1982="","",VLOOKUP($A1982,APOIO!$A:$E,2,FALSE))</f>
        <v/>
      </c>
      <c r="C1982" s="94"/>
      <c r="D1982" s="32" t="str">
        <f>IF($A1982="","",INDEX(APOIO!$D:$D,MATCH(CONCATENATE($A1982,"_",$B1982,"_",$C1982),APOIO!$F:$F,0)))</f>
        <v/>
      </c>
      <c r="E1982" s="31"/>
      <c r="F1982" s="31"/>
      <c r="G1982" s="33"/>
      <c r="H1982" s="105"/>
      <c r="I1982" s="32" t="str">
        <f>IF($A1982="","",VLOOKUP($H1982,APOIO!$L:$M,2,FALSE))</f>
        <v/>
      </c>
      <c r="J1982" s="31"/>
      <c r="K1982" s="32" t="str">
        <f>IF($A1982="","",VLOOKUP($J1982,APOIO!$H:$J,2,FALSE))</f>
        <v/>
      </c>
      <c r="L1982" s="32" t="str">
        <f>IF($A1982="","",VLOOKUP($J1982,APOIO!$H:$J,3,FALSE))</f>
        <v/>
      </c>
      <c r="M1982" s="31"/>
      <c r="N1982" s="34"/>
      <c r="O1982" s="32"/>
      <c r="P1982" s="32"/>
      <c r="Q1982" s="32"/>
      <c r="R1982" s="32"/>
      <c r="S1982" s="35"/>
      <c r="T1982" s="91"/>
      <c r="U1982" s="60"/>
      <c r="V1982" s="36"/>
      <c r="W1982" s="31"/>
      <c r="X1982" s="59"/>
      <c r="Y1982" s="59" t="str">
        <f>IFERROR(VLOOKUP($A1982,APOIO!$A:$A,1,FALSE),"ERRO")</f>
        <v>ERRO</v>
      </c>
      <c r="Z1982"/>
    </row>
    <row r="1983" spans="1:26" ht="15" x14ac:dyDescent="0.25">
      <c r="A1983" s="94"/>
      <c r="B1983" s="32" t="str">
        <f>IF($A1983="","",VLOOKUP($A1983,APOIO!$A:$E,2,FALSE))</f>
        <v/>
      </c>
      <c r="C1983" s="94"/>
      <c r="D1983" s="32" t="str">
        <f>IF($A1983="","",INDEX(APOIO!$D:$D,MATCH(CONCATENATE($A1983,"_",$B1983,"_",$C1983),APOIO!$F:$F,0)))</f>
        <v/>
      </c>
      <c r="E1983" s="31"/>
      <c r="F1983" s="31"/>
      <c r="G1983" s="33"/>
      <c r="H1983" s="105"/>
      <c r="I1983" s="32" t="str">
        <f>IF($A1983="","",VLOOKUP($H1983,APOIO!$L:$M,2,FALSE))</f>
        <v/>
      </c>
      <c r="J1983" s="31"/>
      <c r="K1983" s="32" t="str">
        <f>IF($A1983="","",VLOOKUP($J1983,APOIO!$H:$J,2,FALSE))</f>
        <v/>
      </c>
      <c r="L1983" s="32" t="str">
        <f>IF($A1983="","",VLOOKUP($J1983,APOIO!$H:$J,3,FALSE))</f>
        <v/>
      </c>
      <c r="M1983" s="31"/>
      <c r="N1983" s="34"/>
      <c r="O1983" s="32"/>
      <c r="P1983" s="32"/>
      <c r="Q1983" s="32"/>
      <c r="R1983" s="32"/>
      <c r="S1983" s="35"/>
      <c r="T1983" s="91"/>
      <c r="U1983" s="60"/>
      <c r="V1983" s="36"/>
      <c r="W1983" s="31"/>
      <c r="X1983" s="59"/>
      <c r="Y1983" s="59" t="str">
        <f>IFERROR(VLOOKUP($A1983,APOIO!$A:$A,1,FALSE),"ERRO")</f>
        <v>ERRO</v>
      </c>
      <c r="Z1983"/>
    </row>
    <row r="1984" spans="1:26" ht="15" x14ac:dyDescent="0.25">
      <c r="A1984" s="94"/>
      <c r="B1984" s="32" t="str">
        <f>IF($A1984="","",VLOOKUP($A1984,APOIO!$A:$E,2,FALSE))</f>
        <v/>
      </c>
      <c r="C1984" s="94"/>
      <c r="D1984" s="32" t="str">
        <f>IF($A1984="","",INDEX(APOIO!$D:$D,MATCH(CONCATENATE($A1984,"_",$B1984,"_",$C1984),APOIO!$F:$F,0)))</f>
        <v/>
      </c>
      <c r="E1984" s="31"/>
      <c r="F1984" s="31"/>
      <c r="G1984" s="33"/>
      <c r="H1984" s="105"/>
      <c r="I1984" s="32" t="str">
        <f>IF($A1984="","",VLOOKUP($H1984,APOIO!$L:$M,2,FALSE))</f>
        <v/>
      </c>
      <c r="J1984" s="31"/>
      <c r="K1984" s="32" t="str">
        <f>IF($A1984="","",VLOOKUP($J1984,APOIO!$H:$J,2,FALSE))</f>
        <v/>
      </c>
      <c r="L1984" s="32" t="str">
        <f>IF($A1984="","",VLOOKUP($J1984,APOIO!$H:$J,3,FALSE))</f>
        <v/>
      </c>
      <c r="M1984" s="31"/>
      <c r="N1984" s="34"/>
      <c r="O1984" s="32"/>
      <c r="P1984" s="32"/>
      <c r="Q1984" s="32"/>
      <c r="R1984" s="32"/>
      <c r="S1984" s="35"/>
      <c r="T1984" s="91"/>
      <c r="U1984" s="60"/>
      <c r="V1984" s="36"/>
      <c r="W1984" s="31"/>
      <c r="X1984" s="59"/>
      <c r="Y1984" s="59" t="str">
        <f>IFERROR(VLOOKUP($A1984,APOIO!$A:$A,1,FALSE),"ERRO")</f>
        <v>ERRO</v>
      </c>
      <c r="Z1984"/>
    </row>
    <row r="1985" spans="1:26" ht="15" x14ac:dyDescent="0.25">
      <c r="A1985" s="94"/>
      <c r="B1985" s="32" t="str">
        <f>IF($A1985="","",VLOOKUP($A1985,APOIO!$A:$E,2,FALSE))</f>
        <v/>
      </c>
      <c r="C1985" s="94"/>
      <c r="D1985" s="32" t="str">
        <f>IF($A1985="","",INDEX(APOIO!$D:$D,MATCH(CONCATENATE($A1985,"_",$B1985,"_",$C1985),APOIO!$F:$F,0)))</f>
        <v/>
      </c>
      <c r="E1985" s="31"/>
      <c r="F1985" s="31"/>
      <c r="G1985" s="33"/>
      <c r="H1985" s="105"/>
      <c r="I1985" s="32" t="str">
        <f>IF($A1985="","",VLOOKUP($H1985,APOIO!$L:$M,2,FALSE))</f>
        <v/>
      </c>
      <c r="J1985" s="31"/>
      <c r="K1985" s="32" t="str">
        <f>IF($A1985="","",VLOOKUP($J1985,APOIO!$H:$J,2,FALSE))</f>
        <v/>
      </c>
      <c r="L1985" s="32" t="str">
        <f>IF($A1985="","",VLOOKUP($J1985,APOIO!$H:$J,3,FALSE))</f>
        <v/>
      </c>
      <c r="M1985" s="31"/>
      <c r="N1985" s="34"/>
      <c r="O1985" s="32"/>
      <c r="P1985" s="32"/>
      <c r="Q1985" s="32"/>
      <c r="R1985" s="32"/>
      <c r="S1985" s="35"/>
      <c r="T1985" s="91"/>
      <c r="U1985" s="60"/>
      <c r="V1985" s="36"/>
      <c r="W1985" s="31"/>
      <c r="X1985" s="59"/>
      <c r="Y1985" s="59" t="str">
        <f>IFERROR(VLOOKUP($A1985,APOIO!$A:$A,1,FALSE),"ERRO")</f>
        <v>ERRO</v>
      </c>
      <c r="Z1985"/>
    </row>
    <row r="1986" spans="1:26" ht="15" x14ac:dyDescent="0.25">
      <c r="A1986" s="94"/>
      <c r="B1986" s="32" t="str">
        <f>IF($A1986="","",VLOOKUP($A1986,APOIO!$A:$E,2,FALSE))</f>
        <v/>
      </c>
      <c r="C1986" s="94"/>
      <c r="D1986" s="32" t="str">
        <f>IF($A1986="","",INDEX(APOIO!$D:$D,MATCH(CONCATENATE($A1986,"_",$B1986,"_",$C1986),APOIO!$F:$F,0)))</f>
        <v/>
      </c>
      <c r="E1986" s="31"/>
      <c r="F1986" s="31"/>
      <c r="G1986" s="33"/>
      <c r="H1986" s="105"/>
      <c r="I1986" s="32" t="str">
        <f>IF($A1986="","",VLOOKUP($H1986,APOIO!$L:$M,2,FALSE))</f>
        <v/>
      </c>
      <c r="J1986" s="31"/>
      <c r="K1986" s="32" t="str">
        <f>IF($A1986="","",VLOOKUP($J1986,APOIO!$H:$J,2,FALSE))</f>
        <v/>
      </c>
      <c r="L1986" s="32" t="str">
        <f>IF($A1986="","",VLOOKUP($J1986,APOIO!$H:$J,3,FALSE))</f>
        <v/>
      </c>
      <c r="M1986" s="31"/>
      <c r="N1986" s="34"/>
      <c r="O1986" s="32"/>
      <c r="P1986" s="32"/>
      <c r="Q1986" s="32"/>
      <c r="R1986" s="32"/>
      <c r="S1986" s="35"/>
      <c r="T1986" s="91"/>
      <c r="U1986" s="60"/>
      <c r="V1986" s="36"/>
      <c r="W1986" s="31"/>
      <c r="X1986" s="59"/>
      <c r="Y1986" s="59" t="str">
        <f>IFERROR(VLOOKUP($A1986,APOIO!$A:$A,1,FALSE),"ERRO")</f>
        <v>ERRO</v>
      </c>
      <c r="Z1986"/>
    </row>
    <row r="1987" spans="1:26" ht="15" x14ac:dyDescent="0.25">
      <c r="A1987" s="94"/>
      <c r="B1987" s="32" t="str">
        <f>IF($A1987="","",VLOOKUP($A1987,APOIO!$A:$E,2,FALSE))</f>
        <v/>
      </c>
      <c r="C1987" s="94"/>
      <c r="D1987" s="32" t="str">
        <f>IF($A1987="","",INDEX(APOIO!$D:$D,MATCH(CONCATENATE($A1987,"_",$B1987,"_",$C1987),APOIO!$F:$F,0)))</f>
        <v/>
      </c>
      <c r="E1987" s="31"/>
      <c r="F1987" s="31"/>
      <c r="G1987" s="33"/>
      <c r="H1987" s="105"/>
      <c r="I1987" s="32" t="str">
        <f>IF($A1987="","",VLOOKUP($H1987,APOIO!$L:$M,2,FALSE))</f>
        <v/>
      </c>
      <c r="J1987" s="31"/>
      <c r="K1987" s="32" t="str">
        <f>IF($A1987="","",VLOOKUP($J1987,APOIO!$H:$J,2,FALSE))</f>
        <v/>
      </c>
      <c r="L1987" s="32" t="str">
        <f>IF($A1987="","",VLOOKUP($J1987,APOIO!$H:$J,3,FALSE))</f>
        <v/>
      </c>
      <c r="M1987" s="31"/>
      <c r="N1987" s="34"/>
      <c r="O1987" s="32"/>
      <c r="P1987" s="32"/>
      <c r="Q1987" s="32"/>
      <c r="R1987" s="32"/>
      <c r="S1987" s="35"/>
      <c r="T1987" s="91"/>
      <c r="U1987" s="60"/>
      <c r="V1987" s="36"/>
      <c r="W1987" s="31"/>
      <c r="X1987" s="59"/>
      <c r="Y1987" s="59" t="str">
        <f>IFERROR(VLOOKUP($A1987,APOIO!$A:$A,1,FALSE),"ERRO")</f>
        <v>ERRO</v>
      </c>
      <c r="Z1987"/>
    </row>
    <row r="1988" spans="1:26" ht="15" x14ac:dyDescent="0.25">
      <c r="A1988" s="94"/>
      <c r="B1988" s="32" t="str">
        <f>IF($A1988="","",VLOOKUP($A1988,APOIO!$A:$E,2,FALSE))</f>
        <v/>
      </c>
      <c r="C1988" s="94"/>
      <c r="D1988" s="32" t="str">
        <f>IF($A1988="","",INDEX(APOIO!$D:$D,MATCH(CONCATENATE($A1988,"_",$B1988,"_",$C1988),APOIO!$F:$F,0)))</f>
        <v/>
      </c>
      <c r="E1988" s="31"/>
      <c r="F1988" s="31"/>
      <c r="G1988" s="33"/>
      <c r="H1988" s="105"/>
      <c r="I1988" s="32" t="str">
        <f>IF($A1988="","",VLOOKUP($H1988,APOIO!$L:$M,2,FALSE))</f>
        <v/>
      </c>
      <c r="J1988" s="31"/>
      <c r="K1988" s="32" t="str">
        <f>IF($A1988="","",VLOOKUP($J1988,APOIO!$H:$J,2,FALSE))</f>
        <v/>
      </c>
      <c r="L1988" s="32" t="str">
        <f>IF($A1988="","",VLOOKUP($J1988,APOIO!$H:$J,3,FALSE))</f>
        <v/>
      </c>
      <c r="M1988" s="31"/>
      <c r="N1988" s="34"/>
      <c r="O1988" s="32"/>
      <c r="P1988" s="32"/>
      <c r="Q1988" s="32"/>
      <c r="R1988" s="32"/>
      <c r="S1988" s="35"/>
      <c r="T1988" s="91"/>
      <c r="U1988" s="60"/>
      <c r="V1988" s="36"/>
      <c r="W1988" s="31"/>
      <c r="X1988" s="59"/>
      <c r="Y1988" s="59" t="str">
        <f>IFERROR(VLOOKUP($A1988,APOIO!$A:$A,1,FALSE),"ERRO")</f>
        <v>ERRO</v>
      </c>
      <c r="Z1988"/>
    </row>
    <row r="1989" spans="1:26" ht="15" x14ac:dyDescent="0.25">
      <c r="A1989" s="94"/>
      <c r="B1989" s="32" t="str">
        <f>IF($A1989="","",VLOOKUP($A1989,APOIO!$A:$E,2,FALSE))</f>
        <v/>
      </c>
      <c r="C1989" s="94"/>
      <c r="D1989" s="32" t="str">
        <f>IF($A1989="","",INDEX(APOIO!$D:$D,MATCH(CONCATENATE($A1989,"_",$B1989,"_",$C1989),APOIO!$F:$F,0)))</f>
        <v/>
      </c>
      <c r="E1989" s="31"/>
      <c r="F1989" s="31"/>
      <c r="G1989" s="33"/>
      <c r="H1989" s="105"/>
      <c r="I1989" s="32" t="str">
        <f>IF($A1989="","",VLOOKUP($H1989,APOIO!$L:$M,2,FALSE))</f>
        <v/>
      </c>
      <c r="J1989" s="31"/>
      <c r="K1989" s="32" t="str">
        <f>IF($A1989="","",VLOOKUP($J1989,APOIO!$H:$J,2,FALSE))</f>
        <v/>
      </c>
      <c r="L1989" s="32" t="str">
        <f>IF($A1989="","",VLOOKUP($J1989,APOIO!$H:$J,3,FALSE))</f>
        <v/>
      </c>
      <c r="M1989" s="31"/>
      <c r="N1989" s="34"/>
      <c r="O1989" s="32"/>
      <c r="P1989" s="32"/>
      <c r="Q1989" s="32"/>
      <c r="R1989" s="32"/>
      <c r="S1989" s="35"/>
      <c r="T1989" s="91"/>
      <c r="U1989" s="60"/>
      <c r="V1989" s="36"/>
      <c r="W1989" s="31"/>
      <c r="X1989" s="59"/>
      <c r="Y1989" s="59" t="str">
        <f>IFERROR(VLOOKUP($A1989,APOIO!$A:$A,1,FALSE),"ERRO")</f>
        <v>ERRO</v>
      </c>
      <c r="Z1989"/>
    </row>
    <row r="1990" spans="1:26" ht="15" x14ac:dyDescent="0.25">
      <c r="A1990" s="94"/>
      <c r="B1990" s="32" t="str">
        <f>IF($A1990="","",VLOOKUP($A1990,APOIO!$A:$E,2,FALSE))</f>
        <v/>
      </c>
      <c r="C1990" s="94"/>
      <c r="D1990" s="32" t="str">
        <f>IF($A1990="","",INDEX(APOIO!$D:$D,MATCH(CONCATENATE($A1990,"_",$B1990,"_",$C1990),APOIO!$F:$F,0)))</f>
        <v/>
      </c>
      <c r="E1990" s="31"/>
      <c r="F1990" s="31"/>
      <c r="G1990" s="33"/>
      <c r="H1990" s="105"/>
      <c r="I1990" s="32" t="str">
        <f>IF($A1990="","",VLOOKUP($H1990,APOIO!$L:$M,2,FALSE))</f>
        <v/>
      </c>
      <c r="J1990" s="31"/>
      <c r="K1990" s="32" t="str">
        <f>IF($A1990="","",VLOOKUP($J1990,APOIO!$H:$J,2,FALSE))</f>
        <v/>
      </c>
      <c r="L1990" s="32" t="str">
        <f>IF($A1990="","",VLOOKUP($J1990,APOIO!$H:$J,3,FALSE))</f>
        <v/>
      </c>
      <c r="M1990" s="31"/>
      <c r="N1990" s="34"/>
      <c r="O1990" s="32"/>
      <c r="P1990" s="32"/>
      <c r="Q1990" s="32"/>
      <c r="R1990" s="32"/>
      <c r="S1990" s="35"/>
      <c r="T1990" s="91"/>
      <c r="U1990" s="60"/>
      <c r="V1990" s="36"/>
      <c r="W1990" s="31"/>
      <c r="X1990" s="59"/>
      <c r="Y1990" s="59" t="str">
        <f>IFERROR(VLOOKUP($A1990,APOIO!$A:$A,1,FALSE),"ERRO")</f>
        <v>ERRO</v>
      </c>
      <c r="Z1990"/>
    </row>
    <row r="1991" spans="1:26" ht="15" x14ac:dyDescent="0.25">
      <c r="A1991" s="94"/>
      <c r="B1991" s="32" t="str">
        <f>IF($A1991="","",VLOOKUP($A1991,APOIO!$A:$E,2,FALSE))</f>
        <v/>
      </c>
      <c r="C1991" s="94"/>
      <c r="D1991" s="32" t="str">
        <f>IF($A1991="","",INDEX(APOIO!$D:$D,MATCH(CONCATENATE($A1991,"_",$B1991,"_",$C1991),APOIO!$F:$F,0)))</f>
        <v/>
      </c>
      <c r="E1991" s="31"/>
      <c r="F1991" s="31"/>
      <c r="G1991" s="33"/>
      <c r="H1991" s="105"/>
      <c r="I1991" s="32" t="str">
        <f>IF($A1991="","",VLOOKUP($H1991,APOIO!$L:$M,2,FALSE))</f>
        <v/>
      </c>
      <c r="J1991" s="31"/>
      <c r="K1991" s="32" t="str">
        <f>IF($A1991="","",VLOOKUP($J1991,APOIO!$H:$J,2,FALSE))</f>
        <v/>
      </c>
      <c r="L1991" s="32" t="str">
        <f>IF($A1991="","",VLOOKUP($J1991,APOIO!$H:$J,3,FALSE))</f>
        <v/>
      </c>
      <c r="M1991" s="31"/>
      <c r="N1991" s="34"/>
      <c r="O1991" s="32"/>
      <c r="P1991" s="32"/>
      <c r="Q1991" s="32"/>
      <c r="R1991" s="32"/>
      <c r="S1991" s="35"/>
      <c r="T1991" s="91"/>
      <c r="U1991" s="60"/>
      <c r="V1991" s="36"/>
      <c r="W1991" s="31"/>
      <c r="X1991" s="59"/>
      <c r="Y1991" s="59" t="str">
        <f>IFERROR(VLOOKUP($A1991,APOIO!$A:$A,1,FALSE),"ERRO")</f>
        <v>ERRO</v>
      </c>
      <c r="Z1991"/>
    </row>
    <row r="1992" spans="1:26" ht="15" x14ac:dyDescent="0.25">
      <c r="A1992" s="94"/>
      <c r="B1992" s="32" t="str">
        <f>IF($A1992="","",VLOOKUP($A1992,APOIO!$A:$E,2,FALSE))</f>
        <v/>
      </c>
      <c r="C1992" s="94"/>
      <c r="D1992" s="32" t="str">
        <f>IF($A1992="","",INDEX(APOIO!$D:$D,MATCH(CONCATENATE($A1992,"_",$B1992,"_",$C1992),APOIO!$F:$F,0)))</f>
        <v/>
      </c>
      <c r="E1992" s="31"/>
      <c r="F1992" s="31"/>
      <c r="G1992" s="33"/>
      <c r="H1992" s="105"/>
      <c r="I1992" s="32" t="str">
        <f>IF($A1992="","",VLOOKUP($H1992,APOIO!$L:$M,2,FALSE))</f>
        <v/>
      </c>
      <c r="J1992" s="31"/>
      <c r="K1992" s="32" t="str">
        <f>IF($A1992="","",VLOOKUP($J1992,APOIO!$H:$J,2,FALSE))</f>
        <v/>
      </c>
      <c r="L1992" s="32" t="str">
        <f>IF($A1992="","",VLOOKUP($J1992,APOIO!$H:$J,3,FALSE))</f>
        <v/>
      </c>
      <c r="M1992" s="31"/>
      <c r="N1992" s="34"/>
      <c r="O1992" s="32"/>
      <c r="P1992" s="32"/>
      <c r="Q1992" s="32"/>
      <c r="R1992" s="32"/>
      <c r="S1992" s="35"/>
      <c r="T1992" s="91"/>
      <c r="U1992" s="60"/>
      <c r="V1992" s="36"/>
      <c r="W1992" s="31"/>
      <c r="X1992" s="59"/>
      <c r="Y1992" s="59" t="str">
        <f>IFERROR(VLOOKUP($A1992,APOIO!$A:$A,1,FALSE),"ERRO")</f>
        <v>ERRO</v>
      </c>
      <c r="Z1992"/>
    </row>
    <row r="1993" spans="1:26" ht="15" x14ac:dyDescent="0.25">
      <c r="A1993" s="94"/>
      <c r="B1993" s="32" t="str">
        <f>IF($A1993="","",VLOOKUP($A1993,APOIO!$A:$E,2,FALSE))</f>
        <v/>
      </c>
      <c r="C1993" s="94"/>
      <c r="D1993" s="32" t="str">
        <f>IF($A1993="","",INDEX(APOIO!$D:$D,MATCH(CONCATENATE($A1993,"_",$B1993,"_",$C1993),APOIO!$F:$F,0)))</f>
        <v/>
      </c>
      <c r="E1993" s="31"/>
      <c r="F1993" s="31"/>
      <c r="G1993" s="33"/>
      <c r="H1993" s="105"/>
      <c r="I1993" s="32" t="str">
        <f>IF($A1993="","",VLOOKUP($H1993,APOIO!$L:$M,2,FALSE))</f>
        <v/>
      </c>
      <c r="J1993" s="31"/>
      <c r="K1993" s="32" t="str">
        <f>IF($A1993="","",VLOOKUP($J1993,APOIO!$H:$J,2,FALSE))</f>
        <v/>
      </c>
      <c r="L1993" s="32" t="str">
        <f>IF($A1993="","",VLOOKUP($J1993,APOIO!$H:$J,3,FALSE))</f>
        <v/>
      </c>
      <c r="M1993" s="31"/>
      <c r="N1993" s="34"/>
      <c r="O1993" s="32"/>
      <c r="P1993" s="32"/>
      <c r="Q1993" s="32"/>
      <c r="R1993" s="32"/>
      <c r="S1993" s="35"/>
      <c r="T1993" s="91"/>
      <c r="U1993" s="60"/>
      <c r="V1993" s="36"/>
      <c r="W1993" s="31"/>
      <c r="X1993" s="59"/>
      <c r="Y1993" s="59" t="str">
        <f>IFERROR(VLOOKUP($A1993,APOIO!$A:$A,1,FALSE),"ERRO")</f>
        <v>ERRO</v>
      </c>
      <c r="Z1993"/>
    </row>
    <row r="1994" spans="1:26" ht="15" x14ac:dyDescent="0.25">
      <c r="A1994" s="94"/>
      <c r="B1994" s="32" t="str">
        <f>IF($A1994="","",VLOOKUP($A1994,APOIO!$A:$E,2,FALSE))</f>
        <v/>
      </c>
      <c r="C1994" s="94"/>
      <c r="D1994" s="32" t="str">
        <f>IF($A1994="","",INDEX(APOIO!$D:$D,MATCH(CONCATENATE($A1994,"_",$B1994,"_",$C1994),APOIO!$F:$F,0)))</f>
        <v/>
      </c>
      <c r="E1994" s="31"/>
      <c r="F1994" s="31"/>
      <c r="G1994" s="33"/>
      <c r="H1994" s="105"/>
      <c r="I1994" s="32" t="str">
        <f>IF($A1994="","",VLOOKUP($H1994,APOIO!$L:$M,2,FALSE))</f>
        <v/>
      </c>
      <c r="J1994" s="31"/>
      <c r="K1994" s="32" t="str">
        <f>IF($A1994="","",VLOOKUP($J1994,APOIO!$H:$J,2,FALSE))</f>
        <v/>
      </c>
      <c r="L1994" s="32" t="str">
        <f>IF($A1994="","",VLOOKUP($J1994,APOIO!$H:$J,3,FALSE))</f>
        <v/>
      </c>
      <c r="M1994" s="31"/>
      <c r="N1994" s="34"/>
      <c r="O1994" s="32"/>
      <c r="P1994" s="32"/>
      <c r="Q1994" s="32"/>
      <c r="R1994" s="32"/>
      <c r="S1994" s="35"/>
      <c r="T1994" s="91"/>
      <c r="U1994" s="60"/>
      <c r="V1994" s="36"/>
      <c r="W1994" s="31"/>
      <c r="X1994" s="59"/>
      <c r="Y1994" s="59" t="str">
        <f>IFERROR(VLOOKUP($A1994,APOIO!$A:$A,1,FALSE),"ERRO")</f>
        <v>ERRO</v>
      </c>
      <c r="Z1994"/>
    </row>
    <row r="1995" spans="1:26" ht="15" x14ac:dyDescent="0.25">
      <c r="A1995" s="94"/>
      <c r="B1995" s="32" t="str">
        <f>IF($A1995="","",VLOOKUP($A1995,APOIO!$A:$E,2,FALSE))</f>
        <v/>
      </c>
      <c r="C1995" s="94"/>
      <c r="D1995" s="32" t="str">
        <f>IF($A1995="","",INDEX(APOIO!$D:$D,MATCH(CONCATENATE($A1995,"_",$B1995,"_",$C1995),APOIO!$F:$F,0)))</f>
        <v/>
      </c>
      <c r="E1995" s="31"/>
      <c r="F1995" s="31"/>
      <c r="G1995" s="33"/>
      <c r="H1995" s="105"/>
      <c r="I1995" s="32" t="str">
        <f>IF($A1995="","",VLOOKUP($H1995,APOIO!$L:$M,2,FALSE))</f>
        <v/>
      </c>
      <c r="J1995" s="31"/>
      <c r="K1995" s="32" t="str">
        <f>IF($A1995="","",VLOOKUP($J1995,APOIO!$H:$J,2,FALSE))</f>
        <v/>
      </c>
      <c r="L1995" s="32" t="str">
        <f>IF($A1995="","",VLOOKUP($J1995,APOIO!$H:$J,3,FALSE))</f>
        <v/>
      </c>
      <c r="M1995" s="31"/>
      <c r="N1995" s="34"/>
      <c r="O1995" s="32"/>
      <c r="P1995" s="32"/>
      <c r="Q1995" s="32"/>
      <c r="R1995" s="32"/>
      <c r="S1995" s="35"/>
      <c r="T1995" s="91"/>
      <c r="U1995" s="60"/>
      <c r="V1995" s="36"/>
      <c r="W1995" s="31"/>
      <c r="X1995" s="59"/>
      <c r="Y1995" s="59" t="str">
        <f>IFERROR(VLOOKUP($A1995,APOIO!$A:$A,1,FALSE),"ERRO")</f>
        <v>ERRO</v>
      </c>
      <c r="Z1995"/>
    </row>
    <row r="1996" spans="1:26" ht="15" x14ac:dyDescent="0.25">
      <c r="A1996" s="94"/>
      <c r="B1996" s="32" t="str">
        <f>IF($A1996="","",VLOOKUP($A1996,APOIO!$A:$E,2,FALSE))</f>
        <v/>
      </c>
      <c r="C1996" s="94"/>
      <c r="D1996" s="32" t="str">
        <f>IF($A1996="","",INDEX(APOIO!$D:$D,MATCH(CONCATENATE($A1996,"_",$B1996,"_",$C1996),APOIO!$F:$F,0)))</f>
        <v/>
      </c>
      <c r="E1996" s="31"/>
      <c r="F1996" s="31"/>
      <c r="G1996" s="33"/>
      <c r="H1996" s="105"/>
      <c r="I1996" s="32" t="str">
        <f>IF($A1996="","",VLOOKUP($H1996,APOIO!$L:$M,2,FALSE))</f>
        <v/>
      </c>
      <c r="J1996" s="31"/>
      <c r="K1996" s="32" t="str">
        <f>IF($A1996="","",VLOOKUP($J1996,APOIO!$H:$J,2,FALSE))</f>
        <v/>
      </c>
      <c r="L1996" s="32" t="str">
        <f>IF($A1996="","",VLOOKUP($J1996,APOIO!$H:$J,3,FALSE))</f>
        <v/>
      </c>
      <c r="M1996" s="31"/>
      <c r="N1996" s="34"/>
      <c r="O1996" s="32"/>
      <c r="P1996" s="32"/>
      <c r="Q1996" s="32"/>
      <c r="R1996" s="32"/>
      <c r="S1996" s="35"/>
      <c r="T1996" s="91"/>
      <c r="U1996" s="60"/>
      <c r="V1996" s="36"/>
      <c r="W1996" s="31"/>
      <c r="X1996" s="59"/>
      <c r="Y1996" s="59" t="str">
        <f>IFERROR(VLOOKUP($A1996,APOIO!$A:$A,1,FALSE),"ERRO")</f>
        <v>ERRO</v>
      </c>
      <c r="Z1996"/>
    </row>
    <row r="1997" spans="1:26" ht="15" x14ac:dyDescent="0.25">
      <c r="A1997" s="94"/>
      <c r="B1997" s="32" t="str">
        <f>IF($A1997="","",VLOOKUP($A1997,APOIO!$A:$E,2,FALSE))</f>
        <v/>
      </c>
      <c r="C1997" s="94"/>
      <c r="D1997" s="32" t="str">
        <f>IF($A1997="","",INDEX(APOIO!$D:$D,MATCH(CONCATENATE($A1997,"_",$B1997,"_",$C1997),APOIO!$F:$F,0)))</f>
        <v/>
      </c>
      <c r="E1997" s="31"/>
      <c r="F1997" s="31"/>
      <c r="G1997" s="33"/>
      <c r="H1997" s="105"/>
      <c r="I1997" s="32" t="str">
        <f>IF($A1997="","",VLOOKUP($H1997,APOIO!$L:$M,2,FALSE))</f>
        <v/>
      </c>
      <c r="J1997" s="31"/>
      <c r="K1997" s="32" t="str">
        <f>IF($A1997="","",VLOOKUP($J1997,APOIO!$H:$J,2,FALSE))</f>
        <v/>
      </c>
      <c r="L1997" s="32" t="str">
        <f>IF($A1997="","",VLOOKUP($J1997,APOIO!$H:$J,3,FALSE))</f>
        <v/>
      </c>
      <c r="M1997" s="31"/>
      <c r="N1997" s="34"/>
      <c r="O1997" s="32"/>
      <c r="P1997" s="32"/>
      <c r="Q1997" s="32"/>
      <c r="R1997" s="32"/>
      <c r="S1997" s="35"/>
      <c r="T1997" s="91"/>
      <c r="U1997" s="60"/>
      <c r="V1997" s="36"/>
      <c r="W1997" s="31"/>
      <c r="X1997" s="59"/>
      <c r="Y1997" s="59" t="str">
        <f>IFERROR(VLOOKUP($A1997,APOIO!$A:$A,1,FALSE),"ERRO")</f>
        <v>ERRO</v>
      </c>
      <c r="Z1997"/>
    </row>
    <row r="1998" spans="1:26" ht="15" x14ac:dyDescent="0.25">
      <c r="A1998" s="94"/>
      <c r="B1998" s="32" t="str">
        <f>IF($A1998="","",VLOOKUP($A1998,APOIO!$A:$E,2,FALSE))</f>
        <v/>
      </c>
      <c r="C1998" s="94"/>
      <c r="D1998" s="32" t="str">
        <f>IF($A1998="","",INDEX(APOIO!$D:$D,MATCH(CONCATENATE($A1998,"_",$B1998,"_",$C1998),APOIO!$F:$F,0)))</f>
        <v/>
      </c>
      <c r="E1998" s="31"/>
      <c r="F1998" s="31"/>
      <c r="G1998" s="33"/>
      <c r="H1998" s="105"/>
      <c r="I1998" s="32" t="str">
        <f>IF($A1998="","",VLOOKUP($H1998,APOIO!$L:$M,2,FALSE))</f>
        <v/>
      </c>
      <c r="J1998" s="31"/>
      <c r="K1998" s="32" t="str">
        <f>IF($A1998="","",VLOOKUP($J1998,APOIO!$H:$J,2,FALSE))</f>
        <v/>
      </c>
      <c r="L1998" s="32" t="str">
        <f>IF($A1998="","",VLOOKUP($J1998,APOIO!$H:$J,3,FALSE))</f>
        <v/>
      </c>
      <c r="M1998" s="31"/>
      <c r="N1998" s="34"/>
      <c r="O1998" s="32"/>
      <c r="P1998" s="32"/>
      <c r="Q1998" s="32"/>
      <c r="R1998" s="32"/>
      <c r="S1998" s="35"/>
      <c r="T1998" s="91"/>
      <c r="U1998" s="60"/>
      <c r="V1998" s="36"/>
      <c r="W1998" s="31"/>
      <c r="X1998" s="59"/>
      <c r="Y1998" s="59" t="str">
        <f>IFERROR(VLOOKUP($A1998,APOIO!$A:$A,1,FALSE),"ERRO")</f>
        <v>ERRO</v>
      </c>
      <c r="Z1998"/>
    </row>
    <row r="1999" spans="1:26" ht="15" x14ac:dyDescent="0.25">
      <c r="A1999" s="94"/>
      <c r="B1999" s="32" t="str">
        <f>IF($A1999="","",VLOOKUP($A1999,APOIO!$A:$E,2,FALSE))</f>
        <v/>
      </c>
      <c r="C1999" s="94"/>
      <c r="D1999" s="32" t="str">
        <f>IF($A1999="","",INDEX(APOIO!$D:$D,MATCH(CONCATENATE($A1999,"_",$B1999,"_",$C1999),APOIO!$F:$F,0)))</f>
        <v/>
      </c>
      <c r="E1999" s="31"/>
      <c r="F1999" s="31"/>
      <c r="G1999" s="33"/>
      <c r="H1999" s="105"/>
      <c r="I1999" s="32" t="str">
        <f>IF($A1999="","",VLOOKUP($H1999,APOIO!$L:$M,2,FALSE))</f>
        <v/>
      </c>
      <c r="J1999" s="31"/>
      <c r="K1999" s="32" t="str">
        <f>IF($A1999="","",VLOOKUP($J1999,APOIO!$H:$J,2,FALSE))</f>
        <v/>
      </c>
      <c r="L1999" s="32" t="str">
        <f>IF($A1999="","",VLOOKUP($J1999,APOIO!$H:$J,3,FALSE))</f>
        <v/>
      </c>
      <c r="M1999" s="31"/>
      <c r="N1999" s="34"/>
      <c r="O1999" s="32"/>
      <c r="P1999" s="32"/>
      <c r="Q1999" s="32"/>
      <c r="R1999" s="32"/>
      <c r="S1999" s="35"/>
      <c r="T1999" s="91"/>
      <c r="U1999" s="60"/>
      <c r="V1999" s="36"/>
      <c r="W1999" s="31"/>
      <c r="X1999" s="59"/>
      <c r="Y1999" s="59" t="str">
        <f>IFERROR(VLOOKUP($A1999,APOIO!$A:$A,1,FALSE),"ERRO")</f>
        <v>ERRO</v>
      </c>
      <c r="Z1999"/>
    </row>
    <row r="2000" spans="1:26" ht="15" x14ac:dyDescent="0.25">
      <c r="A2000" s="94"/>
      <c r="B2000" s="32" t="str">
        <f>IF($A2000="","",VLOOKUP($A2000,APOIO!$A:$E,2,FALSE))</f>
        <v/>
      </c>
      <c r="C2000" s="94"/>
      <c r="D2000" s="32" t="str">
        <f>IF($A2000="","",INDEX(APOIO!$D:$D,MATCH(CONCATENATE($A2000,"_",$B2000,"_",$C2000),APOIO!$F:$F,0)))</f>
        <v/>
      </c>
      <c r="E2000" s="31"/>
      <c r="F2000" s="31"/>
      <c r="G2000" s="33"/>
      <c r="H2000" s="105"/>
      <c r="I2000" s="32" t="str">
        <f>IF($A2000="","",VLOOKUP($H2000,APOIO!$L:$M,2,FALSE))</f>
        <v/>
      </c>
      <c r="J2000" s="31"/>
      <c r="K2000" s="32" t="str">
        <f>IF($A2000="","",VLOOKUP($J2000,APOIO!$H:$J,2,FALSE))</f>
        <v/>
      </c>
      <c r="L2000" s="32" t="str">
        <f>IF($A2000="","",VLOOKUP($J2000,APOIO!$H:$J,3,FALSE))</f>
        <v/>
      </c>
      <c r="M2000" s="31"/>
      <c r="N2000" s="34"/>
      <c r="O2000" s="32"/>
      <c r="P2000" s="32"/>
      <c r="Q2000" s="32"/>
      <c r="R2000" s="32"/>
      <c r="S2000" s="35"/>
      <c r="T2000" s="91"/>
      <c r="U2000" s="60"/>
      <c r="V2000" s="36"/>
      <c r="W2000" s="31"/>
      <c r="X2000" s="59"/>
      <c r="Y2000" s="59" t="str">
        <f>IFERROR(VLOOKUP($A2000,APOIO!$A:$A,1,FALSE),"ERRO")</f>
        <v>ERRO</v>
      </c>
      <c r="Z2000"/>
    </row>
    <row r="2001" customFormat="1" ht="15" x14ac:dyDescent="0.25"/>
  </sheetData>
  <sortState ref="A11:Z2000">
    <sortCondition ref="A11:A2000"/>
  </sortState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210" r:id="rId4" name="btn_enviar_dados">
          <controlPr defaultSize="0" autoLine="0" r:id="rId5">
            <anchor>
              <from>
                <xdr:col>20</xdr:col>
                <xdr:colOff>1428750</xdr:colOff>
                <xdr:row>5</xdr:row>
                <xdr:rowOff>114300</xdr:rowOff>
              </from>
              <to>
                <xdr:col>22</xdr:col>
                <xdr:colOff>1276350</xdr:colOff>
                <xdr:row>6</xdr:row>
                <xdr:rowOff>257175</xdr:rowOff>
              </to>
            </anchor>
          </controlPr>
        </control>
      </mc:Choice>
      <mc:Fallback>
        <control shapeId="8210" r:id="rId4" name="btn_enviar_dados"/>
      </mc:Fallback>
    </mc:AlternateContent>
    <mc:AlternateContent xmlns:mc="http://schemas.openxmlformats.org/markup-compatibility/2006">
      <mc:Choice Requires="x14">
        <control shapeId="8204" r:id="rId6" name="btn_menu">
          <controlPr defaultSize="0" autoLine="0" r:id="rId7">
            <anchor>
              <from>
                <xdr:col>22</xdr:col>
                <xdr:colOff>1428750</xdr:colOff>
                <xdr:row>3</xdr:row>
                <xdr:rowOff>123825</xdr:rowOff>
              </from>
              <to>
                <xdr:col>23</xdr:col>
                <xdr:colOff>1133475</xdr:colOff>
                <xdr:row>5</xdr:row>
                <xdr:rowOff>57150</xdr:rowOff>
              </to>
            </anchor>
          </controlPr>
        </control>
      </mc:Choice>
      <mc:Fallback>
        <control shapeId="8204" r:id="rId6" name="btn_menu"/>
      </mc:Fallback>
    </mc:AlternateContent>
    <mc:AlternateContent xmlns:mc="http://schemas.openxmlformats.org/markup-compatibility/2006">
      <mc:Choice Requires="x14">
        <control shapeId="8203" r:id="rId8" name="btn_limpar_dados">
          <controlPr defaultSize="0" autoLine="0" r:id="rId9">
            <anchor>
              <from>
                <xdr:col>22</xdr:col>
                <xdr:colOff>1419225</xdr:colOff>
                <xdr:row>1</xdr:row>
                <xdr:rowOff>95250</xdr:rowOff>
              </from>
              <to>
                <xdr:col>23</xdr:col>
                <xdr:colOff>1133475</xdr:colOff>
                <xdr:row>3</xdr:row>
                <xdr:rowOff>57150</xdr:rowOff>
              </to>
            </anchor>
          </controlPr>
        </control>
      </mc:Choice>
      <mc:Fallback>
        <control shapeId="8203" r:id="rId8" name="btn_limpar_dados"/>
      </mc:Fallback>
    </mc:AlternateContent>
    <mc:AlternateContent xmlns:mc="http://schemas.openxmlformats.org/markup-compatibility/2006">
      <mc:Choice Requires="x14">
        <control shapeId="8202" r:id="rId10" name="btn_atualizar_tarefas">
          <controlPr defaultSize="0" autoLine="0" r:id="rId11">
            <anchor>
              <from>
                <xdr:col>20</xdr:col>
                <xdr:colOff>1428750</xdr:colOff>
                <xdr:row>3</xdr:row>
                <xdr:rowOff>123825</xdr:rowOff>
              </from>
              <to>
                <xdr:col>22</xdr:col>
                <xdr:colOff>1285875</xdr:colOff>
                <xdr:row>5</xdr:row>
                <xdr:rowOff>47625</xdr:rowOff>
              </to>
            </anchor>
          </controlPr>
        </control>
      </mc:Choice>
      <mc:Fallback>
        <control shapeId="8202" r:id="rId10" name="btn_atualizar_tarefas"/>
      </mc:Fallback>
    </mc:AlternateContent>
    <mc:AlternateContent xmlns:mc="http://schemas.openxmlformats.org/markup-compatibility/2006">
      <mc:Choice Requires="x14">
        <control shapeId="8201" r:id="rId12" name="btn_atualizar_planilha">
          <controlPr defaultSize="0" autoLine="0" r:id="rId13">
            <anchor>
              <from>
                <xdr:col>20</xdr:col>
                <xdr:colOff>1428750</xdr:colOff>
                <xdr:row>1</xdr:row>
                <xdr:rowOff>95250</xdr:rowOff>
              </from>
              <to>
                <xdr:col>22</xdr:col>
                <xdr:colOff>1266825</xdr:colOff>
                <xdr:row>3</xdr:row>
                <xdr:rowOff>47625</xdr:rowOff>
              </to>
            </anchor>
          </controlPr>
        </control>
      </mc:Choice>
      <mc:Fallback>
        <control shapeId="8201" r:id="rId12" name="btn_atualizar_planilha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APOIO!$A$2:$A$2</xm:f>
          </x14:formula1>
          <xm:sqref>F7</xm:sqref>
        </x14:dataValidation>
        <x14:dataValidation type="list" allowBlank="1" showInputMessage="1" showErrorMessage="1">
          <x14:formula1>
            <xm:f>APOIO!$A$2:$A$162</xm:f>
          </x14:formula1>
          <xm:sqref>F8</xm:sqref>
        </x14:dataValidation>
        <x14:dataValidation type="list" allowBlank="1" showInputMessage="1" showErrorMessage="1">
          <x14:formula1>
            <xm:f>APOIO!$L$2:$L$3</xm:f>
          </x14:formula1>
          <xm:sqref>H11:H2000 H5</xm:sqref>
        </x14:dataValidation>
        <x14:dataValidation type="list" allowBlank="1" showInputMessage="1" showErrorMessage="1">
          <x14:formula1>
            <xm:f>APOIO!$H$2:$H$45</xm:f>
          </x14:formula1>
          <xm:sqref>J11:J2000 J5</xm:sqref>
        </x14:dataValidation>
        <x14:dataValidation type="list" allowBlank="1" showInputMessage="1" showErrorMessage="1">
          <x14:formula1>
            <xm:f>APOIO!$C$714:$C$716</xm:f>
          </x14:formula1>
          <xm:sqref>C5</xm:sqref>
        </x14:dataValidation>
        <x14:dataValidation type="list" allowBlank="1" showInputMessage="1" showErrorMessage="1">
          <x14:formula1>
            <xm:f>APOIO!$C$891:$C$892</xm:f>
          </x14:formula1>
          <xm:sqref>C11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10000"/>
  <sheetViews>
    <sheetView workbookViewId="0"/>
  </sheetViews>
  <sheetFormatPr defaultColWidth="6.7109375" defaultRowHeight="15" zeroHeight="1" x14ac:dyDescent="0.25"/>
  <cols>
    <col min="1" max="1" width="15.42578125" style="85" bestFit="1" customWidth="1"/>
    <col min="2" max="2" width="85.5703125" style="85" bestFit="1" customWidth="1"/>
    <col min="3" max="3" width="11.140625" style="85" customWidth="1"/>
    <col min="4" max="4" width="8.42578125" style="85" bestFit="1" customWidth="1"/>
    <col min="5" max="5" width="12" style="83" bestFit="1" customWidth="1"/>
    <col min="6" max="6" width="86.5703125" style="85" bestFit="1" customWidth="1"/>
    <col min="7" max="7" width="4.7109375" style="85" customWidth="1"/>
    <col min="8" max="8" width="38.7109375" style="85" bestFit="1" customWidth="1"/>
    <col min="9" max="9" width="26.5703125" style="83" bestFit="1" customWidth="1"/>
    <col min="10" max="10" width="17.85546875" style="83" bestFit="1" customWidth="1"/>
    <col min="11" max="11" width="4.7109375" style="85" customWidth="1"/>
    <col min="12" max="12" width="15.5703125" style="83" bestFit="1" customWidth="1"/>
    <col min="13" max="13" width="18.140625" style="83" bestFit="1" customWidth="1"/>
    <col min="14" max="14" width="4.7109375" style="85" customWidth="1"/>
    <col min="15" max="15" width="30" style="85" bestFit="1" customWidth="1"/>
    <col min="16" max="16" width="20.7109375" style="83" bestFit="1" customWidth="1"/>
    <col min="17" max="17" width="8.28515625" style="83" bestFit="1" customWidth="1"/>
    <col min="18" max="18" width="4.7109375" style="83" customWidth="1"/>
    <col min="19" max="19" width="15.85546875" style="83" bestFit="1" customWidth="1"/>
    <col min="20" max="20" width="8.85546875" style="83" bestFit="1" customWidth="1"/>
    <col min="21" max="21" width="32.140625" style="83" bestFit="1" customWidth="1"/>
    <col min="22" max="22" width="15" style="83" bestFit="1" customWidth="1"/>
    <col min="23" max="23" width="14.7109375" style="83" bestFit="1" customWidth="1"/>
    <col min="24" max="24" width="13.140625" style="83" bestFit="1" customWidth="1"/>
    <col min="25" max="25" width="12.28515625" style="83" bestFit="1" customWidth="1"/>
    <col min="26" max="26" width="9" style="83" bestFit="1" customWidth="1"/>
    <col min="27" max="27" width="5.85546875" style="83" bestFit="1" customWidth="1"/>
    <col min="28" max="28" width="21.85546875" style="83" bestFit="1" customWidth="1"/>
    <col min="29" max="29" width="7.28515625" style="83" bestFit="1" customWidth="1"/>
    <col min="30" max="30" width="13.85546875" style="83" bestFit="1" customWidth="1"/>
    <col min="31" max="31" width="21.7109375" style="102" bestFit="1" customWidth="1"/>
    <col min="32" max="16384" width="6.7109375" style="83"/>
  </cols>
  <sheetData>
    <row r="1" spans="1:31" s="84" customFormat="1" x14ac:dyDescent="0.25">
      <c r="A1" s="73" t="s">
        <v>4815</v>
      </c>
      <c r="B1" s="73" t="s">
        <v>2302</v>
      </c>
      <c r="C1" s="73" t="s">
        <v>2315</v>
      </c>
      <c r="D1" s="73" t="s">
        <v>2316</v>
      </c>
      <c r="E1" s="73" t="s">
        <v>4212</v>
      </c>
      <c r="F1" s="73" t="s">
        <v>4375</v>
      </c>
      <c r="G1" s="89"/>
      <c r="H1" s="73" t="s">
        <v>2052</v>
      </c>
      <c r="I1" s="73" t="s">
        <v>2053</v>
      </c>
      <c r="J1" s="73" t="s">
        <v>2054</v>
      </c>
      <c r="L1" s="73" t="s">
        <v>2055</v>
      </c>
      <c r="M1" s="73" t="s">
        <v>2056</v>
      </c>
      <c r="O1" s="73" t="s">
        <v>2057</v>
      </c>
      <c r="P1" s="73" t="s">
        <v>2058</v>
      </c>
      <c r="Q1" s="73" t="s">
        <v>2136</v>
      </c>
      <c r="S1" s="73" t="s">
        <v>2598</v>
      </c>
      <c r="T1" s="73" t="s">
        <v>17</v>
      </c>
      <c r="U1" s="73" t="s">
        <v>4557</v>
      </c>
      <c r="V1" s="73" t="s">
        <v>2599</v>
      </c>
      <c r="W1" s="73" t="s">
        <v>2600</v>
      </c>
      <c r="X1" s="73" t="s">
        <v>2601</v>
      </c>
      <c r="Y1" s="73" t="s">
        <v>2602</v>
      </c>
      <c r="Z1" s="73" t="s">
        <v>2603</v>
      </c>
      <c r="AA1" s="73" t="s">
        <v>2604</v>
      </c>
      <c r="AB1" s="73" t="s">
        <v>2605</v>
      </c>
      <c r="AC1" s="73" t="s">
        <v>2606</v>
      </c>
      <c r="AD1" s="73" t="s">
        <v>2607</v>
      </c>
      <c r="AE1" s="101" t="s">
        <v>2608</v>
      </c>
    </row>
    <row r="2" spans="1:31" x14ac:dyDescent="0.25">
      <c r="AA2" s="86"/>
      <c r="AB2" s="86"/>
      <c r="AD2" s="100"/>
    </row>
    <row r="3" spans="1:31" x14ac:dyDescent="0.25">
      <c r="AA3" s="86"/>
      <c r="AB3" s="86"/>
      <c r="AC3" s="86"/>
      <c r="AD3" s="100"/>
    </row>
    <row r="4" spans="1:31" x14ac:dyDescent="0.25">
      <c r="AA4" s="86"/>
      <c r="AB4" s="86"/>
      <c r="AD4" s="100"/>
    </row>
    <row r="5" spans="1:31" x14ac:dyDescent="0.25">
      <c r="AA5" s="86"/>
      <c r="AB5" s="86"/>
      <c r="AD5" s="100"/>
    </row>
    <row r="6" spans="1:31" x14ac:dyDescent="0.25">
      <c r="AA6" s="86"/>
      <c r="AB6" s="86"/>
      <c r="AD6" s="100"/>
    </row>
    <row r="7" spans="1:31" x14ac:dyDescent="0.25">
      <c r="AA7" s="86"/>
      <c r="AB7" s="86"/>
      <c r="AD7" s="100"/>
    </row>
    <row r="8" spans="1:31" x14ac:dyDescent="0.25">
      <c r="AA8" s="86"/>
      <c r="AB8" s="86"/>
      <c r="AD8" s="100"/>
    </row>
    <row r="9" spans="1:31" x14ac:dyDescent="0.25">
      <c r="AA9" s="86"/>
      <c r="AB9" s="86"/>
      <c r="AD9" s="100"/>
    </row>
    <row r="10" spans="1:31" x14ac:dyDescent="0.25">
      <c r="AB10" s="86"/>
      <c r="AD10" s="100"/>
    </row>
    <row r="11" spans="1:31" x14ac:dyDescent="0.25">
      <c r="AA11" s="86"/>
      <c r="AB11" s="86"/>
      <c r="AD11" s="100"/>
    </row>
    <row r="12" spans="1:31" x14ac:dyDescent="0.25">
      <c r="AA12" s="86"/>
      <c r="AB12" s="86"/>
      <c r="AD12" s="100"/>
    </row>
    <row r="13" spans="1:31" x14ac:dyDescent="0.25">
      <c r="AB13" s="86"/>
      <c r="AD13" s="100"/>
    </row>
    <row r="14" spans="1:31" x14ac:dyDescent="0.25">
      <c r="AB14" s="86"/>
      <c r="AD14" s="100"/>
    </row>
    <row r="15" spans="1:31" x14ac:dyDescent="0.25">
      <c r="AA15" s="86"/>
      <c r="AB15" s="86"/>
      <c r="AD15" s="100"/>
    </row>
    <row r="16" spans="1:31" x14ac:dyDescent="0.25">
      <c r="AB16" s="86"/>
      <c r="AD16" s="100"/>
    </row>
    <row r="17" spans="27:30" x14ac:dyDescent="0.25">
      <c r="AB17" s="86"/>
      <c r="AD17" s="100"/>
    </row>
    <row r="18" spans="27:30" x14ac:dyDescent="0.25">
      <c r="AB18" s="86"/>
      <c r="AD18" s="100"/>
    </row>
    <row r="19" spans="27:30" x14ac:dyDescent="0.25">
      <c r="AB19" s="86"/>
      <c r="AD19" s="100"/>
    </row>
    <row r="20" spans="27:30" x14ac:dyDescent="0.25">
      <c r="AA20" s="86"/>
      <c r="AB20" s="86"/>
      <c r="AD20" s="100"/>
    </row>
    <row r="21" spans="27:30" x14ac:dyDescent="0.25">
      <c r="AA21" s="86"/>
      <c r="AB21" s="86"/>
      <c r="AD21" s="100"/>
    </row>
    <row r="22" spans="27:30" x14ac:dyDescent="0.25">
      <c r="AB22" s="86"/>
      <c r="AD22" s="100"/>
    </row>
    <row r="23" spans="27:30" x14ac:dyDescent="0.25">
      <c r="AB23" s="86"/>
      <c r="AD23" s="100"/>
    </row>
    <row r="24" spans="27:30" x14ac:dyDescent="0.25">
      <c r="AA24" s="86"/>
      <c r="AB24" s="86"/>
      <c r="AD24" s="100"/>
    </row>
    <row r="25" spans="27:30" x14ac:dyDescent="0.25">
      <c r="AB25" s="86"/>
      <c r="AD25" s="100"/>
    </row>
    <row r="26" spans="27:30" x14ac:dyDescent="0.25">
      <c r="AB26" s="86"/>
      <c r="AD26" s="100"/>
    </row>
    <row r="27" spans="27:30" x14ac:dyDescent="0.25">
      <c r="AB27" s="86"/>
      <c r="AD27" s="100"/>
    </row>
    <row r="28" spans="27:30" x14ac:dyDescent="0.25">
      <c r="AB28" s="86"/>
      <c r="AD28" s="100"/>
    </row>
    <row r="29" spans="27:30" x14ac:dyDescent="0.25">
      <c r="AB29" s="86"/>
      <c r="AD29" s="100"/>
    </row>
    <row r="30" spans="27:30" x14ac:dyDescent="0.25">
      <c r="AA30" s="86"/>
      <c r="AB30" s="86"/>
      <c r="AD30" s="100"/>
    </row>
    <row r="31" spans="27:30" x14ac:dyDescent="0.25">
      <c r="AB31" s="86"/>
      <c r="AD31" s="100"/>
    </row>
    <row r="32" spans="27:30" x14ac:dyDescent="0.25">
      <c r="AB32" s="86"/>
      <c r="AD32" s="100"/>
    </row>
    <row r="33" spans="27:30" x14ac:dyDescent="0.25">
      <c r="AB33" s="86"/>
      <c r="AD33" s="100"/>
    </row>
    <row r="34" spans="27:30" x14ac:dyDescent="0.25">
      <c r="AB34" s="86"/>
      <c r="AD34" s="100"/>
    </row>
    <row r="35" spans="27:30" x14ac:dyDescent="0.25">
      <c r="AB35" s="86"/>
      <c r="AD35" s="100"/>
    </row>
    <row r="36" spans="27:30" x14ac:dyDescent="0.25">
      <c r="AB36" s="86"/>
      <c r="AD36" s="100"/>
    </row>
    <row r="37" spans="27:30" x14ac:dyDescent="0.25">
      <c r="AB37" s="86"/>
      <c r="AD37" s="100"/>
    </row>
    <row r="38" spans="27:30" x14ac:dyDescent="0.25">
      <c r="AB38" s="86"/>
      <c r="AD38" s="100"/>
    </row>
    <row r="39" spans="27:30" x14ac:dyDescent="0.25">
      <c r="AB39" s="86"/>
      <c r="AD39" s="100"/>
    </row>
    <row r="40" spans="27:30" x14ac:dyDescent="0.25">
      <c r="AA40" s="86"/>
      <c r="AB40" s="86"/>
      <c r="AD40" s="100"/>
    </row>
    <row r="41" spans="27:30" x14ac:dyDescent="0.25">
      <c r="AB41" s="86"/>
      <c r="AD41" s="100"/>
    </row>
    <row r="42" spans="27:30" x14ac:dyDescent="0.25">
      <c r="AB42" s="86"/>
      <c r="AD42" s="100"/>
    </row>
    <row r="43" spans="27:30" x14ac:dyDescent="0.25">
      <c r="AB43" s="86"/>
      <c r="AD43" s="100"/>
    </row>
    <row r="44" spans="27:30" x14ac:dyDescent="0.25">
      <c r="AB44" s="86"/>
      <c r="AD44" s="100"/>
    </row>
    <row r="45" spans="27:30" x14ac:dyDescent="0.25">
      <c r="AA45" s="86"/>
      <c r="AB45" s="86"/>
      <c r="AD45" s="100"/>
    </row>
    <row r="46" spans="27:30" x14ac:dyDescent="0.25">
      <c r="AB46" s="86"/>
      <c r="AD46" s="100"/>
    </row>
    <row r="47" spans="27:30" x14ac:dyDescent="0.25">
      <c r="AA47" s="86"/>
      <c r="AB47" s="86"/>
      <c r="AD47" s="100"/>
    </row>
    <row r="48" spans="27:30" x14ac:dyDescent="0.25">
      <c r="AA48" s="86"/>
      <c r="AB48" s="86"/>
      <c r="AD48" s="100"/>
    </row>
    <row r="49" spans="27:30" x14ac:dyDescent="0.25">
      <c r="AA49" s="86"/>
      <c r="AB49" s="86"/>
      <c r="AD49" s="100"/>
    </row>
    <row r="50" spans="27:30" x14ac:dyDescent="0.25">
      <c r="AB50" s="86"/>
      <c r="AD50" s="100"/>
    </row>
    <row r="51" spans="27:30" x14ac:dyDescent="0.25">
      <c r="AB51" s="86"/>
      <c r="AD51" s="100"/>
    </row>
    <row r="52" spans="27:30" x14ac:dyDescent="0.25">
      <c r="AB52" s="86"/>
      <c r="AD52" s="100"/>
    </row>
    <row r="53" spans="27:30" x14ac:dyDescent="0.25">
      <c r="AB53" s="86"/>
      <c r="AD53" s="100"/>
    </row>
    <row r="54" spans="27:30" x14ac:dyDescent="0.25">
      <c r="AB54" s="86"/>
      <c r="AD54" s="100"/>
    </row>
    <row r="55" spans="27:30" x14ac:dyDescent="0.25">
      <c r="AB55" s="86"/>
      <c r="AD55" s="100"/>
    </row>
    <row r="56" spans="27:30" x14ac:dyDescent="0.25">
      <c r="AB56" s="86"/>
      <c r="AD56" s="100"/>
    </row>
    <row r="57" spans="27:30" x14ac:dyDescent="0.25">
      <c r="AB57" s="86"/>
      <c r="AD57" s="100"/>
    </row>
    <row r="58" spans="27:30" x14ac:dyDescent="0.25">
      <c r="AB58" s="86"/>
      <c r="AD58" s="100"/>
    </row>
    <row r="59" spans="27:30" x14ac:dyDescent="0.25">
      <c r="AB59" s="86"/>
      <c r="AD59" s="100"/>
    </row>
    <row r="60" spans="27:30" x14ac:dyDescent="0.25">
      <c r="AB60" s="86"/>
      <c r="AD60" s="100"/>
    </row>
    <row r="61" spans="27:30" x14ac:dyDescent="0.25">
      <c r="AB61" s="86"/>
      <c r="AD61" s="100"/>
    </row>
    <row r="62" spans="27:30" x14ac:dyDescent="0.25">
      <c r="AB62" s="86"/>
      <c r="AD62" s="100"/>
    </row>
    <row r="63" spans="27:30" x14ac:dyDescent="0.25">
      <c r="AB63" s="86"/>
      <c r="AD63" s="100"/>
    </row>
    <row r="64" spans="27:30" x14ac:dyDescent="0.25">
      <c r="AB64" s="86"/>
      <c r="AD64" s="100"/>
    </row>
    <row r="65" spans="28:30" x14ac:dyDescent="0.25">
      <c r="AB65" s="86"/>
      <c r="AD65" s="100"/>
    </row>
    <row r="66" spans="28:30" x14ac:dyDescent="0.25">
      <c r="AB66" s="86"/>
      <c r="AD66" s="100"/>
    </row>
    <row r="67" spans="28:30" x14ac:dyDescent="0.25">
      <c r="AB67" s="86"/>
      <c r="AD67" s="100"/>
    </row>
    <row r="68" spans="28:30" x14ac:dyDescent="0.25">
      <c r="AB68" s="86"/>
      <c r="AD68" s="100"/>
    </row>
    <row r="69" spans="28:30" x14ac:dyDescent="0.25">
      <c r="AB69" s="86"/>
      <c r="AD69" s="100"/>
    </row>
    <row r="70" spans="28:30" x14ac:dyDescent="0.25">
      <c r="AB70" s="86"/>
      <c r="AD70" s="100"/>
    </row>
    <row r="71" spans="28:30" x14ac:dyDescent="0.25">
      <c r="AB71" s="86"/>
      <c r="AD71" s="100"/>
    </row>
    <row r="72" spans="28:30" x14ac:dyDescent="0.25">
      <c r="AB72" s="86"/>
      <c r="AD72" s="100"/>
    </row>
    <row r="73" spans="28:30" x14ac:dyDescent="0.25">
      <c r="AB73" s="86"/>
      <c r="AD73" s="100"/>
    </row>
    <row r="74" spans="28:30" x14ac:dyDescent="0.25">
      <c r="AB74" s="86"/>
      <c r="AD74" s="100"/>
    </row>
    <row r="75" spans="28:30" x14ac:dyDescent="0.25">
      <c r="AB75" s="86"/>
      <c r="AD75" s="100"/>
    </row>
    <row r="76" spans="28:30" x14ac:dyDescent="0.25">
      <c r="AB76" s="86"/>
      <c r="AD76" s="100"/>
    </row>
    <row r="77" spans="28:30" x14ac:dyDescent="0.25">
      <c r="AB77" s="86"/>
      <c r="AD77" s="100"/>
    </row>
    <row r="78" spans="28:30" x14ac:dyDescent="0.25">
      <c r="AB78" s="86"/>
      <c r="AD78" s="100"/>
    </row>
    <row r="79" spans="28:30" x14ac:dyDescent="0.25">
      <c r="AB79" s="86"/>
      <c r="AD79" s="100"/>
    </row>
    <row r="80" spans="28:30" x14ac:dyDescent="0.25">
      <c r="AB80" s="86"/>
      <c r="AD80" s="100"/>
    </row>
    <row r="81" spans="28:30" x14ac:dyDescent="0.25">
      <c r="AB81" s="86"/>
      <c r="AD81" s="100"/>
    </row>
    <row r="82" spans="28:30" x14ac:dyDescent="0.25">
      <c r="AB82" s="86"/>
      <c r="AD82" s="100"/>
    </row>
    <row r="83" spans="28:30" x14ac:dyDescent="0.25">
      <c r="AB83" s="86"/>
      <c r="AD83" s="100"/>
    </row>
    <row r="84" spans="28:30" x14ac:dyDescent="0.25">
      <c r="AB84" s="86"/>
      <c r="AD84" s="100"/>
    </row>
    <row r="85" spans="28:30" x14ac:dyDescent="0.25">
      <c r="AB85" s="86"/>
      <c r="AD85" s="100"/>
    </row>
    <row r="86" spans="28:30" x14ac:dyDescent="0.25">
      <c r="AB86" s="86"/>
      <c r="AD86" s="100"/>
    </row>
    <row r="87" spans="28:30" x14ac:dyDescent="0.25">
      <c r="AB87" s="86"/>
      <c r="AD87" s="100"/>
    </row>
    <row r="88" spans="28:30" x14ac:dyDescent="0.25">
      <c r="AB88" s="86"/>
      <c r="AD88" s="100"/>
    </row>
    <row r="89" spans="28:30" x14ac:dyDescent="0.25">
      <c r="AB89" s="86"/>
      <c r="AD89" s="100"/>
    </row>
    <row r="90" spans="28:30" x14ac:dyDescent="0.25">
      <c r="AB90" s="86"/>
      <c r="AD90" s="100"/>
    </row>
    <row r="91" spans="28:30" x14ac:dyDescent="0.25">
      <c r="AB91" s="86"/>
      <c r="AD91" s="100"/>
    </row>
    <row r="92" spans="28:30" x14ac:dyDescent="0.25">
      <c r="AB92" s="86"/>
      <c r="AD92" s="100"/>
    </row>
    <row r="93" spans="28:30" x14ac:dyDescent="0.25">
      <c r="AB93" s="86"/>
      <c r="AD93" s="100"/>
    </row>
    <row r="94" spans="28:30" x14ac:dyDescent="0.25">
      <c r="AB94" s="86"/>
      <c r="AD94" s="100"/>
    </row>
    <row r="95" spans="28:30" x14ac:dyDescent="0.25">
      <c r="AB95" s="86"/>
      <c r="AD95" s="100"/>
    </row>
    <row r="96" spans="28:30" x14ac:dyDescent="0.25">
      <c r="AB96" s="86"/>
      <c r="AD96" s="100"/>
    </row>
    <row r="97" spans="28:30" x14ac:dyDescent="0.25">
      <c r="AB97" s="86"/>
      <c r="AD97" s="100"/>
    </row>
    <row r="98" spans="28:30" x14ac:dyDescent="0.25">
      <c r="AB98" s="86"/>
      <c r="AD98" s="100"/>
    </row>
    <row r="99" spans="28:30" x14ac:dyDescent="0.25">
      <c r="AB99" s="86"/>
      <c r="AD99" s="100"/>
    </row>
    <row r="100" spans="28:30" x14ac:dyDescent="0.25">
      <c r="AB100" s="86"/>
      <c r="AD100" s="100"/>
    </row>
    <row r="101" spans="28:30" x14ac:dyDescent="0.25">
      <c r="AB101" s="86"/>
      <c r="AD101" s="100"/>
    </row>
    <row r="102" spans="28:30" x14ac:dyDescent="0.25">
      <c r="AB102" s="86"/>
      <c r="AD102" s="100"/>
    </row>
    <row r="103" spans="28:30" x14ac:dyDescent="0.25">
      <c r="AB103" s="86"/>
      <c r="AD103" s="100"/>
    </row>
    <row r="104" spans="28:30" x14ac:dyDescent="0.25">
      <c r="AB104" s="86"/>
      <c r="AD104" s="100"/>
    </row>
    <row r="105" spans="28:30" x14ac:dyDescent="0.25">
      <c r="AB105" s="86"/>
      <c r="AD105" s="100"/>
    </row>
    <row r="106" spans="28:30" x14ac:dyDescent="0.25">
      <c r="AB106" s="86"/>
      <c r="AD106" s="100"/>
    </row>
    <row r="107" spans="28:30" x14ac:dyDescent="0.25">
      <c r="AB107" s="86"/>
      <c r="AD107" s="100"/>
    </row>
    <row r="108" spans="28:30" x14ac:dyDescent="0.25">
      <c r="AB108" s="86"/>
      <c r="AD108" s="100"/>
    </row>
    <row r="109" spans="28:30" x14ac:dyDescent="0.25">
      <c r="AB109" s="86"/>
      <c r="AD109" s="100"/>
    </row>
    <row r="110" spans="28:30" x14ac:dyDescent="0.25">
      <c r="AB110" s="86"/>
      <c r="AD110" s="100"/>
    </row>
    <row r="111" spans="28:30" x14ac:dyDescent="0.25">
      <c r="AB111" s="86"/>
      <c r="AD111" s="100"/>
    </row>
    <row r="112" spans="28:30" x14ac:dyDescent="0.25">
      <c r="AB112" s="86"/>
      <c r="AD112" s="100"/>
    </row>
    <row r="113" spans="28:30" x14ac:dyDescent="0.25">
      <c r="AB113" s="86"/>
      <c r="AD113" s="100"/>
    </row>
    <row r="114" spans="28:30" x14ac:dyDescent="0.25">
      <c r="AB114" s="86"/>
      <c r="AD114" s="100"/>
    </row>
    <row r="115" spans="28:30" x14ac:dyDescent="0.25">
      <c r="AB115" s="86"/>
      <c r="AD115" s="100"/>
    </row>
    <row r="116" spans="28:30" x14ac:dyDescent="0.25">
      <c r="AB116" s="86"/>
      <c r="AD116" s="100"/>
    </row>
    <row r="117" spans="28:30" x14ac:dyDescent="0.25">
      <c r="AB117" s="86"/>
      <c r="AD117" s="100"/>
    </row>
    <row r="118" spans="28:30" x14ac:dyDescent="0.25">
      <c r="AB118" s="86"/>
      <c r="AD118" s="100"/>
    </row>
    <row r="119" spans="28:30" x14ac:dyDescent="0.25">
      <c r="AB119" s="86"/>
      <c r="AD119" s="100"/>
    </row>
    <row r="120" spans="28:30" x14ac:dyDescent="0.25">
      <c r="AB120" s="86"/>
      <c r="AD120" s="100"/>
    </row>
    <row r="121" spans="28:30" x14ac:dyDescent="0.25">
      <c r="AB121" s="86"/>
      <c r="AD121" s="100"/>
    </row>
    <row r="122" spans="28:30" x14ac:dyDescent="0.25">
      <c r="AB122" s="86"/>
      <c r="AD122" s="100"/>
    </row>
    <row r="123" spans="28:30" x14ac:dyDescent="0.25">
      <c r="AB123" s="86"/>
      <c r="AD123" s="100"/>
    </row>
    <row r="124" spans="28:30" x14ac:dyDescent="0.25">
      <c r="AB124" s="86"/>
      <c r="AD124" s="100"/>
    </row>
    <row r="125" spans="28:30" x14ac:dyDescent="0.25">
      <c r="AB125" s="86"/>
      <c r="AD125" s="100"/>
    </row>
    <row r="126" spans="28:30" x14ac:dyDescent="0.25">
      <c r="AB126" s="86"/>
      <c r="AD126" s="100"/>
    </row>
    <row r="127" spans="28:30" x14ac:dyDescent="0.25">
      <c r="AB127" s="86"/>
      <c r="AD127" s="100"/>
    </row>
    <row r="128" spans="28:30" x14ac:dyDescent="0.25">
      <c r="AB128" s="86"/>
      <c r="AD128" s="100"/>
    </row>
    <row r="129" spans="28:30" x14ac:dyDescent="0.25">
      <c r="AB129" s="86"/>
      <c r="AD129" s="100"/>
    </row>
    <row r="130" spans="28:30" x14ac:dyDescent="0.25">
      <c r="AB130" s="86"/>
      <c r="AD130" s="100"/>
    </row>
    <row r="131" spans="28:30" x14ac:dyDescent="0.25">
      <c r="AB131" s="86"/>
      <c r="AD131" s="100"/>
    </row>
    <row r="132" spans="28:30" x14ac:dyDescent="0.25">
      <c r="AB132" s="86"/>
      <c r="AD132" s="100"/>
    </row>
    <row r="133" spans="28:30" x14ac:dyDescent="0.25">
      <c r="AB133" s="86"/>
      <c r="AD133" s="100"/>
    </row>
    <row r="134" spans="28:30" x14ac:dyDescent="0.25">
      <c r="AB134" s="86"/>
      <c r="AD134" s="100"/>
    </row>
    <row r="135" spans="28:30" x14ac:dyDescent="0.25">
      <c r="AB135" s="86"/>
      <c r="AD135" s="100"/>
    </row>
    <row r="136" spans="28:30" x14ac:dyDescent="0.25">
      <c r="AB136" s="86"/>
      <c r="AD136" s="100"/>
    </row>
    <row r="137" spans="28:30" x14ac:dyDescent="0.25">
      <c r="AB137" s="86"/>
      <c r="AD137" s="100"/>
    </row>
    <row r="138" spans="28:30" x14ac:dyDescent="0.25">
      <c r="AB138" s="86"/>
      <c r="AD138" s="100"/>
    </row>
    <row r="139" spans="28:30" x14ac:dyDescent="0.25">
      <c r="AB139" s="86"/>
      <c r="AD139" s="100"/>
    </row>
    <row r="140" spans="28:30" x14ac:dyDescent="0.25">
      <c r="AB140" s="86"/>
      <c r="AD140" s="100"/>
    </row>
    <row r="141" spans="28:30" x14ac:dyDescent="0.25">
      <c r="AB141" s="86"/>
      <c r="AD141" s="100"/>
    </row>
    <row r="142" spans="28:30" x14ac:dyDescent="0.25">
      <c r="AB142" s="86"/>
    </row>
    <row r="143" spans="28:30" x14ac:dyDescent="0.25">
      <c r="AB143" s="86"/>
    </row>
    <row r="144" spans="28:30" x14ac:dyDescent="0.25">
      <c r="AB144" s="86"/>
    </row>
    <row r="145" spans="28:30" x14ac:dyDescent="0.25">
      <c r="AB145" s="86"/>
      <c r="AD145" s="100"/>
    </row>
    <row r="146" spans="28:30" x14ac:dyDescent="0.25">
      <c r="AB146" s="86"/>
      <c r="AD146" s="100"/>
    </row>
    <row r="147" spans="28:30" x14ac:dyDescent="0.25">
      <c r="AB147" s="86"/>
      <c r="AD147" s="100"/>
    </row>
    <row r="148" spans="28:30" x14ac:dyDescent="0.25">
      <c r="AB148" s="86"/>
    </row>
    <row r="149" spans="28:30" x14ac:dyDescent="0.25">
      <c r="AB149" s="86"/>
    </row>
    <row r="150" spans="28:30" x14ac:dyDescent="0.25">
      <c r="AB150" s="86"/>
    </row>
    <row r="151" spans="28:30" x14ac:dyDescent="0.25">
      <c r="AB151" s="86"/>
      <c r="AD151" s="100"/>
    </row>
    <row r="152" spans="28:30" x14ac:dyDescent="0.25">
      <c r="AB152" s="86"/>
    </row>
    <row r="153" spans="28:30" x14ac:dyDescent="0.25">
      <c r="AB153" s="86"/>
    </row>
    <row r="154" spans="28:30" x14ac:dyDescent="0.25">
      <c r="AB154" s="86"/>
    </row>
    <row r="155" spans="28:30" x14ac:dyDescent="0.25">
      <c r="AB155" s="86"/>
      <c r="AD155" s="100"/>
    </row>
    <row r="156" spans="28:30" x14ac:dyDescent="0.25">
      <c r="AB156" s="86"/>
      <c r="AD156" s="100"/>
    </row>
    <row r="157" spans="28:30" x14ac:dyDescent="0.25">
      <c r="AB157" s="86"/>
      <c r="AD157" s="100"/>
    </row>
    <row r="158" spans="28:30" x14ac:dyDescent="0.25">
      <c r="AB158" s="86"/>
    </row>
    <row r="159" spans="28:30" x14ac:dyDescent="0.25">
      <c r="AB159" s="86"/>
    </row>
    <row r="160" spans="28:30" x14ac:dyDescent="0.25">
      <c r="AB160" s="86"/>
      <c r="AD160" s="100"/>
    </row>
    <row r="161" spans="28:30" x14ac:dyDescent="0.25">
      <c r="AB161" s="86"/>
      <c r="AD161" s="100"/>
    </row>
    <row r="162" spans="28:30" x14ac:dyDescent="0.25">
      <c r="AB162" s="86"/>
      <c r="AD162" s="100"/>
    </row>
    <row r="163" spans="28:30" x14ac:dyDescent="0.25">
      <c r="AB163" s="86"/>
      <c r="AD163" s="100"/>
    </row>
    <row r="164" spans="28:30" x14ac:dyDescent="0.25">
      <c r="AB164" s="86"/>
      <c r="AD164" s="100"/>
    </row>
    <row r="165" spans="28:30" x14ac:dyDescent="0.25">
      <c r="AB165" s="86"/>
    </row>
    <row r="166" spans="28:30" x14ac:dyDescent="0.25">
      <c r="AB166" s="86"/>
    </row>
    <row r="167" spans="28:30" x14ac:dyDescent="0.25">
      <c r="AB167" s="86"/>
    </row>
    <row r="168" spans="28:30" x14ac:dyDescent="0.25">
      <c r="AB168" s="86"/>
      <c r="AD168" s="100"/>
    </row>
    <row r="169" spans="28:30" x14ac:dyDescent="0.25">
      <c r="AB169" s="86"/>
      <c r="AD169" s="100"/>
    </row>
    <row r="170" spans="28:30" x14ac:dyDescent="0.25">
      <c r="AB170" s="86"/>
      <c r="AD170" s="100"/>
    </row>
    <row r="171" spans="28:30" x14ac:dyDescent="0.25">
      <c r="AB171" s="86"/>
      <c r="AD171" s="100"/>
    </row>
    <row r="172" spans="28:30" x14ac:dyDescent="0.25">
      <c r="AB172" s="86"/>
      <c r="AD172" s="100"/>
    </row>
    <row r="173" spans="28:30" x14ac:dyDescent="0.25">
      <c r="AB173" s="86"/>
      <c r="AD173" s="100"/>
    </row>
    <row r="174" spans="28:30" x14ac:dyDescent="0.25">
      <c r="AB174" s="86"/>
      <c r="AD174" s="100"/>
    </row>
    <row r="175" spans="28:30" x14ac:dyDescent="0.25">
      <c r="AB175" s="86"/>
      <c r="AD175" s="100"/>
    </row>
    <row r="176" spans="28:30" x14ac:dyDescent="0.25">
      <c r="AB176" s="86"/>
      <c r="AD176" s="100"/>
    </row>
    <row r="177" spans="28:30" x14ac:dyDescent="0.25">
      <c r="AB177" s="86"/>
    </row>
    <row r="178" spans="28:30" x14ac:dyDescent="0.25">
      <c r="AB178" s="86"/>
    </row>
    <row r="179" spans="28:30" x14ac:dyDescent="0.25">
      <c r="AB179" s="86"/>
      <c r="AD179" s="100"/>
    </row>
    <row r="180" spans="28:30" x14ac:dyDescent="0.25">
      <c r="AB180" s="86"/>
    </row>
    <row r="181" spans="28:30" x14ac:dyDescent="0.25">
      <c r="AB181" s="86"/>
    </row>
    <row r="182" spans="28:30" x14ac:dyDescent="0.25">
      <c r="AB182" s="86"/>
      <c r="AD182" s="100"/>
    </row>
    <row r="183" spans="28:30" x14ac:dyDescent="0.25">
      <c r="AB183" s="86"/>
      <c r="AD183" s="100"/>
    </row>
    <row r="184" spans="28:30" x14ac:dyDescent="0.25">
      <c r="AB184" s="86"/>
    </row>
    <row r="185" spans="28:30" x14ac:dyDescent="0.25">
      <c r="AB185" s="86"/>
      <c r="AD185" s="100"/>
    </row>
    <row r="186" spans="28:30" x14ac:dyDescent="0.25">
      <c r="AB186" s="86"/>
    </row>
    <row r="187" spans="28:30" x14ac:dyDescent="0.25">
      <c r="AB187" s="86"/>
      <c r="AD187" s="100"/>
    </row>
    <row r="188" spans="28:30" x14ac:dyDescent="0.25">
      <c r="AB188" s="86"/>
      <c r="AD188" s="100"/>
    </row>
    <row r="189" spans="28:30" x14ac:dyDescent="0.25">
      <c r="AB189" s="86"/>
      <c r="AD189" s="100"/>
    </row>
    <row r="190" spans="28:30" x14ac:dyDescent="0.25">
      <c r="AB190" s="86"/>
      <c r="AD190" s="100"/>
    </row>
    <row r="191" spans="28:30" x14ac:dyDescent="0.25">
      <c r="AB191" s="86"/>
      <c r="AD191" s="100"/>
    </row>
    <row r="192" spans="28:30" x14ac:dyDescent="0.25">
      <c r="AB192" s="86"/>
    </row>
    <row r="193" spans="28:30" x14ac:dyDescent="0.25">
      <c r="AB193" s="86"/>
    </row>
    <row r="194" spans="28:30" x14ac:dyDescent="0.25">
      <c r="AB194" s="86"/>
    </row>
    <row r="195" spans="28:30" x14ac:dyDescent="0.25">
      <c r="AB195" s="86"/>
      <c r="AD195" s="100"/>
    </row>
    <row r="196" spans="28:30" x14ac:dyDescent="0.25">
      <c r="AB196" s="86"/>
      <c r="AD196" s="100"/>
    </row>
    <row r="197" spans="28:30" x14ac:dyDescent="0.25">
      <c r="AB197" s="86"/>
      <c r="AD197" s="100"/>
    </row>
    <row r="198" spans="28:30" x14ac:dyDescent="0.25">
      <c r="AB198" s="86"/>
    </row>
    <row r="199" spans="28:30" x14ac:dyDescent="0.25">
      <c r="AB199" s="86"/>
      <c r="AD199" s="100"/>
    </row>
    <row r="200" spans="28:30" x14ac:dyDescent="0.25">
      <c r="AB200" s="86"/>
      <c r="AD200" s="100"/>
    </row>
    <row r="201" spans="28:30" x14ac:dyDescent="0.25">
      <c r="AB201" s="86"/>
      <c r="AD201" s="100"/>
    </row>
    <row r="202" spans="28:30" x14ac:dyDescent="0.25">
      <c r="AB202" s="86"/>
      <c r="AD202" s="100"/>
    </row>
    <row r="203" spans="28:30" x14ac:dyDescent="0.25">
      <c r="AB203" s="86"/>
    </row>
    <row r="204" spans="28:30" x14ac:dyDescent="0.25">
      <c r="AB204" s="86"/>
      <c r="AD204" s="100"/>
    </row>
    <row r="205" spans="28:30" x14ac:dyDescent="0.25">
      <c r="AB205" s="86"/>
      <c r="AD205" s="100"/>
    </row>
    <row r="206" spans="28:30" x14ac:dyDescent="0.25">
      <c r="AB206" s="86"/>
    </row>
    <row r="207" spans="28:30" x14ac:dyDescent="0.25">
      <c r="AB207" s="86"/>
      <c r="AD207" s="100"/>
    </row>
    <row r="208" spans="28:30" x14ac:dyDescent="0.25">
      <c r="AB208" s="86"/>
      <c r="AD208" s="100"/>
    </row>
    <row r="209" spans="28:30" x14ac:dyDescent="0.25">
      <c r="AB209" s="86"/>
      <c r="AD209" s="100"/>
    </row>
    <row r="210" spans="28:30" x14ac:dyDescent="0.25">
      <c r="AB210" s="86"/>
      <c r="AD210" s="100"/>
    </row>
    <row r="211" spans="28:30" x14ac:dyDescent="0.25">
      <c r="AB211" s="86"/>
      <c r="AD211" s="100"/>
    </row>
    <row r="212" spans="28:30" x14ac:dyDescent="0.25">
      <c r="AB212" s="86"/>
    </row>
    <row r="213" spans="28:30" x14ac:dyDescent="0.25">
      <c r="AB213" s="86"/>
      <c r="AD213" s="100"/>
    </row>
    <row r="214" spans="28:30" x14ac:dyDescent="0.25">
      <c r="AB214" s="86"/>
    </row>
    <row r="215" spans="28:30" x14ac:dyDescent="0.25">
      <c r="AB215" s="86"/>
      <c r="AD215" s="100"/>
    </row>
    <row r="216" spans="28:30" x14ac:dyDescent="0.25">
      <c r="AB216" s="86"/>
      <c r="AD216" s="100"/>
    </row>
    <row r="217" spans="28:30" x14ac:dyDescent="0.25">
      <c r="AB217" s="86"/>
      <c r="AD217" s="100"/>
    </row>
    <row r="218" spans="28:30" x14ac:dyDescent="0.25">
      <c r="AB218" s="86"/>
    </row>
    <row r="219" spans="28:30" x14ac:dyDescent="0.25">
      <c r="AB219" s="86"/>
      <c r="AD219" s="100"/>
    </row>
    <row r="220" spans="28:30" x14ac:dyDescent="0.25">
      <c r="AB220" s="86"/>
      <c r="AD220" s="100"/>
    </row>
    <row r="221" spans="28:30" x14ac:dyDescent="0.25">
      <c r="AB221" s="86"/>
      <c r="AD221" s="100"/>
    </row>
    <row r="222" spans="28:30" x14ac:dyDescent="0.25">
      <c r="AB222" s="86"/>
      <c r="AD222" s="100"/>
    </row>
    <row r="223" spans="28:30" x14ac:dyDescent="0.25">
      <c r="AB223" s="86"/>
      <c r="AD223" s="100"/>
    </row>
    <row r="224" spans="28:30" x14ac:dyDescent="0.25">
      <c r="AB224" s="86"/>
      <c r="AD224" s="100"/>
    </row>
    <row r="225" spans="28:30" x14ac:dyDescent="0.25">
      <c r="AB225" s="86"/>
      <c r="AD225" s="100"/>
    </row>
    <row r="226" spans="28:30" x14ac:dyDescent="0.25">
      <c r="AB226" s="86"/>
    </row>
    <row r="227" spans="28:30" x14ac:dyDescent="0.25">
      <c r="AB227" s="86"/>
      <c r="AD227" s="100"/>
    </row>
    <row r="228" spans="28:30" x14ac:dyDescent="0.25">
      <c r="AB228" s="86"/>
      <c r="AD228" s="100"/>
    </row>
    <row r="229" spans="28:30" x14ac:dyDescent="0.25">
      <c r="AB229" s="86"/>
      <c r="AD229" s="100"/>
    </row>
    <row r="230" spans="28:30" x14ac:dyDescent="0.25">
      <c r="AB230" s="86"/>
      <c r="AD230" s="100"/>
    </row>
    <row r="231" spans="28:30" x14ac:dyDescent="0.25">
      <c r="AB231" s="86"/>
      <c r="AD231" s="100"/>
    </row>
    <row r="232" spans="28:30" x14ac:dyDescent="0.25">
      <c r="AB232" s="86"/>
      <c r="AD232" s="100"/>
    </row>
    <row r="233" spans="28:30" x14ac:dyDescent="0.25">
      <c r="AB233" s="86"/>
      <c r="AD233" s="100"/>
    </row>
    <row r="234" spans="28:30" x14ac:dyDescent="0.25">
      <c r="AB234" s="86"/>
      <c r="AD234" s="100"/>
    </row>
    <row r="235" spans="28:30" x14ac:dyDescent="0.25">
      <c r="AB235" s="86"/>
      <c r="AD235" s="100"/>
    </row>
    <row r="236" spans="28:30" x14ac:dyDescent="0.25">
      <c r="AB236" s="86"/>
      <c r="AD236" s="100"/>
    </row>
    <row r="237" spans="28:30" x14ac:dyDescent="0.25">
      <c r="AB237" s="86"/>
      <c r="AD237" s="100"/>
    </row>
    <row r="238" spans="28:30" x14ac:dyDescent="0.25">
      <c r="AB238" s="86"/>
      <c r="AD238" s="100"/>
    </row>
    <row r="239" spans="28:30" x14ac:dyDescent="0.25">
      <c r="AB239" s="86"/>
      <c r="AD239" s="100"/>
    </row>
    <row r="240" spans="28:30" x14ac:dyDescent="0.25">
      <c r="AB240" s="86"/>
      <c r="AD240" s="100"/>
    </row>
    <row r="241" spans="28:30" x14ac:dyDescent="0.25">
      <c r="AB241" s="86"/>
      <c r="AD241" s="100"/>
    </row>
    <row r="242" spans="28:30" x14ac:dyDescent="0.25">
      <c r="AB242" s="86"/>
      <c r="AD242" s="100"/>
    </row>
    <row r="243" spans="28:30" x14ac:dyDescent="0.25">
      <c r="AB243" s="86"/>
      <c r="AD243" s="100"/>
    </row>
    <row r="244" spans="28:30" x14ac:dyDescent="0.25">
      <c r="AB244" s="86"/>
    </row>
    <row r="245" spans="28:30" x14ac:dyDescent="0.25">
      <c r="AB245" s="86"/>
      <c r="AD245" s="100"/>
    </row>
    <row r="246" spans="28:30" x14ac:dyDescent="0.25">
      <c r="AB246" s="86"/>
      <c r="AD246" s="100"/>
    </row>
    <row r="247" spans="28:30" x14ac:dyDescent="0.25">
      <c r="AB247" s="86"/>
      <c r="AD247" s="100"/>
    </row>
    <row r="248" spans="28:30" x14ac:dyDescent="0.25">
      <c r="AB248" s="86"/>
      <c r="AD248" s="100"/>
    </row>
    <row r="249" spans="28:30" x14ac:dyDescent="0.25">
      <c r="AB249" s="86"/>
      <c r="AD249" s="100"/>
    </row>
    <row r="250" spans="28:30" x14ac:dyDescent="0.25">
      <c r="AB250" s="86"/>
      <c r="AD250" s="100"/>
    </row>
    <row r="251" spans="28:30" x14ac:dyDescent="0.25">
      <c r="AB251" s="86"/>
    </row>
    <row r="252" spans="28:30" x14ac:dyDescent="0.25">
      <c r="AB252" s="86"/>
      <c r="AD252" s="100"/>
    </row>
    <row r="253" spans="28:30" x14ac:dyDescent="0.25">
      <c r="AB253" s="86"/>
      <c r="AD253" s="100"/>
    </row>
    <row r="254" spans="28:30" x14ac:dyDescent="0.25">
      <c r="AB254" s="86"/>
      <c r="AD254" s="100"/>
    </row>
    <row r="255" spans="28:30" x14ac:dyDescent="0.25">
      <c r="AB255" s="86"/>
      <c r="AD255" s="100"/>
    </row>
    <row r="256" spans="28:30" x14ac:dyDescent="0.25">
      <c r="AB256" s="86"/>
      <c r="AD256" s="100"/>
    </row>
    <row r="257" spans="28:30" x14ac:dyDescent="0.25">
      <c r="AB257" s="86"/>
      <c r="AD257" s="100"/>
    </row>
    <row r="258" spans="28:30" x14ac:dyDescent="0.25">
      <c r="AB258" s="86"/>
      <c r="AD258" s="100"/>
    </row>
    <row r="259" spans="28:30" x14ac:dyDescent="0.25">
      <c r="AB259" s="86"/>
      <c r="AD259" s="100"/>
    </row>
    <row r="260" spans="28:30" x14ac:dyDescent="0.25">
      <c r="AB260" s="86"/>
      <c r="AD260" s="100"/>
    </row>
    <row r="261" spans="28:30" x14ac:dyDescent="0.25">
      <c r="AB261" s="86"/>
      <c r="AD261" s="100"/>
    </row>
    <row r="262" spans="28:30" x14ac:dyDescent="0.25">
      <c r="AB262" s="86"/>
    </row>
    <row r="263" spans="28:30" x14ac:dyDescent="0.25">
      <c r="AB263" s="86"/>
    </row>
    <row r="264" spans="28:30" x14ac:dyDescent="0.25">
      <c r="AB264" s="86"/>
    </row>
    <row r="265" spans="28:30" x14ac:dyDescent="0.25">
      <c r="AB265" s="86"/>
      <c r="AD265" s="100"/>
    </row>
    <row r="266" spans="28:30" x14ac:dyDescent="0.25">
      <c r="AB266" s="86"/>
      <c r="AD266" s="100"/>
    </row>
    <row r="267" spans="28:30" x14ac:dyDescent="0.25">
      <c r="AB267" s="86"/>
      <c r="AD267" s="100"/>
    </row>
    <row r="268" spans="28:30" x14ac:dyDescent="0.25">
      <c r="AB268" s="86"/>
      <c r="AD268" s="100"/>
    </row>
    <row r="269" spans="28:30" x14ac:dyDescent="0.25">
      <c r="AB269" s="86"/>
      <c r="AD269" s="100"/>
    </row>
    <row r="270" spans="28:30" x14ac:dyDescent="0.25">
      <c r="AB270" s="86"/>
      <c r="AD270" s="100"/>
    </row>
    <row r="271" spans="28:30" x14ac:dyDescent="0.25">
      <c r="AB271" s="86"/>
      <c r="AD271" s="100"/>
    </row>
    <row r="272" spans="28:30" x14ac:dyDescent="0.25">
      <c r="AB272" s="86"/>
      <c r="AD272" s="100"/>
    </row>
    <row r="273" spans="28:30" x14ac:dyDescent="0.25">
      <c r="AB273" s="86"/>
      <c r="AD273" s="100"/>
    </row>
    <row r="274" spans="28:30" x14ac:dyDescent="0.25">
      <c r="AB274" s="86"/>
      <c r="AD274" s="100"/>
    </row>
    <row r="275" spans="28:30" x14ac:dyDescent="0.25">
      <c r="AB275" s="86"/>
      <c r="AD275" s="100"/>
    </row>
    <row r="276" spans="28:30" x14ac:dyDescent="0.25">
      <c r="AB276" s="86"/>
      <c r="AD276" s="100"/>
    </row>
    <row r="277" spans="28:30" x14ac:dyDescent="0.25">
      <c r="AB277" s="86"/>
      <c r="AD277" s="100"/>
    </row>
    <row r="278" spans="28:30" x14ac:dyDescent="0.25">
      <c r="AB278" s="86"/>
      <c r="AD278" s="100"/>
    </row>
    <row r="279" spans="28:30" x14ac:dyDescent="0.25">
      <c r="AB279" s="86"/>
      <c r="AD279" s="100"/>
    </row>
    <row r="280" spans="28:30" x14ac:dyDescent="0.25">
      <c r="AB280" s="86"/>
      <c r="AD280" s="100"/>
    </row>
    <row r="281" spans="28:30" x14ac:dyDescent="0.25">
      <c r="AB281" s="86"/>
      <c r="AD281" s="100"/>
    </row>
    <row r="282" spans="28:30" x14ac:dyDescent="0.25">
      <c r="AB282" s="86"/>
    </row>
    <row r="283" spans="28:30" x14ac:dyDescent="0.25">
      <c r="AB283" s="86"/>
      <c r="AD283" s="100"/>
    </row>
    <row r="284" spans="28:30" x14ac:dyDescent="0.25">
      <c r="AB284" s="86"/>
      <c r="AD284" s="100"/>
    </row>
    <row r="285" spans="28:30" x14ac:dyDescent="0.25">
      <c r="AB285" s="86"/>
      <c r="AD285" s="100"/>
    </row>
    <row r="286" spans="28:30" x14ac:dyDescent="0.25">
      <c r="AB286" s="86"/>
      <c r="AD286" s="100"/>
    </row>
    <row r="287" spans="28:30" x14ac:dyDescent="0.25">
      <c r="AB287" s="86"/>
      <c r="AD287" s="100"/>
    </row>
    <row r="288" spans="28:30" x14ac:dyDescent="0.25">
      <c r="AB288" s="86"/>
      <c r="AD288" s="100"/>
    </row>
    <row r="289" spans="28:30" x14ac:dyDescent="0.25">
      <c r="AB289" s="86"/>
      <c r="AD289" s="100"/>
    </row>
    <row r="290" spans="28:30" x14ac:dyDescent="0.25">
      <c r="AB290" s="86"/>
      <c r="AD290" s="100"/>
    </row>
    <row r="291" spans="28:30" x14ac:dyDescent="0.25">
      <c r="AB291" s="86"/>
      <c r="AD291" s="100"/>
    </row>
    <row r="292" spans="28:30" x14ac:dyDescent="0.25">
      <c r="AB292" s="86"/>
      <c r="AD292" s="100"/>
    </row>
    <row r="293" spans="28:30" x14ac:dyDescent="0.25">
      <c r="AB293" s="86"/>
      <c r="AD293" s="100"/>
    </row>
    <row r="294" spans="28:30" x14ac:dyDescent="0.25">
      <c r="AB294" s="86"/>
      <c r="AD294" s="100"/>
    </row>
    <row r="295" spans="28:30" x14ac:dyDescent="0.25">
      <c r="AB295" s="86"/>
      <c r="AD295" s="100"/>
    </row>
    <row r="296" spans="28:30" x14ac:dyDescent="0.25">
      <c r="AB296" s="86"/>
      <c r="AD296" s="100"/>
    </row>
    <row r="297" spans="28:30" x14ac:dyDescent="0.25">
      <c r="AB297" s="86"/>
      <c r="AD297" s="100"/>
    </row>
    <row r="298" spans="28:30" x14ac:dyDescent="0.25">
      <c r="AB298" s="86"/>
      <c r="AD298" s="100"/>
    </row>
    <row r="299" spans="28:30" x14ac:dyDescent="0.25">
      <c r="AB299" s="86"/>
      <c r="AD299" s="100"/>
    </row>
    <row r="300" spans="28:30" x14ac:dyDescent="0.25">
      <c r="AB300" s="86"/>
      <c r="AD300" s="100"/>
    </row>
    <row r="301" spans="28:30" x14ac:dyDescent="0.25">
      <c r="AB301" s="86"/>
      <c r="AD301" s="100"/>
    </row>
    <row r="302" spans="28:30" x14ac:dyDescent="0.25">
      <c r="AB302" s="86"/>
      <c r="AD302" s="100"/>
    </row>
    <row r="303" spans="28:30" x14ac:dyDescent="0.25">
      <c r="AB303" s="86"/>
      <c r="AD303" s="100"/>
    </row>
    <row r="304" spans="28:30" x14ac:dyDescent="0.25">
      <c r="AB304" s="86"/>
      <c r="AD304" s="100"/>
    </row>
    <row r="305" spans="28:30" x14ac:dyDescent="0.25">
      <c r="AB305" s="86"/>
      <c r="AD305" s="100"/>
    </row>
    <row r="306" spans="28:30" x14ac:dyDescent="0.25">
      <c r="AB306" s="86"/>
      <c r="AD306" s="100"/>
    </row>
    <row r="307" spans="28:30" x14ac:dyDescent="0.25">
      <c r="AB307" s="86"/>
      <c r="AD307" s="100"/>
    </row>
    <row r="308" spans="28:30" x14ac:dyDescent="0.25">
      <c r="AB308" s="86"/>
      <c r="AD308" s="100"/>
    </row>
    <row r="309" spans="28:30" x14ac:dyDescent="0.25">
      <c r="AB309" s="86"/>
      <c r="AD309" s="100"/>
    </row>
    <row r="310" spans="28:30" x14ac:dyDescent="0.25">
      <c r="AB310" s="86"/>
      <c r="AD310" s="100"/>
    </row>
    <row r="311" spans="28:30" x14ac:dyDescent="0.25">
      <c r="AB311" s="86"/>
      <c r="AD311" s="100"/>
    </row>
    <row r="312" spans="28:30" x14ac:dyDescent="0.25">
      <c r="AB312" s="86"/>
      <c r="AD312" s="100"/>
    </row>
    <row r="313" spans="28:30" x14ac:dyDescent="0.25">
      <c r="AB313" s="86"/>
      <c r="AD313" s="100"/>
    </row>
    <row r="314" spans="28:30" x14ac:dyDescent="0.25">
      <c r="AB314" s="86"/>
      <c r="AD314" s="100"/>
    </row>
    <row r="315" spans="28:30" x14ac:dyDescent="0.25">
      <c r="AB315" s="86"/>
      <c r="AD315" s="100"/>
    </row>
    <row r="316" spans="28:30" x14ac:dyDescent="0.25">
      <c r="AB316" s="86"/>
      <c r="AD316" s="100"/>
    </row>
    <row r="317" spans="28:30" x14ac:dyDescent="0.25">
      <c r="AB317" s="86"/>
      <c r="AD317" s="100"/>
    </row>
    <row r="318" spans="28:30" x14ac:dyDescent="0.25">
      <c r="AB318" s="86"/>
      <c r="AD318" s="100"/>
    </row>
    <row r="319" spans="28:30" x14ac:dyDescent="0.25">
      <c r="AB319" s="86"/>
      <c r="AD319" s="100"/>
    </row>
    <row r="320" spans="28:30" x14ac:dyDescent="0.25">
      <c r="AB320" s="86"/>
      <c r="AD320" s="100"/>
    </row>
    <row r="321" spans="28:30" x14ac:dyDescent="0.25">
      <c r="AB321" s="86"/>
      <c r="AD321" s="100"/>
    </row>
    <row r="322" spans="28:30" x14ac:dyDescent="0.25">
      <c r="AB322" s="86"/>
      <c r="AD322" s="100"/>
    </row>
    <row r="323" spans="28:30" x14ac:dyDescent="0.25">
      <c r="AB323" s="86"/>
      <c r="AD323" s="100"/>
    </row>
    <row r="324" spans="28:30" x14ac:dyDescent="0.25">
      <c r="AB324" s="86"/>
      <c r="AD324" s="100"/>
    </row>
    <row r="325" spans="28:30" x14ac:dyDescent="0.25">
      <c r="AB325" s="86"/>
      <c r="AD325" s="100"/>
    </row>
    <row r="326" spans="28:30" x14ac:dyDescent="0.25">
      <c r="AB326" s="86"/>
      <c r="AD326" s="100"/>
    </row>
    <row r="327" spans="28:30" x14ac:dyDescent="0.25">
      <c r="AB327" s="86"/>
      <c r="AD327" s="100"/>
    </row>
    <row r="328" spans="28:30" x14ac:dyDescent="0.25">
      <c r="AB328" s="86"/>
      <c r="AD328" s="100"/>
    </row>
    <row r="329" spans="28:30" x14ac:dyDescent="0.25">
      <c r="AB329" s="86"/>
      <c r="AD329" s="100"/>
    </row>
    <row r="330" spans="28:30" x14ac:dyDescent="0.25">
      <c r="AB330" s="86"/>
      <c r="AD330" s="100"/>
    </row>
    <row r="331" spans="28:30" x14ac:dyDescent="0.25">
      <c r="AB331" s="86"/>
      <c r="AD331" s="100"/>
    </row>
    <row r="332" spans="28:30" x14ac:dyDescent="0.25">
      <c r="AB332" s="86"/>
      <c r="AD332" s="100"/>
    </row>
    <row r="333" spans="28:30" x14ac:dyDescent="0.25">
      <c r="AB333" s="86"/>
      <c r="AD333" s="100"/>
    </row>
    <row r="334" spans="28:30" x14ac:dyDescent="0.25">
      <c r="AB334" s="86"/>
      <c r="AD334" s="100"/>
    </row>
    <row r="335" spans="28:30" x14ac:dyDescent="0.25">
      <c r="AB335" s="86"/>
      <c r="AD335" s="100"/>
    </row>
    <row r="336" spans="28:30" x14ac:dyDescent="0.25">
      <c r="AB336" s="86"/>
      <c r="AD336" s="100"/>
    </row>
    <row r="337" spans="28:30" x14ac:dyDescent="0.25">
      <c r="AB337" s="86"/>
      <c r="AD337" s="100"/>
    </row>
    <row r="338" spans="28:30" x14ac:dyDescent="0.25">
      <c r="AB338" s="86"/>
      <c r="AD338" s="100"/>
    </row>
    <row r="339" spans="28:30" x14ac:dyDescent="0.25">
      <c r="AB339" s="86"/>
      <c r="AD339" s="100"/>
    </row>
    <row r="340" spans="28:30" x14ac:dyDescent="0.25">
      <c r="AB340" s="86"/>
      <c r="AD340" s="100"/>
    </row>
    <row r="341" spans="28:30" x14ac:dyDescent="0.25">
      <c r="AB341" s="86"/>
      <c r="AD341" s="100"/>
    </row>
    <row r="342" spans="28:30" x14ac:dyDescent="0.25">
      <c r="AB342" s="86"/>
      <c r="AD342" s="100"/>
    </row>
    <row r="343" spans="28:30" x14ac:dyDescent="0.25">
      <c r="AB343" s="86"/>
      <c r="AD343" s="100"/>
    </row>
    <row r="344" spans="28:30" x14ac:dyDescent="0.25">
      <c r="AB344" s="86"/>
      <c r="AD344" s="100"/>
    </row>
    <row r="345" spans="28:30" x14ac:dyDescent="0.25">
      <c r="AB345" s="86"/>
      <c r="AD345" s="100"/>
    </row>
    <row r="346" spans="28:30" x14ac:dyDescent="0.25">
      <c r="AB346" s="86"/>
      <c r="AD346" s="100"/>
    </row>
    <row r="347" spans="28:30" x14ac:dyDescent="0.25">
      <c r="AB347" s="86"/>
      <c r="AD347" s="100"/>
    </row>
    <row r="348" spans="28:30" x14ac:dyDescent="0.25">
      <c r="AB348" s="86"/>
      <c r="AD348" s="100"/>
    </row>
    <row r="349" spans="28:30" x14ac:dyDescent="0.25">
      <c r="AB349" s="86"/>
      <c r="AD349" s="100"/>
    </row>
    <row r="350" spans="28:30" x14ac:dyDescent="0.25">
      <c r="AB350" s="86"/>
      <c r="AD350" s="100"/>
    </row>
    <row r="351" spans="28:30" x14ac:dyDescent="0.25">
      <c r="AB351" s="86"/>
      <c r="AD351" s="100"/>
    </row>
    <row r="352" spans="28:30" x14ac:dyDescent="0.25">
      <c r="AB352" s="86"/>
      <c r="AD352" s="100"/>
    </row>
    <row r="353" spans="28:30" x14ac:dyDescent="0.25">
      <c r="AB353" s="86"/>
      <c r="AD353" s="100"/>
    </row>
    <row r="354" spans="28:30" x14ac:dyDescent="0.25">
      <c r="AB354" s="86"/>
      <c r="AD354" s="100"/>
    </row>
    <row r="355" spans="28:30" x14ac:dyDescent="0.25">
      <c r="AB355" s="86"/>
      <c r="AD355" s="100"/>
    </row>
    <row r="356" spans="28:30" x14ac:dyDescent="0.25">
      <c r="AB356" s="86"/>
      <c r="AD356" s="100"/>
    </row>
    <row r="357" spans="28:30" x14ac:dyDescent="0.25">
      <c r="AB357" s="86"/>
      <c r="AD357" s="100"/>
    </row>
    <row r="358" spans="28:30" x14ac:dyDescent="0.25">
      <c r="AB358" s="86"/>
      <c r="AD358" s="100"/>
    </row>
    <row r="359" spans="28:30" x14ac:dyDescent="0.25">
      <c r="AB359" s="86"/>
      <c r="AD359" s="100"/>
    </row>
    <row r="360" spans="28:30" x14ac:dyDescent="0.25">
      <c r="AB360" s="86"/>
      <c r="AD360" s="100"/>
    </row>
    <row r="361" spans="28:30" x14ac:dyDescent="0.25">
      <c r="AB361" s="86"/>
      <c r="AD361" s="100"/>
    </row>
    <row r="362" spans="28:30" x14ac:dyDescent="0.25">
      <c r="AB362" s="86"/>
      <c r="AD362" s="100"/>
    </row>
    <row r="363" spans="28:30" x14ac:dyDescent="0.25">
      <c r="AB363" s="86"/>
      <c r="AD363" s="100"/>
    </row>
    <row r="364" spans="28:30" x14ac:dyDescent="0.25">
      <c r="AB364" s="86"/>
      <c r="AD364" s="100"/>
    </row>
    <row r="365" spans="28:30" x14ac:dyDescent="0.25">
      <c r="AB365" s="86"/>
      <c r="AD365" s="100"/>
    </row>
    <row r="366" spans="28:30" x14ac:dyDescent="0.25">
      <c r="AB366" s="86"/>
      <c r="AD366" s="100"/>
    </row>
    <row r="367" spans="28:30" x14ac:dyDescent="0.25">
      <c r="AB367" s="86"/>
      <c r="AD367" s="100"/>
    </row>
    <row r="368" spans="28:30" x14ac:dyDescent="0.25">
      <c r="AB368" s="86"/>
      <c r="AD368" s="100"/>
    </row>
    <row r="369" spans="28:30" x14ac:dyDescent="0.25">
      <c r="AB369" s="86"/>
      <c r="AD369" s="100"/>
    </row>
    <row r="370" spans="28:30" x14ac:dyDescent="0.25">
      <c r="AB370" s="86"/>
      <c r="AD370" s="100"/>
    </row>
    <row r="371" spans="28:30" x14ac:dyDescent="0.25">
      <c r="AB371" s="86"/>
      <c r="AD371" s="100"/>
    </row>
    <row r="372" spans="28:30" x14ac:dyDescent="0.25">
      <c r="AB372" s="86"/>
      <c r="AD372" s="100"/>
    </row>
    <row r="373" spans="28:30" x14ac:dyDescent="0.25">
      <c r="AB373" s="86"/>
    </row>
    <row r="374" spans="28:30" x14ac:dyDescent="0.25">
      <c r="AB374" s="86"/>
      <c r="AD374" s="100"/>
    </row>
    <row r="375" spans="28:30" x14ac:dyDescent="0.25">
      <c r="AB375" s="86"/>
      <c r="AD375" s="100"/>
    </row>
    <row r="376" spans="28:30" x14ac:dyDescent="0.25">
      <c r="AB376" s="86"/>
      <c r="AD376" s="100"/>
    </row>
    <row r="377" spans="28:30" x14ac:dyDescent="0.25">
      <c r="AB377" s="86"/>
      <c r="AD377" s="100"/>
    </row>
    <row r="378" spans="28:30" x14ac:dyDescent="0.25">
      <c r="AB378" s="86"/>
      <c r="AD378" s="100"/>
    </row>
    <row r="379" spans="28:30" x14ac:dyDescent="0.25">
      <c r="AB379" s="86"/>
      <c r="AD379" s="100"/>
    </row>
    <row r="380" spans="28:30" x14ac:dyDescent="0.25">
      <c r="AB380" s="86"/>
      <c r="AD380" s="100"/>
    </row>
    <row r="381" spans="28:30" x14ac:dyDescent="0.25">
      <c r="AB381" s="86"/>
      <c r="AD381" s="100"/>
    </row>
    <row r="382" spans="28:30" x14ac:dyDescent="0.25">
      <c r="AB382" s="86"/>
      <c r="AD382" s="100"/>
    </row>
    <row r="383" spans="28:30" x14ac:dyDescent="0.25">
      <c r="AB383" s="86"/>
      <c r="AD383" s="100"/>
    </row>
    <row r="384" spans="28:30" x14ac:dyDescent="0.25">
      <c r="AB384" s="86"/>
      <c r="AD384" s="100"/>
    </row>
    <row r="385" spans="28:30" x14ac:dyDescent="0.25">
      <c r="AB385" s="86"/>
      <c r="AD385" s="100"/>
    </row>
    <row r="386" spans="28:30" x14ac:dyDescent="0.25">
      <c r="AB386" s="86"/>
      <c r="AD386" s="100"/>
    </row>
    <row r="387" spans="28:30" x14ac:dyDescent="0.25">
      <c r="AB387" s="86"/>
      <c r="AD387" s="100"/>
    </row>
    <row r="388" spans="28:30" x14ac:dyDescent="0.25">
      <c r="AB388" s="86"/>
      <c r="AD388" s="100"/>
    </row>
    <row r="389" spans="28:30" x14ac:dyDescent="0.25">
      <c r="AB389" s="86"/>
      <c r="AD389" s="100"/>
    </row>
    <row r="390" spans="28:30" x14ac:dyDescent="0.25">
      <c r="AB390" s="86"/>
      <c r="AD390" s="100"/>
    </row>
    <row r="391" spans="28:30" x14ac:dyDescent="0.25">
      <c r="AB391" s="86"/>
      <c r="AD391" s="100"/>
    </row>
    <row r="392" spans="28:30" x14ac:dyDescent="0.25">
      <c r="AB392" s="86"/>
      <c r="AD392" s="100"/>
    </row>
    <row r="393" spans="28:30" x14ac:dyDescent="0.25">
      <c r="AB393" s="86"/>
      <c r="AD393" s="100"/>
    </row>
    <row r="394" spans="28:30" x14ac:dyDescent="0.25">
      <c r="AB394" s="86"/>
      <c r="AD394" s="100"/>
    </row>
    <row r="395" spans="28:30" x14ac:dyDescent="0.25">
      <c r="AB395" s="86"/>
      <c r="AD395" s="100"/>
    </row>
    <row r="396" spans="28:30" x14ac:dyDescent="0.25">
      <c r="AB396" s="86"/>
      <c r="AD396" s="100"/>
    </row>
    <row r="397" spans="28:30" x14ac:dyDescent="0.25">
      <c r="AB397" s="86"/>
      <c r="AD397" s="100"/>
    </row>
    <row r="398" spans="28:30" x14ac:dyDescent="0.25">
      <c r="AB398" s="86"/>
      <c r="AD398" s="100"/>
    </row>
    <row r="399" spans="28:30" x14ac:dyDescent="0.25">
      <c r="AB399" s="86"/>
      <c r="AD399" s="100"/>
    </row>
    <row r="400" spans="28:30" x14ac:dyDescent="0.25">
      <c r="AB400" s="86"/>
      <c r="AD400" s="100"/>
    </row>
    <row r="401" spans="28:30" x14ac:dyDescent="0.25">
      <c r="AB401" s="86"/>
      <c r="AD401" s="100"/>
    </row>
    <row r="402" spans="28:30" x14ac:dyDescent="0.25">
      <c r="AB402" s="86"/>
      <c r="AD402" s="100"/>
    </row>
    <row r="403" spans="28:30" x14ac:dyDescent="0.25">
      <c r="AB403" s="86"/>
      <c r="AD403" s="100"/>
    </row>
    <row r="404" spans="28:30" x14ac:dyDescent="0.25">
      <c r="AB404" s="86"/>
      <c r="AD404" s="100"/>
    </row>
    <row r="405" spans="28:30" x14ac:dyDescent="0.25">
      <c r="AB405" s="86"/>
      <c r="AD405" s="100"/>
    </row>
    <row r="406" spans="28:30" x14ac:dyDescent="0.25">
      <c r="AB406" s="86"/>
      <c r="AD406" s="100"/>
    </row>
    <row r="407" spans="28:30" x14ac:dyDescent="0.25">
      <c r="AB407" s="86"/>
      <c r="AD407" s="100"/>
    </row>
    <row r="408" spans="28:30" x14ac:dyDescent="0.25">
      <c r="AB408" s="86"/>
      <c r="AD408" s="100"/>
    </row>
    <row r="409" spans="28:30" x14ac:dyDescent="0.25">
      <c r="AB409" s="86"/>
      <c r="AD409" s="100"/>
    </row>
    <row r="410" spans="28:30" x14ac:dyDescent="0.25">
      <c r="AB410" s="86"/>
      <c r="AD410" s="100"/>
    </row>
    <row r="411" spans="28:30" x14ac:dyDescent="0.25">
      <c r="AB411" s="86"/>
      <c r="AD411" s="100"/>
    </row>
    <row r="412" spans="28:30" x14ac:dyDescent="0.25">
      <c r="AB412" s="86"/>
      <c r="AD412" s="100"/>
    </row>
    <row r="413" spans="28:30" x14ac:dyDescent="0.25">
      <c r="AB413" s="86"/>
      <c r="AD413" s="100"/>
    </row>
    <row r="414" spans="28:30" x14ac:dyDescent="0.25">
      <c r="AB414" s="86"/>
      <c r="AD414" s="100"/>
    </row>
    <row r="415" spans="28:30" x14ac:dyDescent="0.25">
      <c r="AB415" s="86"/>
      <c r="AD415" s="100"/>
    </row>
    <row r="416" spans="28:30" x14ac:dyDescent="0.25">
      <c r="AB416" s="86"/>
      <c r="AD416" s="100"/>
    </row>
    <row r="417" spans="28:30" x14ac:dyDescent="0.25">
      <c r="AB417" s="86"/>
      <c r="AD417" s="100"/>
    </row>
    <row r="418" spans="28:30" x14ac:dyDescent="0.25">
      <c r="AB418" s="86"/>
      <c r="AD418" s="100"/>
    </row>
    <row r="419" spans="28:30" x14ac:dyDescent="0.25">
      <c r="AB419" s="86"/>
      <c r="AD419" s="100"/>
    </row>
    <row r="420" spans="28:30" x14ac:dyDescent="0.25">
      <c r="AB420" s="86"/>
      <c r="AD420" s="100"/>
    </row>
    <row r="421" spans="28:30" x14ac:dyDescent="0.25">
      <c r="AB421" s="86"/>
      <c r="AD421" s="100"/>
    </row>
    <row r="422" spans="28:30" x14ac:dyDescent="0.25">
      <c r="AB422" s="86"/>
      <c r="AD422" s="100"/>
    </row>
    <row r="423" spans="28:30" x14ac:dyDescent="0.25">
      <c r="AB423" s="86"/>
      <c r="AD423" s="100"/>
    </row>
    <row r="424" spans="28:30" x14ac:dyDescent="0.25">
      <c r="AB424" s="86"/>
      <c r="AD424" s="100"/>
    </row>
    <row r="425" spans="28:30" x14ac:dyDescent="0.25">
      <c r="AB425" s="86"/>
      <c r="AD425" s="100"/>
    </row>
    <row r="426" spans="28:30" x14ac:dyDescent="0.25">
      <c r="AB426" s="86"/>
      <c r="AD426" s="100"/>
    </row>
    <row r="427" spans="28:30" x14ac:dyDescent="0.25">
      <c r="AB427" s="86"/>
      <c r="AD427" s="100"/>
    </row>
    <row r="428" spans="28:30" x14ac:dyDescent="0.25">
      <c r="AB428" s="86"/>
      <c r="AD428" s="100"/>
    </row>
    <row r="429" spans="28:30" x14ac:dyDescent="0.25">
      <c r="AB429" s="86"/>
      <c r="AD429" s="100"/>
    </row>
    <row r="430" spans="28:30" x14ac:dyDescent="0.25">
      <c r="AB430" s="86"/>
      <c r="AD430" s="100"/>
    </row>
    <row r="431" spans="28:30" x14ac:dyDescent="0.25">
      <c r="AB431" s="86"/>
      <c r="AD431" s="100"/>
    </row>
    <row r="432" spans="28:30" x14ac:dyDescent="0.25">
      <c r="AB432" s="86"/>
      <c r="AD432" s="100"/>
    </row>
    <row r="433" spans="28:30" x14ac:dyDescent="0.25">
      <c r="AB433" s="86"/>
      <c r="AD433" s="100"/>
    </row>
    <row r="434" spans="28:30" x14ac:dyDescent="0.25">
      <c r="AB434" s="86"/>
      <c r="AD434" s="100"/>
    </row>
    <row r="435" spans="28:30" x14ac:dyDescent="0.25">
      <c r="AB435" s="86"/>
      <c r="AD435" s="100"/>
    </row>
    <row r="436" spans="28:30" x14ac:dyDescent="0.25">
      <c r="AB436" s="86"/>
      <c r="AD436" s="100"/>
    </row>
    <row r="437" spans="28:30" x14ac:dyDescent="0.25">
      <c r="AB437" s="86"/>
      <c r="AD437" s="100"/>
    </row>
    <row r="438" spans="28:30" x14ac:dyDescent="0.25">
      <c r="AB438" s="86"/>
      <c r="AD438" s="100"/>
    </row>
    <row r="439" spans="28:30" x14ac:dyDescent="0.25">
      <c r="AB439" s="86"/>
      <c r="AD439" s="100"/>
    </row>
    <row r="440" spans="28:30" x14ac:dyDescent="0.25">
      <c r="AB440" s="86"/>
      <c r="AD440" s="100"/>
    </row>
    <row r="441" spans="28:30" x14ac:dyDescent="0.25">
      <c r="AB441" s="86"/>
      <c r="AD441" s="100"/>
    </row>
    <row r="442" spans="28:30" x14ac:dyDescent="0.25">
      <c r="AB442" s="86"/>
      <c r="AD442" s="100"/>
    </row>
    <row r="443" spans="28:30" x14ac:dyDescent="0.25">
      <c r="AB443" s="86"/>
      <c r="AD443" s="100"/>
    </row>
    <row r="444" spans="28:30" x14ac:dyDescent="0.25">
      <c r="AB444" s="86"/>
      <c r="AD444" s="100"/>
    </row>
    <row r="445" spans="28:30" x14ac:dyDescent="0.25">
      <c r="AB445" s="86"/>
    </row>
    <row r="446" spans="28:30" x14ac:dyDescent="0.25">
      <c r="AB446" s="86"/>
      <c r="AD446" s="100"/>
    </row>
    <row r="447" spans="28:30" x14ac:dyDescent="0.25">
      <c r="AB447" s="86"/>
      <c r="AD447" s="100"/>
    </row>
    <row r="448" spans="28:30" x14ac:dyDescent="0.25">
      <c r="AB448" s="86"/>
    </row>
    <row r="449" spans="28:30" x14ac:dyDescent="0.25">
      <c r="AB449" s="86"/>
      <c r="AD449" s="100"/>
    </row>
    <row r="450" spans="28:30" x14ac:dyDescent="0.25">
      <c r="AB450" s="86"/>
      <c r="AD450" s="100"/>
    </row>
    <row r="451" spans="28:30" x14ac:dyDescent="0.25">
      <c r="AB451" s="86"/>
      <c r="AD451" s="100"/>
    </row>
    <row r="452" spans="28:30" x14ac:dyDescent="0.25">
      <c r="AB452" s="86"/>
      <c r="AD452" s="100"/>
    </row>
    <row r="453" spans="28:30" x14ac:dyDescent="0.25">
      <c r="AB453" s="86"/>
      <c r="AD453" s="100"/>
    </row>
    <row r="454" spans="28:30" x14ac:dyDescent="0.25">
      <c r="AB454" s="86"/>
      <c r="AD454" s="100"/>
    </row>
    <row r="455" spans="28:30" x14ac:dyDescent="0.25">
      <c r="AB455" s="86"/>
      <c r="AD455" s="100"/>
    </row>
    <row r="456" spans="28:30" x14ac:dyDescent="0.25">
      <c r="AB456" s="86"/>
      <c r="AD456" s="100"/>
    </row>
    <row r="457" spans="28:30" x14ac:dyDescent="0.25">
      <c r="AB457" s="86"/>
      <c r="AD457" s="100"/>
    </row>
    <row r="458" spans="28:30" x14ac:dyDescent="0.25">
      <c r="AB458" s="86"/>
      <c r="AD458" s="100"/>
    </row>
    <row r="459" spans="28:30" x14ac:dyDescent="0.25">
      <c r="AB459" s="86"/>
      <c r="AD459" s="100"/>
    </row>
    <row r="460" spans="28:30" x14ac:dyDescent="0.25">
      <c r="AB460" s="86"/>
      <c r="AD460" s="100"/>
    </row>
    <row r="461" spans="28:30" x14ac:dyDescent="0.25">
      <c r="AB461" s="86"/>
      <c r="AD461" s="100"/>
    </row>
    <row r="462" spans="28:30" x14ac:dyDescent="0.25">
      <c r="AB462" s="86"/>
      <c r="AD462" s="100"/>
    </row>
    <row r="463" spans="28:30" x14ac:dyDescent="0.25">
      <c r="AB463" s="86"/>
      <c r="AD463" s="100"/>
    </row>
    <row r="464" spans="28:30" x14ac:dyDescent="0.25">
      <c r="AB464" s="86"/>
      <c r="AD464" s="100"/>
    </row>
    <row r="465" spans="28:30" x14ac:dyDescent="0.25">
      <c r="AB465" s="86"/>
    </row>
    <row r="466" spans="28:30" x14ac:dyDescent="0.25">
      <c r="AB466" s="86"/>
      <c r="AD466" s="100"/>
    </row>
    <row r="467" spans="28:30" x14ac:dyDescent="0.25">
      <c r="AB467" s="86"/>
      <c r="AD467" s="100"/>
    </row>
    <row r="468" spans="28:30" x14ac:dyDescent="0.25">
      <c r="AB468" s="86"/>
      <c r="AD468" s="100"/>
    </row>
    <row r="469" spans="28:30" x14ac:dyDescent="0.25">
      <c r="AB469" s="86"/>
      <c r="AD469" s="100"/>
    </row>
    <row r="470" spans="28:30" x14ac:dyDescent="0.25">
      <c r="AB470" s="86"/>
      <c r="AD470" s="100"/>
    </row>
    <row r="471" spans="28:30" x14ac:dyDescent="0.25">
      <c r="AB471" s="86"/>
      <c r="AD471" s="100"/>
    </row>
    <row r="472" spans="28:30" x14ac:dyDescent="0.25">
      <c r="AB472" s="86"/>
      <c r="AD472" s="100"/>
    </row>
    <row r="473" spans="28:30" x14ac:dyDescent="0.25">
      <c r="AB473" s="86"/>
      <c r="AD473" s="100"/>
    </row>
    <row r="474" spans="28:30" x14ac:dyDescent="0.25">
      <c r="AB474" s="86"/>
      <c r="AD474" s="100"/>
    </row>
    <row r="475" spans="28:30" x14ac:dyDescent="0.25">
      <c r="AB475" s="86"/>
      <c r="AD475" s="100"/>
    </row>
    <row r="476" spans="28:30" x14ac:dyDescent="0.25">
      <c r="AB476" s="86"/>
      <c r="AD476" s="100"/>
    </row>
    <row r="477" spans="28:30" x14ac:dyDescent="0.25">
      <c r="AB477" s="86"/>
      <c r="AD477" s="100"/>
    </row>
    <row r="478" spans="28:30" x14ac:dyDescent="0.25">
      <c r="AB478" s="86"/>
      <c r="AD478" s="100"/>
    </row>
    <row r="479" spans="28:30" x14ac:dyDescent="0.25">
      <c r="AB479" s="86"/>
      <c r="AD479" s="100"/>
    </row>
    <row r="480" spans="28:30" x14ac:dyDescent="0.25">
      <c r="AB480" s="86"/>
      <c r="AD480" s="100"/>
    </row>
    <row r="481" spans="28:30" x14ac:dyDescent="0.25">
      <c r="AB481" s="86"/>
      <c r="AD481" s="100"/>
    </row>
    <row r="482" spans="28:30" x14ac:dyDescent="0.25">
      <c r="AB482" s="86"/>
      <c r="AD482" s="100"/>
    </row>
    <row r="483" spans="28:30" x14ac:dyDescent="0.25">
      <c r="AB483" s="86"/>
      <c r="AD483" s="100"/>
    </row>
    <row r="484" spans="28:30" x14ac:dyDescent="0.25">
      <c r="AB484" s="86"/>
      <c r="AD484" s="100"/>
    </row>
    <row r="485" spans="28:30" x14ac:dyDescent="0.25">
      <c r="AB485" s="86"/>
      <c r="AD485" s="100"/>
    </row>
    <row r="486" spans="28:30" x14ac:dyDescent="0.25">
      <c r="AB486" s="86"/>
      <c r="AD486" s="100"/>
    </row>
    <row r="487" spans="28:30" x14ac:dyDescent="0.25">
      <c r="AB487" s="86"/>
      <c r="AD487" s="100"/>
    </row>
    <row r="488" spans="28:30" x14ac:dyDescent="0.25">
      <c r="AB488" s="86"/>
      <c r="AD488" s="100"/>
    </row>
    <row r="489" spans="28:30" x14ac:dyDescent="0.25">
      <c r="AB489" s="86"/>
      <c r="AD489" s="100"/>
    </row>
    <row r="490" spans="28:30" x14ac:dyDescent="0.25">
      <c r="AB490" s="86"/>
      <c r="AD490" s="100"/>
    </row>
    <row r="491" spans="28:30" x14ac:dyDescent="0.25">
      <c r="AB491" s="86"/>
      <c r="AD491" s="100"/>
    </row>
    <row r="492" spans="28:30" x14ac:dyDescent="0.25">
      <c r="AB492" s="86"/>
      <c r="AD492" s="100"/>
    </row>
    <row r="493" spans="28:30" x14ac:dyDescent="0.25">
      <c r="AB493" s="86"/>
      <c r="AD493" s="100"/>
    </row>
    <row r="494" spans="28:30" x14ac:dyDescent="0.25">
      <c r="AB494" s="86"/>
      <c r="AD494" s="100"/>
    </row>
    <row r="495" spans="28:30" x14ac:dyDescent="0.25">
      <c r="AB495" s="86"/>
      <c r="AD495" s="100"/>
    </row>
    <row r="496" spans="28:30" x14ac:dyDescent="0.25">
      <c r="AB496" s="86"/>
      <c r="AD496" s="100"/>
    </row>
    <row r="497" spans="28:30" x14ac:dyDescent="0.25">
      <c r="AB497" s="86"/>
      <c r="AD497" s="100"/>
    </row>
    <row r="498" spans="28:30" x14ac:dyDescent="0.25">
      <c r="AB498" s="86"/>
      <c r="AD498" s="100"/>
    </row>
    <row r="499" spans="28:30" x14ac:dyDescent="0.25">
      <c r="AB499" s="86"/>
      <c r="AD499" s="100"/>
    </row>
    <row r="500" spans="28:30" x14ac:dyDescent="0.25">
      <c r="AB500" s="86"/>
      <c r="AD500" s="100"/>
    </row>
    <row r="501" spans="28:30" x14ac:dyDescent="0.25">
      <c r="AB501" s="86"/>
      <c r="AD501" s="100"/>
    </row>
    <row r="502" spans="28:30" x14ac:dyDescent="0.25">
      <c r="AB502" s="86"/>
      <c r="AD502" s="100"/>
    </row>
    <row r="503" spans="28:30" x14ac:dyDescent="0.25">
      <c r="AB503" s="86"/>
      <c r="AD503" s="100"/>
    </row>
    <row r="504" spans="28:30" x14ac:dyDescent="0.25">
      <c r="AB504" s="86"/>
      <c r="AD504" s="100"/>
    </row>
    <row r="505" spans="28:30" x14ac:dyDescent="0.25">
      <c r="AB505" s="86"/>
      <c r="AD505" s="100"/>
    </row>
    <row r="506" spans="28:30" x14ac:dyDescent="0.25">
      <c r="AB506" s="86"/>
      <c r="AD506" s="100"/>
    </row>
    <row r="507" spans="28:30" x14ac:dyDescent="0.25">
      <c r="AB507" s="86"/>
      <c r="AD507" s="100"/>
    </row>
    <row r="508" spans="28:30" x14ac:dyDescent="0.25">
      <c r="AB508" s="86"/>
      <c r="AD508" s="100"/>
    </row>
    <row r="509" spans="28:30" x14ac:dyDescent="0.25">
      <c r="AB509" s="86"/>
      <c r="AD509" s="100"/>
    </row>
    <row r="510" spans="28:30" x14ac:dyDescent="0.25">
      <c r="AB510" s="86"/>
      <c r="AD510" s="100"/>
    </row>
    <row r="511" spans="28:30" x14ac:dyDescent="0.25">
      <c r="AB511" s="86"/>
      <c r="AD511" s="100"/>
    </row>
    <row r="512" spans="28:30" x14ac:dyDescent="0.25">
      <c r="AB512" s="86"/>
      <c r="AD512" s="100"/>
    </row>
    <row r="513" spans="28:30" x14ac:dyDescent="0.25">
      <c r="AB513" s="86"/>
      <c r="AD513" s="100"/>
    </row>
    <row r="514" spans="28:30" x14ac:dyDescent="0.25">
      <c r="AB514" s="86"/>
      <c r="AD514" s="100"/>
    </row>
    <row r="515" spans="28:30" x14ac:dyDescent="0.25">
      <c r="AB515" s="86"/>
      <c r="AD515" s="100"/>
    </row>
    <row r="516" spans="28:30" x14ac:dyDescent="0.25">
      <c r="AB516" s="86"/>
      <c r="AD516" s="100"/>
    </row>
    <row r="517" spans="28:30" x14ac:dyDescent="0.25">
      <c r="AB517" s="86"/>
      <c r="AD517" s="100"/>
    </row>
    <row r="518" spans="28:30" x14ac:dyDescent="0.25">
      <c r="AB518" s="86"/>
      <c r="AD518" s="100"/>
    </row>
    <row r="519" spans="28:30" x14ac:dyDescent="0.25">
      <c r="AB519" s="86"/>
      <c r="AD519" s="100"/>
    </row>
    <row r="520" spans="28:30" x14ac:dyDescent="0.25">
      <c r="AB520" s="86"/>
      <c r="AD520" s="100"/>
    </row>
    <row r="521" spans="28:30" x14ac:dyDescent="0.25">
      <c r="AB521" s="86"/>
      <c r="AD521" s="100"/>
    </row>
    <row r="522" spans="28:30" x14ac:dyDescent="0.25">
      <c r="AB522" s="86"/>
      <c r="AD522" s="100"/>
    </row>
    <row r="523" spans="28:30" x14ac:dyDescent="0.25">
      <c r="AB523" s="86"/>
      <c r="AD523" s="100"/>
    </row>
    <row r="524" spans="28:30" x14ac:dyDescent="0.25">
      <c r="AB524" s="86"/>
      <c r="AD524" s="100"/>
    </row>
    <row r="525" spans="28:30" x14ac:dyDescent="0.25">
      <c r="AB525" s="86"/>
      <c r="AD525" s="100"/>
    </row>
    <row r="526" spans="28:30" x14ac:dyDescent="0.25">
      <c r="AB526" s="86"/>
      <c r="AD526" s="100"/>
    </row>
    <row r="527" spans="28:30" x14ac:dyDescent="0.25">
      <c r="AB527" s="86"/>
      <c r="AD527" s="100"/>
    </row>
    <row r="528" spans="28:30" x14ac:dyDescent="0.25">
      <c r="AB528" s="86"/>
      <c r="AD528" s="100"/>
    </row>
    <row r="529" spans="28:30" x14ac:dyDescent="0.25">
      <c r="AB529" s="86"/>
      <c r="AD529" s="100"/>
    </row>
    <row r="530" spans="28:30" x14ac:dyDescent="0.25">
      <c r="AB530" s="86"/>
      <c r="AD530" s="100"/>
    </row>
    <row r="531" spans="28:30" x14ac:dyDescent="0.25">
      <c r="AB531" s="86"/>
      <c r="AD531" s="100"/>
    </row>
    <row r="532" spans="28:30" x14ac:dyDescent="0.25">
      <c r="AB532" s="86"/>
      <c r="AD532" s="100"/>
    </row>
    <row r="533" spans="28:30" x14ac:dyDescent="0.25">
      <c r="AB533" s="86"/>
      <c r="AD533" s="100"/>
    </row>
    <row r="534" spans="28:30" x14ac:dyDescent="0.25">
      <c r="AB534" s="86"/>
      <c r="AD534" s="100"/>
    </row>
    <row r="535" spans="28:30" x14ac:dyDescent="0.25">
      <c r="AB535" s="86"/>
      <c r="AD535" s="100"/>
    </row>
    <row r="536" spans="28:30" x14ac:dyDescent="0.25">
      <c r="AB536" s="86"/>
      <c r="AD536" s="100"/>
    </row>
    <row r="537" spans="28:30" x14ac:dyDescent="0.25">
      <c r="AB537" s="86"/>
      <c r="AD537" s="100"/>
    </row>
    <row r="538" spans="28:30" x14ac:dyDescent="0.25">
      <c r="AB538" s="86"/>
      <c r="AD538" s="100"/>
    </row>
    <row r="539" spans="28:30" x14ac:dyDescent="0.25">
      <c r="AB539" s="86"/>
      <c r="AD539" s="100"/>
    </row>
    <row r="540" spans="28:30" x14ac:dyDescent="0.25">
      <c r="AB540" s="86"/>
      <c r="AD540" s="100"/>
    </row>
    <row r="541" spans="28:30" x14ac:dyDescent="0.25">
      <c r="AB541" s="86"/>
      <c r="AD541" s="100"/>
    </row>
    <row r="542" spans="28:30" x14ac:dyDescent="0.25">
      <c r="AB542" s="86"/>
      <c r="AD542" s="100"/>
    </row>
    <row r="543" spans="28:30" x14ac:dyDescent="0.25">
      <c r="AB543" s="86"/>
      <c r="AD543" s="100"/>
    </row>
    <row r="544" spans="28:30" x14ac:dyDescent="0.25">
      <c r="AB544" s="86"/>
      <c r="AD544" s="100"/>
    </row>
    <row r="545" spans="28:30" x14ac:dyDescent="0.25">
      <c r="AB545" s="86"/>
      <c r="AD545" s="100"/>
    </row>
    <row r="546" spans="28:30" x14ac:dyDescent="0.25">
      <c r="AB546" s="86"/>
    </row>
    <row r="547" spans="28:30" x14ac:dyDescent="0.25">
      <c r="AB547" s="86"/>
      <c r="AD547" s="100"/>
    </row>
    <row r="548" spans="28:30" x14ac:dyDescent="0.25">
      <c r="AB548" s="86"/>
      <c r="AD548" s="100"/>
    </row>
    <row r="549" spans="28:30" x14ac:dyDescent="0.25">
      <c r="AB549" s="86"/>
      <c r="AD549" s="100"/>
    </row>
    <row r="550" spans="28:30" x14ac:dyDescent="0.25">
      <c r="AB550" s="86"/>
      <c r="AD550" s="100"/>
    </row>
    <row r="551" spans="28:30" x14ac:dyDescent="0.25">
      <c r="AB551" s="86"/>
      <c r="AD551" s="100"/>
    </row>
    <row r="552" spans="28:30" x14ac:dyDescent="0.25">
      <c r="AB552" s="86"/>
      <c r="AD552" s="100"/>
    </row>
    <row r="553" spans="28:30" x14ac:dyDescent="0.25">
      <c r="AB553" s="86"/>
      <c r="AD553" s="100"/>
    </row>
    <row r="554" spans="28:30" x14ac:dyDescent="0.25">
      <c r="AB554" s="86"/>
    </row>
    <row r="555" spans="28:30" x14ac:dyDescent="0.25">
      <c r="AB555" s="86"/>
      <c r="AD555" s="100"/>
    </row>
    <row r="556" spans="28:30" x14ac:dyDescent="0.25">
      <c r="AB556" s="86"/>
      <c r="AD556" s="100"/>
    </row>
    <row r="557" spans="28:30" x14ac:dyDescent="0.25">
      <c r="AB557" s="86"/>
      <c r="AD557" s="100"/>
    </row>
    <row r="558" spans="28:30" x14ac:dyDescent="0.25">
      <c r="AB558" s="86"/>
      <c r="AD558" s="100"/>
    </row>
    <row r="559" spans="28:30" x14ac:dyDescent="0.25">
      <c r="AB559" s="86"/>
      <c r="AD559" s="100"/>
    </row>
    <row r="560" spans="28:30" x14ac:dyDescent="0.25">
      <c r="AB560" s="86"/>
      <c r="AD560" s="100"/>
    </row>
    <row r="561" spans="28:30" x14ac:dyDescent="0.25">
      <c r="AB561" s="86"/>
      <c r="AD561" s="100"/>
    </row>
    <row r="562" spans="28:30" x14ac:dyDescent="0.25">
      <c r="AB562" s="86"/>
      <c r="AD562" s="100"/>
    </row>
    <row r="563" spans="28:30" x14ac:dyDescent="0.25">
      <c r="AB563" s="86"/>
      <c r="AD563" s="100"/>
    </row>
    <row r="564" spans="28:30" x14ac:dyDescent="0.25">
      <c r="AB564" s="86"/>
      <c r="AD564" s="100"/>
    </row>
    <row r="565" spans="28:30" x14ac:dyDescent="0.25">
      <c r="AB565" s="86"/>
      <c r="AD565" s="100"/>
    </row>
    <row r="566" spans="28:30" x14ac:dyDescent="0.25">
      <c r="AB566" s="86"/>
    </row>
    <row r="567" spans="28:30" x14ac:dyDescent="0.25">
      <c r="AB567" s="86"/>
      <c r="AD567" s="100"/>
    </row>
    <row r="568" spans="28:30" x14ac:dyDescent="0.25">
      <c r="AB568" s="86"/>
      <c r="AD568" s="100"/>
    </row>
    <row r="569" spans="28:30" x14ac:dyDescent="0.25">
      <c r="AB569" s="86"/>
      <c r="AD569" s="100"/>
    </row>
    <row r="570" spans="28:30" x14ac:dyDescent="0.25">
      <c r="AB570" s="86"/>
      <c r="AD570" s="100"/>
    </row>
    <row r="571" spans="28:30" x14ac:dyDescent="0.25">
      <c r="AB571" s="86"/>
      <c r="AD571" s="100"/>
    </row>
    <row r="572" spans="28:30" x14ac:dyDescent="0.25">
      <c r="AB572" s="86"/>
      <c r="AD572" s="100"/>
    </row>
    <row r="573" spans="28:30" x14ac:dyDescent="0.25">
      <c r="AB573" s="86"/>
      <c r="AD573" s="100"/>
    </row>
    <row r="574" spans="28:30" x14ac:dyDescent="0.25">
      <c r="AB574" s="86"/>
      <c r="AD574" s="100"/>
    </row>
    <row r="575" spans="28:30" x14ac:dyDescent="0.25">
      <c r="AB575" s="86"/>
      <c r="AD575" s="100"/>
    </row>
    <row r="576" spans="28:30" x14ac:dyDescent="0.25">
      <c r="AB576" s="86"/>
      <c r="AD576" s="100"/>
    </row>
    <row r="577" spans="28:30" x14ac:dyDescent="0.25">
      <c r="AB577" s="86"/>
      <c r="AD577" s="100"/>
    </row>
    <row r="578" spans="28:30" x14ac:dyDescent="0.25">
      <c r="AB578" s="86"/>
      <c r="AD578" s="100"/>
    </row>
    <row r="579" spans="28:30" x14ac:dyDescent="0.25">
      <c r="AB579" s="86"/>
      <c r="AD579" s="100"/>
    </row>
    <row r="580" spans="28:30" x14ac:dyDescent="0.25">
      <c r="AB580" s="86"/>
      <c r="AD580" s="100"/>
    </row>
    <row r="581" spans="28:30" x14ac:dyDescent="0.25">
      <c r="AB581" s="86"/>
      <c r="AD581" s="100"/>
    </row>
    <row r="582" spans="28:30" x14ac:dyDescent="0.25">
      <c r="AB582" s="86"/>
      <c r="AD582" s="100"/>
    </row>
    <row r="583" spans="28:30" x14ac:dyDescent="0.25">
      <c r="AB583" s="86"/>
      <c r="AD583" s="100"/>
    </row>
    <row r="584" spans="28:30" x14ac:dyDescent="0.25">
      <c r="AB584" s="86"/>
      <c r="AD584" s="100"/>
    </row>
    <row r="585" spans="28:30" x14ac:dyDescent="0.25">
      <c r="AB585" s="86"/>
      <c r="AD585" s="100"/>
    </row>
    <row r="586" spans="28:30" x14ac:dyDescent="0.25">
      <c r="AB586" s="86"/>
      <c r="AD586" s="100"/>
    </row>
    <row r="587" spans="28:30" x14ac:dyDescent="0.25">
      <c r="AB587" s="86"/>
      <c r="AD587" s="100"/>
    </row>
    <row r="588" spans="28:30" x14ac:dyDescent="0.25">
      <c r="AB588" s="86"/>
      <c r="AD588" s="100"/>
    </row>
    <row r="589" spans="28:30" x14ac:dyDescent="0.25">
      <c r="AB589" s="86"/>
      <c r="AD589" s="100"/>
    </row>
    <row r="590" spans="28:30" x14ac:dyDescent="0.25">
      <c r="AB590" s="86"/>
      <c r="AD590" s="100"/>
    </row>
    <row r="591" spans="28:30" x14ac:dyDescent="0.25">
      <c r="AB591" s="86"/>
      <c r="AD591" s="100"/>
    </row>
    <row r="592" spans="28:30" x14ac:dyDescent="0.25">
      <c r="AB592" s="86"/>
      <c r="AD592" s="100"/>
    </row>
    <row r="593" spans="28:30" x14ac:dyDescent="0.25">
      <c r="AB593" s="86"/>
      <c r="AD593" s="100"/>
    </row>
    <row r="594" spans="28:30" x14ac:dyDescent="0.25">
      <c r="AB594" s="86"/>
      <c r="AD594" s="100"/>
    </row>
    <row r="595" spans="28:30" x14ac:dyDescent="0.25">
      <c r="AB595" s="86"/>
      <c r="AD595" s="100"/>
    </row>
    <row r="596" spans="28:30" x14ac:dyDescent="0.25">
      <c r="AB596" s="86"/>
      <c r="AD596" s="100"/>
    </row>
    <row r="597" spans="28:30" x14ac:dyDescent="0.25">
      <c r="AB597" s="86"/>
      <c r="AD597" s="100"/>
    </row>
    <row r="598" spans="28:30" x14ac:dyDescent="0.25">
      <c r="AB598" s="86"/>
      <c r="AD598" s="100"/>
    </row>
    <row r="599" spans="28:30" x14ac:dyDescent="0.25">
      <c r="AB599" s="86"/>
      <c r="AD599" s="100"/>
    </row>
    <row r="600" spans="28:30" x14ac:dyDescent="0.25">
      <c r="AB600" s="86"/>
      <c r="AD600" s="100"/>
    </row>
    <row r="601" spans="28:30" x14ac:dyDescent="0.25">
      <c r="AB601" s="86"/>
      <c r="AD601" s="100"/>
    </row>
    <row r="602" spans="28:30" x14ac:dyDescent="0.25">
      <c r="AB602" s="86"/>
      <c r="AD602" s="100"/>
    </row>
    <row r="603" spans="28:30" x14ac:dyDescent="0.25">
      <c r="AB603" s="86"/>
      <c r="AD603" s="100"/>
    </row>
    <row r="604" spans="28:30" x14ac:dyDescent="0.25">
      <c r="AB604" s="86"/>
      <c r="AD604" s="100"/>
    </row>
    <row r="605" spans="28:30" x14ac:dyDescent="0.25">
      <c r="AB605" s="86"/>
      <c r="AD605" s="100"/>
    </row>
    <row r="606" spans="28:30" x14ac:dyDescent="0.25">
      <c r="AB606" s="86"/>
      <c r="AD606" s="100"/>
    </row>
    <row r="607" spans="28:30" x14ac:dyDescent="0.25">
      <c r="AB607" s="86"/>
      <c r="AD607" s="100"/>
    </row>
    <row r="608" spans="28:30" x14ac:dyDescent="0.25">
      <c r="AB608" s="86"/>
      <c r="AD608" s="100"/>
    </row>
    <row r="609" spans="28:30" x14ac:dyDescent="0.25">
      <c r="AB609" s="86"/>
      <c r="AD609" s="100"/>
    </row>
    <row r="610" spans="28:30" x14ac:dyDescent="0.25">
      <c r="AB610" s="86"/>
      <c r="AD610" s="100"/>
    </row>
    <row r="611" spans="28:30" x14ac:dyDescent="0.25">
      <c r="AB611" s="86"/>
      <c r="AD611" s="100"/>
    </row>
    <row r="612" spans="28:30" x14ac:dyDescent="0.25">
      <c r="AB612" s="86"/>
      <c r="AD612" s="100"/>
    </row>
    <row r="613" spans="28:30" x14ac:dyDescent="0.25">
      <c r="AB613" s="86"/>
      <c r="AD613" s="100"/>
    </row>
    <row r="614" spans="28:30" x14ac:dyDescent="0.25">
      <c r="AB614" s="86"/>
      <c r="AD614" s="100"/>
    </row>
    <row r="615" spans="28:30" x14ac:dyDescent="0.25">
      <c r="AB615" s="86"/>
      <c r="AD615" s="100"/>
    </row>
    <row r="616" spans="28:30" x14ac:dyDescent="0.25">
      <c r="AB616" s="86"/>
      <c r="AD616" s="100"/>
    </row>
    <row r="617" spans="28:30" x14ac:dyDescent="0.25">
      <c r="AB617" s="86"/>
      <c r="AD617" s="100"/>
    </row>
    <row r="618" spans="28:30" x14ac:dyDescent="0.25">
      <c r="AB618" s="86"/>
      <c r="AD618" s="100"/>
    </row>
    <row r="619" spans="28:30" x14ac:dyDescent="0.25">
      <c r="AB619" s="86"/>
      <c r="AD619" s="100"/>
    </row>
    <row r="620" spans="28:30" x14ac:dyDescent="0.25">
      <c r="AB620" s="86"/>
      <c r="AD620" s="100"/>
    </row>
    <row r="621" spans="28:30" x14ac:dyDescent="0.25">
      <c r="AB621" s="86"/>
      <c r="AD621" s="100"/>
    </row>
    <row r="622" spans="28:30" x14ac:dyDescent="0.25">
      <c r="AB622" s="86"/>
      <c r="AD622" s="100"/>
    </row>
    <row r="623" spans="28:30" x14ac:dyDescent="0.25">
      <c r="AB623" s="86"/>
      <c r="AD623" s="100"/>
    </row>
    <row r="624" spans="28:30" x14ac:dyDescent="0.25">
      <c r="AB624" s="86"/>
      <c r="AD624" s="100"/>
    </row>
    <row r="625" spans="28:30" x14ac:dyDescent="0.25">
      <c r="AB625" s="86"/>
      <c r="AD625" s="100"/>
    </row>
    <row r="626" spans="28:30" x14ac:dyDescent="0.25">
      <c r="AB626" s="86"/>
      <c r="AD626" s="100"/>
    </row>
    <row r="627" spans="28:30" x14ac:dyDescent="0.25">
      <c r="AB627" s="86"/>
      <c r="AD627" s="100"/>
    </row>
    <row r="628" spans="28:30" x14ac:dyDescent="0.25">
      <c r="AB628" s="86"/>
      <c r="AD628" s="100"/>
    </row>
    <row r="629" spans="28:30" x14ac:dyDescent="0.25">
      <c r="AB629" s="86"/>
      <c r="AD629" s="100"/>
    </row>
    <row r="630" spans="28:30" x14ac:dyDescent="0.25">
      <c r="AB630" s="86"/>
      <c r="AD630" s="100"/>
    </row>
    <row r="631" spans="28:30" x14ac:dyDescent="0.25">
      <c r="AB631" s="86"/>
      <c r="AD631" s="100"/>
    </row>
    <row r="632" spans="28:30" x14ac:dyDescent="0.25">
      <c r="AB632" s="86"/>
      <c r="AD632" s="100"/>
    </row>
    <row r="633" spans="28:30" x14ac:dyDescent="0.25">
      <c r="AB633" s="86"/>
      <c r="AD633" s="100"/>
    </row>
    <row r="634" spans="28:30" x14ac:dyDescent="0.25">
      <c r="AB634" s="86"/>
      <c r="AD634" s="100"/>
    </row>
    <row r="635" spans="28:30" x14ac:dyDescent="0.25">
      <c r="AB635" s="86"/>
      <c r="AD635" s="100"/>
    </row>
    <row r="636" spans="28:30" x14ac:dyDescent="0.25">
      <c r="AB636" s="86"/>
      <c r="AD636" s="100"/>
    </row>
    <row r="637" spans="28:30" x14ac:dyDescent="0.25">
      <c r="AB637" s="86"/>
      <c r="AD637" s="100"/>
    </row>
    <row r="638" spans="28:30" x14ac:dyDescent="0.25">
      <c r="AB638" s="86"/>
      <c r="AD638" s="100"/>
    </row>
    <row r="639" spans="28:30" x14ac:dyDescent="0.25">
      <c r="AB639" s="86"/>
      <c r="AD639" s="100"/>
    </row>
    <row r="640" spans="28:30" x14ac:dyDescent="0.25">
      <c r="AB640" s="86"/>
      <c r="AD640" s="100"/>
    </row>
    <row r="641" spans="28:30" x14ac:dyDescent="0.25">
      <c r="AB641" s="86"/>
      <c r="AD641" s="100"/>
    </row>
    <row r="642" spans="28:30" x14ac:dyDescent="0.25">
      <c r="AB642" s="86"/>
      <c r="AD642" s="100"/>
    </row>
    <row r="643" spans="28:30" x14ac:dyDescent="0.25">
      <c r="AB643" s="86"/>
      <c r="AD643" s="100"/>
    </row>
    <row r="644" spans="28:30" x14ac:dyDescent="0.25">
      <c r="AB644" s="86"/>
      <c r="AD644" s="100"/>
    </row>
    <row r="645" spans="28:30" x14ac:dyDescent="0.25">
      <c r="AB645" s="86"/>
      <c r="AD645" s="100"/>
    </row>
    <row r="646" spans="28:30" x14ac:dyDescent="0.25">
      <c r="AB646" s="86"/>
      <c r="AD646" s="100"/>
    </row>
    <row r="647" spans="28:30" x14ac:dyDescent="0.25">
      <c r="AB647" s="86"/>
      <c r="AD647" s="100"/>
    </row>
    <row r="648" spans="28:30" x14ac:dyDescent="0.25">
      <c r="AB648" s="86"/>
      <c r="AD648" s="100"/>
    </row>
    <row r="649" spans="28:30" x14ac:dyDescent="0.25">
      <c r="AB649" s="86"/>
      <c r="AD649" s="100"/>
    </row>
    <row r="650" spans="28:30" x14ac:dyDescent="0.25">
      <c r="AB650" s="86"/>
      <c r="AD650" s="100"/>
    </row>
    <row r="651" spans="28:30" x14ac:dyDescent="0.25">
      <c r="AB651" s="86"/>
      <c r="AD651" s="100"/>
    </row>
    <row r="652" spans="28:30" x14ac:dyDescent="0.25">
      <c r="AB652" s="86"/>
      <c r="AD652" s="100"/>
    </row>
    <row r="653" spans="28:30" x14ac:dyDescent="0.25">
      <c r="AB653" s="86"/>
      <c r="AD653" s="100"/>
    </row>
    <row r="654" spans="28:30" x14ac:dyDescent="0.25">
      <c r="AB654" s="86"/>
      <c r="AD654" s="100"/>
    </row>
    <row r="655" spans="28:30" x14ac:dyDescent="0.25">
      <c r="AB655" s="86"/>
      <c r="AD655" s="100"/>
    </row>
    <row r="656" spans="28:30" x14ac:dyDescent="0.25">
      <c r="AB656" s="86"/>
      <c r="AD656" s="100"/>
    </row>
    <row r="657" spans="28:30" x14ac:dyDescent="0.25">
      <c r="AB657" s="86"/>
      <c r="AD657" s="100"/>
    </row>
    <row r="658" spans="28:30" x14ac:dyDescent="0.25">
      <c r="AB658" s="86"/>
      <c r="AD658" s="100"/>
    </row>
    <row r="659" spans="28:30" x14ac:dyDescent="0.25">
      <c r="AB659" s="86"/>
      <c r="AD659" s="100"/>
    </row>
    <row r="660" spans="28:30" x14ac:dyDescent="0.25">
      <c r="AB660" s="86"/>
      <c r="AD660" s="100"/>
    </row>
    <row r="661" spans="28:30" x14ac:dyDescent="0.25">
      <c r="AB661" s="86"/>
      <c r="AD661" s="100"/>
    </row>
    <row r="662" spans="28:30" x14ac:dyDescent="0.25">
      <c r="AB662" s="86"/>
      <c r="AD662" s="100"/>
    </row>
    <row r="663" spans="28:30" x14ac:dyDescent="0.25">
      <c r="AB663" s="86"/>
      <c r="AD663" s="100"/>
    </row>
    <row r="664" spans="28:30" x14ac:dyDescent="0.25">
      <c r="AB664" s="86"/>
      <c r="AD664" s="100"/>
    </row>
    <row r="665" spans="28:30" x14ac:dyDescent="0.25">
      <c r="AB665" s="86"/>
      <c r="AD665" s="100"/>
    </row>
    <row r="666" spans="28:30" x14ac:dyDescent="0.25">
      <c r="AB666" s="86"/>
      <c r="AD666" s="100"/>
    </row>
    <row r="667" spans="28:30" x14ac:dyDescent="0.25">
      <c r="AB667" s="86"/>
      <c r="AD667" s="100"/>
    </row>
    <row r="668" spans="28:30" x14ac:dyDescent="0.25">
      <c r="AB668" s="86"/>
      <c r="AD668" s="100"/>
    </row>
    <row r="669" spans="28:30" x14ac:dyDescent="0.25">
      <c r="AB669" s="86"/>
      <c r="AD669" s="100"/>
    </row>
    <row r="670" spans="28:30" x14ac:dyDescent="0.25">
      <c r="AB670" s="86"/>
      <c r="AD670" s="100"/>
    </row>
    <row r="671" spans="28:30" x14ac:dyDescent="0.25">
      <c r="AB671" s="86"/>
      <c r="AD671" s="100"/>
    </row>
    <row r="672" spans="28:30" x14ac:dyDescent="0.25">
      <c r="AB672" s="86"/>
      <c r="AD672" s="100"/>
    </row>
    <row r="673" spans="28:30" x14ac:dyDescent="0.25">
      <c r="AB673" s="86"/>
      <c r="AD673" s="100"/>
    </row>
    <row r="674" spans="28:30" x14ac:dyDescent="0.25">
      <c r="AB674" s="86"/>
      <c r="AD674" s="100"/>
    </row>
    <row r="675" spans="28:30" x14ac:dyDescent="0.25">
      <c r="AB675" s="86"/>
      <c r="AD675" s="100"/>
    </row>
    <row r="676" spans="28:30" x14ac:dyDescent="0.25">
      <c r="AB676" s="86"/>
      <c r="AD676" s="100"/>
    </row>
    <row r="677" spans="28:30" x14ac:dyDescent="0.25">
      <c r="AB677" s="86"/>
      <c r="AD677" s="100"/>
    </row>
    <row r="678" spans="28:30" x14ac:dyDescent="0.25">
      <c r="AB678" s="86"/>
      <c r="AD678" s="100"/>
    </row>
    <row r="679" spans="28:30" x14ac:dyDescent="0.25">
      <c r="AB679" s="86"/>
      <c r="AD679" s="100"/>
    </row>
    <row r="680" spans="28:30" x14ac:dyDescent="0.25">
      <c r="AB680" s="86"/>
      <c r="AD680" s="100"/>
    </row>
    <row r="681" spans="28:30" x14ac:dyDescent="0.25">
      <c r="AB681" s="86"/>
      <c r="AD681" s="100"/>
    </row>
    <row r="682" spans="28:30" x14ac:dyDescent="0.25">
      <c r="AB682" s="86"/>
      <c r="AD682" s="100"/>
    </row>
    <row r="683" spans="28:30" x14ac:dyDescent="0.25">
      <c r="AB683" s="86"/>
      <c r="AD683" s="100"/>
    </row>
    <row r="684" spans="28:30" x14ac:dyDescent="0.25">
      <c r="AB684" s="86"/>
      <c r="AD684" s="100"/>
    </row>
    <row r="685" spans="28:30" x14ac:dyDescent="0.25">
      <c r="AB685" s="86"/>
      <c r="AD685" s="100"/>
    </row>
    <row r="686" spans="28:30" x14ac:dyDescent="0.25">
      <c r="AB686" s="86"/>
      <c r="AD686" s="100"/>
    </row>
    <row r="687" spans="28:30" x14ac:dyDescent="0.25">
      <c r="AB687" s="86"/>
      <c r="AD687" s="100"/>
    </row>
    <row r="688" spans="28:30" x14ac:dyDescent="0.25">
      <c r="AB688" s="86"/>
      <c r="AD688" s="100"/>
    </row>
    <row r="689" spans="28:30" x14ac:dyDescent="0.25">
      <c r="AB689" s="86"/>
      <c r="AD689" s="100"/>
    </row>
    <row r="690" spans="28:30" x14ac:dyDescent="0.25">
      <c r="AB690" s="86"/>
      <c r="AD690" s="100"/>
    </row>
    <row r="691" spans="28:30" x14ac:dyDescent="0.25">
      <c r="AB691" s="86"/>
      <c r="AD691" s="100"/>
    </row>
    <row r="692" spans="28:30" x14ac:dyDescent="0.25">
      <c r="AB692" s="86"/>
      <c r="AD692" s="100"/>
    </row>
    <row r="693" spans="28:30" x14ac:dyDescent="0.25">
      <c r="AB693" s="86"/>
      <c r="AD693" s="100"/>
    </row>
    <row r="694" spans="28:30" x14ac:dyDescent="0.25">
      <c r="AB694" s="86"/>
      <c r="AD694" s="100"/>
    </row>
    <row r="695" spans="28:30" x14ac:dyDescent="0.25">
      <c r="AB695" s="86"/>
      <c r="AD695" s="100"/>
    </row>
    <row r="696" spans="28:30" x14ac:dyDescent="0.25">
      <c r="AB696" s="86"/>
      <c r="AD696" s="100"/>
    </row>
    <row r="697" spans="28:30" x14ac:dyDescent="0.25">
      <c r="AB697" s="86"/>
      <c r="AD697" s="100"/>
    </row>
    <row r="698" spans="28:30" x14ac:dyDescent="0.25">
      <c r="AB698" s="86"/>
      <c r="AD698" s="100"/>
    </row>
    <row r="699" spans="28:30" x14ac:dyDescent="0.25">
      <c r="AB699" s="86"/>
      <c r="AD699" s="100"/>
    </row>
    <row r="700" spans="28:30" x14ac:dyDescent="0.25">
      <c r="AB700" s="86"/>
      <c r="AD700" s="100"/>
    </row>
    <row r="701" spans="28:30" x14ac:dyDescent="0.25">
      <c r="AB701" s="86"/>
      <c r="AD701" s="100"/>
    </row>
    <row r="702" spans="28:30" x14ac:dyDescent="0.25">
      <c r="AB702" s="86"/>
      <c r="AD702" s="100"/>
    </row>
    <row r="703" spans="28:30" x14ac:dyDescent="0.25">
      <c r="AB703" s="86"/>
      <c r="AD703" s="100"/>
    </row>
    <row r="704" spans="28:30" x14ac:dyDescent="0.25">
      <c r="AB704" s="86"/>
      <c r="AD704" s="100"/>
    </row>
    <row r="705" spans="28:30" x14ac:dyDescent="0.25">
      <c r="AB705" s="86"/>
      <c r="AD705" s="100"/>
    </row>
    <row r="706" spans="28:30" x14ac:dyDescent="0.25">
      <c r="AB706" s="86"/>
      <c r="AD706" s="100"/>
    </row>
    <row r="707" spans="28:30" x14ac:dyDescent="0.25">
      <c r="AB707" s="86"/>
      <c r="AD707" s="100"/>
    </row>
    <row r="708" spans="28:30" x14ac:dyDescent="0.25">
      <c r="AB708" s="86"/>
      <c r="AD708" s="100"/>
    </row>
    <row r="709" spans="28:30" x14ac:dyDescent="0.25">
      <c r="AB709" s="86"/>
      <c r="AD709" s="100"/>
    </row>
    <row r="710" spans="28:30" x14ac:dyDescent="0.25">
      <c r="AB710" s="86"/>
      <c r="AD710" s="100"/>
    </row>
    <row r="711" spans="28:30" x14ac:dyDescent="0.25">
      <c r="AB711" s="86"/>
      <c r="AD711" s="100"/>
    </row>
    <row r="712" spans="28:30" x14ac:dyDescent="0.25">
      <c r="AB712" s="86"/>
      <c r="AD712" s="100"/>
    </row>
    <row r="713" spans="28:30" x14ac:dyDescent="0.25">
      <c r="AB713" s="86"/>
      <c r="AD713" s="100"/>
    </row>
    <row r="714" spans="28:30" x14ac:dyDescent="0.25">
      <c r="AB714" s="86"/>
      <c r="AD714" s="100"/>
    </row>
    <row r="715" spans="28:30" x14ac:dyDescent="0.25">
      <c r="AB715" s="86"/>
      <c r="AD715" s="100"/>
    </row>
    <row r="716" spans="28:30" x14ac:dyDescent="0.25">
      <c r="AB716" s="86"/>
      <c r="AD716" s="100"/>
    </row>
    <row r="717" spans="28:30" x14ac:dyDescent="0.25">
      <c r="AB717" s="86"/>
      <c r="AD717" s="100"/>
    </row>
    <row r="718" spans="28:30" x14ac:dyDescent="0.25">
      <c r="AB718" s="86"/>
      <c r="AD718" s="100"/>
    </row>
    <row r="719" spans="28:30" x14ac:dyDescent="0.25">
      <c r="AB719" s="86"/>
      <c r="AD719" s="100"/>
    </row>
    <row r="720" spans="28:30" x14ac:dyDescent="0.25">
      <c r="AB720" s="86"/>
      <c r="AD720" s="100"/>
    </row>
    <row r="721" spans="28:30" x14ac:dyDescent="0.25">
      <c r="AB721" s="86"/>
      <c r="AD721" s="100"/>
    </row>
    <row r="722" spans="28:30" x14ac:dyDescent="0.25">
      <c r="AB722" s="86"/>
      <c r="AD722" s="100"/>
    </row>
    <row r="723" spans="28:30" x14ac:dyDescent="0.25">
      <c r="AB723" s="86"/>
      <c r="AD723" s="100"/>
    </row>
    <row r="724" spans="28:30" x14ac:dyDescent="0.25">
      <c r="AB724" s="86"/>
      <c r="AD724" s="100"/>
    </row>
    <row r="725" spans="28:30" x14ac:dyDescent="0.25">
      <c r="AB725" s="86"/>
      <c r="AD725" s="100"/>
    </row>
    <row r="726" spans="28:30" x14ac:dyDescent="0.25">
      <c r="AB726" s="86"/>
      <c r="AD726" s="100"/>
    </row>
    <row r="727" spans="28:30" x14ac:dyDescent="0.25">
      <c r="AB727" s="86"/>
      <c r="AD727" s="100"/>
    </row>
    <row r="728" spans="28:30" x14ac:dyDescent="0.25">
      <c r="AB728" s="86"/>
      <c r="AD728" s="100"/>
    </row>
    <row r="729" spans="28:30" x14ac:dyDescent="0.25">
      <c r="AB729" s="86"/>
      <c r="AD729" s="100"/>
    </row>
    <row r="730" spans="28:30" x14ac:dyDescent="0.25">
      <c r="AB730" s="86"/>
      <c r="AD730" s="100"/>
    </row>
    <row r="731" spans="28:30" x14ac:dyDescent="0.25">
      <c r="AB731" s="86"/>
      <c r="AD731" s="100"/>
    </row>
    <row r="732" spans="28:30" x14ac:dyDescent="0.25">
      <c r="AB732" s="86"/>
      <c r="AD732" s="100"/>
    </row>
    <row r="733" spans="28:30" x14ac:dyDescent="0.25">
      <c r="AB733" s="86"/>
      <c r="AD733" s="100"/>
    </row>
    <row r="734" spans="28:30" x14ac:dyDescent="0.25">
      <c r="AB734" s="86"/>
      <c r="AD734" s="100"/>
    </row>
    <row r="735" spans="28:30" x14ac:dyDescent="0.25">
      <c r="AB735" s="86"/>
      <c r="AD735" s="100"/>
    </row>
    <row r="736" spans="28:30" x14ac:dyDescent="0.25">
      <c r="AB736" s="86"/>
      <c r="AD736" s="100"/>
    </row>
    <row r="737" spans="28:30" x14ac:dyDescent="0.25">
      <c r="AB737" s="86"/>
      <c r="AD737" s="100"/>
    </row>
    <row r="738" spans="28:30" x14ac:dyDescent="0.25">
      <c r="AB738" s="86"/>
      <c r="AD738" s="100"/>
    </row>
    <row r="739" spans="28:30" x14ac:dyDescent="0.25">
      <c r="AB739" s="86"/>
      <c r="AD739" s="100"/>
    </row>
    <row r="740" spans="28:30" x14ac:dyDescent="0.25">
      <c r="AB740" s="86"/>
      <c r="AD740" s="100"/>
    </row>
    <row r="741" spans="28:30" x14ac:dyDescent="0.25">
      <c r="AB741" s="86"/>
      <c r="AD741" s="100"/>
    </row>
    <row r="742" spans="28:30" x14ac:dyDescent="0.25">
      <c r="AB742" s="86"/>
      <c r="AD742" s="100"/>
    </row>
    <row r="743" spans="28:30" x14ac:dyDescent="0.25">
      <c r="AB743" s="86"/>
      <c r="AD743" s="100"/>
    </row>
    <row r="744" spans="28:30" x14ac:dyDescent="0.25">
      <c r="AB744" s="86"/>
      <c r="AD744" s="100"/>
    </row>
    <row r="745" spans="28:30" x14ac:dyDescent="0.25">
      <c r="AB745" s="86"/>
      <c r="AD745" s="100"/>
    </row>
    <row r="746" spans="28:30" x14ac:dyDescent="0.25">
      <c r="AB746" s="86"/>
      <c r="AD746" s="100"/>
    </row>
    <row r="747" spans="28:30" x14ac:dyDescent="0.25">
      <c r="AB747" s="86"/>
      <c r="AD747" s="100"/>
    </row>
    <row r="748" spans="28:30" x14ac:dyDescent="0.25">
      <c r="AB748" s="86"/>
      <c r="AD748" s="100"/>
    </row>
    <row r="749" spans="28:30" x14ac:dyDescent="0.25">
      <c r="AB749" s="86"/>
      <c r="AD749" s="100"/>
    </row>
    <row r="750" spans="28:30" x14ac:dyDescent="0.25">
      <c r="AB750" s="86"/>
      <c r="AD750" s="100"/>
    </row>
    <row r="751" spans="28:30" x14ac:dyDescent="0.25">
      <c r="AB751" s="86"/>
      <c r="AD751" s="100"/>
    </row>
    <row r="752" spans="28:30" x14ac:dyDescent="0.25">
      <c r="AB752" s="86"/>
      <c r="AD752" s="100"/>
    </row>
    <row r="753" spans="28:30" x14ac:dyDescent="0.25">
      <c r="AB753" s="86"/>
      <c r="AD753" s="100"/>
    </row>
    <row r="754" spans="28:30" x14ac:dyDescent="0.25">
      <c r="AB754" s="86"/>
      <c r="AD754" s="100"/>
    </row>
    <row r="755" spans="28:30" x14ac:dyDescent="0.25">
      <c r="AB755" s="86"/>
      <c r="AD755" s="100"/>
    </row>
    <row r="756" spans="28:30" x14ac:dyDescent="0.25">
      <c r="AB756" s="86"/>
      <c r="AD756" s="100"/>
    </row>
    <row r="757" spans="28:30" x14ac:dyDescent="0.25">
      <c r="AB757" s="86"/>
      <c r="AD757" s="100"/>
    </row>
    <row r="758" spans="28:30" x14ac:dyDescent="0.25">
      <c r="AB758" s="86"/>
      <c r="AD758" s="100"/>
    </row>
    <row r="759" spans="28:30" x14ac:dyDescent="0.25">
      <c r="AB759" s="86"/>
      <c r="AD759" s="100"/>
    </row>
    <row r="760" spans="28:30" x14ac:dyDescent="0.25">
      <c r="AB760" s="86"/>
      <c r="AD760" s="100"/>
    </row>
    <row r="761" spans="28:30" x14ac:dyDescent="0.25">
      <c r="AB761" s="86"/>
      <c r="AD761" s="100"/>
    </row>
    <row r="762" spans="28:30" x14ac:dyDescent="0.25">
      <c r="AB762" s="86"/>
      <c r="AD762" s="100"/>
    </row>
    <row r="763" spans="28:30" x14ac:dyDescent="0.25">
      <c r="AB763" s="86"/>
      <c r="AD763" s="100"/>
    </row>
    <row r="764" spans="28:30" x14ac:dyDescent="0.25">
      <c r="AB764" s="86"/>
      <c r="AD764" s="100"/>
    </row>
    <row r="765" spans="28:30" x14ac:dyDescent="0.25">
      <c r="AB765" s="86"/>
      <c r="AD765" s="100"/>
    </row>
    <row r="766" spans="28:30" x14ac:dyDescent="0.25">
      <c r="AB766" s="86"/>
    </row>
    <row r="767" spans="28:30" x14ac:dyDescent="0.25">
      <c r="AB767" s="86"/>
      <c r="AD767" s="100"/>
    </row>
    <row r="768" spans="28:30" x14ac:dyDescent="0.25">
      <c r="AB768" s="86"/>
      <c r="AD768" s="100"/>
    </row>
    <row r="769" spans="28:30" x14ac:dyDescent="0.25">
      <c r="AB769" s="86"/>
      <c r="AD769" s="100"/>
    </row>
    <row r="770" spans="28:30" x14ac:dyDescent="0.25">
      <c r="AB770" s="86"/>
      <c r="AD770" s="100"/>
    </row>
    <row r="771" spans="28:30" x14ac:dyDescent="0.25">
      <c r="AB771" s="86"/>
      <c r="AD771" s="100"/>
    </row>
    <row r="772" spans="28:30" x14ac:dyDescent="0.25">
      <c r="AB772" s="86"/>
      <c r="AD772" s="100"/>
    </row>
    <row r="773" spans="28:30" x14ac:dyDescent="0.25">
      <c r="AB773" s="86"/>
      <c r="AD773" s="100"/>
    </row>
    <row r="774" spans="28:30" x14ac:dyDescent="0.25">
      <c r="AB774" s="86"/>
      <c r="AD774" s="100"/>
    </row>
    <row r="775" spans="28:30" x14ac:dyDescent="0.25">
      <c r="AB775" s="86"/>
      <c r="AD775" s="100"/>
    </row>
    <row r="776" spans="28:30" x14ac:dyDescent="0.25">
      <c r="AB776" s="86"/>
      <c r="AD776" s="100"/>
    </row>
    <row r="777" spans="28:30" x14ac:dyDescent="0.25">
      <c r="AB777" s="86"/>
      <c r="AD777" s="100"/>
    </row>
    <row r="778" spans="28:30" x14ac:dyDescent="0.25">
      <c r="AB778" s="86"/>
      <c r="AD778" s="100"/>
    </row>
    <row r="779" spans="28:30" x14ac:dyDescent="0.25">
      <c r="AB779" s="86"/>
      <c r="AD779" s="100"/>
    </row>
    <row r="780" spans="28:30" x14ac:dyDescent="0.25">
      <c r="AB780" s="86"/>
      <c r="AD780" s="100"/>
    </row>
    <row r="781" spans="28:30" x14ac:dyDescent="0.25">
      <c r="AB781" s="86"/>
      <c r="AD781" s="100"/>
    </row>
    <row r="782" spans="28:30" x14ac:dyDescent="0.25">
      <c r="AB782" s="86"/>
      <c r="AD782" s="100"/>
    </row>
    <row r="783" spans="28:30" x14ac:dyDescent="0.25">
      <c r="AB783" s="86"/>
      <c r="AD783" s="100"/>
    </row>
    <row r="784" spans="28:30" x14ac:dyDescent="0.25">
      <c r="AB784" s="86"/>
      <c r="AD784" s="100"/>
    </row>
    <row r="785" spans="28:30" x14ac:dyDescent="0.25">
      <c r="AB785" s="86"/>
      <c r="AD785" s="100"/>
    </row>
    <row r="786" spans="28:30" x14ac:dyDescent="0.25">
      <c r="AB786" s="86"/>
      <c r="AD786" s="100"/>
    </row>
    <row r="787" spans="28:30" x14ac:dyDescent="0.25">
      <c r="AB787" s="86"/>
      <c r="AD787" s="100"/>
    </row>
    <row r="788" spans="28:30" x14ac:dyDescent="0.25">
      <c r="AB788" s="86"/>
      <c r="AD788" s="100"/>
    </row>
    <row r="789" spans="28:30" x14ac:dyDescent="0.25">
      <c r="AB789" s="86"/>
      <c r="AD789" s="100"/>
    </row>
    <row r="790" spans="28:30" x14ac:dyDescent="0.25">
      <c r="AB790" s="86"/>
      <c r="AD790" s="100"/>
    </row>
    <row r="791" spans="28:30" x14ac:dyDescent="0.25">
      <c r="AB791" s="86"/>
      <c r="AD791" s="100"/>
    </row>
    <row r="792" spans="28:30" x14ac:dyDescent="0.25">
      <c r="AB792" s="86"/>
      <c r="AD792" s="100"/>
    </row>
    <row r="793" spans="28:30" x14ac:dyDescent="0.25">
      <c r="AB793" s="86"/>
      <c r="AD793" s="100"/>
    </row>
    <row r="794" spans="28:30" x14ac:dyDescent="0.25">
      <c r="AB794" s="86"/>
      <c r="AD794" s="100"/>
    </row>
    <row r="795" spans="28:30" x14ac:dyDescent="0.25">
      <c r="AB795" s="86"/>
      <c r="AD795" s="100"/>
    </row>
    <row r="796" spans="28:30" x14ac:dyDescent="0.25">
      <c r="AB796" s="86"/>
      <c r="AD796" s="100"/>
    </row>
    <row r="797" spans="28:30" x14ac:dyDescent="0.25">
      <c r="AB797" s="86"/>
      <c r="AD797" s="100"/>
    </row>
    <row r="798" spans="28:30" x14ac:dyDescent="0.25">
      <c r="AB798" s="86"/>
      <c r="AD798" s="100"/>
    </row>
    <row r="799" spans="28:30" x14ac:dyDescent="0.25">
      <c r="AB799" s="86"/>
      <c r="AD799" s="100"/>
    </row>
    <row r="800" spans="28:30" x14ac:dyDescent="0.25">
      <c r="AB800" s="86"/>
      <c r="AD800" s="100"/>
    </row>
    <row r="801" spans="28:30" x14ac:dyDescent="0.25">
      <c r="AB801" s="86"/>
      <c r="AD801" s="100"/>
    </row>
    <row r="802" spans="28:30" x14ac:dyDescent="0.25">
      <c r="AB802" s="86"/>
      <c r="AD802" s="100"/>
    </row>
    <row r="803" spans="28:30" x14ac:dyDescent="0.25">
      <c r="AB803" s="86"/>
      <c r="AD803" s="100"/>
    </row>
    <row r="804" spans="28:30" x14ac:dyDescent="0.25">
      <c r="AB804" s="86"/>
      <c r="AD804" s="100"/>
    </row>
    <row r="805" spans="28:30" x14ac:dyDescent="0.25">
      <c r="AB805" s="86"/>
      <c r="AD805" s="100"/>
    </row>
    <row r="806" spans="28:30" x14ac:dyDescent="0.25">
      <c r="AB806" s="86"/>
      <c r="AD806" s="100"/>
    </row>
    <row r="807" spans="28:30" x14ac:dyDescent="0.25">
      <c r="AB807" s="86"/>
      <c r="AD807" s="100"/>
    </row>
    <row r="808" spans="28:30" x14ac:dyDescent="0.25">
      <c r="AB808" s="86"/>
    </row>
    <row r="809" spans="28:30" x14ac:dyDescent="0.25">
      <c r="AB809" s="86"/>
      <c r="AD809" s="100"/>
    </row>
    <row r="810" spans="28:30" x14ac:dyDescent="0.25">
      <c r="AB810" s="86"/>
    </row>
    <row r="811" spans="28:30" x14ac:dyDescent="0.25">
      <c r="AB811" s="86"/>
      <c r="AD811" s="100"/>
    </row>
    <row r="812" spans="28:30" x14ac:dyDescent="0.25">
      <c r="AB812" s="86"/>
    </row>
    <row r="813" spans="28:30" x14ac:dyDescent="0.25">
      <c r="AB813" s="86"/>
    </row>
    <row r="814" spans="28:30" x14ac:dyDescent="0.25">
      <c r="AB814" s="86"/>
      <c r="AD814" s="100"/>
    </row>
    <row r="815" spans="28:30" x14ac:dyDescent="0.25">
      <c r="AB815" s="86"/>
      <c r="AD815" s="100"/>
    </row>
    <row r="816" spans="28:30" x14ac:dyDescent="0.25">
      <c r="AB816" s="86"/>
      <c r="AD816" s="100"/>
    </row>
    <row r="817" spans="28:30" x14ac:dyDescent="0.25">
      <c r="AB817" s="86"/>
      <c r="AD817" s="100"/>
    </row>
    <row r="818" spans="28:30" x14ac:dyDescent="0.25">
      <c r="AB818" s="86"/>
    </row>
    <row r="819" spans="28:30" x14ac:dyDescent="0.25">
      <c r="AB819" s="86"/>
      <c r="AD819" s="100"/>
    </row>
    <row r="820" spans="28:30" x14ac:dyDescent="0.25">
      <c r="AB820" s="86"/>
      <c r="AD820" s="100"/>
    </row>
    <row r="821" spans="28:30" x14ac:dyDescent="0.25">
      <c r="AB821" s="86"/>
    </row>
    <row r="822" spans="28:30" x14ac:dyDescent="0.25">
      <c r="AB822" s="86"/>
      <c r="AD822" s="100"/>
    </row>
    <row r="823" spans="28:30" x14ac:dyDescent="0.25">
      <c r="AB823" s="86"/>
      <c r="AD823" s="100"/>
    </row>
    <row r="824" spans="28:30" x14ac:dyDescent="0.25">
      <c r="AB824" s="86"/>
    </row>
    <row r="825" spans="28:30" x14ac:dyDescent="0.25">
      <c r="AB825" s="86"/>
      <c r="AD825" s="100"/>
    </row>
    <row r="826" spans="28:30" x14ac:dyDescent="0.25">
      <c r="AB826" s="86"/>
      <c r="AD826" s="100"/>
    </row>
    <row r="827" spans="28:30" x14ac:dyDescent="0.25">
      <c r="AB827" s="86"/>
      <c r="AD827" s="100"/>
    </row>
    <row r="828" spans="28:30" x14ac:dyDescent="0.25">
      <c r="AB828" s="86"/>
    </row>
    <row r="829" spans="28:30" x14ac:dyDescent="0.25">
      <c r="AB829" s="86"/>
    </row>
    <row r="830" spans="28:30" x14ac:dyDescent="0.25">
      <c r="AB830" s="86"/>
      <c r="AD830" s="100"/>
    </row>
    <row r="831" spans="28:30" x14ac:dyDescent="0.25">
      <c r="AB831" s="86"/>
    </row>
    <row r="832" spans="28:30" x14ac:dyDescent="0.25">
      <c r="AB832" s="86"/>
      <c r="AD832" s="100"/>
    </row>
    <row r="833" spans="28:30" x14ac:dyDescent="0.25">
      <c r="AB833" s="86"/>
    </row>
    <row r="834" spans="28:30" x14ac:dyDescent="0.25">
      <c r="AB834" s="86"/>
    </row>
    <row r="835" spans="28:30" x14ac:dyDescent="0.25">
      <c r="AB835" s="86"/>
      <c r="AD835" s="100"/>
    </row>
    <row r="836" spans="28:30" x14ac:dyDescent="0.25">
      <c r="AB836" s="86"/>
      <c r="AD836" s="100"/>
    </row>
    <row r="837" spans="28:30" x14ac:dyDescent="0.25">
      <c r="AB837" s="86"/>
    </row>
    <row r="838" spans="28:30" x14ac:dyDescent="0.25">
      <c r="AB838" s="86"/>
    </row>
    <row r="839" spans="28:30" x14ac:dyDescent="0.25">
      <c r="AB839" s="86"/>
    </row>
    <row r="840" spans="28:30" x14ac:dyDescent="0.25">
      <c r="AB840" s="86"/>
      <c r="AD840" s="100"/>
    </row>
    <row r="841" spans="28:30" x14ac:dyDescent="0.25">
      <c r="AB841" s="86"/>
    </row>
    <row r="842" spans="28:30" x14ac:dyDescent="0.25">
      <c r="AB842" s="86"/>
    </row>
    <row r="843" spans="28:30" x14ac:dyDescent="0.25">
      <c r="AB843" s="86"/>
      <c r="AD843" s="100"/>
    </row>
    <row r="844" spans="28:30" x14ac:dyDescent="0.25">
      <c r="AB844" s="86"/>
      <c r="AD844" s="100"/>
    </row>
    <row r="845" spans="28:30" x14ac:dyDescent="0.25">
      <c r="AB845" s="86"/>
    </row>
    <row r="846" spans="28:30" x14ac:dyDescent="0.25">
      <c r="AB846" s="86"/>
      <c r="AD846" s="100"/>
    </row>
    <row r="847" spans="28:30" x14ac:dyDescent="0.25">
      <c r="AB847" s="86"/>
    </row>
    <row r="848" spans="28:30" x14ac:dyDescent="0.25">
      <c r="AB848" s="86"/>
    </row>
    <row r="849" spans="28:30" x14ac:dyDescent="0.25">
      <c r="AB849" s="86"/>
      <c r="AD849" s="100"/>
    </row>
    <row r="850" spans="28:30" x14ac:dyDescent="0.25">
      <c r="AB850" s="86"/>
      <c r="AD850" s="100"/>
    </row>
    <row r="851" spans="28:30" x14ac:dyDescent="0.25">
      <c r="AB851" s="86"/>
      <c r="AD851" s="100"/>
    </row>
    <row r="852" spans="28:30" x14ac:dyDescent="0.25">
      <c r="AB852" s="86"/>
    </row>
    <row r="853" spans="28:30" x14ac:dyDescent="0.25">
      <c r="AB853" s="86"/>
    </row>
    <row r="854" spans="28:30" x14ac:dyDescent="0.25">
      <c r="AB854" s="86"/>
      <c r="AD854" s="100"/>
    </row>
    <row r="855" spans="28:30" x14ac:dyDescent="0.25">
      <c r="AB855" s="86"/>
      <c r="AD855" s="100"/>
    </row>
    <row r="856" spans="28:30" x14ac:dyDescent="0.25">
      <c r="AB856" s="86"/>
    </row>
    <row r="857" spans="28:30" x14ac:dyDescent="0.25">
      <c r="AB857" s="86"/>
    </row>
    <row r="858" spans="28:30" x14ac:dyDescent="0.25">
      <c r="AB858" s="86"/>
    </row>
    <row r="859" spans="28:30" x14ac:dyDescent="0.25">
      <c r="AB859" s="86"/>
      <c r="AD859" s="100"/>
    </row>
    <row r="860" spans="28:30" x14ac:dyDescent="0.25">
      <c r="AB860" s="86"/>
      <c r="AD860" s="100"/>
    </row>
    <row r="861" spans="28:30" x14ac:dyDescent="0.25">
      <c r="AB861" s="86"/>
      <c r="AD861" s="100"/>
    </row>
    <row r="862" spans="28:30" x14ac:dyDescent="0.25">
      <c r="AB862" s="86"/>
      <c r="AD862" s="100"/>
    </row>
    <row r="863" spans="28:30" x14ac:dyDescent="0.25">
      <c r="AB863" s="86"/>
    </row>
    <row r="864" spans="28:30" x14ac:dyDescent="0.25">
      <c r="AB864" s="86"/>
      <c r="AD864" s="100"/>
    </row>
    <row r="865" spans="28:30" x14ac:dyDescent="0.25">
      <c r="AB865" s="86"/>
    </row>
    <row r="866" spans="28:30" x14ac:dyDescent="0.25">
      <c r="AB866" s="86"/>
    </row>
    <row r="867" spans="28:30" x14ac:dyDescent="0.25">
      <c r="AB867" s="86"/>
    </row>
    <row r="868" spans="28:30" x14ac:dyDescent="0.25">
      <c r="AB868" s="86"/>
      <c r="AD868" s="100"/>
    </row>
    <row r="869" spans="28:30" x14ac:dyDescent="0.25">
      <c r="AB869" s="86"/>
      <c r="AD869" s="100"/>
    </row>
    <row r="870" spans="28:30" x14ac:dyDescent="0.25">
      <c r="AB870" s="86"/>
    </row>
    <row r="871" spans="28:30" x14ac:dyDescent="0.25">
      <c r="AB871" s="86"/>
    </row>
    <row r="872" spans="28:30" x14ac:dyDescent="0.25">
      <c r="AB872" s="86"/>
    </row>
    <row r="873" spans="28:30" x14ac:dyDescent="0.25">
      <c r="AB873" s="86"/>
    </row>
    <row r="874" spans="28:30" x14ac:dyDescent="0.25">
      <c r="AB874" s="86"/>
    </row>
    <row r="875" spans="28:30" x14ac:dyDescent="0.25">
      <c r="AB875" s="86"/>
      <c r="AD875" s="100"/>
    </row>
    <row r="876" spans="28:30" x14ac:dyDescent="0.25">
      <c r="AB876" s="86"/>
      <c r="AD876" s="100"/>
    </row>
    <row r="877" spans="28:30" x14ac:dyDescent="0.25">
      <c r="AB877" s="86"/>
      <c r="AD877" s="100"/>
    </row>
    <row r="878" spans="28:30" x14ac:dyDescent="0.25">
      <c r="AB878" s="86"/>
      <c r="AD878" s="100"/>
    </row>
    <row r="879" spans="28:30" x14ac:dyDescent="0.25">
      <c r="AB879" s="86"/>
      <c r="AD879" s="100"/>
    </row>
    <row r="880" spans="28:30" x14ac:dyDescent="0.25">
      <c r="AB880" s="86"/>
      <c r="AD880" s="100"/>
    </row>
    <row r="881" spans="28:30" x14ac:dyDescent="0.25">
      <c r="AB881" s="86"/>
    </row>
    <row r="882" spans="28:30" x14ac:dyDescent="0.25">
      <c r="AB882" s="86"/>
      <c r="AD882" s="100"/>
    </row>
    <row r="883" spans="28:30" x14ac:dyDescent="0.25">
      <c r="AB883" s="86"/>
      <c r="AD883" s="100"/>
    </row>
    <row r="884" spans="28:30" x14ac:dyDescent="0.25">
      <c r="AB884" s="86"/>
      <c r="AD884" s="100"/>
    </row>
    <row r="885" spans="28:30" x14ac:dyDescent="0.25">
      <c r="AB885" s="86"/>
      <c r="AD885" s="100"/>
    </row>
    <row r="886" spans="28:30" x14ac:dyDescent="0.25">
      <c r="AB886" s="86"/>
    </row>
    <row r="887" spans="28:30" x14ac:dyDescent="0.25">
      <c r="AB887" s="86"/>
    </row>
    <row r="888" spans="28:30" x14ac:dyDescent="0.25">
      <c r="AB888" s="86"/>
      <c r="AD888" s="100"/>
    </row>
    <row r="889" spans="28:30" x14ac:dyDescent="0.25">
      <c r="AB889" s="86"/>
      <c r="AD889" s="100"/>
    </row>
    <row r="890" spans="28:30" x14ac:dyDescent="0.25">
      <c r="AB890" s="86"/>
      <c r="AD890" s="100"/>
    </row>
    <row r="891" spans="28:30" x14ac:dyDescent="0.25">
      <c r="AB891" s="86"/>
      <c r="AD891" s="100"/>
    </row>
    <row r="892" spans="28:30" x14ac:dyDescent="0.25">
      <c r="AB892" s="86"/>
      <c r="AD892" s="100"/>
    </row>
    <row r="893" spans="28:30" x14ac:dyDescent="0.25">
      <c r="AB893" s="86"/>
      <c r="AD893" s="100"/>
    </row>
    <row r="894" spans="28:30" x14ac:dyDescent="0.25">
      <c r="AB894" s="86"/>
    </row>
    <row r="895" spans="28:30" x14ac:dyDescent="0.25">
      <c r="AB895" s="86"/>
      <c r="AD895" s="100"/>
    </row>
    <row r="896" spans="28:30" x14ac:dyDescent="0.25">
      <c r="AB896" s="86"/>
    </row>
    <row r="897" spans="28:30" x14ac:dyDescent="0.25">
      <c r="AB897" s="86"/>
    </row>
    <row r="898" spans="28:30" x14ac:dyDescent="0.25">
      <c r="AB898" s="86"/>
      <c r="AD898" s="100"/>
    </row>
    <row r="899" spans="28:30" x14ac:dyDescent="0.25">
      <c r="AB899" s="86"/>
    </row>
    <row r="900" spans="28:30" x14ac:dyDescent="0.25">
      <c r="AB900" s="86"/>
      <c r="AD900" s="100"/>
    </row>
    <row r="901" spans="28:30" x14ac:dyDescent="0.25">
      <c r="AB901" s="86"/>
      <c r="AD901" s="100"/>
    </row>
    <row r="902" spans="28:30" x14ac:dyDescent="0.25">
      <c r="AB902" s="86"/>
      <c r="AD902" s="100"/>
    </row>
    <row r="903" spans="28:30" x14ac:dyDescent="0.25">
      <c r="AB903" s="86"/>
      <c r="AD903" s="100"/>
    </row>
    <row r="904" spans="28:30" x14ac:dyDescent="0.25">
      <c r="AB904" s="86"/>
      <c r="AD904" s="100"/>
    </row>
    <row r="905" spans="28:30" x14ac:dyDescent="0.25">
      <c r="AB905" s="86"/>
      <c r="AD905" s="100"/>
    </row>
    <row r="906" spans="28:30" x14ac:dyDescent="0.25">
      <c r="AB906" s="86"/>
      <c r="AD906" s="100"/>
    </row>
    <row r="907" spans="28:30" x14ac:dyDescent="0.25">
      <c r="AB907" s="86"/>
      <c r="AD907" s="100"/>
    </row>
    <row r="908" spans="28:30" x14ac:dyDescent="0.25">
      <c r="AB908" s="86"/>
      <c r="AD908" s="100"/>
    </row>
    <row r="909" spans="28:30" x14ac:dyDescent="0.25">
      <c r="AB909" s="86"/>
      <c r="AD909" s="100"/>
    </row>
    <row r="910" spans="28:30" x14ac:dyDescent="0.25">
      <c r="AB910" s="86"/>
      <c r="AD910" s="100"/>
    </row>
    <row r="911" spans="28:30" x14ac:dyDescent="0.25">
      <c r="AB911" s="86"/>
      <c r="AD911" s="100"/>
    </row>
    <row r="912" spans="28:30" x14ac:dyDescent="0.25">
      <c r="AB912" s="86"/>
      <c r="AD912" s="100"/>
    </row>
    <row r="913" spans="28:30" x14ac:dyDescent="0.25">
      <c r="AB913" s="86"/>
      <c r="AD913" s="100"/>
    </row>
    <row r="914" spans="28:30" x14ac:dyDescent="0.25">
      <c r="AB914" s="86"/>
      <c r="AD914" s="100"/>
    </row>
    <row r="915" spans="28:30" x14ac:dyDescent="0.25">
      <c r="AB915" s="86"/>
      <c r="AD915" s="100"/>
    </row>
    <row r="916" spans="28:30" x14ac:dyDescent="0.25">
      <c r="AB916" s="86"/>
      <c r="AD916" s="100"/>
    </row>
    <row r="917" spans="28:30" x14ac:dyDescent="0.25">
      <c r="AB917" s="86"/>
    </row>
    <row r="918" spans="28:30" x14ac:dyDescent="0.25">
      <c r="AB918" s="86"/>
    </row>
    <row r="919" spans="28:30" x14ac:dyDescent="0.25">
      <c r="AB919" s="86"/>
      <c r="AD919" s="100"/>
    </row>
    <row r="920" spans="28:30" x14ac:dyDescent="0.25">
      <c r="AB920" s="86"/>
      <c r="AD920" s="100"/>
    </row>
    <row r="921" spans="28:30" x14ac:dyDescent="0.25">
      <c r="AB921" s="86"/>
      <c r="AD921" s="100"/>
    </row>
    <row r="922" spans="28:30" x14ac:dyDescent="0.25">
      <c r="AB922" s="86"/>
      <c r="AD922" s="100"/>
    </row>
    <row r="923" spans="28:30" x14ac:dyDescent="0.25">
      <c r="AB923" s="86"/>
      <c r="AD923" s="100"/>
    </row>
    <row r="924" spans="28:30" x14ac:dyDescent="0.25">
      <c r="AB924" s="86"/>
      <c r="AD924" s="100"/>
    </row>
    <row r="925" spans="28:30" x14ac:dyDescent="0.25">
      <c r="AB925" s="86"/>
      <c r="AD925" s="100"/>
    </row>
    <row r="926" spans="28:30" x14ac:dyDescent="0.25">
      <c r="AB926" s="86"/>
      <c r="AD926" s="100"/>
    </row>
    <row r="927" spans="28:30" x14ac:dyDescent="0.25">
      <c r="AB927" s="86"/>
      <c r="AD927" s="100"/>
    </row>
    <row r="928" spans="28:30" x14ac:dyDescent="0.25">
      <c r="AB928" s="86"/>
      <c r="AD928" s="100"/>
    </row>
    <row r="929" spans="28:30" x14ac:dyDescent="0.25">
      <c r="AB929" s="86"/>
      <c r="AD929" s="100"/>
    </row>
    <row r="930" spans="28:30" x14ac:dyDescent="0.25">
      <c r="AB930" s="86"/>
      <c r="AD930" s="100"/>
    </row>
    <row r="931" spans="28:30" x14ac:dyDescent="0.25">
      <c r="AB931" s="86"/>
    </row>
    <row r="932" spans="28:30" x14ac:dyDescent="0.25">
      <c r="AB932" s="86"/>
    </row>
    <row r="933" spans="28:30" x14ac:dyDescent="0.25">
      <c r="AB933" s="86"/>
    </row>
    <row r="934" spans="28:30" x14ac:dyDescent="0.25">
      <c r="AB934" s="86"/>
    </row>
    <row r="935" spans="28:30" x14ac:dyDescent="0.25">
      <c r="AB935" s="86"/>
    </row>
    <row r="936" spans="28:30" x14ac:dyDescent="0.25">
      <c r="AB936" s="86"/>
    </row>
    <row r="937" spans="28:30" x14ac:dyDescent="0.25">
      <c r="AB937" s="86"/>
      <c r="AD937" s="100"/>
    </row>
    <row r="938" spans="28:30" x14ac:dyDescent="0.25">
      <c r="AB938" s="86"/>
    </row>
    <row r="939" spans="28:30" x14ac:dyDescent="0.25">
      <c r="AB939" s="86"/>
      <c r="AD939" s="100"/>
    </row>
    <row r="940" spans="28:30" x14ac:dyDescent="0.25">
      <c r="AB940" s="86"/>
      <c r="AD940" s="100"/>
    </row>
    <row r="941" spans="28:30" x14ac:dyDescent="0.25">
      <c r="AB941" s="86"/>
      <c r="AD941" s="100"/>
    </row>
    <row r="942" spans="28:30" x14ac:dyDescent="0.25">
      <c r="AB942" s="86"/>
      <c r="AD942" s="100"/>
    </row>
    <row r="943" spans="28:30" x14ac:dyDescent="0.25">
      <c r="AB943" s="86"/>
      <c r="AD943" s="100"/>
    </row>
    <row r="944" spans="28:30" x14ac:dyDescent="0.25">
      <c r="AB944" s="86"/>
      <c r="AD944" s="100"/>
    </row>
    <row r="945" spans="28:30" x14ac:dyDescent="0.25">
      <c r="AB945" s="86"/>
    </row>
    <row r="946" spans="28:30" x14ac:dyDescent="0.25">
      <c r="AB946" s="86"/>
      <c r="AD946" s="100"/>
    </row>
    <row r="947" spans="28:30" x14ac:dyDescent="0.25">
      <c r="AB947" s="86"/>
      <c r="AD947" s="100"/>
    </row>
    <row r="948" spans="28:30" x14ac:dyDescent="0.25">
      <c r="AB948" s="86"/>
    </row>
    <row r="949" spans="28:30" x14ac:dyDescent="0.25">
      <c r="AB949" s="86"/>
    </row>
    <row r="950" spans="28:30" x14ac:dyDescent="0.25">
      <c r="AB950" s="86"/>
    </row>
    <row r="951" spans="28:30" x14ac:dyDescent="0.25">
      <c r="AB951" s="86"/>
    </row>
    <row r="952" spans="28:30" x14ac:dyDescent="0.25">
      <c r="AB952" s="86"/>
    </row>
    <row r="953" spans="28:30" x14ac:dyDescent="0.25">
      <c r="AB953" s="86"/>
    </row>
    <row r="954" spans="28:30" x14ac:dyDescent="0.25">
      <c r="AB954" s="86"/>
    </row>
    <row r="955" spans="28:30" x14ac:dyDescent="0.25">
      <c r="AB955" s="86"/>
      <c r="AD955" s="100"/>
    </row>
    <row r="956" spans="28:30" x14ac:dyDescent="0.25">
      <c r="AB956" s="86"/>
      <c r="AD956" s="100"/>
    </row>
    <row r="957" spans="28:30" x14ac:dyDescent="0.25">
      <c r="AB957" s="86"/>
      <c r="AD957" s="100"/>
    </row>
    <row r="958" spans="28:30" x14ac:dyDescent="0.25">
      <c r="AB958" s="86"/>
      <c r="AD958" s="100"/>
    </row>
    <row r="959" spans="28:30" x14ac:dyDescent="0.25">
      <c r="AB959" s="86"/>
      <c r="AD959" s="100"/>
    </row>
    <row r="960" spans="28:30" x14ac:dyDescent="0.25">
      <c r="AB960" s="86"/>
      <c r="AD960" s="100"/>
    </row>
    <row r="961" spans="28:30" x14ac:dyDescent="0.25">
      <c r="AB961" s="86"/>
      <c r="AD961" s="100"/>
    </row>
    <row r="962" spans="28:30" x14ac:dyDescent="0.25">
      <c r="AB962" s="86"/>
      <c r="AD962" s="100"/>
    </row>
    <row r="963" spans="28:30" x14ac:dyDescent="0.25">
      <c r="AB963" s="86"/>
      <c r="AD963" s="100"/>
    </row>
    <row r="964" spans="28:30" x14ac:dyDescent="0.25">
      <c r="AB964" s="86"/>
      <c r="AD964" s="100"/>
    </row>
    <row r="965" spans="28:30" x14ac:dyDescent="0.25">
      <c r="AB965" s="86"/>
      <c r="AD965" s="100"/>
    </row>
    <row r="966" spans="28:30" x14ac:dyDescent="0.25">
      <c r="AB966" s="86"/>
      <c r="AD966" s="100"/>
    </row>
    <row r="967" spans="28:30" x14ac:dyDescent="0.25">
      <c r="AB967" s="86"/>
      <c r="AD967" s="100"/>
    </row>
    <row r="968" spans="28:30" x14ac:dyDescent="0.25">
      <c r="AB968" s="86"/>
      <c r="AD968" s="100"/>
    </row>
    <row r="969" spans="28:30" x14ac:dyDescent="0.25">
      <c r="AB969" s="86"/>
    </row>
    <row r="970" spans="28:30" x14ac:dyDescent="0.25">
      <c r="AB970" s="86"/>
    </row>
    <row r="971" spans="28:30" x14ac:dyDescent="0.25">
      <c r="AB971" s="86"/>
      <c r="AD971" s="100"/>
    </row>
    <row r="972" spans="28:30" x14ac:dyDescent="0.25">
      <c r="AB972" s="86"/>
      <c r="AD972" s="100"/>
    </row>
    <row r="973" spans="28:30" x14ac:dyDescent="0.25">
      <c r="AB973" s="86"/>
      <c r="AD973" s="100"/>
    </row>
    <row r="974" spans="28:30" x14ac:dyDescent="0.25">
      <c r="AB974" s="86"/>
      <c r="AD974" s="100"/>
    </row>
    <row r="975" spans="28:30" x14ac:dyDescent="0.25">
      <c r="AB975" s="86"/>
      <c r="AD975" s="100"/>
    </row>
    <row r="976" spans="28:30" x14ac:dyDescent="0.25">
      <c r="AB976" s="86"/>
      <c r="AD976" s="100"/>
    </row>
    <row r="977" spans="28:30" x14ac:dyDescent="0.25">
      <c r="AB977" s="86"/>
      <c r="AD977" s="100"/>
    </row>
    <row r="978" spans="28:30" x14ac:dyDescent="0.25">
      <c r="AB978" s="86"/>
      <c r="AD978" s="100"/>
    </row>
    <row r="979" spans="28:30" x14ac:dyDescent="0.25">
      <c r="AB979" s="86"/>
      <c r="AD979" s="100"/>
    </row>
    <row r="980" spans="28:30" x14ac:dyDescent="0.25">
      <c r="AB980" s="86"/>
      <c r="AD980" s="100"/>
    </row>
    <row r="981" spans="28:30" x14ac:dyDescent="0.25">
      <c r="AB981" s="86"/>
      <c r="AD981" s="100"/>
    </row>
    <row r="982" spans="28:30" x14ac:dyDescent="0.25">
      <c r="AB982" s="86"/>
      <c r="AD982" s="100"/>
    </row>
    <row r="983" spans="28:30" x14ac:dyDescent="0.25">
      <c r="AB983" s="86"/>
      <c r="AD983" s="100"/>
    </row>
    <row r="984" spans="28:30" x14ac:dyDescent="0.25">
      <c r="AB984" s="86"/>
      <c r="AD984" s="100"/>
    </row>
    <row r="985" spans="28:30" x14ac:dyDescent="0.25">
      <c r="AB985" s="86"/>
      <c r="AD985" s="100"/>
    </row>
    <row r="986" spans="28:30" x14ac:dyDescent="0.25">
      <c r="AB986" s="86"/>
      <c r="AD986" s="100"/>
    </row>
    <row r="987" spans="28:30" x14ac:dyDescent="0.25">
      <c r="AB987" s="86"/>
      <c r="AD987" s="100"/>
    </row>
    <row r="988" spans="28:30" x14ac:dyDescent="0.25">
      <c r="AB988" s="86"/>
      <c r="AD988" s="100"/>
    </row>
    <row r="989" spans="28:30" x14ac:dyDescent="0.25">
      <c r="AB989" s="86"/>
      <c r="AD989" s="100"/>
    </row>
    <row r="990" spans="28:30" x14ac:dyDescent="0.25">
      <c r="AB990" s="86"/>
      <c r="AD990" s="100"/>
    </row>
    <row r="991" spans="28:30" x14ac:dyDescent="0.25">
      <c r="AB991" s="86"/>
      <c r="AD991" s="100"/>
    </row>
    <row r="992" spans="28:30" x14ac:dyDescent="0.25">
      <c r="AB992" s="86"/>
      <c r="AD992" s="100"/>
    </row>
    <row r="993" spans="28:30" x14ac:dyDescent="0.25">
      <c r="AB993" s="86"/>
      <c r="AD993" s="100"/>
    </row>
    <row r="994" spans="28:30" x14ac:dyDescent="0.25">
      <c r="AB994" s="86"/>
      <c r="AD994" s="100"/>
    </row>
    <row r="995" spans="28:30" x14ac:dyDescent="0.25">
      <c r="AB995" s="86"/>
      <c r="AD995" s="100"/>
    </row>
    <row r="996" spans="28:30" x14ac:dyDescent="0.25">
      <c r="AB996" s="86"/>
      <c r="AD996" s="100"/>
    </row>
    <row r="997" spans="28:30" x14ac:dyDescent="0.25">
      <c r="AB997" s="86"/>
      <c r="AD997" s="100"/>
    </row>
    <row r="998" spans="28:30" x14ac:dyDescent="0.25">
      <c r="AB998" s="86"/>
      <c r="AD998" s="100"/>
    </row>
    <row r="999" spans="28:30" x14ac:dyDescent="0.25">
      <c r="AB999" s="86"/>
      <c r="AD999" s="100"/>
    </row>
    <row r="1000" spans="28:30" x14ac:dyDescent="0.25">
      <c r="AB1000" s="86"/>
      <c r="AD1000" s="100"/>
    </row>
    <row r="1001" spans="28:30" x14ac:dyDescent="0.25">
      <c r="AB1001" s="86"/>
      <c r="AD1001" s="100"/>
    </row>
    <row r="1002" spans="28:30" x14ac:dyDescent="0.25">
      <c r="AB1002" s="86"/>
      <c r="AD1002" s="100"/>
    </row>
    <row r="1003" spans="28:30" x14ac:dyDescent="0.25">
      <c r="AB1003" s="86"/>
      <c r="AD1003" s="100"/>
    </row>
    <row r="1004" spans="28:30" x14ac:dyDescent="0.25">
      <c r="AB1004" s="86"/>
      <c r="AD1004" s="100"/>
    </row>
    <row r="1005" spans="28:30" x14ac:dyDescent="0.25">
      <c r="AB1005" s="86"/>
      <c r="AD1005" s="100"/>
    </row>
    <row r="1006" spans="28:30" x14ac:dyDescent="0.25">
      <c r="AB1006" s="86"/>
      <c r="AD1006" s="100"/>
    </row>
    <row r="1007" spans="28:30" x14ac:dyDescent="0.25">
      <c r="AB1007" s="86"/>
      <c r="AD1007" s="100"/>
    </row>
    <row r="1008" spans="28:30" x14ac:dyDescent="0.25">
      <c r="AB1008" s="86"/>
      <c r="AD1008" s="100"/>
    </row>
    <row r="1009" spans="28:30" x14ac:dyDescent="0.25">
      <c r="AB1009" s="86"/>
      <c r="AD1009" s="100"/>
    </row>
    <row r="1010" spans="28:30" x14ac:dyDescent="0.25">
      <c r="AB1010" s="86"/>
      <c r="AD1010" s="100"/>
    </row>
    <row r="1011" spans="28:30" x14ac:dyDescent="0.25">
      <c r="AB1011" s="86"/>
      <c r="AD1011" s="100"/>
    </row>
    <row r="1012" spans="28:30" x14ac:dyDescent="0.25">
      <c r="AB1012" s="86"/>
      <c r="AD1012" s="100"/>
    </row>
    <row r="1013" spans="28:30" x14ac:dyDescent="0.25">
      <c r="AB1013" s="86"/>
      <c r="AD1013" s="100"/>
    </row>
    <row r="1014" spans="28:30" x14ac:dyDescent="0.25">
      <c r="AB1014" s="86"/>
      <c r="AD1014" s="100"/>
    </row>
    <row r="1015" spans="28:30" x14ac:dyDescent="0.25">
      <c r="AB1015" s="86"/>
      <c r="AD1015" s="100"/>
    </row>
    <row r="1016" spans="28:30" x14ac:dyDescent="0.25">
      <c r="AB1016" s="86"/>
      <c r="AD1016" s="100"/>
    </row>
    <row r="1017" spans="28:30" x14ac:dyDescent="0.25">
      <c r="AB1017" s="86"/>
      <c r="AD1017" s="100"/>
    </row>
    <row r="1018" spans="28:30" x14ac:dyDescent="0.25">
      <c r="AB1018" s="86"/>
      <c r="AD1018" s="100"/>
    </row>
    <row r="1019" spans="28:30" x14ac:dyDescent="0.25">
      <c r="AB1019" s="86"/>
      <c r="AD1019" s="100"/>
    </row>
    <row r="1020" spans="28:30" x14ac:dyDescent="0.25">
      <c r="AB1020" s="86"/>
      <c r="AD1020" s="100"/>
    </row>
    <row r="1021" spans="28:30" x14ac:dyDescent="0.25">
      <c r="AB1021" s="86"/>
      <c r="AD1021" s="100"/>
    </row>
    <row r="1022" spans="28:30" x14ac:dyDescent="0.25">
      <c r="AB1022" s="86"/>
      <c r="AD1022" s="100"/>
    </row>
    <row r="1023" spans="28:30" x14ac:dyDescent="0.25">
      <c r="AB1023" s="86"/>
      <c r="AD1023" s="100"/>
    </row>
    <row r="1024" spans="28:30" x14ac:dyDescent="0.25">
      <c r="AB1024" s="86"/>
      <c r="AD1024" s="100"/>
    </row>
    <row r="1025" spans="28:30" x14ac:dyDescent="0.25">
      <c r="AB1025" s="86"/>
      <c r="AD1025" s="100"/>
    </row>
    <row r="1026" spans="28:30" x14ac:dyDescent="0.25">
      <c r="AB1026" s="86"/>
      <c r="AD1026" s="100"/>
    </row>
    <row r="1027" spans="28:30" x14ac:dyDescent="0.25">
      <c r="AB1027" s="86"/>
      <c r="AD1027" s="100"/>
    </row>
    <row r="1028" spans="28:30" x14ac:dyDescent="0.25">
      <c r="AB1028" s="86"/>
      <c r="AD1028" s="100"/>
    </row>
    <row r="1029" spans="28:30" x14ac:dyDescent="0.25">
      <c r="AB1029" s="86"/>
      <c r="AD1029" s="100"/>
    </row>
    <row r="1030" spans="28:30" x14ac:dyDescent="0.25">
      <c r="AB1030" s="86"/>
      <c r="AD1030" s="100"/>
    </row>
    <row r="1031" spans="28:30" x14ac:dyDescent="0.25">
      <c r="AB1031" s="86"/>
      <c r="AD1031" s="100"/>
    </row>
    <row r="1032" spans="28:30" x14ac:dyDescent="0.25">
      <c r="AB1032" s="86"/>
      <c r="AD1032" s="100"/>
    </row>
    <row r="1033" spans="28:30" x14ac:dyDescent="0.25">
      <c r="AB1033" s="86"/>
      <c r="AD1033" s="100"/>
    </row>
    <row r="1034" spans="28:30" x14ac:dyDescent="0.25">
      <c r="AB1034" s="86"/>
      <c r="AD1034" s="100"/>
    </row>
    <row r="1035" spans="28:30" x14ac:dyDescent="0.25">
      <c r="AB1035" s="86"/>
      <c r="AD1035" s="100"/>
    </row>
    <row r="1036" spans="28:30" x14ac:dyDescent="0.25">
      <c r="AB1036" s="86"/>
      <c r="AD1036" s="100"/>
    </row>
    <row r="1037" spans="28:30" x14ac:dyDescent="0.25">
      <c r="AB1037" s="86"/>
      <c r="AD1037" s="100"/>
    </row>
    <row r="1038" spans="28:30" x14ac:dyDescent="0.25">
      <c r="AB1038" s="86"/>
      <c r="AD1038" s="100"/>
    </row>
    <row r="1039" spans="28:30" x14ac:dyDescent="0.25">
      <c r="AB1039" s="86"/>
      <c r="AD1039" s="100"/>
    </row>
    <row r="1040" spans="28:30" x14ac:dyDescent="0.25">
      <c r="AB1040" s="86"/>
      <c r="AD1040" s="100"/>
    </row>
    <row r="1041" spans="28:30" x14ac:dyDescent="0.25">
      <c r="AB1041" s="86"/>
      <c r="AD1041" s="100"/>
    </row>
    <row r="1042" spans="28:30" x14ac:dyDescent="0.25">
      <c r="AB1042" s="86"/>
      <c r="AD1042" s="100"/>
    </row>
    <row r="1043" spans="28:30" x14ac:dyDescent="0.25">
      <c r="AB1043" s="86"/>
      <c r="AD1043" s="100"/>
    </row>
    <row r="1044" spans="28:30" x14ac:dyDescent="0.25">
      <c r="AB1044" s="86"/>
      <c r="AD1044" s="100"/>
    </row>
    <row r="1045" spans="28:30" x14ac:dyDescent="0.25">
      <c r="AB1045" s="86"/>
      <c r="AD1045" s="100"/>
    </row>
    <row r="1046" spans="28:30" x14ac:dyDescent="0.25">
      <c r="AB1046" s="86"/>
      <c r="AD1046" s="100"/>
    </row>
    <row r="1047" spans="28:30" x14ac:dyDescent="0.25">
      <c r="AB1047" s="86"/>
      <c r="AD1047" s="100"/>
    </row>
    <row r="1048" spans="28:30" x14ac:dyDescent="0.25">
      <c r="AB1048" s="86"/>
      <c r="AD1048" s="100"/>
    </row>
    <row r="1049" spans="28:30" x14ac:dyDescent="0.25">
      <c r="AB1049" s="86"/>
      <c r="AD1049" s="100"/>
    </row>
    <row r="1050" spans="28:30" x14ac:dyDescent="0.25">
      <c r="AB1050" s="86"/>
      <c r="AD1050" s="100"/>
    </row>
    <row r="1051" spans="28:30" x14ac:dyDescent="0.25">
      <c r="AB1051" s="86"/>
      <c r="AD1051" s="100"/>
    </row>
    <row r="1052" spans="28:30" x14ac:dyDescent="0.25">
      <c r="AB1052" s="86"/>
      <c r="AD1052" s="100"/>
    </row>
    <row r="1053" spans="28:30" x14ac:dyDescent="0.25">
      <c r="AB1053" s="86"/>
      <c r="AD1053" s="100"/>
    </row>
    <row r="1054" spans="28:30" x14ac:dyDescent="0.25">
      <c r="AB1054" s="86"/>
      <c r="AD1054" s="100"/>
    </row>
    <row r="1055" spans="28:30" x14ac:dyDescent="0.25">
      <c r="AB1055" s="86"/>
      <c r="AD1055" s="100"/>
    </row>
    <row r="1056" spans="28:30" x14ac:dyDescent="0.25">
      <c r="AB1056" s="86"/>
      <c r="AD1056" s="100"/>
    </row>
    <row r="1057" spans="28:30" x14ac:dyDescent="0.25">
      <c r="AB1057" s="86"/>
      <c r="AD1057" s="100"/>
    </row>
    <row r="1058" spans="28:30" x14ac:dyDescent="0.25">
      <c r="AB1058" s="86"/>
      <c r="AD1058" s="100"/>
    </row>
    <row r="1059" spans="28:30" x14ac:dyDescent="0.25">
      <c r="AB1059" s="86"/>
      <c r="AD1059" s="100"/>
    </row>
    <row r="1060" spans="28:30" x14ac:dyDescent="0.25">
      <c r="AB1060" s="86"/>
      <c r="AD1060" s="100"/>
    </row>
    <row r="1061" spans="28:30" x14ac:dyDescent="0.25">
      <c r="AB1061" s="86"/>
      <c r="AD1061" s="100"/>
    </row>
    <row r="1062" spans="28:30" x14ac:dyDescent="0.25">
      <c r="AB1062" s="86"/>
      <c r="AD1062" s="100"/>
    </row>
    <row r="1063" spans="28:30" x14ac:dyDescent="0.25">
      <c r="AB1063" s="86"/>
      <c r="AD1063" s="100"/>
    </row>
    <row r="1064" spans="28:30" x14ac:dyDescent="0.25">
      <c r="AB1064" s="86"/>
      <c r="AD1064" s="100"/>
    </row>
    <row r="1065" spans="28:30" x14ac:dyDescent="0.25">
      <c r="AB1065" s="86"/>
      <c r="AD1065" s="100"/>
    </row>
    <row r="1066" spans="28:30" x14ac:dyDescent="0.25">
      <c r="AB1066" s="86"/>
      <c r="AD1066" s="100"/>
    </row>
    <row r="1067" spans="28:30" x14ac:dyDescent="0.25">
      <c r="AB1067" s="86"/>
      <c r="AD1067" s="100"/>
    </row>
    <row r="1068" spans="28:30" x14ac:dyDescent="0.25">
      <c r="AB1068" s="86"/>
      <c r="AD1068" s="100"/>
    </row>
    <row r="1069" spans="28:30" x14ac:dyDescent="0.25">
      <c r="AB1069" s="86"/>
      <c r="AD1069" s="100"/>
    </row>
    <row r="1070" spans="28:30" x14ac:dyDescent="0.25">
      <c r="AB1070" s="86"/>
      <c r="AD1070" s="100"/>
    </row>
    <row r="1071" spans="28:30" x14ac:dyDescent="0.25">
      <c r="AB1071" s="86"/>
      <c r="AD1071" s="100"/>
    </row>
    <row r="1072" spans="28:30" x14ac:dyDescent="0.25">
      <c r="AB1072" s="86"/>
      <c r="AD1072" s="100"/>
    </row>
    <row r="1073" spans="28:30" x14ac:dyDescent="0.25">
      <c r="AB1073" s="86"/>
      <c r="AD1073" s="100"/>
    </row>
    <row r="1074" spans="28:30" x14ac:dyDescent="0.25">
      <c r="AB1074" s="86"/>
      <c r="AD1074" s="100"/>
    </row>
    <row r="1075" spans="28:30" x14ac:dyDescent="0.25">
      <c r="AB1075" s="86"/>
      <c r="AD1075" s="100"/>
    </row>
    <row r="1076" spans="28:30" x14ac:dyDescent="0.25">
      <c r="AB1076" s="86"/>
      <c r="AD1076" s="100"/>
    </row>
    <row r="1077" spans="28:30" x14ac:dyDescent="0.25">
      <c r="AB1077" s="86"/>
      <c r="AD1077" s="100"/>
    </row>
    <row r="1078" spans="28:30" x14ac:dyDescent="0.25">
      <c r="AB1078" s="86"/>
      <c r="AD1078" s="100"/>
    </row>
    <row r="1079" spans="28:30" x14ac:dyDescent="0.25">
      <c r="AB1079" s="86"/>
      <c r="AD1079" s="100"/>
    </row>
    <row r="1080" spans="28:30" x14ac:dyDescent="0.25">
      <c r="AB1080" s="86"/>
      <c r="AD1080" s="100"/>
    </row>
    <row r="1081" spans="28:30" x14ac:dyDescent="0.25">
      <c r="AB1081" s="86"/>
      <c r="AD1081" s="100"/>
    </row>
    <row r="1082" spans="28:30" x14ac:dyDescent="0.25">
      <c r="AB1082" s="86"/>
      <c r="AD1082" s="100"/>
    </row>
    <row r="1083" spans="28:30" x14ac:dyDescent="0.25">
      <c r="AB1083" s="86"/>
      <c r="AD1083" s="100"/>
    </row>
    <row r="1084" spans="28:30" x14ac:dyDescent="0.25">
      <c r="AB1084" s="86"/>
      <c r="AD1084" s="100"/>
    </row>
    <row r="1085" spans="28:30" x14ac:dyDescent="0.25">
      <c r="AB1085" s="86"/>
      <c r="AD1085" s="100"/>
    </row>
    <row r="1086" spans="28:30" x14ac:dyDescent="0.25">
      <c r="AB1086" s="86"/>
      <c r="AD1086" s="100"/>
    </row>
    <row r="1087" spans="28:30" x14ac:dyDescent="0.25">
      <c r="AB1087" s="86"/>
      <c r="AD1087" s="100"/>
    </row>
    <row r="1088" spans="28:30" x14ac:dyDescent="0.25">
      <c r="AB1088" s="86"/>
      <c r="AD1088" s="100"/>
    </row>
    <row r="1089" spans="28:30" x14ac:dyDescent="0.25">
      <c r="AB1089" s="86"/>
      <c r="AD1089" s="100"/>
    </row>
    <row r="1090" spans="28:30" x14ac:dyDescent="0.25">
      <c r="AB1090" s="86"/>
      <c r="AD1090" s="100"/>
    </row>
    <row r="1091" spans="28:30" x14ac:dyDescent="0.25">
      <c r="AB1091" s="86"/>
      <c r="AD1091" s="100"/>
    </row>
    <row r="1092" spans="28:30" x14ac:dyDescent="0.25">
      <c r="AB1092" s="86"/>
      <c r="AD1092" s="100"/>
    </row>
    <row r="1093" spans="28:30" x14ac:dyDescent="0.25">
      <c r="AB1093" s="86"/>
      <c r="AD1093" s="100"/>
    </row>
    <row r="1094" spans="28:30" x14ac:dyDescent="0.25">
      <c r="AB1094" s="86"/>
      <c r="AD1094" s="100"/>
    </row>
    <row r="1095" spans="28:30" x14ac:dyDescent="0.25">
      <c r="AB1095" s="86"/>
      <c r="AD1095" s="100"/>
    </row>
    <row r="1096" spans="28:30" x14ac:dyDescent="0.25">
      <c r="AB1096" s="86"/>
      <c r="AD1096" s="100"/>
    </row>
    <row r="1097" spans="28:30" x14ac:dyDescent="0.25">
      <c r="AB1097" s="86"/>
      <c r="AD1097" s="100"/>
    </row>
    <row r="1098" spans="28:30" x14ac:dyDescent="0.25">
      <c r="AB1098" s="86"/>
      <c r="AD1098" s="100"/>
    </row>
    <row r="1099" spans="28:30" x14ac:dyDescent="0.25">
      <c r="AB1099" s="86"/>
      <c r="AD1099" s="100"/>
    </row>
    <row r="1100" spans="28:30" x14ac:dyDescent="0.25">
      <c r="AB1100" s="86"/>
      <c r="AD1100" s="100"/>
    </row>
    <row r="1101" spans="28:30" x14ac:dyDescent="0.25">
      <c r="AB1101" s="86"/>
      <c r="AD1101" s="100"/>
    </row>
    <row r="1102" spans="28:30" x14ac:dyDescent="0.25">
      <c r="AB1102" s="86"/>
      <c r="AD1102" s="100"/>
    </row>
    <row r="1103" spans="28:30" x14ac:dyDescent="0.25">
      <c r="AB1103" s="86"/>
      <c r="AD1103" s="100"/>
    </row>
    <row r="1104" spans="28:30" x14ac:dyDescent="0.25">
      <c r="AB1104" s="86"/>
      <c r="AD1104" s="100"/>
    </row>
    <row r="1105" spans="28:30" x14ac:dyDescent="0.25">
      <c r="AB1105" s="86"/>
      <c r="AD1105" s="100"/>
    </row>
    <row r="1106" spans="28:30" x14ac:dyDescent="0.25">
      <c r="AB1106" s="86"/>
      <c r="AD1106" s="100"/>
    </row>
    <row r="1107" spans="28:30" x14ac:dyDescent="0.25">
      <c r="AB1107" s="86"/>
    </row>
    <row r="1108" spans="28:30" x14ac:dyDescent="0.25">
      <c r="AB1108" s="86"/>
      <c r="AD1108" s="100"/>
    </row>
    <row r="1109" spans="28:30" x14ac:dyDescent="0.25">
      <c r="AB1109" s="86"/>
      <c r="AD1109" s="100"/>
    </row>
    <row r="1110" spans="28:30" x14ac:dyDescent="0.25">
      <c r="AB1110" s="86"/>
      <c r="AD1110" s="100"/>
    </row>
    <row r="1111" spans="28:30" x14ac:dyDescent="0.25">
      <c r="AB1111" s="86"/>
      <c r="AD1111" s="100"/>
    </row>
    <row r="1112" spans="28:30" x14ac:dyDescent="0.25">
      <c r="AB1112" s="86"/>
      <c r="AD1112" s="100"/>
    </row>
    <row r="1113" spans="28:30" x14ac:dyDescent="0.25">
      <c r="AB1113" s="86"/>
      <c r="AD1113" s="100"/>
    </row>
    <row r="1114" spans="28:30" x14ac:dyDescent="0.25">
      <c r="AB1114" s="86"/>
      <c r="AD1114" s="100"/>
    </row>
    <row r="1115" spans="28:30" x14ac:dyDescent="0.25">
      <c r="AB1115" s="86"/>
      <c r="AD1115" s="100"/>
    </row>
    <row r="1116" spans="28:30" x14ac:dyDescent="0.25">
      <c r="AB1116" s="86"/>
      <c r="AD1116" s="100"/>
    </row>
    <row r="1117" spans="28:30" x14ac:dyDescent="0.25">
      <c r="AB1117" s="86"/>
      <c r="AD1117" s="100"/>
    </row>
    <row r="1118" spans="28:30" x14ac:dyDescent="0.25">
      <c r="AB1118" s="86"/>
      <c r="AD1118" s="100"/>
    </row>
    <row r="1119" spans="28:30" x14ac:dyDescent="0.25">
      <c r="AB1119" s="86"/>
      <c r="AD1119" s="100"/>
    </row>
    <row r="1120" spans="28:30" x14ac:dyDescent="0.25">
      <c r="AB1120" s="86"/>
      <c r="AD1120" s="100"/>
    </row>
    <row r="1121" spans="28:30" x14ac:dyDescent="0.25">
      <c r="AB1121" s="86"/>
      <c r="AD1121" s="100"/>
    </row>
    <row r="1122" spans="28:30" x14ac:dyDescent="0.25">
      <c r="AB1122" s="86"/>
      <c r="AD1122" s="100"/>
    </row>
    <row r="1123" spans="28:30" x14ac:dyDescent="0.25">
      <c r="AB1123" s="86"/>
      <c r="AD1123" s="100"/>
    </row>
    <row r="1124" spans="28:30" x14ac:dyDescent="0.25">
      <c r="AB1124" s="86"/>
    </row>
    <row r="1125" spans="28:30" x14ac:dyDescent="0.25">
      <c r="AB1125" s="86"/>
    </row>
    <row r="1126" spans="28:30" x14ac:dyDescent="0.25">
      <c r="AB1126" s="86"/>
      <c r="AD1126" s="100"/>
    </row>
    <row r="1127" spans="28:30" x14ac:dyDescent="0.25">
      <c r="AB1127" s="86"/>
      <c r="AD1127" s="100"/>
    </row>
    <row r="1128" spans="28:30" x14ac:dyDescent="0.25">
      <c r="AB1128" s="86"/>
      <c r="AD1128" s="100"/>
    </row>
    <row r="1129" spans="28:30" x14ac:dyDescent="0.25">
      <c r="AB1129" s="86"/>
      <c r="AD1129" s="100"/>
    </row>
    <row r="1130" spans="28:30" x14ac:dyDescent="0.25">
      <c r="AB1130" s="86"/>
      <c r="AD1130" s="100"/>
    </row>
    <row r="1131" spans="28:30" x14ac:dyDescent="0.25">
      <c r="AB1131" s="86"/>
    </row>
    <row r="1132" spans="28:30" x14ac:dyDescent="0.25">
      <c r="AB1132" s="86"/>
      <c r="AD1132" s="100"/>
    </row>
    <row r="1133" spans="28:30" x14ac:dyDescent="0.25">
      <c r="AB1133" s="86"/>
      <c r="AD1133" s="100"/>
    </row>
    <row r="1134" spans="28:30" x14ac:dyDescent="0.25">
      <c r="AB1134" s="86"/>
    </row>
    <row r="1135" spans="28:30" x14ac:dyDescent="0.25">
      <c r="AB1135" s="86"/>
    </row>
    <row r="1136" spans="28:30" x14ac:dyDescent="0.25">
      <c r="AB1136" s="86"/>
    </row>
    <row r="1137" spans="28:30" x14ac:dyDescent="0.25">
      <c r="AB1137" s="86"/>
      <c r="AD1137" s="100"/>
    </row>
    <row r="1138" spans="28:30" x14ac:dyDescent="0.25">
      <c r="AB1138" s="86"/>
      <c r="AD1138" s="100"/>
    </row>
    <row r="1139" spans="28:30" x14ac:dyDescent="0.25">
      <c r="AB1139" s="86"/>
      <c r="AD1139" s="100"/>
    </row>
    <row r="1140" spans="28:30" x14ac:dyDescent="0.25">
      <c r="AB1140" s="86"/>
      <c r="AD1140" s="100"/>
    </row>
    <row r="1141" spans="28:30" x14ac:dyDescent="0.25">
      <c r="AB1141" s="86"/>
      <c r="AD1141" s="100"/>
    </row>
    <row r="1142" spans="28:30" x14ac:dyDescent="0.25">
      <c r="AB1142" s="86"/>
      <c r="AD1142" s="100"/>
    </row>
    <row r="1143" spans="28:30" x14ac:dyDescent="0.25">
      <c r="AB1143" s="86"/>
    </row>
    <row r="1144" spans="28:30" x14ac:dyDescent="0.25">
      <c r="AB1144" s="86"/>
      <c r="AD1144" s="100"/>
    </row>
    <row r="1145" spans="28:30" x14ac:dyDescent="0.25">
      <c r="AB1145" s="86"/>
      <c r="AD1145" s="100"/>
    </row>
    <row r="1146" spans="28:30" x14ac:dyDescent="0.25">
      <c r="AB1146" s="86"/>
      <c r="AD1146" s="100"/>
    </row>
    <row r="1147" spans="28:30" x14ac:dyDescent="0.25">
      <c r="AB1147" s="86"/>
      <c r="AD1147" s="100"/>
    </row>
    <row r="1148" spans="28:30" x14ac:dyDescent="0.25">
      <c r="AB1148" s="86"/>
      <c r="AD1148" s="100"/>
    </row>
    <row r="1149" spans="28:30" x14ac:dyDescent="0.25">
      <c r="AB1149" s="86"/>
      <c r="AD1149" s="100"/>
    </row>
    <row r="1150" spans="28:30" x14ac:dyDescent="0.25">
      <c r="AB1150" s="86"/>
      <c r="AD1150" s="100"/>
    </row>
    <row r="1151" spans="28:30" x14ac:dyDescent="0.25">
      <c r="AB1151" s="86"/>
      <c r="AD1151" s="100"/>
    </row>
    <row r="1152" spans="28:30" x14ac:dyDescent="0.25">
      <c r="AB1152" s="86"/>
      <c r="AD1152" s="100"/>
    </row>
    <row r="1153" spans="28:30" x14ac:dyDescent="0.25">
      <c r="AB1153" s="86"/>
      <c r="AD1153" s="100"/>
    </row>
    <row r="1154" spans="28:30" x14ac:dyDescent="0.25">
      <c r="AB1154" s="86"/>
      <c r="AD1154" s="100"/>
    </row>
    <row r="1155" spans="28:30" x14ac:dyDescent="0.25">
      <c r="AB1155" s="86"/>
      <c r="AD1155" s="100"/>
    </row>
    <row r="1156" spans="28:30" x14ac:dyDescent="0.25">
      <c r="AB1156" s="86"/>
      <c r="AD1156" s="100"/>
    </row>
    <row r="1157" spans="28:30" x14ac:dyDescent="0.25">
      <c r="AB1157" s="86"/>
      <c r="AD1157" s="100"/>
    </row>
    <row r="1158" spans="28:30" x14ac:dyDescent="0.25">
      <c r="AB1158" s="86"/>
      <c r="AD1158" s="100"/>
    </row>
    <row r="1159" spans="28:30" x14ac:dyDescent="0.25">
      <c r="AB1159" s="86"/>
      <c r="AD1159" s="100"/>
    </row>
    <row r="1160" spans="28:30" x14ac:dyDescent="0.25">
      <c r="AB1160" s="86"/>
      <c r="AD1160" s="100"/>
    </row>
    <row r="1161" spans="28:30" x14ac:dyDescent="0.25">
      <c r="AB1161" s="86"/>
      <c r="AD1161" s="100"/>
    </row>
    <row r="1162" spans="28:30" x14ac:dyDescent="0.25">
      <c r="AB1162" s="86"/>
      <c r="AD1162" s="100"/>
    </row>
    <row r="1163" spans="28:30" x14ac:dyDescent="0.25">
      <c r="AB1163" s="86"/>
      <c r="AD1163" s="100"/>
    </row>
    <row r="1164" spans="28:30" x14ac:dyDescent="0.25">
      <c r="AB1164" s="86"/>
      <c r="AD1164" s="100"/>
    </row>
    <row r="1165" spans="28:30" x14ac:dyDescent="0.25">
      <c r="AB1165" s="86"/>
      <c r="AD1165" s="100"/>
    </row>
    <row r="1166" spans="28:30" x14ac:dyDescent="0.25">
      <c r="AB1166" s="86"/>
    </row>
    <row r="1167" spans="28:30" x14ac:dyDescent="0.25">
      <c r="AB1167" s="86"/>
      <c r="AD1167" s="100"/>
    </row>
    <row r="1168" spans="28:30" x14ac:dyDescent="0.25">
      <c r="AB1168" s="86"/>
      <c r="AD1168" s="100"/>
    </row>
    <row r="1169" spans="28:30" x14ac:dyDescent="0.25">
      <c r="AB1169" s="86"/>
      <c r="AD1169" s="100"/>
    </row>
    <row r="1170" spans="28:30" x14ac:dyDescent="0.25">
      <c r="AB1170" s="86"/>
      <c r="AD1170" s="100"/>
    </row>
    <row r="1171" spans="28:30" x14ac:dyDescent="0.25">
      <c r="AB1171" s="86"/>
      <c r="AD1171" s="100"/>
    </row>
    <row r="1172" spans="28:30" x14ac:dyDescent="0.25">
      <c r="AB1172" s="86"/>
      <c r="AD1172" s="100"/>
    </row>
    <row r="1173" spans="28:30" x14ac:dyDescent="0.25">
      <c r="AB1173" s="86"/>
      <c r="AD1173" s="100"/>
    </row>
    <row r="1174" spans="28:30" x14ac:dyDescent="0.25">
      <c r="AB1174" s="86"/>
      <c r="AD1174" s="100"/>
    </row>
    <row r="1175" spans="28:30" x14ac:dyDescent="0.25">
      <c r="AB1175" s="86"/>
      <c r="AD1175" s="100"/>
    </row>
    <row r="1176" spans="28:30" x14ac:dyDescent="0.25">
      <c r="AB1176" s="86"/>
      <c r="AD1176" s="100"/>
    </row>
    <row r="1177" spans="28:30" x14ac:dyDescent="0.25">
      <c r="AB1177" s="86"/>
      <c r="AD1177" s="100"/>
    </row>
    <row r="1178" spans="28:30" x14ac:dyDescent="0.25">
      <c r="AB1178" s="86"/>
      <c r="AD1178" s="100"/>
    </row>
    <row r="1179" spans="28:30" x14ac:dyDescent="0.25">
      <c r="AB1179" s="86"/>
      <c r="AD1179" s="100"/>
    </row>
    <row r="1180" spans="28:30" x14ac:dyDescent="0.25">
      <c r="AB1180" s="86"/>
      <c r="AD1180" s="100"/>
    </row>
    <row r="1181" spans="28:30" x14ac:dyDescent="0.25">
      <c r="AB1181" s="86"/>
      <c r="AD1181" s="100"/>
    </row>
    <row r="1182" spans="28:30" x14ac:dyDescent="0.25">
      <c r="AB1182" s="86"/>
      <c r="AD1182" s="100"/>
    </row>
    <row r="1183" spans="28:30" x14ac:dyDescent="0.25">
      <c r="AB1183" s="86"/>
      <c r="AD1183" s="100"/>
    </row>
    <row r="1184" spans="28:30" x14ac:dyDescent="0.25">
      <c r="AB1184" s="86"/>
      <c r="AD1184" s="100"/>
    </row>
    <row r="1185" spans="28:30" x14ac:dyDescent="0.25">
      <c r="AB1185" s="86"/>
      <c r="AD1185" s="100"/>
    </row>
    <row r="1186" spans="28:30" x14ac:dyDescent="0.25">
      <c r="AB1186" s="86"/>
      <c r="AD1186" s="100"/>
    </row>
    <row r="1187" spans="28:30" x14ac:dyDescent="0.25">
      <c r="AB1187" s="86"/>
      <c r="AD1187" s="100"/>
    </row>
    <row r="1188" spans="28:30" x14ac:dyDescent="0.25">
      <c r="AB1188" s="86"/>
      <c r="AD1188" s="100"/>
    </row>
    <row r="1189" spans="28:30" x14ac:dyDescent="0.25">
      <c r="AB1189" s="86"/>
      <c r="AD1189" s="100"/>
    </row>
    <row r="1190" spans="28:30" x14ac:dyDescent="0.25">
      <c r="AB1190" s="86"/>
    </row>
    <row r="1191" spans="28:30" x14ac:dyDescent="0.25">
      <c r="AB1191" s="86"/>
      <c r="AD1191" s="100"/>
    </row>
    <row r="1192" spans="28:30" x14ac:dyDescent="0.25">
      <c r="AB1192" s="86"/>
      <c r="AD1192" s="100"/>
    </row>
    <row r="1193" spans="28:30" x14ac:dyDescent="0.25">
      <c r="AB1193" s="86"/>
      <c r="AD1193" s="100"/>
    </row>
    <row r="1194" spans="28:30" x14ac:dyDescent="0.25">
      <c r="AB1194" s="86"/>
    </row>
    <row r="1195" spans="28:30" x14ac:dyDescent="0.25">
      <c r="AB1195" s="86"/>
      <c r="AD1195" s="100"/>
    </row>
    <row r="1196" spans="28:30" x14ac:dyDescent="0.25">
      <c r="AB1196" s="86"/>
      <c r="AD1196" s="100"/>
    </row>
    <row r="1197" spans="28:30" x14ac:dyDescent="0.25">
      <c r="AB1197" s="86"/>
      <c r="AD1197" s="100"/>
    </row>
    <row r="1198" spans="28:30" x14ac:dyDescent="0.25">
      <c r="AB1198" s="86"/>
      <c r="AD1198" s="100"/>
    </row>
    <row r="1199" spans="28:30" x14ac:dyDescent="0.25">
      <c r="AB1199" s="86"/>
      <c r="AD1199" s="100"/>
    </row>
    <row r="1200" spans="28:30" x14ac:dyDescent="0.25">
      <c r="AB1200" s="86"/>
    </row>
    <row r="1201" spans="28:30" x14ac:dyDescent="0.25">
      <c r="AB1201" s="86"/>
    </row>
    <row r="1202" spans="28:30" x14ac:dyDescent="0.25">
      <c r="AB1202" s="86"/>
      <c r="AD1202" s="100"/>
    </row>
    <row r="1203" spans="28:30" x14ac:dyDescent="0.25">
      <c r="AB1203" s="86"/>
      <c r="AD1203" s="100"/>
    </row>
    <row r="1204" spans="28:30" x14ac:dyDescent="0.25">
      <c r="AB1204" s="86"/>
      <c r="AD1204" s="100"/>
    </row>
    <row r="1205" spans="28:30" x14ac:dyDescent="0.25">
      <c r="AB1205" s="86"/>
    </row>
    <row r="1206" spans="28:30" x14ac:dyDescent="0.25">
      <c r="AB1206" s="86"/>
    </row>
    <row r="1207" spans="28:30" x14ac:dyDescent="0.25">
      <c r="AB1207" s="86"/>
      <c r="AD1207" s="100"/>
    </row>
    <row r="1208" spans="28:30" x14ac:dyDescent="0.25">
      <c r="AB1208" s="86"/>
      <c r="AD1208" s="100"/>
    </row>
    <row r="1209" spans="28:30" x14ac:dyDescent="0.25">
      <c r="AB1209" s="86"/>
      <c r="AD1209" s="100"/>
    </row>
    <row r="1210" spans="28:30" x14ac:dyDescent="0.25">
      <c r="AB1210" s="86"/>
    </row>
    <row r="1211" spans="28:30" x14ac:dyDescent="0.25">
      <c r="AB1211" s="86"/>
    </row>
    <row r="1212" spans="28:30" x14ac:dyDescent="0.25">
      <c r="AB1212" s="86"/>
    </row>
    <row r="1213" spans="28:30" x14ac:dyDescent="0.25">
      <c r="AB1213" s="86"/>
    </row>
    <row r="1214" spans="28:30" x14ac:dyDescent="0.25">
      <c r="AB1214" s="86"/>
      <c r="AD1214" s="100"/>
    </row>
    <row r="1215" spans="28:30" x14ac:dyDescent="0.25">
      <c r="AB1215" s="86"/>
      <c r="AD1215" s="100"/>
    </row>
    <row r="1216" spans="28:30" x14ac:dyDescent="0.25">
      <c r="AB1216" s="86"/>
      <c r="AD1216" s="100"/>
    </row>
    <row r="1217" spans="28:30" x14ac:dyDescent="0.25">
      <c r="AB1217" s="86"/>
      <c r="AD1217" s="100"/>
    </row>
    <row r="1218" spans="28:30" x14ac:dyDescent="0.25">
      <c r="AB1218" s="86"/>
      <c r="AD1218" s="100"/>
    </row>
    <row r="1219" spans="28:30" x14ac:dyDescent="0.25">
      <c r="AB1219" s="86"/>
      <c r="AD1219" s="100"/>
    </row>
    <row r="1220" spans="28:30" x14ac:dyDescent="0.25">
      <c r="AB1220" s="86"/>
      <c r="AD1220" s="100"/>
    </row>
    <row r="1221" spans="28:30" x14ac:dyDescent="0.25">
      <c r="AB1221" s="86"/>
      <c r="AD1221" s="100"/>
    </row>
    <row r="1222" spans="28:30" x14ac:dyDescent="0.25">
      <c r="AB1222" s="86"/>
      <c r="AD1222" s="100"/>
    </row>
    <row r="1223" spans="28:30" x14ac:dyDescent="0.25">
      <c r="AB1223" s="86"/>
      <c r="AD1223" s="100"/>
    </row>
    <row r="1224" spans="28:30" x14ac:dyDescent="0.25">
      <c r="AB1224" s="86"/>
      <c r="AD1224" s="100"/>
    </row>
    <row r="1225" spans="28:30" x14ac:dyDescent="0.25">
      <c r="AB1225" s="86"/>
      <c r="AD1225" s="100"/>
    </row>
    <row r="1226" spans="28:30" x14ac:dyDescent="0.25">
      <c r="AB1226" s="86"/>
      <c r="AD1226" s="100"/>
    </row>
    <row r="1227" spans="28:30" x14ac:dyDescent="0.25">
      <c r="AB1227" s="86"/>
      <c r="AD1227" s="100"/>
    </row>
    <row r="1228" spans="28:30" x14ac:dyDescent="0.25">
      <c r="AB1228" s="86"/>
      <c r="AD1228" s="100"/>
    </row>
    <row r="1229" spans="28:30" x14ac:dyDescent="0.25">
      <c r="AB1229" s="86"/>
      <c r="AD1229" s="100"/>
    </row>
    <row r="1230" spans="28:30" x14ac:dyDescent="0.25">
      <c r="AB1230" s="86"/>
      <c r="AD1230" s="100"/>
    </row>
    <row r="1231" spans="28:30" x14ac:dyDescent="0.25">
      <c r="AB1231" s="86"/>
      <c r="AD1231" s="100"/>
    </row>
    <row r="1232" spans="28:30" x14ac:dyDescent="0.25">
      <c r="AB1232" s="86"/>
      <c r="AD1232" s="100"/>
    </row>
    <row r="1233" spans="28:30" x14ac:dyDescent="0.25">
      <c r="AB1233" s="86"/>
      <c r="AD1233" s="100"/>
    </row>
    <row r="1234" spans="28:30" x14ac:dyDescent="0.25">
      <c r="AB1234" s="86"/>
      <c r="AD1234" s="100"/>
    </row>
    <row r="1235" spans="28:30" x14ac:dyDescent="0.25">
      <c r="AB1235" s="86"/>
      <c r="AD1235" s="100"/>
    </row>
    <row r="1236" spans="28:30" x14ac:dyDescent="0.25">
      <c r="AB1236" s="86"/>
      <c r="AD1236" s="100"/>
    </row>
    <row r="1237" spans="28:30" x14ac:dyDescent="0.25">
      <c r="AB1237" s="86"/>
      <c r="AD1237" s="100"/>
    </row>
    <row r="1238" spans="28:30" x14ac:dyDescent="0.25">
      <c r="AB1238" s="86"/>
      <c r="AD1238" s="100"/>
    </row>
    <row r="1239" spans="28:30" x14ac:dyDescent="0.25">
      <c r="AB1239" s="86"/>
      <c r="AD1239" s="100"/>
    </row>
    <row r="1240" spans="28:30" x14ac:dyDescent="0.25">
      <c r="AB1240" s="86"/>
      <c r="AD1240" s="100"/>
    </row>
    <row r="1241" spans="28:30" x14ac:dyDescent="0.25">
      <c r="AB1241" s="86"/>
      <c r="AD1241" s="100"/>
    </row>
    <row r="1242" spans="28:30" x14ac:dyDescent="0.25">
      <c r="AB1242" s="86"/>
      <c r="AD1242" s="100"/>
    </row>
    <row r="1243" spans="28:30" x14ac:dyDescent="0.25">
      <c r="AB1243" s="86"/>
      <c r="AD1243" s="100"/>
    </row>
    <row r="1244" spans="28:30" x14ac:dyDescent="0.25">
      <c r="AB1244" s="86"/>
      <c r="AD1244" s="100"/>
    </row>
    <row r="1245" spans="28:30" x14ac:dyDescent="0.25">
      <c r="AB1245" s="86"/>
      <c r="AD1245" s="100"/>
    </row>
    <row r="1246" spans="28:30" x14ac:dyDescent="0.25">
      <c r="AB1246" s="86"/>
      <c r="AD1246" s="100"/>
    </row>
    <row r="1247" spans="28:30" x14ac:dyDescent="0.25">
      <c r="AB1247" s="86"/>
      <c r="AD1247" s="100"/>
    </row>
    <row r="1248" spans="28:30" x14ac:dyDescent="0.25">
      <c r="AB1248" s="86"/>
      <c r="AD1248" s="100"/>
    </row>
    <row r="1249" spans="28:30" x14ac:dyDescent="0.25">
      <c r="AB1249" s="86"/>
      <c r="AD1249" s="100"/>
    </row>
    <row r="1250" spans="28:30" x14ac:dyDescent="0.25">
      <c r="AB1250" s="86"/>
      <c r="AD1250" s="100"/>
    </row>
    <row r="1251" spans="28:30" x14ac:dyDescent="0.25">
      <c r="AB1251" s="86"/>
      <c r="AD1251" s="100"/>
    </row>
    <row r="1252" spans="28:30" x14ac:dyDescent="0.25">
      <c r="AB1252" s="86"/>
      <c r="AD1252" s="100"/>
    </row>
    <row r="1253" spans="28:30" x14ac:dyDescent="0.25">
      <c r="AB1253" s="86"/>
      <c r="AD1253" s="100"/>
    </row>
    <row r="1254" spans="28:30" x14ac:dyDescent="0.25">
      <c r="AB1254" s="86"/>
      <c r="AD1254" s="100"/>
    </row>
    <row r="1255" spans="28:30" x14ac:dyDescent="0.25">
      <c r="AB1255" s="86"/>
      <c r="AD1255" s="100"/>
    </row>
    <row r="1256" spans="28:30" x14ac:dyDescent="0.25">
      <c r="AB1256" s="86"/>
      <c r="AD1256" s="100"/>
    </row>
    <row r="1257" spans="28:30" x14ac:dyDescent="0.25">
      <c r="AB1257" s="86"/>
      <c r="AD1257" s="100"/>
    </row>
    <row r="1258" spans="28:30" x14ac:dyDescent="0.25">
      <c r="AB1258" s="86"/>
      <c r="AD1258" s="100"/>
    </row>
    <row r="1259" spans="28:30" x14ac:dyDescent="0.25">
      <c r="AB1259" s="86"/>
      <c r="AD1259" s="100"/>
    </row>
    <row r="1260" spans="28:30" x14ac:dyDescent="0.25">
      <c r="AB1260" s="86"/>
      <c r="AD1260" s="100"/>
    </row>
    <row r="1261" spans="28:30" x14ac:dyDescent="0.25">
      <c r="AB1261" s="86"/>
      <c r="AD1261" s="100"/>
    </row>
    <row r="1262" spans="28:30" x14ac:dyDescent="0.25">
      <c r="AB1262" s="86"/>
      <c r="AD1262" s="100"/>
    </row>
    <row r="1263" spans="28:30" x14ac:dyDescent="0.25">
      <c r="AB1263" s="86"/>
      <c r="AD1263" s="100"/>
    </row>
    <row r="1264" spans="28:30" x14ac:dyDescent="0.25">
      <c r="AB1264" s="86"/>
      <c r="AD1264" s="100"/>
    </row>
    <row r="1265" spans="28:30" x14ac:dyDescent="0.25">
      <c r="AB1265" s="86"/>
      <c r="AD1265" s="100"/>
    </row>
    <row r="1266" spans="28:30" x14ac:dyDescent="0.25">
      <c r="AB1266" s="86"/>
      <c r="AD1266" s="100"/>
    </row>
    <row r="1267" spans="28:30" x14ac:dyDescent="0.25">
      <c r="AB1267" s="86"/>
      <c r="AD1267" s="100"/>
    </row>
    <row r="1268" spans="28:30" x14ac:dyDescent="0.25">
      <c r="AB1268" s="86"/>
      <c r="AD1268" s="100"/>
    </row>
    <row r="1269" spans="28:30" x14ac:dyDescent="0.25">
      <c r="AB1269" s="86"/>
      <c r="AD1269" s="100"/>
    </row>
    <row r="1270" spans="28:30" x14ac:dyDescent="0.25">
      <c r="AB1270" s="86"/>
      <c r="AD1270" s="100"/>
    </row>
    <row r="1271" spans="28:30" x14ac:dyDescent="0.25">
      <c r="AB1271" s="86"/>
      <c r="AD1271" s="100"/>
    </row>
    <row r="1272" spans="28:30" x14ac:dyDescent="0.25">
      <c r="AB1272" s="86"/>
      <c r="AD1272" s="100"/>
    </row>
    <row r="1273" spans="28:30" x14ac:dyDescent="0.25">
      <c r="AB1273" s="86"/>
      <c r="AD1273" s="100"/>
    </row>
    <row r="1274" spans="28:30" x14ac:dyDescent="0.25">
      <c r="AB1274" s="86"/>
      <c r="AD1274" s="100"/>
    </row>
    <row r="1275" spans="28:30" x14ac:dyDescent="0.25">
      <c r="AB1275" s="86"/>
      <c r="AD1275" s="100"/>
    </row>
    <row r="1276" spans="28:30" x14ac:dyDescent="0.25">
      <c r="AB1276" s="86"/>
      <c r="AD1276" s="100"/>
    </row>
    <row r="1277" spans="28:30" x14ac:dyDescent="0.25">
      <c r="AB1277" s="86"/>
      <c r="AD1277" s="100"/>
    </row>
    <row r="1278" spans="28:30" x14ac:dyDescent="0.25">
      <c r="AB1278" s="86"/>
      <c r="AD1278" s="100"/>
    </row>
    <row r="1279" spans="28:30" x14ac:dyDescent="0.25">
      <c r="AB1279" s="86"/>
      <c r="AD1279" s="100"/>
    </row>
    <row r="1280" spans="28:30" x14ac:dyDescent="0.25">
      <c r="AB1280" s="86"/>
      <c r="AD1280" s="100"/>
    </row>
    <row r="1281" spans="28:30" x14ac:dyDescent="0.25">
      <c r="AB1281" s="86"/>
      <c r="AD1281" s="100"/>
    </row>
    <row r="1282" spans="28:30" x14ac:dyDescent="0.25">
      <c r="AB1282" s="86"/>
      <c r="AD1282" s="100"/>
    </row>
    <row r="1283" spans="28:30" x14ac:dyDescent="0.25">
      <c r="AB1283" s="86"/>
      <c r="AD1283" s="100"/>
    </row>
    <row r="1284" spans="28:30" x14ac:dyDescent="0.25">
      <c r="AB1284" s="86"/>
      <c r="AD1284" s="100"/>
    </row>
    <row r="1285" spans="28:30" x14ac:dyDescent="0.25">
      <c r="AB1285" s="86"/>
      <c r="AD1285" s="100"/>
    </row>
    <row r="1286" spans="28:30" x14ac:dyDescent="0.25">
      <c r="AB1286" s="86"/>
      <c r="AD1286" s="100"/>
    </row>
    <row r="1287" spans="28:30" x14ac:dyDescent="0.25">
      <c r="AB1287" s="86"/>
      <c r="AD1287" s="100"/>
    </row>
    <row r="1288" spans="28:30" x14ac:dyDescent="0.25">
      <c r="AB1288" s="86"/>
      <c r="AD1288" s="100"/>
    </row>
    <row r="1289" spans="28:30" x14ac:dyDescent="0.25">
      <c r="AB1289" s="86"/>
      <c r="AD1289" s="100"/>
    </row>
    <row r="1290" spans="28:30" x14ac:dyDescent="0.25">
      <c r="AB1290" s="86"/>
      <c r="AD1290" s="100"/>
    </row>
    <row r="1291" spans="28:30" x14ac:dyDescent="0.25">
      <c r="AB1291" s="86"/>
      <c r="AD1291" s="100"/>
    </row>
    <row r="1292" spans="28:30" x14ac:dyDescent="0.25">
      <c r="AB1292" s="86"/>
      <c r="AD1292" s="100"/>
    </row>
    <row r="1293" spans="28:30" x14ac:dyDescent="0.25">
      <c r="AB1293" s="86"/>
      <c r="AD1293" s="100"/>
    </row>
    <row r="1294" spans="28:30" x14ac:dyDescent="0.25">
      <c r="AB1294" s="86"/>
      <c r="AD1294" s="100"/>
    </row>
    <row r="1295" spans="28:30" x14ac:dyDescent="0.25">
      <c r="AB1295" s="86"/>
      <c r="AD1295" s="100"/>
    </row>
    <row r="1296" spans="28:30" x14ac:dyDescent="0.25">
      <c r="AB1296" s="86"/>
      <c r="AD1296" s="100"/>
    </row>
    <row r="1297" spans="28:30" x14ac:dyDescent="0.25">
      <c r="AB1297" s="86"/>
      <c r="AD1297" s="100"/>
    </row>
    <row r="1298" spans="28:30" x14ac:dyDescent="0.25">
      <c r="AB1298" s="86"/>
      <c r="AD1298" s="100"/>
    </row>
    <row r="1299" spans="28:30" x14ac:dyDescent="0.25">
      <c r="AB1299" s="86"/>
      <c r="AD1299" s="100"/>
    </row>
    <row r="1300" spans="28:30" x14ac:dyDescent="0.25">
      <c r="AB1300" s="86"/>
      <c r="AD1300" s="100"/>
    </row>
    <row r="1301" spans="28:30" x14ac:dyDescent="0.25">
      <c r="AB1301" s="86"/>
      <c r="AD1301" s="100"/>
    </row>
    <row r="1302" spans="28:30" x14ac:dyDescent="0.25">
      <c r="AB1302" s="86"/>
      <c r="AD1302" s="100"/>
    </row>
    <row r="1303" spans="28:30" x14ac:dyDescent="0.25">
      <c r="AB1303" s="86"/>
      <c r="AD1303" s="100"/>
    </row>
    <row r="1304" spans="28:30" x14ac:dyDescent="0.25">
      <c r="AB1304" s="86"/>
      <c r="AD1304" s="100"/>
    </row>
    <row r="1305" spans="28:30" x14ac:dyDescent="0.25">
      <c r="AB1305" s="86"/>
      <c r="AD1305" s="100"/>
    </row>
    <row r="1306" spans="28:30" x14ac:dyDescent="0.25">
      <c r="AB1306" s="86"/>
      <c r="AD1306" s="100"/>
    </row>
    <row r="1307" spans="28:30" x14ac:dyDescent="0.25">
      <c r="AB1307" s="86"/>
      <c r="AD1307" s="100"/>
    </row>
    <row r="1308" spans="28:30" x14ac:dyDescent="0.25">
      <c r="AB1308" s="86"/>
      <c r="AD1308" s="100"/>
    </row>
    <row r="1309" spans="28:30" x14ac:dyDescent="0.25">
      <c r="AB1309" s="86"/>
      <c r="AD1309" s="100"/>
    </row>
    <row r="1310" spans="28:30" x14ac:dyDescent="0.25">
      <c r="AB1310" s="86"/>
      <c r="AD1310" s="100"/>
    </row>
    <row r="1311" spans="28:30" x14ac:dyDescent="0.25">
      <c r="AB1311" s="86"/>
      <c r="AD1311" s="100"/>
    </row>
    <row r="1312" spans="28:30" x14ac:dyDescent="0.25">
      <c r="AB1312" s="86"/>
      <c r="AD1312" s="100"/>
    </row>
    <row r="1313" spans="28:30" x14ac:dyDescent="0.25">
      <c r="AB1313" s="86"/>
      <c r="AD1313" s="100"/>
    </row>
    <row r="1314" spans="28:30" x14ac:dyDescent="0.25">
      <c r="AB1314" s="86"/>
      <c r="AD1314" s="100"/>
    </row>
    <row r="1315" spans="28:30" x14ac:dyDescent="0.25">
      <c r="AB1315" s="86"/>
      <c r="AD1315" s="100"/>
    </row>
    <row r="1316" spans="28:30" x14ac:dyDescent="0.25">
      <c r="AB1316" s="86"/>
      <c r="AD1316" s="100"/>
    </row>
    <row r="1317" spans="28:30" x14ac:dyDescent="0.25">
      <c r="AB1317" s="86"/>
      <c r="AD1317" s="100"/>
    </row>
    <row r="1318" spans="28:30" x14ac:dyDescent="0.25">
      <c r="AB1318" s="86"/>
      <c r="AD1318" s="100"/>
    </row>
    <row r="1319" spans="28:30" x14ac:dyDescent="0.25">
      <c r="AB1319" s="86"/>
      <c r="AD1319" s="100"/>
    </row>
    <row r="1320" spans="28:30" x14ac:dyDescent="0.25">
      <c r="AB1320" s="86"/>
      <c r="AD1320" s="100"/>
    </row>
    <row r="1321" spans="28:30" x14ac:dyDescent="0.25">
      <c r="AB1321" s="86"/>
      <c r="AD1321" s="100"/>
    </row>
    <row r="1322" spans="28:30" x14ac:dyDescent="0.25">
      <c r="AB1322" s="86"/>
      <c r="AD1322" s="100"/>
    </row>
    <row r="1323" spans="28:30" x14ac:dyDescent="0.25">
      <c r="AB1323" s="86"/>
      <c r="AD1323" s="100"/>
    </row>
    <row r="1324" spans="28:30" x14ac:dyDescent="0.25">
      <c r="AB1324" s="86"/>
      <c r="AD1324" s="100"/>
    </row>
    <row r="1325" spans="28:30" x14ac:dyDescent="0.25">
      <c r="AB1325" s="86"/>
      <c r="AD1325" s="100"/>
    </row>
    <row r="1326" spans="28:30" x14ac:dyDescent="0.25">
      <c r="AB1326" s="86"/>
      <c r="AD1326" s="100"/>
    </row>
    <row r="1327" spans="28:30" x14ac:dyDescent="0.25">
      <c r="AB1327" s="86"/>
      <c r="AD1327" s="100"/>
    </row>
    <row r="1328" spans="28:30" x14ac:dyDescent="0.25">
      <c r="AB1328" s="86"/>
      <c r="AD1328" s="100"/>
    </row>
    <row r="1329" spans="28:30" x14ac:dyDescent="0.25">
      <c r="AB1329" s="86"/>
      <c r="AD1329" s="100"/>
    </row>
    <row r="1330" spans="28:30" x14ac:dyDescent="0.25">
      <c r="AB1330" s="86"/>
      <c r="AD1330" s="100"/>
    </row>
    <row r="1331" spans="28:30" x14ac:dyDescent="0.25">
      <c r="AB1331" s="86"/>
      <c r="AD1331" s="100"/>
    </row>
    <row r="1332" spans="28:30" x14ac:dyDescent="0.25">
      <c r="AB1332" s="86"/>
      <c r="AD1332" s="100"/>
    </row>
    <row r="1333" spans="28:30" x14ac:dyDescent="0.25">
      <c r="AB1333" s="86"/>
      <c r="AD1333" s="100"/>
    </row>
    <row r="1334" spans="28:30" x14ac:dyDescent="0.25">
      <c r="AB1334" s="86"/>
      <c r="AD1334" s="100"/>
    </row>
    <row r="1335" spans="28:30" x14ac:dyDescent="0.25">
      <c r="AB1335" s="86"/>
      <c r="AD1335" s="100"/>
    </row>
    <row r="1336" spans="28:30" x14ac:dyDescent="0.25">
      <c r="AB1336" s="86"/>
      <c r="AD1336" s="100"/>
    </row>
    <row r="1337" spans="28:30" x14ac:dyDescent="0.25">
      <c r="AB1337" s="86"/>
      <c r="AD1337" s="100"/>
    </row>
    <row r="1338" spans="28:30" x14ac:dyDescent="0.25">
      <c r="AB1338" s="86"/>
      <c r="AD1338" s="100"/>
    </row>
    <row r="1339" spans="28:30" x14ac:dyDescent="0.25">
      <c r="AB1339" s="86"/>
      <c r="AD1339" s="100"/>
    </row>
    <row r="1340" spans="28:30" x14ac:dyDescent="0.25">
      <c r="AB1340" s="86"/>
      <c r="AD1340" s="100"/>
    </row>
    <row r="1341" spans="28:30" x14ac:dyDescent="0.25">
      <c r="AB1341" s="86"/>
      <c r="AD1341" s="100"/>
    </row>
    <row r="1342" spans="28:30" x14ac:dyDescent="0.25">
      <c r="AB1342" s="86"/>
      <c r="AD1342" s="100"/>
    </row>
    <row r="1343" spans="28:30" x14ac:dyDescent="0.25">
      <c r="AB1343" s="86"/>
      <c r="AD1343" s="100"/>
    </row>
    <row r="1344" spans="28:30" x14ac:dyDescent="0.25">
      <c r="AB1344" s="86"/>
      <c r="AD1344" s="100"/>
    </row>
    <row r="1345" spans="28:30" x14ac:dyDescent="0.25">
      <c r="AB1345" s="86"/>
      <c r="AD1345" s="100"/>
    </row>
    <row r="1346" spans="28:30" x14ac:dyDescent="0.25">
      <c r="AB1346" s="86"/>
      <c r="AD1346" s="100"/>
    </row>
    <row r="1347" spans="28:30" x14ac:dyDescent="0.25">
      <c r="AB1347" s="86"/>
      <c r="AD1347" s="100"/>
    </row>
    <row r="1348" spans="28:30" x14ac:dyDescent="0.25">
      <c r="AB1348" s="86"/>
      <c r="AD1348" s="100"/>
    </row>
    <row r="1349" spans="28:30" x14ac:dyDescent="0.25">
      <c r="AB1349" s="86"/>
      <c r="AD1349" s="100"/>
    </row>
    <row r="1350" spans="28:30" x14ac:dyDescent="0.25">
      <c r="AB1350" s="86"/>
      <c r="AD1350" s="100"/>
    </row>
    <row r="1351" spans="28:30" x14ac:dyDescent="0.25">
      <c r="AB1351" s="86"/>
      <c r="AD1351" s="100"/>
    </row>
    <row r="1352" spans="28:30" x14ac:dyDescent="0.25">
      <c r="AB1352" s="86"/>
      <c r="AD1352" s="100"/>
    </row>
    <row r="1353" spans="28:30" x14ac:dyDescent="0.25">
      <c r="AB1353" s="86"/>
      <c r="AD1353" s="100"/>
    </row>
    <row r="1354" spans="28:30" x14ac:dyDescent="0.25">
      <c r="AB1354" s="86"/>
      <c r="AD1354" s="100"/>
    </row>
    <row r="1355" spans="28:30" x14ac:dyDescent="0.25">
      <c r="AB1355" s="86"/>
      <c r="AD1355" s="100"/>
    </row>
    <row r="1356" spans="28:30" x14ac:dyDescent="0.25">
      <c r="AB1356" s="86"/>
      <c r="AD1356" s="100"/>
    </row>
    <row r="1357" spans="28:30" x14ac:dyDescent="0.25">
      <c r="AB1357" s="86"/>
      <c r="AD1357" s="100"/>
    </row>
    <row r="1358" spans="28:30" x14ac:dyDescent="0.25">
      <c r="AB1358" s="86"/>
      <c r="AD1358" s="100"/>
    </row>
    <row r="1359" spans="28:30" x14ac:dyDescent="0.25">
      <c r="AB1359" s="86"/>
      <c r="AD1359" s="100"/>
    </row>
    <row r="1360" spans="28:30" x14ac:dyDescent="0.25">
      <c r="AB1360" s="86"/>
      <c r="AD1360" s="100"/>
    </row>
    <row r="1361" spans="28:30" x14ac:dyDescent="0.25">
      <c r="AB1361" s="86"/>
      <c r="AD1361" s="100"/>
    </row>
    <row r="1362" spans="28:30" x14ac:dyDescent="0.25">
      <c r="AB1362" s="86"/>
      <c r="AD1362" s="100"/>
    </row>
    <row r="1363" spans="28:30" x14ac:dyDescent="0.25">
      <c r="AB1363" s="86"/>
      <c r="AD1363" s="100"/>
    </row>
    <row r="1364" spans="28:30" x14ac:dyDescent="0.25">
      <c r="AB1364" s="86"/>
      <c r="AD1364" s="100"/>
    </row>
    <row r="1365" spans="28:30" x14ac:dyDescent="0.25">
      <c r="AB1365" s="86"/>
      <c r="AD1365" s="100"/>
    </row>
    <row r="1366" spans="28:30" x14ac:dyDescent="0.25">
      <c r="AB1366" s="86"/>
      <c r="AD1366" s="100"/>
    </row>
    <row r="1367" spans="28:30" x14ac:dyDescent="0.25">
      <c r="AB1367" s="86"/>
      <c r="AD1367" s="100"/>
    </row>
    <row r="1368" spans="28:30" x14ac:dyDescent="0.25">
      <c r="AB1368" s="86"/>
      <c r="AD1368" s="100"/>
    </row>
    <row r="1369" spans="28:30" x14ac:dyDescent="0.25">
      <c r="AB1369" s="86"/>
      <c r="AD1369" s="100"/>
    </row>
    <row r="1370" spans="28:30" x14ac:dyDescent="0.25">
      <c r="AB1370" s="86"/>
      <c r="AD1370" s="100"/>
    </row>
    <row r="1371" spans="28:30" x14ac:dyDescent="0.25">
      <c r="AB1371" s="86"/>
      <c r="AD1371" s="100"/>
    </row>
    <row r="1372" spans="28:30" x14ac:dyDescent="0.25">
      <c r="AB1372" s="86"/>
      <c r="AD1372" s="100"/>
    </row>
    <row r="1373" spans="28:30" x14ac:dyDescent="0.25">
      <c r="AB1373" s="86"/>
      <c r="AD1373" s="100"/>
    </row>
    <row r="1374" spans="28:30" x14ac:dyDescent="0.25">
      <c r="AB1374" s="86"/>
      <c r="AD1374" s="100"/>
    </row>
    <row r="1375" spans="28:30" x14ac:dyDescent="0.25">
      <c r="AB1375" s="86"/>
      <c r="AD1375" s="100"/>
    </row>
    <row r="1376" spans="28:30" x14ac:dyDescent="0.25">
      <c r="AB1376" s="86"/>
      <c r="AD1376" s="100"/>
    </row>
    <row r="1377" spans="28:30" x14ac:dyDescent="0.25">
      <c r="AB1377" s="86"/>
      <c r="AD1377" s="100"/>
    </row>
    <row r="1378" spans="28:30" x14ac:dyDescent="0.25">
      <c r="AB1378" s="86"/>
      <c r="AD1378" s="100"/>
    </row>
    <row r="1379" spans="28:30" x14ac:dyDescent="0.25">
      <c r="AB1379" s="86"/>
      <c r="AD1379" s="100"/>
    </row>
    <row r="1380" spans="28:30" x14ac:dyDescent="0.25">
      <c r="AB1380" s="86"/>
      <c r="AD1380" s="100"/>
    </row>
    <row r="1381" spans="28:30" x14ac:dyDescent="0.25">
      <c r="AB1381" s="86"/>
      <c r="AD1381" s="100"/>
    </row>
    <row r="1382" spans="28:30" x14ac:dyDescent="0.25">
      <c r="AB1382" s="86"/>
      <c r="AD1382" s="100"/>
    </row>
    <row r="1383" spans="28:30" x14ac:dyDescent="0.25">
      <c r="AB1383" s="86"/>
      <c r="AD1383" s="100"/>
    </row>
    <row r="1384" spans="28:30" x14ac:dyDescent="0.25">
      <c r="AB1384" s="86"/>
      <c r="AD1384" s="100"/>
    </row>
    <row r="1385" spans="28:30" x14ac:dyDescent="0.25">
      <c r="AB1385" s="86"/>
      <c r="AD1385" s="100"/>
    </row>
    <row r="1386" spans="28:30" x14ac:dyDescent="0.25">
      <c r="AB1386" s="86"/>
      <c r="AD1386" s="100"/>
    </row>
    <row r="1387" spans="28:30" x14ac:dyDescent="0.25">
      <c r="AB1387" s="86"/>
      <c r="AD1387" s="100"/>
    </row>
    <row r="1388" spans="28:30" x14ac:dyDescent="0.25">
      <c r="AB1388" s="86"/>
      <c r="AD1388" s="100"/>
    </row>
    <row r="1389" spans="28:30" x14ac:dyDescent="0.25">
      <c r="AB1389" s="86"/>
      <c r="AD1389" s="100"/>
    </row>
    <row r="1390" spans="28:30" x14ac:dyDescent="0.25">
      <c r="AB1390" s="86"/>
      <c r="AD1390" s="100"/>
    </row>
    <row r="1391" spans="28:30" x14ac:dyDescent="0.25">
      <c r="AB1391" s="86"/>
      <c r="AD1391" s="100"/>
    </row>
    <row r="1392" spans="28:30" x14ac:dyDescent="0.25">
      <c r="AB1392" s="86"/>
      <c r="AD1392" s="100"/>
    </row>
    <row r="1393" spans="28:30" x14ac:dyDescent="0.25">
      <c r="AB1393" s="86"/>
      <c r="AD1393" s="100"/>
    </row>
    <row r="1394" spans="28:30" x14ac:dyDescent="0.25">
      <c r="AB1394" s="86"/>
      <c r="AD1394" s="100"/>
    </row>
    <row r="1395" spans="28:30" x14ac:dyDescent="0.25">
      <c r="AB1395" s="86"/>
      <c r="AD1395" s="100"/>
    </row>
    <row r="1396" spans="28:30" x14ac:dyDescent="0.25">
      <c r="AB1396" s="86"/>
      <c r="AD1396" s="100"/>
    </row>
    <row r="1397" spans="28:30" x14ac:dyDescent="0.25">
      <c r="AB1397" s="86"/>
      <c r="AD1397" s="100"/>
    </row>
    <row r="1398" spans="28:30" x14ac:dyDescent="0.25">
      <c r="AB1398" s="86"/>
      <c r="AD1398" s="100"/>
    </row>
    <row r="1399" spans="28:30" x14ac:dyDescent="0.25">
      <c r="AB1399" s="86"/>
      <c r="AD1399" s="100"/>
    </row>
    <row r="1400" spans="28:30" x14ac:dyDescent="0.25">
      <c r="AB1400" s="86"/>
      <c r="AD1400" s="100"/>
    </row>
    <row r="1401" spans="28:30" x14ac:dyDescent="0.25">
      <c r="AB1401" s="86"/>
      <c r="AD1401" s="100"/>
    </row>
    <row r="1402" spans="28:30" x14ac:dyDescent="0.25">
      <c r="AB1402" s="86"/>
      <c r="AD1402" s="100"/>
    </row>
    <row r="1403" spans="28:30" x14ac:dyDescent="0.25">
      <c r="AB1403" s="86"/>
      <c r="AD1403" s="100"/>
    </row>
    <row r="1404" spans="28:30" x14ac:dyDescent="0.25">
      <c r="AB1404" s="86"/>
      <c r="AD1404" s="100"/>
    </row>
    <row r="1405" spans="28:30" x14ac:dyDescent="0.25">
      <c r="AB1405" s="86"/>
      <c r="AD1405" s="100"/>
    </row>
    <row r="1406" spans="28:30" x14ac:dyDescent="0.25">
      <c r="AB1406" s="86"/>
      <c r="AD1406" s="100"/>
    </row>
    <row r="1407" spans="28:30" x14ac:dyDescent="0.25">
      <c r="AB1407" s="86"/>
    </row>
    <row r="1408" spans="28:30" x14ac:dyDescent="0.25">
      <c r="AB1408" s="86"/>
    </row>
    <row r="1409" spans="28:30" x14ac:dyDescent="0.25">
      <c r="AB1409" s="86"/>
      <c r="AD1409" s="100"/>
    </row>
    <row r="1410" spans="28:30" x14ac:dyDescent="0.25">
      <c r="AB1410" s="86"/>
      <c r="AD1410" s="100"/>
    </row>
    <row r="1411" spans="28:30" x14ac:dyDescent="0.25">
      <c r="AB1411" s="86"/>
      <c r="AD1411" s="100"/>
    </row>
    <row r="1412" spans="28:30" x14ac:dyDescent="0.25">
      <c r="AB1412" s="86"/>
      <c r="AD1412" s="100"/>
    </row>
    <row r="1413" spans="28:30" x14ac:dyDescent="0.25">
      <c r="AB1413" s="86"/>
      <c r="AD1413" s="100"/>
    </row>
    <row r="1414" spans="28:30" x14ac:dyDescent="0.25">
      <c r="AB1414" s="86"/>
      <c r="AD1414" s="100"/>
    </row>
    <row r="1415" spans="28:30" x14ac:dyDescent="0.25">
      <c r="AB1415" s="86"/>
      <c r="AD1415" s="100"/>
    </row>
    <row r="1416" spans="28:30" x14ac:dyDescent="0.25">
      <c r="AB1416" s="86"/>
      <c r="AD1416" s="100"/>
    </row>
    <row r="1417" spans="28:30" x14ac:dyDescent="0.25">
      <c r="AB1417" s="86"/>
      <c r="AD1417" s="100"/>
    </row>
    <row r="1418" spans="28:30" x14ac:dyDescent="0.25">
      <c r="AB1418" s="86"/>
      <c r="AD1418" s="100"/>
    </row>
    <row r="1419" spans="28:30" x14ac:dyDescent="0.25">
      <c r="AB1419" s="86"/>
      <c r="AD1419" s="100"/>
    </row>
    <row r="1420" spans="28:30" x14ac:dyDescent="0.25">
      <c r="AB1420" s="86"/>
      <c r="AD1420" s="100"/>
    </row>
    <row r="1421" spans="28:30" x14ac:dyDescent="0.25">
      <c r="AB1421" s="86"/>
      <c r="AD1421" s="100"/>
    </row>
    <row r="1422" spans="28:30" x14ac:dyDescent="0.25">
      <c r="AB1422" s="86"/>
      <c r="AD1422" s="100"/>
    </row>
    <row r="1423" spans="28:30" x14ac:dyDescent="0.25">
      <c r="AB1423" s="86"/>
      <c r="AD1423" s="100"/>
    </row>
    <row r="1424" spans="28:30" x14ac:dyDescent="0.25">
      <c r="AB1424" s="86"/>
      <c r="AD1424" s="100"/>
    </row>
    <row r="1425" spans="28:30" x14ac:dyDescent="0.25">
      <c r="AB1425" s="86"/>
      <c r="AD1425" s="100"/>
    </row>
    <row r="1426" spans="28:30" x14ac:dyDescent="0.25">
      <c r="AB1426" s="86"/>
      <c r="AD1426" s="100"/>
    </row>
    <row r="1427" spans="28:30" x14ac:dyDescent="0.25">
      <c r="AB1427" s="86"/>
      <c r="AD1427" s="100"/>
    </row>
    <row r="1428" spans="28:30" x14ac:dyDescent="0.25">
      <c r="AB1428" s="86"/>
      <c r="AD1428" s="100"/>
    </row>
    <row r="1429" spans="28:30" x14ac:dyDescent="0.25">
      <c r="AB1429" s="86"/>
      <c r="AD1429" s="100"/>
    </row>
    <row r="1430" spans="28:30" x14ac:dyDescent="0.25">
      <c r="AB1430" s="86"/>
      <c r="AD1430" s="100"/>
    </row>
    <row r="1431" spans="28:30" x14ac:dyDescent="0.25">
      <c r="AB1431" s="86"/>
      <c r="AD1431" s="100"/>
    </row>
    <row r="1432" spans="28:30" x14ac:dyDescent="0.25">
      <c r="AB1432" s="86"/>
      <c r="AD1432" s="100"/>
    </row>
    <row r="1433" spans="28:30" x14ac:dyDescent="0.25">
      <c r="AB1433" s="86"/>
      <c r="AD1433" s="100"/>
    </row>
    <row r="1434" spans="28:30" x14ac:dyDescent="0.25">
      <c r="AB1434" s="86"/>
      <c r="AD1434" s="100"/>
    </row>
    <row r="1435" spans="28:30" x14ac:dyDescent="0.25">
      <c r="AB1435" s="86"/>
      <c r="AD1435" s="100"/>
    </row>
    <row r="1436" spans="28:30" x14ac:dyDescent="0.25">
      <c r="AB1436" s="86"/>
      <c r="AD1436" s="100"/>
    </row>
    <row r="1437" spans="28:30" x14ac:dyDescent="0.25">
      <c r="AB1437" s="86"/>
      <c r="AD1437" s="100"/>
    </row>
    <row r="1438" spans="28:30" x14ac:dyDescent="0.25">
      <c r="AB1438" s="86"/>
      <c r="AD1438" s="100"/>
    </row>
    <row r="1439" spans="28:30" x14ac:dyDescent="0.25">
      <c r="AB1439" s="86"/>
      <c r="AD1439" s="100"/>
    </row>
    <row r="1440" spans="28:30" x14ac:dyDescent="0.25">
      <c r="AB1440" s="86"/>
      <c r="AD1440" s="100"/>
    </row>
    <row r="1441" spans="28:30" x14ac:dyDescent="0.25">
      <c r="AB1441" s="86"/>
      <c r="AD1441" s="100"/>
    </row>
    <row r="1442" spans="28:30" x14ac:dyDescent="0.25">
      <c r="AB1442" s="86"/>
      <c r="AD1442" s="100"/>
    </row>
    <row r="1443" spans="28:30" x14ac:dyDescent="0.25">
      <c r="AB1443" s="86"/>
      <c r="AD1443" s="100"/>
    </row>
    <row r="1444" spans="28:30" x14ac:dyDescent="0.25">
      <c r="AB1444" s="86"/>
      <c r="AD1444" s="100"/>
    </row>
    <row r="1445" spans="28:30" x14ac:dyDescent="0.25">
      <c r="AB1445" s="86"/>
      <c r="AD1445" s="100"/>
    </row>
    <row r="1446" spans="28:30" x14ac:dyDescent="0.25">
      <c r="AB1446" s="86"/>
      <c r="AD1446" s="100"/>
    </row>
    <row r="1447" spans="28:30" x14ac:dyDescent="0.25">
      <c r="AB1447" s="86"/>
      <c r="AD1447" s="100"/>
    </row>
    <row r="1448" spans="28:30" x14ac:dyDescent="0.25">
      <c r="AB1448" s="86"/>
      <c r="AD1448" s="100"/>
    </row>
    <row r="1449" spans="28:30" x14ac:dyDescent="0.25">
      <c r="AB1449" s="86"/>
      <c r="AD1449" s="100"/>
    </row>
    <row r="1450" spans="28:30" x14ac:dyDescent="0.25">
      <c r="AB1450" s="86"/>
      <c r="AD1450" s="100"/>
    </row>
    <row r="1451" spans="28:30" x14ac:dyDescent="0.25">
      <c r="AB1451" s="86"/>
      <c r="AD1451" s="100"/>
    </row>
    <row r="1452" spans="28:30" x14ac:dyDescent="0.25">
      <c r="AB1452" s="86"/>
      <c r="AD1452" s="100"/>
    </row>
    <row r="1453" spans="28:30" x14ac:dyDescent="0.25">
      <c r="AB1453" s="86"/>
      <c r="AD1453" s="100"/>
    </row>
    <row r="1454" spans="28:30" x14ac:dyDescent="0.25">
      <c r="AB1454" s="86"/>
      <c r="AD1454" s="100"/>
    </row>
    <row r="1455" spans="28:30" x14ac:dyDescent="0.25">
      <c r="AB1455" s="86"/>
      <c r="AD1455" s="100"/>
    </row>
    <row r="1456" spans="28:30" x14ac:dyDescent="0.25">
      <c r="AB1456" s="86"/>
      <c r="AD1456" s="100"/>
    </row>
    <row r="1457" spans="28:30" x14ac:dyDescent="0.25">
      <c r="AB1457" s="86"/>
      <c r="AD1457" s="100"/>
    </row>
    <row r="1458" spans="28:30" x14ac:dyDescent="0.25">
      <c r="AB1458" s="86"/>
      <c r="AD1458" s="100"/>
    </row>
    <row r="1459" spans="28:30" x14ac:dyDescent="0.25">
      <c r="AB1459" s="86"/>
      <c r="AD1459" s="100"/>
    </row>
    <row r="1460" spans="28:30" x14ac:dyDescent="0.25">
      <c r="AB1460" s="86"/>
      <c r="AD1460" s="100"/>
    </row>
    <row r="1461" spans="28:30" x14ac:dyDescent="0.25">
      <c r="AB1461" s="86"/>
      <c r="AD1461" s="100"/>
    </row>
    <row r="1462" spans="28:30" x14ac:dyDescent="0.25">
      <c r="AB1462" s="86"/>
      <c r="AD1462" s="100"/>
    </row>
    <row r="1463" spans="28:30" x14ac:dyDescent="0.25">
      <c r="AB1463" s="86"/>
      <c r="AD1463" s="100"/>
    </row>
    <row r="1464" spans="28:30" x14ac:dyDescent="0.25">
      <c r="AB1464" s="86"/>
      <c r="AD1464" s="100"/>
    </row>
    <row r="1465" spans="28:30" x14ac:dyDescent="0.25">
      <c r="AB1465" s="86"/>
      <c r="AD1465" s="100"/>
    </row>
    <row r="1466" spans="28:30" x14ac:dyDescent="0.25">
      <c r="AB1466" s="86"/>
      <c r="AD1466" s="100"/>
    </row>
    <row r="1467" spans="28:30" x14ac:dyDescent="0.25">
      <c r="AB1467" s="86"/>
      <c r="AD1467" s="100"/>
    </row>
    <row r="1468" spans="28:30" x14ac:dyDescent="0.25">
      <c r="AB1468" s="86"/>
      <c r="AD1468" s="100"/>
    </row>
    <row r="1469" spans="28:30" x14ac:dyDescent="0.25">
      <c r="AB1469" s="86"/>
      <c r="AD1469" s="100"/>
    </row>
    <row r="1470" spans="28:30" x14ac:dyDescent="0.25">
      <c r="AB1470" s="86"/>
      <c r="AD1470" s="100"/>
    </row>
    <row r="1471" spans="28:30" x14ac:dyDescent="0.25">
      <c r="AB1471" s="86"/>
      <c r="AD1471" s="100"/>
    </row>
    <row r="1472" spans="28:30" x14ac:dyDescent="0.25">
      <c r="AB1472" s="86"/>
      <c r="AD1472" s="100"/>
    </row>
    <row r="1473" spans="28:30" x14ac:dyDescent="0.25">
      <c r="AB1473" s="86"/>
      <c r="AD1473" s="100"/>
    </row>
    <row r="1474" spans="28:30" x14ac:dyDescent="0.25">
      <c r="AB1474" s="86"/>
      <c r="AD1474" s="100"/>
    </row>
    <row r="1475" spans="28:30" x14ac:dyDescent="0.25">
      <c r="AB1475" s="86"/>
      <c r="AD1475" s="100"/>
    </row>
    <row r="1476" spans="28:30" x14ac:dyDescent="0.25">
      <c r="AB1476" s="86"/>
      <c r="AD1476" s="100"/>
    </row>
    <row r="1477" spans="28:30" x14ac:dyDescent="0.25">
      <c r="AB1477" s="86"/>
      <c r="AD1477" s="100"/>
    </row>
    <row r="1478" spans="28:30" x14ac:dyDescent="0.25">
      <c r="AB1478" s="86"/>
      <c r="AD1478" s="100"/>
    </row>
    <row r="1479" spans="28:30" x14ac:dyDescent="0.25">
      <c r="AB1479" s="86"/>
      <c r="AD1479" s="100"/>
    </row>
    <row r="1480" spans="28:30" x14ac:dyDescent="0.25">
      <c r="AB1480" s="86"/>
      <c r="AD1480" s="100"/>
    </row>
    <row r="1481" spans="28:30" x14ac:dyDescent="0.25">
      <c r="AB1481" s="86"/>
      <c r="AD1481" s="100"/>
    </row>
    <row r="1482" spans="28:30" x14ac:dyDescent="0.25">
      <c r="AB1482" s="86"/>
      <c r="AD1482" s="100"/>
    </row>
    <row r="1483" spans="28:30" x14ac:dyDescent="0.25">
      <c r="AB1483" s="86"/>
      <c r="AD1483" s="100"/>
    </row>
    <row r="1484" spans="28:30" x14ac:dyDescent="0.25">
      <c r="AB1484" s="86"/>
      <c r="AD1484" s="100"/>
    </row>
    <row r="1485" spans="28:30" x14ac:dyDescent="0.25">
      <c r="AB1485" s="86"/>
      <c r="AD1485" s="100"/>
    </row>
    <row r="1486" spans="28:30" x14ac:dyDescent="0.25">
      <c r="AB1486" s="86"/>
      <c r="AD1486" s="100"/>
    </row>
    <row r="1487" spans="28:30" x14ac:dyDescent="0.25">
      <c r="AB1487" s="86"/>
      <c r="AD1487" s="100"/>
    </row>
    <row r="1488" spans="28:30" x14ac:dyDescent="0.25">
      <c r="AB1488" s="86"/>
      <c r="AD1488" s="100"/>
    </row>
    <row r="1489" spans="28:30" x14ac:dyDescent="0.25">
      <c r="AB1489" s="86"/>
      <c r="AD1489" s="100"/>
    </row>
    <row r="1490" spans="28:30" x14ac:dyDescent="0.25">
      <c r="AB1490" s="86"/>
      <c r="AD1490" s="100"/>
    </row>
    <row r="1491" spans="28:30" x14ac:dyDescent="0.25">
      <c r="AB1491" s="86"/>
      <c r="AD1491" s="100"/>
    </row>
    <row r="1492" spans="28:30" x14ac:dyDescent="0.25">
      <c r="AB1492" s="86"/>
      <c r="AD1492" s="100"/>
    </row>
    <row r="1493" spans="28:30" x14ac:dyDescent="0.25">
      <c r="AB1493" s="86"/>
      <c r="AD1493" s="100"/>
    </row>
    <row r="1494" spans="28:30" x14ac:dyDescent="0.25">
      <c r="AB1494" s="86"/>
      <c r="AD1494" s="100"/>
    </row>
    <row r="1495" spans="28:30" x14ac:dyDescent="0.25">
      <c r="AB1495" s="86"/>
      <c r="AD1495" s="100"/>
    </row>
    <row r="1496" spans="28:30" x14ac:dyDescent="0.25">
      <c r="AB1496" s="86"/>
      <c r="AD1496" s="100"/>
    </row>
    <row r="1497" spans="28:30" x14ac:dyDescent="0.25">
      <c r="AB1497" s="86"/>
      <c r="AD1497" s="100"/>
    </row>
    <row r="1498" spans="28:30" x14ac:dyDescent="0.25">
      <c r="AB1498" s="86"/>
      <c r="AD1498" s="100"/>
    </row>
    <row r="1499" spans="28:30" x14ac:dyDescent="0.25">
      <c r="AB1499" s="86"/>
      <c r="AD1499" s="100"/>
    </row>
    <row r="1500" spans="28:30" x14ac:dyDescent="0.25">
      <c r="AB1500" s="86"/>
      <c r="AD1500" s="100"/>
    </row>
    <row r="1501" spans="28:30" x14ac:dyDescent="0.25">
      <c r="AB1501" s="86"/>
      <c r="AD1501" s="100"/>
    </row>
    <row r="1502" spans="28:30" x14ac:dyDescent="0.25">
      <c r="AB1502" s="86"/>
      <c r="AD1502" s="100"/>
    </row>
    <row r="1503" spans="28:30" x14ac:dyDescent="0.25">
      <c r="AB1503" s="86"/>
      <c r="AD1503" s="100"/>
    </row>
    <row r="1504" spans="28:30" x14ac:dyDescent="0.25">
      <c r="AB1504" s="86"/>
      <c r="AD1504" s="100"/>
    </row>
    <row r="1505" spans="28:30" x14ac:dyDescent="0.25">
      <c r="AB1505" s="86"/>
      <c r="AD1505" s="100"/>
    </row>
    <row r="1506" spans="28:30" x14ac:dyDescent="0.25">
      <c r="AB1506" s="86"/>
      <c r="AD1506" s="100"/>
    </row>
    <row r="1507" spans="28:30" x14ac:dyDescent="0.25">
      <c r="AB1507" s="86"/>
      <c r="AD1507" s="100"/>
    </row>
    <row r="1508" spans="28:30" x14ac:dyDescent="0.25">
      <c r="AB1508" s="86"/>
      <c r="AD1508" s="100"/>
    </row>
    <row r="1509" spans="28:30" x14ac:dyDescent="0.25">
      <c r="AB1509" s="86"/>
      <c r="AD1509" s="100"/>
    </row>
    <row r="1510" spans="28:30" x14ac:dyDescent="0.25">
      <c r="AB1510" s="86"/>
      <c r="AD1510" s="100"/>
    </row>
    <row r="1511" spans="28:30" x14ac:dyDescent="0.25">
      <c r="AB1511" s="86"/>
      <c r="AD1511" s="100"/>
    </row>
    <row r="1512" spans="28:30" x14ac:dyDescent="0.25">
      <c r="AB1512" s="86"/>
      <c r="AD1512" s="100"/>
    </row>
    <row r="1513" spans="28:30" x14ac:dyDescent="0.25">
      <c r="AB1513" s="86"/>
      <c r="AD1513" s="100"/>
    </row>
    <row r="1514" spans="28:30" x14ac:dyDescent="0.25">
      <c r="AB1514" s="86"/>
      <c r="AD1514" s="100"/>
    </row>
    <row r="1515" spans="28:30" x14ac:dyDescent="0.25">
      <c r="AB1515" s="86"/>
      <c r="AD1515" s="100"/>
    </row>
    <row r="1516" spans="28:30" x14ac:dyDescent="0.25">
      <c r="AB1516" s="86"/>
      <c r="AD1516" s="100"/>
    </row>
    <row r="1517" spans="28:30" x14ac:dyDescent="0.25">
      <c r="AB1517" s="86"/>
      <c r="AD1517" s="100"/>
    </row>
    <row r="1518" spans="28:30" x14ac:dyDescent="0.25">
      <c r="AB1518" s="86"/>
      <c r="AD1518" s="100"/>
    </row>
    <row r="1519" spans="28:30" x14ac:dyDescent="0.25">
      <c r="AB1519" s="86"/>
      <c r="AD1519" s="100"/>
    </row>
    <row r="1520" spans="28:30" x14ac:dyDescent="0.25">
      <c r="AB1520" s="86"/>
      <c r="AD1520" s="100"/>
    </row>
    <row r="1521" spans="28:30" x14ac:dyDescent="0.25">
      <c r="AB1521" s="86"/>
      <c r="AD1521" s="100"/>
    </row>
    <row r="1522" spans="28:30" x14ac:dyDescent="0.25">
      <c r="AB1522" s="86"/>
      <c r="AD1522" s="100"/>
    </row>
    <row r="1523" spans="28:30" x14ac:dyDescent="0.25">
      <c r="AB1523" s="86"/>
      <c r="AD1523" s="100"/>
    </row>
    <row r="1524" spans="28:30" x14ac:dyDescent="0.25">
      <c r="AB1524" s="86"/>
      <c r="AD1524" s="100"/>
    </row>
    <row r="1525" spans="28:30" x14ac:dyDescent="0.25">
      <c r="AB1525" s="86"/>
      <c r="AD1525" s="100"/>
    </row>
    <row r="1526" spans="28:30" x14ac:dyDescent="0.25">
      <c r="AB1526" s="86"/>
      <c r="AD1526" s="100"/>
    </row>
    <row r="1527" spans="28:30" x14ac:dyDescent="0.25">
      <c r="AB1527" s="86"/>
      <c r="AD1527" s="100"/>
    </row>
    <row r="1528" spans="28:30" x14ac:dyDescent="0.25">
      <c r="AB1528" s="86"/>
      <c r="AD1528" s="100"/>
    </row>
    <row r="1529" spans="28:30" x14ac:dyDescent="0.25">
      <c r="AB1529" s="86"/>
      <c r="AD1529" s="100"/>
    </row>
    <row r="1530" spans="28:30" x14ac:dyDescent="0.25">
      <c r="AB1530" s="86"/>
      <c r="AD1530" s="100"/>
    </row>
    <row r="1531" spans="28:30" x14ac:dyDescent="0.25">
      <c r="AB1531" s="86"/>
      <c r="AD1531" s="100"/>
    </row>
    <row r="1532" spans="28:30" x14ac:dyDescent="0.25">
      <c r="AB1532" s="86"/>
      <c r="AD1532" s="100"/>
    </row>
    <row r="1533" spans="28:30" x14ac:dyDescent="0.25">
      <c r="AB1533" s="86"/>
      <c r="AD1533" s="100"/>
    </row>
    <row r="1534" spans="28:30" x14ac:dyDescent="0.25">
      <c r="AB1534" s="86"/>
      <c r="AD1534" s="100"/>
    </row>
    <row r="1535" spans="28:30" x14ac:dyDescent="0.25">
      <c r="AB1535" s="86"/>
      <c r="AD1535" s="100"/>
    </row>
    <row r="1536" spans="28:30" x14ac:dyDescent="0.25">
      <c r="AB1536" s="86"/>
      <c r="AD1536" s="100"/>
    </row>
    <row r="1537" spans="28:30" x14ac:dyDescent="0.25">
      <c r="AB1537" s="86"/>
      <c r="AD1537" s="100"/>
    </row>
    <row r="1538" spans="28:30" x14ac:dyDescent="0.25">
      <c r="AB1538" s="86"/>
    </row>
    <row r="1539" spans="28:30" x14ac:dyDescent="0.25">
      <c r="AB1539" s="86"/>
      <c r="AD1539" s="100"/>
    </row>
    <row r="1540" spans="28:30" x14ac:dyDescent="0.25">
      <c r="AB1540" s="86"/>
      <c r="AD1540" s="100"/>
    </row>
    <row r="1541" spans="28:30" x14ac:dyDescent="0.25">
      <c r="AB1541" s="86"/>
    </row>
    <row r="1542" spans="28:30" x14ac:dyDescent="0.25">
      <c r="AB1542" s="86"/>
    </row>
    <row r="1543" spans="28:30" x14ac:dyDescent="0.25">
      <c r="AB1543" s="86"/>
      <c r="AD1543" s="100"/>
    </row>
    <row r="1544" spans="28:30" x14ac:dyDescent="0.25">
      <c r="AB1544" s="86"/>
      <c r="AD1544" s="100"/>
    </row>
    <row r="1545" spans="28:30" x14ac:dyDescent="0.25">
      <c r="AB1545" s="86"/>
      <c r="AD1545" s="100"/>
    </row>
    <row r="1546" spans="28:30" x14ac:dyDescent="0.25">
      <c r="AB1546" s="86"/>
      <c r="AD1546" s="100"/>
    </row>
    <row r="1547" spans="28:30" x14ac:dyDescent="0.25">
      <c r="AB1547" s="86"/>
      <c r="AD1547" s="100"/>
    </row>
    <row r="1548" spans="28:30" x14ac:dyDescent="0.25">
      <c r="AB1548" s="86"/>
      <c r="AD1548" s="100"/>
    </row>
    <row r="1549" spans="28:30" x14ac:dyDescent="0.25">
      <c r="AB1549" s="86"/>
      <c r="AD1549" s="100"/>
    </row>
    <row r="1550" spans="28:30" x14ac:dyDescent="0.25">
      <c r="AB1550" s="86"/>
      <c r="AD1550" s="100"/>
    </row>
    <row r="1551" spans="28:30" x14ac:dyDescent="0.25">
      <c r="AB1551" s="86"/>
      <c r="AD1551" s="100"/>
    </row>
    <row r="1552" spans="28:30" x14ac:dyDescent="0.25">
      <c r="AB1552" s="86"/>
      <c r="AD1552" s="100"/>
    </row>
    <row r="1553" spans="28:30" x14ac:dyDescent="0.25">
      <c r="AB1553" s="86"/>
      <c r="AD1553" s="100"/>
    </row>
    <row r="1554" spans="28:30" x14ac:dyDescent="0.25">
      <c r="AB1554" s="86"/>
      <c r="AD1554" s="100"/>
    </row>
    <row r="1555" spans="28:30" x14ac:dyDescent="0.25">
      <c r="AB1555" s="86"/>
      <c r="AD1555" s="100"/>
    </row>
    <row r="1556" spans="28:30" x14ac:dyDescent="0.25">
      <c r="AB1556" s="86"/>
      <c r="AD1556" s="100"/>
    </row>
    <row r="1557" spans="28:30" x14ac:dyDescent="0.25">
      <c r="AB1557" s="86"/>
      <c r="AD1557" s="100"/>
    </row>
    <row r="1558" spans="28:30" x14ac:dyDescent="0.25">
      <c r="AB1558" s="86"/>
      <c r="AD1558" s="100"/>
    </row>
    <row r="1559" spans="28:30" x14ac:dyDescent="0.25">
      <c r="AB1559" s="86"/>
      <c r="AD1559" s="100"/>
    </row>
    <row r="1560" spans="28:30" x14ac:dyDescent="0.25">
      <c r="AB1560" s="86"/>
      <c r="AD1560" s="100"/>
    </row>
    <row r="1561" spans="28:30" x14ac:dyDescent="0.25">
      <c r="AB1561" s="86"/>
      <c r="AD1561" s="100"/>
    </row>
    <row r="1562" spans="28:30" x14ac:dyDescent="0.25">
      <c r="AB1562" s="86"/>
      <c r="AD1562" s="100"/>
    </row>
    <row r="1563" spans="28:30" x14ac:dyDescent="0.25">
      <c r="AB1563" s="86"/>
      <c r="AD1563" s="100"/>
    </row>
    <row r="1564" spans="28:30" x14ac:dyDescent="0.25">
      <c r="AB1564" s="86"/>
      <c r="AD1564" s="100"/>
    </row>
    <row r="1565" spans="28:30" x14ac:dyDescent="0.25">
      <c r="AB1565" s="86"/>
      <c r="AD1565" s="100"/>
    </row>
    <row r="1566" spans="28:30" x14ac:dyDescent="0.25">
      <c r="AB1566" s="86"/>
      <c r="AD1566" s="100"/>
    </row>
    <row r="1567" spans="28:30" x14ac:dyDescent="0.25">
      <c r="AB1567" s="86"/>
      <c r="AD1567" s="100"/>
    </row>
    <row r="1568" spans="28:30" x14ac:dyDescent="0.25">
      <c r="AB1568" s="86"/>
      <c r="AD1568" s="100"/>
    </row>
    <row r="1569" spans="28:30" x14ac:dyDescent="0.25">
      <c r="AB1569" s="86"/>
      <c r="AD1569" s="100"/>
    </row>
    <row r="1570" spans="28:30" x14ac:dyDescent="0.25">
      <c r="AB1570" s="86"/>
      <c r="AD1570" s="100"/>
    </row>
    <row r="1571" spans="28:30" x14ac:dyDescent="0.25">
      <c r="AB1571" s="86"/>
      <c r="AD1571" s="100"/>
    </row>
    <row r="1572" spans="28:30" x14ac:dyDescent="0.25">
      <c r="AB1572" s="86"/>
      <c r="AD1572" s="100"/>
    </row>
    <row r="1573" spans="28:30" x14ac:dyDescent="0.25">
      <c r="AB1573" s="86"/>
      <c r="AD1573" s="100"/>
    </row>
    <row r="1574" spans="28:30" x14ac:dyDescent="0.25">
      <c r="AB1574" s="86"/>
      <c r="AD1574" s="100"/>
    </row>
    <row r="1575" spans="28:30" x14ac:dyDescent="0.25">
      <c r="AB1575" s="86"/>
      <c r="AD1575" s="100"/>
    </row>
    <row r="1576" spans="28:30" x14ac:dyDescent="0.25">
      <c r="AB1576" s="86"/>
      <c r="AD1576" s="100"/>
    </row>
    <row r="1577" spans="28:30" x14ac:dyDescent="0.25">
      <c r="AB1577" s="86"/>
      <c r="AD1577" s="100"/>
    </row>
    <row r="1578" spans="28:30" x14ac:dyDescent="0.25">
      <c r="AB1578" s="86"/>
      <c r="AD1578" s="100"/>
    </row>
    <row r="1579" spans="28:30" x14ac:dyDescent="0.25">
      <c r="AB1579" s="86"/>
      <c r="AD1579" s="100"/>
    </row>
    <row r="1580" spans="28:30" x14ac:dyDescent="0.25">
      <c r="AB1580" s="86"/>
      <c r="AD1580" s="100"/>
    </row>
    <row r="1581" spans="28:30" x14ac:dyDescent="0.25">
      <c r="AB1581" s="86"/>
      <c r="AD1581" s="100"/>
    </row>
    <row r="1582" spans="28:30" x14ac:dyDescent="0.25">
      <c r="AB1582" s="86"/>
      <c r="AD1582" s="100"/>
    </row>
    <row r="1583" spans="28:30" x14ac:dyDescent="0.25">
      <c r="AB1583" s="86"/>
      <c r="AD1583" s="100"/>
    </row>
    <row r="1584" spans="28:30" x14ac:dyDescent="0.25">
      <c r="AB1584" s="86"/>
      <c r="AD1584" s="100"/>
    </row>
    <row r="1585" spans="28:30" x14ac:dyDescent="0.25">
      <c r="AB1585" s="86"/>
      <c r="AD1585" s="100"/>
    </row>
    <row r="1586" spans="28:30" x14ac:dyDescent="0.25">
      <c r="AB1586" s="86"/>
      <c r="AD1586" s="100"/>
    </row>
    <row r="1587" spans="28:30" x14ac:dyDescent="0.25">
      <c r="AB1587" s="86"/>
      <c r="AD1587" s="100"/>
    </row>
    <row r="1588" spans="28:30" x14ac:dyDescent="0.25">
      <c r="AB1588" s="86"/>
      <c r="AD1588" s="100"/>
    </row>
    <row r="1589" spans="28:30" x14ac:dyDescent="0.25">
      <c r="AB1589" s="86"/>
      <c r="AD1589" s="100"/>
    </row>
    <row r="1590" spans="28:30" x14ac:dyDescent="0.25">
      <c r="AB1590" s="86"/>
      <c r="AD1590" s="100"/>
    </row>
    <row r="1591" spans="28:30" x14ac:dyDescent="0.25">
      <c r="AB1591" s="86"/>
      <c r="AD1591" s="100"/>
    </row>
    <row r="1592" spans="28:30" x14ac:dyDescent="0.25">
      <c r="AB1592" s="86"/>
      <c r="AD1592" s="100"/>
    </row>
    <row r="1593" spans="28:30" x14ac:dyDescent="0.25">
      <c r="AB1593" s="86"/>
      <c r="AD1593" s="100"/>
    </row>
    <row r="1594" spans="28:30" x14ac:dyDescent="0.25">
      <c r="AB1594" s="86"/>
      <c r="AD1594" s="100"/>
    </row>
    <row r="1595" spans="28:30" x14ac:dyDescent="0.25">
      <c r="AB1595" s="86"/>
      <c r="AD1595" s="100"/>
    </row>
    <row r="1596" spans="28:30" x14ac:dyDescent="0.25">
      <c r="AB1596" s="86"/>
      <c r="AD1596" s="100"/>
    </row>
    <row r="1597" spans="28:30" x14ac:dyDescent="0.25">
      <c r="AB1597" s="86"/>
      <c r="AD1597" s="100"/>
    </row>
    <row r="1598" spans="28:30" x14ac:dyDescent="0.25">
      <c r="AB1598" s="86"/>
      <c r="AD1598" s="100"/>
    </row>
    <row r="1599" spans="28:30" x14ac:dyDescent="0.25">
      <c r="AB1599" s="86"/>
      <c r="AD1599" s="100"/>
    </row>
    <row r="1600" spans="28:30" x14ac:dyDescent="0.25">
      <c r="AB1600" s="86"/>
    </row>
    <row r="1601" spans="28:30" x14ac:dyDescent="0.25">
      <c r="AB1601" s="86"/>
    </row>
    <row r="1602" spans="28:30" x14ac:dyDescent="0.25">
      <c r="AB1602" s="86"/>
    </row>
    <row r="1603" spans="28:30" x14ac:dyDescent="0.25">
      <c r="AB1603" s="86"/>
      <c r="AD1603" s="100"/>
    </row>
    <row r="1604" spans="28:30" x14ac:dyDescent="0.25">
      <c r="AB1604" s="86"/>
      <c r="AD1604" s="100"/>
    </row>
    <row r="1605" spans="28:30" x14ac:dyDescent="0.25">
      <c r="AB1605" s="86"/>
      <c r="AD1605" s="100"/>
    </row>
    <row r="1606" spans="28:30" x14ac:dyDescent="0.25">
      <c r="AB1606" s="86"/>
      <c r="AD1606" s="100"/>
    </row>
    <row r="1607" spans="28:30" x14ac:dyDescent="0.25">
      <c r="AB1607" s="86"/>
    </row>
    <row r="1608" spans="28:30" x14ac:dyDescent="0.25">
      <c r="AB1608" s="86"/>
      <c r="AD1608" s="100"/>
    </row>
    <row r="1609" spans="28:30" x14ac:dyDescent="0.25">
      <c r="AB1609" s="86"/>
      <c r="AD1609" s="100"/>
    </row>
    <row r="1610" spans="28:30" x14ac:dyDescent="0.25">
      <c r="AB1610" s="86"/>
      <c r="AD1610" s="100"/>
    </row>
    <row r="1611" spans="28:30" x14ac:dyDescent="0.25">
      <c r="AB1611" s="86"/>
      <c r="AD1611" s="100"/>
    </row>
    <row r="1612" spans="28:30" x14ac:dyDescent="0.25">
      <c r="AB1612" s="86"/>
      <c r="AD1612" s="100"/>
    </row>
    <row r="1613" spans="28:30" x14ac:dyDescent="0.25">
      <c r="AB1613" s="86"/>
      <c r="AD1613" s="100"/>
    </row>
    <row r="1614" spans="28:30" x14ac:dyDescent="0.25">
      <c r="AB1614" s="86"/>
      <c r="AD1614" s="100"/>
    </row>
    <row r="1615" spans="28:30" x14ac:dyDescent="0.25">
      <c r="AB1615" s="86"/>
      <c r="AD1615" s="100"/>
    </row>
    <row r="1616" spans="28:30" x14ac:dyDescent="0.25">
      <c r="AB1616" s="86"/>
      <c r="AD1616" s="100"/>
    </row>
    <row r="1617" spans="28:30" x14ac:dyDescent="0.25">
      <c r="AB1617" s="86"/>
      <c r="AD1617" s="100"/>
    </row>
    <row r="1618" spans="28:30" x14ac:dyDescent="0.25">
      <c r="AB1618" s="86"/>
      <c r="AD1618" s="100"/>
    </row>
    <row r="1619" spans="28:30" x14ac:dyDescent="0.25">
      <c r="AB1619" s="86"/>
      <c r="AD1619" s="100"/>
    </row>
    <row r="1620" spans="28:30" x14ac:dyDescent="0.25">
      <c r="AB1620" s="86"/>
    </row>
    <row r="1621" spans="28:30" x14ac:dyDescent="0.25">
      <c r="AB1621" s="86"/>
    </row>
    <row r="1622" spans="28:30" x14ac:dyDescent="0.25">
      <c r="AB1622" s="86"/>
      <c r="AD1622" s="100"/>
    </row>
    <row r="1623" spans="28:30" x14ac:dyDescent="0.25">
      <c r="AB1623" s="86"/>
      <c r="AD1623" s="100"/>
    </row>
    <row r="1624" spans="28:30" x14ac:dyDescent="0.25">
      <c r="AB1624" s="86"/>
      <c r="AD1624" s="100"/>
    </row>
    <row r="1625" spans="28:30" x14ac:dyDescent="0.25">
      <c r="AB1625" s="86"/>
      <c r="AD1625" s="100"/>
    </row>
    <row r="1626" spans="28:30" x14ac:dyDescent="0.25">
      <c r="AB1626" s="86"/>
      <c r="AD1626" s="100"/>
    </row>
    <row r="1627" spans="28:30" x14ac:dyDescent="0.25">
      <c r="AB1627" s="86"/>
      <c r="AD1627" s="100"/>
    </row>
    <row r="1628" spans="28:30" x14ac:dyDescent="0.25">
      <c r="AB1628" s="86"/>
      <c r="AD1628" s="100"/>
    </row>
    <row r="1629" spans="28:30" x14ac:dyDescent="0.25">
      <c r="AB1629" s="86"/>
      <c r="AD1629" s="100"/>
    </row>
    <row r="1630" spans="28:30" x14ac:dyDescent="0.25">
      <c r="AB1630" s="86"/>
      <c r="AD1630" s="100"/>
    </row>
    <row r="1631" spans="28:30" x14ac:dyDescent="0.25">
      <c r="AB1631" s="86"/>
      <c r="AD1631" s="100"/>
    </row>
    <row r="1632" spans="28:30" x14ac:dyDescent="0.25">
      <c r="AB1632" s="86"/>
      <c r="AD1632" s="100"/>
    </row>
    <row r="1633" spans="28:30" x14ac:dyDescent="0.25">
      <c r="AB1633" s="86"/>
      <c r="AD1633" s="100"/>
    </row>
    <row r="1634" spans="28:30" x14ac:dyDescent="0.25">
      <c r="AB1634" s="86"/>
      <c r="AD1634" s="100"/>
    </row>
    <row r="1635" spans="28:30" x14ac:dyDescent="0.25">
      <c r="AB1635" s="86"/>
      <c r="AD1635" s="100"/>
    </row>
    <row r="1636" spans="28:30" x14ac:dyDescent="0.25">
      <c r="AB1636" s="86"/>
    </row>
    <row r="1637" spans="28:30" x14ac:dyDescent="0.25">
      <c r="AB1637" s="86"/>
      <c r="AD1637" s="100"/>
    </row>
    <row r="1638" spans="28:30" x14ac:dyDescent="0.25">
      <c r="AB1638" s="86"/>
    </row>
    <row r="1639" spans="28:30" x14ac:dyDescent="0.25">
      <c r="AB1639" s="86"/>
    </row>
    <row r="1640" spans="28:30" x14ac:dyDescent="0.25">
      <c r="AB1640" s="86"/>
      <c r="AD1640" s="100"/>
    </row>
    <row r="1641" spans="28:30" x14ac:dyDescent="0.25">
      <c r="AB1641" s="86"/>
      <c r="AD1641" s="100"/>
    </row>
    <row r="1642" spans="28:30" x14ac:dyDescent="0.25">
      <c r="AB1642" s="86"/>
      <c r="AD1642" s="100"/>
    </row>
    <row r="1643" spans="28:30" x14ac:dyDescent="0.25">
      <c r="AB1643" s="86"/>
      <c r="AD1643" s="100"/>
    </row>
    <row r="1644" spans="28:30" x14ac:dyDescent="0.25">
      <c r="AB1644" s="86"/>
      <c r="AD1644" s="100"/>
    </row>
    <row r="1645" spans="28:30" x14ac:dyDescent="0.25">
      <c r="AB1645" s="86"/>
      <c r="AD1645" s="100"/>
    </row>
    <row r="1646" spans="28:30" x14ac:dyDescent="0.25">
      <c r="AB1646" s="86"/>
      <c r="AD1646" s="100"/>
    </row>
    <row r="1647" spans="28:30" x14ac:dyDescent="0.25">
      <c r="AB1647" s="86"/>
      <c r="AD1647" s="100"/>
    </row>
    <row r="1648" spans="28:30" x14ac:dyDescent="0.25">
      <c r="AB1648" s="86"/>
      <c r="AD1648" s="100"/>
    </row>
    <row r="1649" spans="28:30" x14ac:dyDescent="0.25">
      <c r="AB1649" s="86"/>
      <c r="AD1649" s="100"/>
    </row>
    <row r="1650" spans="28:30" x14ac:dyDescent="0.25">
      <c r="AB1650" s="86"/>
      <c r="AD1650" s="100"/>
    </row>
    <row r="1651" spans="28:30" x14ac:dyDescent="0.25">
      <c r="AB1651" s="86"/>
      <c r="AD1651" s="100"/>
    </row>
    <row r="1652" spans="28:30" x14ac:dyDescent="0.25">
      <c r="AB1652" s="86"/>
      <c r="AD1652" s="100"/>
    </row>
    <row r="1653" spans="28:30" x14ac:dyDescent="0.25">
      <c r="AB1653" s="86"/>
      <c r="AD1653" s="100"/>
    </row>
    <row r="1654" spans="28:30" x14ac:dyDescent="0.25">
      <c r="AB1654" s="86"/>
      <c r="AD1654" s="100"/>
    </row>
    <row r="1655" spans="28:30" x14ac:dyDescent="0.25">
      <c r="AB1655" s="86"/>
      <c r="AD1655" s="100"/>
    </row>
    <row r="1656" spans="28:30" x14ac:dyDescent="0.25">
      <c r="AB1656" s="86"/>
      <c r="AD1656" s="100"/>
    </row>
    <row r="1657" spans="28:30" x14ac:dyDescent="0.25">
      <c r="AB1657" s="86"/>
      <c r="AD1657" s="100"/>
    </row>
    <row r="1658" spans="28:30" x14ac:dyDescent="0.25">
      <c r="AB1658" s="86"/>
      <c r="AD1658" s="100"/>
    </row>
    <row r="1659" spans="28:30" x14ac:dyDescent="0.25">
      <c r="AB1659" s="86"/>
      <c r="AD1659" s="100"/>
    </row>
    <row r="1660" spans="28:30" x14ac:dyDescent="0.25">
      <c r="AB1660" s="86"/>
      <c r="AD1660" s="100"/>
    </row>
    <row r="1661" spans="28:30" x14ac:dyDescent="0.25">
      <c r="AB1661" s="86"/>
      <c r="AD1661" s="100"/>
    </row>
    <row r="1662" spans="28:30" x14ac:dyDescent="0.25">
      <c r="AB1662" s="86"/>
      <c r="AD1662" s="100"/>
    </row>
    <row r="1663" spans="28:30" x14ac:dyDescent="0.25">
      <c r="AB1663" s="86"/>
      <c r="AD1663" s="100"/>
    </row>
    <row r="1664" spans="28:30" x14ac:dyDescent="0.25">
      <c r="AB1664" s="86"/>
      <c r="AD1664" s="100"/>
    </row>
    <row r="1665" spans="28:30" x14ac:dyDescent="0.25">
      <c r="AB1665" s="86"/>
      <c r="AD1665" s="100"/>
    </row>
    <row r="1666" spans="28:30" x14ac:dyDescent="0.25">
      <c r="AB1666" s="86"/>
      <c r="AD1666" s="100"/>
    </row>
    <row r="1667" spans="28:30" x14ac:dyDescent="0.25">
      <c r="AB1667" s="86"/>
      <c r="AD1667" s="100"/>
    </row>
    <row r="1668" spans="28:30" x14ac:dyDescent="0.25">
      <c r="AB1668" s="86"/>
      <c r="AD1668" s="100"/>
    </row>
    <row r="1669" spans="28:30" x14ac:dyDescent="0.25">
      <c r="AB1669" s="86"/>
      <c r="AD1669" s="100"/>
    </row>
    <row r="1670" spans="28:30" x14ac:dyDescent="0.25">
      <c r="AB1670" s="86"/>
      <c r="AD1670" s="100"/>
    </row>
    <row r="1671" spans="28:30" x14ac:dyDescent="0.25">
      <c r="AB1671" s="86"/>
      <c r="AD1671" s="100"/>
    </row>
    <row r="1672" spans="28:30" x14ac:dyDescent="0.25">
      <c r="AB1672" s="86"/>
      <c r="AD1672" s="100"/>
    </row>
    <row r="1673" spans="28:30" x14ac:dyDescent="0.25">
      <c r="AB1673" s="86"/>
      <c r="AD1673" s="100"/>
    </row>
    <row r="1674" spans="28:30" x14ac:dyDescent="0.25">
      <c r="AB1674" s="86"/>
      <c r="AD1674" s="100"/>
    </row>
    <row r="1675" spans="28:30" x14ac:dyDescent="0.25">
      <c r="AB1675" s="86"/>
      <c r="AD1675" s="100"/>
    </row>
    <row r="1676" spans="28:30" x14ac:dyDescent="0.25">
      <c r="AB1676" s="86"/>
      <c r="AD1676" s="100"/>
    </row>
    <row r="1677" spans="28:30" x14ac:dyDescent="0.25">
      <c r="AB1677" s="86"/>
      <c r="AD1677" s="100"/>
    </row>
    <row r="1678" spans="28:30" x14ac:dyDescent="0.25">
      <c r="AB1678" s="86"/>
      <c r="AD1678" s="100"/>
    </row>
    <row r="1679" spans="28:30" x14ac:dyDescent="0.25">
      <c r="AB1679" s="86"/>
      <c r="AD1679" s="100"/>
    </row>
    <row r="1680" spans="28:30" x14ac:dyDescent="0.25">
      <c r="AB1680" s="86"/>
      <c r="AD1680" s="100"/>
    </row>
    <row r="1681" spans="28:30" x14ac:dyDescent="0.25">
      <c r="AB1681" s="86"/>
      <c r="AD1681" s="100"/>
    </row>
    <row r="1682" spans="28:30" x14ac:dyDescent="0.25">
      <c r="AB1682" s="86"/>
      <c r="AD1682" s="100"/>
    </row>
    <row r="1683" spans="28:30" x14ac:dyDescent="0.25">
      <c r="AB1683" s="86"/>
      <c r="AD1683" s="100"/>
    </row>
    <row r="1684" spans="28:30" x14ac:dyDescent="0.25">
      <c r="AB1684" s="86"/>
      <c r="AD1684" s="100"/>
    </row>
    <row r="1685" spans="28:30" x14ac:dyDescent="0.25">
      <c r="AB1685" s="86"/>
      <c r="AD1685" s="100"/>
    </row>
    <row r="1686" spans="28:30" x14ac:dyDescent="0.25">
      <c r="AB1686" s="86"/>
      <c r="AD1686" s="100"/>
    </row>
    <row r="1687" spans="28:30" x14ac:dyDescent="0.25">
      <c r="AB1687" s="86"/>
      <c r="AD1687" s="100"/>
    </row>
    <row r="1688" spans="28:30" x14ac:dyDescent="0.25">
      <c r="AB1688" s="86"/>
      <c r="AD1688" s="100"/>
    </row>
    <row r="1689" spans="28:30" x14ac:dyDescent="0.25">
      <c r="AB1689" s="86"/>
      <c r="AD1689" s="100"/>
    </row>
    <row r="1690" spans="28:30" x14ac:dyDescent="0.25">
      <c r="AB1690" s="86"/>
      <c r="AD1690" s="100"/>
    </row>
    <row r="1691" spans="28:30" x14ac:dyDescent="0.25">
      <c r="AB1691" s="86"/>
      <c r="AD1691" s="100"/>
    </row>
    <row r="1692" spans="28:30" x14ac:dyDescent="0.25">
      <c r="AB1692" s="86"/>
      <c r="AD1692" s="100"/>
    </row>
    <row r="1693" spans="28:30" x14ac:dyDescent="0.25">
      <c r="AB1693" s="86"/>
      <c r="AD1693" s="100"/>
    </row>
    <row r="1694" spans="28:30" x14ac:dyDescent="0.25">
      <c r="AB1694" s="86"/>
      <c r="AD1694" s="100"/>
    </row>
    <row r="1695" spans="28:30" x14ac:dyDescent="0.25">
      <c r="AB1695" s="86"/>
      <c r="AD1695" s="100"/>
    </row>
    <row r="1696" spans="28:30" x14ac:dyDescent="0.25">
      <c r="AB1696" s="86"/>
      <c r="AD1696" s="100"/>
    </row>
    <row r="1697" spans="28:30" x14ac:dyDescent="0.25">
      <c r="AB1697" s="86"/>
      <c r="AD1697" s="100"/>
    </row>
    <row r="1698" spans="28:30" x14ac:dyDescent="0.25">
      <c r="AB1698" s="86"/>
      <c r="AD1698" s="100"/>
    </row>
    <row r="1699" spans="28:30" x14ac:dyDescent="0.25">
      <c r="AB1699" s="86"/>
      <c r="AD1699" s="100"/>
    </row>
    <row r="1700" spans="28:30" x14ac:dyDescent="0.25">
      <c r="AB1700" s="86"/>
      <c r="AD1700" s="100"/>
    </row>
    <row r="1701" spans="28:30" x14ac:dyDescent="0.25">
      <c r="AB1701" s="86"/>
      <c r="AD1701" s="100"/>
    </row>
    <row r="1702" spans="28:30" x14ac:dyDescent="0.25">
      <c r="AB1702" s="86"/>
      <c r="AD1702" s="100"/>
    </row>
    <row r="1703" spans="28:30" x14ac:dyDescent="0.25">
      <c r="AB1703" s="86"/>
      <c r="AD1703" s="100"/>
    </row>
    <row r="1704" spans="28:30" x14ac:dyDescent="0.25">
      <c r="AB1704" s="86"/>
      <c r="AD1704" s="100"/>
    </row>
    <row r="1705" spans="28:30" x14ac:dyDescent="0.25">
      <c r="AB1705" s="86"/>
      <c r="AD1705" s="100"/>
    </row>
    <row r="1706" spans="28:30" x14ac:dyDescent="0.25">
      <c r="AB1706" s="86"/>
      <c r="AD1706" s="100"/>
    </row>
    <row r="1707" spans="28:30" x14ac:dyDescent="0.25">
      <c r="AB1707" s="86"/>
      <c r="AD1707" s="100"/>
    </row>
    <row r="1708" spans="28:30" x14ac:dyDescent="0.25">
      <c r="AB1708" s="86"/>
      <c r="AD1708" s="100"/>
    </row>
    <row r="1709" spans="28:30" x14ac:dyDescent="0.25">
      <c r="AB1709" s="86"/>
      <c r="AD1709" s="100"/>
    </row>
    <row r="1710" spans="28:30" x14ac:dyDescent="0.25">
      <c r="AB1710" s="86"/>
      <c r="AD1710" s="100"/>
    </row>
    <row r="1711" spans="28:30" x14ac:dyDescent="0.25">
      <c r="AB1711" s="86"/>
      <c r="AD1711" s="100"/>
    </row>
    <row r="1712" spans="28:30" x14ac:dyDescent="0.25">
      <c r="AB1712" s="86"/>
      <c r="AD1712" s="100"/>
    </row>
    <row r="1713" spans="28:30" x14ac:dyDescent="0.25">
      <c r="AB1713" s="86"/>
      <c r="AD1713" s="100"/>
    </row>
    <row r="1714" spans="28:30" x14ac:dyDescent="0.25">
      <c r="AB1714" s="86"/>
      <c r="AD1714" s="100"/>
    </row>
    <row r="1715" spans="28:30" x14ac:dyDescent="0.25">
      <c r="AB1715" s="86"/>
      <c r="AD1715" s="100"/>
    </row>
    <row r="1716" spans="28:30" x14ac:dyDescent="0.25">
      <c r="AB1716" s="86"/>
      <c r="AD1716" s="100"/>
    </row>
    <row r="1717" spans="28:30" x14ac:dyDescent="0.25">
      <c r="AB1717" s="86"/>
      <c r="AD1717" s="100"/>
    </row>
    <row r="1718" spans="28:30" x14ac:dyDescent="0.25">
      <c r="AB1718" s="86"/>
      <c r="AD1718" s="100"/>
    </row>
    <row r="1719" spans="28:30" x14ac:dyDescent="0.25">
      <c r="AB1719" s="86"/>
      <c r="AD1719" s="100"/>
    </row>
    <row r="1720" spans="28:30" x14ac:dyDescent="0.25">
      <c r="AB1720" s="86"/>
      <c r="AD1720" s="100"/>
    </row>
    <row r="1721" spans="28:30" x14ac:dyDescent="0.25">
      <c r="AB1721" s="86"/>
      <c r="AD1721" s="100"/>
    </row>
    <row r="1722" spans="28:30" x14ac:dyDescent="0.25">
      <c r="AB1722" s="86"/>
      <c r="AD1722" s="100"/>
    </row>
    <row r="1723" spans="28:30" x14ac:dyDescent="0.25">
      <c r="AB1723" s="86"/>
      <c r="AD1723" s="100"/>
    </row>
    <row r="1724" spans="28:30" x14ac:dyDescent="0.25">
      <c r="AB1724" s="86"/>
      <c r="AD1724" s="100"/>
    </row>
    <row r="1725" spans="28:30" x14ac:dyDescent="0.25">
      <c r="AB1725" s="86"/>
      <c r="AD1725" s="100"/>
    </row>
    <row r="1726" spans="28:30" x14ac:dyDescent="0.25">
      <c r="AB1726" s="86"/>
      <c r="AD1726" s="100"/>
    </row>
    <row r="1727" spans="28:30" x14ac:dyDescent="0.25">
      <c r="AB1727" s="86"/>
      <c r="AD1727" s="100"/>
    </row>
    <row r="1728" spans="28:30" x14ac:dyDescent="0.25">
      <c r="AB1728" s="86"/>
      <c r="AD1728" s="100"/>
    </row>
    <row r="1729" spans="28:30" x14ac:dyDescent="0.25">
      <c r="AB1729" s="86"/>
      <c r="AD1729" s="100"/>
    </row>
    <row r="1730" spans="28:30" x14ac:dyDescent="0.25">
      <c r="AB1730" s="86"/>
      <c r="AD1730" s="100"/>
    </row>
    <row r="1731" spans="28:30" x14ac:dyDescent="0.25">
      <c r="AB1731" s="86"/>
      <c r="AD1731" s="100"/>
    </row>
    <row r="1732" spans="28:30" x14ac:dyDescent="0.25">
      <c r="AB1732" s="86"/>
      <c r="AD1732" s="100"/>
    </row>
    <row r="1733" spans="28:30" x14ac:dyDescent="0.25">
      <c r="AB1733" s="86"/>
      <c r="AD1733" s="100"/>
    </row>
    <row r="1734" spans="28:30" x14ac:dyDescent="0.25">
      <c r="AB1734" s="86"/>
      <c r="AD1734" s="100"/>
    </row>
    <row r="1735" spans="28:30" x14ac:dyDescent="0.25">
      <c r="AB1735" s="86"/>
      <c r="AD1735" s="100"/>
    </row>
    <row r="1736" spans="28:30" x14ac:dyDescent="0.25">
      <c r="AB1736" s="86"/>
      <c r="AD1736" s="100"/>
    </row>
    <row r="1737" spans="28:30" x14ac:dyDescent="0.25">
      <c r="AB1737" s="86"/>
      <c r="AD1737" s="100"/>
    </row>
    <row r="1738" spans="28:30" x14ac:dyDescent="0.25">
      <c r="AB1738" s="86"/>
      <c r="AD1738" s="100"/>
    </row>
    <row r="1739" spans="28:30" x14ac:dyDescent="0.25">
      <c r="AB1739" s="86"/>
      <c r="AD1739" s="100"/>
    </row>
    <row r="1740" spans="28:30" x14ac:dyDescent="0.25">
      <c r="AB1740" s="86"/>
      <c r="AD1740" s="100"/>
    </row>
    <row r="1741" spans="28:30" x14ac:dyDescent="0.25">
      <c r="AB1741" s="86"/>
      <c r="AD1741" s="100"/>
    </row>
    <row r="1742" spans="28:30" x14ac:dyDescent="0.25">
      <c r="AB1742" s="86"/>
      <c r="AD1742" s="100"/>
    </row>
    <row r="1743" spans="28:30" x14ac:dyDescent="0.25">
      <c r="AB1743" s="86"/>
      <c r="AD1743" s="100"/>
    </row>
    <row r="1744" spans="28:30" x14ac:dyDescent="0.25">
      <c r="AB1744" s="86"/>
      <c r="AD1744" s="100"/>
    </row>
    <row r="1745" spans="28:30" x14ac:dyDescent="0.25">
      <c r="AB1745" s="86"/>
      <c r="AD1745" s="100"/>
    </row>
    <row r="1746" spans="28:30" x14ac:dyDescent="0.25">
      <c r="AB1746" s="86"/>
      <c r="AD1746" s="100"/>
    </row>
    <row r="1747" spans="28:30" x14ac:dyDescent="0.25">
      <c r="AB1747" s="86"/>
      <c r="AD1747" s="100"/>
    </row>
    <row r="1748" spans="28:30" x14ac:dyDescent="0.25">
      <c r="AB1748" s="86"/>
      <c r="AD1748" s="100"/>
    </row>
    <row r="1749" spans="28:30" x14ac:dyDescent="0.25">
      <c r="AB1749" s="86"/>
      <c r="AD1749" s="100"/>
    </row>
    <row r="1750" spans="28:30" x14ac:dyDescent="0.25">
      <c r="AB1750" s="86"/>
      <c r="AD1750" s="100"/>
    </row>
    <row r="1751" spans="28:30" x14ac:dyDescent="0.25">
      <c r="AB1751" s="86"/>
      <c r="AD1751" s="100"/>
    </row>
    <row r="1752" spans="28:30" x14ac:dyDescent="0.25">
      <c r="AB1752" s="86"/>
      <c r="AD1752" s="100"/>
    </row>
    <row r="1753" spans="28:30" x14ac:dyDescent="0.25">
      <c r="AB1753" s="86"/>
      <c r="AD1753" s="100"/>
    </row>
    <row r="1754" spans="28:30" x14ac:dyDescent="0.25">
      <c r="AB1754" s="86"/>
      <c r="AD1754" s="100"/>
    </row>
    <row r="1755" spans="28:30" x14ac:dyDescent="0.25">
      <c r="AB1755" s="86"/>
      <c r="AD1755" s="100"/>
    </row>
    <row r="1756" spans="28:30" x14ac:dyDescent="0.25">
      <c r="AB1756" s="86"/>
      <c r="AD1756" s="100"/>
    </row>
    <row r="1757" spans="28:30" x14ac:dyDescent="0.25">
      <c r="AB1757" s="86"/>
      <c r="AD1757" s="100"/>
    </row>
    <row r="1758" spans="28:30" x14ac:dyDescent="0.25">
      <c r="AB1758" s="86"/>
      <c r="AD1758" s="100"/>
    </row>
    <row r="1759" spans="28:30" x14ac:dyDescent="0.25">
      <c r="AB1759" s="86"/>
      <c r="AD1759" s="100"/>
    </row>
    <row r="1760" spans="28:30" x14ac:dyDescent="0.25">
      <c r="AB1760" s="86"/>
      <c r="AD1760" s="100"/>
    </row>
    <row r="1761" spans="28:30" x14ac:dyDescent="0.25">
      <c r="AB1761" s="86"/>
      <c r="AD1761" s="100"/>
    </row>
    <row r="1762" spans="28:30" x14ac:dyDescent="0.25">
      <c r="AB1762" s="86"/>
      <c r="AD1762" s="100"/>
    </row>
    <row r="1763" spans="28:30" x14ac:dyDescent="0.25">
      <c r="AB1763" s="86"/>
      <c r="AD1763" s="100"/>
    </row>
    <row r="1764" spans="28:30" x14ac:dyDescent="0.25">
      <c r="AB1764" s="86"/>
      <c r="AD1764" s="100"/>
    </row>
    <row r="1765" spans="28:30" x14ac:dyDescent="0.25">
      <c r="AB1765" s="86"/>
      <c r="AD1765" s="100"/>
    </row>
    <row r="1766" spans="28:30" x14ac:dyDescent="0.25">
      <c r="AB1766" s="86"/>
      <c r="AD1766" s="100"/>
    </row>
    <row r="1767" spans="28:30" x14ac:dyDescent="0.25">
      <c r="AB1767" s="86"/>
      <c r="AD1767" s="100"/>
    </row>
    <row r="1768" spans="28:30" x14ac:dyDescent="0.25">
      <c r="AB1768" s="86"/>
      <c r="AD1768" s="100"/>
    </row>
    <row r="1769" spans="28:30" x14ac:dyDescent="0.25">
      <c r="AB1769" s="86"/>
      <c r="AD1769" s="100"/>
    </row>
    <row r="1770" spans="28:30" x14ac:dyDescent="0.25">
      <c r="AB1770" s="86"/>
      <c r="AD1770" s="100"/>
    </row>
    <row r="1771" spans="28:30" x14ac:dyDescent="0.25">
      <c r="AB1771" s="86"/>
      <c r="AD1771" s="100"/>
    </row>
    <row r="1772" spans="28:30" x14ac:dyDescent="0.25">
      <c r="AB1772" s="86"/>
      <c r="AD1772" s="100"/>
    </row>
    <row r="1773" spans="28:30" x14ac:dyDescent="0.25">
      <c r="AB1773" s="86"/>
      <c r="AD1773" s="100"/>
    </row>
    <row r="1774" spans="28:30" x14ac:dyDescent="0.25">
      <c r="AB1774" s="86"/>
      <c r="AD1774" s="100"/>
    </row>
    <row r="1775" spans="28:30" x14ac:dyDescent="0.25">
      <c r="AB1775" s="86"/>
      <c r="AD1775" s="100"/>
    </row>
    <row r="1776" spans="28:30" x14ac:dyDescent="0.25">
      <c r="AB1776" s="86"/>
      <c r="AD1776" s="100"/>
    </row>
    <row r="1777" spans="28:30" x14ac:dyDescent="0.25">
      <c r="AB1777" s="86"/>
      <c r="AD1777" s="100"/>
    </row>
    <row r="1778" spans="28:30" x14ac:dyDescent="0.25">
      <c r="AB1778" s="86"/>
      <c r="AD1778" s="100"/>
    </row>
    <row r="1779" spans="28:30" x14ac:dyDescent="0.25">
      <c r="AB1779" s="86"/>
      <c r="AD1779" s="100"/>
    </row>
    <row r="1780" spans="28:30" x14ac:dyDescent="0.25">
      <c r="AB1780" s="86"/>
      <c r="AD1780" s="100"/>
    </row>
    <row r="1781" spans="28:30" x14ac:dyDescent="0.25">
      <c r="AB1781" s="86"/>
      <c r="AD1781" s="100"/>
    </row>
    <row r="1782" spans="28:30" x14ac:dyDescent="0.25">
      <c r="AB1782" s="86"/>
      <c r="AD1782" s="100"/>
    </row>
    <row r="1783" spans="28:30" x14ac:dyDescent="0.25">
      <c r="AB1783" s="86"/>
      <c r="AD1783" s="100"/>
    </row>
    <row r="1784" spans="28:30" x14ac:dyDescent="0.25">
      <c r="AB1784" s="86"/>
      <c r="AD1784" s="100"/>
    </row>
    <row r="1785" spans="28:30" x14ac:dyDescent="0.25">
      <c r="AB1785" s="86"/>
      <c r="AD1785" s="100"/>
    </row>
    <row r="1786" spans="28:30" x14ac:dyDescent="0.25">
      <c r="AB1786" s="86"/>
      <c r="AD1786" s="100"/>
    </row>
    <row r="1787" spans="28:30" x14ac:dyDescent="0.25">
      <c r="AB1787" s="86"/>
      <c r="AD1787" s="100"/>
    </row>
    <row r="1788" spans="28:30" x14ac:dyDescent="0.25">
      <c r="AB1788" s="86"/>
      <c r="AD1788" s="100"/>
    </row>
    <row r="1789" spans="28:30" x14ac:dyDescent="0.25">
      <c r="AB1789" s="86"/>
      <c r="AD1789" s="100"/>
    </row>
    <row r="1790" spans="28:30" x14ac:dyDescent="0.25">
      <c r="AB1790" s="86"/>
      <c r="AD1790" s="100"/>
    </row>
    <row r="1791" spans="28:30" x14ac:dyDescent="0.25">
      <c r="AB1791" s="86"/>
      <c r="AD1791" s="100"/>
    </row>
    <row r="1792" spans="28:30" x14ac:dyDescent="0.25">
      <c r="AB1792" s="86"/>
      <c r="AD1792" s="100"/>
    </row>
    <row r="1793" spans="28:30" x14ac:dyDescent="0.25">
      <c r="AB1793" s="86"/>
      <c r="AD1793" s="100"/>
    </row>
    <row r="1794" spans="28:30" x14ac:dyDescent="0.25">
      <c r="AB1794" s="86"/>
      <c r="AD1794" s="100"/>
    </row>
    <row r="1795" spans="28:30" x14ac:dyDescent="0.25">
      <c r="AB1795" s="86"/>
      <c r="AD1795" s="100"/>
    </row>
    <row r="1796" spans="28:30" x14ac:dyDescent="0.25">
      <c r="AB1796" s="86"/>
      <c r="AD1796" s="100"/>
    </row>
    <row r="1797" spans="28:30" x14ac:dyDescent="0.25">
      <c r="AB1797" s="86"/>
      <c r="AD1797" s="100"/>
    </row>
    <row r="1798" spans="28:30" x14ac:dyDescent="0.25">
      <c r="AB1798" s="86"/>
      <c r="AD1798" s="100"/>
    </row>
    <row r="1799" spans="28:30" x14ac:dyDescent="0.25">
      <c r="AB1799" s="86"/>
      <c r="AD1799" s="100"/>
    </row>
    <row r="1800" spans="28:30" x14ac:dyDescent="0.25">
      <c r="AB1800" s="86"/>
      <c r="AD1800" s="100"/>
    </row>
    <row r="1801" spans="28:30" x14ac:dyDescent="0.25">
      <c r="AB1801" s="86"/>
      <c r="AD1801" s="100"/>
    </row>
    <row r="1802" spans="28:30" x14ac:dyDescent="0.25">
      <c r="AB1802" s="86"/>
      <c r="AD1802" s="100"/>
    </row>
    <row r="1803" spans="28:30" x14ac:dyDescent="0.25">
      <c r="AB1803" s="86"/>
      <c r="AD1803" s="100"/>
    </row>
    <row r="1804" spans="28:30" x14ac:dyDescent="0.25">
      <c r="AB1804" s="86"/>
      <c r="AD1804" s="100"/>
    </row>
    <row r="1805" spans="28:30" x14ac:dyDescent="0.25">
      <c r="AB1805" s="86"/>
      <c r="AD1805" s="100"/>
    </row>
    <row r="1806" spans="28:30" x14ac:dyDescent="0.25">
      <c r="AB1806" s="86"/>
      <c r="AD1806" s="100"/>
    </row>
    <row r="1807" spans="28:30" x14ac:dyDescent="0.25">
      <c r="AB1807" s="86"/>
      <c r="AD1807" s="100"/>
    </row>
    <row r="1808" spans="28:30" x14ac:dyDescent="0.25">
      <c r="AB1808" s="86"/>
      <c r="AD1808" s="100"/>
    </row>
    <row r="1809" spans="28:30" x14ac:dyDescent="0.25">
      <c r="AB1809" s="86"/>
      <c r="AD1809" s="100"/>
    </row>
    <row r="1810" spans="28:30" x14ac:dyDescent="0.25">
      <c r="AB1810" s="86"/>
      <c r="AD1810" s="100"/>
    </row>
    <row r="1811" spans="28:30" x14ac:dyDescent="0.25">
      <c r="AB1811" s="86"/>
      <c r="AD1811" s="100"/>
    </row>
    <row r="1812" spans="28:30" x14ac:dyDescent="0.25">
      <c r="AB1812" s="86"/>
      <c r="AD1812" s="100"/>
    </row>
    <row r="1813" spans="28:30" x14ac:dyDescent="0.25">
      <c r="AB1813" s="86"/>
      <c r="AD1813" s="100"/>
    </row>
    <row r="1814" spans="28:30" x14ac:dyDescent="0.25">
      <c r="AB1814" s="86"/>
      <c r="AD1814" s="100"/>
    </row>
    <row r="1815" spans="28:30" x14ac:dyDescent="0.25">
      <c r="AB1815" s="86"/>
      <c r="AD1815" s="100"/>
    </row>
    <row r="1816" spans="28:30" x14ac:dyDescent="0.25">
      <c r="AB1816" s="86"/>
      <c r="AD1816" s="100"/>
    </row>
    <row r="1817" spans="28:30" x14ac:dyDescent="0.25">
      <c r="AB1817" s="86"/>
      <c r="AD1817" s="100"/>
    </row>
    <row r="1818" spans="28:30" x14ac:dyDescent="0.25">
      <c r="AB1818" s="86"/>
      <c r="AD1818" s="100"/>
    </row>
    <row r="1819" spans="28:30" x14ac:dyDescent="0.25">
      <c r="AB1819" s="86"/>
      <c r="AD1819" s="100"/>
    </row>
    <row r="1820" spans="28:30" x14ac:dyDescent="0.25">
      <c r="AB1820" s="86"/>
      <c r="AD1820" s="100"/>
    </row>
    <row r="1821" spans="28:30" x14ac:dyDescent="0.25">
      <c r="AB1821" s="86"/>
      <c r="AD1821" s="100"/>
    </row>
    <row r="1822" spans="28:30" x14ac:dyDescent="0.25">
      <c r="AB1822" s="86"/>
      <c r="AD1822" s="100"/>
    </row>
    <row r="1823" spans="28:30" x14ac:dyDescent="0.25">
      <c r="AB1823" s="86"/>
      <c r="AD1823" s="100"/>
    </row>
    <row r="1824" spans="28:30" x14ac:dyDescent="0.25">
      <c r="AB1824" s="86"/>
      <c r="AD1824" s="100"/>
    </row>
    <row r="1825" spans="28:30" x14ac:dyDescent="0.25">
      <c r="AB1825" s="86"/>
      <c r="AD1825" s="100"/>
    </row>
    <row r="1826" spans="28:30" x14ac:dyDescent="0.25">
      <c r="AB1826" s="86"/>
      <c r="AD1826" s="100"/>
    </row>
    <row r="1827" spans="28:30" x14ac:dyDescent="0.25">
      <c r="AB1827" s="86"/>
      <c r="AD1827" s="100"/>
    </row>
    <row r="1828" spans="28:30" x14ac:dyDescent="0.25">
      <c r="AB1828" s="86"/>
      <c r="AD1828" s="100"/>
    </row>
    <row r="1829" spans="28:30" x14ac:dyDescent="0.25">
      <c r="AB1829" s="86"/>
      <c r="AD1829" s="100"/>
    </row>
    <row r="1830" spans="28:30" x14ac:dyDescent="0.25">
      <c r="AB1830" s="86"/>
      <c r="AD1830" s="100"/>
    </row>
    <row r="1831" spans="28:30" x14ac:dyDescent="0.25">
      <c r="AB1831" s="86"/>
      <c r="AD1831" s="100"/>
    </row>
    <row r="1832" spans="28:30" x14ac:dyDescent="0.25">
      <c r="AB1832" s="86"/>
      <c r="AD1832" s="100"/>
    </row>
    <row r="1833" spans="28:30" x14ac:dyDescent="0.25">
      <c r="AB1833" s="86"/>
      <c r="AD1833" s="100"/>
    </row>
    <row r="1834" spans="28:30" x14ac:dyDescent="0.25">
      <c r="AB1834" s="86"/>
      <c r="AD1834" s="100"/>
    </row>
    <row r="1835" spans="28:30" x14ac:dyDescent="0.25">
      <c r="AB1835" s="86"/>
      <c r="AD1835" s="100"/>
    </row>
    <row r="1836" spans="28:30" x14ac:dyDescent="0.25">
      <c r="AB1836" s="86"/>
      <c r="AD1836" s="100"/>
    </row>
    <row r="1837" spans="28:30" x14ac:dyDescent="0.25">
      <c r="AB1837" s="86"/>
      <c r="AD1837" s="100"/>
    </row>
    <row r="1838" spans="28:30" x14ac:dyDescent="0.25">
      <c r="AB1838" s="86"/>
      <c r="AD1838" s="100"/>
    </row>
    <row r="1839" spans="28:30" x14ac:dyDescent="0.25">
      <c r="AB1839" s="86"/>
      <c r="AD1839" s="100"/>
    </row>
    <row r="1840" spans="28:30" x14ac:dyDescent="0.25">
      <c r="AB1840" s="86"/>
      <c r="AD1840" s="100"/>
    </row>
    <row r="1841" spans="28:30" x14ac:dyDescent="0.25">
      <c r="AB1841" s="86"/>
      <c r="AD1841" s="100"/>
    </row>
    <row r="1842" spans="28:30" x14ac:dyDescent="0.25">
      <c r="AB1842" s="86"/>
      <c r="AD1842" s="100"/>
    </row>
    <row r="1843" spans="28:30" x14ac:dyDescent="0.25">
      <c r="AB1843" s="86"/>
      <c r="AD1843" s="100"/>
    </row>
    <row r="1844" spans="28:30" x14ac:dyDescent="0.25">
      <c r="AB1844" s="86"/>
      <c r="AD1844" s="100"/>
    </row>
    <row r="1845" spans="28:30" x14ac:dyDescent="0.25">
      <c r="AB1845" s="86"/>
      <c r="AD1845" s="100"/>
    </row>
    <row r="1846" spans="28:30" x14ac:dyDescent="0.25">
      <c r="AB1846" s="86"/>
      <c r="AD1846" s="100"/>
    </row>
    <row r="1847" spans="28:30" x14ac:dyDescent="0.25">
      <c r="AB1847" s="86"/>
      <c r="AD1847" s="100"/>
    </row>
    <row r="1848" spans="28:30" x14ac:dyDescent="0.25">
      <c r="AB1848" s="86"/>
      <c r="AD1848" s="100"/>
    </row>
    <row r="1849" spans="28:30" x14ac:dyDescent="0.25">
      <c r="AB1849" s="86"/>
      <c r="AD1849" s="100"/>
    </row>
    <row r="1850" spans="28:30" x14ac:dyDescent="0.25">
      <c r="AB1850" s="86"/>
      <c r="AD1850" s="100"/>
    </row>
    <row r="1851" spans="28:30" x14ac:dyDescent="0.25">
      <c r="AB1851" s="86"/>
      <c r="AD1851" s="100"/>
    </row>
    <row r="1852" spans="28:30" x14ac:dyDescent="0.25">
      <c r="AB1852" s="86"/>
      <c r="AD1852" s="100"/>
    </row>
    <row r="1853" spans="28:30" x14ac:dyDescent="0.25">
      <c r="AB1853" s="86"/>
      <c r="AD1853" s="100"/>
    </row>
    <row r="1854" spans="28:30" x14ac:dyDescent="0.25">
      <c r="AB1854" s="86"/>
      <c r="AD1854" s="100"/>
    </row>
    <row r="1855" spans="28:30" x14ac:dyDescent="0.25">
      <c r="AB1855" s="86"/>
      <c r="AD1855" s="100"/>
    </row>
    <row r="1856" spans="28:30" x14ac:dyDescent="0.25">
      <c r="AB1856" s="86"/>
      <c r="AD1856" s="100"/>
    </row>
    <row r="1857" spans="28:30" x14ac:dyDescent="0.25">
      <c r="AB1857" s="86"/>
      <c r="AD1857" s="100"/>
    </row>
    <row r="1858" spans="28:30" x14ac:dyDescent="0.25">
      <c r="AB1858" s="86"/>
      <c r="AD1858" s="100"/>
    </row>
    <row r="1859" spans="28:30" x14ac:dyDescent="0.25">
      <c r="AB1859" s="86"/>
      <c r="AD1859" s="100"/>
    </row>
    <row r="1860" spans="28:30" x14ac:dyDescent="0.25">
      <c r="AB1860" s="86"/>
      <c r="AD1860" s="100"/>
    </row>
    <row r="1861" spans="28:30" x14ac:dyDescent="0.25">
      <c r="AB1861" s="86"/>
      <c r="AD1861" s="100"/>
    </row>
    <row r="1862" spans="28:30" x14ac:dyDescent="0.25">
      <c r="AB1862" s="86"/>
      <c r="AD1862" s="100"/>
    </row>
    <row r="1863" spans="28:30" x14ac:dyDescent="0.25">
      <c r="AB1863" s="86"/>
      <c r="AD1863" s="100"/>
    </row>
    <row r="1864" spans="28:30" x14ac:dyDescent="0.25">
      <c r="AB1864" s="86"/>
      <c r="AD1864" s="100"/>
    </row>
    <row r="1865" spans="28:30" x14ac:dyDescent="0.25">
      <c r="AB1865" s="86"/>
      <c r="AD1865" s="100"/>
    </row>
    <row r="1866" spans="28:30" x14ac:dyDescent="0.25">
      <c r="AB1866" s="86"/>
      <c r="AD1866" s="100"/>
    </row>
    <row r="1867" spans="28:30" x14ac:dyDescent="0.25">
      <c r="AB1867" s="86"/>
      <c r="AD1867" s="100"/>
    </row>
    <row r="1868" spans="28:30" x14ac:dyDescent="0.25">
      <c r="AB1868" s="86"/>
      <c r="AD1868" s="100"/>
    </row>
    <row r="1869" spans="28:30" x14ac:dyDescent="0.25">
      <c r="AB1869" s="86"/>
      <c r="AD1869" s="100"/>
    </row>
    <row r="1870" spans="28:30" x14ac:dyDescent="0.25">
      <c r="AB1870" s="86"/>
      <c r="AD1870" s="100"/>
    </row>
    <row r="1871" spans="28:30" x14ac:dyDescent="0.25">
      <c r="AB1871" s="86"/>
      <c r="AD1871" s="100"/>
    </row>
    <row r="1872" spans="28:30" x14ac:dyDescent="0.25">
      <c r="AB1872" s="86"/>
      <c r="AD1872" s="100"/>
    </row>
    <row r="1873" spans="28:30" x14ac:dyDescent="0.25">
      <c r="AB1873" s="86"/>
      <c r="AD1873" s="100"/>
    </row>
    <row r="1874" spans="28:30" x14ac:dyDescent="0.25">
      <c r="AB1874" s="86"/>
      <c r="AD1874" s="100"/>
    </row>
    <row r="1875" spans="28:30" x14ac:dyDescent="0.25">
      <c r="AB1875" s="86"/>
      <c r="AD1875" s="100"/>
    </row>
    <row r="1876" spans="28:30" x14ac:dyDescent="0.25">
      <c r="AB1876" s="86"/>
      <c r="AD1876" s="100"/>
    </row>
    <row r="1877" spans="28:30" x14ac:dyDescent="0.25">
      <c r="AB1877" s="86"/>
      <c r="AD1877" s="100"/>
    </row>
    <row r="1878" spans="28:30" x14ac:dyDescent="0.25">
      <c r="AB1878" s="86"/>
      <c r="AD1878" s="100"/>
    </row>
    <row r="1879" spans="28:30" x14ac:dyDescent="0.25">
      <c r="AB1879" s="86"/>
      <c r="AD1879" s="100"/>
    </row>
    <row r="1880" spans="28:30" x14ac:dyDescent="0.25">
      <c r="AB1880" s="86"/>
      <c r="AD1880" s="100"/>
    </row>
    <row r="1881" spans="28:30" x14ac:dyDescent="0.25">
      <c r="AB1881" s="86"/>
      <c r="AD1881" s="100"/>
    </row>
    <row r="1882" spans="28:30" x14ac:dyDescent="0.25">
      <c r="AB1882" s="86"/>
      <c r="AD1882" s="100"/>
    </row>
    <row r="1883" spans="28:30" x14ac:dyDescent="0.25">
      <c r="AB1883" s="86"/>
      <c r="AD1883" s="100"/>
    </row>
    <row r="1884" spans="28:30" x14ac:dyDescent="0.25">
      <c r="AB1884" s="86"/>
      <c r="AD1884" s="100"/>
    </row>
    <row r="1885" spans="28:30" x14ac:dyDescent="0.25">
      <c r="AB1885" s="86"/>
      <c r="AD1885" s="100"/>
    </row>
    <row r="1886" spans="28:30" x14ac:dyDescent="0.25">
      <c r="AB1886" s="86"/>
      <c r="AD1886" s="100"/>
    </row>
    <row r="1887" spans="28:30" x14ac:dyDescent="0.25">
      <c r="AB1887" s="86"/>
      <c r="AD1887" s="100"/>
    </row>
    <row r="1888" spans="28:30" x14ac:dyDescent="0.25">
      <c r="AB1888" s="86"/>
      <c r="AD1888" s="100"/>
    </row>
    <row r="1889" spans="28:30" x14ac:dyDescent="0.25">
      <c r="AB1889" s="86"/>
      <c r="AD1889" s="100"/>
    </row>
    <row r="1890" spans="28:30" x14ac:dyDescent="0.25">
      <c r="AB1890" s="86"/>
      <c r="AD1890" s="100"/>
    </row>
    <row r="1891" spans="28:30" x14ac:dyDescent="0.25">
      <c r="AB1891" s="86"/>
      <c r="AD1891" s="100"/>
    </row>
    <row r="1892" spans="28:30" x14ac:dyDescent="0.25">
      <c r="AB1892" s="86"/>
      <c r="AD1892" s="100"/>
    </row>
    <row r="1893" spans="28:30" x14ac:dyDescent="0.25">
      <c r="AB1893" s="86"/>
      <c r="AD1893" s="100"/>
    </row>
    <row r="1894" spans="28:30" x14ac:dyDescent="0.25">
      <c r="AB1894" s="86"/>
      <c r="AD1894" s="100"/>
    </row>
    <row r="1895" spans="28:30" x14ac:dyDescent="0.25">
      <c r="AB1895" s="86"/>
      <c r="AD1895" s="100"/>
    </row>
    <row r="1896" spans="28:30" x14ac:dyDescent="0.25">
      <c r="AB1896" s="86"/>
      <c r="AD1896" s="100"/>
    </row>
    <row r="1897" spans="28:30" x14ac:dyDescent="0.25">
      <c r="AB1897" s="86"/>
      <c r="AD1897" s="100"/>
    </row>
    <row r="1898" spans="28:30" x14ac:dyDescent="0.25">
      <c r="AB1898" s="86"/>
      <c r="AD1898" s="100"/>
    </row>
    <row r="1899" spans="28:30" x14ac:dyDescent="0.25">
      <c r="AB1899" s="86"/>
      <c r="AD1899" s="100"/>
    </row>
    <row r="1900" spans="28:30" x14ac:dyDescent="0.25">
      <c r="AB1900" s="86"/>
      <c r="AD1900" s="100"/>
    </row>
    <row r="1901" spans="28:30" x14ac:dyDescent="0.25">
      <c r="AB1901" s="86"/>
      <c r="AD1901" s="100"/>
    </row>
    <row r="1902" spans="28:30" x14ac:dyDescent="0.25">
      <c r="AB1902" s="86"/>
      <c r="AD1902" s="100"/>
    </row>
    <row r="1903" spans="28:30" x14ac:dyDescent="0.25">
      <c r="AB1903" s="86"/>
      <c r="AD1903" s="100"/>
    </row>
    <row r="1904" spans="28:30" x14ac:dyDescent="0.25">
      <c r="AB1904" s="86"/>
      <c r="AD1904" s="100"/>
    </row>
    <row r="1905" spans="28:30" x14ac:dyDescent="0.25">
      <c r="AB1905" s="86"/>
      <c r="AD1905" s="100"/>
    </row>
    <row r="1906" spans="28:30" x14ac:dyDescent="0.25">
      <c r="AB1906" s="86"/>
      <c r="AD1906" s="100"/>
    </row>
    <row r="1907" spans="28:30" x14ac:dyDescent="0.25">
      <c r="AB1907" s="86"/>
      <c r="AD1907" s="100"/>
    </row>
    <row r="1908" spans="28:30" x14ac:dyDescent="0.25">
      <c r="AB1908" s="86"/>
      <c r="AD1908" s="100"/>
    </row>
    <row r="1909" spans="28:30" x14ac:dyDescent="0.25">
      <c r="AB1909" s="86"/>
      <c r="AD1909" s="100"/>
    </row>
    <row r="1910" spans="28:30" x14ac:dyDescent="0.25">
      <c r="AB1910" s="86"/>
      <c r="AD1910" s="100"/>
    </row>
    <row r="1911" spans="28:30" x14ac:dyDescent="0.25">
      <c r="AB1911" s="86"/>
      <c r="AD1911" s="100"/>
    </row>
    <row r="1912" spans="28:30" x14ac:dyDescent="0.25">
      <c r="AB1912" s="86"/>
      <c r="AD1912" s="100"/>
    </row>
    <row r="1913" spans="28:30" x14ac:dyDescent="0.25">
      <c r="AB1913" s="86"/>
      <c r="AD1913" s="100"/>
    </row>
    <row r="1914" spans="28:30" x14ac:dyDescent="0.25">
      <c r="AB1914" s="86"/>
      <c r="AD1914" s="100"/>
    </row>
    <row r="1915" spans="28:30" x14ac:dyDescent="0.25">
      <c r="AB1915" s="86"/>
      <c r="AD1915" s="100"/>
    </row>
    <row r="1916" spans="28:30" x14ac:dyDescent="0.25">
      <c r="AB1916" s="86"/>
      <c r="AD1916" s="100"/>
    </row>
    <row r="1917" spans="28:30" x14ac:dyDescent="0.25">
      <c r="AB1917" s="86"/>
      <c r="AD1917" s="100"/>
    </row>
    <row r="1918" spans="28:30" x14ac:dyDescent="0.25">
      <c r="AB1918" s="86"/>
      <c r="AD1918" s="100"/>
    </row>
    <row r="1919" spans="28:30" x14ac:dyDescent="0.25">
      <c r="AB1919" s="86"/>
      <c r="AD1919" s="100"/>
    </row>
    <row r="1920" spans="28:30" x14ac:dyDescent="0.25">
      <c r="AB1920" s="86"/>
      <c r="AD1920" s="100"/>
    </row>
    <row r="1921" spans="28:30" x14ac:dyDescent="0.25">
      <c r="AB1921" s="86"/>
      <c r="AD1921" s="100"/>
    </row>
    <row r="1922" spans="28:30" x14ac:dyDescent="0.25">
      <c r="AB1922" s="86"/>
      <c r="AD1922" s="100"/>
    </row>
    <row r="1923" spans="28:30" x14ac:dyDescent="0.25">
      <c r="AB1923" s="86"/>
      <c r="AD1923" s="100"/>
    </row>
    <row r="1924" spans="28:30" x14ac:dyDescent="0.25">
      <c r="AB1924" s="86"/>
      <c r="AD1924" s="100"/>
    </row>
    <row r="1925" spans="28:30" x14ac:dyDescent="0.25">
      <c r="AB1925" s="86"/>
      <c r="AD1925" s="100"/>
    </row>
    <row r="1926" spans="28:30" x14ac:dyDescent="0.25">
      <c r="AB1926" s="86"/>
      <c r="AD1926" s="100"/>
    </row>
    <row r="1927" spans="28:30" x14ac:dyDescent="0.25">
      <c r="AB1927" s="86"/>
      <c r="AD1927" s="100"/>
    </row>
    <row r="1928" spans="28:30" x14ac:dyDescent="0.25">
      <c r="AB1928" s="86"/>
      <c r="AD1928" s="100"/>
    </row>
    <row r="1929" spans="28:30" x14ac:dyDescent="0.25">
      <c r="AB1929" s="86"/>
      <c r="AD1929" s="100"/>
    </row>
    <row r="1930" spans="28:30" x14ac:dyDescent="0.25">
      <c r="AB1930" s="86"/>
      <c r="AD1930" s="100"/>
    </row>
    <row r="1931" spans="28:30" x14ac:dyDescent="0.25">
      <c r="AB1931" s="86"/>
      <c r="AD1931" s="100"/>
    </row>
    <row r="1932" spans="28:30" x14ac:dyDescent="0.25">
      <c r="AB1932" s="86"/>
      <c r="AD1932" s="100"/>
    </row>
    <row r="1933" spans="28:30" x14ac:dyDescent="0.25">
      <c r="AB1933" s="86"/>
      <c r="AD1933" s="100"/>
    </row>
    <row r="1934" spans="28:30" x14ac:dyDescent="0.25">
      <c r="AB1934" s="86"/>
      <c r="AD1934" s="100"/>
    </row>
    <row r="1935" spans="28:30" x14ac:dyDescent="0.25">
      <c r="AB1935" s="86"/>
      <c r="AD1935" s="100"/>
    </row>
    <row r="1936" spans="28:30" x14ac:dyDescent="0.25">
      <c r="AB1936" s="86"/>
      <c r="AD1936" s="100"/>
    </row>
    <row r="1937" spans="28:30" x14ac:dyDescent="0.25">
      <c r="AB1937" s="86"/>
      <c r="AD1937" s="100"/>
    </row>
    <row r="1938" spans="28:30" x14ac:dyDescent="0.25">
      <c r="AB1938" s="86"/>
      <c r="AD1938" s="100"/>
    </row>
    <row r="1939" spans="28:30" x14ac:dyDescent="0.25">
      <c r="AB1939" s="86"/>
      <c r="AD1939" s="100"/>
    </row>
    <row r="1940" spans="28:30" x14ac:dyDescent="0.25">
      <c r="AB1940" s="86"/>
      <c r="AD1940" s="100"/>
    </row>
    <row r="1941" spans="28:30" x14ac:dyDescent="0.25">
      <c r="AB1941" s="86"/>
      <c r="AD1941" s="100"/>
    </row>
    <row r="1942" spans="28:30" x14ac:dyDescent="0.25">
      <c r="AB1942" s="86"/>
      <c r="AD1942" s="100"/>
    </row>
    <row r="1943" spans="28:30" x14ac:dyDescent="0.25">
      <c r="AB1943" s="86"/>
      <c r="AD1943" s="100"/>
    </row>
    <row r="1944" spans="28:30" x14ac:dyDescent="0.25">
      <c r="AB1944" s="86"/>
      <c r="AD1944" s="100"/>
    </row>
    <row r="1945" spans="28:30" x14ac:dyDescent="0.25">
      <c r="AB1945" s="86"/>
      <c r="AD1945" s="100"/>
    </row>
    <row r="1946" spans="28:30" x14ac:dyDescent="0.25">
      <c r="AB1946" s="86"/>
      <c r="AD1946" s="100"/>
    </row>
    <row r="1947" spans="28:30" x14ac:dyDescent="0.25">
      <c r="AB1947" s="86"/>
      <c r="AD1947" s="100"/>
    </row>
    <row r="1948" spans="28:30" x14ac:dyDescent="0.25">
      <c r="AB1948" s="86"/>
      <c r="AD1948" s="100"/>
    </row>
    <row r="1949" spans="28:30" x14ac:dyDescent="0.25">
      <c r="AB1949" s="86"/>
      <c r="AD1949" s="100"/>
    </row>
    <row r="1950" spans="28:30" x14ac:dyDescent="0.25">
      <c r="AB1950" s="86"/>
      <c r="AD1950" s="100"/>
    </row>
    <row r="1951" spans="28:30" x14ac:dyDescent="0.25">
      <c r="AB1951" s="86"/>
      <c r="AD1951" s="100"/>
    </row>
    <row r="1952" spans="28:30" x14ac:dyDescent="0.25">
      <c r="AB1952" s="86"/>
      <c r="AD1952" s="100"/>
    </row>
    <row r="1953" spans="28:30" x14ac:dyDescent="0.25">
      <c r="AB1953" s="86"/>
      <c r="AD1953" s="100"/>
    </row>
    <row r="1954" spans="28:30" x14ac:dyDescent="0.25">
      <c r="AB1954" s="86"/>
      <c r="AD1954" s="100"/>
    </row>
    <row r="1955" spans="28:30" x14ac:dyDescent="0.25">
      <c r="AB1955" s="86"/>
      <c r="AD1955" s="100"/>
    </row>
    <row r="1956" spans="28:30" x14ac:dyDescent="0.25">
      <c r="AB1956" s="86"/>
      <c r="AD1956" s="100"/>
    </row>
    <row r="1957" spans="28:30" x14ac:dyDescent="0.25">
      <c r="AB1957" s="86"/>
      <c r="AD1957" s="100"/>
    </row>
    <row r="1958" spans="28:30" x14ac:dyDescent="0.25">
      <c r="AB1958" s="86"/>
      <c r="AD1958" s="100"/>
    </row>
    <row r="1959" spans="28:30" x14ac:dyDescent="0.25">
      <c r="AB1959" s="86"/>
      <c r="AD1959" s="100"/>
    </row>
    <row r="1960" spans="28:30" x14ac:dyDescent="0.25">
      <c r="AB1960" s="86"/>
      <c r="AD1960" s="100"/>
    </row>
    <row r="1961" spans="28:30" x14ac:dyDescent="0.25">
      <c r="AB1961" s="86"/>
      <c r="AD1961" s="100"/>
    </row>
    <row r="1962" spans="28:30" x14ac:dyDescent="0.25">
      <c r="AB1962" s="86"/>
      <c r="AD1962" s="100"/>
    </row>
    <row r="1963" spans="28:30" x14ac:dyDescent="0.25">
      <c r="AB1963" s="86"/>
      <c r="AD1963" s="100"/>
    </row>
    <row r="1964" spans="28:30" x14ac:dyDescent="0.25">
      <c r="AB1964" s="86"/>
      <c r="AD1964" s="100"/>
    </row>
    <row r="1965" spans="28:30" x14ac:dyDescent="0.25">
      <c r="AB1965" s="86"/>
      <c r="AD1965" s="100"/>
    </row>
    <row r="1966" spans="28:30" x14ac:dyDescent="0.25">
      <c r="AB1966" s="86"/>
      <c r="AD1966" s="100"/>
    </row>
    <row r="1967" spans="28:30" x14ac:dyDescent="0.25">
      <c r="AB1967" s="86"/>
      <c r="AD1967" s="100"/>
    </row>
    <row r="1968" spans="28:30" x14ac:dyDescent="0.25">
      <c r="AB1968" s="86"/>
      <c r="AD1968" s="100"/>
    </row>
    <row r="1969" spans="28:30" x14ac:dyDescent="0.25">
      <c r="AB1969" s="86"/>
      <c r="AD1969" s="100"/>
    </row>
    <row r="1970" spans="28:30" x14ac:dyDescent="0.25">
      <c r="AB1970" s="86"/>
      <c r="AD1970" s="100"/>
    </row>
    <row r="1971" spans="28:30" x14ac:dyDescent="0.25">
      <c r="AB1971" s="86"/>
      <c r="AD1971" s="100"/>
    </row>
    <row r="1972" spans="28:30" x14ac:dyDescent="0.25">
      <c r="AB1972" s="86"/>
      <c r="AD1972" s="100"/>
    </row>
    <row r="1973" spans="28:30" x14ac:dyDescent="0.25">
      <c r="AB1973" s="86"/>
      <c r="AD1973" s="100"/>
    </row>
    <row r="1974" spans="28:30" x14ac:dyDescent="0.25">
      <c r="AB1974" s="86"/>
      <c r="AD1974" s="100"/>
    </row>
    <row r="1975" spans="28:30" x14ac:dyDescent="0.25">
      <c r="AB1975" s="86"/>
      <c r="AD1975" s="100"/>
    </row>
    <row r="1976" spans="28:30" x14ac:dyDescent="0.25">
      <c r="AB1976" s="86"/>
      <c r="AD1976" s="100"/>
    </row>
    <row r="1977" spans="28:30" x14ac:dyDescent="0.25">
      <c r="AB1977" s="86"/>
      <c r="AD1977" s="100"/>
    </row>
    <row r="1978" spans="28:30" x14ac:dyDescent="0.25">
      <c r="AB1978" s="86"/>
      <c r="AD1978" s="100"/>
    </row>
    <row r="1979" spans="28:30" x14ac:dyDescent="0.25">
      <c r="AB1979" s="86"/>
      <c r="AD1979" s="100"/>
    </row>
    <row r="1980" spans="28:30" x14ac:dyDescent="0.25">
      <c r="AB1980" s="86"/>
      <c r="AD1980" s="100"/>
    </row>
    <row r="1981" spans="28:30" x14ac:dyDescent="0.25">
      <c r="AB1981" s="86"/>
      <c r="AD1981" s="100"/>
    </row>
    <row r="1982" spans="28:30" x14ac:dyDescent="0.25">
      <c r="AB1982" s="86"/>
      <c r="AD1982" s="100"/>
    </row>
    <row r="1983" spans="28:30" x14ac:dyDescent="0.25">
      <c r="AB1983" s="86"/>
      <c r="AD1983" s="100"/>
    </row>
    <row r="1984" spans="28:30" x14ac:dyDescent="0.25">
      <c r="AB1984" s="86"/>
      <c r="AD1984" s="100"/>
    </row>
    <row r="1985" spans="28:30" x14ac:dyDescent="0.25">
      <c r="AB1985" s="86"/>
      <c r="AD1985" s="100"/>
    </row>
    <row r="1986" spans="28:30" x14ac:dyDescent="0.25">
      <c r="AB1986" s="86"/>
      <c r="AD1986" s="100"/>
    </row>
    <row r="1987" spans="28:30" x14ac:dyDescent="0.25">
      <c r="AB1987" s="86"/>
      <c r="AD1987" s="100"/>
    </row>
    <row r="1988" spans="28:30" x14ac:dyDescent="0.25">
      <c r="AB1988" s="86"/>
      <c r="AD1988" s="100"/>
    </row>
    <row r="1989" spans="28:30" x14ac:dyDescent="0.25">
      <c r="AB1989" s="86"/>
      <c r="AD1989" s="100"/>
    </row>
    <row r="1990" spans="28:30" x14ac:dyDescent="0.25">
      <c r="AB1990" s="86"/>
      <c r="AD1990" s="100"/>
    </row>
    <row r="1991" spans="28:30" x14ac:dyDescent="0.25">
      <c r="AB1991" s="86"/>
      <c r="AD1991" s="100"/>
    </row>
    <row r="1992" spans="28:30" x14ac:dyDescent="0.25">
      <c r="AB1992" s="86"/>
      <c r="AD1992" s="100"/>
    </row>
    <row r="1993" spans="28:30" x14ac:dyDescent="0.25">
      <c r="AB1993" s="86"/>
      <c r="AD1993" s="100"/>
    </row>
    <row r="1994" spans="28:30" x14ac:dyDescent="0.25">
      <c r="AB1994" s="86"/>
      <c r="AD1994" s="100"/>
    </row>
    <row r="1995" spans="28:30" x14ac:dyDescent="0.25">
      <c r="AB1995" s="86"/>
      <c r="AD1995" s="100"/>
    </row>
    <row r="1996" spans="28:30" x14ac:dyDescent="0.25">
      <c r="AB1996" s="86"/>
      <c r="AD1996" s="100"/>
    </row>
    <row r="1997" spans="28:30" x14ac:dyDescent="0.25">
      <c r="AB1997" s="86"/>
      <c r="AD1997" s="100"/>
    </row>
    <row r="1998" spans="28:30" x14ac:dyDescent="0.25">
      <c r="AB1998" s="86"/>
      <c r="AD1998" s="100"/>
    </row>
    <row r="1999" spans="28:30" x14ac:dyDescent="0.25">
      <c r="AB1999" s="86"/>
      <c r="AD1999" s="100"/>
    </row>
    <row r="2000" spans="28:30" x14ac:dyDescent="0.25">
      <c r="AB2000" s="86"/>
      <c r="AD2000" s="100"/>
    </row>
    <row r="2001" spans="28:30" x14ac:dyDescent="0.25">
      <c r="AB2001" s="86"/>
      <c r="AD2001" s="100"/>
    </row>
    <row r="2002" spans="28:30" x14ac:dyDescent="0.25">
      <c r="AB2002" s="86"/>
      <c r="AD2002" s="100"/>
    </row>
    <row r="2003" spans="28:30" x14ac:dyDescent="0.25">
      <c r="AB2003" s="86"/>
      <c r="AD2003" s="100"/>
    </row>
    <row r="2004" spans="28:30" x14ac:dyDescent="0.25">
      <c r="AB2004" s="86"/>
      <c r="AD2004" s="100"/>
    </row>
    <row r="2005" spans="28:30" x14ac:dyDescent="0.25">
      <c r="AB2005" s="86"/>
      <c r="AD2005" s="100"/>
    </row>
    <row r="2006" spans="28:30" x14ac:dyDescent="0.25">
      <c r="AB2006" s="86"/>
      <c r="AD2006" s="100"/>
    </row>
    <row r="2007" spans="28:30" x14ac:dyDescent="0.25">
      <c r="AB2007" s="86"/>
      <c r="AD2007" s="100"/>
    </row>
    <row r="2008" spans="28:30" x14ac:dyDescent="0.25">
      <c r="AB2008" s="86"/>
      <c r="AD2008" s="100"/>
    </row>
    <row r="2009" spans="28:30" x14ac:dyDescent="0.25">
      <c r="AB2009" s="86"/>
      <c r="AD2009" s="100"/>
    </row>
    <row r="2010" spans="28:30" x14ac:dyDescent="0.25">
      <c r="AB2010" s="86"/>
      <c r="AD2010" s="100"/>
    </row>
    <row r="2011" spans="28:30" x14ac:dyDescent="0.25">
      <c r="AB2011" s="86"/>
      <c r="AD2011" s="100"/>
    </row>
    <row r="2012" spans="28:30" x14ac:dyDescent="0.25">
      <c r="AB2012" s="86"/>
      <c r="AD2012" s="100"/>
    </row>
    <row r="2013" spans="28:30" x14ac:dyDescent="0.25">
      <c r="AB2013" s="86"/>
      <c r="AD2013" s="100"/>
    </row>
    <row r="2014" spans="28:30" x14ac:dyDescent="0.25">
      <c r="AB2014" s="86"/>
      <c r="AD2014" s="100"/>
    </row>
    <row r="2015" spans="28:30" x14ac:dyDescent="0.25">
      <c r="AB2015" s="86"/>
      <c r="AD2015" s="100"/>
    </row>
    <row r="2016" spans="28:30" x14ac:dyDescent="0.25">
      <c r="AB2016" s="86"/>
      <c r="AD2016" s="100"/>
    </row>
    <row r="2017" spans="28:30" x14ac:dyDescent="0.25">
      <c r="AB2017" s="86"/>
      <c r="AD2017" s="100"/>
    </row>
    <row r="2018" spans="28:30" x14ac:dyDescent="0.25">
      <c r="AB2018" s="86"/>
      <c r="AD2018" s="100"/>
    </row>
    <row r="2019" spans="28:30" x14ac:dyDescent="0.25">
      <c r="AB2019" s="86"/>
      <c r="AD2019" s="100"/>
    </row>
    <row r="2020" spans="28:30" x14ac:dyDescent="0.25">
      <c r="AB2020" s="86"/>
      <c r="AD2020" s="100"/>
    </row>
    <row r="2021" spans="28:30" x14ac:dyDescent="0.25">
      <c r="AB2021" s="86"/>
      <c r="AD2021" s="100"/>
    </row>
    <row r="2022" spans="28:30" x14ac:dyDescent="0.25">
      <c r="AB2022" s="86"/>
      <c r="AD2022" s="100"/>
    </row>
    <row r="2023" spans="28:30" x14ac:dyDescent="0.25">
      <c r="AB2023" s="86"/>
      <c r="AD2023" s="100"/>
    </row>
    <row r="2024" spans="28:30" x14ac:dyDescent="0.25">
      <c r="AB2024" s="86"/>
      <c r="AD2024" s="100"/>
    </row>
    <row r="2025" spans="28:30" x14ac:dyDescent="0.25">
      <c r="AB2025" s="86"/>
      <c r="AD2025" s="100"/>
    </row>
    <row r="2026" spans="28:30" x14ac:dyDescent="0.25">
      <c r="AB2026" s="86"/>
      <c r="AD2026" s="100"/>
    </row>
    <row r="2027" spans="28:30" x14ac:dyDescent="0.25">
      <c r="AB2027" s="86"/>
      <c r="AD2027" s="100"/>
    </row>
    <row r="2028" spans="28:30" x14ac:dyDescent="0.25">
      <c r="AB2028" s="86"/>
      <c r="AD2028" s="100"/>
    </row>
    <row r="2029" spans="28:30" x14ac:dyDescent="0.25">
      <c r="AB2029" s="86"/>
      <c r="AD2029" s="100"/>
    </row>
    <row r="2030" spans="28:30" x14ac:dyDescent="0.25">
      <c r="AB2030" s="86"/>
      <c r="AD2030" s="100"/>
    </row>
    <row r="2031" spans="28:30" x14ac:dyDescent="0.25">
      <c r="AB2031" s="86"/>
      <c r="AD2031" s="100"/>
    </row>
    <row r="2032" spans="28:30" x14ac:dyDescent="0.25">
      <c r="AB2032" s="86"/>
      <c r="AD2032" s="100"/>
    </row>
    <row r="2033" spans="28:30" x14ac:dyDescent="0.25">
      <c r="AB2033" s="86"/>
      <c r="AD2033" s="100"/>
    </row>
    <row r="2034" spans="28:30" x14ac:dyDescent="0.25">
      <c r="AB2034" s="86"/>
      <c r="AD2034" s="100"/>
    </row>
    <row r="2035" spans="28:30" x14ac:dyDescent="0.25">
      <c r="AB2035" s="86"/>
      <c r="AD2035" s="100"/>
    </row>
    <row r="2036" spans="28:30" x14ac:dyDescent="0.25">
      <c r="AB2036" s="86"/>
      <c r="AD2036" s="100"/>
    </row>
    <row r="2037" spans="28:30" x14ac:dyDescent="0.25">
      <c r="AB2037" s="86"/>
      <c r="AD2037" s="100"/>
    </row>
    <row r="2038" spans="28:30" x14ac:dyDescent="0.25">
      <c r="AB2038" s="86"/>
      <c r="AD2038" s="100"/>
    </row>
    <row r="2039" spans="28:30" x14ac:dyDescent="0.25">
      <c r="AB2039" s="86"/>
      <c r="AD2039" s="100"/>
    </row>
    <row r="2040" spans="28:30" x14ac:dyDescent="0.25">
      <c r="AB2040" s="86"/>
      <c r="AD2040" s="100"/>
    </row>
    <row r="2041" spans="28:30" x14ac:dyDescent="0.25">
      <c r="AB2041" s="86"/>
      <c r="AD2041" s="100"/>
    </row>
    <row r="2042" spans="28:30" x14ac:dyDescent="0.25">
      <c r="AB2042" s="86"/>
      <c r="AD2042" s="100"/>
    </row>
    <row r="2043" spans="28:30" x14ac:dyDescent="0.25">
      <c r="AB2043" s="86"/>
      <c r="AD2043" s="100"/>
    </row>
    <row r="2044" spans="28:30" x14ac:dyDescent="0.25">
      <c r="AB2044" s="86"/>
      <c r="AD2044" s="100"/>
    </row>
    <row r="2045" spans="28:30" x14ac:dyDescent="0.25">
      <c r="AB2045" s="86"/>
      <c r="AD2045" s="100"/>
    </row>
    <row r="2046" spans="28:30" x14ac:dyDescent="0.25">
      <c r="AB2046" s="86"/>
      <c r="AD2046" s="100"/>
    </row>
    <row r="2047" spans="28:30" x14ac:dyDescent="0.25">
      <c r="AB2047" s="86"/>
      <c r="AD2047" s="100"/>
    </row>
    <row r="2048" spans="28:30" x14ac:dyDescent="0.25">
      <c r="AB2048" s="86"/>
      <c r="AD2048" s="100"/>
    </row>
    <row r="2049" spans="28:30" x14ac:dyDescent="0.25">
      <c r="AB2049" s="86"/>
      <c r="AD2049" s="100"/>
    </row>
    <row r="2050" spans="28:30" x14ac:dyDescent="0.25">
      <c r="AB2050" s="86"/>
      <c r="AD2050" s="100"/>
    </row>
    <row r="2051" spans="28:30" x14ac:dyDescent="0.25">
      <c r="AB2051" s="86"/>
      <c r="AD2051" s="100"/>
    </row>
    <row r="2052" spans="28:30" x14ac:dyDescent="0.25">
      <c r="AB2052" s="86"/>
      <c r="AD2052" s="100"/>
    </row>
    <row r="2053" spans="28:30" x14ac:dyDescent="0.25">
      <c r="AB2053" s="86"/>
      <c r="AD2053" s="100"/>
    </row>
    <row r="2054" spans="28:30" x14ac:dyDescent="0.25">
      <c r="AB2054" s="86"/>
      <c r="AD2054" s="100"/>
    </row>
    <row r="2055" spans="28:30" x14ac:dyDescent="0.25">
      <c r="AB2055" s="86"/>
      <c r="AD2055" s="100"/>
    </row>
    <row r="2056" spans="28:30" x14ac:dyDescent="0.25">
      <c r="AB2056" s="86"/>
      <c r="AD2056" s="100"/>
    </row>
    <row r="2057" spans="28:30" x14ac:dyDescent="0.25">
      <c r="AB2057" s="86"/>
      <c r="AD2057" s="100"/>
    </row>
    <row r="2058" spans="28:30" x14ac:dyDescent="0.25">
      <c r="AB2058" s="86"/>
      <c r="AD2058" s="100"/>
    </row>
    <row r="2059" spans="28:30" x14ac:dyDescent="0.25">
      <c r="AB2059" s="86"/>
      <c r="AD2059" s="100"/>
    </row>
    <row r="2060" spans="28:30" x14ac:dyDescent="0.25">
      <c r="AB2060" s="86"/>
      <c r="AD2060" s="100"/>
    </row>
    <row r="2061" spans="28:30" x14ac:dyDescent="0.25">
      <c r="AB2061" s="86"/>
      <c r="AD2061" s="100"/>
    </row>
    <row r="2062" spans="28:30" x14ac:dyDescent="0.25">
      <c r="AB2062" s="86"/>
      <c r="AD2062" s="100"/>
    </row>
    <row r="2063" spans="28:30" x14ac:dyDescent="0.25">
      <c r="AB2063" s="86"/>
      <c r="AD2063" s="100"/>
    </row>
    <row r="2064" spans="28:30" x14ac:dyDescent="0.25">
      <c r="AB2064" s="86"/>
      <c r="AD2064" s="100"/>
    </row>
    <row r="2065" spans="28:30" x14ac:dyDescent="0.25">
      <c r="AB2065" s="86"/>
      <c r="AD2065" s="100"/>
    </row>
    <row r="2066" spans="28:30" x14ac:dyDescent="0.25">
      <c r="AB2066" s="86"/>
      <c r="AD2066" s="100"/>
    </row>
    <row r="2067" spans="28:30" x14ac:dyDescent="0.25">
      <c r="AB2067" s="86"/>
      <c r="AD2067" s="100"/>
    </row>
    <row r="2068" spans="28:30" x14ac:dyDescent="0.25">
      <c r="AB2068" s="86"/>
      <c r="AD2068" s="100"/>
    </row>
    <row r="2069" spans="28:30" x14ac:dyDescent="0.25">
      <c r="AB2069" s="86"/>
      <c r="AD2069" s="100"/>
    </row>
    <row r="2070" spans="28:30" x14ac:dyDescent="0.25">
      <c r="AB2070" s="86"/>
      <c r="AD2070" s="100"/>
    </row>
    <row r="2071" spans="28:30" x14ac:dyDescent="0.25">
      <c r="AB2071" s="86"/>
      <c r="AD2071" s="100"/>
    </row>
    <row r="2072" spans="28:30" x14ac:dyDescent="0.25">
      <c r="AB2072" s="86"/>
      <c r="AD2072" s="100"/>
    </row>
    <row r="2073" spans="28:30" x14ac:dyDescent="0.25">
      <c r="AB2073" s="86"/>
      <c r="AD2073" s="100"/>
    </row>
    <row r="2074" spans="28:30" x14ac:dyDescent="0.25">
      <c r="AB2074" s="86"/>
      <c r="AD2074" s="100"/>
    </row>
    <row r="2075" spans="28:30" x14ac:dyDescent="0.25">
      <c r="AB2075" s="86"/>
      <c r="AD2075" s="100"/>
    </row>
    <row r="2076" spans="28:30" x14ac:dyDescent="0.25">
      <c r="AB2076" s="86"/>
      <c r="AD2076" s="100"/>
    </row>
    <row r="2077" spans="28:30" x14ac:dyDescent="0.25">
      <c r="AB2077" s="86"/>
      <c r="AD2077" s="100"/>
    </row>
    <row r="2078" spans="28:30" x14ac:dyDescent="0.25">
      <c r="AB2078" s="86"/>
      <c r="AD2078" s="100"/>
    </row>
    <row r="2079" spans="28:30" x14ac:dyDescent="0.25">
      <c r="AB2079" s="86"/>
      <c r="AD2079" s="100"/>
    </row>
    <row r="2080" spans="28:30" x14ac:dyDescent="0.25">
      <c r="AB2080" s="86"/>
      <c r="AD2080" s="100"/>
    </row>
    <row r="2081" spans="28:30" x14ac:dyDescent="0.25">
      <c r="AB2081" s="86"/>
      <c r="AD2081" s="100"/>
    </row>
    <row r="2082" spans="28:30" x14ac:dyDescent="0.25">
      <c r="AB2082" s="86"/>
      <c r="AD2082" s="100"/>
    </row>
    <row r="2083" spans="28:30" x14ac:dyDescent="0.25">
      <c r="AB2083" s="86"/>
      <c r="AD2083" s="100"/>
    </row>
    <row r="2084" spans="28:30" x14ac:dyDescent="0.25">
      <c r="AB2084" s="86"/>
      <c r="AD2084" s="100"/>
    </row>
    <row r="2085" spans="28:30" x14ac:dyDescent="0.25">
      <c r="AB2085" s="86"/>
      <c r="AD2085" s="100"/>
    </row>
    <row r="2086" spans="28:30" x14ac:dyDescent="0.25">
      <c r="AB2086" s="86"/>
      <c r="AD2086" s="100"/>
    </row>
    <row r="2087" spans="28:30" x14ac:dyDescent="0.25">
      <c r="AB2087" s="86"/>
      <c r="AD2087" s="100"/>
    </row>
    <row r="2088" spans="28:30" x14ac:dyDescent="0.25">
      <c r="AB2088" s="86"/>
      <c r="AD2088" s="100"/>
    </row>
    <row r="2089" spans="28:30" x14ac:dyDescent="0.25">
      <c r="AB2089" s="86"/>
      <c r="AD2089" s="100"/>
    </row>
    <row r="2090" spans="28:30" x14ac:dyDescent="0.25">
      <c r="AB2090" s="86"/>
      <c r="AD2090" s="100"/>
    </row>
    <row r="2091" spans="28:30" x14ac:dyDescent="0.25">
      <c r="AB2091" s="86"/>
      <c r="AD2091" s="100"/>
    </row>
    <row r="2092" spans="28:30" x14ac:dyDescent="0.25">
      <c r="AB2092" s="86"/>
      <c r="AD2092" s="100"/>
    </row>
    <row r="2093" spans="28:30" x14ac:dyDescent="0.25">
      <c r="AB2093" s="86"/>
      <c r="AD2093" s="100"/>
    </row>
    <row r="2094" spans="28:30" x14ac:dyDescent="0.25">
      <c r="AB2094" s="86"/>
      <c r="AD2094" s="100"/>
    </row>
    <row r="2095" spans="28:30" x14ac:dyDescent="0.25">
      <c r="AB2095" s="86"/>
      <c r="AD2095" s="100"/>
    </row>
    <row r="2096" spans="28:30" x14ac:dyDescent="0.25">
      <c r="AB2096" s="86"/>
      <c r="AD2096" s="100"/>
    </row>
    <row r="2097" spans="28:30" x14ac:dyDescent="0.25">
      <c r="AB2097" s="86"/>
      <c r="AD2097" s="100"/>
    </row>
    <row r="2098" spans="28:30" x14ac:dyDescent="0.25">
      <c r="AB2098" s="86"/>
      <c r="AD2098" s="100"/>
    </row>
    <row r="2099" spans="28:30" x14ac:dyDescent="0.25">
      <c r="AB2099" s="86"/>
      <c r="AD2099" s="100"/>
    </row>
    <row r="2100" spans="28:30" x14ac:dyDescent="0.25">
      <c r="AB2100" s="86"/>
      <c r="AD2100" s="100"/>
    </row>
    <row r="2101" spans="28:30" x14ac:dyDescent="0.25">
      <c r="AB2101" s="86"/>
      <c r="AD2101" s="100"/>
    </row>
    <row r="2102" spans="28:30" x14ac:dyDescent="0.25">
      <c r="AB2102" s="86"/>
      <c r="AD2102" s="100"/>
    </row>
    <row r="2103" spans="28:30" x14ac:dyDescent="0.25">
      <c r="AB2103" s="86"/>
      <c r="AD2103" s="100"/>
    </row>
    <row r="2104" spans="28:30" x14ac:dyDescent="0.25">
      <c r="AB2104" s="86"/>
      <c r="AD2104" s="100"/>
    </row>
    <row r="2105" spans="28:30" x14ac:dyDescent="0.25">
      <c r="AB2105" s="86"/>
      <c r="AD2105" s="100"/>
    </row>
    <row r="2106" spans="28:30" x14ac:dyDescent="0.25">
      <c r="AB2106" s="86"/>
      <c r="AD2106" s="100"/>
    </row>
    <row r="2107" spans="28:30" x14ac:dyDescent="0.25">
      <c r="AB2107" s="86"/>
      <c r="AD2107" s="100"/>
    </row>
    <row r="2108" spans="28:30" x14ac:dyDescent="0.25">
      <c r="AB2108" s="86"/>
      <c r="AD2108" s="100"/>
    </row>
    <row r="2109" spans="28:30" x14ac:dyDescent="0.25">
      <c r="AB2109" s="86"/>
      <c r="AD2109" s="100"/>
    </row>
    <row r="2110" spans="28:30" x14ac:dyDescent="0.25">
      <c r="AB2110" s="86"/>
      <c r="AD2110" s="100"/>
    </row>
    <row r="2111" spans="28:30" x14ac:dyDescent="0.25">
      <c r="AB2111" s="86"/>
      <c r="AD2111" s="100"/>
    </row>
    <row r="2112" spans="28:30" x14ac:dyDescent="0.25">
      <c r="AB2112" s="86"/>
      <c r="AD2112" s="100"/>
    </row>
    <row r="2113" spans="28:30" x14ac:dyDescent="0.25">
      <c r="AB2113" s="86"/>
      <c r="AD2113" s="100"/>
    </row>
    <row r="2114" spans="28:30" x14ac:dyDescent="0.25">
      <c r="AB2114" s="86"/>
      <c r="AD2114" s="100"/>
    </row>
    <row r="2115" spans="28:30" x14ac:dyDescent="0.25">
      <c r="AB2115" s="86"/>
      <c r="AD2115" s="100"/>
    </row>
    <row r="2116" spans="28:30" x14ac:dyDescent="0.25">
      <c r="AB2116" s="86"/>
      <c r="AD2116" s="100"/>
    </row>
    <row r="2117" spans="28:30" x14ac:dyDescent="0.25">
      <c r="AB2117" s="86"/>
      <c r="AD2117" s="100"/>
    </row>
    <row r="2118" spans="28:30" x14ac:dyDescent="0.25">
      <c r="AB2118" s="86"/>
      <c r="AD2118" s="100"/>
    </row>
    <row r="2119" spans="28:30" x14ac:dyDescent="0.25">
      <c r="AB2119" s="86"/>
      <c r="AD2119" s="100"/>
    </row>
    <row r="2120" spans="28:30" x14ac:dyDescent="0.25">
      <c r="AB2120" s="86"/>
      <c r="AD2120" s="100"/>
    </row>
    <row r="2121" spans="28:30" x14ac:dyDescent="0.25">
      <c r="AB2121" s="86"/>
      <c r="AD2121" s="100"/>
    </row>
    <row r="2122" spans="28:30" x14ac:dyDescent="0.25">
      <c r="AB2122" s="86"/>
      <c r="AD2122" s="100"/>
    </row>
    <row r="2123" spans="28:30" x14ac:dyDescent="0.25">
      <c r="AB2123" s="86"/>
      <c r="AD2123" s="100"/>
    </row>
    <row r="2124" spans="28:30" x14ac:dyDescent="0.25">
      <c r="AB2124" s="86"/>
      <c r="AD2124" s="100"/>
    </row>
    <row r="2125" spans="28:30" x14ac:dyDescent="0.25">
      <c r="AB2125" s="86"/>
      <c r="AD2125" s="100"/>
    </row>
    <row r="2126" spans="28:30" x14ac:dyDescent="0.25">
      <c r="AB2126" s="86"/>
      <c r="AD2126" s="100"/>
    </row>
    <row r="2127" spans="28:30" x14ac:dyDescent="0.25">
      <c r="AB2127" s="86"/>
      <c r="AD2127" s="100"/>
    </row>
    <row r="2128" spans="28:30" x14ac:dyDescent="0.25">
      <c r="AB2128" s="86"/>
      <c r="AD2128" s="100"/>
    </row>
    <row r="2129" spans="28:30" x14ac:dyDescent="0.25">
      <c r="AB2129" s="86"/>
      <c r="AD2129" s="100"/>
    </row>
    <row r="2130" spans="28:30" x14ac:dyDescent="0.25">
      <c r="AB2130" s="86"/>
      <c r="AD2130" s="100"/>
    </row>
    <row r="2131" spans="28:30" x14ac:dyDescent="0.25">
      <c r="AB2131" s="86"/>
      <c r="AD2131" s="100"/>
    </row>
    <row r="2132" spans="28:30" x14ac:dyDescent="0.25">
      <c r="AB2132" s="86"/>
      <c r="AD2132" s="100"/>
    </row>
    <row r="2133" spans="28:30" x14ac:dyDescent="0.25">
      <c r="AB2133" s="86"/>
      <c r="AD2133" s="100"/>
    </row>
    <row r="2134" spans="28:30" x14ac:dyDescent="0.25">
      <c r="AB2134" s="86"/>
      <c r="AD2134" s="100"/>
    </row>
    <row r="2135" spans="28:30" x14ac:dyDescent="0.25">
      <c r="AB2135" s="86"/>
      <c r="AD2135" s="100"/>
    </row>
    <row r="2136" spans="28:30" x14ac:dyDescent="0.25">
      <c r="AB2136" s="86"/>
      <c r="AD2136" s="100"/>
    </row>
    <row r="2137" spans="28:30" x14ac:dyDescent="0.25">
      <c r="AB2137" s="86"/>
      <c r="AD2137" s="100"/>
    </row>
    <row r="2138" spans="28:30" x14ac:dyDescent="0.25">
      <c r="AB2138" s="86"/>
      <c r="AD2138" s="100"/>
    </row>
    <row r="2139" spans="28:30" x14ac:dyDescent="0.25">
      <c r="AB2139" s="86"/>
      <c r="AD2139" s="100"/>
    </row>
    <row r="2140" spans="28:30" x14ac:dyDescent="0.25">
      <c r="AB2140" s="86"/>
      <c r="AD2140" s="100"/>
    </row>
    <row r="2141" spans="28:30" x14ac:dyDescent="0.25">
      <c r="AB2141" s="86"/>
      <c r="AD2141" s="100"/>
    </row>
    <row r="2142" spans="28:30" x14ac:dyDescent="0.25">
      <c r="AB2142" s="86"/>
      <c r="AD2142" s="100"/>
    </row>
    <row r="2143" spans="28:30" x14ac:dyDescent="0.25">
      <c r="AB2143" s="86"/>
      <c r="AD2143" s="100"/>
    </row>
    <row r="2144" spans="28:30" x14ac:dyDescent="0.25">
      <c r="AB2144" s="86"/>
      <c r="AD2144" s="100"/>
    </row>
    <row r="2145" spans="28:30" x14ac:dyDescent="0.25">
      <c r="AB2145" s="86"/>
      <c r="AD2145" s="100"/>
    </row>
    <row r="2146" spans="28:30" x14ac:dyDescent="0.25">
      <c r="AB2146" s="86"/>
      <c r="AD2146" s="100"/>
    </row>
    <row r="2147" spans="28:30" x14ac:dyDescent="0.25">
      <c r="AB2147" s="86"/>
      <c r="AD2147" s="100"/>
    </row>
    <row r="2148" spans="28:30" x14ac:dyDescent="0.25">
      <c r="AB2148" s="86"/>
      <c r="AD2148" s="100"/>
    </row>
    <row r="2149" spans="28:30" x14ac:dyDescent="0.25">
      <c r="AB2149" s="86"/>
      <c r="AD2149" s="100"/>
    </row>
    <row r="2150" spans="28:30" x14ac:dyDescent="0.25">
      <c r="AB2150" s="86"/>
      <c r="AD2150" s="100"/>
    </row>
    <row r="2151" spans="28:30" x14ac:dyDescent="0.25">
      <c r="AB2151" s="86"/>
      <c r="AD2151" s="100"/>
    </row>
    <row r="2152" spans="28:30" x14ac:dyDescent="0.25">
      <c r="AB2152" s="86"/>
      <c r="AD2152" s="100"/>
    </row>
    <row r="2153" spans="28:30" x14ac:dyDescent="0.25">
      <c r="AB2153" s="86"/>
      <c r="AD2153" s="100"/>
    </row>
    <row r="2154" spans="28:30" x14ac:dyDescent="0.25">
      <c r="AB2154" s="86"/>
      <c r="AD2154" s="100"/>
    </row>
    <row r="2155" spans="28:30" x14ac:dyDescent="0.25">
      <c r="AB2155" s="86"/>
      <c r="AD2155" s="100"/>
    </row>
    <row r="2156" spans="28:30" x14ac:dyDescent="0.25">
      <c r="AB2156" s="86"/>
      <c r="AD2156" s="100"/>
    </row>
    <row r="2157" spans="28:30" x14ac:dyDescent="0.25">
      <c r="AB2157" s="86"/>
      <c r="AD2157" s="100"/>
    </row>
    <row r="2158" spans="28:30" x14ac:dyDescent="0.25">
      <c r="AB2158" s="86"/>
      <c r="AD2158" s="100"/>
    </row>
    <row r="2159" spans="28:30" x14ac:dyDescent="0.25">
      <c r="AB2159" s="86"/>
      <c r="AD2159" s="100"/>
    </row>
    <row r="2160" spans="28:30" x14ac:dyDescent="0.25">
      <c r="AB2160" s="86"/>
      <c r="AD2160" s="100"/>
    </row>
    <row r="2161" spans="28:30" x14ac:dyDescent="0.25">
      <c r="AB2161" s="86"/>
      <c r="AD2161" s="100"/>
    </row>
    <row r="2162" spans="28:30" x14ac:dyDescent="0.25">
      <c r="AB2162" s="86"/>
      <c r="AD2162" s="100"/>
    </row>
    <row r="2163" spans="28:30" x14ac:dyDescent="0.25">
      <c r="AB2163" s="86"/>
      <c r="AD2163" s="100"/>
    </row>
    <row r="2164" spans="28:30" x14ac:dyDescent="0.25">
      <c r="AB2164" s="86"/>
      <c r="AD2164" s="100"/>
    </row>
    <row r="2165" spans="28:30" x14ac:dyDescent="0.25">
      <c r="AB2165" s="86"/>
      <c r="AD2165" s="100"/>
    </row>
    <row r="2166" spans="28:30" x14ac:dyDescent="0.25">
      <c r="AB2166" s="86"/>
      <c r="AD2166" s="100"/>
    </row>
    <row r="2167" spans="28:30" x14ac:dyDescent="0.25">
      <c r="AB2167" s="86"/>
      <c r="AD2167" s="100"/>
    </row>
    <row r="2168" spans="28:30" x14ac:dyDescent="0.25">
      <c r="AB2168" s="86"/>
      <c r="AD2168" s="100"/>
    </row>
    <row r="2169" spans="28:30" x14ac:dyDescent="0.25">
      <c r="AB2169" s="86"/>
      <c r="AD2169" s="100"/>
    </row>
    <row r="2170" spans="28:30" x14ac:dyDescent="0.25">
      <c r="AB2170" s="86"/>
      <c r="AD2170" s="100"/>
    </row>
    <row r="2171" spans="28:30" x14ac:dyDescent="0.25">
      <c r="AB2171" s="86"/>
      <c r="AD2171" s="100"/>
    </row>
    <row r="2172" spans="28:30" x14ac:dyDescent="0.25">
      <c r="AB2172" s="86"/>
      <c r="AD2172" s="100"/>
    </row>
    <row r="2173" spans="28:30" x14ac:dyDescent="0.25">
      <c r="AB2173" s="86"/>
      <c r="AD2173" s="100"/>
    </row>
    <row r="2174" spans="28:30" x14ac:dyDescent="0.25">
      <c r="AB2174" s="86"/>
      <c r="AD2174" s="100"/>
    </row>
    <row r="2175" spans="28:30" x14ac:dyDescent="0.25">
      <c r="AB2175" s="86"/>
      <c r="AD2175" s="100"/>
    </row>
    <row r="2176" spans="28:30" x14ac:dyDescent="0.25">
      <c r="AB2176" s="86"/>
      <c r="AD2176" s="100"/>
    </row>
    <row r="2177" spans="28:30" x14ac:dyDescent="0.25">
      <c r="AB2177" s="86"/>
      <c r="AD2177" s="100"/>
    </row>
    <row r="2178" spans="28:30" x14ac:dyDescent="0.25">
      <c r="AB2178" s="86"/>
      <c r="AD2178" s="100"/>
    </row>
    <row r="2179" spans="28:30" x14ac:dyDescent="0.25">
      <c r="AB2179" s="86"/>
      <c r="AD2179" s="100"/>
    </row>
    <row r="2180" spans="28:30" x14ac:dyDescent="0.25">
      <c r="AB2180" s="86"/>
      <c r="AD2180" s="100"/>
    </row>
    <row r="2181" spans="28:30" x14ac:dyDescent="0.25">
      <c r="AB2181" s="86"/>
      <c r="AD2181" s="100"/>
    </row>
    <row r="2182" spans="28:30" x14ac:dyDescent="0.25">
      <c r="AB2182" s="86"/>
      <c r="AD2182" s="100"/>
    </row>
    <row r="2183" spans="28:30" x14ac:dyDescent="0.25">
      <c r="AB2183" s="86"/>
      <c r="AD2183" s="100"/>
    </row>
    <row r="2184" spans="28:30" x14ac:dyDescent="0.25">
      <c r="AB2184" s="86"/>
      <c r="AD2184" s="100"/>
    </row>
    <row r="2185" spans="28:30" x14ac:dyDescent="0.25">
      <c r="AB2185" s="86"/>
      <c r="AD2185" s="100"/>
    </row>
    <row r="2186" spans="28:30" x14ac:dyDescent="0.25">
      <c r="AB2186" s="86"/>
      <c r="AD2186" s="100"/>
    </row>
    <row r="2187" spans="28:30" x14ac:dyDescent="0.25">
      <c r="AB2187" s="86"/>
      <c r="AD2187" s="100"/>
    </row>
    <row r="2188" spans="28:30" x14ac:dyDescent="0.25">
      <c r="AB2188" s="86"/>
      <c r="AD2188" s="100"/>
    </row>
    <row r="2189" spans="28:30" x14ac:dyDescent="0.25">
      <c r="AB2189" s="86"/>
      <c r="AD2189" s="100"/>
    </row>
    <row r="2190" spans="28:30" x14ac:dyDescent="0.25">
      <c r="AB2190" s="86"/>
      <c r="AD2190" s="100"/>
    </row>
    <row r="2191" spans="28:30" x14ac:dyDescent="0.25">
      <c r="AB2191" s="86"/>
      <c r="AD2191" s="100"/>
    </row>
    <row r="2192" spans="28:30" x14ac:dyDescent="0.25">
      <c r="AB2192" s="86"/>
      <c r="AD2192" s="100"/>
    </row>
    <row r="2193" spans="28:30" x14ac:dyDescent="0.25">
      <c r="AB2193" s="86"/>
      <c r="AD2193" s="100"/>
    </row>
    <row r="2194" spans="28:30" x14ac:dyDescent="0.25">
      <c r="AB2194" s="86"/>
      <c r="AD2194" s="100"/>
    </row>
    <row r="2195" spans="28:30" x14ac:dyDescent="0.25">
      <c r="AB2195" s="86"/>
      <c r="AD2195" s="100"/>
    </row>
    <row r="2196" spans="28:30" x14ac:dyDescent="0.25">
      <c r="AB2196" s="86"/>
      <c r="AD2196" s="100"/>
    </row>
    <row r="2197" spans="28:30" x14ac:dyDescent="0.25">
      <c r="AB2197" s="86"/>
      <c r="AD2197" s="100"/>
    </row>
    <row r="2198" spans="28:30" x14ac:dyDescent="0.25">
      <c r="AB2198" s="86"/>
      <c r="AD2198" s="100"/>
    </row>
    <row r="2199" spans="28:30" x14ac:dyDescent="0.25">
      <c r="AB2199" s="86"/>
      <c r="AD2199" s="100"/>
    </row>
    <row r="2200" spans="28:30" x14ac:dyDescent="0.25">
      <c r="AB2200" s="86"/>
      <c r="AD2200" s="100"/>
    </row>
    <row r="2201" spans="28:30" x14ac:dyDescent="0.25">
      <c r="AB2201" s="86"/>
      <c r="AD2201" s="100"/>
    </row>
    <row r="2202" spans="28:30" x14ac:dyDescent="0.25">
      <c r="AB2202" s="86"/>
      <c r="AD2202" s="100"/>
    </row>
    <row r="2203" spans="28:30" x14ac:dyDescent="0.25">
      <c r="AB2203" s="86"/>
      <c r="AD2203" s="100"/>
    </row>
    <row r="2204" spans="28:30" x14ac:dyDescent="0.25">
      <c r="AB2204" s="86"/>
      <c r="AD2204" s="100"/>
    </row>
    <row r="2205" spans="28:30" x14ac:dyDescent="0.25">
      <c r="AB2205" s="86"/>
      <c r="AD2205" s="100"/>
    </row>
    <row r="2206" spans="28:30" x14ac:dyDescent="0.25">
      <c r="AB2206" s="86"/>
      <c r="AD2206" s="100"/>
    </row>
    <row r="2207" spans="28:30" x14ac:dyDescent="0.25">
      <c r="AB2207" s="86"/>
      <c r="AD2207" s="100"/>
    </row>
    <row r="2208" spans="28:30" x14ac:dyDescent="0.25">
      <c r="AB2208" s="86"/>
      <c r="AD2208" s="100"/>
    </row>
    <row r="2209" spans="28:30" x14ac:dyDescent="0.25">
      <c r="AB2209" s="86"/>
      <c r="AD2209" s="100"/>
    </row>
    <row r="2210" spans="28:30" x14ac:dyDescent="0.25">
      <c r="AB2210" s="86"/>
      <c r="AD2210" s="100"/>
    </row>
    <row r="2211" spans="28:30" x14ac:dyDescent="0.25">
      <c r="AB2211" s="86"/>
      <c r="AD2211" s="100"/>
    </row>
    <row r="2212" spans="28:30" x14ac:dyDescent="0.25">
      <c r="AB2212" s="86"/>
      <c r="AD2212" s="100"/>
    </row>
    <row r="2213" spans="28:30" x14ac:dyDescent="0.25">
      <c r="AB2213" s="86"/>
      <c r="AD2213" s="100"/>
    </row>
    <row r="2214" spans="28:30" x14ac:dyDescent="0.25">
      <c r="AB2214" s="86"/>
      <c r="AD2214" s="100"/>
    </row>
    <row r="2215" spans="28:30" x14ac:dyDescent="0.25">
      <c r="AB2215" s="86"/>
      <c r="AD2215" s="100"/>
    </row>
    <row r="2216" spans="28:30" x14ac:dyDescent="0.25">
      <c r="AB2216" s="86"/>
      <c r="AD2216" s="100"/>
    </row>
    <row r="2217" spans="28:30" x14ac:dyDescent="0.25">
      <c r="AB2217" s="86"/>
      <c r="AD2217" s="100"/>
    </row>
    <row r="2218" spans="28:30" x14ac:dyDescent="0.25">
      <c r="AB2218" s="86"/>
      <c r="AD2218" s="100"/>
    </row>
    <row r="2219" spans="28:30" x14ac:dyDescent="0.25">
      <c r="AB2219" s="86"/>
      <c r="AD2219" s="100"/>
    </row>
    <row r="2220" spans="28:30" x14ac:dyDescent="0.25">
      <c r="AB2220" s="86"/>
      <c r="AD2220" s="100"/>
    </row>
    <row r="2221" spans="28:30" x14ac:dyDescent="0.25">
      <c r="AB2221" s="86"/>
      <c r="AD2221" s="100"/>
    </row>
    <row r="2222" spans="28:30" x14ac:dyDescent="0.25">
      <c r="AB2222" s="86"/>
      <c r="AD2222" s="100"/>
    </row>
    <row r="2223" spans="28:30" x14ac:dyDescent="0.25">
      <c r="AB2223" s="86"/>
      <c r="AD2223" s="100"/>
    </row>
    <row r="2224" spans="28:30" x14ac:dyDescent="0.25">
      <c r="AB2224" s="86"/>
      <c r="AD2224" s="100"/>
    </row>
    <row r="2225" spans="28:30" x14ac:dyDescent="0.25">
      <c r="AB2225" s="86"/>
      <c r="AD2225" s="100"/>
    </row>
    <row r="2226" spans="28:30" x14ac:dyDescent="0.25">
      <c r="AB2226" s="86"/>
      <c r="AD2226" s="100"/>
    </row>
    <row r="2227" spans="28:30" x14ac:dyDescent="0.25">
      <c r="AB2227" s="86"/>
      <c r="AD2227" s="100"/>
    </row>
    <row r="2228" spans="28:30" x14ac:dyDescent="0.25">
      <c r="AB2228" s="86"/>
      <c r="AD2228" s="100"/>
    </row>
    <row r="2229" spans="28:30" x14ac:dyDescent="0.25">
      <c r="AB2229" s="86"/>
      <c r="AD2229" s="100"/>
    </row>
    <row r="2230" spans="28:30" x14ac:dyDescent="0.25">
      <c r="AB2230" s="86"/>
      <c r="AD2230" s="100"/>
    </row>
    <row r="2231" spans="28:30" x14ac:dyDescent="0.25">
      <c r="AB2231" s="86"/>
      <c r="AD2231" s="100"/>
    </row>
    <row r="2232" spans="28:30" x14ac:dyDescent="0.25">
      <c r="AB2232" s="86"/>
      <c r="AD2232" s="100"/>
    </row>
    <row r="2233" spans="28:30" x14ac:dyDescent="0.25">
      <c r="AB2233" s="86"/>
      <c r="AD2233" s="100"/>
    </row>
    <row r="2234" spans="28:30" x14ac:dyDescent="0.25">
      <c r="AB2234" s="86"/>
      <c r="AD2234" s="100"/>
    </row>
    <row r="2235" spans="28:30" x14ac:dyDescent="0.25">
      <c r="AB2235" s="86"/>
      <c r="AD2235" s="100"/>
    </row>
    <row r="2236" spans="28:30" x14ac:dyDescent="0.25">
      <c r="AB2236" s="86"/>
      <c r="AD2236" s="100"/>
    </row>
    <row r="2237" spans="28:30" x14ac:dyDescent="0.25">
      <c r="AB2237" s="86"/>
      <c r="AD2237" s="100"/>
    </row>
    <row r="2238" spans="28:30" x14ac:dyDescent="0.25">
      <c r="AB2238" s="86"/>
      <c r="AD2238" s="100"/>
    </row>
    <row r="2239" spans="28:30" x14ac:dyDescent="0.25">
      <c r="AB2239" s="86"/>
      <c r="AD2239" s="100"/>
    </row>
    <row r="2240" spans="28:30" x14ac:dyDescent="0.25">
      <c r="AB2240" s="86"/>
      <c r="AD2240" s="100"/>
    </row>
    <row r="2241" spans="28:30" x14ac:dyDescent="0.25">
      <c r="AB2241" s="86"/>
      <c r="AD2241" s="100"/>
    </row>
    <row r="2242" spans="28:30" x14ac:dyDescent="0.25">
      <c r="AB2242" s="86"/>
      <c r="AD2242" s="100"/>
    </row>
    <row r="2243" spans="28:30" x14ac:dyDescent="0.25">
      <c r="AB2243" s="86"/>
      <c r="AD2243" s="100"/>
    </row>
    <row r="2244" spans="28:30" x14ac:dyDescent="0.25">
      <c r="AB2244" s="86"/>
      <c r="AD2244" s="100"/>
    </row>
    <row r="2245" spans="28:30" x14ac:dyDescent="0.25">
      <c r="AB2245" s="86"/>
      <c r="AD2245" s="100"/>
    </row>
    <row r="2246" spans="28:30" x14ac:dyDescent="0.25">
      <c r="AB2246" s="86"/>
      <c r="AD2246" s="100"/>
    </row>
    <row r="2247" spans="28:30" x14ac:dyDescent="0.25">
      <c r="AB2247" s="86"/>
      <c r="AD2247" s="100"/>
    </row>
    <row r="2248" spans="28:30" x14ac:dyDescent="0.25">
      <c r="AB2248" s="86"/>
      <c r="AD2248" s="100"/>
    </row>
    <row r="2249" spans="28:30" x14ac:dyDescent="0.25">
      <c r="AB2249" s="86"/>
      <c r="AD2249" s="100"/>
    </row>
    <row r="2250" spans="28:30" x14ac:dyDescent="0.25">
      <c r="AB2250" s="86"/>
      <c r="AD2250" s="100"/>
    </row>
    <row r="2251" spans="28:30" x14ac:dyDescent="0.25">
      <c r="AB2251" s="86"/>
      <c r="AD2251" s="100"/>
    </row>
    <row r="2252" spans="28:30" x14ac:dyDescent="0.25">
      <c r="AB2252" s="86"/>
      <c r="AD2252" s="100"/>
    </row>
    <row r="2253" spans="28:30" x14ac:dyDescent="0.25">
      <c r="AB2253" s="86"/>
      <c r="AD2253" s="100"/>
    </row>
    <row r="2254" spans="28:30" x14ac:dyDescent="0.25">
      <c r="AB2254" s="86"/>
      <c r="AD2254" s="100"/>
    </row>
    <row r="2255" spans="28:30" x14ac:dyDescent="0.25">
      <c r="AB2255" s="86"/>
      <c r="AD2255" s="100"/>
    </row>
    <row r="2256" spans="28:30" x14ac:dyDescent="0.25">
      <c r="AB2256" s="86"/>
      <c r="AD2256" s="100"/>
    </row>
    <row r="2257" spans="28:30" x14ac:dyDescent="0.25">
      <c r="AB2257" s="86"/>
      <c r="AD2257" s="100"/>
    </row>
    <row r="2258" spans="28:30" x14ac:dyDescent="0.25">
      <c r="AB2258" s="86"/>
      <c r="AD2258" s="100"/>
    </row>
    <row r="2259" spans="28:30" x14ac:dyDescent="0.25">
      <c r="AB2259" s="86"/>
      <c r="AD2259" s="100"/>
    </row>
    <row r="2260" spans="28:30" x14ac:dyDescent="0.25">
      <c r="AB2260" s="86"/>
      <c r="AD2260" s="100"/>
    </row>
    <row r="2261" spans="28:30" x14ac:dyDescent="0.25">
      <c r="AB2261" s="86"/>
      <c r="AD2261" s="100"/>
    </row>
    <row r="2262" spans="28:30" x14ac:dyDescent="0.25">
      <c r="AB2262" s="86"/>
      <c r="AD2262" s="100"/>
    </row>
    <row r="2263" spans="28:30" x14ac:dyDescent="0.25">
      <c r="AB2263" s="86"/>
      <c r="AD2263" s="100"/>
    </row>
    <row r="2264" spans="28:30" x14ac:dyDescent="0.25">
      <c r="AB2264" s="86"/>
      <c r="AD2264" s="100"/>
    </row>
    <row r="2265" spans="28:30" x14ac:dyDescent="0.25">
      <c r="AB2265" s="86"/>
      <c r="AD2265" s="100"/>
    </row>
    <row r="2266" spans="28:30" x14ac:dyDescent="0.25">
      <c r="AB2266" s="86"/>
      <c r="AD2266" s="100"/>
    </row>
    <row r="2267" spans="28:30" x14ac:dyDescent="0.25">
      <c r="AB2267" s="86"/>
      <c r="AD2267" s="100"/>
    </row>
    <row r="2268" spans="28:30" x14ac:dyDescent="0.25">
      <c r="AB2268" s="86"/>
      <c r="AD2268" s="100"/>
    </row>
    <row r="2269" spans="28:30" x14ac:dyDescent="0.25">
      <c r="AB2269" s="86"/>
      <c r="AD2269" s="100"/>
    </row>
    <row r="2270" spans="28:30" x14ac:dyDescent="0.25">
      <c r="AB2270" s="86"/>
      <c r="AD2270" s="100"/>
    </row>
    <row r="2271" spans="28:30" x14ac:dyDescent="0.25">
      <c r="AB2271" s="86"/>
      <c r="AD2271" s="100"/>
    </row>
    <row r="2272" spans="28:30" x14ac:dyDescent="0.25">
      <c r="AB2272" s="86"/>
      <c r="AD2272" s="100"/>
    </row>
    <row r="2273" spans="28:30" x14ac:dyDescent="0.25">
      <c r="AB2273" s="86"/>
      <c r="AD2273" s="100"/>
    </row>
    <row r="2274" spans="28:30" x14ac:dyDescent="0.25">
      <c r="AB2274" s="86"/>
      <c r="AD2274" s="100"/>
    </row>
    <row r="2275" spans="28:30" x14ac:dyDescent="0.25">
      <c r="AB2275" s="86"/>
      <c r="AD2275" s="100"/>
    </row>
    <row r="2276" spans="28:30" x14ac:dyDescent="0.25">
      <c r="AB2276" s="86"/>
      <c r="AD2276" s="100"/>
    </row>
    <row r="2277" spans="28:30" x14ac:dyDescent="0.25">
      <c r="AB2277" s="86"/>
      <c r="AD2277" s="100"/>
    </row>
    <row r="2278" spans="28:30" x14ac:dyDescent="0.25">
      <c r="AB2278" s="86"/>
      <c r="AD2278" s="100"/>
    </row>
    <row r="2279" spans="28:30" x14ac:dyDescent="0.25">
      <c r="AB2279" s="86"/>
      <c r="AD2279" s="100"/>
    </row>
    <row r="2280" spans="28:30" x14ac:dyDescent="0.25">
      <c r="AB2280" s="86"/>
      <c r="AD2280" s="100"/>
    </row>
    <row r="2281" spans="28:30" x14ac:dyDescent="0.25">
      <c r="AB2281" s="86"/>
      <c r="AD2281" s="100"/>
    </row>
    <row r="2282" spans="28:30" x14ac:dyDescent="0.25">
      <c r="AB2282" s="86"/>
      <c r="AD2282" s="100"/>
    </row>
    <row r="2283" spans="28:30" x14ac:dyDescent="0.25">
      <c r="AB2283" s="86"/>
      <c r="AD2283" s="100"/>
    </row>
    <row r="2284" spans="28:30" x14ac:dyDescent="0.25">
      <c r="AB2284" s="86"/>
      <c r="AD2284" s="100"/>
    </row>
    <row r="2285" spans="28:30" x14ac:dyDescent="0.25">
      <c r="AB2285" s="86"/>
      <c r="AD2285" s="100"/>
    </row>
    <row r="2286" spans="28:30" x14ac:dyDescent="0.25">
      <c r="AB2286" s="86"/>
      <c r="AD2286" s="100"/>
    </row>
    <row r="2287" spans="28:30" x14ac:dyDescent="0.25">
      <c r="AB2287" s="86"/>
      <c r="AD2287" s="100"/>
    </row>
    <row r="2288" spans="28:30" x14ac:dyDescent="0.25">
      <c r="AB2288" s="86"/>
      <c r="AD2288" s="100"/>
    </row>
    <row r="2289" spans="28:30" x14ac:dyDescent="0.25">
      <c r="AB2289" s="86"/>
      <c r="AD2289" s="100"/>
    </row>
    <row r="2290" spans="28:30" x14ac:dyDescent="0.25">
      <c r="AB2290" s="86"/>
      <c r="AD2290" s="100"/>
    </row>
    <row r="2291" spans="28:30" x14ac:dyDescent="0.25">
      <c r="AB2291" s="86"/>
      <c r="AD2291" s="100"/>
    </row>
    <row r="2292" spans="28:30" x14ac:dyDescent="0.25">
      <c r="AB2292" s="86"/>
      <c r="AD2292" s="100"/>
    </row>
    <row r="2293" spans="28:30" x14ac:dyDescent="0.25">
      <c r="AB2293" s="86"/>
      <c r="AD2293" s="100"/>
    </row>
    <row r="2294" spans="28:30" x14ac:dyDescent="0.25">
      <c r="AB2294" s="86"/>
      <c r="AD2294" s="100"/>
    </row>
    <row r="2295" spans="28:30" x14ac:dyDescent="0.25">
      <c r="AB2295" s="86"/>
      <c r="AD2295" s="100"/>
    </row>
    <row r="2296" spans="28:30" x14ac:dyDescent="0.25">
      <c r="AB2296" s="86"/>
      <c r="AD2296" s="100"/>
    </row>
    <row r="2297" spans="28:30" x14ac:dyDescent="0.25">
      <c r="AB2297" s="86"/>
      <c r="AD2297" s="100"/>
    </row>
    <row r="2298" spans="28:30" x14ac:dyDescent="0.25">
      <c r="AB2298" s="86"/>
      <c r="AD2298" s="100"/>
    </row>
    <row r="2299" spans="28:30" x14ac:dyDescent="0.25">
      <c r="AB2299" s="86"/>
      <c r="AD2299" s="100"/>
    </row>
    <row r="2300" spans="28:30" x14ac:dyDescent="0.25">
      <c r="AB2300" s="86"/>
      <c r="AD2300" s="100"/>
    </row>
    <row r="2301" spans="28:30" x14ac:dyDescent="0.25">
      <c r="AB2301" s="86"/>
      <c r="AD2301" s="100"/>
    </row>
    <row r="2302" spans="28:30" x14ac:dyDescent="0.25">
      <c r="AB2302" s="86"/>
      <c r="AD2302" s="100"/>
    </row>
    <row r="2303" spans="28:30" x14ac:dyDescent="0.25">
      <c r="AB2303" s="86"/>
      <c r="AD2303" s="100"/>
    </row>
    <row r="2304" spans="28:30" x14ac:dyDescent="0.25">
      <c r="AB2304" s="86"/>
      <c r="AD2304" s="100"/>
    </row>
    <row r="2305" spans="28:30" x14ac:dyDescent="0.25">
      <c r="AB2305" s="86"/>
      <c r="AD2305" s="100"/>
    </row>
    <row r="2306" spans="28:30" x14ac:dyDescent="0.25">
      <c r="AB2306" s="86"/>
      <c r="AD2306" s="100"/>
    </row>
    <row r="2307" spans="28:30" x14ac:dyDescent="0.25">
      <c r="AB2307" s="86"/>
      <c r="AD2307" s="100"/>
    </row>
    <row r="2308" spans="28:30" x14ac:dyDescent="0.25">
      <c r="AB2308" s="86"/>
      <c r="AD2308" s="100"/>
    </row>
    <row r="2309" spans="28:30" x14ac:dyDescent="0.25">
      <c r="AB2309" s="86"/>
      <c r="AD2309" s="100"/>
    </row>
    <row r="2310" spans="28:30" x14ac:dyDescent="0.25">
      <c r="AB2310" s="86"/>
      <c r="AD2310" s="100"/>
    </row>
    <row r="2311" spans="28:30" x14ac:dyDescent="0.25">
      <c r="AB2311" s="86"/>
      <c r="AD2311" s="100"/>
    </row>
    <row r="2312" spans="28:30" x14ac:dyDescent="0.25">
      <c r="AB2312" s="86"/>
      <c r="AD2312" s="100"/>
    </row>
    <row r="2313" spans="28:30" x14ac:dyDescent="0.25">
      <c r="AB2313" s="86"/>
      <c r="AD2313" s="100"/>
    </row>
    <row r="2314" spans="28:30" x14ac:dyDescent="0.25">
      <c r="AB2314" s="86"/>
      <c r="AD2314" s="100"/>
    </row>
    <row r="2315" spans="28:30" x14ac:dyDescent="0.25">
      <c r="AB2315" s="86"/>
      <c r="AD2315" s="100"/>
    </row>
    <row r="2316" spans="28:30" x14ac:dyDescent="0.25">
      <c r="AB2316" s="86"/>
      <c r="AD2316" s="100"/>
    </row>
    <row r="2317" spans="28:30" x14ac:dyDescent="0.25">
      <c r="AB2317" s="86"/>
      <c r="AD2317" s="100"/>
    </row>
    <row r="2318" spans="28:30" x14ac:dyDescent="0.25">
      <c r="AB2318" s="86"/>
      <c r="AD2318" s="100"/>
    </row>
    <row r="2319" spans="28:30" x14ac:dyDescent="0.25">
      <c r="AB2319" s="86"/>
      <c r="AD2319" s="100"/>
    </row>
    <row r="2320" spans="28:30" x14ac:dyDescent="0.25">
      <c r="AB2320" s="86"/>
      <c r="AD2320" s="100"/>
    </row>
    <row r="2321" spans="28:30" x14ac:dyDescent="0.25">
      <c r="AB2321" s="86"/>
      <c r="AD2321" s="100"/>
    </row>
    <row r="2322" spans="28:30" x14ac:dyDescent="0.25">
      <c r="AB2322" s="86"/>
      <c r="AD2322" s="100"/>
    </row>
    <row r="2323" spans="28:30" x14ac:dyDescent="0.25">
      <c r="AB2323" s="86"/>
      <c r="AD2323" s="100"/>
    </row>
    <row r="2324" spans="28:30" x14ac:dyDescent="0.25">
      <c r="AB2324" s="86"/>
      <c r="AD2324" s="100"/>
    </row>
    <row r="2325" spans="28:30" x14ac:dyDescent="0.25">
      <c r="AB2325" s="86"/>
      <c r="AD2325" s="100"/>
    </row>
    <row r="2326" spans="28:30" x14ac:dyDescent="0.25">
      <c r="AB2326" s="86"/>
      <c r="AD2326" s="100"/>
    </row>
    <row r="2327" spans="28:30" x14ac:dyDescent="0.25">
      <c r="AB2327" s="86"/>
      <c r="AD2327" s="100"/>
    </row>
    <row r="2328" spans="28:30" x14ac:dyDescent="0.25">
      <c r="AB2328" s="86"/>
      <c r="AD2328" s="100"/>
    </row>
    <row r="2329" spans="28:30" x14ac:dyDescent="0.25">
      <c r="AB2329" s="86"/>
      <c r="AD2329" s="100"/>
    </row>
    <row r="2330" spans="28:30" x14ac:dyDescent="0.25">
      <c r="AB2330" s="86"/>
      <c r="AD2330" s="100"/>
    </row>
    <row r="2331" spans="28:30" x14ac:dyDescent="0.25">
      <c r="AB2331" s="86"/>
      <c r="AD2331" s="100"/>
    </row>
    <row r="2332" spans="28:30" x14ac:dyDescent="0.25">
      <c r="AB2332" s="86"/>
      <c r="AD2332" s="100"/>
    </row>
    <row r="2333" spans="28:30" x14ac:dyDescent="0.25">
      <c r="AB2333" s="86"/>
      <c r="AD2333" s="100"/>
    </row>
    <row r="2334" spans="28:30" x14ac:dyDescent="0.25">
      <c r="AB2334" s="86"/>
      <c r="AD2334" s="100"/>
    </row>
    <row r="2335" spans="28:30" x14ac:dyDescent="0.25">
      <c r="AB2335" s="86"/>
      <c r="AD2335" s="100"/>
    </row>
    <row r="2336" spans="28:30" x14ac:dyDescent="0.25">
      <c r="AB2336" s="86"/>
      <c r="AD2336" s="100"/>
    </row>
    <row r="2337" spans="28:30" x14ac:dyDescent="0.25">
      <c r="AB2337" s="86"/>
      <c r="AD2337" s="100"/>
    </row>
    <row r="2338" spans="28:30" x14ac:dyDescent="0.25">
      <c r="AB2338" s="86"/>
      <c r="AD2338" s="100"/>
    </row>
    <row r="2339" spans="28:30" x14ac:dyDescent="0.25">
      <c r="AB2339" s="86"/>
      <c r="AD2339" s="100"/>
    </row>
    <row r="2340" spans="28:30" x14ac:dyDescent="0.25">
      <c r="AB2340" s="86"/>
      <c r="AD2340" s="100"/>
    </row>
    <row r="2341" spans="28:30" x14ac:dyDescent="0.25">
      <c r="AB2341" s="86"/>
      <c r="AD2341" s="100"/>
    </row>
    <row r="2342" spans="28:30" x14ac:dyDescent="0.25">
      <c r="AB2342" s="86"/>
      <c r="AD2342" s="100"/>
    </row>
    <row r="2343" spans="28:30" x14ac:dyDescent="0.25">
      <c r="AB2343" s="86"/>
      <c r="AD2343" s="100"/>
    </row>
    <row r="2344" spans="28:30" x14ac:dyDescent="0.25">
      <c r="AB2344" s="86"/>
      <c r="AD2344" s="100"/>
    </row>
    <row r="2345" spans="28:30" x14ac:dyDescent="0.25">
      <c r="AB2345" s="86"/>
      <c r="AD2345" s="100"/>
    </row>
    <row r="2346" spans="28:30" x14ac:dyDescent="0.25">
      <c r="AB2346" s="86"/>
      <c r="AD2346" s="100"/>
    </row>
    <row r="2347" spans="28:30" x14ac:dyDescent="0.25">
      <c r="AB2347" s="86"/>
      <c r="AD2347" s="100"/>
    </row>
    <row r="2348" spans="28:30" x14ac:dyDescent="0.25">
      <c r="AB2348" s="86"/>
      <c r="AD2348" s="100"/>
    </row>
    <row r="2349" spans="28:30" x14ac:dyDescent="0.25">
      <c r="AB2349" s="86"/>
      <c r="AD2349" s="100"/>
    </row>
    <row r="2350" spans="28:30" x14ac:dyDescent="0.25">
      <c r="AB2350" s="86"/>
      <c r="AD2350" s="100"/>
    </row>
    <row r="2351" spans="28:30" x14ac:dyDescent="0.25">
      <c r="AB2351" s="86"/>
      <c r="AD2351" s="100"/>
    </row>
    <row r="2352" spans="28:30" x14ac:dyDescent="0.25">
      <c r="AB2352" s="86"/>
      <c r="AD2352" s="100"/>
    </row>
    <row r="2353" spans="28:30" x14ac:dyDescent="0.25">
      <c r="AB2353" s="86"/>
      <c r="AD2353" s="100"/>
    </row>
    <row r="2354" spans="28:30" x14ac:dyDescent="0.25">
      <c r="AB2354" s="86"/>
      <c r="AD2354" s="100"/>
    </row>
    <row r="2355" spans="28:30" x14ac:dyDescent="0.25">
      <c r="AB2355" s="86"/>
      <c r="AD2355" s="100"/>
    </row>
    <row r="2356" spans="28:30" x14ac:dyDescent="0.25">
      <c r="AB2356" s="86"/>
      <c r="AD2356" s="100"/>
    </row>
    <row r="2357" spans="28:30" x14ac:dyDescent="0.25">
      <c r="AB2357" s="86"/>
      <c r="AD2357" s="100"/>
    </row>
    <row r="2358" spans="28:30" x14ac:dyDescent="0.25">
      <c r="AB2358" s="86"/>
      <c r="AD2358" s="100"/>
    </row>
    <row r="2359" spans="28:30" x14ac:dyDescent="0.25">
      <c r="AB2359" s="86"/>
      <c r="AD2359" s="100"/>
    </row>
    <row r="2360" spans="28:30" x14ac:dyDescent="0.25">
      <c r="AB2360" s="86"/>
      <c r="AD2360" s="100"/>
    </row>
    <row r="2361" spans="28:30" x14ac:dyDescent="0.25">
      <c r="AB2361" s="86"/>
      <c r="AD2361" s="100"/>
    </row>
    <row r="2362" spans="28:30" x14ac:dyDescent="0.25">
      <c r="AB2362" s="86"/>
      <c r="AD2362" s="100"/>
    </row>
    <row r="2363" spans="28:30" x14ac:dyDescent="0.25">
      <c r="AB2363" s="86"/>
      <c r="AD2363" s="100"/>
    </row>
    <row r="2364" spans="28:30" x14ac:dyDescent="0.25">
      <c r="AB2364" s="86"/>
      <c r="AD2364" s="100"/>
    </row>
    <row r="2365" spans="28:30" x14ac:dyDescent="0.25">
      <c r="AB2365" s="86"/>
      <c r="AD2365" s="100"/>
    </row>
    <row r="2366" spans="28:30" x14ac:dyDescent="0.25">
      <c r="AB2366" s="86"/>
      <c r="AD2366" s="100"/>
    </row>
    <row r="2367" spans="28:30" x14ac:dyDescent="0.25">
      <c r="AB2367" s="86"/>
      <c r="AD2367" s="100"/>
    </row>
    <row r="2368" spans="28:30" x14ac:dyDescent="0.25">
      <c r="AB2368" s="86"/>
      <c r="AD2368" s="100"/>
    </row>
    <row r="2369" spans="28:30" x14ac:dyDescent="0.25">
      <c r="AB2369" s="86"/>
      <c r="AD2369" s="100"/>
    </row>
    <row r="2370" spans="28:30" x14ac:dyDescent="0.25">
      <c r="AB2370" s="86"/>
      <c r="AD2370" s="100"/>
    </row>
    <row r="2371" spans="28:30" x14ac:dyDescent="0.25">
      <c r="AB2371" s="86"/>
      <c r="AD2371" s="100"/>
    </row>
    <row r="2372" spans="28:30" x14ac:dyDescent="0.25">
      <c r="AB2372" s="86"/>
      <c r="AD2372" s="100"/>
    </row>
    <row r="2373" spans="28:30" x14ac:dyDescent="0.25">
      <c r="AB2373" s="86"/>
      <c r="AD2373" s="100"/>
    </row>
    <row r="2374" spans="28:30" x14ac:dyDescent="0.25">
      <c r="AB2374" s="86"/>
      <c r="AD2374" s="100"/>
    </row>
    <row r="2375" spans="28:30" x14ac:dyDescent="0.25">
      <c r="AB2375" s="86"/>
      <c r="AD2375" s="100"/>
    </row>
    <row r="2376" spans="28:30" x14ac:dyDescent="0.25">
      <c r="AB2376" s="86"/>
      <c r="AD2376" s="100"/>
    </row>
    <row r="2377" spans="28:30" x14ac:dyDescent="0.25">
      <c r="AB2377" s="86"/>
      <c r="AD2377" s="100"/>
    </row>
    <row r="2378" spans="28:30" x14ac:dyDescent="0.25">
      <c r="AB2378" s="86"/>
      <c r="AD2378" s="100"/>
    </row>
    <row r="2379" spans="28:30" x14ac:dyDescent="0.25">
      <c r="AB2379" s="86"/>
      <c r="AD2379" s="100"/>
    </row>
    <row r="2380" spans="28:30" x14ac:dyDescent="0.25">
      <c r="AB2380" s="86"/>
      <c r="AD2380" s="100"/>
    </row>
    <row r="2381" spans="28:30" x14ac:dyDescent="0.25">
      <c r="AB2381" s="86"/>
      <c r="AD2381" s="100"/>
    </row>
    <row r="2382" spans="28:30" x14ac:dyDescent="0.25">
      <c r="AB2382" s="86"/>
      <c r="AD2382" s="100"/>
    </row>
    <row r="2383" spans="28:30" x14ac:dyDescent="0.25">
      <c r="AB2383" s="86"/>
      <c r="AD2383" s="100"/>
    </row>
    <row r="2384" spans="28:30" x14ac:dyDescent="0.25">
      <c r="AB2384" s="86"/>
      <c r="AD2384" s="100"/>
    </row>
    <row r="2385" spans="28:30" x14ac:dyDescent="0.25">
      <c r="AB2385" s="86"/>
      <c r="AD2385" s="100"/>
    </row>
    <row r="2386" spans="28:30" x14ac:dyDescent="0.25">
      <c r="AB2386" s="86"/>
      <c r="AD2386" s="100"/>
    </row>
    <row r="2387" spans="28:30" x14ac:dyDescent="0.25">
      <c r="AB2387" s="86"/>
      <c r="AD2387" s="100"/>
    </row>
    <row r="2388" spans="28:30" x14ac:dyDescent="0.25">
      <c r="AB2388" s="86"/>
      <c r="AD2388" s="100"/>
    </row>
    <row r="2389" spans="28:30" x14ac:dyDescent="0.25">
      <c r="AB2389" s="86"/>
      <c r="AD2389" s="100"/>
    </row>
    <row r="2390" spans="28:30" x14ac:dyDescent="0.25">
      <c r="AB2390" s="86"/>
      <c r="AD2390" s="100"/>
    </row>
    <row r="2391" spans="28:30" x14ac:dyDescent="0.25">
      <c r="AB2391" s="86"/>
      <c r="AD2391" s="100"/>
    </row>
    <row r="2392" spans="28:30" x14ac:dyDescent="0.25">
      <c r="AB2392" s="86"/>
      <c r="AD2392" s="100"/>
    </row>
    <row r="2393" spans="28:30" x14ac:dyDescent="0.25">
      <c r="AB2393" s="86"/>
      <c r="AD2393" s="100"/>
    </row>
    <row r="2394" spans="28:30" x14ac:dyDescent="0.25">
      <c r="AB2394" s="86"/>
      <c r="AD2394" s="100"/>
    </row>
    <row r="2395" spans="28:30" x14ac:dyDescent="0.25">
      <c r="AB2395" s="86"/>
      <c r="AD2395" s="100"/>
    </row>
    <row r="2396" spans="28:30" x14ac:dyDescent="0.25">
      <c r="AB2396" s="86"/>
      <c r="AD2396" s="100"/>
    </row>
    <row r="2397" spans="28:30" x14ac:dyDescent="0.25">
      <c r="AB2397" s="86"/>
      <c r="AD2397" s="100"/>
    </row>
    <row r="2398" spans="28:30" x14ac:dyDescent="0.25">
      <c r="AB2398" s="86"/>
      <c r="AD2398" s="100"/>
    </row>
    <row r="2399" spans="28:30" x14ac:dyDescent="0.25">
      <c r="AB2399" s="86"/>
      <c r="AD2399" s="100"/>
    </row>
    <row r="2400" spans="28:30" x14ac:dyDescent="0.25">
      <c r="AB2400" s="86"/>
      <c r="AD2400" s="100"/>
    </row>
    <row r="2401" spans="28:30" x14ac:dyDescent="0.25">
      <c r="AB2401" s="86"/>
      <c r="AD2401" s="100"/>
    </row>
    <row r="2402" spans="28:30" x14ac:dyDescent="0.25">
      <c r="AB2402" s="86"/>
      <c r="AD2402" s="100"/>
    </row>
    <row r="2403" spans="28:30" x14ac:dyDescent="0.25">
      <c r="AB2403" s="86"/>
      <c r="AD2403" s="100"/>
    </row>
    <row r="2404" spans="28:30" x14ac:dyDescent="0.25">
      <c r="AB2404" s="86"/>
      <c r="AD2404" s="100"/>
    </row>
    <row r="2405" spans="28:30" x14ac:dyDescent="0.25">
      <c r="AB2405" s="86"/>
      <c r="AD2405" s="100"/>
    </row>
    <row r="2406" spans="28:30" x14ac:dyDescent="0.25">
      <c r="AB2406" s="86"/>
      <c r="AD2406" s="100"/>
    </row>
    <row r="2407" spans="28:30" x14ac:dyDescent="0.25">
      <c r="AB2407" s="86"/>
      <c r="AD2407" s="100"/>
    </row>
    <row r="2408" spans="28:30" x14ac:dyDescent="0.25">
      <c r="AB2408" s="86"/>
      <c r="AD2408" s="100"/>
    </row>
    <row r="2409" spans="28:30" x14ac:dyDescent="0.25">
      <c r="AB2409" s="86"/>
      <c r="AD2409" s="100"/>
    </row>
    <row r="2410" spans="28:30" x14ac:dyDescent="0.25">
      <c r="AB2410" s="86"/>
      <c r="AD2410" s="100"/>
    </row>
    <row r="2411" spans="28:30" x14ac:dyDescent="0.25">
      <c r="AB2411" s="86"/>
      <c r="AD2411" s="100"/>
    </row>
    <row r="2412" spans="28:30" x14ac:dyDescent="0.25">
      <c r="AB2412" s="86"/>
      <c r="AD2412" s="100"/>
    </row>
    <row r="2413" spans="28:30" x14ac:dyDescent="0.25">
      <c r="AB2413" s="86"/>
      <c r="AD2413" s="100"/>
    </row>
    <row r="2414" spans="28:30" x14ac:dyDescent="0.25">
      <c r="AB2414" s="86"/>
      <c r="AD2414" s="100"/>
    </row>
    <row r="2415" spans="28:30" x14ac:dyDescent="0.25">
      <c r="AB2415" s="86"/>
      <c r="AD2415" s="100"/>
    </row>
    <row r="2416" spans="28:30" x14ac:dyDescent="0.25">
      <c r="AB2416" s="86"/>
      <c r="AD2416" s="100"/>
    </row>
    <row r="2417" spans="28:30" x14ac:dyDescent="0.25">
      <c r="AB2417" s="86"/>
      <c r="AD2417" s="100"/>
    </row>
    <row r="2418" spans="28:30" x14ac:dyDescent="0.25">
      <c r="AB2418" s="86"/>
      <c r="AD2418" s="100"/>
    </row>
    <row r="2419" spans="28:30" x14ac:dyDescent="0.25">
      <c r="AB2419" s="86"/>
      <c r="AD2419" s="100"/>
    </row>
    <row r="2420" spans="28:30" x14ac:dyDescent="0.25">
      <c r="AB2420" s="86"/>
      <c r="AD2420" s="100"/>
    </row>
    <row r="2421" spans="28:30" x14ac:dyDescent="0.25">
      <c r="AB2421" s="86"/>
      <c r="AD2421" s="100"/>
    </row>
    <row r="2422" spans="28:30" x14ac:dyDescent="0.25">
      <c r="AB2422" s="86"/>
      <c r="AD2422" s="100"/>
    </row>
    <row r="2423" spans="28:30" x14ac:dyDescent="0.25">
      <c r="AB2423" s="86"/>
    </row>
    <row r="2424" spans="28:30" x14ac:dyDescent="0.25">
      <c r="AB2424" s="86"/>
      <c r="AD2424" s="100"/>
    </row>
    <row r="2425" spans="28:30" x14ac:dyDescent="0.25">
      <c r="AB2425" s="86"/>
      <c r="AD2425" s="100"/>
    </row>
    <row r="2426" spans="28:30" x14ac:dyDescent="0.25">
      <c r="AB2426" s="86"/>
    </row>
    <row r="2427" spans="28:30" x14ac:dyDescent="0.25">
      <c r="AB2427" s="86"/>
      <c r="AD2427" s="100"/>
    </row>
    <row r="2428" spans="28:30" x14ac:dyDescent="0.25">
      <c r="AB2428" s="86"/>
      <c r="AD2428" s="100"/>
    </row>
    <row r="2429" spans="28:30" x14ac:dyDescent="0.25">
      <c r="AB2429" s="86"/>
      <c r="AD2429" s="100"/>
    </row>
    <row r="2430" spans="28:30" x14ac:dyDescent="0.25">
      <c r="AB2430" s="86"/>
    </row>
    <row r="2431" spans="28:30" x14ac:dyDescent="0.25">
      <c r="AB2431" s="86"/>
    </row>
    <row r="2432" spans="28:30" x14ac:dyDescent="0.25">
      <c r="AB2432" s="86"/>
      <c r="AD2432" s="100"/>
    </row>
    <row r="2433" spans="28:30" x14ac:dyDescent="0.25">
      <c r="AB2433" s="86"/>
      <c r="AD2433" s="100"/>
    </row>
    <row r="2434" spans="28:30" x14ac:dyDescent="0.25">
      <c r="AB2434" s="86"/>
      <c r="AD2434" s="100"/>
    </row>
    <row r="2435" spans="28:30" x14ac:dyDescent="0.25">
      <c r="AB2435" s="86"/>
      <c r="AD2435" s="100"/>
    </row>
    <row r="2436" spans="28:30" x14ac:dyDescent="0.25">
      <c r="AB2436" s="86"/>
    </row>
    <row r="2437" spans="28:30" x14ac:dyDescent="0.25">
      <c r="AB2437" s="86"/>
      <c r="AD2437" s="100"/>
    </row>
    <row r="2438" spans="28:30" x14ac:dyDescent="0.25">
      <c r="AB2438" s="86"/>
    </row>
    <row r="2439" spans="28:30" x14ac:dyDescent="0.25">
      <c r="AB2439" s="86"/>
    </row>
    <row r="2440" spans="28:30" x14ac:dyDescent="0.25">
      <c r="AB2440" s="86"/>
    </row>
    <row r="2441" spans="28:30" x14ac:dyDescent="0.25">
      <c r="AB2441" s="86"/>
      <c r="AD2441" s="100"/>
    </row>
    <row r="2442" spans="28:30" x14ac:dyDescent="0.25">
      <c r="AB2442" s="86"/>
      <c r="AD2442" s="100"/>
    </row>
    <row r="2443" spans="28:30" x14ac:dyDescent="0.25">
      <c r="AB2443" s="86"/>
      <c r="AD2443" s="100"/>
    </row>
    <row r="2444" spans="28:30" x14ac:dyDescent="0.25">
      <c r="AB2444" s="86"/>
      <c r="AD2444" s="100"/>
    </row>
    <row r="2445" spans="28:30" x14ac:dyDescent="0.25">
      <c r="AB2445" s="86"/>
      <c r="AD2445" s="100"/>
    </row>
    <row r="2446" spans="28:30" x14ac:dyDescent="0.25">
      <c r="AB2446" s="86"/>
      <c r="AD2446" s="100"/>
    </row>
    <row r="2447" spans="28:30" x14ac:dyDescent="0.25">
      <c r="AB2447" s="86"/>
      <c r="AD2447" s="100"/>
    </row>
    <row r="2448" spans="28:30" x14ac:dyDescent="0.25">
      <c r="AB2448" s="86"/>
    </row>
    <row r="2449" spans="28:30" x14ac:dyDescent="0.25">
      <c r="AB2449" s="86"/>
      <c r="AD2449" s="100"/>
    </row>
    <row r="2450" spans="28:30" x14ac:dyDescent="0.25">
      <c r="AB2450" s="86"/>
      <c r="AD2450" s="100"/>
    </row>
    <row r="2451" spans="28:30" x14ac:dyDescent="0.25">
      <c r="AB2451" s="86"/>
      <c r="AD2451" s="100"/>
    </row>
    <row r="2452" spans="28:30" x14ac:dyDescent="0.25">
      <c r="AB2452" s="86"/>
    </row>
    <row r="2453" spans="28:30" x14ac:dyDescent="0.25">
      <c r="AB2453" s="86"/>
    </row>
    <row r="2454" spans="28:30" x14ac:dyDescent="0.25">
      <c r="AB2454" s="86"/>
      <c r="AD2454" s="100"/>
    </row>
    <row r="2455" spans="28:30" x14ac:dyDescent="0.25">
      <c r="AB2455" s="86"/>
      <c r="AD2455" s="100"/>
    </row>
    <row r="2456" spans="28:30" x14ac:dyDescent="0.25">
      <c r="AB2456" s="86"/>
      <c r="AD2456" s="100"/>
    </row>
    <row r="2457" spans="28:30" x14ac:dyDescent="0.25">
      <c r="AB2457" s="86"/>
      <c r="AD2457" s="100"/>
    </row>
    <row r="2458" spans="28:30" x14ac:dyDescent="0.25">
      <c r="AB2458" s="86"/>
      <c r="AD2458" s="100"/>
    </row>
    <row r="2459" spans="28:30" x14ac:dyDescent="0.25">
      <c r="AB2459" s="86"/>
      <c r="AD2459" s="100"/>
    </row>
    <row r="2460" spans="28:30" x14ac:dyDescent="0.25">
      <c r="AB2460" s="86"/>
      <c r="AD2460" s="100"/>
    </row>
    <row r="2461" spans="28:30" x14ac:dyDescent="0.25">
      <c r="AB2461" s="86"/>
      <c r="AD2461" s="100"/>
    </row>
    <row r="2462" spans="28:30" x14ac:dyDescent="0.25">
      <c r="AB2462" s="86"/>
    </row>
    <row r="2463" spans="28:30" x14ac:dyDescent="0.25">
      <c r="AB2463" s="86"/>
      <c r="AD2463" s="100"/>
    </row>
    <row r="2464" spans="28:30" x14ac:dyDescent="0.25">
      <c r="AB2464" s="86"/>
      <c r="AD2464" s="100"/>
    </row>
    <row r="2465" spans="28:30" x14ac:dyDescent="0.25">
      <c r="AB2465" s="86"/>
      <c r="AD2465" s="100"/>
    </row>
    <row r="2466" spans="28:30" x14ac:dyDescent="0.25">
      <c r="AB2466" s="86"/>
      <c r="AD2466" s="100"/>
    </row>
    <row r="2467" spans="28:30" x14ac:dyDescent="0.25">
      <c r="AB2467" s="86"/>
      <c r="AD2467" s="100"/>
    </row>
    <row r="2468" spans="28:30" x14ac:dyDescent="0.25">
      <c r="AB2468" s="86"/>
    </row>
    <row r="2469" spans="28:30" x14ac:dyDescent="0.25">
      <c r="AB2469" s="86"/>
    </row>
    <row r="2470" spans="28:30" x14ac:dyDescent="0.25">
      <c r="AB2470" s="86"/>
      <c r="AD2470" s="100"/>
    </row>
    <row r="2471" spans="28:30" x14ac:dyDescent="0.25">
      <c r="AB2471" s="86"/>
      <c r="AD2471" s="100"/>
    </row>
    <row r="2472" spans="28:30" x14ac:dyDescent="0.25">
      <c r="AB2472" s="86"/>
    </row>
    <row r="2473" spans="28:30" x14ac:dyDescent="0.25">
      <c r="AB2473" s="86"/>
    </row>
    <row r="2474" spans="28:30" x14ac:dyDescent="0.25">
      <c r="AB2474" s="86"/>
      <c r="AD2474" s="100"/>
    </row>
    <row r="2475" spans="28:30" x14ac:dyDescent="0.25">
      <c r="AB2475" s="86"/>
      <c r="AD2475" s="100"/>
    </row>
    <row r="2476" spans="28:30" x14ac:dyDescent="0.25">
      <c r="AB2476" s="86"/>
      <c r="AD2476" s="100"/>
    </row>
    <row r="2477" spans="28:30" x14ac:dyDescent="0.25">
      <c r="AB2477" s="86"/>
      <c r="AD2477" s="100"/>
    </row>
    <row r="2478" spans="28:30" x14ac:dyDescent="0.25">
      <c r="AB2478" s="86"/>
      <c r="AD2478" s="100"/>
    </row>
    <row r="2479" spans="28:30" x14ac:dyDescent="0.25">
      <c r="AB2479" s="86"/>
      <c r="AD2479" s="100"/>
    </row>
    <row r="2480" spans="28:30" x14ac:dyDescent="0.25">
      <c r="AB2480" s="86"/>
      <c r="AD2480" s="100"/>
    </row>
    <row r="2481" spans="28:30" x14ac:dyDescent="0.25">
      <c r="AB2481" s="86"/>
      <c r="AD2481" s="100"/>
    </row>
    <row r="2482" spans="28:30" x14ac:dyDescent="0.25">
      <c r="AB2482" s="86"/>
      <c r="AD2482" s="100"/>
    </row>
    <row r="2483" spans="28:30" x14ac:dyDescent="0.25">
      <c r="AB2483" s="86"/>
      <c r="AD2483" s="100"/>
    </row>
    <row r="2484" spans="28:30" x14ac:dyDescent="0.25">
      <c r="AB2484" s="86"/>
      <c r="AD2484" s="100"/>
    </row>
    <row r="2485" spans="28:30" x14ac:dyDescent="0.25">
      <c r="AB2485" s="86"/>
    </row>
    <row r="2486" spans="28:30" x14ac:dyDescent="0.25">
      <c r="AB2486" s="86"/>
      <c r="AD2486" s="100"/>
    </row>
    <row r="2487" spans="28:30" x14ac:dyDescent="0.25">
      <c r="AB2487" s="86"/>
      <c r="AD2487" s="100"/>
    </row>
    <row r="2488" spans="28:30" x14ac:dyDescent="0.25">
      <c r="AB2488" s="86"/>
    </row>
    <row r="2489" spans="28:30" x14ac:dyDescent="0.25">
      <c r="AB2489" s="86"/>
    </row>
    <row r="2490" spans="28:30" x14ac:dyDescent="0.25">
      <c r="AB2490" s="86"/>
    </row>
    <row r="2491" spans="28:30" x14ac:dyDescent="0.25">
      <c r="AB2491" s="86"/>
      <c r="AD2491" s="100"/>
    </row>
    <row r="2492" spans="28:30" x14ac:dyDescent="0.25">
      <c r="AB2492" s="86"/>
      <c r="AD2492" s="100"/>
    </row>
    <row r="2493" spans="28:30" x14ac:dyDescent="0.25">
      <c r="AB2493" s="86"/>
      <c r="AD2493" s="100"/>
    </row>
    <row r="2494" spans="28:30" x14ac:dyDescent="0.25">
      <c r="AB2494" s="86"/>
    </row>
    <row r="2495" spans="28:30" x14ac:dyDescent="0.25">
      <c r="AB2495" s="86"/>
      <c r="AD2495" s="100"/>
    </row>
    <row r="2496" spans="28:30" x14ac:dyDescent="0.25">
      <c r="AB2496" s="86"/>
      <c r="AD2496" s="100"/>
    </row>
    <row r="2497" spans="28:30" x14ac:dyDescent="0.25">
      <c r="AB2497" s="86"/>
      <c r="AD2497" s="100"/>
    </row>
    <row r="2498" spans="28:30" x14ac:dyDescent="0.25">
      <c r="AB2498" s="86"/>
    </row>
    <row r="2499" spans="28:30" x14ac:dyDescent="0.25">
      <c r="AB2499" s="86"/>
    </row>
    <row r="2500" spans="28:30" x14ac:dyDescent="0.25">
      <c r="AB2500" s="86"/>
      <c r="AD2500" s="100"/>
    </row>
    <row r="2501" spans="28:30" x14ac:dyDescent="0.25">
      <c r="AB2501" s="86"/>
      <c r="AD2501" s="100"/>
    </row>
    <row r="2502" spans="28:30" x14ac:dyDescent="0.25">
      <c r="AB2502" s="86"/>
      <c r="AD2502" s="100"/>
    </row>
    <row r="2503" spans="28:30" x14ac:dyDescent="0.25">
      <c r="AB2503" s="86"/>
      <c r="AD2503" s="100"/>
    </row>
    <row r="2504" spans="28:30" x14ac:dyDescent="0.25">
      <c r="AB2504" s="86"/>
      <c r="AD2504" s="100"/>
    </row>
    <row r="2505" spans="28:30" x14ac:dyDescent="0.25">
      <c r="AB2505" s="86"/>
      <c r="AD2505" s="100"/>
    </row>
    <row r="2506" spans="28:30" x14ac:dyDescent="0.25">
      <c r="AB2506" s="86"/>
      <c r="AD2506" s="100"/>
    </row>
    <row r="2507" spans="28:30" x14ac:dyDescent="0.25">
      <c r="AB2507" s="86"/>
      <c r="AD2507" s="100"/>
    </row>
    <row r="2508" spans="28:30" x14ac:dyDescent="0.25">
      <c r="AB2508" s="86"/>
    </row>
    <row r="2509" spans="28:30" x14ac:dyDescent="0.25">
      <c r="AB2509" s="86"/>
    </row>
    <row r="2510" spans="28:30" x14ac:dyDescent="0.25">
      <c r="AB2510" s="86"/>
      <c r="AD2510" s="100"/>
    </row>
    <row r="2511" spans="28:30" x14ac:dyDescent="0.25">
      <c r="AB2511" s="86"/>
      <c r="AD2511" s="100"/>
    </row>
    <row r="2512" spans="28:30" x14ac:dyDescent="0.25">
      <c r="AB2512" s="86"/>
      <c r="AD2512" s="100"/>
    </row>
    <row r="2513" spans="28:30" x14ac:dyDescent="0.25">
      <c r="AB2513" s="86"/>
      <c r="AD2513" s="100"/>
    </row>
    <row r="2514" spans="28:30" x14ac:dyDescent="0.25">
      <c r="AB2514" s="86"/>
    </row>
    <row r="2515" spans="28:30" x14ac:dyDescent="0.25">
      <c r="AB2515" s="86"/>
      <c r="AD2515" s="100"/>
    </row>
    <row r="2516" spans="28:30" x14ac:dyDescent="0.25">
      <c r="AB2516" s="86"/>
      <c r="AD2516" s="100"/>
    </row>
    <row r="2517" spans="28:30" x14ac:dyDescent="0.25">
      <c r="AB2517" s="86"/>
      <c r="AD2517" s="100"/>
    </row>
    <row r="2518" spans="28:30" x14ac:dyDescent="0.25">
      <c r="AB2518" s="86"/>
      <c r="AD2518" s="100"/>
    </row>
    <row r="2519" spans="28:30" x14ac:dyDescent="0.25">
      <c r="AB2519" s="86"/>
      <c r="AD2519" s="100"/>
    </row>
    <row r="2520" spans="28:30" x14ac:dyDescent="0.25">
      <c r="AB2520" s="86"/>
    </row>
    <row r="2521" spans="28:30" x14ac:dyDescent="0.25">
      <c r="AB2521" s="86"/>
      <c r="AD2521" s="100"/>
    </row>
    <row r="2522" spans="28:30" x14ac:dyDescent="0.25">
      <c r="AB2522" s="86"/>
      <c r="AD2522" s="100"/>
    </row>
    <row r="2523" spans="28:30" x14ac:dyDescent="0.25">
      <c r="AB2523" s="86"/>
      <c r="AD2523" s="100"/>
    </row>
    <row r="2524" spans="28:30" x14ac:dyDescent="0.25">
      <c r="AB2524" s="86"/>
      <c r="AD2524" s="100"/>
    </row>
    <row r="2525" spans="28:30" x14ac:dyDescent="0.25">
      <c r="AB2525" s="86"/>
      <c r="AD2525" s="100"/>
    </row>
    <row r="2526" spans="28:30" x14ac:dyDescent="0.25">
      <c r="AB2526" s="86"/>
    </row>
    <row r="2527" spans="28:30" x14ac:dyDescent="0.25">
      <c r="AB2527" s="86"/>
      <c r="AD2527" s="100"/>
    </row>
    <row r="2528" spans="28:30" x14ac:dyDescent="0.25">
      <c r="AB2528" s="86"/>
    </row>
    <row r="2529" spans="28:30" x14ac:dyDescent="0.25">
      <c r="AB2529" s="86"/>
      <c r="AD2529" s="100"/>
    </row>
    <row r="2530" spans="28:30" x14ac:dyDescent="0.25">
      <c r="AB2530" s="86"/>
      <c r="AD2530" s="100"/>
    </row>
    <row r="2531" spans="28:30" x14ac:dyDescent="0.25">
      <c r="AB2531" s="86"/>
      <c r="AD2531" s="100"/>
    </row>
    <row r="2532" spans="28:30" x14ac:dyDescent="0.25">
      <c r="AB2532" s="86"/>
      <c r="AD2532" s="100"/>
    </row>
    <row r="2533" spans="28:30" x14ac:dyDescent="0.25">
      <c r="AB2533" s="86"/>
      <c r="AD2533" s="100"/>
    </row>
    <row r="2534" spans="28:30" x14ac:dyDescent="0.25">
      <c r="AB2534" s="86"/>
      <c r="AD2534" s="100"/>
    </row>
    <row r="2535" spans="28:30" x14ac:dyDescent="0.25">
      <c r="AB2535" s="86"/>
      <c r="AD2535" s="100"/>
    </row>
    <row r="2536" spans="28:30" x14ac:dyDescent="0.25">
      <c r="AB2536" s="86"/>
      <c r="AD2536" s="100"/>
    </row>
    <row r="2537" spans="28:30" x14ac:dyDescent="0.25">
      <c r="AB2537" s="86"/>
      <c r="AD2537" s="100"/>
    </row>
    <row r="2538" spans="28:30" x14ac:dyDescent="0.25">
      <c r="AB2538" s="86"/>
      <c r="AD2538" s="100"/>
    </row>
    <row r="2539" spans="28:30" x14ac:dyDescent="0.25">
      <c r="AB2539" s="86"/>
      <c r="AD2539" s="100"/>
    </row>
    <row r="2540" spans="28:30" x14ac:dyDescent="0.25">
      <c r="AB2540" s="86"/>
    </row>
    <row r="2541" spans="28:30" x14ac:dyDescent="0.25">
      <c r="AB2541" s="86"/>
    </row>
    <row r="2542" spans="28:30" x14ac:dyDescent="0.25">
      <c r="AB2542" s="86"/>
      <c r="AD2542" s="100"/>
    </row>
    <row r="2543" spans="28:30" x14ac:dyDescent="0.25">
      <c r="AB2543" s="86"/>
      <c r="AD2543" s="100"/>
    </row>
    <row r="2544" spans="28:30" x14ac:dyDescent="0.25">
      <c r="AB2544" s="86"/>
      <c r="AD2544" s="100"/>
    </row>
    <row r="2545" spans="28:30" x14ac:dyDescent="0.25">
      <c r="AB2545" s="86"/>
      <c r="AD2545" s="100"/>
    </row>
    <row r="2546" spans="28:30" x14ac:dyDescent="0.25">
      <c r="AB2546" s="86"/>
      <c r="AD2546" s="100"/>
    </row>
    <row r="2547" spans="28:30" x14ac:dyDescent="0.25">
      <c r="AB2547" s="86"/>
    </row>
    <row r="2548" spans="28:30" x14ac:dyDescent="0.25">
      <c r="AB2548" s="86"/>
    </row>
    <row r="2549" spans="28:30" x14ac:dyDescent="0.25">
      <c r="AB2549" s="86"/>
      <c r="AD2549" s="100"/>
    </row>
    <row r="2550" spans="28:30" x14ac:dyDescent="0.25">
      <c r="AB2550" s="86"/>
      <c r="AD2550" s="100"/>
    </row>
    <row r="2551" spans="28:30" x14ac:dyDescent="0.25">
      <c r="AB2551" s="86"/>
    </row>
    <row r="2552" spans="28:30" x14ac:dyDescent="0.25">
      <c r="AB2552" s="86"/>
    </row>
    <row r="2553" spans="28:30" x14ac:dyDescent="0.25">
      <c r="AB2553" s="86"/>
      <c r="AD2553" s="100"/>
    </row>
    <row r="2554" spans="28:30" x14ac:dyDescent="0.25">
      <c r="AB2554" s="86"/>
    </row>
    <row r="2555" spans="28:30" x14ac:dyDescent="0.25">
      <c r="AB2555" s="86"/>
    </row>
    <row r="2556" spans="28:30" x14ac:dyDescent="0.25">
      <c r="AB2556" s="86"/>
    </row>
    <row r="2557" spans="28:30" x14ac:dyDescent="0.25">
      <c r="AB2557" s="86"/>
      <c r="AD2557" s="100"/>
    </row>
    <row r="2558" spans="28:30" x14ac:dyDescent="0.25">
      <c r="AB2558" s="86"/>
      <c r="AD2558" s="100"/>
    </row>
    <row r="2559" spans="28:30" x14ac:dyDescent="0.25">
      <c r="AB2559" s="86"/>
      <c r="AD2559" s="100"/>
    </row>
    <row r="2560" spans="28:30" x14ac:dyDescent="0.25">
      <c r="AB2560" s="86"/>
      <c r="AD2560" s="100"/>
    </row>
    <row r="2561" spans="28:30" x14ac:dyDescent="0.25">
      <c r="AB2561" s="86"/>
      <c r="AD2561" s="100"/>
    </row>
    <row r="2562" spans="28:30" x14ac:dyDescent="0.25">
      <c r="AB2562" s="86"/>
      <c r="AD2562" s="100"/>
    </row>
    <row r="2563" spans="28:30" x14ac:dyDescent="0.25">
      <c r="AB2563" s="86"/>
      <c r="AD2563" s="100"/>
    </row>
    <row r="2564" spans="28:30" x14ac:dyDescent="0.25">
      <c r="AB2564" s="86"/>
      <c r="AD2564" s="100"/>
    </row>
    <row r="2565" spans="28:30" x14ac:dyDescent="0.25">
      <c r="AB2565" s="86"/>
      <c r="AD2565" s="100"/>
    </row>
    <row r="2566" spans="28:30" x14ac:dyDescent="0.25">
      <c r="AB2566" s="86"/>
      <c r="AD2566" s="100"/>
    </row>
    <row r="2567" spans="28:30" x14ac:dyDescent="0.25">
      <c r="AB2567" s="86"/>
      <c r="AD2567" s="100"/>
    </row>
    <row r="2568" spans="28:30" x14ac:dyDescent="0.25">
      <c r="AB2568" s="86"/>
      <c r="AD2568" s="100"/>
    </row>
    <row r="2569" spans="28:30" x14ac:dyDescent="0.25">
      <c r="AB2569" s="86"/>
    </row>
    <row r="2570" spans="28:30" x14ac:dyDescent="0.25">
      <c r="AB2570" s="86"/>
    </row>
    <row r="2571" spans="28:30" x14ac:dyDescent="0.25">
      <c r="AB2571" s="86"/>
      <c r="AD2571" s="100"/>
    </row>
    <row r="2572" spans="28:30" x14ac:dyDescent="0.25">
      <c r="AB2572" s="86"/>
      <c r="AD2572" s="100"/>
    </row>
    <row r="2573" spans="28:30" x14ac:dyDescent="0.25">
      <c r="AB2573" s="86"/>
    </row>
    <row r="2574" spans="28:30" x14ac:dyDescent="0.25">
      <c r="AB2574" s="86"/>
    </row>
    <row r="2575" spans="28:30" x14ac:dyDescent="0.25">
      <c r="AB2575" s="86"/>
      <c r="AD2575" s="100"/>
    </row>
    <row r="2576" spans="28:30" x14ac:dyDescent="0.25">
      <c r="AB2576" s="86"/>
      <c r="AD2576" s="100"/>
    </row>
    <row r="2577" spans="28:30" x14ac:dyDescent="0.25">
      <c r="AB2577" s="86"/>
    </row>
    <row r="2578" spans="28:30" x14ac:dyDescent="0.25">
      <c r="AB2578" s="86"/>
    </row>
    <row r="2579" spans="28:30" x14ac:dyDescent="0.25">
      <c r="AB2579" s="86"/>
    </row>
    <row r="2580" spans="28:30" x14ac:dyDescent="0.25">
      <c r="AB2580" s="86"/>
    </row>
    <row r="2581" spans="28:30" x14ac:dyDescent="0.25">
      <c r="AB2581" s="86"/>
      <c r="AD2581" s="100"/>
    </row>
    <row r="2582" spans="28:30" x14ac:dyDescent="0.25">
      <c r="AB2582" s="86"/>
      <c r="AD2582" s="100"/>
    </row>
    <row r="2583" spans="28:30" x14ac:dyDescent="0.25">
      <c r="AB2583" s="86"/>
    </row>
    <row r="2584" spans="28:30" x14ac:dyDescent="0.25">
      <c r="AB2584" s="86"/>
      <c r="AD2584" s="100"/>
    </row>
    <row r="2585" spans="28:30" x14ac:dyDescent="0.25">
      <c r="AB2585" s="86"/>
    </row>
    <row r="2586" spans="28:30" x14ac:dyDescent="0.25">
      <c r="AB2586" s="86"/>
    </row>
    <row r="2587" spans="28:30" x14ac:dyDescent="0.25">
      <c r="AB2587" s="86"/>
    </row>
    <row r="2588" spans="28:30" x14ac:dyDescent="0.25">
      <c r="AB2588" s="86"/>
    </row>
    <row r="2589" spans="28:30" x14ac:dyDescent="0.25">
      <c r="AB2589" s="86"/>
      <c r="AD2589" s="100"/>
    </row>
    <row r="2590" spans="28:30" x14ac:dyDescent="0.25">
      <c r="AB2590" s="86"/>
    </row>
    <row r="2591" spans="28:30" x14ac:dyDescent="0.25">
      <c r="AB2591" s="86"/>
    </row>
    <row r="2592" spans="28:30" x14ac:dyDescent="0.25">
      <c r="AB2592" s="86"/>
    </row>
    <row r="2593" spans="28:30" x14ac:dyDescent="0.25">
      <c r="AB2593" s="86"/>
    </row>
    <row r="2594" spans="28:30" x14ac:dyDescent="0.25">
      <c r="AB2594" s="86"/>
    </row>
    <row r="2595" spans="28:30" x14ac:dyDescent="0.25">
      <c r="AB2595" s="86"/>
    </row>
    <row r="2596" spans="28:30" x14ac:dyDescent="0.25">
      <c r="AB2596" s="86"/>
    </row>
    <row r="2597" spans="28:30" x14ac:dyDescent="0.25">
      <c r="AB2597" s="86"/>
    </row>
    <row r="2598" spans="28:30" x14ac:dyDescent="0.25">
      <c r="AB2598" s="86"/>
    </row>
    <row r="2599" spans="28:30" x14ac:dyDescent="0.25">
      <c r="AB2599" s="86"/>
      <c r="AD2599" s="100"/>
    </row>
    <row r="2600" spans="28:30" x14ac:dyDescent="0.25">
      <c r="AB2600" s="86"/>
      <c r="AD2600" s="100"/>
    </row>
    <row r="2601" spans="28:30" x14ac:dyDescent="0.25">
      <c r="AB2601" s="86"/>
    </row>
    <row r="2602" spans="28:30" x14ac:dyDescent="0.25">
      <c r="AB2602" s="86"/>
    </row>
    <row r="2603" spans="28:30" x14ac:dyDescent="0.25">
      <c r="AB2603" s="86"/>
    </row>
    <row r="2604" spans="28:30" x14ac:dyDescent="0.25">
      <c r="AB2604" s="86"/>
      <c r="AD2604" s="100"/>
    </row>
    <row r="2605" spans="28:30" x14ac:dyDescent="0.25">
      <c r="AB2605" s="86"/>
    </row>
    <row r="2606" spans="28:30" x14ac:dyDescent="0.25">
      <c r="AB2606" s="86"/>
    </row>
    <row r="2607" spans="28:30" x14ac:dyDescent="0.25">
      <c r="AB2607" s="86"/>
    </row>
    <row r="2608" spans="28:30" x14ac:dyDescent="0.25">
      <c r="AB2608" s="86"/>
    </row>
    <row r="2609" spans="28:30" x14ac:dyDescent="0.25">
      <c r="AB2609" s="86"/>
      <c r="AD2609" s="100"/>
    </row>
    <row r="2610" spans="28:30" x14ac:dyDescent="0.25">
      <c r="AB2610" s="86"/>
    </row>
    <row r="2611" spans="28:30" x14ac:dyDescent="0.25">
      <c r="AB2611" s="86"/>
    </row>
    <row r="2612" spans="28:30" x14ac:dyDescent="0.25">
      <c r="AB2612" s="86"/>
    </row>
    <row r="2613" spans="28:30" x14ac:dyDescent="0.25">
      <c r="AB2613" s="86"/>
      <c r="AD2613" s="100"/>
    </row>
    <row r="2614" spans="28:30" x14ac:dyDescent="0.25">
      <c r="AB2614" s="86"/>
      <c r="AD2614" s="100"/>
    </row>
    <row r="2615" spans="28:30" x14ac:dyDescent="0.25">
      <c r="AB2615" s="86"/>
      <c r="AD2615" s="100"/>
    </row>
    <row r="2616" spans="28:30" x14ac:dyDescent="0.25">
      <c r="AB2616" s="86"/>
      <c r="AD2616" s="100"/>
    </row>
    <row r="2617" spans="28:30" x14ac:dyDescent="0.25">
      <c r="AB2617" s="86"/>
    </row>
    <row r="2618" spans="28:30" x14ac:dyDescent="0.25">
      <c r="AB2618" s="86"/>
      <c r="AD2618" s="100"/>
    </row>
    <row r="2619" spans="28:30" x14ac:dyDescent="0.25">
      <c r="AB2619" s="86"/>
      <c r="AD2619" s="100"/>
    </row>
    <row r="2620" spans="28:30" x14ac:dyDescent="0.25">
      <c r="AB2620" s="86"/>
    </row>
    <row r="2621" spans="28:30" x14ac:dyDescent="0.25">
      <c r="AB2621" s="86"/>
      <c r="AD2621" s="100"/>
    </row>
    <row r="2622" spans="28:30" x14ac:dyDescent="0.25">
      <c r="AB2622" s="86"/>
    </row>
    <row r="2623" spans="28:30" x14ac:dyDescent="0.25">
      <c r="AB2623" s="86"/>
    </row>
    <row r="2624" spans="28:30" x14ac:dyDescent="0.25">
      <c r="AB2624" s="86"/>
    </row>
    <row r="2625" spans="28:30" x14ac:dyDescent="0.25">
      <c r="AB2625" s="86"/>
    </row>
    <row r="2626" spans="28:30" x14ac:dyDescent="0.25">
      <c r="AB2626" s="86"/>
    </row>
    <row r="2627" spans="28:30" x14ac:dyDescent="0.25">
      <c r="AB2627" s="86"/>
    </row>
    <row r="2628" spans="28:30" x14ac:dyDescent="0.25">
      <c r="AB2628" s="86"/>
    </row>
    <row r="2629" spans="28:30" x14ac:dyDescent="0.25">
      <c r="AB2629" s="86"/>
    </row>
    <row r="2630" spans="28:30" x14ac:dyDescent="0.25">
      <c r="AB2630" s="86"/>
    </row>
    <row r="2631" spans="28:30" x14ac:dyDescent="0.25">
      <c r="AB2631" s="86"/>
    </row>
    <row r="2632" spans="28:30" x14ac:dyDescent="0.25">
      <c r="AB2632" s="86"/>
    </row>
    <row r="2633" spans="28:30" x14ac:dyDescent="0.25">
      <c r="AB2633" s="86"/>
    </row>
    <row r="2634" spans="28:30" x14ac:dyDescent="0.25">
      <c r="AB2634" s="86"/>
    </row>
    <row r="2635" spans="28:30" x14ac:dyDescent="0.25">
      <c r="AB2635" s="86"/>
    </row>
    <row r="2636" spans="28:30" x14ac:dyDescent="0.25">
      <c r="AB2636" s="86"/>
      <c r="AD2636" s="100"/>
    </row>
    <row r="2637" spans="28:30" x14ac:dyDescent="0.25">
      <c r="AB2637" s="86"/>
      <c r="AD2637" s="100"/>
    </row>
    <row r="2638" spans="28:30" x14ac:dyDescent="0.25">
      <c r="AB2638" s="86"/>
    </row>
    <row r="2639" spans="28:30" x14ac:dyDescent="0.25">
      <c r="AB2639" s="86"/>
      <c r="AD2639" s="100"/>
    </row>
    <row r="2640" spans="28:30" x14ac:dyDescent="0.25">
      <c r="AB2640" s="86"/>
      <c r="AD2640" s="100"/>
    </row>
    <row r="2641" spans="28:30" x14ac:dyDescent="0.25">
      <c r="AB2641" s="86"/>
      <c r="AD2641" s="100"/>
    </row>
    <row r="2642" spans="28:30" x14ac:dyDescent="0.25">
      <c r="AB2642" s="86"/>
      <c r="AD2642" s="100"/>
    </row>
    <row r="2643" spans="28:30" x14ac:dyDescent="0.25">
      <c r="AB2643" s="86"/>
      <c r="AD2643" s="100"/>
    </row>
    <row r="2644" spans="28:30" x14ac:dyDescent="0.25">
      <c r="AB2644" s="86"/>
    </row>
    <row r="2645" spans="28:30" x14ac:dyDescent="0.25">
      <c r="AB2645" s="86"/>
      <c r="AD2645" s="100"/>
    </row>
    <row r="2646" spans="28:30" x14ac:dyDescent="0.25">
      <c r="AB2646" s="86"/>
    </row>
    <row r="2647" spans="28:30" x14ac:dyDescent="0.25">
      <c r="AB2647" s="86"/>
      <c r="AD2647" s="100"/>
    </row>
    <row r="2648" spans="28:30" x14ac:dyDescent="0.25">
      <c r="AB2648" s="86"/>
    </row>
    <row r="2649" spans="28:30" x14ac:dyDescent="0.25">
      <c r="AB2649" s="86"/>
      <c r="AD2649" s="100"/>
    </row>
    <row r="2650" spans="28:30" x14ac:dyDescent="0.25">
      <c r="AB2650" s="86"/>
      <c r="AD2650" s="100"/>
    </row>
    <row r="2651" spans="28:30" x14ac:dyDescent="0.25">
      <c r="AB2651" s="86"/>
    </row>
    <row r="2652" spans="28:30" x14ac:dyDescent="0.25">
      <c r="AB2652" s="86"/>
    </row>
    <row r="2653" spans="28:30" x14ac:dyDescent="0.25">
      <c r="AB2653" s="86"/>
      <c r="AD2653" s="100"/>
    </row>
    <row r="2654" spans="28:30" x14ac:dyDescent="0.25">
      <c r="AB2654" s="86"/>
      <c r="AD2654" s="100"/>
    </row>
    <row r="2655" spans="28:30" x14ac:dyDescent="0.25">
      <c r="AB2655" s="86"/>
      <c r="AD2655" s="100"/>
    </row>
    <row r="2656" spans="28:30" x14ac:dyDescent="0.25">
      <c r="AB2656" s="86"/>
    </row>
    <row r="2657" spans="28:30" x14ac:dyDescent="0.25">
      <c r="AB2657" s="86"/>
      <c r="AD2657" s="100"/>
    </row>
    <row r="2658" spans="28:30" x14ac:dyDescent="0.25">
      <c r="AB2658" s="86"/>
    </row>
    <row r="2659" spans="28:30" x14ac:dyDescent="0.25">
      <c r="AB2659" s="86"/>
    </row>
    <row r="2660" spans="28:30" x14ac:dyDescent="0.25">
      <c r="AB2660" s="86"/>
    </row>
    <row r="2661" spans="28:30" x14ac:dyDescent="0.25">
      <c r="AB2661" s="86"/>
    </row>
    <row r="2662" spans="28:30" x14ac:dyDescent="0.25">
      <c r="AB2662" s="86"/>
      <c r="AD2662" s="100"/>
    </row>
    <row r="2663" spans="28:30" x14ac:dyDescent="0.25">
      <c r="AB2663" s="86"/>
    </row>
    <row r="2664" spans="28:30" x14ac:dyDescent="0.25">
      <c r="AB2664" s="86"/>
      <c r="AD2664" s="100"/>
    </row>
    <row r="2665" spans="28:30" x14ac:dyDescent="0.25">
      <c r="AB2665" s="86"/>
    </row>
    <row r="2666" spans="28:30" x14ac:dyDescent="0.25">
      <c r="AB2666" s="86"/>
    </row>
    <row r="2667" spans="28:30" x14ac:dyDescent="0.25">
      <c r="AB2667" s="86"/>
    </row>
    <row r="2668" spans="28:30" x14ac:dyDescent="0.25">
      <c r="AB2668" s="86"/>
    </row>
    <row r="2669" spans="28:30" x14ac:dyDescent="0.25">
      <c r="AB2669" s="86"/>
      <c r="AD2669" s="100"/>
    </row>
    <row r="2670" spans="28:30" x14ac:dyDescent="0.25">
      <c r="AB2670" s="86"/>
      <c r="AD2670" s="100"/>
    </row>
    <row r="2671" spans="28:30" x14ac:dyDescent="0.25">
      <c r="AB2671" s="86"/>
      <c r="AD2671" s="100"/>
    </row>
    <row r="2672" spans="28:30" x14ac:dyDescent="0.25">
      <c r="AB2672" s="86"/>
      <c r="AD2672" s="100"/>
    </row>
    <row r="2673" spans="28:30" x14ac:dyDescent="0.25">
      <c r="AB2673" s="86"/>
      <c r="AD2673" s="100"/>
    </row>
    <row r="2674" spans="28:30" x14ac:dyDescent="0.25">
      <c r="AB2674" s="86"/>
      <c r="AD2674" s="100"/>
    </row>
    <row r="2675" spans="28:30" x14ac:dyDescent="0.25">
      <c r="AB2675" s="86"/>
      <c r="AD2675" s="100"/>
    </row>
    <row r="2676" spans="28:30" x14ac:dyDescent="0.25">
      <c r="AB2676" s="86"/>
      <c r="AD2676" s="100"/>
    </row>
    <row r="2677" spans="28:30" x14ac:dyDescent="0.25">
      <c r="AB2677" s="86"/>
      <c r="AD2677" s="100"/>
    </row>
    <row r="2678" spans="28:30" x14ac:dyDescent="0.25">
      <c r="AB2678" s="86"/>
      <c r="AD2678" s="100"/>
    </row>
    <row r="2679" spans="28:30" x14ac:dyDescent="0.25">
      <c r="AB2679" s="86"/>
      <c r="AD2679" s="100"/>
    </row>
    <row r="2680" spans="28:30" x14ac:dyDescent="0.25">
      <c r="AB2680" s="86"/>
    </row>
    <row r="2681" spans="28:30" x14ac:dyDescent="0.25">
      <c r="AB2681" s="86"/>
    </row>
    <row r="2682" spans="28:30" x14ac:dyDescent="0.25">
      <c r="AB2682" s="86"/>
      <c r="AD2682" s="100"/>
    </row>
    <row r="2683" spans="28:30" x14ac:dyDescent="0.25">
      <c r="AB2683" s="86"/>
      <c r="AD2683" s="100"/>
    </row>
    <row r="2684" spans="28:30" x14ac:dyDescent="0.25">
      <c r="AB2684" s="86"/>
      <c r="AD2684" s="100"/>
    </row>
    <row r="2685" spans="28:30" x14ac:dyDescent="0.25">
      <c r="AB2685" s="86"/>
      <c r="AD2685" s="100"/>
    </row>
    <row r="2686" spans="28:30" x14ac:dyDescent="0.25">
      <c r="AB2686" s="86"/>
      <c r="AD2686" s="100"/>
    </row>
    <row r="2687" spans="28:30" x14ac:dyDescent="0.25">
      <c r="AB2687" s="86"/>
      <c r="AD2687" s="100"/>
    </row>
    <row r="2688" spans="28:30" x14ac:dyDescent="0.25">
      <c r="AB2688" s="86"/>
      <c r="AD2688" s="100"/>
    </row>
    <row r="2689" spans="28:30" x14ac:dyDescent="0.25">
      <c r="AB2689" s="86"/>
      <c r="AD2689" s="100"/>
    </row>
    <row r="2690" spans="28:30" x14ac:dyDescent="0.25">
      <c r="AB2690" s="86"/>
      <c r="AD2690" s="100"/>
    </row>
    <row r="2691" spans="28:30" x14ac:dyDescent="0.25">
      <c r="AB2691" s="86"/>
      <c r="AD2691" s="100"/>
    </row>
    <row r="2692" spans="28:30" x14ac:dyDescent="0.25">
      <c r="AB2692" s="86"/>
      <c r="AD2692" s="100"/>
    </row>
    <row r="2693" spans="28:30" x14ac:dyDescent="0.25">
      <c r="AB2693" s="86"/>
    </row>
    <row r="2694" spans="28:30" x14ac:dyDescent="0.25">
      <c r="AB2694" s="86"/>
    </row>
    <row r="2695" spans="28:30" x14ac:dyDescent="0.25">
      <c r="AB2695" s="86"/>
      <c r="AD2695" s="100"/>
    </row>
    <row r="2696" spans="28:30" x14ac:dyDescent="0.25">
      <c r="AB2696" s="86"/>
    </row>
    <row r="2697" spans="28:30" x14ac:dyDescent="0.25">
      <c r="AB2697" s="86"/>
      <c r="AD2697" s="100"/>
    </row>
    <row r="2698" spans="28:30" x14ac:dyDescent="0.25">
      <c r="AB2698" s="86"/>
      <c r="AD2698" s="100"/>
    </row>
    <row r="2699" spans="28:30" x14ac:dyDescent="0.25">
      <c r="AB2699" s="86"/>
      <c r="AD2699" s="100"/>
    </row>
    <row r="2700" spans="28:30" x14ac:dyDescent="0.25">
      <c r="AB2700" s="86"/>
    </row>
    <row r="2701" spans="28:30" x14ac:dyDescent="0.25">
      <c r="AB2701" s="86"/>
    </row>
    <row r="2702" spans="28:30" x14ac:dyDescent="0.25">
      <c r="AB2702" s="86"/>
      <c r="AD2702" s="100"/>
    </row>
    <row r="2703" spans="28:30" x14ac:dyDescent="0.25">
      <c r="AB2703" s="86"/>
      <c r="AD2703" s="100"/>
    </row>
    <row r="2704" spans="28:30" x14ac:dyDescent="0.25">
      <c r="AB2704" s="86"/>
    </row>
    <row r="2705" spans="28:30" x14ac:dyDescent="0.25">
      <c r="AB2705" s="86"/>
      <c r="AD2705" s="100"/>
    </row>
    <row r="2706" spans="28:30" x14ac:dyDescent="0.25">
      <c r="AB2706" s="86"/>
    </row>
    <row r="2707" spans="28:30" x14ac:dyDescent="0.25">
      <c r="AB2707" s="86"/>
      <c r="AD2707" s="100"/>
    </row>
    <row r="2708" spans="28:30" x14ac:dyDescent="0.25">
      <c r="AB2708" s="86"/>
      <c r="AD2708" s="100"/>
    </row>
    <row r="2709" spans="28:30" x14ac:dyDescent="0.25">
      <c r="AB2709" s="86"/>
    </row>
    <row r="2710" spans="28:30" x14ac:dyDescent="0.25">
      <c r="AB2710" s="86"/>
    </row>
    <row r="2711" spans="28:30" x14ac:dyDescent="0.25">
      <c r="AB2711" s="86"/>
      <c r="AD2711" s="100"/>
    </row>
    <row r="2712" spans="28:30" x14ac:dyDescent="0.25">
      <c r="AB2712" s="86"/>
      <c r="AD2712" s="100"/>
    </row>
    <row r="2713" spans="28:30" x14ac:dyDescent="0.25">
      <c r="AB2713" s="86"/>
      <c r="AD2713" s="100"/>
    </row>
    <row r="2714" spans="28:30" x14ac:dyDescent="0.25">
      <c r="AB2714" s="86"/>
      <c r="AD2714" s="100"/>
    </row>
    <row r="2715" spans="28:30" x14ac:dyDescent="0.25">
      <c r="AB2715" s="86"/>
    </row>
    <row r="2716" spans="28:30" x14ac:dyDescent="0.25">
      <c r="AB2716" s="86"/>
      <c r="AD2716" s="100"/>
    </row>
    <row r="2717" spans="28:30" x14ac:dyDescent="0.25">
      <c r="AB2717" s="86"/>
      <c r="AD2717" s="100"/>
    </row>
    <row r="2718" spans="28:30" x14ac:dyDescent="0.25">
      <c r="AB2718" s="86"/>
      <c r="AD2718" s="100"/>
    </row>
    <row r="2719" spans="28:30" x14ac:dyDescent="0.25">
      <c r="AB2719" s="86"/>
    </row>
    <row r="2720" spans="28:30" x14ac:dyDescent="0.25">
      <c r="AB2720" s="86"/>
      <c r="AD2720" s="100"/>
    </row>
    <row r="2721" spans="28:30" x14ac:dyDescent="0.25">
      <c r="AB2721" s="86"/>
    </row>
    <row r="2722" spans="28:30" x14ac:dyDescent="0.25">
      <c r="AB2722" s="86"/>
      <c r="AD2722" s="100"/>
    </row>
    <row r="2723" spans="28:30" x14ac:dyDescent="0.25">
      <c r="AB2723" s="86"/>
      <c r="AD2723" s="100"/>
    </row>
    <row r="2724" spans="28:30" x14ac:dyDescent="0.25">
      <c r="AB2724" s="86"/>
      <c r="AD2724" s="100"/>
    </row>
    <row r="2725" spans="28:30" x14ac:dyDescent="0.25">
      <c r="AB2725" s="86"/>
      <c r="AD2725" s="100"/>
    </row>
    <row r="2726" spans="28:30" x14ac:dyDescent="0.25">
      <c r="AB2726" s="86"/>
      <c r="AD2726" s="100"/>
    </row>
    <row r="2727" spans="28:30" x14ac:dyDescent="0.25">
      <c r="AB2727" s="86"/>
      <c r="AD2727" s="100"/>
    </row>
    <row r="2728" spans="28:30" x14ac:dyDescent="0.25">
      <c r="AB2728" s="86"/>
      <c r="AD2728" s="100"/>
    </row>
    <row r="2729" spans="28:30" x14ac:dyDescent="0.25">
      <c r="AB2729" s="86"/>
      <c r="AD2729" s="100"/>
    </row>
    <row r="2730" spans="28:30" x14ac:dyDescent="0.25">
      <c r="AB2730" s="86"/>
      <c r="AD2730" s="100"/>
    </row>
    <row r="2731" spans="28:30" x14ac:dyDescent="0.25">
      <c r="AB2731" s="86"/>
    </row>
    <row r="2732" spans="28:30" x14ac:dyDescent="0.25">
      <c r="AB2732" s="86"/>
      <c r="AD2732" s="100"/>
    </row>
    <row r="2733" spans="28:30" x14ac:dyDescent="0.25">
      <c r="AB2733" s="86"/>
      <c r="AD2733" s="100"/>
    </row>
    <row r="2734" spans="28:30" x14ac:dyDescent="0.25">
      <c r="AB2734" s="86"/>
      <c r="AD2734" s="100"/>
    </row>
    <row r="2735" spans="28:30" x14ac:dyDescent="0.25">
      <c r="AB2735" s="86"/>
      <c r="AD2735" s="100"/>
    </row>
    <row r="2736" spans="28:30" x14ac:dyDescent="0.25">
      <c r="AB2736" s="86"/>
      <c r="AD2736" s="100"/>
    </row>
    <row r="2737" spans="28:30" x14ac:dyDescent="0.25">
      <c r="AB2737" s="86"/>
      <c r="AD2737" s="100"/>
    </row>
    <row r="2738" spans="28:30" x14ac:dyDescent="0.25">
      <c r="AB2738" s="86"/>
    </row>
    <row r="2739" spans="28:30" x14ac:dyDescent="0.25">
      <c r="AB2739" s="86"/>
    </row>
    <row r="2740" spans="28:30" x14ac:dyDescent="0.25">
      <c r="AB2740" s="86"/>
    </row>
    <row r="2741" spans="28:30" x14ac:dyDescent="0.25">
      <c r="AB2741" s="86"/>
      <c r="AD2741" s="100"/>
    </row>
    <row r="2742" spans="28:30" x14ac:dyDescent="0.25">
      <c r="AB2742" s="86"/>
      <c r="AD2742" s="100"/>
    </row>
    <row r="2743" spans="28:30" x14ac:dyDescent="0.25">
      <c r="AB2743" s="86"/>
    </row>
    <row r="2744" spans="28:30" x14ac:dyDescent="0.25">
      <c r="AB2744" s="86"/>
    </row>
    <row r="2745" spans="28:30" x14ac:dyDescent="0.25">
      <c r="AB2745" s="86"/>
      <c r="AD2745" s="100"/>
    </row>
    <row r="2746" spans="28:30" x14ac:dyDescent="0.25">
      <c r="AB2746" s="86"/>
      <c r="AD2746" s="100"/>
    </row>
    <row r="2747" spans="28:30" x14ac:dyDescent="0.25">
      <c r="AB2747" s="86"/>
      <c r="AD2747" s="100"/>
    </row>
    <row r="2748" spans="28:30" x14ac:dyDescent="0.25">
      <c r="AB2748" s="86"/>
      <c r="AD2748" s="100"/>
    </row>
    <row r="2749" spans="28:30" x14ac:dyDescent="0.25">
      <c r="AB2749" s="86"/>
      <c r="AD2749" s="100"/>
    </row>
    <row r="2750" spans="28:30" x14ac:dyDescent="0.25">
      <c r="AB2750" s="86"/>
    </row>
    <row r="2751" spans="28:30" x14ac:dyDescent="0.25">
      <c r="AB2751" s="86"/>
      <c r="AD2751" s="100"/>
    </row>
    <row r="2752" spans="28:30" x14ac:dyDescent="0.25">
      <c r="AB2752" s="86"/>
      <c r="AD2752" s="100"/>
    </row>
    <row r="2753" spans="28:30" x14ac:dyDescent="0.25">
      <c r="AB2753" s="86"/>
      <c r="AD2753" s="100"/>
    </row>
    <row r="2754" spans="28:30" x14ac:dyDescent="0.25">
      <c r="AB2754" s="86"/>
    </row>
    <row r="2755" spans="28:30" x14ac:dyDescent="0.25">
      <c r="AB2755" s="86"/>
      <c r="AD2755" s="100"/>
    </row>
    <row r="2756" spans="28:30" x14ac:dyDescent="0.25">
      <c r="AB2756" s="86"/>
    </row>
    <row r="2757" spans="28:30" x14ac:dyDescent="0.25">
      <c r="AB2757" s="86"/>
      <c r="AD2757" s="100"/>
    </row>
    <row r="2758" spans="28:30" x14ac:dyDescent="0.25">
      <c r="AB2758" s="86"/>
      <c r="AD2758" s="100"/>
    </row>
    <row r="2759" spans="28:30" x14ac:dyDescent="0.25">
      <c r="AB2759" s="86"/>
      <c r="AD2759" s="100"/>
    </row>
    <row r="2760" spans="28:30" x14ac:dyDescent="0.25">
      <c r="AB2760" s="86"/>
      <c r="AD2760" s="100"/>
    </row>
    <row r="2761" spans="28:30" x14ac:dyDescent="0.25">
      <c r="AB2761" s="86"/>
      <c r="AD2761" s="100"/>
    </row>
    <row r="2762" spans="28:30" x14ac:dyDescent="0.25">
      <c r="AB2762" s="86"/>
      <c r="AD2762" s="100"/>
    </row>
    <row r="2763" spans="28:30" x14ac:dyDescent="0.25">
      <c r="AB2763" s="86"/>
      <c r="AD2763" s="100"/>
    </row>
    <row r="2764" spans="28:30" x14ac:dyDescent="0.25">
      <c r="AB2764" s="86"/>
      <c r="AD2764" s="100"/>
    </row>
    <row r="2765" spans="28:30" x14ac:dyDescent="0.25">
      <c r="AB2765" s="86"/>
      <c r="AD2765" s="100"/>
    </row>
    <row r="2766" spans="28:30" x14ac:dyDescent="0.25">
      <c r="AB2766" s="86"/>
    </row>
    <row r="2767" spans="28:30" x14ac:dyDescent="0.25">
      <c r="AB2767" s="86"/>
    </row>
    <row r="2768" spans="28:30" x14ac:dyDescent="0.25">
      <c r="AB2768" s="86"/>
    </row>
    <row r="2769" spans="28:30" x14ac:dyDescent="0.25">
      <c r="AB2769" s="86"/>
    </row>
    <row r="2770" spans="28:30" x14ac:dyDescent="0.25">
      <c r="AB2770" s="86"/>
    </row>
    <row r="2771" spans="28:30" x14ac:dyDescent="0.25">
      <c r="AB2771" s="86"/>
      <c r="AD2771" s="100"/>
    </row>
    <row r="2772" spans="28:30" x14ac:dyDescent="0.25">
      <c r="AB2772" s="86"/>
      <c r="AD2772" s="100"/>
    </row>
    <row r="2773" spans="28:30" x14ac:dyDescent="0.25">
      <c r="AB2773" s="86"/>
    </row>
    <row r="2774" spans="28:30" x14ac:dyDescent="0.25">
      <c r="AB2774" s="86"/>
    </row>
    <row r="2775" spans="28:30" x14ac:dyDescent="0.25">
      <c r="AB2775" s="86"/>
    </row>
    <row r="2776" spans="28:30" x14ac:dyDescent="0.25">
      <c r="AB2776" s="86"/>
    </row>
    <row r="2777" spans="28:30" x14ac:dyDescent="0.25">
      <c r="AB2777" s="86"/>
    </row>
    <row r="2778" spans="28:30" x14ac:dyDescent="0.25">
      <c r="AB2778" s="86"/>
      <c r="AD2778" s="100"/>
    </row>
    <row r="2779" spans="28:30" x14ac:dyDescent="0.25">
      <c r="AB2779" s="86"/>
      <c r="AD2779" s="100"/>
    </row>
    <row r="2780" spans="28:30" x14ac:dyDescent="0.25">
      <c r="AB2780" s="86"/>
      <c r="AD2780" s="100"/>
    </row>
    <row r="2781" spans="28:30" x14ac:dyDescent="0.25">
      <c r="AB2781" s="86"/>
    </row>
    <row r="2782" spans="28:30" x14ac:dyDescent="0.25">
      <c r="AB2782" s="86"/>
    </row>
    <row r="2783" spans="28:30" x14ac:dyDescent="0.25">
      <c r="AB2783" s="86"/>
    </row>
    <row r="2784" spans="28:30" x14ac:dyDescent="0.25">
      <c r="AB2784" s="86"/>
    </row>
    <row r="2785" spans="28:30" x14ac:dyDescent="0.25">
      <c r="AB2785" s="86"/>
    </row>
    <row r="2786" spans="28:30" x14ac:dyDescent="0.25">
      <c r="AB2786" s="86"/>
    </row>
    <row r="2787" spans="28:30" x14ac:dyDescent="0.25">
      <c r="AB2787" s="86"/>
      <c r="AD2787" s="100"/>
    </row>
    <row r="2788" spans="28:30" x14ac:dyDescent="0.25">
      <c r="AB2788" s="86"/>
      <c r="AD2788" s="100"/>
    </row>
    <row r="2789" spans="28:30" x14ac:dyDescent="0.25">
      <c r="AB2789" s="86"/>
      <c r="AD2789" s="100"/>
    </row>
    <row r="2790" spans="28:30" x14ac:dyDescent="0.25">
      <c r="AB2790" s="86"/>
      <c r="AD2790" s="100"/>
    </row>
    <row r="2791" spans="28:30" x14ac:dyDescent="0.25">
      <c r="AB2791" s="86"/>
    </row>
    <row r="2792" spans="28:30" x14ac:dyDescent="0.25">
      <c r="AB2792" s="86"/>
    </row>
    <row r="2793" spans="28:30" x14ac:dyDescent="0.25">
      <c r="AB2793" s="86"/>
    </row>
    <row r="2794" spans="28:30" x14ac:dyDescent="0.25">
      <c r="AB2794" s="86"/>
    </row>
    <row r="2795" spans="28:30" x14ac:dyDescent="0.25">
      <c r="AB2795" s="86"/>
    </row>
    <row r="2796" spans="28:30" x14ac:dyDescent="0.25">
      <c r="AB2796" s="86"/>
    </row>
    <row r="2797" spans="28:30" x14ac:dyDescent="0.25">
      <c r="AB2797" s="86"/>
    </row>
    <row r="2798" spans="28:30" x14ac:dyDescent="0.25">
      <c r="AB2798" s="86"/>
    </row>
    <row r="2799" spans="28:30" x14ac:dyDescent="0.25">
      <c r="AB2799" s="86"/>
      <c r="AD2799" s="100"/>
    </row>
    <row r="2800" spans="28:30" x14ac:dyDescent="0.25">
      <c r="AB2800" s="86"/>
      <c r="AD2800" s="100"/>
    </row>
    <row r="2801" spans="28:30" x14ac:dyDescent="0.25">
      <c r="AB2801" s="86"/>
      <c r="AD2801" s="100"/>
    </row>
    <row r="2802" spans="28:30" x14ac:dyDescent="0.25">
      <c r="AB2802" s="86"/>
      <c r="AD2802" s="100"/>
    </row>
    <row r="2803" spans="28:30" x14ac:dyDescent="0.25">
      <c r="AB2803" s="86"/>
      <c r="AD2803" s="100"/>
    </row>
    <row r="2804" spans="28:30" x14ac:dyDescent="0.25">
      <c r="AB2804" s="86"/>
      <c r="AD2804" s="100"/>
    </row>
    <row r="2805" spans="28:30" x14ac:dyDescent="0.25">
      <c r="AB2805" s="86"/>
      <c r="AD2805" s="100"/>
    </row>
    <row r="2806" spans="28:30" x14ac:dyDescent="0.25">
      <c r="AB2806" s="86"/>
      <c r="AD2806" s="100"/>
    </row>
    <row r="2807" spans="28:30" x14ac:dyDescent="0.25">
      <c r="AB2807" s="86"/>
      <c r="AD2807" s="100"/>
    </row>
    <row r="2808" spans="28:30" x14ac:dyDescent="0.25">
      <c r="AB2808" s="86"/>
      <c r="AD2808" s="100"/>
    </row>
    <row r="2809" spans="28:30" x14ac:dyDescent="0.25">
      <c r="AB2809" s="86"/>
      <c r="AD2809" s="100"/>
    </row>
    <row r="2810" spans="28:30" x14ac:dyDescent="0.25">
      <c r="AB2810" s="86"/>
      <c r="AD2810" s="100"/>
    </row>
    <row r="2811" spans="28:30" x14ac:dyDescent="0.25">
      <c r="AB2811" s="86"/>
      <c r="AD2811" s="100"/>
    </row>
    <row r="2812" spans="28:30" x14ac:dyDescent="0.25">
      <c r="AB2812" s="86"/>
      <c r="AD2812" s="100"/>
    </row>
    <row r="2813" spans="28:30" x14ac:dyDescent="0.25">
      <c r="AB2813" s="86"/>
      <c r="AD2813" s="100"/>
    </row>
    <row r="2814" spans="28:30" x14ac:dyDescent="0.25">
      <c r="AB2814" s="86"/>
      <c r="AD2814" s="100"/>
    </row>
    <row r="2815" spans="28:30" x14ac:dyDescent="0.25">
      <c r="AB2815" s="86"/>
      <c r="AD2815" s="100"/>
    </row>
    <row r="2816" spans="28:30" x14ac:dyDescent="0.25">
      <c r="AB2816" s="86"/>
      <c r="AD2816" s="100"/>
    </row>
    <row r="2817" spans="28:30" x14ac:dyDescent="0.25">
      <c r="AB2817" s="86"/>
      <c r="AD2817" s="100"/>
    </row>
    <row r="2818" spans="28:30" x14ac:dyDescent="0.25">
      <c r="AB2818" s="86"/>
      <c r="AD2818" s="100"/>
    </row>
    <row r="2819" spans="28:30" x14ac:dyDescent="0.25">
      <c r="AB2819" s="86"/>
      <c r="AD2819" s="100"/>
    </row>
    <row r="2820" spans="28:30" x14ac:dyDescent="0.25">
      <c r="AB2820" s="86"/>
      <c r="AD2820" s="100"/>
    </row>
    <row r="2821" spans="28:30" x14ac:dyDescent="0.25">
      <c r="AB2821" s="86"/>
      <c r="AD2821" s="100"/>
    </row>
    <row r="2822" spans="28:30" x14ac:dyDescent="0.25">
      <c r="AB2822" s="86"/>
      <c r="AD2822" s="100"/>
    </row>
    <row r="2823" spans="28:30" x14ac:dyDescent="0.25">
      <c r="AB2823" s="86"/>
      <c r="AD2823" s="100"/>
    </row>
    <row r="2824" spans="28:30" x14ac:dyDescent="0.25">
      <c r="AB2824" s="86"/>
      <c r="AD2824" s="100"/>
    </row>
    <row r="2825" spans="28:30" x14ac:dyDescent="0.25">
      <c r="AB2825" s="86"/>
      <c r="AD2825" s="100"/>
    </row>
    <row r="2826" spans="28:30" x14ac:dyDescent="0.25">
      <c r="AB2826" s="86"/>
      <c r="AD2826" s="100"/>
    </row>
    <row r="2827" spans="28:30" x14ac:dyDescent="0.25">
      <c r="AB2827" s="86"/>
      <c r="AD2827" s="100"/>
    </row>
    <row r="2828" spans="28:30" x14ac:dyDescent="0.25">
      <c r="AB2828" s="86"/>
      <c r="AD2828" s="100"/>
    </row>
    <row r="2829" spans="28:30" x14ac:dyDescent="0.25">
      <c r="AB2829" s="86"/>
      <c r="AD2829" s="100"/>
    </row>
    <row r="2830" spans="28:30" x14ac:dyDescent="0.25">
      <c r="AB2830" s="86"/>
      <c r="AD2830" s="100"/>
    </row>
    <row r="2831" spans="28:30" x14ac:dyDescent="0.25">
      <c r="AB2831" s="86"/>
      <c r="AD2831" s="100"/>
    </row>
    <row r="2832" spans="28:30" x14ac:dyDescent="0.25">
      <c r="AB2832" s="86"/>
      <c r="AD2832" s="100"/>
    </row>
    <row r="2833" spans="28:30" x14ac:dyDescent="0.25">
      <c r="AB2833" s="86"/>
      <c r="AD2833" s="100"/>
    </row>
    <row r="2834" spans="28:30" x14ac:dyDescent="0.25">
      <c r="AB2834" s="86"/>
      <c r="AD2834" s="100"/>
    </row>
    <row r="2835" spans="28:30" x14ac:dyDescent="0.25">
      <c r="AB2835" s="86"/>
      <c r="AD2835" s="100"/>
    </row>
    <row r="2836" spans="28:30" x14ac:dyDescent="0.25">
      <c r="AB2836" s="86"/>
      <c r="AD2836" s="100"/>
    </row>
    <row r="2837" spans="28:30" x14ac:dyDescent="0.25">
      <c r="AB2837" s="86"/>
      <c r="AD2837" s="100"/>
    </row>
    <row r="2838" spans="28:30" x14ac:dyDescent="0.25">
      <c r="AB2838" s="86"/>
      <c r="AD2838" s="100"/>
    </row>
    <row r="2839" spans="28:30" x14ac:dyDescent="0.25">
      <c r="AB2839" s="86"/>
      <c r="AD2839" s="100"/>
    </row>
    <row r="2840" spans="28:30" x14ac:dyDescent="0.25">
      <c r="AB2840" s="86"/>
      <c r="AD2840" s="100"/>
    </row>
    <row r="2841" spans="28:30" x14ac:dyDescent="0.25">
      <c r="AB2841" s="86"/>
      <c r="AD2841" s="100"/>
    </row>
    <row r="2842" spans="28:30" x14ac:dyDescent="0.25">
      <c r="AB2842" s="86"/>
      <c r="AD2842" s="100"/>
    </row>
    <row r="2843" spans="28:30" x14ac:dyDescent="0.25">
      <c r="AB2843" s="86"/>
      <c r="AD2843" s="100"/>
    </row>
    <row r="2844" spans="28:30" x14ac:dyDescent="0.25">
      <c r="AB2844" s="86"/>
      <c r="AD2844" s="100"/>
    </row>
    <row r="2845" spans="28:30" x14ac:dyDescent="0.25">
      <c r="AB2845" s="86"/>
      <c r="AD2845" s="100"/>
    </row>
    <row r="2846" spans="28:30" x14ac:dyDescent="0.25">
      <c r="AB2846" s="86"/>
      <c r="AD2846" s="100"/>
    </row>
    <row r="2847" spans="28:30" x14ac:dyDescent="0.25">
      <c r="AB2847" s="86"/>
      <c r="AD2847" s="100"/>
    </row>
    <row r="2848" spans="28:30" x14ac:dyDescent="0.25">
      <c r="AB2848" s="86"/>
      <c r="AD2848" s="100"/>
    </row>
    <row r="2849" spans="28:30" x14ac:dyDescent="0.25">
      <c r="AB2849" s="86"/>
      <c r="AD2849" s="100"/>
    </row>
    <row r="2850" spans="28:30" x14ac:dyDescent="0.25">
      <c r="AB2850" s="86"/>
      <c r="AD2850" s="100"/>
    </row>
    <row r="2851" spans="28:30" x14ac:dyDescent="0.25">
      <c r="AB2851" s="86"/>
      <c r="AD2851" s="100"/>
    </row>
    <row r="2852" spans="28:30" x14ac:dyDescent="0.25">
      <c r="AB2852" s="86"/>
      <c r="AD2852" s="100"/>
    </row>
    <row r="2853" spans="28:30" x14ac:dyDescent="0.25">
      <c r="AB2853" s="86"/>
      <c r="AD2853" s="100"/>
    </row>
    <row r="2854" spans="28:30" x14ac:dyDescent="0.25">
      <c r="AB2854" s="86"/>
      <c r="AD2854" s="100"/>
    </row>
    <row r="2855" spans="28:30" x14ac:dyDescent="0.25">
      <c r="AB2855" s="86"/>
      <c r="AD2855" s="100"/>
    </row>
    <row r="2856" spans="28:30" x14ac:dyDescent="0.25">
      <c r="AB2856" s="86"/>
      <c r="AD2856" s="100"/>
    </row>
    <row r="2857" spans="28:30" x14ac:dyDescent="0.25">
      <c r="AB2857" s="86"/>
      <c r="AD2857" s="100"/>
    </row>
    <row r="2858" spans="28:30" x14ac:dyDescent="0.25">
      <c r="AB2858" s="86"/>
      <c r="AD2858" s="100"/>
    </row>
    <row r="2859" spans="28:30" x14ac:dyDescent="0.25">
      <c r="AB2859" s="86"/>
      <c r="AD2859" s="100"/>
    </row>
    <row r="2860" spans="28:30" x14ac:dyDescent="0.25">
      <c r="AB2860" s="86"/>
      <c r="AD2860" s="100"/>
    </row>
    <row r="2861" spans="28:30" x14ac:dyDescent="0.25">
      <c r="AB2861" s="86"/>
      <c r="AD2861" s="100"/>
    </row>
    <row r="2862" spans="28:30" x14ac:dyDescent="0.25">
      <c r="AB2862" s="86"/>
      <c r="AD2862" s="100"/>
    </row>
    <row r="2863" spans="28:30" x14ac:dyDescent="0.25">
      <c r="AB2863" s="86"/>
      <c r="AD2863" s="100"/>
    </row>
    <row r="2864" spans="28:30" x14ac:dyDescent="0.25">
      <c r="AB2864" s="86"/>
      <c r="AD2864" s="100"/>
    </row>
    <row r="2865" spans="28:30" x14ac:dyDescent="0.25">
      <c r="AB2865" s="86"/>
      <c r="AD2865" s="100"/>
    </row>
    <row r="2866" spans="28:30" x14ac:dyDescent="0.25">
      <c r="AB2866" s="86"/>
      <c r="AD2866" s="100"/>
    </row>
    <row r="2867" spans="28:30" x14ac:dyDescent="0.25">
      <c r="AB2867" s="86"/>
      <c r="AD2867" s="100"/>
    </row>
    <row r="2868" spans="28:30" x14ac:dyDescent="0.25">
      <c r="AB2868" s="86"/>
      <c r="AD2868" s="100"/>
    </row>
    <row r="2869" spans="28:30" x14ac:dyDescent="0.25">
      <c r="AB2869" s="86"/>
      <c r="AD2869" s="100"/>
    </row>
    <row r="2870" spans="28:30" x14ac:dyDescent="0.25">
      <c r="AB2870" s="86"/>
      <c r="AD2870" s="100"/>
    </row>
    <row r="2871" spans="28:30" x14ac:dyDescent="0.25">
      <c r="AB2871" s="86"/>
      <c r="AD2871" s="100"/>
    </row>
    <row r="2872" spans="28:30" x14ac:dyDescent="0.25">
      <c r="AB2872" s="86"/>
      <c r="AD2872" s="100"/>
    </row>
    <row r="2873" spans="28:30" x14ac:dyDescent="0.25">
      <c r="AB2873" s="86"/>
      <c r="AD2873" s="100"/>
    </row>
    <row r="2874" spans="28:30" x14ac:dyDescent="0.25">
      <c r="AB2874" s="86"/>
      <c r="AD2874" s="100"/>
    </row>
    <row r="2875" spans="28:30" x14ac:dyDescent="0.25">
      <c r="AB2875" s="86"/>
      <c r="AD2875" s="100"/>
    </row>
    <row r="2876" spans="28:30" x14ac:dyDescent="0.25">
      <c r="AB2876" s="86"/>
      <c r="AD2876" s="100"/>
    </row>
    <row r="2877" spans="28:30" x14ac:dyDescent="0.25">
      <c r="AB2877" s="86"/>
      <c r="AD2877" s="100"/>
    </row>
    <row r="2878" spans="28:30" x14ac:dyDescent="0.25">
      <c r="AB2878" s="86"/>
      <c r="AD2878" s="100"/>
    </row>
    <row r="2879" spans="28:30" x14ac:dyDescent="0.25">
      <c r="AB2879" s="86"/>
      <c r="AD2879" s="100"/>
    </row>
    <row r="2880" spans="28:30" x14ac:dyDescent="0.25">
      <c r="AB2880" s="86"/>
      <c r="AD2880" s="100"/>
    </row>
    <row r="2881" spans="28:30" x14ac:dyDescent="0.25">
      <c r="AB2881" s="86"/>
      <c r="AD2881" s="100"/>
    </row>
    <row r="2882" spans="28:30" x14ac:dyDescent="0.25">
      <c r="AB2882" s="86"/>
      <c r="AD2882" s="100"/>
    </row>
    <row r="2883" spans="28:30" x14ac:dyDescent="0.25">
      <c r="AB2883" s="86"/>
      <c r="AD2883" s="100"/>
    </row>
    <row r="2884" spans="28:30" x14ac:dyDescent="0.25">
      <c r="AB2884" s="86"/>
      <c r="AD2884" s="100"/>
    </row>
    <row r="2885" spans="28:30" x14ac:dyDescent="0.25">
      <c r="AB2885" s="86"/>
      <c r="AD2885" s="100"/>
    </row>
    <row r="2886" spans="28:30" x14ac:dyDescent="0.25">
      <c r="AB2886" s="86"/>
      <c r="AD2886" s="100"/>
    </row>
    <row r="2887" spans="28:30" x14ac:dyDescent="0.25">
      <c r="AB2887" s="86"/>
      <c r="AD2887" s="100"/>
    </row>
    <row r="2888" spans="28:30" x14ac:dyDescent="0.25">
      <c r="AB2888" s="86"/>
      <c r="AD2888" s="100"/>
    </row>
    <row r="2889" spans="28:30" x14ac:dyDescent="0.25">
      <c r="AB2889" s="86"/>
      <c r="AD2889" s="100"/>
    </row>
    <row r="2890" spans="28:30" x14ac:dyDescent="0.25">
      <c r="AB2890" s="86"/>
      <c r="AD2890" s="100"/>
    </row>
    <row r="2891" spans="28:30" x14ac:dyDescent="0.25">
      <c r="AB2891" s="86"/>
      <c r="AD2891" s="100"/>
    </row>
    <row r="2892" spans="28:30" x14ac:dyDescent="0.25">
      <c r="AB2892" s="86"/>
      <c r="AD2892" s="100"/>
    </row>
    <row r="2893" spans="28:30" x14ac:dyDescent="0.25">
      <c r="AB2893" s="86"/>
      <c r="AD2893" s="100"/>
    </row>
    <row r="2894" spans="28:30" x14ac:dyDescent="0.25">
      <c r="AB2894" s="86"/>
      <c r="AD2894" s="100"/>
    </row>
    <row r="2895" spans="28:30" x14ac:dyDescent="0.25">
      <c r="AB2895" s="86"/>
      <c r="AD2895" s="100"/>
    </row>
    <row r="2896" spans="28:30" x14ac:dyDescent="0.25">
      <c r="AB2896" s="86"/>
      <c r="AD2896" s="100"/>
    </row>
    <row r="2897" spans="28:30" x14ac:dyDescent="0.25">
      <c r="AB2897" s="86"/>
      <c r="AD2897" s="100"/>
    </row>
    <row r="2898" spans="28:30" x14ac:dyDescent="0.25">
      <c r="AB2898" s="86"/>
      <c r="AD2898" s="100"/>
    </row>
    <row r="2899" spans="28:30" x14ac:dyDescent="0.25">
      <c r="AB2899" s="86"/>
      <c r="AD2899" s="100"/>
    </row>
    <row r="2900" spans="28:30" x14ac:dyDescent="0.25">
      <c r="AB2900" s="86"/>
      <c r="AD2900" s="100"/>
    </row>
    <row r="2901" spans="28:30" x14ac:dyDescent="0.25">
      <c r="AB2901" s="86"/>
      <c r="AD2901" s="100"/>
    </row>
    <row r="2902" spans="28:30" x14ac:dyDescent="0.25">
      <c r="AB2902" s="86"/>
      <c r="AD2902" s="100"/>
    </row>
    <row r="2903" spans="28:30" x14ac:dyDescent="0.25">
      <c r="AB2903" s="86"/>
      <c r="AD2903" s="100"/>
    </row>
    <row r="2904" spans="28:30" x14ac:dyDescent="0.25">
      <c r="AB2904" s="86"/>
      <c r="AD2904" s="100"/>
    </row>
    <row r="2905" spans="28:30" x14ac:dyDescent="0.25">
      <c r="AB2905" s="86"/>
      <c r="AD2905" s="100"/>
    </row>
    <row r="2906" spans="28:30" x14ac:dyDescent="0.25">
      <c r="AB2906" s="86"/>
      <c r="AD2906" s="100"/>
    </row>
    <row r="2907" spans="28:30" x14ac:dyDescent="0.25">
      <c r="AB2907" s="86"/>
      <c r="AD2907" s="100"/>
    </row>
    <row r="2908" spans="28:30" x14ac:dyDescent="0.25">
      <c r="AB2908" s="86"/>
      <c r="AD2908" s="100"/>
    </row>
    <row r="2909" spans="28:30" x14ac:dyDescent="0.25">
      <c r="AB2909" s="86"/>
      <c r="AD2909" s="100"/>
    </row>
    <row r="2910" spans="28:30" x14ac:dyDescent="0.25">
      <c r="AB2910" s="86"/>
      <c r="AD2910" s="100"/>
    </row>
    <row r="2911" spans="28:30" x14ac:dyDescent="0.25">
      <c r="AB2911" s="86"/>
      <c r="AD2911" s="100"/>
    </row>
    <row r="2912" spans="28:30" x14ac:dyDescent="0.25">
      <c r="AB2912" s="86"/>
      <c r="AD2912" s="100"/>
    </row>
    <row r="2913" spans="28:30" x14ac:dyDescent="0.25">
      <c r="AB2913" s="86"/>
      <c r="AD2913" s="100"/>
    </row>
    <row r="2914" spans="28:30" x14ac:dyDescent="0.25">
      <c r="AB2914" s="86"/>
      <c r="AD2914" s="100"/>
    </row>
    <row r="2915" spans="28:30" x14ac:dyDescent="0.25">
      <c r="AB2915" s="86"/>
      <c r="AD2915" s="100"/>
    </row>
    <row r="2916" spans="28:30" x14ac:dyDescent="0.25">
      <c r="AB2916" s="86"/>
      <c r="AD2916" s="100"/>
    </row>
    <row r="2917" spans="28:30" x14ac:dyDescent="0.25">
      <c r="AB2917" s="86"/>
      <c r="AD2917" s="100"/>
    </row>
    <row r="2918" spans="28:30" x14ac:dyDescent="0.25">
      <c r="AB2918" s="86"/>
      <c r="AD2918" s="100"/>
    </row>
    <row r="2919" spans="28:30" x14ac:dyDescent="0.25">
      <c r="AB2919" s="86"/>
      <c r="AD2919" s="100"/>
    </row>
    <row r="2920" spans="28:30" x14ac:dyDescent="0.25">
      <c r="AB2920" s="86"/>
      <c r="AD2920" s="100"/>
    </row>
    <row r="2921" spans="28:30" x14ac:dyDescent="0.25">
      <c r="AB2921" s="86"/>
      <c r="AD2921" s="100"/>
    </row>
    <row r="2922" spans="28:30" x14ac:dyDescent="0.25">
      <c r="AB2922" s="86"/>
      <c r="AD2922" s="100"/>
    </row>
    <row r="2923" spans="28:30" x14ac:dyDescent="0.25">
      <c r="AB2923" s="86"/>
      <c r="AD2923" s="100"/>
    </row>
    <row r="2924" spans="28:30" x14ac:dyDescent="0.25">
      <c r="AB2924" s="86"/>
      <c r="AD2924" s="100"/>
    </row>
    <row r="2925" spans="28:30" x14ac:dyDescent="0.25">
      <c r="AB2925" s="86"/>
      <c r="AD2925" s="100"/>
    </row>
    <row r="2926" spans="28:30" x14ac:dyDescent="0.25">
      <c r="AB2926" s="86"/>
      <c r="AD2926" s="100"/>
    </row>
    <row r="2927" spans="28:30" x14ac:dyDescent="0.25">
      <c r="AB2927" s="86"/>
      <c r="AD2927" s="100"/>
    </row>
    <row r="2928" spans="28:30" x14ac:dyDescent="0.25">
      <c r="AB2928" s="86"/>
      <c r="AD2928" s="100"/>
    </row>
    <row r="2929" spans="28:30" x14ac:dyDescent="0.25">
      <c r="AB2929" s="86"/>
      <c r="AD2929" s="100"/>
    </row>
    <row r="2930" spans="28:30" x14ac:dyDescent="0.25">
      <c r="AB2930" s="86"/>
      <c r="AD2930" s="100"/>
    </row>
    <row r="2931" spans="28:30" x14ac:dyDescent="0.25">
      <c r="AB2931" s="86"/>
      <c r="AD2931" s="100"/>
    </row>
    <row r="2932" spans="28:30" x14ac:dyDescent="0.25">
      <c r="AB2932" s="86"/>
      <c r="AD2932" s="100"/>
    </row>
    <row r="2933" spans="28:30" x14ac:dyDescent="0.25">
      <c r="AB2933" s="86"/>
      <c r="AD2933" s="100"/>
    </row>
    <row r="2934" spans="28:30" x14ac:dyDescent="0.25">
      <c r="AB2934" s="86"/>
      <c r="AD2934" s="100"/>
    </row>
    <row r="2935" spans="28:30" x14ac:dyDescent="0.25">
      <c r="AB2935" s="86"/>
      <c r="AD2935" s="100"/>
    </row>
    <row r="2936" spans="28:30" x14ac:dyDescent="0.25">
      <c r="AB2936" s="86"/>
      <c r="AD2936" s="100"/>
    </row>
    <row r="2937" spans="28:30" x14ac:dyDescent="0.25">
      <c r="AB2937" s="86"/>
      <c r="AD2937" s="100"/>
    </row>
    <row r="2938" spans="28:30" x14ac:dyDescent="0.25">
      <c r="AB2938" s="86"/>
      <c r="AD2938" s="100"/>
    </row>
    <row r="2939" spans="28:30" x14ac:dyDescent="0.25">
      <c r="AB2939" s="86"/>
      <c r="AD2939" s="100"/>
    </row>
    <row r="2940" spans="28:30" x14ac:dyDescent="0.25">
      <c r="AB2940" s="86"/>
      <c r="AD2940" s="100"/>
    </row>
    <row r="2941" spans="28:30" x14ac:dyDescent="0.25">
      <c r="AB2941" s="86"/>
      <c r="AD2941" s="100"/>
    </row>
    <row r="2942" spans="28:30" x14ac:dyDescent="0.25">
      <c r="AB2942" s="86"/>
      <c r="AD2942" s="100"/>
    </row>
    <row r="2943" spans="28:30" x14ac:dyDescent="0.25">
      <c r="AB2943" s="86"/>
      <c r="AD2943" s="100"/>
    </row>
    <row r="2944" spans="28:30" x14ac:dyDescent="0.25">
      <c r="AB2944" s="86"/>
      <c r="AD2944" s="100"/>
    </row>
    <row r="2945" spans="28:30" x14ac:dyDescent="0.25">
      <c r="AB2945" s="86"/>
      <c r="AD2945" s="100"/>
    </row>
    <row r="2946" spans="28:30" x14ac:dyDescent="0.25">
      <c r="AB2946" s="86"/>
      <c r="AD2946" s="100"/>
    </row>
    <row r="2947" spans="28:30" x14ac:dyDescent="0.25">
      <c r="AB2947" s="86"/>
      <c r="AD2947" s="100"/>
    </row>
    <row r="2948" spans="28:30" x14ac:dyDescent="0.25">
      <c r="AB2948" s="86"/>
      <c r="AD2948" s="100"/>
    </row>
    <row r="2949" spans="28:30" x14ac:dyDescent="0.25">
      <c r="AB2949" s="86"/>
      <c r="AD2949" s="100"/>
    </row>
    <row r="2950" spans="28:30" x14ac:dyDescent="0.25">
      <c r="AB2950" s="86"/>
      <c r="AD2950" s="100"/>
    </row>
    <row r="2951" spans="28:30" x14ac:dyDescent="0.25">
      <c r="AB2951" s="86"/>
      <c r="AD2951" s="100"/>
    </row>
    <row r="2952" spans="28:30" x14ac:dyDescent="0.25">
      <c r="AB2952" s="86"/>
      <c r="AD2952" s="100"/>
    </row>
    <row r="2953" spans="28:30" x14ac:dyDescent="0.25">
      <c r="AB2953" s="86"/>
      <c r="AD2953" s="100"/>
    </row>
    <row r="2954" spans="28:30" x14ac:dyDescent="0.25">
      <c r="AB2954" s="86"/>
      <c r="AD2954" s="100"/>
    </row>
    <row r="2955" spans="28:30" x14ac:dyDescent="0.25">
      <c r="AB2955" s="86"/>
      <c r="AD2955" s="100"/>
    </row>
    <row r="2956" spans="28:30" x14ac:dyDescent="0.25">
      <c r="AB2956" s="86"/>
      <c r="AD2956" s="100"/>
    </row>
    <row r="2957" spans="28:30" x14ac:dyDescent="0.25">
      <c r="AB2957" s="86"/>
      <c r="AD2957" s="100"/>
    </row>
    <row r="2958" spans="28:30" x14ac:dyDescent="0.25">
      <c r="AB2958" s="86"/>
      <c r="AD2958" s="100"/>
    </row>
    <row r="2959" spans="28:30" x14ac:dyDescent="0.25">
      <c r="AB2959" s="86"/>
      <c r="AD2959" s="100"/>
    </row>
    <row r="2960" spans="28:30" x14ac:dyDescent="0.25">
      <c r="AB2960" s="86"/>
      <c r="AD2960" s="100"/>
    </row>
    <row r="2961" spans="28:30" x14ac:dyDescent="0.25">
      <c r="AB2961" s="86"/>
      <c r="AD2961" s="100"/>
    </row>
    <row r="2962" spans="28:30" x14ac:dyDescent="0.25">
      <c r="AB2962" s="86"/>
      <c r="AD2962" s="100"/>
    </row>
    <row r="2963" spans="28:30" x14ac:dyDescent="0.25">
      <c r="AB2963" s="86"/>
      <c r="AD2963" s="100"/>
    </row>
    <row r="2964" spans="28:30" x14ac:dyDescent="0.25">
      <c r="AB2964" s="86"/>
      <c r="AD2964" s="100"/>
    </row>
    <row r="2965" spans="28:30" x14ac:dyDescent="0.25">
      <c r="AB2965" s="86"/>
      <c r="AD2965" s="100"/>
    </row>
    <row r="2966" spans="28:30" x14ac:dyDescent="0.25">
      <c r="AB2966" s="86"/>
      <c r="AD2966" s="100"/>
    </row>
    <row r="2967" spans="28:30" x14ac:dyDescent="0.25">
      <c r="AB2967" s="86"/>
      <c r="AD2967" s="100"/>
    </row>
    <row r="2968" spans="28:30" x14ac:dyDescent="0.25">
      <c r="AB2968" s="86"/>
      <c r="AD2968" s="100"/>
    </row>
    <row r="2969" spans="28:30" x14ac:dyDescent="0.25">
      <c r="AB2969" s="86"/>
      <c r="AD2969" s="100"/>
    </row>
    <row r="2970" spans="28:30" x14ac:dyDescent="0.25">
      <c r="AB2970" s="86"/>
      <c r="AD2970" s="100"/>
    </row>
    <row r="2971" spans="28:30" x14ac:dyDescent="0.25">
      <c r="AB2971" s="86"/>
      <c r="AD2971" s="100"/>
    </row>
    <row r="2972" spans="28:30" x14ac:dyDescent="0.25">
      <c r="AB2972" s="86"/>
      <c r="AD2972" s="100"/>
    </row>
    <row r="2973" spans="28:30" x14ac:dyDescent="0.25">
      <c r="AB2973" s="86"/>
      <c r="AD2973" s="100"/>
    </row>
    <row r="2974" spans="28:30" x14ac:dyDescent="0.25">
      <c r="AB2974" s="86"/>
      <c r="AD2974" s="100"/>
    </row>
    <row r="2975" spans="28:30" x14ac:dyDescent="0.25">
      <c r="AB2975" s="86"/>
      <c r="AD2975" s="100"/>
    </row>
    <row r="2976" spans="28:30" x14ac:dyDescent="0.25">
      <c r="AB2976" s="86"/>
      <c r="AD2976" s="100"/>
    </row>
    <row r="2977" spans="28:30" x14ac:dyDescent="0.25">
      <c r="AB2977" s="86"/>
      <c r="AD2977" s="100"/>
    </row>
    <row r="2978" spans="28:30" x14ac:dyDescent="0.25">
      <c r="AB2978" s="86"/>
      <c r="AD2978" s="100"/>
    </row>
    <row r="2979" spans="28:30" x14ac:dyDescent="0.25">
      <c r="AB2979" s="86"/>
      <c r="AD2979" s="100"/>
    </row>
    <row r="2980" spans="28:30" x14ac:dyDescent="0.25">
      <c r="AB2980" s="86"/>
      <c r="AD2980" s="100"/>
    </row>
    <row r="2981" spans="28:30" x14ac:dyDescent="0.25">
      <c r="AB2981" s="86"/>
      <c r="AD2981" s="100"/>
    </row>
    <row r="2982" spans="28:30" x14ac:dyDescent="0.25">
      <c r="AB2982" s="86"/>
      <c r="AD2982" s="100"/>
    </row>
    <row r="2983" spans="28:30" x14ac:dyDescent="0.25">
      <c r="AB2983" s="86"/>
      <c r="AD2983" s="100"/>
    </row>
    <row r="2984" spans="28:30" x14ac:dyDescent="0.25">
      <c r="AB2984" s="86"/>
      <c r="AD2984" s="100"/>
    </row>
    <row r="2985" spans="28:30" x14ac:dyDescent="0.25">
      <c r="AB2985" s="86"/>
      <c r="AD2985" s="100"/>
    </row>
    <row r="2986" spans="28:30" x14ac:dyDescent="0.25">
      <c r="AB2986" s="86"/>
      <c r="AD2986" s="100"/>
    </row>
    <row r="2987" spans="28:30" x14ac:dyDescent="0.25">
      <c r="AB2987" s="86"/>
      <c r="AD2987" s="100"/>
    </row>
    <row r="2988" spans="28:30" x14ac:dyDescent="0.25">
      <c r="AB2988" s="86"/>
      <c r="AD2988" s="100"/>
    </row>
    <row r="2989" spans="28:30" x14ac:dyDescent="0.25">
      <c r="AB2989" s="86"/>
      <c r="AD2989" s="100"/>
    </row>
    <row r="2990" spans="28:30" x14ac:dyDescent="0.25">
      <c r="AB2990" s="86"/>
      <c r="AD2990" s="100"/>
    </row>
    <row r="2991" spans="28:30" x14ac:dyDescent="0.25">
      <c r="AB2991" s="86"/>
      <c r="AD2991" s="100"/>
    </row>
    <row r="2992" spans="28:30" x14ac:dyDescent="0.25">
      <c r="AB2992" s="86"/>
      <c r="AD2992" s="100"/>
    </row>
    <row r="2993" spans="28:30" x14ac:dyDescent="0.25">
      <c r="AB2993" s="86"/>
      <c r="AD2993" s="100"/>
    </row>
    <row r="2994" spans="28:30" x14ac:dyDescent="0.25">
      <c r="AB2994" s="86"/>
      <c r="AD2994" s="100"/>
    </row>
    <row r="2995" spans="28:30" x14ac:dyDescent="0.25">
      <c r="AB2995" s="86"/>
      <c r="AD2995" s="100"/>
    </row>
    <row r="2996" spans="28:30" x14ac:dyDescent="0.25">
      <c r="AB2996" s="86"/>
      <c r="AD2996" s="100"/>
    </row>
    <row r="2997" spans="28:30" x14ac:dyDescent="0.25">
      <c r="AB2997" s="86"/>
      <c r="AD2997" s="100"/>
    </row>
    <row r="2998" spans="28:30" x14ac:dyDescent="0.25">
      <c r="AB2998" s="86"/>
      <c r="AD2998" s="100"/>
    </row>
    <row r="2999" spans="28:30" x14ac:dyDescent="0.25">
      <c r="AB2999" s="86"/>
      <c r="AD2999" s="100"/>
    </row>
    <row r="3000" spans="28:30" x14ac:dyDescent="0.25">
      <c r="AB3000" s="86"/>
      <c r="AD3000" s="100"/>
    </row>
    <row r="3001" spans="28:30" x14ac:dyDescent="0.25">
      <c r="AB3001" s="86"/>
      <c r="AD3001" s="100"/>
    </row>
    <row r="3002" spans="28:30" x14ac:dyDescent="0.25">
      <c r="AB3002" s="86"/>
      <c r="AD3002" s="100"/>
    </row>
    <row r="3003" spans="28:30" x14ac:dyDescent="0.25">
      <c r="AB3003" s="86"/>
      <c r="AD3003" s="100"/>
    </row>
    <row r="3004" spans="28:30" x14ac:dyDescent="0.25">
      <c r="AB3004" s="86"/>
      <c r="AD3004" s="100"/>
    </row>
    <row r="3005" spans="28:30" x14ac:dyDescent="0.25">
      <c r="AB3005" s="86"/>
      <c r="AD3005" s="100"/>
    </row>
    <row r="3006" spans="28:30" x14ac:dyDescent="0.25">
      <c r="AB3006" s="86"/>
      <c r="AD3006" s="100"/>
    </row>
    <row r="3007" spans="28:30" x14ac:dyDescent="0.25">
      <c r="AB3007" s="86"/>
      <c r="AD3007" s="100"/>
    </row>
    <row r="3008" spans="28:30" x14ac:dyDescent="0.25">
      <c r="AB3008" s="86"/>
      <c r="AD3008" s="100"/>
    </row>
    <row r="3009" spans="28:30" x14ac:dyDescent="0.25">
      <c r="AB3009" s="86"/>
      <c r="AD3009" s="100"/>
    </row>
    <row r="3010" spans="28:30" x14ac:dyDescent="0.25">
      <c r="AB3010" s="86"/>
      <c r="AD3010" s="100"/>
    </row>
    <row r="3011" spans="28:30" x14ac:dyDescent="0.25">
      <c r="AB3011" s="86"/>
      <c r="AD3011" s="100"/>
    </row>
    <row r="3012" spans="28:30" x14ac:dyDescent="0.25">
      <c r="AB3012" s="86"/>
      <c r="AD3012" s="100"/>
    </row>
    <row r="3013" spans="28:30" x14ac:dyDescent="0.25">
      <c r="AB3013" s="86"/>
      <c r="AD3013" s="100"/>
    </row>
    <row r="3014" spans="28:30" x14ac:dyDescent="0.25">
      <c r="AB3014" s="86"/>
      <c r="AD3014" s="100"/>
    </row>
    <row r="3015" spans="28:30" x14ac:dyDescent="0.25">
      <c r="AB3015" s="86"/>
      <c r="AD3015" s="100"/>
    </row>
    <row r="3016" spans="28:30" x14ac:dyDescent="0.25">
      <c r="AB3016" s="86"/>
      <c r="AD3016" s="100"/>
    </row>
    <row r="3017" spans="28:30" x14ac:dyDescent="0.25">
      <c r="AB3017" s="86"/>
      <c r="AD3017" s="100"/>
    </row>
    <row r="3018" spans="28:30" x14ac:dyDescent="0.25">
      <c r="AB3018" s="86"/>
      <c r="AD3018" s="100"/>
    </row>
    <row r="3019" spans="28:30" x14ac:dyDescent="0.25">
      <c r="AB3019" s="86"/>
      <c r="AD3019" s="100"/>
    </row>
    <row r="3020" spans="28:30" x14ac:dyDescent="0.25">
      <c r="AB3020" s="86"/>
      <c r="AD3020" s="100"/>
    </row>
    <row r="3021" spans="28:30" x14ac:dyDescent="0.25">
      <c r="AB3021" s="86"/>
      <c r="AD3021" s="100"/>
    </row>
    <row r="3022" spans="28:30" x14ac:dyDescent="0.25">
      <c r="AB3022" s="86"/>
      <c r="AD3022" s="100"/>
    </row>
    <row r="3023" spans="28:30" x14ac:dyDescent="0.25">
      <c r="AB3023" s="86"/>
      <c r="AD3023" s="100"/>
    </row>
    <row r="3024" spans="28:30" x14ac:dyDescent="0.25">
      <c r="AB3024" s="86"/>
      <c r="AD3024" s="100"/>
    </row>
    <row r="3025" spans="28:30" x14ac:dyDescent="0.25">
      <c r="AB3025" s="86"/>
      <c r="AD3025" s="100"/>
    </row>
    <row r="3026" spans="28:30" x14ac:dyDescent="0.25">
      <c r="AB3026" s="86"/>
      <c r="AD3026" s="100"/>
    </row>
    <row r="3027" spans="28:30" x14ac:dyDescent="0.25">
      <c r="AB3027" s="86"/>
      <c r="AD3027" s="100"/>
    </row>
    <row r="3028" spans="28:30" x14ac:dyDescent="0.25">
      <c r="AB3028" s="86"/>
      <c r="AD3028" s="100"/>
    </row>
    <row r="3029" spans="28:30" x14ac:dyDescent="0.25">
      <c r="AB3029" s="86"/>
      <c r="AD3029" s="100"/>
    </row>
    <row r="3030" spans="28:30" x14ac:dyDescent="0.25">
      <c r="AB3030" s="86"/>
      <c r="AD3030" s="100"/>
    </row>
    <row r="3031" spans="28:30" x14ac:dyDescent="0.25">
      <c r="AB3031" s="86"/>
      <c r="AD3031" s="100"/>
    </row>
    <row r="3032" spans="28:30" x14ac:dyDescent="0.25">
      <c r="AB3032" s="86"/>
      <c r="AD3032" s="100"/>
    </row>
    <row r="3033" spans="28:30" x14ac:dyDescent="0.25">
      <c r="AB3033" s="86"/>
      <c r="AD3033" s="100"/>
    </row>
    <row r="3034" spans="28:30" x14ac:dyDescent="0.25">
      <c r="AB3034" s="86"/>
      <c r="AD3034" s="100"/>
    </row>
    <row r="3035" spans="28:30" x14ac:dyDescent="0.25">
      <c r="AB3035" s="86"/>
      <c r="AD3035" s="100"/>
    </row>
    <row r="3036" spans="28:30" x14ac:dyDescent="0.25">
      <c r="AB3036" s="86"/>
      <c r="AD3036" s="100"/>
    </row>
    <row r="3037" spans="28:30" x14ac:dyDescent="0.25">
      <c r="AB3037" s="86"/>
      <c r="AD3037" s="100"/>
    </row>
    <row r="3038" spans="28:30" x14ac:dyDescent="0.25">
      <c r="AB3038" s="86"/>
      <c r="AD3038" s="100"/>
    </row>
    <row r="3039" spans="28:30" x14ac:dyDescent="0.25">
      <c r="AB3039" s="86"/>
      <c r="AD3039" s="100"/>
    </row>
    <row r="3040" spans="28:30" x14ac:dyDescent="0.25">
      <c r="AB3040" s="86"/>
      <c r="AD3040" s="100"/>
    </row>
    <row r="3041" spans="28:30" x14ac:dyDescent="0.25">
      <c r="AB3041" s="86"/>
      <c r="AD3041" s="100"/>
    </row>
    <row r="3042" spans="28:30" x14ac:dyDescent="0.25">
      <c r="AB3042" s="86"/>
      <c r="AD3042" s="100"/>
    </row>
    <row r="3043" spans="28:30" x14ac:dyDescent="0.25">
      <c r="AB3043" s="86"/>
      <c r="AD3043" s="100"/>
    </row>
    <row r="3044" spans="28:30" x14ac:dyDescent="0.25">
      <c r="AB3044" s="86"/>
      <c r="AD3044" s="100"/>
    </row>
    <row r="3045" spans="28:30" x14ac:dyDescent="0.25">
      <c r="AB3045" s="86"/>
      <c r="AD3045" s="100"/>
    </row>
    <row r="3046" spans="28:30" x14ac:dyDescent="0.25">
      <c r="AB3046" s="86"/>
      <c r="AD3046" s="100"/>
    </row>
    <row r="3047" spans="28:30" x14ac:dyDescent="0.25">
      <c r="AB3047" s="86"/>
      <c r="AD3047" s="100"/>
    </row>
    <row r="3048" spans="28:30" x14ac:dyDescent="0.25">
      <c r="AB3048" s="86"/>
      <c r="AD3048" s="100"/>
    </row>
    <row r="3049" spans="28:30" x14ac:dyDescent="0.25">
      <c r="AB3049" s="86"/>
      <c r="AD3049" s="100"/>
    </row>
    <row r="3050" spans="28:30" x14ac:dyDescent="0.25">
      <c r="AB3050" s="86"/>
      <c r="AD3050" s="100"/>
    </row>
    <row r="3051" spans="28:30" x14ac:dyDescent="0.25">
      <c r="AB3051" s="86"/>
      <c r="AD3051" s="100"/>
    </row>
    <row r="3052" spans="28:30" x14ac:dyDescent="0.25">
      <c r="AB3052" s="86"/>
      <c r="AD3052" s="100"/>
    </row>
    <row r="3053" spans="28:30" x14ac:dyDescent="0.25">
      <c r="AB3053" s="86"/>
      <c r="AD3053" s="100"/>
    </row>
    <row r="3054" spans="28:30" x14ac:dyDescent="0.25">
      <c r="AB3054" s="86"/>
      <c r="AD3054" s="100"/>
    </row>
    <row r="3055" spans="28:30" x14ac:dyDescent="0.25">
      <c r="AB3055" s="86"/>
      <c r="AD3055" s="100"/>
    </row>
    <row r="3056" spans="28:30" x14ac:dyDescent="0.25">
      <c r="AB3056" s="86"/>
      <c r="AD3056" s="100"/>
    </row>
    <row r="3057" spans="28:30" x14ac:dyDescent="0.25">
      <c r="AB3057" s="86"/>
      <c r="AD3057" s="100"/>
    </row>
    <row r="3058" spans="28:30" x14ac:dyDescent="0.25">
      <c r="AB3058" s="86"/>
      <c r="AD3058" s="100"/>
    </row>
    <row r="3059" spans="28:30" x14ac:dyDescent="0.25">
      <c r="AB3059" s="86"/>
      <c r="AD3059" s="100"/>
    </row>
    <row r="3060" spans="28:30" x14ac:dyDescent="0.25">
      <c r="AB3060" s="86"/>
      <c r="AD3060" s="100"/>
    </row>
    <row r="3061" spans="28:30" x14ac:dyDescent="0.25">
      <c r="AB3061" s="86"/>
      <c r="AD3061" s="100"/>
    </row>
    <row r="3062" spans="28:30" x14ac:dyDescent="0.25">
      <c r="AB3062" s="86"/>
      <c r="AD3062" s="100"/>
    </row>
    <row r="3063" spans="28:30" x14ac:dyDescent="0.25">
      <c r="AB3063" s="86"/>
      <c r="AD3063" s="100"/>
    </row>
    <row r="3064" spans="28:30" x14ac:dyDescent="0.25">
      <c r="AB3064" s="86"/>
      <c r="AD3064" s="100"/>
    </row>
    <row r="3065" spans="28:30" x14ac:dyDescent="0.25">
      <c r="AB3065" s="86"/>
      <c r="AD3065" s="100"/>
    </row>
    <row r="3066" spans="28:30" x14ac:dyDescent="0.25">
      <c r="AB3066" s="86"/>
      <c r="AD3066" s="100"/>
    </row>
    <row r="3067" spans="28:30" x14ac:dyDescent="0.25">
      <c r="AB3067" s="86"/>
      <c r="AD3067" s="100"/>
    </row>
    <row r="3068" spans="28:30" x14ac:dyDescent="0.25">
      <c r="AB3068" s="86"/>
      <c r="AD3068" s="100"/>
    </row>
    <row r="3069" spans="28:30" x14ac:dyDescent="0.25">
      <c r="AB3069" s="86"/>
      <c r="AD3069" s="100"/>
    </row>
    <row r="3070" spans="28:30" x14ac:dyDescent="0.25">
      <c r="AB3070" s="86"/>
      <c r="AD3070" s="100"/>
    </row>
    <row r="3071" spans="28:30" x14ac:dyDescent="0.25">
      <c r="AB3071" s="86"/>
      <c r="AD3071" s="100"/>
    </row>
    <row r="3072" spans="28:30" x14ac:dyDescent="0.25">
      <c r="AB3072" s="86"/>
      <c r="AD3072" s="100"/>
    </row>
    <row r="3073" spans="28:30" x14ac:dyDescent="0.25">
      <c r="AB3073" s="86"/>
      <c r="AD3073" s="100"/>
    </row>
    <row r="3074" spans="28:30" x14ac:dyDescent="0.25">
      <c r="AB3074" s="86"/>
      <c r="AD3074" s="100"/>
    </row>
    <row r="3075" spans="28:30" x14ac:dyDescent="0.25">
      <c r="AB3075" s="86"/>
      <c r="AD3075" s="100"/>
    </row>
    <row r="3076" spans="28:30" x14ac:dyDescent="0.25">
      <c r="AB3076" s="86"/>
      <c r="AD3076" s="100"/>
    </row>
    <row r="3077" spans="28:30" x14ac:dyDescent="0.25">
      <c r="AB3077" s="86"/>
      <c r="AD3077" s="100"/>
    </row>
    <row r="3078" spans="28:30" x14ac:dyDescent="0.25">
      <c r="AB3078" s="86"/>
      <c r="AD3078" s="100"/>
    </row>
    <row r="3079" spans="28:30" x14ac:dyDescent="0.25">
      <c r="AB3079" s="86"/>
      <c r="AD3079" s="100"/>
    </row>
    <row r="3080" spans="28:30" x14ac:dyDescent="0.25">
      <c r="AB3080" s="86"/>
      <c r="AD3080" s="100"/>
    </row>
    <row r="3081" spans="28:30" x14ac:dyDescent="0.25">
      <c r="AB3081" s="86"/>
      <c r="AD3081" s="100"/>
    </row>
    <row r="3082" spans="28:30" x14ac:dyDescent="0.25">
      <c r="AB3082" s="86"/>
      <c r="AD3082" s="100"/>
    </row>
    <row r="3083" spans="28:30" x14ac:dyDescent="0.25">
      <c r="AB3083" s="86"/>
      <c r="AD3083" s="100"/>
    </row>
    <row r="3084" spans="28:30" x14ac:dyDescent="0.25">
      <c r="AB3084" s="86"/>
      <c r="AD3084" s="100"/>
    </row>
    <row r="3085" spans="28:30" x14ac:dyDescent="0.25">
      <c r="AB3085" s="86"/>
      <c r="AD3085" s="100"/>
    </row>
    <row r="3086" spans="28:30" x14ac:dyDescent="0.25">
      <c r="AB3086" s="86"/>
      <c r="AD3086" s="100"/>
    </row>
    <row r="3087" spans="28:30" x14ac:dyDescent="0.25">
      <c r="AB3087" s="86"/>
      <c r="AD3087" s="100"/>
    </row>
    <row r="3088" spans="28:30" x14ac:dyDescent="0.25">
      <c r="AB3088" s="86"/>
      <c r="AD3088" s="100"/>
    </row>
    <row r="3089" spans="28:30" x14ac:dyDescent="0.25">
      <c r="AB3089" s="86"/>
      <c r="AD3089" s="100"/>
    </row>
    <row r="3090" spans="28:30" x14ac:dyDescent="0.25">
      <c r="AB3090" s="86"/>
      <c r="AD3090" s="100"/>
    </row>
    <row r="3091" spans="28:30" x14ac:dyDescent="0.25">
      <c r="AB3091" s="86"/>
      <c r="AD3091" s="100"/>
    </row>
    <row r="3092" spans="28:30" x14ac:dyDescent="0.25">
      <c r="AB3092" s="86"/>
      <c r="AD3092" s="100"/>
    </row>
    <row r="3093" spans="28:30" x14ac:dyDescent="0.25">
      <c r="AB3093" s="86"/>
      <c r="AD3093" s="100"/>
    </row>
    <row r="3094" spans="28:30" x14ac:dyDescent="0.25">
      <c r="AB3094" s="86"/>
      <c r="AD3094" s="100"/>
    </row>
    <row r="3095" spans="28:30" x14ac:dyDescent="0.25">
      <c r="AB3095" s="86"/>
      <c r="AD3095" s="100"/>
    </row>
    <row r="3096" spans="28:30" x14ac:dyDescent="0.25">
      <c r="AB3096" s="86"/>
      <c r="AD3096" s="100"/>
    </row>
    <row r="3097" spans="28:30" x14ac:dyDescent="0.25">
      <c r="AB3097" s="86"/>
      <c r="AD3097" s="100"/>
    </row>
    <row r="3098" spans="28:30" x14ac:dyDescent="0.25">
      <c r="AB3098" s="86"/>
      <c r="AD3098" s="100"/>
    </row>
    <row r="3099" spans="28:30" x14ac:dyDescent="0.25">
      <c r="AB3099" s="86"/>
      <c r="AD3099" s="100"/>
    </row>
    <row r="3100" spans="28:30" x14ac:dyDescent="0.25">
      <c r="AB3100" s="86"/>
      <c r="AD3100" s="100"/>
    </row>
    <row r="3101" spans="28:30" x14ac:dyDescent="0.25">
      <c r="AB3101" s="86"/>
      <c r="AD3101" s="100"/>
    </row>
    <row r="3102" spans="28:30" x14ac:dyDescent="0.25">
      <c r="AB3102" s="86"/>
      <c r="AD3102" s="100"/>
    </row>
    <row r="3103" spans="28:30" x14ac:dyDescent="0.25">
      <c r="AB3103" s="86"/>
      <c r="AD3103" s="100"/>
    </row>
    <row r="3104" spans="28:30" x14ac:dyDescent="0.25">
      <c r="AB3104" s="86"/>
      <c r="AD3104" s="100"/>
    </row>
    <row r="3105" spans="28:30" x14ac:dyDescent="0.25">
      <c r="AB3105" s="86"/>
      <c r="AD3105" s="100"/>
    </row>
    <row r="3106" spans="28:30" x14ac:dyDescent="0.25">
      <c r="AB3106" s="86"/>
      <c r="AD3106" s="100"/>
    </row>
    <row r="3107" spans="28:30" x14ac:dyDescent="0.25">
      <c r="AB3107" s="86"/>
      <c r="AD3107" s="100"/>
    </row>
    <row r="3108" spans="28:30" x14ac:dyDescent="0.25">
      <c r="AB3108" s="86"/>
      <c r="AD3108" s="100"/>
    </row>
    <row r="3109" spans="28:30" x14ac:dyDescent="0.25">
      <c r="AB3109" s="86"/>
      <c r="AD3109" s="100"/>
    </row>
    <row r="3110" spans="28:30" x14ac:dyDescent="0.25">
      <c r="AB3110" s="86"/>
      <c r="AD3110" s="100"/>
    </row>
    <row r="3111" spans="28:30" x14ac:dyDescent="0.25">
      <c r="AB3111" s="86"/>
      <c r="AD3111" s="100"/>
    </row>
    <row r="3112" spans="28:30" x14ac:dyDescent="0.25">
      <c r="AB3112" s="86"/>
      <c r="AD3112" s="100"/>
    </row>
    <row r="3113" spans="28:30" x14ac:dyDescent="0.25">
      <c r="AB3113" s="86"/>
      <c r="AD3113" s="100"/>
    </row>
    <row r="3114" spans="28:30" x14ac:dyDescent="0.25">
      <c r="AB3114" s="86"/>
      <c r="AD3114" s="100"/>
    </row>
    <row r="3115" spans="28:30" x14ac:dyDescent="0.25">
      <c r="AB3115" s="86"/>
      <c r="AD3115" s="100"/>
    </row>
    <row r="3116" spans="28:30" x14ac:dyDescent="0.25">
      <c r="AB3116" s="86"/>
      <c r="AD3116" s="100"/>
    </row>
    <row r="3117" spans="28:30" x14ac:dyDescent="0.25">
      <c r="AB3117" s="86"/>
      <c r="AD3117" s="100"/>
    </row>
    <row r="3118" spans="28:30" x14ac:dyDescent="0.25">
      <c r="AB3118" s="86"/>
      <c r="AD3118" s="100"/>
    </row>
    <row r="3119" spans="28:30" x14ac:dyDescent="0.25">
      <c r="AB3119" s="86"/>
      <c r="AD3119" s="100"/>
    </row>
    <row r="3120" spans="28:30" x14ac:dyDescent="0.25">
      <c r="AB3120" s="86"/>
      <c r="AD3120" s="100"/>
    </row>
    <row r="3121" spans="28:30" x14ac:dyDescent="0.25">
      <c r="AB3121" s="86"/>
      <c r="AD3121" s="100"/>
    </row>
    <row r="3122" spans="28:30" x14ac:dyDescent="0.25">
      <c r="AB3122" s="86"/>
      <c r="AD3122" s="100"/>
    </row>
    <row r="3123" spans="28:30" x14ac:dyDescent="0.25">
      <c r="AB3123" s="86"/>
      <c r="AD3123" s="100"/>
    </row>
    <row r="3124" spans="28:30" x14ac:dyDescent="0.25">
      <c r="AB3124" s="86"/>
      <c r="AD3124" s="100"/>
    </row>
    <row r="3125" spans="28:30" x14ac:dyDescent="0.25">
      <c r="AB3125" s="86"/>
      <c r="AD3125" s="100"/>
    </row>
    <row r="3126" spans="28:30" x14ac:dyDescent="0.25">
      <c r="AB3126" s="86"/>
      <c r="AD3126" s="100"/>
    </row>
    <row r="3127" spans="28:30" x14ac:dyDescent="0.25">
      <c r="AB3127" s="86"/>
      <c r="AD3127" s="100"/>
    </row>
    <row r="3128" spans="28:30" x14ac:dyDescent="0.25">
      <c r="AB3128" s="86"/>
      <c r="AD3128" s="100"/>
    </row>
    <row r="3129" spans="28:30" x14ac:dyDescent="0.25">
      <c r="AB3129" s="86"/>
      <c r="AD3129" s="100"/>
    </row>
    <row r="3130" spans="28:30" x14ac:dyDescent="0.25">
      <c r="AB3130" s="86"/>
      <c r="AD3130" s="100"/>
    </row>
    <row r="3131" spans="28:30" x14ac:dyDescent="0.25">
      <c r="AB3131" s="86"/>
      <c r="AD3131" s="100"/>
    </row>
    <row r="3132" spans="28:30" x14ac:dyDescent="0.25">
      <c r="AB3132" s="86"/>
      <c r="AD3132" s="100"/>
    </row>
    <row r="3133" spans="28:30" x14ac:dyDescent="0.25">
      <c r="AB3133" s="86"/>
      <c r="AD3133" s="100"/>
    </row>
    <row r="3134" spans="28:30" x14ac:dyDescent="0.25">
      <c r="AB3134" s="86"/>
      <c r="AD3134" s="100"/>
    </row>
    <row r="3135" spans="28:30" x14ac:dyDescent="0.25">
      <c r="AB3135" s="86"/>
      <c r="AD3135" s="100"/>
    </row>
    <row r="3136" spans="28:30" x14ac:dyDescent="0.25">
      <c r="AB3136" s="86"/>
      <c r="AD3136" s="100"/>
    </row>
    <row r="3137" spans="28:30" x14ac:dyDescent="0.25">
      <c r="AB3137" s="86"/>
      <c r="AD3137" s="100"/>
    </row>
    <row r="3138" spans="28:30" x14ac:dyDescent="0.25">
      <c r="AB3138" s="86"/>
      <c r="AD3138" s="100"/>
    </row>
    <row r="3139" spans="28:30" x14ac:dyDescent="0.25">
      <c r="AB3139" s="86"/>
      <c r="AD3139" s="100"/>
    </row>
    <row r="3140" spans="28:30" x14ac:dyDescent="0.25">
      <c r="AB3140" s="86"/>
      <c r="AD3140" s="100"/>
    </row>
    <row r="3141" spans="28:30" x14ac:dyDescent="0.25">
      <c r="AB3141" s="86"/>
      <c r="AD3141" s="100"/>
    </row>
    <row r="3142" spans="28:30" x14ac:dyDescent="0.25">
      <c r="AB3142" s="86"/>
      <c r="AD3142" s="100"/>
    </row>
    <row r="3143" spans="28:30" x14ac:dyDescent="0.25">
      <c r="AB3143" s="86"/>
      <c r="AD3143" s="100"/>
    </row>
    <row r="3144" spans="28:30" x14ac:dyDescent="0.25">
      <c r="AB3144" s="86"/>
      <c r="AD3144" s="100"/>
    </row>
    <row r="3145" spans="28:30" x14ac:dyDescent="0.25">
      <c r="AB3145" s="86"/>
      <c r="AD3145" s="100"/>
    </row>
    <row r="3146" spans="28:30" x14ac:dyDescent="0.25">
      <c r="AB3146" s="86"/>
      <c r="AD3146" s="100"/>
    </row>
    <row r="3147" spans="28:30" x14ac:dyDescent="0.25">
      <c r="AB3147" s="86"/>
      <c r="AD3147" s="100"/>
    </row>
    <row r="3148" spans="28:30" x14ac:dyDescent="0.25">
      <c r="AB3148" s="86"/>
      <c r="AD3148" s="100"/>
    </row>
    <row r="3149" spans="28:30" x14ac:dyDescent="0.25">
      <c r="AB3149" s="86"/>
      <c r="AD3149" s="100"/>
    </row>
    <row r="3150" spans="28:30" x14ac:dyDescent="0.25">
      <c r="AB3150" s="86"/>
      <c r="AD3150" s="100"/>
    </row>
    <row r="3151" spans="28:30" x14ac:dyDescent="0.25">
      <c r="AB3151" s="86"/>
      <c r="AD3151" s="100"/>
    </row>
    <row r="3152" spans="28:30" x14ac:dyDescent="0.25">
      <c r="AB3152" s="86"/>
      <c r="AD3152" s="100"/>
    </row>
    <row r="3153" spans="28:30" x14ac:dyDescent="0.25">
      <c r="AB3153" s="86"/>
      <c r="AD3153" s="100"/>
    </row>
    <row r="3154" spans="28:30" x14ac:dyDescent="0.25">
      <c r="AB3154" s="86"/>
      <c r="AD3154" s="100"/>
    </row>
    <row r="3155" spans="28:30" x14ac:dyDescent="0.25">
      <c r="AB3155" s="86"/>
      <c r="AD3155" s="100"/>
    </row>
    <row r="3156" spans="28:30" x14ac:dyDescent="0.25">
      <c r="AB3156" s="86"/>
      <c r="AD3156" s="100"/>
    </row>
    <row r="3157" spans="28:30" x14ac:dyDescent="0.25">
      <c r="AB3157" s="86"/>
      <c r="AD3157" s="100"/>
    </row>
    <row r="3158" spans="28:30" x14ac:dyDescent="0.25">
      <c r="AB3158" s="86"/>
      <c r="AD3158" s="100"/>
    </row>
    <row r="3159" spans="28:30" x14ac:dyDescent="0.25">
      <c r="AB3159" s="86"/>
      <c r="AD3159" s="100"/>
    </row>
    <row r="3160" spans="28:30" x14ac:dyDescent="0.25">
      <c r="AB3160" s="86"/>
      <c r="AD3160" s="100"/>
    </row>
    <row r="3161" spans="28:30" x14ac:dyDescent="0.25">
      <c r="AB3161" s="86"/>
      <c r="AD3161" s="100"/>
    </row>
    <row r="3162" spans="28:30" x14ac:dyDescent="0.25">
      <c r="AB3162" s="86"/>
      <c r="AD3162" s="100"/>
    </row>
    <row r="3163" spans="28:30" x14ac:dyDescent="0.25">
      <c r="AB3163" s="86"/>
      <c r="AD3163" s="100"/>
    </row>
    <row r="3164" spans="28:30" x14ac:dyDescent="0.25">
      <c r="AB3164" s="86"/>
      <c r="AD3164" s="100"/>
    </row>
    <row r="3165" spans="28:30" x14ac:dyDescent="0.25">
      <c r="AB3165" s="86"/>
      <c r="AD3165" s="100"/>
    </row>
    <row r="3166" spans="28:30" x14ac:dyDescent="0.25">
      <c r="AB3166" s="86"/>
      <c r="AD3166" s="100"/>
    </row>
    <row r="3167" spans="28:30" x14ac:dyDescent="0.25">
      <c r="AB3167" s="86"/>
      <c r="AD3167" s="100"/>
    </row>
    <row r="3168" spans="28:30" x14ac:dyDescent="0.25">
      <c r="AB3168" s="86"/>
      <c r="AD3168" s="100"/>
    </row>
    <row r="3169" spans="28:30" x14ac:dyDescent="0.25">
      <c r="AB3169" s="86"/>
      <c r="AD3169" s="100"/>
    </row>
    <row r="3170" spans="28:30" x14ac:dyDescent="0.25">
      <c r="AB3170" s="86"/>
      <c r="AD3170" s="100"/>
    </row>
    <row r="3171" spans="28:30" x14ac:dyDescent="0.25">
      <c r="AB3171" s="86"/>
      <c r="AD3171" s="100"/>
    </row>
    <row r="3172" spans="28:30" x14ac:dyDescent="0.25">
      <c r="AB3172" s="86"/>
      <c r="AD3172" s="100"/>
    </row>
    <row r="3173" spans="28:30" x14ac:dyDescent="0.25">
      <c r="AB3173" s="86"/>
      <c r="AD3173" s="100"/>
    </row>
    <row r="3174" spans="28:30" x14ac:dyDescent="0.25">
      <c r="AB3174" s="86"/>
      <c r="AD3174" s="100"/>
    </row>
    <row r="3175" spans="28:30" x14ac:dyDescent="0.25">
      <c r="AB3175" s="86"/>
      <c r="AD3175" s="100"/>
    </row>
    <row r="3176" spans="28:30" x14ac:dyDescent="0.25">
      <c r="AB3176" s="86"/>
      <c r="AD3176" s="100"/>
    </row>
    <row r="3177" spans="28:30" x14ac:dyDescent="0.25">
      <c r="AB3177" s="86"/>
      <c r="AD3177" s="100"/>
    </row>
    <row r="3178" spans="28:30" x14ac:dyDescent="0.25">
      <c r="AB3178" s="86"/>
      <c r="AD3178" s="100"/>
    </row>
    <row r="3179" spans="28:30" x14ac:dyDescent="0.25">
      <c r="AB3179" s="86"/>
      <c r="AD3179" s="100"/>
    </row>
    <row r="3180" spans="28:30" x14ac:dyDescent="0.25">
      <c r="AB3180" s="86"/>
      <c r="AD3180" s="100"/>
    </row>
    <row r="3181" spans="28:30" x14ac:dyDescent="0.25">
      <c r="AB3181" s="86"/>
      <c r="AD3181" s="100"/>
    </row>
    <row r="3182" spans="28:30" x14ac:dyDescent="0.25">
      <c r="AB3182" s="86"/>
      <c r="AD3182" s="100"/>
    </row>
    <row r="3183" spans="28:30" x14ac:dyDescent="0.25">
      <c r="AB3183" s="86"/>
      <c r="AD3183" s="100"/>
    </row>
    <row r="3184" spans="28:30" x14ac:dyDescent="0.25">
      <c r="AB3184" s="86"/>
      <c r="AD3184" s="100"/>
    </row>
    <row r="3185" spans="28:30" x14ac:dyDescent="0.25">
      <c r="AB3185" s="86"/>
      <c r="AD3185" s="100"/>
    </row>
    <row r="3186" spans="28:30" x14ac:dyDescent="0.25">
      <c r="AB3186" s="86"/>
      <c r="AD3186" s="100"/>
    </row>
    <row r="3187" spans="28:30" x14ac:dyDescent="0.25">
      <c r="AB3187" s="86"/>
      <c r="AD3187" s="100"/>
    </row>
    <row r="3188" spans="28:30" x14ac:dyDescent="0.25">
      <c r="AB3188" s="86"/>
      <c r="AD3188" s="100"/>
    </row>
    <row r="3189" spans="28:30" x14ac:dyDescent="0.25">
      <c r="AB3189" s="86"/>
      <c r="AD3189" s="100"/>
    </row>
    <row r="3190" spans="28:30" x14ac:dyDescent="0.25">
      <c r="AB3190" s="86"/>
      <c r="AD3190" s="100"/>
    </row>
    <row r="3191" spans="28:30" x14ac:dyDescent="0.25">
      <c r="AB3191" s="86"/>
      <c r="AD3191" s="100"/>
    </row>
    <row r="3192" spans="28:30" x14ac:dyDescent="0.25">
      <c r="AB3192" s="86"/>
      <c r="AD3192" s="100"/>
    </row>
    <row r="3193" spans="28:30" x14ac:dyDescent="0.25">
      <c r="AB3193" s="86"/>
      <c r="AD3193" s="100"/>
    </row>
    <row r="3194" spans="28:30" x14ac:dyDescent="0.25">
      <c r="AB3194" s="86"/>
      <c r="AD3194" s="100"/>
    </row>
    <row r="3195" spans="28:30" x14ac:dyDescent="0.25">
      <c r="AB3195" s="86"/>
      <c r="AD3195" s="100"/>
    </row>
    <row r="3196" spans="28:30" x14ac:dyDescent="0.25">
      <c r="AB3196" s="86"/>
      <c r="AD3196" s="100"/>
    </row>
    <row r="3197" spans="28:30" x14ac:dyDescent="0.25">
      <c r="AB3197" s="86"/>
      <c r="AD3197" s="100"/>
    </row>
    <row r="3198" spans="28:30" x14ac:dyDescent="0.25">
      <c r="AB3198" s="86"/>
      <c r="AD3198" s="100"/>
    </row>
    <row r="3199" spans="28:30" x14ac:dyDescent="0.25">
      <c r="AB3199" s="86"/>
      <c r="AD3199" s="100"/>
    </row>
    <row r="3200" spans="28:30" x14ac:dyDescent="0.25">
      <c r="AB3200" s="86"/>
      <c r="AD3200" s="100"/>
    </row>
    <row r="3201" spans="28:30" x14ac:dyDescent="0.25">
      <c r="AB3201" s="86"/>
      <c r="AD3201" s="100"/>
    </row>
    <row r="3202" spans="28:30" x14ac:dyDescent="0.25">
      <c r="AB3202" s="86"/>
      <c r="AD3202" s="100"/>
    </row>
    <row r="3203" spans="28:30" x14ac:dyDescent="0.25">
      <c r="AB3203" s="86"/>
      <c r="AD3203" s="100"/>
    </row>
    <row r="3204" spans="28:30" x14ac:dyDescent="0.25">
      <c r="AB3204" s="86"/>
      <c r="AD3204" s="100"/>
    </row>
    <row r="3205" spans="28:30" x14ac:dyDescent="0.25">
      <c r="AB3205" s="86"/>
      <c r="AD3205" s="100"/>
    </row>
    <row r="3206" spans="28:30" x14ac:dyDescent="0.25">
      <c r="AB3206" s="86"/>
      <c r="AD3206" s="100"/>
    </row>
    <row r="3207" spans="28:30" x14ac:dyDescent="0.25">
      <c r="AB3207" s="86"/>
      <c r="AD3207" s="100"/>
    </row>
    <row r="3208" spans="28:30" x14ac:dyDescent="0.25">
      <c r="AB3208" s="86"/>
      <c r="AD3208" s="100"/>
    </row>
    <row r="3209" spans="28:30" x14ac:dyDescent="0.25">
      <c r="AB3209" s="86"/>
      <c r="AD3209" s="100"/>
    </row>
    <row r="3210" spans="28:30" x14ac:dyDescent="0.25">
      <c r="AB3210" s="86"/>
      <c r="AD3210" s="100"/>
    </row>
    <row r="3211" spans="28:30" x14ac:dyDescent="0.25">
      <c r="AB3211" s="86"/>
      <c r="AD3211" s="100"/>
    </row>
    <row r="3212" spans="28:30" x14ac:dyDescent="0.25">
      <c r="AB3212" s="86"/>
      <c r="AD3212" s="100"/>
    </row>
    <row r="3213" spans="28:30" x14ac:dyDescent="0.25">
      <c r="AB3213" s="86"/>
      <c r="AD3213" s="100"/>
    </row>
    <row r="3214" spans="28:30" x14ac:dyDescent="0.25">
      <c r="AB3214" s="86"/>
      <c r="AD3214" s="100"/>
    </row>
    <row r="3215" spans="28:30" x14ac:dyDescent="0.25">
      <c r="AB3215" s="86"/>
      <c r="AD3215" s="100"/>
    </row>
    <row r="3216" spans="28:30" x14ac:dyDescent="0.25">
      <c r="AB3216" s="86"/>
      <c r="AD3216" s="100"/>
    </row>
    <row r="3217" spans="28:30" x14ac:dyDescent="0.25">
      <c r="AB3217" s="86"/>
      <c r="AD3217" s="100"/>
    </row>
    <row r="3218" spans="28:30" x14ac:dyDescent="0.25">
      <c r="AB3218" s="86"/>
      <c r="AD3218" s="100"/>
    </row>
    <row r="3219" spans="28:30" x14ac:dyDescent="0.25">
      <c r="AB3219" s="86"/>
      <c r="AD3219" s="100"/>
    </row>
    <row r="3220" spans="28:30" x14ac:dyDescent="0.25">
      <c r="AB3220" s="86"/>
      <c r="AD3220" s="100"/>
    </row>
    <row r="3221" spans="28:30" x14ac:dyDescent="0.25">
      <c r="AB3221" s="86"/>
      <c r="AD3221" s="100"/>
    </row>
    <row r="3222" spans="28:30" x14ac:dyDescent="0.25">
      <c r="AB3222" s="86"/>
      <c r="AD3222" s="100"/>
    </row>
    <row r="3223" spans="28:30" x14ac:dyDescent="0.25">
      <c r="AB3223" s="86"/>
      <c r="AD3223" s="100"/>
    </row>
    <row r="3224" spans="28:30" x14ac:dyDescent="0.25">
      <c r="AB3224" s="86"/>
      <c r="AD3224" s="100"/>
    </row>
    <row r="3225" spans="28:30" x14ac:dyDescent="0.25">
      <c r="AB3225" s="86"/>
      <c r="AD3225" s="100"/>
    </row>
    <row r="3226" spans="28:30" x14ac:dyDescent="0.25">
      <c r="AB3226" s="86"/>
      <c r="AD3226" s="100"/>
    </row>
    <row r="3227" spans="28:30" x14ac:dyDescent="0.25">
      <c r="AB3227" s="86"/>
      <c r="AD3227" s="100"/>
    </row>
    <row r="3228" spans="28:30" x14ac:dyDescent="0.25">
      <c r="AB3228" s="86"/>
      <c r="AD3228" s="100"/>
    </row>
    <row r="3229" spans="28:30" x14ac:dyDescent="0.25">
      <c r="AB3229" s="86"/>
      <c r="AD3229" s="100"/>
    </row>
    <row r="3230" spans="28:30" x14ac:dyDescent="0.25">
      <c r="AB3230" s="86"/>
      <c r="AD3230" s="100"/>
    </row>
    <row r="3231" spans="28:30" x14ac:dyDescent="0.25">
      <c r="AB3231" s="86"/>
      <c r="AD3231" s="100"/>
    </row>
    <row r="3232" spans="28:30" x14ac:dyDescent="0.25">
      <c r="AB3232" s="86"/>
      <c r="AD3232" s="100"/>
    </row>
    <row r="3233" spans="28:30" x14ac:dyDescent="0.25">
      <c r="AB3233" s="86"/>
      <c r="AD3233" s="100"/>
    </row>
    <row r="3234" spans="28:30" x14ac:dyDescent="0.25">
      <c r="AB3234" s="86"/>
      <c r="AD3234" s="100"/>
    </row>
    <row r="3235" spans="28:30" x14ac:dyDescent="0.25">
      <c r="AB3235" s="86"/>
      <c r="AD3235" s="100"/>
    </row>
    <row r="3236" spans="28:30" x14ac:dyDescent="0.25">
      <c r="AB3236" s="86"/>
      <c r="AD3236" s="100"/>
    </row>
    <row r="3237" spans="28:30" x14ac:dyDescent="0.25">
      <c r="AB3237" s="86"/>
      <c r="AD3237" s="100"/>
    </row>
    <row r="3238" spans="28:30" x14ac:dyDescent="0.25">
      <c r="AB3238" s="86"/>
      <c r="AD3238" s="100"/>
    </row>
    <row r="3239" spans="28:30" x14ac:dyDescent="0.25">
      <c r="AB3239" s="86"/>
      <c r="AD3239" s="100"/>
    </row>
    <row r="3240" spans="28:30" x14ac:dyDescent="0.25">
      <c r="AB3240" s="86"/>
      <c r="AD3240" s="100"/>
    </row>
    <row r="3241" spans="28:30" x14ac:dyDescent="0.25">
      <c r="AB3241" s="86"/>
      <c r="AD3241" s="100"/>
    </row>
    <row r="3242" spans="28:30" x14ac:dyDescent="0.25">
      <c r="AB3242" s="86"/>
      <c r="AD3242" s="100"/>
    </row>
    <row r="3243" spans="28:30" x14ac:dyDescent="0.25">
      <c r="AB3243" s="86"/>
      <c r="AD3243" s="100"/>
    </row>
    <row r="3244" spans="28:30" x14ac:dyDescent="0.25">
      <c r="AB3244" s="86"/>
      <c r="AD3244" s="100"/>
    </row>
    <row r="3245" spans="28:30" x14ac:dyDescent="0.25">
      <c r="AB3245" s="86"/>
      <c r="AD3245" s="100"/>
    </row>
    <row r="3246" spans="28:30" x14ac:dyDescent="0.25">
      <c r="AB3246" s="86"/>
      <c r="AD3246" s="100"/>
    </row>
    <row r="3247" spans="28:30" x14ac:dyDescent="0.25">
      <c r="AB3247" s="86"/>
      <c r="AD3247" s="100"/>
    </row>
    <row r="3248" spans="28:30" x14ac:dyDescent="0.25">
      <c r="AB3248" s="86"/>
      <c r="AD3248" s="100"/>
    </row>
    <row r="3249" spans="28:30" x14ac:dyDescent="0.25">
      <c r="AB3249" s="86"/>
      <c r="AD3249" s="100"/>
    </row>
    <row r="3250" spans="28:30" x14ac:dyDescent="0.25">
      <c r="AB3250" s="86"/>
      <c r="AD3250" s="100"/>
    </row>
    <row r="3251" spans="28:30" x14ac:dyDescent="0.25">
      <c r="AB3251" s="86"/>
      <c r="AD3251" s="100"/>
    </row>
    <row r="3252" spans="28:30" x14ac:dyDescent="0.25">
      <c r="AB3252" s="86"/>
      <c r="AD3252" s="100"/>
    </row>
    <row r="3253" spans="28:30" x14ac:dyDescent="0.25">
      <c r="AB3253" s="86"/>
      <c r="AD3253" s="100"/>
    </row>
    <row r="3254" spans="28:30" x14ac:dyDescent="0.25">
      <c r="AB3254" s="86"/>
      <c r="AD3254" s="100"/>
    </row>
    <row r="3255" spans="28:30" x14ac:dyDescent="0.25">
      <c r="AB3255" s="86"/>
      <c r="AD3255" s="100"/>
    </row>
    <row r="3256" spans="28:30" x14ac:dyDescent="0.25">
      <c r="AB3256" s="86"/>
      <c r="AD3256" s="100"/>
    </row>
    <row r="3257" spans="28:30" x14ac:dyDescent="0.25">
      <c r="AB3257" s="86"/>
      <c r="AD3257" s="100"/>
    </row>
    <row r="3258" spans="28:30" x14ac:dyDescent="0.25">
      <c r="AB3258" s="86"/>
      <c r="AD3258" s="100"/>
    </row>
    <row r="3259" spans="28:30" x14ac:dyDescent="0.25">
      <c r="AB3259" s="86"/>
      <c r="AD3259" s="100"/>
    </row>
    <row r="3260" spans="28:30" x14ac:dyDescent="0.25">
      <c r="AB3260" s="86"/>
      <c r="AD3260" s="100"/>
    </row>
    <row r="3261" spans="28:30" x14ac:dyDescent="0.25">
      <c r="AB3261" s="86"/>
      <c r="AD3261" s="100"/>
    </row>
    <row r="3262" spans="28:30" x14ac:dyDescent="0.25">
      <c r="AB3262" s="86"/>
      <c r="AD3262" s="100"/>
    </row>
    <row r="3263" spans="28:30" x14ac:dyDescent="0.25">
      <c r="AB3263" s="86"/>
      <c r="AD3263" s="100"/>
    </row>
    <row r="3264" spans="28:30" x14ac:dyDescent="0.25">
      <c r="AB3264" s="86"/>
      <c r="AD3264" s="100"/>
    </row>
    <row r="3265" spans="28:30" x14ac:dyDescent="0.25">
      <c r="AB3265" s="86"/>
      <c r="AD3265" s="100"/>
    </row>
    <row r="3266" spans="28:30" x14ac:dyDescent="0.25">
      <c r="AB3266" s="86"/>
      <c r="AD3266" s="100"/>
    </row>
    <row r="3267" spans="28:30" x14ac:dyDescent="0.25">
      <c r="AB3267" s="86"/>
      <c r="AD3267" s="100"/>
    </row>
    <row r="3268" spans="28:30" x14ac:dyDescent="0.25">
      <c r="AB3268" s="86"/>
      <c r="AD3268" s="100"/>
    </row>
    <row r="3269" spans="28:30" x14ac:dyDescent="0.25">
      <c r="AB3269" s="86"/>
      <c r="AD3269" s="100"/>
    </row>
    <row r="3270" spans="28:30" x14ac:dyDescent="0.25">
      <c r="AB3270" s="86"/>
      <c r="AD3270" s="100"/>
    </row>
    <row r="3271" spans="28:30" x14ac:dyDescent="0.25">
      <c r="AB3271" s="86"/>
      <c r="AD3271" s="100"/>
    </row>
    <row r="3272" spans="28:30" x14ac:dyDescent="0.25">
      <c r="AB3272" s="86"/>
      <c r="AD3272" s="100"/>
    </row>
    <row r="3273" spans="28:30" x14ac:dyDescent="0.25">
      <c r="AB3273" s="86"/>
      <c r="AD3273" s="100"/>
    </row>
    <row r="3274" spans="28:30" x14ac:dyDescent="0.25">
      <c r="AB3274" s="86"/>
      <c r="AD3274" s="100"/>
    </row>
    <row r="3275" spans="28:30" x14ac:dyDescent="0.25">
      <c r="AB3275" s="86"/>
      <c r="AD3275" s="100"/>
    </row>
    <row r="3276" spans="28:30" x14ac:dyDescent="0.25">
      <c r="AB3276" s="86"/>
      <c r="AD3276" s="100"/>
    </row>
    <row r="3277" spans="28:30" x14ac:dyDescent="0.25">
      <c r="AB3277" s="86"/>
      <c r="AD3277" s="100"/>
    </row>
    <row r="3278" spans="28:30" x14ac:dyDescent="0.25">
      <c r="AB3278" s="86"/>
      <c r="AD3278" s="100"/>
    </row>
    <row r="3279" spans="28:30" x14ac:dyDescent="0.25">
      <c r="AB3279" s="86"/>
      <c r="AD3279" s="100"/>
    </row>
    <row r="3280" spans="28:30" x14ac:dyDescent="0.25">
      <c r="AB3280" s="86"/>
      <c r="AD3280" s="100"/>
    </row>
    <row r="3281" spans="28:30" x14ac:dyDescent="0.25">
      <c r="AB3281" s="86"/>
      <c r="AD3281" s="100"/>
    </row>
    <row r="3282" spans="28:30" x14ac:dyDescent="0.25">
      <c r="AB3282" s="86"/>
      <c r="AD3282" s="100"/>
    </row>
    <row r="3283" spans="28:30" x14ac:dyDescent="0.25">
      <c r="AB3283" s="86"/>
      <c r="AD3283" s="100"/>
    </row>
    <row r="3284" spans="28:30" x14ac:dyDescent="0.25">
      <c r="AB3284" s="86"/>
      <c r="AD3284" s="100"/>
    </row>
    <row r="3285" spans="28:30" x14ac:dyDescent="0.25">
      <c r="AB3285" s="86"/>
      <c r="AD3285" s="100"/>
    </row>
    <row r="3286" spans="28:30" x14ac:dyDescent="0.25">
      <c r="AB3286" s="86"/>
      <c r="AD3286" s="100"/>
    </row>
    <row r="3287" spans="28:30" x14ac:dyDescent="0.25">
      <c r="AB3287" s="86"/>
      <c r="AD3287" s="100"/>
    </row>
    <row r="3288" spans="28:30" x14ac:dyDescent="0.25">
      <c r="AB3288" s="86"/>
      <c r="AD3288" s="100"/>
    </row>
    <row r="3289" spans="28:30" x14ac:dyDescent="0.25">
      <c r="AB3289" s="86"/>
      <c r="AD3289" s="100"/>
    </row>
    <row r="3290" spans="28:30" x14ac:dyDescent="0.25">
      <c r="AB3290" s="86"/>
      <c r="AD3290" s="100"/>
    </row>
    <row r="3291" spans="28:30" x14ac:dyDescent="0.25">
      <c r="AB3291" s="86"/>
      <c r="AD3291" s="100"/>
    </row>
    <row r="3292" spans="28:30" x14ac:dyDescent="0.25">
      <c r="AB3292" s="86"/>
      <c r="AD3292" s="100"/>
    </row>
    <row r="3293" spans="28:30" x14ac:dyDescent="0.25">
      <c r="AB3293" s="86"/>
      <c r="AD3293" s="100"/>
    </row>
    <row r="3294" spans="28:30" x14ac:dyDescent="0.25">
      <c r="AB3294" s="86"/>
      <c r="AD3294" s="100"/>
    </row>
    <row r="3295" spans="28:30" x14ac:dyDescent="0.25">
      <c r="AB3295" s="86"/>
      <c r="AD3295" s="100"/>
    </row>
    <row r="3296" spans="28:30" x14ac:dyDescent="0.25">
      <c r="AB3296" s="86"/>
      <c r="AD3296" s="100"/>
    </row>
    <row r="3297" spans="28:30" x14ac:dyDescent="0.25">
      <c r="AB3297" s="86"/>
      <c r="AD3297" s="100"/>
    </row>
    <row r="3298" spans="28:30" x14ac:dyDescent="0.25">
      <c r="AB3298" s="86"/>
      <c r="AD3298" s="100"/>
    </row>
    <row r="3299" spans="28:30" x14ac:dyDescent="0.25">
      <c r="AB3299" s="86"/>
      <c r="AD3299" s="100"/>
    </row>
    <row r="3300" spans="28:30" x14ac:dyDescent="0.25">
      <c r="AB3300" s="86"/>
      <c r="AD3300" s="100"/>
    </row>
    <row r="3301" spans="28:30" x14ac:dyDescent="0.25">
      <c r="AB3301" s="86"/>
      <c r="AD3301" s="100"/>
    </row>
    <row r="3302" spans="28:30" x14ac:dyDescent="0.25">
      <c r="AB3302" s="86"/>
      <c r="AD3302" s="100"/>
    </row>
    <row r="3303" spans="28:30" x14ac:dyDescent="0.25">
      <c r="AB3303" s="86"/>
      <c r="AD3303" s="100"/>
    </row>
    <row r="3304" spans="28:30" x14ac:dyDescent="0.25">
      <c r="AB3304" s="86"/>
      <c r="AD3304" s="100"/>
    </row>
    <row r="3305" spans="28:30" x14ac:dyDescent="0.25">
      <c r="AB3305" s="86"/>
      <c r="AD3305" s="100"/>
    </row>
    <row r="3306" spans="28:30" x14ac:dyDescent="0.25">
      <c r="AB3306" s="86"/>
      <c r="AD3306" s="100"/>
    </row>
    <row r="3307" spans="28:30" x14ac:dyDescent="0.25">
      <c r="AB3307" s="86"/>
      <c r="AD3307" s="100"/>
    </row>
    <row r="3308" spans="28:30" x14ac:dyDescent="0.25">
      <c r="AB3308" s="86"/>
      <c r="AD3308" s="100"/>
    </row>
    <row r="3309" spans="28:30" x14ac:dyDescent="0.25">
      <c r="AB3309" s="86"/>
      <c r="AD3309" s="100"/>
    </row>
    <row r="3310" spans="28:30" x14ac:dyDescent="0.25">
      <c r="AB3310" s="86"/>
      <c r="AD3310" s="100"/>
    </row>
    <row r="3311" spans="28:30" x14ac:dyDescent="0.25">
      <c r="AB3311" s="86"/>
      <c r="AD3311" s="100"/>
    </row>
    <row r="3312" spans="28:30" x14ac:dyDescent="0.25">
      <c r="AB3312" s="86"/>
      <c r="AD3312" s="100"/>
    </row>
    <row r="3313" spans="28:30" x14ac:dyDescent="0.25">
      <c r="AB3313" s="86"/>
      <c r="AD3313" s="100"/>
    </row>
    <row r="3314" spans="28:30" x14ac:dyDescent="0.25">
      <c r="AB3314" s="86"/>
      <c r="AD3314" s="100"/>
    </row>
    <row r="3315" spans="28:30" x14ac:dyDescent="0.25">
      <c r="AB3315" s="86"/>
      <c r="AD3315" s="100"/>
    </row>
    <row r="3316" spans="28:30" x14ac:dyDescent="0.25">
      <c r="AB3316" s="86"/>
      <c r="AD3316" s="100"/>
    </row>
    <row r="3317" spans="28:30" x14ac:dyDescent="0.25">
      <c r="AB3317" s="86"/>
      <c r="AD3317" s="100"/>
    </row>
    <row r="3318" spans="28:30" x14ac:dyDescent="0.25">
      <c r="AB3318" s="86"/>
      <c r="AD3318" s="100"/>
    </row>
    <row r="3319" spans="28:30" x14ac:dyDescent="0.25">
      <c r="AB3319" s="86"/>
      <c r="AD3319" s="100"/>
    </row>
    <row r="3320" spans="28:30" x14ac:dyDescent="0.25">
      <c r="AB3320" s="86"/>
      <c r="AD3320" s="100"/>
    </row>
    <row r="3321" spans="28:30" x14ac:dyDescent="0.25">
      <c r="AB3321" s="86"/>
      <c r="AD3321" s="100"/>
    </row>
    <row r="3322" spans="28:30" x14ac:dyDescent="0.25">
      <c r="AB3322" s="86"/>
      <c r="AD3322" s="100"/>
    </row>
    <row r="3323" spans="28:30" x14ac:dyDescent="0.25">
      <c r="AB3323" s="86"/>
      <c r="AD3323" s="100"/>
    </row>
    <row r="3324" spans="28:30" x14ac:dyDescent="0.25">
      <c r="AB3324" s="86"/>
      <c r="AD3324" s="100"/>
    </row>
    <row r="3325" spans="28:30" x14ac:dyDescent="0.25">
      <c r="AB3325" s="86"/>
      <c r="AD3325" s="100"/>
    </row>
    <row r="3326" spans="28:30" x14ac:dyDescent="0.25">
      <c r="AB3326" s="86"/>
      <c r="AD3326" s="100"/>
    </row>
    <row r="3327" spans="28:30" x14ac:dyDescent="0.25">
      <c r="AB3327" s="86"/>
      <c r="AD3327" s="100"/>
    </row>
    <row r="3328" spans="28:30" x14ac:dyDescent="0.25">
      <c r="AB3328" s="86"/>
      <c r="AD3328" s="100"/>
    </row>
    <row r="3329" spans="6:30" x14ac:dyDescent="0.25">
      <c r="AB3329" s="86"/>
      <c r="AD3329" s="100"/>
    </row>
    <row r="3330" spans="6:30" x14ac:dyDescent="0.25">
      <c r="AB3330" s="86"/>
      <c r="AD3330" s="100"/>
    </row>
    <row r="3331" spans="6:30" x14ac:dyDescent="0.25">
      <c r="AB3331" s="86"/>
      <c r="AD3331" s="100"/>
    </row>
    <row r="3332" spans="6:30" x14ac:dyDescent="0.25">
      <c r="AB3332" s="86"/>
      <c r="AD3332" s="100"/>
    </row>
    <row r="3333" spans="6:30" x14ac:dyDescent="0.25">
      <c r="AB3333" s="86"/>
      <c r="AD3333" s="100"/>
    </row>
    <row r="3334" spans="6:30" x14ac:dyDescent="0.25">
      <c r="AB3334" s="86"/>
      <c r="AD3334" s="100"/>
    </row>
    <row r="3335" spans="6:30" x14ac:dyDescent="0.25">
      <c r="AB3335" s="86"/>
      <c r="AD3335" s="100"/>
    </row>
    <row r="3336" spans="6:30" x14ac:dyDescent="0.25">
      <c r="AB3336" s="86"/>
      <c r="AD3336" s="100"/>
    </row>
    <row r="3337" spans="6:30" x14ac:dyDescent="0.25">
      <c r="AB3337" s="86"/>
      <c r="AD3337" s="100"/>
    </row>
    <row r="3338" spans="6:30" x14ac:dyDescent="0.25">
      <c r="AB3338" s="86"/>
      <c r="AD3338" s="100"/>
    </row>
    <row r="3339" spans="6:30" x14ac:dyDescent="0.25">
      <c r="F3339" s="85" t="str">
        <f t="shared" ref="F3331:F3394" si="0">IF($A3339="","",CONCATENATE($A3339,"_",$B3339,"_",$C3339))</f>
        <v/>
      </c>
      <c r="AB3339" s="86"/>
      <c r="AD3339" s="100"/>
    </row>
    <row r="3340" spans="6:30" x14ac:dyDescent="0.25">
      <c r="F3340" s="85" t="str">
        <f t="shared" si="0"/>
        <v/>
      </c>
      <c r="AB3340" s="86"/>
      <c r="AD3340" s="100"/>
    </row>
    <row r="3341" spans="6:30" x14ac:dyDescent="0.25">
      <c r="F3341" s="85" t="str">
        <f t="shared" si="0"/>
        <v/>
      </c>
      <c r="AB3341" s="86"/>
      <c r="AD3341" s="100"/>
    </row>
    <row r="3342" spans="6:30" x14ac:dyDescent="0.25">
      <c r="F3342" s="85" t="str">
        <f t="shared" si="0"/>
        <v/>
      </c>
      <c r="AB3342" s="86"/>
      <c r="AD3342" s="100"/>
    </row>
    <row r="3343" spans="6:30" x14ac:dyDescent="0.25">
      <c r="F3343" s="85" t="str">
        <f t="shared" si="0"/>
        <v/>
      </c>
      <c r="AB3343" s="86"/>
      <c r="AD3343" s="100"/>
    </row>
    <row r="3344" spans="6:30" x14ac:dyDescent="0.25">
      <c r="F3344" s="85" t="str">
        <f t="shared" si="0"/>
        <v/>
      </c>
      <c r="AB3344" s="86"/>
      <c r="AD3344" s="100"/>
    </row>
    <row r="3345" spans="6:30" x14ac:dyDescent="0.25">
      <c r="F3345" s="85" t="str">
        <f t="shared" si="0"/>
        <v/>
      </c>
      <c r="AB3345" s="86"/>
      <c r="AD3345" s="100"/>
    </row>
    <row r="3346" spans="6:30" x14ac:dyDescent="0.25">
      <c r="F3346" s="85" t="str">
        <f t="shared" si="0"/>
        <v/>
      </c>
      <c r="AB3346" s="86"/>
      <c r="AD3346" s="100"/>
    </row>
    <row r="3347" spans="6:30" x14ac:dyDescent="0.25">
      <c r="F3347" s="85" t="str">
        <f t="shared" si="0"/>
        <v/>
      </c>
      <c r="AB3347" s="86"/>
      <c r="AD3347" s="100"/>
    </row>
    <row r="3348" spans="6:30" x14ac:dyDescent="0.25">
      <c r="F3348" s="85" t="str">
        <f t="shared" si="0"/>
        <v/>
      </c>
      <c r="AB3348" s="86"/>
      <c r="AD3348" s="100"/>
    </row>
    <row r="3349" spans="6:30" x14ac:dyDescent="0.25">
      <c r="F3349" s="85" t="str">
        <f t="shared" si="0"/>
        <v/>
      </c>
      <c r="AB3349" s="86"/>
      <c r="AD3349" s="100"/>
    </row>
    <row r="3350" spans="6:30" x14ac:dyDescent="0.25">
      <c r="F3350" s="85" t="str">
        <f t="shared" si="0"/>
        <v/>
      </c>
      <c r="AB3350" s="86"/>
      <c r="AD3350" s="100"/>
    </row>
    <row r="3351" spans="6:30" x14ac:dyDescent="0.25">
      <c r="F3351" s="85" t="str">
        <f t="shared" si="0"/>
        <v/>
      </c>
      <c r="AB3351" s="86"/>
      <c r="AD3351" s="100"/>
    </row>
    <row r="3352" spans="6:30" x14ac:dyDescent="0.25">
      <c r="F3352" s="85" t="str">
        <f t="shared" si="0"/>
        <v/>
      </c>
      <c r="AB3352" s="86"/>
      <c r="AD3352" s="100"/>
    </row>
    <row r="3353" spans="6:30" x14ac:dyDescent="0.25">
      <c r="F3353" s="85" t="str">
        <f t="shared" si="0"/>
        <v/>
      </c>
      <c r="AB3353" s="86"/>
      <c r="AD3353" s="100"/>
    </row>
    <row r="3354" spans="6:30" x14ac:dyDescent="0.25">
      <c r="F3354" s="85" t="str">
        <f t="shared" si="0"/>
        <v/>
      </c>
      <c r="AB3354" s="86"/>
      <c r="AD3354" s="100"/>
    </row>
    <row r="3355" spans="6:30" x14ac:dyDescent="0.25">
      <c r="F3355" s="85" t="str">
        <f t="shared" si="0"/>
        <v/>
      </c>
      <c r="AB3355" s="86"/>
      <c r="AD3355" s="100"/>
    </row>
    <row r="3356" spans="6:30" x14ac:dyDescent="0.25">
      <c r="F3356" s="85" t="str">
        <f t="shared" si="0"/>
        <v/>
      </c>
      <c r="AB3356" s="86"/>
      <c r="AD3356" s="100"/>
    </row>
    <row r="3357" spans="6:30" x14ac:dyDescent="0.25">
      <c r="F3357" s="85" t="str">
        <f t="shared" si="0"/>
        <v/>
      </c>
      <c r="AB3357" s="86"/>
      <c r="AD3357" s="100"/>
    </row>
    <row r="3358" spans="6:30" x14ac:dyDescent="0.25">
      <c r="F3358" s="85" t="str">
        <f t="shared" si="0"/>
        <v/>
      </c>
      <c r="AB3358" s="86"/>
      <c r="AD3358" s="100"/>
    </row>
    <row r="3359" spans="6:30" x14ac:dyDescent="0.25">
      <c r="F3359" s="85" t="str">
        <f t="shared" si="0"/>
        <v/>
      </c>
      <c r="AB3359" s="86"/>
      <c r="AD3359" s="100"/>
    </row>
    <row r="3360" spans="6:30" x14ac:dyDescent="0.25">
      <c r="F3360" s="85" t="str">
        <f t="shared" si="0"/>
        <v/>
      </c>
      <c r="AB3360" s="86"/>
      <c r="AD3360" s="100"/>
    </row>
    <row r="3361" spans="6:30" x14ac:dyDescent="0.25">
      <c r="F3361" s="85" t="str">
        <f t="shared" si="0"/>
        <v/>
      </c>
      <c r="AB3361" s="86"/>
      <c r="AD3361" s="100"/>
    </row>
    <row r="3362" spans="6:30" x14ac:dyDescent="0.25">
      <c r="F3362" s="85" t="str">
        <f t="shared" si="0"/>
        <v/>
      </c>
      <c r="AB3362" s="86"/>
      <c r="AD3362" s="100"/>
    </row>
    <row r="3363" spans="6:30" x14ac:dyDescent="0.25">
      <c r="F3363" s="85" t="str">
        <f t="shared" si="0"/>
        <v/>
      </c>
      <c r="AB3363" s="86"/>
      <c r="AD3363" s="100"/>
    </row>
    <row r="3364" spans="6:30" x14ac:dyDescent="0.25">
      <c r="F3364" s="85" t="str">
        <f t="shared" si="0"/>
        <v/>
      </c>
      <c r="AB3364" s="86"/>
      <c r="AD3364" s="100"/>
    </row>
    <row r="3365" spans="6:30" x14ac:dyDescent="0.25">
      <c r="F3365" s="85" t="str">
        <f t="shared" si="0"/>
        <v/>
      </c>
      <c r="AB3365" s="86"/>
      <c r="AD3365" s="100"/>
    </row>
    <row r="3366" spans="6:30" x14ac:dyDescent="0.25">
      <c r="F3366" s="85" t="str">
        <f t="shared" si="0"/>
        <v/>
      </c>
      <c r="AB3366" s="86"/>
      <c r="AD3366" s="100"/>
    </row>
    <row r="3367" spans="6:30" x14ac:dyDescent="0.25">
      <c r="F3367" s="85" t="str">
        <f t="shared" si="0"/>
        <v/>
      </c>
      <c r="AB3367" s="86"/>
      <c r="AD3367" s="100"/>
    </row>
    <row r="3368" spans="6:30" x14ac:dyDescent="0.25">
      <c r="F3368" s="85" t="str">
        <f t="shared" si="0"/>
        <v/>
      </c>
      <c r="AB3368" s="86"/>
      <c r="AD3368" s="100"/>
    </row>
    <row r="3369" spans="6:30" x14ac:dyDescent="0.25">
      <c r="F3369" s="85" t="str">
        <f t="shared" si="0"/>
        <v/>
      </c>
      <c r="AB3369" s="86"/>
      <c r="AD3369" s="100"/>
    </row>
    <row r="3370" spans="6:30" x14ac:dyDescent="0.25">
      <c r="F3370" s="85" t="str">
        <f t="shared" si="0"/>
        <v/>
      </c>
      <c r="AB3370" s="86"/>
      <c r="AD3370" s="100"/>
    </row>
    <row r="3371" spans="6:30" x14ac:dyDescent="0.25">
      <c r="F3371" s="85" t="str">
        <f t="shared" si="0"/>
        <v/>
      </c>
      <c r="AB3371" s="86"/>
      <c r="AD3371" s="100"/>
    </row>
    <row r="3372" spans="6:30" x14ac:dyDescent="0.25">
      <c r="F3372" s="85" t="str">
        <f t="shared" si="0"/>
        <v/>
      </c>
      <c r="AB3372" s="86"/>
      <c r="AD3372" s="100"/>
    </row>
    <row r="3373" spans="6:30" x14ac:dyDescent="0.25">
      <c r="F3373" s="85" t="str">
        <f t="shared" si="0"/>
        <v/>
      </c>
      <c r="AB3373" s="86"/>
      <c r="AD3373" s="100"/>
    </row>
    <row r="3374" spans="6:30" x14ac:dyDescent="0.25">
      <c r="F3374" s="85" t="str">
        <f t="shared" si="0"/>
        <v/>
      </c>
      <c r="AB3374" s="86"/>
      <c r="AD3374" s="100"/>
    </row>
    <row r="3375" spans="6:30" x14ac:dyDescent="0.25">
      <c r="F3375" s="85" t="str">
        <f t="shared" si="0"/>
        <v/>
      </c>
      <c r="AB3375" s="86"/>
      <c r="AD3375" s="100"/>
    </row>
    <row r="3376" spans="6:30" x14ac:dyDescent="0.25">
      <c r="F3376" s="85" t="str">
        <f t="shared" si="0"/>
        <v/>
      </c>
      <c r="AB3376" s="86"/>
      <c r="AD3376" s="100"/>
    </row>
    <row r="3377" spans="6:30" x14ac:dyDescent="0.25">
      <c r="F3377" s="85" t="str">
        <f t="shared" si="0"/>
        <v/>
      </c>
      <c r="AB3377" s="86"/>
      <c r="AD3377" s="100"/>
    </row>
    <row r="3378" spans="6:30" x14ac:dyDescent="0.25">
      <c r="F3378" s="85" t="str">
        <f t="shared" si="0"/>
        <v/>
      </c>
      <c r="AB3378" s="86"/>
      <c r="AD3378" s="100"/>
    </row>
    <row r="3379" spans="6:30" x14ac:dyDescent="0.25">
      <c r="F3379" s="85" t="str">
        <f t="shared" si="0"/>
        <v/>
      </c>
      <c r="AB3379" s="86"/>
      <c r="AD3379" s="100"/>
    </row>
    <row r="3380" spans="6:30" x14ac:dyDescent="0.25">
      <c r="F3380" s="85" t="str">
        <f t="shared" si="0"/>
        <v/>
      </c>
      <c r="AB3380" s="86"/>
      <c r="AD3380" s="100"/>
    </row>
    <row r="3381" spans="6:30" x14ac:dyDescent="0.25">
      <c r="F3381" s="85" t="str">
        <f t="shared" si="0"/>
        <v/>
      </c>
      <c r="AB3381" s="86"/>
      <c r="AD3381" s="100"/>
    </row>
    <row r="3382" spans="6:30" x14ac:dyDescent="0.25">
      <c r="F3382" s="85" t="str">
        <f t="shared" si="0"/>
        <v/>
      </c>
      <c r="AB3382" s="86"/>
      <c r="AD3382" s="100"/>
    </row>
    <row r="3383" spans="6:30" x14ac:dyDescent="0.25">
      <c r="F3383" s="85" t="str">
        <f t="shared" si="0"/>
        <v/>
      </c>
      <c r="AB3383" s="86"/>
      <c r="AD3383" s="100"/>
    </row>
    <row r="3384" spans="6:30" x14ac:dyDescent="0.25">
      <c r="F3384" s="85" t="str">
        <f t="shared" si="0"/>
        <v/>
      </c>
      <c r="AB3384" s="86"/>
      <c r="AD3384" s="100"/>
    </row>
    <row r="3385" spans="6:30" x14ac:dyDescent="0.25">
      <c r="F3385" s="85" t="str">
        <f t="shared" si="0"/>
        <v/>
      </c>
      <c r="AB3385" s="86"/>
      <c r="AD3385" s="100"/>
    </row>
    <row r="3386" spans="6:30" x14ac:dyDescent="0.25">
      <c r="F3386" s="85" t="str">
        <f t="shared" si="0"/>
        <v/>
      </c>
      <c r="AB3386" s="86"/>
      <c r="AD3386" s="100"/>
    </row>
    <row r="3387" spans="6:30" x14ac:dyDescent="0.25">
      <c r="F3387" s="85" t="str">
        <f t="shared" si="0"/>
        <v/>
      </c>
      <c r="AB3387" s="86"/>
      <c r="AD3387" s="100"/>
    </row>
    <row r="3388" spans="6:30" x14ac:dyDescent="0.25">
      <c r="F3388" s="85" t="str">
        <f t="shared" si="0"/>
        <v/>
      </c>
      <c r="AB3388" s="86"/>
      <c r="AD3388" s="100"/>
    </row>
    <row r="3389" spans="6:30" x14ac:dyDescent="0.25">
      <c r="F3389" s="85" t="str">
        <f t="shared" si="0"/>
        <v/>
      </c>
      <c r="AB3389" s="86"/>
      <c r="AD3389" s="100"/>
    </row>
    <row r="3390" spans="6:30" x14ac:dyDescent="0.25">
      <c r="F3390" s="85" t="str">
        <f t="shared" si="0"/>
        <v/>
      </c>
      <c r="AB3390" s="86"/>
      <c r="AD3390" s="100"/>
    </row>
    <row r="3391" spans="6:30" x14ac:dyDescent="0.25">
      <c r="F3391" s="85" t="str">
        <f t="shared" si="0"/>
        <v/>
      </c>
      <c r="AB3391" s="86"/>
      <c r="AD3391" s="100"/>
    </row>
    <row r="3392" spans="6:30" x14ac:dyDescent="0.25">
      <c r="F3392" s="85" t="str">
        <f t="shared" si="0"/>
        <v/>
      </c>
      <c r="AB3392" s="86"/>
      <c r="AD3392" s="100"/>
    </row>
    <row r="3393" spans="6:30" x14ac:dyDescent="0.25">
      <c r="F3393" s="85" t="str">
        <f t="shared" si="0"/>
        <v/>
      </c>
      <c r="AB3393" s="86"/>
      <c r="AD3393" s="100"/>
    </row>
    <row r="3394" spans="6:30" x14ac:dyDescent="0.25">
      <c r="F3394" s="85" t="str">
        <f t="shared" si="0"/>
        <v/>
      </c>
      <c r="AB3394" s="86"/>
      <c r="AD3394" s="100"/>
    </row>
    <row r="3395" spans="6:30" x14ac:dyDescent="0.25">
      <c r="F3395" s="85" t="str">
        <f t="shared" ref="F3395:F3458" si="1">IF($A3395="","",CONCATENATE($A3395,"_",$B3395,"_",$C3395))</f>
        <v/>
      </c>
      <c r="AB3395" s="86"/>
      <c r="AD3395" s="100"/>
    </row>
    <row r="3396" spans="6:30" x14ac:dyDescent="0.25">
      <c r="F3396" s="85" t="str">
        <f t="shared" si="1"/>
        <v/>
      </c>
      <c r="AB3396" s="86"/>
      <c r="AD3396" s="100"/>
    </row>
    <row r="3397" spans="6:30" x14ac:dyDescent="0.25">
      <c r="F3397" s="85" t="str">
        <f t="shared" si="1"/>
        <v/>
      </c>
      <c r="AB3397" s="86"/>
      <c r="AD3397" s="100"/>
    </row>
    <row r="3398" spans="6:30" x14ac:dyDescent="0.25">
      <c r="F3398" s="85" t="str">
        <f t="shared" si="1"/>
        <v/>
      </c>
      <c r="AB3398" s="86"/>
      <c r="AD3398" s="100"/>
    </row>
    <row r="3399" spans="6:30" x14ac:dyDescent="0.25">
      <c r="F3399" s="85" t="str">
        <f t="shared" si="1"/>
        <v/>
      </c>
      <c r="AB3399" s="86"/>
      <c r="AD3399" s="100"/>
    </row>
    <row r="3400" spans="6:30" x14ac:dyDescent="0.25">
      <c r="F3400" s="85" t="str">
        <f t="shared" si="1"/>
        <v/>
      </c>
      <c r="AB3400" s="86"/>
      <c r="AD3400" s="100"/>
    </row>
    <row r="3401" spans="6:30" x14ac:dyDescent="0.25">
      <c r="F3401" s="85" t="str">
        <f t="shared" si="1"/>
        <v/>
      </c>
      <c r="AB3401" s="86"/>
      <c r="AD3401" s="100"/>
    </row>
    <row r="3402" spans="6:30" x14ac:dyDescent="0.25">
      <c r="F3402" s="85" t="str">
        <f t="shared" si="1"/>
        <v/>
      </c>
      <c r="AB3402" s="86"/>
      <c r="AD3402" s="100"/>
    </row>
    <row r="3403" spans="6:30" x14ac:dyDescent="0.25">
      <c r="F3403" s="85" t="str">
        <f t="shared" si="1"/>
        <v/>
      </c>
      <c r="AB3403" s="86"/>
      <c r="AD3403" s="100"/>
    </row>
    <row r="3404" spans="6:30" x14ac:dyDescent="0.25">
      <c r="F3404" s="85" t="str">
        <f t="shared" si="1"/>
        <v/>
      </c>
      <c r="AB3404" s="86"/>
      <c r="AD3404" s="100"/>
    </row>
    <row r="3405" spans="6:30" x14ac:dyDescent="0.25">
      <c r="F3405" s="85" t="str">
        <f t="shared" si="1"/>
        <v/>
      </c>
      <c r="AB3405" s="86"/>
      <c r="AD3405" s="100"/>
    </row>
    <row r="3406" spans="6:30" x14ac:dyDescent="0.25">
      <c r="F3406" s="85" t="str">
        <f t="shared" si="1"/>
        <v/>
      </c>
      <c r="AB3406" s="86"/>
      <c r="AD3406" s="100"/>
    </row>
    <row r="3407" spans="6:30" x14ac:dyDescent="0.25">
      <c r="F3407" s="85" t="str">
        <f t="shared" si="1"/>
        <v/>
      </c>
      <c r="AB3407" s="86"/>
      <c r="AD3407" s="100"/>
    </row>
    <row r="3408" spans="6:30" x14ac:dyDescent="0.25">
      <c r="F3408" s="85" t="str">
        <f t="shared" si="1"/>
        <v/>
      </c>
      <c r="AB3408" s="86"/>
      <c r="AD3408" s="100"/>
    </row>
    <row r="3409" spans="6:30" x14ac:dyDescent="0.25">
      <c r="F3409" s="85" t="str">
        <f t="shared" si="1"/>
        <v/>
      </c>
      <c r="AB3409" s="86"/>
      <c r="AD3409" s="100"/>
    </row>
    <row r="3410" spans="6:30" x14ac:dyDescent="0.25">
      <c r="F3410" s="85" t="str">
        <f t="shared" si="1"/>
        <v/>
      </c>
      <c r="AB3410" s="86"/>
      <c r="AD3410" s="100"/>
    </row>
    <row r="3411" spans="6:30" x14ac:dyDescent="0.25">
      <c r="F3411" s="85" t="str">
        <f t="shared" si="1"/>
        <v/>
      </c>
      <c r="AB3411" s="86"/>
      <c r="AD3411" s="100"/>
    </row>
    <row r="3412" spans="6:30" x14ac:dyDescent="0.25">
      <c r="F3412" s="85" t="str">
        <f t="shared" si="1"/>
        <v/>
      </c>
      <c r="AB3412" s="86"/>
      <c r="AD3412" s="100"/>
    </row>
    <row r="3413" spans="6:30" x14ac:dyDescent="0.25">
      <c r="F3413" s="85" t="str">
        <f t="shared" si="1"/>
        <v/>
      </c>
      <c r="AB3413" s="86"/>
      <c r="AD3413" s="100"/>
    </row>
    <row r="3414" spans="6:30" x14ac:dyDescent="0.25">
      <c r="F3414" s="85" t="str">
        <f t="shared" si="1"/>
        <v/>
      </c>
      <c r="AB3414" s="86"/>
      <c r="AD3414" s="100"/>
    </row>
    <row r="3415" spans="6:30" x14ac:dyDescent="0.25">
      <c r="F3415" s="85" t="str">
        <f t="shared" si="1"/>
        <v/>
      </c>
      <c r="AB3415" s="86"/>
      <c r="AD3415" s="100"/>
    </row>
    <row r="3416" spans="6:30" x14ac:dyDescent="0.25">
      <c r="F3416" s="85" t="str">
        <f t="shared" si="1"/>
        <v/>
      </c>
      <c r="AB3416" s="86"/>
      <c r="AD3416" s="100"/>
    </row>
    <row r="3417" spans="6:30" x14ac:dyDescent="0.25">
      <c r="F3417" s="85" t="str">
        <f t="shared" si="1"/>
        <v/>
      </c>
      <c r="AB3417" s="86"/>
      <c r="AD3417" s="100"/>
    </row>
    <row r="3418" spans="6:30" x14ac:dyDescent="0.25">
      <c r="F3418" s="85" t="str">
        <f t="shared" si="1"/>
        <v/>
      </c>
      <c r="AB3418" s="86"/>
      <c r="AD3418" s="100"/>
    </row>
    <row r="3419" spans="6:30" x14ac:dyDescent="0.25">
      <c r="F3419" s="85" t="str">
        <f t="shared" si="1"/>
        <v/>
      </c>
      <c r="AB3419" s="86"/>
      <c r="AD3419" s="100"/>
    </row>
    <row r="3420" spans="6:30" x14ac:dyDescent="0.25">
      <c r="F3420" s="85" t="str">
        <f t="shared" si="1"/>
        <v/>
      </c>
      <c r="AB3420" s="86"/>
      <c r="AD3420" s="100"/>
    </row>
    <row r="3421" spans="6:30" x14ac:dyDescent="0.25">
      <c r="F3421" s="85" t="str">
        <f t="shared" si="1"/>
        <v/>
      </c>
      <c r="AB3421" s="86"/>
      <c r="AD3421" s="100"/>
    </row>
    <row r="3422" spans="6:30" x14ac:dyDescent="0.25">
      <c r="F3422" s="85" t="str">
        <f t="shared" si="1"/>
        <v/>
      </c>
      <c r="AB3422" s="86"/>
      <c r="AD3422" s="100"/>
    </row>
    <row r="3423" spans="6:30" x14ac:dyDescent="0.25">
      <c r="F3423" s="85" t="str">
        <f t="shared" si="1"/>
        <v/>
      </c>
      <c r="AB3423" s="86"/>
      <c r="AD3423" s="100"/>
    </row>
    <row r="3424" spans="6:30" x14ac:dyDescent="0.25">
      <c r="F3424" s="85" t="str">
        <f t="shared" si="1"/>
        <v/>
      </c>
      <c r="AB3424" s="86"/>
      <c r="AD3424" s="100"/>
    </row>
    <row r="3425" spans="6:30" x14ac:dyDescent="0.25">
      <c r="F3425" s="85" t="str">
        <f t="shared" si="1"/>
        <v/>
      </c>
      <c r="AB3425" s="86"/>
      <c r="AD3425" s="100"/>
    </row>
    <row r="3426" spans="6:30" x14ac:dyDescent="0.25">
      <c r="F3426" s="85" t="str">
        <f t="shared" si="1"/>
        <v/>
      </c>
      <c r="AB3426" s="86"/>
      <c r="AD3426" s="100"/>
    </row>
    <row r="3427" spans="6:30" x14ac:dyDescent="0.25">
      <c r="F3427" s="85" t="str">
        <f t="shared" si="1"/>
        <v/>
      </c>
      <c r="AB3427" s="86"/>
      <c r="AD3427" s="100"/>
    </row>
    <row r="3428" spans="6:30" x14ac:dyDescent="0.25">
      <c r="F3428" s="85" t="str">
        <f t="shared" si="1"/>
        <v/>
      </c>
      <c r="AB3428" s="86"/>
      <c r="AD3428" s="100"/>
    </row>
    <row r="3429" spans="6:30" x14ac:dyDescent="0.25">
      <c r="F3429" s="85" t="str">
        <f t="shared" si="1"/>
        <v/>
      </c>
      <c r="AB3429" s="86"/>
      <c r="AD3429" s="100"/>
    </row>
    <row r="3430" spans="6:30" x14ac:dyDescent="0.25">
      <c r="F3430" s="85" t="str">
        <f t="shared" si="1"/>
        <v/>
      </c>
      <c r="AB3430" s="86"/>
      <c r="AD3430" s="100"/>
    </row>
    <row r="3431" spans="6:30" x14ac:dyDescent="0.25">
      <c r="F3431" s="85" t="str">
        <f t="shared" si="1"/>
        <v/>
      </c>
      <c r="AB3431" s="86"/>
      <c r="AD3431" s="100"/>
    </row>
    <row r="3432" spans="6:30" x14ac:dyDescent="0.25">
      <c r="F3432" s="85" t="str">
        <f t="shared" si="1"/>
        <v/>
      </c>
      <c r="AB3432" s="86"/>
      <c r="AD3432" s="100"/>
    </row>
    <row r="3433" spans="6:30" x14ac:dyDescent="0.25">
      <c r="F3433" s="85" t="str">
        <f t="shared" si="1"/>
        <v/>
      </c>
      <c r="AB3433" s="86"/>
      <c r="AD3433" s="100"/>
    </row>
    <row r="3434" spans="6:30" x14ac:dyDescent="0.25">
      <c r="F3434" s="85" t="str">
        <f t="shared" si="1"/>
        <v/>
      </c>
      <c r="AB3434" s="86"/>
      <c r="AD3434" s="100"/>
    </row>
    <row r="3435" spans="6:30" x14ac:dyDescent="0.25">
      <c r="F3435" s="85" t="str">
        <f t="shared" si="1"/>
        <v/>
      </c>
      <c r="AB3435" s="86"/>
      <c r="AD3435" s="100"/>
    </row>
    <row r="3436" spans="6:30" x14ac:dyDescent="0.25">
      <c r="F3436" s="85" t="str">
        <f t="shared" si="1"/>
        <v/>
      </c>
      <c r="AB3436" s="86"/>
      <c r="AD3436" s="100"/>
    </row>
    <row r="3437" spans="6:30" x14ac:dyDescent="0.25">
      <c r="F3437" s="85" t="str">
        <f t="shared" si="1"/>
        <v/>
      </c>
      <c r="AB3437" s="86"/>
      <c r="AD3437" s="100"/>
    </row>
    <row r="3438" spans="6:30" x14ac:dyDescent="0.25">
      <c r="F3438" s="85" t="str">
        <f t="shared" si="1"/>
        <v/>
      </c>
      <c r="AB3438" s="86"/>
      <c r="AD3438" s="100"/>
    </row>
    <row r="3439" spans="6:30" x14ac:dyDescent="0.25">
      <c r="F3439" s="85" t="str">
        <f t="shared" si="1"/>
        <v/>
      </c>
      <c r="AB3439" s="86"/>
      <c r="AD3439" s="100"/>
    </row>
    <row r="3440" spans="6:30" x14ac:dyDescent="0.25">
      <c r="F3440" s="85" t="str">
        <f t="shared" si="1"/>
        <v/>
      </c>
      <c r="AB3440" s="86"/>
      <c r="AD3440" s="100"/>
    </row>
    <row r="3441" spans="6:30" x14ac:dyDescent="0.25">
      <c r="F3441" s="85" t="str">
        <f t="shared" si="1"/>
        <v/>
      </c>
      <c r="AB3441" s="86"/>
      <c r="AD3441" s="100"/>
    </row>
    <row r="3442" spans="6:30" x14ac:dyDescent="0.25">
      <c r="F3442" s="85" t="str">
        <f t="shared" si="1"/>
        <v/>
      </c>
      <c r="AB3442" s="86"/>
      <c r="AD3442" s="100"/>
    </row>
    <row r="3443" spans="6:30" x14ac:dyDescent="0.25">
      <c r="F3443" s="85" t="str">
        <f t="shared" si="1"/>
        <v/>
      </c>
      <c r="AB3443" s="86"/>
      <c r="AD3443" s="100"/>
    </row>
    <row r="3444" spans="6:30" x14ac:dyDescent="0.25">
      <c r="F3444" s="85" t="str">
        <f t="shared" si="1"/>
        <v/>
      </c>
      <c r="AB3444" s="86"/>
      <c r="AD3444" s="100"/>
    </row>
    <row r="3445" spans="6:30" x14ac:dyDescent="0.25">
      <c r="F3445" s="85" t="str">
        <f t="shared" si="1"/>
        <v/>
      </c>
      <c r="AB3445" s="86"/>
      <c r="AD3445" s="100"/>
    </row>
    <row r="3446" spans="6:30" x14ac:dyDescent="0.25">
      <c r="F3446" s="85" t="str">
        <f t="shared" si="1"/>
        <v/>
      </c>
      <c r="AB3446" s="86"/>
      <c r="AD3446" s="100"/>
    </row>
    <row r="3447" spans="6:30" x14ac:dyDescent="0.25">
      <c r="F3447" s="85" t="str">
        <f t="shared" si="1"/>
        <v/>
      </c>
      <c r="AB3447" s="86"/>
      <c r="AD3447" s="100"/>
    </row>
    <row r="3448" spans="6:30" x14ac:dyDescent="0.25">
      <c r="F3448" s="85" t="str">
        <f t="shared" si="1"/>
        <v/>
      </c>
      <c r="AB3448" s="86"/>
      <c r="AD3448" s="100"/>
    </row>
    <row r="3449" spans="6:30" x14ac:dyDescent="0.25">
      <c r="F3449" s="85" t="str">
        <f t="shared" si="1"/>
        <v/>
      </c>
      <c r="AB3449" s="86"/>
      <c r="AD3449" s="100"/>
    </row>
    <row r="3450" spans="6:30" x14ac:dyDescent="0.25">
      <c r="F3450" s="85" t="str">
        <f t="shared" si="1"/>
        <v/>
      </c>
      <c r="AB3450" s="86"/>
      <c r="AD3450" s="100"/>
    </row>
    <row r="3451" spans="6:30" x14ac:dyDescent="0.25">
      <c r="F3451" s="85" t="str">
        <f t="shared" si="1"/>
        <v/>
      </c>
      <c r="AB3451" s="86"/>
      <c r="AD3451" s="100"/>
    </row>
    <row r="3452" spans="6:30" x14ac:dyDescent="0.25">
      <c r="F3452" s="85" t="str">
        <f t="shared" si="1"/>
        <v/>
      </c>
      <c r="AB3452" s="86"/>
      <c r="AD3452" s="100"/>
    </row>
    <row r="3453" spans="6:30" x14ac:dyDescent="0.25">
      <c r="F3453" s="85" t="str">
        <f t="shared" si="1"/>
        <v/>
      </c>
      <c r="AB3453" s="86"/>
      <c r="AD3453" s="100"/>
    </row>
    <row r="3454" spans="6:30" x14ac:dyDescent="0.25">
      <c r="F3454" s="85" t="str">
        <f t="shared" si="1"/>
        <v/>
      </c>
      <c r="AB3454" s="86"/>
      <c r="AD3454" s="100"/>
    </row>
    <row r="3455" spans="6:30" x14ac:dyDescent="0.25">
      <c r="F3455" s="85" t="str">
        <f t="shared" si="1"/>
        <v/>
      </c>
      <c r="AB3455" s="86"/>
      <c r="AD3455" s="100"/>
    </row>
    <row r="3456" spans="6:30" x14ac:dyDescent="0.25">
      <c r="F3456" s="85" t="str">
        <f t="shared" si="1"/>
        <v/>
      </c>
      <c r="AB3456" s="86"/>
      <c r="AD3456" s="100"/>
    </row>
    <row r="3457" spans="6:30" x14ac:dyDescent="0.25">
      <c r="F3457" s="85" t="str">
        <f t="shared" si="1"/>
        <v/>
      </c>
      <c r="AB3457" s="86"/>
      <c r="AD3457" s="100"/>
    </row>
    <row r="3458" spans="6:30" x14ac:dyDescent="0.25">
      <c r="F3458" s="85" t="str">
        <f t="shared" si="1"/>
        <v/>
      </c>
      <c r="AB3458" s="86"/>
      <c r="AD3458" s="100"/>
    </row>
    <row r="3459" spans="6:30" x14ac:dyDescent="0.25">
      <c r="F3459" s="85" t="str">
        <f t="shared" ref="F3459:F3522" si="2">IF($A3459="","",CONCATENATE($A3459,"_",$B3459,"_",$C3459))</f>
        <v/>
      </c>
      <c r="AB3459" s="86"/>
      <c r="AD3459" s="100"/>
    </row>
    <row r="3460" spans="6:30" x14ac:dyDescent="0.25">
      <c r="F3460" s="85" t="str">
        <f t="shared" si="2"/>
        <v/>
      </c>
      <c r="AB3460" s="86"/>
      <c r="AD3460" s="100"/>
    </row>
    <row r="3461" spans="6:30" x14ac:dyDescent="0.25">
      <c r="F3461" s="85" t="str">
        <f t="shared" si="2"/>
        <v/>
      </c>
      <c r="AB3461" s="86"/>
      <c r="AD3461" s="100"/>
    </row>
    <row r="3462" spans="6:30" x14ac:dyDescent="0.25">
      <c r="F3462" s="85" t="str">
        <f t="shared" si="2"/>
        <v/>
      </c>
      <c r="AB3462" s="86"/>
      <c r="AD3462" s="100"/>
    </row>
    <row r="3463" spans="6:30" x14ac:dyDescent="0.25">
      <c r="F3463" s="85" t="str">
        <f t="shared" si="2"/>
        <v/>
      </c>
      <c r="AB3463" s="86"/>
      <c r="AD3463" s="100"/>
    </row>
    <row r="3464" spans="6:30" x14ac:dyDescent="0.25">
      <c r="F3464" s="85" t="str">
        <f t="shared" si="2"/>
        <v/>
      </c>
      <c r="AB3464" s="86"/>
      <c r="AD3464" s="100"/>
    </row>
    <row r="3465" spans="6:30" x14ac:dyDescent="0.25">
      <c r="F3465" s="85" t="str">
        <f t="shared" si="2"/>
        <v/>
      </c>
      <c r="AB3465" s="86"/>
      <c r="AD3465" s="100"/>
    </row>
    <row r="3466" spans="6:30" x14ac:dyDescent="0.25">
      <c r="F3466" s="85" t="str">
        <f t="shared" si="2"/>
        <v/>
      </c>
      <c r="AB3466" s="86"/>
      <c r="AD3466" s="100"/>
    </row>
    <row r="3467" spans="6:30" x14ac:dyDescent="0.25">
      <c r="F3467" s="85" t="str">
        <f t="shared" si="2"/>
        <v/>
      </c>
      <c r="AB3467" s="86"/>
      <c r="AD3467" s="100"/>
    </row>
    <row r="3468" spans="6:30" x14ac:dyDescent="0.25">
      <c r="F3468" s="85" t="str">
        <f t="shared" si="2"/>
        <v/>
      </c>
      <c r="AB3468" s="86"/>
      <c r="AD3468" s="100"/>
    </row>
    <row r="3469" spans="6:30" x14ac:dyDescent="0.25">
      <c r="F3469" s="85" t="str">
        <f t="shared" si="2"/>
        <v/>
      </c>
      <c r="AB3469" s="86"/>
      <c r="AD3469" s="100"/>
    </row>
    <row r="3470" spans="6:30" x14ac:dyDescent="0.25">
      <c r="F3470" s="85" t="str">
        <f t="shared" si="2"/>
        <v/>
      </c>
      <c r="AB3470" s="86"/>
      <c r="AD3470" s="100"/>
    </row>
    <row r="3471" spans="6:30" x14ac:dyDescent="0.25">
      <c r="F3471" s="85" t="str">
        <f t="shared" si="2"/>
        <v/>
      </c>
      <c r="AB3471" s="86"/>
      <c r="AD3471" s="100"/>
    </row>
    <row r="3472" spans="6:30" x14ac:dyDescent="0.25">
      <c r="F3472" s="85" t="str">
        <f t="shared" si="2"/>
        <v/>
      </c>
      <c r="AB3472" s="86"/>
      <c r="AD3472" s="100"/>
    </row>
    <row r="3473" spans="6:30" x14ac:dyDescent="0.25">
      <c r="F3473" s="85" t="str">
        <f t="shared" si="2"/>
        <v/>
      </c>
      <c r="AB3473" s="86"/>
      <c r="AD3473" s="100"/>
    </row>
    <row r="3474" spans="6:30" x14ac:dyDescent="0.25">
      <c r="F3474" s="85" t="str">
        <f t="shared" si="2"/>
        <v/>
      </c>
      <c r="AB3474" s="86"/>
      <c r="AD3474" s="100"/>
    </row>
    <row r="3475" spans="6:30" x14ac:dyDescent="0.25">
      <c r="F3475" s="85" t="str">
        <f t="shared" si="2"/>
        <v/>
      </c>
      <c r="AB3475" s="86"/>
      <c r="AD3475" s="100"/>
    </row>
    <row r="3476" spans="6:30" x14ac:dyDescent="0.25">
      <c r="F3476" s="85" t="str">
        <f t="shared" si="2"/>
        <v/>
      </c>
      <c r="AB3476" s="86"/>
      <c r="AD3476" s="100"/>
    </row>
    <row r="3477" spans="6:30" x14ac:dyDescent="0.25">
      <c r="F3477" s="85" t="str">
        <f t="shared" si="2"/>
        <v/>
      </c>
      <c r="AB3477" s="86"/>
      <c r="AD3477" s="100"/>
    </row>
    <row r="3478" spans="6:30" x14ac:dyDescent="0.25">
      <c r="F3478" s="85" t="str">
        <f t="shared" si="2"/>
        <v/>
      </c>
      <c r="AB3478" s="86"/>
      <c r="AD3478" s="100"/>
    </row>
    <row r="3479" spans="6:30" x14ac:dyDescent="0.25">
      <c r="F3479" s="85" t="str">
        <f t="shared" si="2"/>
        <v/>
      </c>
      <c r="AB3479" s="86"/>
      <c r="AD3479" s="100"/>
    </row>
    <row r="3480" spans="6:30" x14ac:dyDescent="0.25">
      <c r="F3480" s="85" t="str">
        <f t="shared" si="2"/>
        <v/>
      </c>
      <c r="AB3480" s="86"/>
      <c r="AD3480" s="100"/>
    </row>
    <row r="3481" spans="6:30" x14ac:dyDescent="0.25">
      <c r="F3481" s="85" t="str">
        <f t="shared" si="2"/>
        <v/>
      </c>
      <c r="AB3481" s="86"/>
      <c r="AD3481" s="100"/>
    </row>
    <row r="3482" spans="6:30" x14ac:dyDescent="0.25">
      <c r="F3482" s="85" t="str">
        <f t="shared" si="2"/>
        <v/>
      </c>
      <c r="AB3482" s="86"/>
      <c r="AD3482" s="100"/>
    </row>
    <row r="3483" spans="6:30" x14ac:dyDescent="0.25">
      <c r="F3483" s="85" t="str">
        <f t="shared" si="2"/>
        <v/>
      </c>
      <c r="AB3483" s="86"/>
      <c r="AD3483" s="100"/>
    </row>
    <row r="3484" spans="6:30" x14ac:dyDescent="0.25">
      <c r="F3484" s="85" t="str">
        <f t="shared" si="2"/>
        <v/>
      </c>
      <c r="AB3484" s="86"/>
      <c r="AD3484" s="100"/>
    </row>
    <row r="3485" spans="6:30" x14ac:dyDescent="0.25">
      <c r="F3485" s="85" t="str">
        <f t="shared" si="2"/>
        <v/>
      </c>
      <c r="AB3485" s="86"/>
      <c r="AD3485" s="100"/>
    </row>
    <row r="3486" spans="6:30" x14ac:dyDescent="0.25">
      <c r="F3486" s="85" t="str">
        <f t="shared" si="2"/>
        <v/>
      </c>
      <c r="AB3486" s="86"/>
      <c r="AD3486" s="100"/>
    </row>
    <row r="3487" spans="6:30" x14ac:dyDescent="0.25">
      <c r="F3487" s="85" t="str">
        <f t="shared" si="2"/>
        <v/>
      </c>
      <c r="AB3487" s="86"/>
      <c r="AD3487" s="100"/>
    </row>
    <row r="3488" spans="6:30" x14ac:dyDescent="0.25">
      <c r="F3488" s="85" t="str">
        <f t="shared" si="2"/>
        <v/>
      </c>
      <c r="AB3488" s="86"/>
      <c r="AD3488" s="100"/>
    </row>
    <row r="3489" spans="6:30" x14ac:dyDescent="0.25">
      <c r="F3489" s="85" t="str">
        <f t="shared" si="2"/>
        <v/>
      </c>
      <c r="AB3489" s="86"/>
      <c r="AD3489" s="100"/>
    </row>
    <row r="3490" spans="6:30" x14ac:dyDescent="0.25">
      <c r="F3490" s="85" t="str">
        <f t="shared" si="2"/>
        <v/>
      </c>
      <c r="AB3490" s="86"/>
      <c r="AD3490" s="100"/>
    </row>
    <row r="3491" spans="6:30" x14ac:dyDescent="0.25">
      <c r="F3491" s="85" t="str">
        <f t="shared" si="2"/>
        <v/>
      </c>
      <c r="AB3491" s="86"/>
      <c r="AD3491" s="100"/>
    </row>
    <row r="3492" spans="6:30" x14ac:dyDescent="0.25">
      <c r="F3492" s="85" t="str">
        <f t="shared" si="2"/>
        <v/>
      </c>
      <c r="AB3492" s="86"/>
      <c r="AD3492" s="100"/>
    </row>
    <row r="3493" spans="6:30" x14ac:dyDescent="0.25">
      <c r="F3493" s="85" t="str">
        <f t="shared" si="2"/>
        <v/>
      </c>
      <c r="AB3493" s="86"/>
      <c r="AD3493" s="100"/>
    </row>
    <row r="3494" spans="6:30" x14ac:dyDescent="0.25">
      <c r="F3494" s="85" t="str">
        <f t="shared" si="2"/>
        <v/>
      </c>
      <c r="AB3494" s="86"/>
      <c r="AD3494" s="100"/>
    </row>
    <row r="3495" spans="6:30" x14ac:dyDescent="0.25">
      <c r="F3495" s="85" t="str">
        <f t="shared" si="2"/>
        <v/>
      </c>
      <c r="AB3495" s="86"/>
      <c r="AD3495" s="100"/>
    </row>
    <row r="3496" spans="6:30" x14ac:dyDescent="0.25">
      <c r="F3496" s="85" t="str">
        <f t="shared" si="2"/>
        <v/>
      </c>
      <c r="AB3496" s="86"/>
      <c r="AD3496" s="100"/>
    </row>
    <row r="3497" spans="6:30" x14ac:dyDescent="0.25">
      <c r="F3497" s="85" t="str">
        <f t="shared" si="2"/>
        <v/>
      </c>
      <c r="AB3497" s="86"/>
      <c r="AD3497" s="100"/>
    </row>
    <row r="3498" spans="6:30" x14ac:dyDescent="0.25">
      <c r="F3498" s="85" t="str">
        <f t="shared" si="2"/>
        <v/>
      </c>
      <c r="AB3498" s="86"/>
      <c r="AD3498" s="100"/>
    </row>
    <row r="3499" spans="6:30" x14ac:dyDescent="0.25">
      <c r="F3499" s="85" t="str">
        <f t="shared" si="2"/>
        <v/>
      </c>
      <c r="AB3499" s="86"/>
      <c r="AD3499" s="100"/>
    </row>
    <row r="3500" spans="6:30" x14ac:dyDescent="0.25">
      <c r="F3500" s="85" t="str">
        <f t="shared" si="2"/>
        <v/>
      </c>
      <c r="AB3500" s="86"/>
      <c r="AD3500" s="100"/>
    </row>
    <row r="3501" spans="6:30" x14ac:dyDescent="0.25">
      <c r="F3501" s="85" t="str">
        <f t="shared" si="2"/>
        <v/>
      </c>
      <c r="AB3501" s="86"/>
      <c r="AD3501" s="100"/>
    </row>
    <row r="3502" spans="6:30" x14ac:dyDescent="0.25">
      <c r="F3502" s="85" t="str">
        <f t="shared" si="2"/>
        <v/>
      </c>
      <c r="AB3502" s="86"/>
      <c r="AD3502" s="100"/>
    </row>
    <row r="3503" spans="6:30" x14ac:dyDescent="0.25">
      <c r="F3503" s="85" t="str">
        <f t="shared" si="2"/>
        <v/>
      </c>
      <c r="AB3503" s="86"/>
      <c r="AD3503" s="100"/>
    </row>
    <row r="3504" spans="6:30" x14ac:dyDescent="0.25">
      <c r="F3504" s="85" t="str">
        <f t="shared" si="2"/>
        <v/>
      </c>
      <c r="AB3504" s="86"/>
      <c r="AD3504" s="100"/>
    </row>
    <row r="3505" spans="6:30" x14ac:dyDescent="0.25">
      <c r="F3505" s="85" t="str">
        <f t="shared" si="2"/>
        <v/>
      </c>
      <c r="AB3505" s="86"/>
      <c r="AD3505" s="100"/>
    </row>
    <row r="3506" spans="6:30" x14ac:dyDescent="0.25">
      <c r="F3506" s="85" t="str">
        <f t="shared" si="2"/>
        <v/>
      </c>
      <c r="AB3506" s="86"/>
      <c r="AD3506" s="100"/>
    </row>
    <row r="3507" spans="6:30" x14ac:dyDescent="0.25">
      <c r="F3507" s="85" t="str">
        <f t="shared" si="2"/>
        <v/>
      </c>
      <c r="AB3507" s="86"/>
      <c r="AD3507" s="100"/>
    </row>
    <row r="3508" spans="6:30" x14ac:dyDescent="0.25">
      <c r="F3508" s="85" t="str">
        <f t="shared" si="2"/>
        <v/>
      </c>
      <c r="AB3508" s="86"/>
      <c r="AD3508" s="100"/>
    </row>
    <row r="3509" spans="6:30" x14ac:dyDescent="0.25">
      <c r="F3509" s="85" t="str">
        <f t="shared" si="2"/>
        <v/>
      </c>
      <c r="AB3509" s="86"/>
      <c r="AD3509" s="100"/>
    </row>
    <row r="3510" spans="6:30" x14ac:dyDescent="0.25">
      <c r="F3510" s="85" t="str">
        <f t="shared" si="2"/>
        <v/>
      </c>
      <c r="AB3510" s="86"/>
      <c r="AD3510" s="100"/>
    </row>
    <row r="3511" spans="6:30" x14ac:dyDescent="0.25">
      <c r="F3511" s="85" t="str">
        <f t="shared" si="2"/>
        <v/>
      </c>
      <c r="AB3511" s="86"/>
      <c r="AD3511" s="100"/>
    </row>
    <row r="3512" spans="6:30" x14ac:dyDescent="0.25">
      <c r="F3512" s="85" t="str">
        <f t="shared" si="2"/>
        <v/>
      </c>
      <c r="AB3512" s="86"/>
      <c r="AD3512" s="100"/>
    </row>
    <row r="3513" spans="6:30" x14ac:dyDescent="0.25">
      <c r="F3513" s="85" t="str">
        <f t="shared" si="2"/>
        <v/>
      </c>
      <c r="AB3513" s="86"/>
      <c r="AD3513" s="100"/>
    </row>
    <row r="3514" spans="6:30" x14ac:dyDescent="0.25">
      <c r="F3514" s="85" t="str">
        <f t="shared" si="2"/>
        <v/>
      </c>
      <c r="AB3514" s="86"/>
      <c r="AD3514" s="100"/>
    </row>
    <row r="3515" spans="6:30" x14ac:dyDescent="0.25">
      <c r="F3515" s="85" t="str">
        <f t="shared" si="2"/>
        <v/>
      </c>
      <c r="AB3515" s="86"/>
      <c r="AD3515" s="100"/>
    </row>
    <row r="3516" spans="6:30" x14ac:dyDescent="0.25">
      <c r="F3516" s="85" t="str">
        <f t="shared" si="2"/>
        <v/>
      </c>
      <c r="AB3516" s="86"/>
      <c r="AD3516" s="100"/>
    </row>
    <row r="3517" spans="6:30" x14ac:dyDescent="0.25">
      <c r="F3517" s="85" t="str">
        <f t="shared" si="2"/>
        <v/>
      </c>
      <c r="AB3517" s="86"/>
      <c r="AD3517" s="100"/>
    </row>
    <row r="3518" spans="6:30" x14ac:dyDescent="0.25">
      <c r="F3518" s="85" t="str">
        <f t="shared" si="2"/>
        <v/>
      </c>
      <c r="AB3518" s="86"/>
      <c r="AD3518" s="100"/>
    </row>
    <row r="3519" spans="6:30" x14ac:dyDescent="0.25">
      <c r="F3519" s="85" t="str">
        <f t="shared" si="2"/>
        <v/>
      </c>
      <c r="AB3519" s="86"/>
      <c r="AD3519" s="100"/>
    </row>
    <row r="3520" spans="6:30" x14ac:dyDescent="0.25">
      <c r="F3520" s="85" t="str">
        <f t="shared" si="2"/>
        <v/>
      </c>
      <c r="AB3520" s="86"/>
      <c r="AD3520" s="100"/>
    </row>
    <row r="3521" spans="6:30" x14ac:dyDescent="0.25">
      <c r="F3521" s="85" t="str">
        <f t="shared" si="2"/>
        <v/>
      </c>
      <c r="AB3521" s="86"/>
      <c r="AD3521" s="100"/>
    </row>
    <row r="3522" spans="6:30" x14ac:dyDescent="0.25">
      <c r="F3522" s="85" t="str">
        <f t="shared" si="2"/>
        <v/>
      </c>
      <c r="AB3522" s="86"/>
      <c r="AD3522" s="100"/>
    </row>
    <row r="3523" spans="6:30" x14ac:dyDescent="0.25">
      <c r="F3523" s="85" t="str">
        <f t="shared" ref="F3523:F3586" si="3">IF($A3523="","",CONCATENATE($A3523,"_",$B3523,"_",$C3523))</f>
        <v/>
      </c>
      <c r="AB3523" s="86"/>
      <c r="AD3523" s="100"/>
    </row>
    <row r="3524" spans="6:30" x14ac:dyDescent="0.25">
      <c r="F3524" s="85" t="str">
        <f t="shared" si="3"/>
        <v/>
      </c>
      <c r="AB3524" s="86"/>
      <c r="AD3524" s="100"/>
    </row>
    <row r="3525" spans="6:30" x14ac:dyDescent="0.25">
      <c r="F3525" s="85" t="str">
        <f t="shared" si="3"/>
        <v/>
      </c>
      <c r="AB3525" s="86"/>
      <c r="AD3525" s="100"/>
    </row>
    <row r="3526" spans="6:30" x14ac:dyDescent="0.25">
      <c r="F3526" s="85" t="str">
        <f t="shared" si="3"/>
        <v/>
      </c>
      <c r="AB3526" s="86"/>
      <c r="AD3526" s="100"/>
    </row>
    <row r="3527" spans="6:30" x14ac:dyDescent="0.25">
      <c r="F3527" s="85" t="str">
        <f t="shared" si="3"/>
        <v/>
      </c>
      <c r="AB3527" s="86"/>
      <c r="AD3527" s="100"/>
    </row>
    <row r="3528" spans="6:30" x14ac:dyDescent="0.25">
      <c r="F3528" s="85" t="str">
        <f t="shared" si="3"/>
        <v/>
      </c>
      <c r="AB3528" s="86"/>
      <c r="AD3528" s="100"/>
    </row>
    <row r="3529" spans="6:30" x14ac:dyDescent="0.25">
      <c r="F3529" s="85" t="str">
        <f t="shared" si="3"/>
        <v/>
      </c>
      <c r="AB3529" s="86"/>
      <c r="AD3529" s="100"/>
    </row>
    <row r="3530" spans="6:30" x14ac:dyDescent="0.25">
      <c r="F3530" s="85" t="str">
        <f t="shared" si="3"/>
        <v/>
      </c>
      <c r="AB3530" s="86"/>
      <c r="AD3530" s="100"/>
    </row>
    <row r="3531" spans="6:30" x14ac:dyDescent="0.25">
      <c r="F3531" s="85" t="str">
        <f t="shared" si="3"/>
        <v/>
      </c>
      <c r="AB3531" s="86"/>
      <c r="AD3531" s="100"/>
    </row>
    <row r="3532" spans="6:30" x14ac:dyDescent="0.25">
      <c r="F3532" s="85" t="str">
        <f t="shared" si="3"/>
        <v/>
      </c>
      <c r="AB3532" s="86"/>
      <c r="AD3532" s="100"/>
    </row>
    <row r="3533" spans="6:30" x14ac:dyDescent="0.25">
      <c r="F3533" s="85" t="str">
        <f t="shared" si="3"/>
        <v/>
      </c>
      <c r="AB3533" s="86"/>
      <c r="AD3533" s="100"/>
    </row>
    <row r="3534" spans="6:30" x14ac:dyDescent="0.25">
      <c r="F3534" s="85" t="str">
        <f t="shared" si="3"/>
        <v/>
      </c>
      <c r="AB3534" s="86"/>
      <c r="AD3534" s="100"/>
    </row>
    <row r="3535" spans="6:30" x14ac:dyDescent="0.25">
      <c r="F3535" s="85" t="str">
        <f t="shared" si="3"/>
        <v/>
      </c>
      <c r="AB3535" s="86"/>
      <c r="AD3535" s="100"/>
    </row>
    <row r="3536" spans="6:30" x14ac:dyDescent="0.25">
      <c r="F3536" s="85" t="str">
        <f t="shared" si="3"/>
        <v/>
      </c>
      <c r="AB3536" s="86"/>
      <c r="AD3536" s="100"/>
    </row>
    <row r="3537" spans="6:30" x14ac:dyDescent="0.25">
      <c r="F3537" s="85" t="str">
        <f t="shared" si="3"/>
        <v/>
      </c>
      <c r="AB3537" s="86"/>
      <c r="AD3537" s="100"/>
    </row>
    <row r="3538" spans="6:30" x14ac:dyDescent="0.25">
      <c r="F3538" s="85" t="str">
        <f t="shared" si="3"/>
        <v/>
      </c>
      <c r="AB3538" s="86"/>
      <c r="AD3538" s="100"/>
    </row>
    <row r="3539" spans="6:30" x14ac:dyDescent="0.25">
      <c r="F3539" s="85" t="str">
        <f t="shared" si="3"/>
        <v/>
      </c>
      <c r="AB3539" s="86"/>
      <c r="AD3539" s="100"/>
    </row>
    <row r="3540" spans="6:30" x14ac:dyDescent="0.25">
      <c r="F3540" s="85" t="str">
        <f t="shared" si="3"/>
        <v/>
      </c>
      <c r="AB3540" s="86"/>
      <c r="AD3540" s="100"/>
    </row>
    <row r="3541" spans="6:30" x14ac:dyDescent="0.25">
      <c r="F3541" s="85" t="str">
        <f t="shared" si="3"/>
        <v/>
      </c>
      <c r="AB3541" s="86"/>
      <c r="AD3541" s="100"/>
    </row>
    <row r="3542" spans="6:30" x14ac:dyDescent="0.25">
      <c r="F3542" s="85" t="str">
        <f t="shared" si="3"/>
        <v/>
      </c>
      <c r="AB3542" s="86"/>
      <c r="AD3542" s="100"/>
    </row>
    <row r="3543" spans="6:30" x14ac:dyDescent="0.25">
      <c r="F3543" s="85" t="str">
        <f t="shared" si="3"/>
        <v/>
      </c>
      <c r="AB3543" s="86"/>
      <c r="AD3543" s="100"/>
    </row>
    <row r="3544" spans="6:30" x14ac:dyDescent="0.25">
      <c r="F3544" s="85" t="str">
        <f t="shared" si="3"/>
        <v/>
      </c>
      <c r="AB3544" s="86"/>
      <c r="AD3544" s="100"/>
    </row>
    <row r="3545" spans="6:30" x14ac:dyDescent="0.25">
      <c r="F3545" s="85" t="str">
        <f t="shared" si="3"/>
        <v/>
      </c>
      <c r="AB3545" s="86"/>
      <c r="AD3545" s="100"/>
    </row>
    <row r="3546" spans="6:30" x14ac:dyDescent="0.25">
      <c r="F3546" s="85" t="str">
        <f t="shared" si="3"/>
        <v/>
      </c>
      <c r="AB3546" s="86"/>
      <c r="AD3546" s="100"/>
    </row>
    <row r="3547" spans="6:30" x14ac:dyDescent="0.25">
      <c r="F3547" s="85" t="str">
        <f t="shared" si="3"/>
        <v/>
      </c>
      <c r="AB3547" s="86"/>
      <c r="AD3547" s="100"/>
    </row>
    <row r="3548" spans="6:30" x14ac:dyDescent="0.25">
      <c r="F3548" s="85" t="str">
        <f t="shared" si="3"/>
        <v/>
      </c>
      <c r="AB3548" s="86"/>
      <c r="AD3548" s="100"/>
    </row>
    <row r="3549" spans="6:30" x14ac:dyDescent="0.25">
      <c r="F3549" s="85" t="str">
        <f t="shared" si="3"/>
        <v/>
      </c>
      <c r="AB3549" s="86"/>
      <c r="AD3549" s="100"/>
    </row>
    <row r="3550" spans="6:30" x14ac:dyDescent="0.25">
      <c r="F3550" s="85" t="str">
        <f t="shared" si="3"/>
        <v/>
      </c>
      <c r="AB3550" s="86"/>
      <c r="AD3550" s="100"/>
    </row>
    <row r="3551" spans="6:30" x14ac:dyDescent="0.25">
      <c r="F3551" s="85" t="str">
        <f t="shared" si="3"/>
        <v/>
      </c>
      <c r="AB3551" s="86"/>
      <c r="AD3551" s="100"/>
    </row>
    <row r="3552" spans="6:30" x14ac:dyDescent="0.25">
      <c r="F3552" s="85" t="str">
        <f t="shared" si="3"/>
        <v/>
      </c>
      <c r="AB3552" s="86"/>
      <c r="AD3552" s="100"/>
    </row>
    <row r="3553" spans="6:30" x14ac:dyDescent="0.25">
      <c r="F3553" s="85" t="str">
        <f t="shared" si="3"/>
        <v/>
      </c>
      <c r="AB3553" s="86"/>
      <c r="AD3553" s="100"/>
    </row>
    <row r="3554" spans="6:30" x14ac:dyDescent="0.25">
      <c r="F3554" s="85" t="str">
        <f t="shared" si="3"/>
        <v/>
      </c>
      <c r="AB3554" s="86"/>
      <c r="AD3554" s="100"/>
    </row>
    <row r="3555" spans="6:30" x14ac:dyDescent="0.25">
      <c r="F3555" s="85" t="str">
        <f t="shared" si="3"/>
        <v/>
      </c>
      <c r="AB3555" s="86"/>
      <c r="AD3555" s="100"/>
    </row>
    <row r="3556" spans="6:30" x14ac:dyDescent="0.25">
      <c r="F3556" s="85" t="str">
        <f t="shared" si="3"/>
        <v/>
      </c>
      <c r="AB3556" s="86"/>
      <c r="AD3556" s="100"/>
    </row>
    <row r="3557" spans="6:30" x14ac:dyDescent="0.25">
      <c r="F3557" s="85" t="str">
        <f t="shared" si="3"/>
        <v/>
      </c>
      <c r="AB3557" s="86"/>
      <c r="AD3557" s="100"/>
    </row>
    <row r="3558" spans="6:30" x14ac:dyDescent="0.25">
      <c r="F3558" s="85" t="str">
        <f t="shared" si="3"/>
        <v/>
      </c>
      <c r="AB3558" s="86"/>
      <c r="AD3558" s="100"/>
    </row>
    <row r="3559" spans="6:30" x14ac:dyDescent="0.25">
      <c r="F3559" s="85" t="str">
        <f t="shared" si="3"/>
        <v/>
      </c>
      <c r="AB3559" s="86"/>
      <c r="AD3559" s="100"/>
    </row>
    <row r="3560" spans="6:30" x14ac:dyDescent="0.25">
      <c r="F3560" s="85" t="str">
        <f t="shared" si="3"/>
        <v/>
      </c>
      <c r="AB3560" s="86"/>
      <c r="AD3560" s="100"/>
    </row>
    <row r="3561" spans="6:30" x14ac:dyDescent="0.25">
      <c r="F3561" s="85" t="str">
        <f t="shared" si="3"/>
        <v/>
      </c>
      <c r="AB3561" s="86"/>
      <c r="AD3561" s="100"/>
    </row>
    <row r="3562" spans="6:30" x14ac:dyDescent="0.25">
      <c r="F3562" s="85" t="str">
        <f t="shared" si="3"/>
        <v/>
      </c>
      <c r="AB3562" s="86"/>
      <c r="AD3562" s="100"/>
    </row>
    <row r="3563" spans="6:30" x14ac:dyDescent="0.25">
      <c r="F3563" s="85" t="str">
        <f t="shared" si="3"/>
        <v/>
      </c>
      <c r="AB3563" s="86"/>
      <c r="AD3563" s="100"/>
    </row>
    <row r="3564" spans="6:30" x14ac:dyDescent="0.25">
      <c r="F3564" s="85" t="str">
        <f t="shared" si="3"/>
        <v/>
      </c>
      <c r="AB3564" s="86"/>
      <c r="AD3564" s="100"/>
    </row>
    <row r="3565" spans="6:30" x14ac:dyDescent="0.25">
      <c r="F3565" s="85" t="str">
        <f t="shared" si="3"/>
        <v/>
      </c>
      <c r="AB3565" s="86"/>
      <c r="AD3565" s="100"/>
    </row>
    <row r="3566" spans="6:30" x14ac:dyDescent="0.25">
      <c r="F3566" s="85" t="str">
        <f t="shared" si="3"/>
        <v/>
      </c>
      <c r="AB3566" s="86"/>
      <c r="AD3566" s="100"/>
    </row>
    <row r="3567" spans="6:30" x14ac:dyDescent="0.25">
      <c r="F3567" s="85" t="str">
        <f t="shared" si="3"/>
        <v/>
      </c>
      <c r="AB3567" s="86"/>
      <c r="AD3567" s="100"/>
    </row>
    <row r="3568" spans="6:30" x14ac:dyDescent="0.25">
      <c r="F3568" s="85" t="str">
        <f t="shared" si="3"/>
        <v/>
      </c>
      <c r="AB3568" s="86"/>
      <c r="AD3568" s="100"/>
    </row>
    <row r="3569" spans="6:30" x14ac:dyDescent="0.25">
      <c r="F3569" s="85" t="str">
        <f t="shared" si="3"/>
        <v/>
      </c>
      <c r="AB3569" s="86"/>
      <c r="AD3569" s="100"/>
    </row>
    <row r="3570" spans="6:30" x14ac:dyDescent="0.25">
      <c r="F3570" s="85" t="str">
        <f t="shared" si="3"/>
        <v/>
      </c>
      <c r="AB3570" s="86"/>
      <c r="AD3570" s="100"/>
    </row>
    <row r="3571" spans="6:30" x14ac:dyDescent="0.25">
      <c r="F3571" s="85" t="str">
        <f t="shared" si="3"/>
        <v/>
      </c>
      <c r="AB3571" s="86"/>
      <c r="AD3571" s="100"/>
    </row>
    <row r="3572" spans="6:30" x14ac:dyDescent="0.25">
      <c r="F3572" s="85" t="str">
        <f t="shared" si="3"/>
        <v/>
      </c>
      <c r="AB3572" s="86"/>
      <c r="AD3572" s="100"/>
    </row>
    <row r="3573" spans="6:30" x14ac:dyDescent="0.25">
      <c r="F3573" s="85" t="str">
        <f t="shared" si="3"/>
        <v/>
      </c>
      <c r="AB3573" s="86"/>
      <c r="AD3573" s="100"/>
    </row>
    <row r="3574" spans="6:30" x14ac:dyDescent="0.25">
      <c r="F3574" s="85" t="str">
        <f t="shared" si="3"/>
        <v/>
      </c>
      <c r="AB3574" s="86"/>
      <c r="AD3574" s="100"/>
    </row>
    <row r="3575" spans="6:30" x14ac:dyDescent="0.25">
      <c r="F3575" s="85" t="str">
        <f t="shared" si="3"/>
        <v/>
      </c>
      <c r="AB3575" s="86"/>
      <c r="AD3575" s="100"/>
    </row>
    <row r="3576" spans="6:30" x14ac:dyDescent="0.25">
      <c r="F3576" s="85" t="str">
        <f t="shared" si="3"/>
        <v/>
      </c>
      <c r="AB3576" s="86"/>
      <c r="AD3576" s="100"/>
    </row>
    <row r="3577" spans="6:30" x14ac:dyDescent="0.25">
      <c r="F3577" s="85" t="str">
        <f t="shared" si="3"/>
        <v/>
      </c>
      <c r="AB3577" s="86"/>
      <c r="AD3577" s="100"/>
    </row>
    <row r="3578" spans="6:30" x14ac:dyDescent="0.25">
      <c r="F3578" s="85" t="str">
        <f t="shared" si="3"/>
        <v/>
      </c>
      <c r="AB3578" s="86"/>
      <c r="AD3578" s="100"/>
    </row>
    <row r="3579" spans="6:30" x14ac:dyDescent="0.25">
      <c r="F3579" s="85" t="str">
        <f t="shared" si="3"/>
        <v/>
      </c>
      <c r="AB3579" s="86"/>
      <c r="AD3579" s="100"/>
    </row>
    <row r="3580" spans="6:30" x14ac:dyDescent="0.25">
      <c r="F3580" s="85" t="str">
        <f t="shared" si="3"/>
        <v/>
      </c>
      <c r="AB3580" s="86"/>
    </row>
    <row r="3581" spans="6:30" x14ac:dyDescent="0.25">
      <c r="F3581" s="85" t="str">
        <f t="shared" si="3"/>
        <v/>
      </c>
      <c r="AB3581" s="86"/>
      <c r="AD3581" s="100"/>
    </row>
    <row r="3582" spans="6:30" x14ac:dyDescent="0.25">
      <c r="F3582" s="85" t="str">
        <f t="shared" si="3"/>
        <v/>
      </c>
      <c r="AB3582" s="86"/>
      <c r="AD3582" s="100"/>
    </row>
    <row r="3583" spans="6:30" x14ac:dyDescent="0.25">
      <c r="F3583" s="85" t="str">
        <f t="shared" si="3"/>
        <v/>
      </c>
      <c r="AB3583" s="86"/>
      <c r="AD3583" s="100"/>
    </row>
    <row r="3584" spans="6:30" x14ac:dyDescent="0.25">
      <c r="F3584" s="85" t="str">
        <f t="shared" si="3"/>
        <v/>
      </c>
      <c r="AB3584" s="86"/>
      <c r="AD3584" s="100"/>
    </row>
    <row r="3585" spans="6:30" x14ac:dyDescent="0.25">
      <c r="F3585" s="85" t="str">
        <f t="shared" si="3"/>
        <v/>
      </c>
      <c r="AB3585" s="86"/>
      <c r="AD3585" s="100"/>
    </row>
    <row r="3586" spans="6:30" x14ac:dyDescent="0.25">
      <c r="F3586" s="85" t="str">
        <f t="shared" si="3"/>
        <v/>
      </c>
      <c r="AB3586" s="86"/>
      <c r="AD3586" s="100"/>
    </row>
    <row r="3587" spans="6:30" x14ac:dyDescent="0.25">
      <c r="F3587" s="85" t="str">
        <f t="shared" ref="F3587:F3650" si="4">IF($A3587="","",CONCATENATE($A3587,"_",$B3587,"_",$C3587))</f>
        <v/>
      </c>
      <c r="AB3587" s="86"/>
    </row>
    <row r="3588" spans="6:30" x14ac:dyDescent="0.25">
      <c r="F3588" s="85" t="str">
        <f t="shared" si="4"/>
        <v/>
      </c>
      <c r="AB3588" s="86"/>
      <c r="AD3588" s="100"/>
    </row>
    <row r="3589" spans="6:30" x14ac:dyDescent="0.25">
      <c r="F3589" s="85" t="str">
        <f t="shared" si="4"/>
        <v/>
      </c>
      <c r="AB3589" s="86"/>
    </row>
    <row r="3590" spans="6:30" x14ac:dyDescent="0.25">
      <c r="F3590" s="85" t="str">
        <f t="shared" si="4"/>
        <v/>
      </c>
      <c r="AB3590" s="86"/>
      <c r="AD3590" s="100"/>
    </row>
    <row r="3591" spans="6:30" x14ac:dyDescent="0.25">
      <c r="F3591" s="85" t="str">
        <f t="shared" si="4"/>
        <v/>
      </c>
      <c r="AB3591" s="86"/>
      <c r="AD3591" s="100"/>
    </row>
    <row r="3592" spans="6:30" x14ac:dyDescent="0.25">
      <c r="F3592" s="85" t="str">
        <f t="shared" si="4"/>
        <v/>
      </c>
      <c r="AB3592" s="86"/>
      <c r="AD3592" s="100"/>
    </row>
    <row r="3593" spans="6:30" x14ac:dyDescent="0.25">
      <c r="F3593" s="85" t="str">
        <f t="shared" si="4"/>
        <v/>
      </c>
      <c r="AB3593" s="86"/>
      <c r="AD3593" s="100"/>
    </row>
    <row r="3594" spans="6:30" x14ac:dyDescent="0.25">
      <c r="F3594" s="85" t="str">
        <f t="shared" si="4"/>
        <v/>
      </c>
      <c r="AB3594" s="86"/>
      <c r="AD3594" s="100"/>
    </row>
    <row r="3595" spans="6:30" x14ac:dyDescent="0.25">
      <c r="F3595" s="85" t="str">
        <f t="shared" si="4"/>
        <v/>
      </c>
      <c r="AB3595" s="86"/>
      <c r="AD3595" s="100"/>
    </row>
    <row r="3596" spans="6:30" x14ac:dyDescent="0.25">
      <c r="F3596" s="85" t="str">
        <f t="shared" si="4"/>
        <v/>
      </c>
      <c r="AB3596" s="86"/>
    </row>
    <row r="3597" spans="6:30" x14ac:dyDescent="0.25">
      <c r="F3597" s="85" t="str">
        <f t="shared" si="4"/>
        <v/>
      </c>
      <c r="AB3597" s="86"/>
      <c r="AD3597" s="100"/>
    </row>
    <row r="3598" spans="6:30" x14ac:dyDescent="0.25">
      <c r="F3598" s="85" t="str">
        <f t="shared" si="4"/>
        <v/>
      </c>
      <c r="AB3598" s="86"/>
      <c r="AD3598" s="100"/>
    </row>
    <row r="3599" spans="6:30" x14ac:dyDescent="0.25">
      <c r="F3599" s="85" t="str">
        <f t="shared" si="4"/>
        <v/>
      </c>
      <c r="AB3599" s="86"/>
      <c r="AD3599" s="100"/>
    </row>
    <row r="3600" spans="6:30" x14ac:dyDescent="0.25">
      <c r="F3600" s="85" t="str">
        <f t="shared" si="4"/>
        <v/>
      </c>
      <c r="AB3600" s="86"/>
      <c r="AD3600" s="100"/>
    </row>
    <row r="3601" spans="6:30" x14ac:dyDescent="0.25">
      <c r="F3601" s="85" t="str">
        <f t="shared" si="4"/>
        <v/>
      </c>
      <c r="AB3601" s="86"/>
    </row>
    <row r="3602" spans="6:30" x14ac:dyDescent="0.25">
      <c r="F3602" s="85" t="str">
        <f t="shared" si="4"/>
        <v/>
      </c>
      <c r="AB3602" s="86"/>
      <c r="AD3602" s="100"/>
    </row>
    <row r="3603" spans="6:30" x14ac:dyDescent="0.25">
      <c r="F3603" s="85" t="str">
        <f t="shared" si="4"/>
        <v/>
      </c>
      <c r="AB3603" s="86"/>
    </row>
    <row r="3604" spans="6:30" x14ac:dyDescent="0.25">
      <c r="F3604" s="85" t="str">
        <f t="shared" si="4"/>
        <v/>
      </c>
      <c r="AB3604" s="86"/>
      <c r="AD3604" s="100"/>
    </row>
    <row r="3605" spans="6:30" x14ac:dyDescent="0.25">
      <c r="F3605" s="85" t="str">
        <f t="shared" si="4"/>
        <v/>
      </c>
      <c r="AB3605" s="86"/>
    </row>
    <row r="3606" spans="6:30" x14ac:dyDescent="0.25">
      <c r="F3606" s="85" t="str">
        <f t="shared" si="4"/>
        <v/>
      </c>
      <c r="AB3606" s="86"/>
      <c r="AD3606" s="100"/>
    </row>
    <row r="3607" spans="6:30" x14ac:dyDescent="0.25">
      <c r="F3607" s="85" t="str">
        <f t="shared" si="4"/>
        <v/>
      </c>
      <c r="AB3607" s="86"/>
      <c r="AD3607" s="100"/>
    </row>
    <row r="3608" spans="6:30" x14ac:dyDescent="0.25">
      <c r="F3608" s="85" t="str">
        <f t="shared" si="4"/>
        <v/>
      </c>
      <c r="AB3608" s="86"/>
      <c r="AD3608" s="100"/>
    </row>
    <row r="3609" spans="6:30" x14ac:dyDescent="0.25">
      <c r="F3609" s="85" t="str">
        <f t="shared" si="4"/>
        <v/>
      </c>
      <c r="AB3609" s="86"/>
      <c r="AD3609" s="100"/>
    </row>
    <row r="3610" spans="6:30" x14ac:dyDescent="0.25">
      <c r="F3610" s="85" t="str">
        <f t="shared" si="4"/>
        <v/>
      </c>
      <c r="AB3610" s="86"/>
      <c r="AD3610" s="100"/>
    </row>
    <row r="3611" spans="6:30" x14ac:dyDescent="0.25">
      <c r="F3611" s="85" t="str">
        <f t="shared" si="4"/>
        <v/>
      </c>
      <c r="AB3611" s="86"/>
      <c r="AD3611" s="100"/>
    </row>
    <row r="3612" spans="6:30" x14ac:dyDescent="0.25">
      <c r="F3612" s="85" t="str">
        <f t="shared" si="4"/>
        <v/>
      </c>
      <c r="AB3612" s="86"/>
      <c r="AD3612" s="100"/>
    </row>
    <row r="3613" spans="6:30" x14ac:dyDescent="0.25">
      <c r="F3613" s="85" t="str">
        <f t="shared" si="4"/>
        <v/>
      </c>
      <c r="AB3613" s="86"/>
      <c r="AD3613" s="100"/>
    </row>
    <row r="3614" spans="6:30" x14ac:dyDescent="0.25">
      <c r="F3614" s="85" t="str">
        <f t="shared" si="4"/>
        <v/>
      </c>
      <c r="AB3614" s="86"/>
      <c r="AD3614" s="100"/>
    </row>
    <row r="3615" spans="6:30" x14ac:dyDescent="0.25">
      <c r="F3615" s="85" t="str">
        <f t="shared" si="4"/>
        <v/>
      </c>
      <c r="AB3615" s="86"/>
      <c r="AD3615" s="100"/>
    </row>
    <row r="3616" spans="6:30" x14ac:dyDescent="0.25">
      <c r="F3616" s="85" t="str">
        <f t="shared" si="4"/>
        <v/>
      </c>
      <c r="AB3616" s="86"/>
      <c r="AD3616" s="100"/>
    </row>
    <row r="3617" spans="6:30" x14ac:dyDescent="0.25">
      <c r="F3617" s="85" t="str">
        <f t="shared" si="4"/>
        <v/>
      </c>
      <c r="AB3617" s="86"/>
      <c r="AD3617" s="100"/>
    </row>
    <row r="3618" spans="6:30" x14ac:dyDescent="0.25">
      <c r="F3618" s="85" t="str">
        <f t="shared" si="4"/>
        <v/>
      </c>
      <c r="AB3618" s="86"/>
      <c r="AD3618" s="100"/>
    </row>
    <row r="3619" spans="6:30" x14ac:dyDescent="0.25">
      <c r="F3619" s="85" t="str">
        <f t="shared" si="4"/>
        <v/>
      </c>
      <c r="AB3619" s="86"/>
      <c r="AD3619" s="100"/>
    </row>
    <row r="3620" spans="6:30" x14ac:dyDescent="0.25">
      <c r="F3620" s="85" t="str">
        <f t="shared" si="4"/>
        <v/>
      </c>
      <c r="AB3620" s="86"/>
      <c r="AD3620" s="100"/>
    </row>
    <row r="3621" spans="6:30" x14ac:dyDescent="0.25">
      <c r="F3621" s="85" t="str">
        <f t="shared" si="4"/>
        <v/>
      </c>
      <c r="AB3621" s="86"/>
      <c r="AD3621" s="100"/>
    </row>
    <row r="3622" spans="6:30" x14ac:dyDescent="0.25">
      <c r="F3622" s="85" t="str">
        <f t="shared" si="4"/>
        <v/>
      </c>
      <c r="AB3622" s="86"/>
      <c r="AD3622" s="100"/>
    </row>
    <row r="3623" spans="6:30" x14ac:dyDescent="0.25">
      <c r="F3623" s="85" t="str">
        <f t="shared" si="4"/>
        <v/>
      </c>
      <c r="AB3623" s="86"/>
    </row>
    <row r="3624" spans="6:30" x14ac:dyDescent="0.25">
      <c r="F3624" s="85" t="str">
        <f t="shared" si="4"/>
        <v/>
      </c>
      <c r="AB3624" s="86"/>
      <c r="AD3624" s="100"/>
    </row>
    <row r="3625" spans="6:30" x14ac:dyDescent="0.25">
      <c r="F3625" s="85" t="str">
        <f t="shared" si="4"/>
        <v/>
      </c>
      <c r="AB3625" s="86"/>
      <c r="AD3625" s="100"/>
    </row>
    <row r="3626" spans="6:30" x14ac:dyDescent="0.25">
      <c r="F3626" s="85" t="str">
        <f t="shared" si="4"/>
        <v/>
      </c>
      <c r="AB3626" s="86"/>
      <c r="AD3626" s="100"/>
    </row>
    <row r="3627" spans="6:30" x14ac:dyDescent="0.25">
      <c r="F3627" s="85" t="str">
        <f t="shared" si="4"/>
        <v/>
      </c>
      <c r="AB3627" s="86"/>
      <c r="AD3627" s="100"/>
    </row>
    <row r="3628" spans="6:30" x14ac:dyDescent="0.25">
      <c r="F3628" s="85" t="str">
        <f t="shared" si="4"/>
        <v/>
      </c>
      <c r="AB3628" s="86"/>
      <c r="AD3628" s="100"/>
    </row>
    <row r="3629" spans="6:30" x14ac:dyDescent="0.25">
      <c r="F3629" s="85" t="str">
        <f t="shared" si="4"/>
        <v/>
      </c>
      <c r="AB3629" s="86"/>
      <c r="AD3629" s="100"/>
    </row>
    <row r="3630" spans="6:30" x14ac:dyDescent="0.25">
      <c r="F3630" s="85" t="str">
        <f t="shared" si="4"/>
        <v/>
      </c>
      <c r="AB3630" s="86"/>
    </row>
    <row r="3631" spans="6:30" x14ac:dyDescent="0.25">
      <c r="F3631" s="85" t="str">
        <f t="shared" si="4"/>
        <v/>
      </c>
      <c r="AB3631" s="86"/>
    </row>
    <row r="3632" spans="6:30" x14ac:dyDescent="0.25">
      <c r="F3632" s="85" t="str">
        <f t="shared" si="4"/>
        <v/>
      </c>
      <c r="AB3632" s="86"/>
    </row>
    <row r="3633" spans="6:30" x14ac:dyDescent="0.25">
      <c r="F3633" s="85" t="str">
        <f t="shared" si="4"/>
        <v/>
      </c>
      <c r="AB3633" s="86"/>
    </row>
    <row r="3634" spans="6:30" x14ac:dyDescent="0.25">
      <c r="F3634" s="85" t="str">
        <f t="shared" si="4"/>
        <v/>
      </c>
      <c r="AB3634" s="86"/>
    </row>
    <row r="3635" spans="6:30" x14ac:dyDescent="0.25">
      <c r="F3635" s="85" t="str">
        <f t="shared" si="4"/>
        <v/>
      </c>
      <c r="AB3635" s="86"/>
      <c r="AD3635" s="100"/>
    </row>
    <row r="3636" spans="6:30" x14ac:dyDescent="0.25">
      <c r="F3636" s="85" t="str">
        <f t="shared" si="4"/>
        <v/>
      </c>
      <c r="AB3636" s="86"/>
    </row>
    <row r="3637" spans="6:30" x14ac:dyDescent="0.25">
      <c r="F3637" s="85" t="str">
        <f t="shared" si="4"/>
        <v/>
      </c>
      <c r="AB3637" s="86"/>
    </row>
    <row r="3638" spans="6:30" x14ac:dyDescent="0.25">
      <c r="F3638" s="85" t="str">
        <f t="shared" si="4"/>
        <v/>
      </c>
      <c r="AB3638" s="86"/>
    </row>
    <row r="3639" spans="6:30" x14ac:dyDescent="0.25">
      <c r="F3639" s="85" t="str">
        <f t="shared" si="4"/>
        <v/>
      </c>
      <c r="AB3639" s="86"/>
      <c r="AD3639" s="100"/>
    </row>
    <row r="3640" spans="6:30" x14ac:dyDescent="0.25">
      <c r="F3640" s="85" t="str">
        <f t="shared" si="4"/>
        <v/>
      </c>
      <c r="AB3640" s="86"/>
      <c r="AD3640" s="100"/>
    </row>
    <row r="3641" spans="6:30" x14ac:dyDescent="0.25">
      <c r="F3641" s="85" t="str">
        <f t="shared" si="4"/>
        <v/>
      </c>
      <c r="AB3641" s="86"/>
      <c r="AD3641" s="100"/>
    </row>
    <row r="3642" spans="6:30" x14ac:dyDescent="0.25">
      <c r="F3642" s="85" t="str">
        <f t="shared" si="4"/>
        <v/>
      </c>
      <c r="AB3642" s="86"/>
      <c r="AD3642" s="100"/>
    </row>
    <row r="3643" spans="6:30" x14ac:dyDescent="0.25">
      <c r="F3643" s="85" t="str">
        <f t="shared" si="4"/>
        <v/>
      </c>
      <c r="AB3643" s="86"/>
      <c r="AD3643" s="100"/>
    </row>
    <row r="3644" spans="6:30" x14ac:dyDescent="0.25">
      <c r="F3644" s="85" t="str">
        <f t="shared" si="4"/>
        <v/>
      </c>
      <c r="AB3644" s="86"/>
    </row>
    <row r="3645" spans="6:30" x14ac:dyDescent="0.25">
      <c r="F3645" s="85" t="str">
        <f t="shared" si="4"/>
        <v/>
      </c>
      <c r="AB3645" s="86"/>
    </row>
    <row r="3646" spans="6:30" x14ac:dyDescent="0.25">
      <c r="F3646" s="85" t="str">
        <f t="shared" si="4"/>
        <v/>
      </c>
      <c r="AB3646" s="86"/>
      <c r="AD3646" s="100"/>
    </row>
    <row r="3647" spans="6:30" x14ac:dyDescent="0.25">
      <c r="F3647" s="85" t="str">
        <f t="shared" si="4"/>
        <v/>
      </c>
      <c r="AB3647" s="86"/>
      <c r="AD3647" s="100"/>
    </row>
    <row r="3648" spans="6:30" x14ac:dyDescent="0.25">
      <c r="F3648" s="85" t="str">
        <f t="shared" si="4"/>
        <v/>
      </c>
      <c r="AB3648" s="86"/>
      <c r="AD3648" s="100"/>
    </row>
    <row r="3649" spans="6:30" x14ac:dyDescent="0.25">
      <c r="F3649" s="85" t="str">
        <f t="shared" si="4"/>
        <v/>
      </c>
      <c r="AB3649" s="86"/>
    </row>
    <row r="3650" spans="6:30" x14ac:dyDescent="0.25">
      <c r="F3650" s="85" t="str">
        <f t="shared" si="4"/>
        <v/>
      </c>
      <c r="AB3650" s="86"/>
    </row>
    <row r="3651" spans="6:30" x14ac:dyDescent="0.25">
      <c r="F3651" s="85" t="str">
        <f t="shared" ref="F3651:F3714" si="5">IF($A3651="","",CONCATENATE($A3651,"_",$B3651,"_",$C3651))</f>
        <v/>
      </c>
      <c r="AB3651" s="86"/>
    </row>
    <row r="3652" spans="6:30" x14ac:dyDescent="0.25">
      <c r="F3652" s="85" t="str">
        <f t="shared" si="5"/>
        <v/>
      </c>
      <c r="AB3652" s="86"/>
    </row>
    <row r="3653" spans="6:30" x14ac:dyDescent="0.25">
      <c r="F3653" s="85" t="str">
        <f t="shared" si="5"/>
        <v/>
      </c>
      <c r="AB3653" s="86"/>
      <c r="AD3653" s="100"/>
    </row>
    <row r="3654" spans="6:30" x14ac:dyDescent="0.25">
      <c r="F3654" s="85" t="str">
        <f t="shared" si="5"/>
        <v/>
      </c>
      <c r="AB3654" s="86"/>
      <c r="AD3654" s="100"/>
    </row>
    <row r="3655" spans="6:30" x14ac:dyDescent="0.25">
      <c r="F3655" s="85" t="str">
        <f t="shared" si="5"/>
        <v/>
      </c>
      <c r="AB3655" s="86"/>
      <c r="AD3655" s="100"/>
    </row>
    <row r="3656" spans="6:30" x14ac:dyDescent="0.25">
      <c r="F3656" s="85" t="str">
        <f t="shared" si="5"/>
        <v/>
      </c>
      <c r="AB3656" s="86"/>
      <c r="AD3656" s="100"/>
    </row>
    <row r="3657" spans="6:30" x14ac:dyDescent="0.25">
      <c r="F3657" s="85" t="str">
        <f t="shared" si="5"/>
        <v/>
      </c>
      <c r="AB3657" s="86"/>
      <c r="AD3657" s="100"/>
    </row>
    <row r="3658" spans="6:30" x14ac:dyDescent="0.25">
      <c r="F3658" s="85" t="str">
        <f t="shared" si="5"/>
        <v/>
      </c>
      <c r="AB3658" s="86"/>
      <c r="AD3658" s="100"/>
    </row>
    <row r="3659" spans="6:30" x14ac:dyDescent="0.25">
      <c r="F3659" s="85" t="str">
        <f t="shared" si="5"/>
        <v/>
      </c>
      <c r="AB3659" s="86"/>
      <c r="AD3659" s="100"/>
    </row>
    <row r="3660" spans="6:30" x14ac:dyDescent="0.25">
      <c r="F3660" s="85" t="str">
        <f t="shared" si="5"/>
        <v/>
      </c>
      <c r="AB3660" s="86"/>
      <c r="AD3660" s="100"/>
    </row>
    <row r="3661" spans="6:30" x14ac:dyDescent="0.25">
      <c r="F3661" s="85" t="str">
        <f t="shared" si="5"/>
        <v/>
      </c>
      <c r="AB3661" s="86"/>
    </row>
    <row r="3662" spans="6:30" x14ac:dyDescent="0.25">
      <c r="F3662" s="85" t="str">
        <f t="shared" si="5"/>
        <v/>
      </c>
      <c r="AB3662" s="86"/>
      <c r="AD3662" s="100"/>
    </row>
    <row r="3663" spans="6:30" x14ac:dyDescent="0.25">
      <c r="F3663" s="85" t="str">
        <f t="shared" si="5"/>
        <v/>
      </c>
      <c r="AB3663" s="86"/>
      <c r="AD3663" s="100"/>
    </row>
    <row r="3664" spans="6:30" x14ac:dyDescent="0.25">
      <c r="F3664" s="85" t="str">
        <f t="shared" si="5"/>
        <v/>
      </c>
      <c r="AB3664" s="86"/>
      <c r="AD3664" s="100"/>
    </row>
    <row r="3665" spans="6:30" x14ac:dyDescent="0.25">
      <c r="F3665" s="85" t="str">
        <f t="shared" si="5"/>
        <v/>
      </c>
      <c r="AB3665" s="86"/>
      <c r="AD3665" s="100"/>
    </row>
    <row r="3666" spans="6:30" x14ac:dyDescent="0.25">
      <c r="F3666" s="85" t="str">
        <f t="shared" si="5"/>
        <v/>
      </c>
      <c r="AB3666" s="86"/>
      <c r="AD3666" s="100"/>
    </row>
    <row r="3667" spans="6:30" x14ac:dyDescent="0.25">
      <c r="F3667" s="85" t="str">
        <f t="shared" si="5"/>
        <v/>
      </c>
      <c r="AB3667" s="86"/>
    </row>
    <row r="3668" spans="6:30" x14ac:dyDescent="0.25">
      <c r="F3668" s="85" t="str">
        <f t="shared" si="5"/>
        <v/>
      </c>
      <c r="AB3668" s="86"/>
      <c r="AD3668" s="100"/>
    </row>
    <row r="3669" spans="6:30" x14ac:dyDescent="0.25">
      <c r="F3669" s="85" t="str">
        <f t="shared" si="5"/>
        <v/>
      </c>
      <c r="AB3669" s="86"/>
    </row>
    <row r="3670" spans="6:30" x14ac:dyDescent="0.25">
      <c r="F3670" s="85" t="str">
        <f t="shared" si="5"/>
        <v/>
      </c>
      <c r="AB3670" s="86"/>
      <c r="AD3670" s="100"/>
    </row>
    <row r="3671" spans="6:30" x14ac:dyDescent="0.25">
      <c r="F3671" s="85" t="str">
        <f t="shared" si="5"/>
        <v/>
      </c>
      <c r="AB3671" s="86"/>
      <c r="AD3671" s="100"/>
    </row>
    <row r="3672" spans="6:30" x14ac:dyDescent="0.25">
      <c r="F3672" s="85" t="str">
        <f t="shared" si="5"/>
        <v/>
      </c>
      <c r="AB3672" s="86"/>
      <c r="AD3672" s="100"/>
    </row>
    <row r="3673" spans="6:30" x14ac:dyDescent="0.25">
      <c r="F3673" s="85" t="str">
        <f t="shared" si="5"/>
        <v/>
      </c>
      <c r="AB3673" s="86"/>
      <c r="AD3673" s="100"/>
    </row>
    <row r="3674" spans="6:30" x14ac:dyDescent="0.25">
      <c r="F3674" s="85" t="str">
        <f t="shared" si="5"/>
        <v/>
      </c>
      <c r="AB3674" s="86"/>
      <c r="AD3674" s="100"/>
    </row>
    <row r="3675" spans="6:30" x14ac:dyDescent="0.25">
      <c r="F3675" s="85" t="str">
        <f t="shared" si="5"/>
        <v/>
      </c>
      <c r="AB3675" s="86"/>
      <c r="AD3675" s="100"/>
    </row>
    <row r="3676" spans="6:30" x14ac:dyDescent="0.25">
      <c r="F3676" s="85" t="str">
        <f t="shared" si="5"/>
        <v/>
      </c>
      <c r="AB3676" s="86"/>
      <c r="AD3676" s="100"/>
    </row>
    <row r="3677" spans="6:30" x14ac:dyDescent="0.25">
      <c r="F3677" s="85" t="str">
        <f t="shared" si="5"/>
        <v/>
      </c>
      <c r="AB3677" s="86"/>
      <c r="AD3677" s="100"/>
    </row>
    <row r="3678" spans="6:30" x14ac:dyDescent="0.25">
      <c r="F3678" s="85" t="str">
        <f t="shared" si="5"/>
        <v/>
      </c>
      <c r="AB3678" s="86"/>
      <c r="AD3678" s="100"/>
    </row>
    <row r="3679" spans="6:30" x14ac:dyDescent="0.25">
      <c r="F3679" s="85" t="str">
        <f t="shared" si="5"/>
        <v/>
      </c>
      <c r="AB3679" s="86"/>
      <c r="AD3679" s="100"/>
    </row>
    <row r="3680" spans="6:30" x14ac:dyDescent="0.25">
      <c r="F3680" s="85" t="str">
        <f t="shared" si="5"/>
        <v/>
      </c>
      <c r="AB3680" s="86"/>
    </row>
    <row r="3681" spans="6:30" x14ac:dyDescent="0.25">
      <c r="F3681" s="85" t="str">
        <f t="shared" si="5"/>
        <v/>
      </c>
      <c r="AB3681" s="86"/>
      <c r="AD3681" s="100"/>
    </row>
    <row r="3682" spans="6:30" x14ac:dyDescent="0.25">
      <c r="F3682" s="85" t="str">
        <f t="shared" si="5"/>
        <v/>
      </c>
      <c r="AB3682" s="86"/>
    </row>
    <row r="3683" spans="6:30" x14ac:dyDescent="0.25">
      <c r="F3683" s="85" t="str">
        <f t="shared" si="5"/>
        <v/>
      </c>
      <c r="AB3683" s="86"/>
      <c r="AD3683" s="100"/>
    </row>
    <row r="3684" spans="6:30" x14ac:dyDescent="0.25">
      <c r="F3684" s="85" t="str">
        <f t="shared" si="5"/>
        <v/>
      </c>
      <c r="AB3684" s="86"/>
    </row>
    <row r="3685" spans="6:30" x14ac:dyDescent="0.25">
      <c r="F3685" s="85" t="str">
        <f t="shared" si="5"/>
        <v/>
      </c>
      <c r="AB3685" s="86"/>
      <c r="AD3685" s="100"/>
    </row>
    <row r="3686" spans="6:30" x14ac:dyDescent="0.25">
      <c r="F3686" s="85" t="str">
        <f t="shared" si="5"/>
        <v/>
      </c>
      <c r="AB3686" s="86"/>
      <c r="AD3686" s="100"/>
    </row>
    <row r="3687" spans="6:30" x14ac:dyDescent="0.25">
      <c r="F3687" s="85" t="str">
        <f t="shared" si="5"/>
        <v/>
      </c>
      <c r="AB3687" s="86"/>
      <c r="AD3687" s="100"/>
    </row>
    <row r="3688" spans="6:30" x14ac:dyDescent="0.25">
      <c r="F3688" s="85" t="str">
        <f t="shared" si="5"/>
        <v/>
      </c>
      <c r="AB3688" s="86"/>
      <c r="AD3688" s="100"/>
    </row>
    <row r="3689" spans="6:30" x14ac:dyDescent="0.25">
      <c r="F3689" s="85" t="str">
        <f t="shared" si="5"/>
        <v/>
      </c>
      <c r="AB3689" s="86"/>
      <c r="AD3689" s="100"/>
    </row>
    <row r="3690" spans="6:30" x14ac:dyDescent="0.25">
      <c r="F3690" s="85" t="str">
        <f t="shared" si="5"/>
        <v/>
      </c>
      <c r="AB3690" s="86"/>
    </row>
    <row r="3691" spans="6:30" x14ac:dyDescent="0.25">
      <c r="F3691" s="85" t="str">
        <f t="shared" si="5"/>
        <v/>
      </c>
      <c r="AB3691" s="86"/>
    </row>
    <row r="3692" spans="6:30" x14ac:dyDescent="0.25">
      <c r="F3692" s="85" t="str">
        <f t="shared" si="5"/>
        <v/>
      </c>
      <c r="AB3692" s="86"/>
      <c r="AD3692" s="100"/>
    </row>
    <row r="3693" spans="6:30" x14ac:dyDescent="0.25">
      <c r="F3693" s="85" t="str">
        <f t="shared" si="5"/>
        <v/>
      </c>
      <c r="AB3693" s="86"/>
      <c r="AD3693" s="100"/>
    </row>
    <row r="3694" spans="6:30" x14ac:dyDescent="0.25">
      <c r="F3694" s="85" t="str">
        <f t="shared" si="5"/>
        <v/>
      </c>
      <c r="AB3694" s="86"/>
    </row>
    <row r="3695" spans="6:30" x14ac:dyDescent="0.25">
      <c r="F3695" s="85" t="str">
        <f t="shared" si="5"/>
        <v/>
      </c>
      <c r="AB3695" s="86"/>
      <c r="AD3695" s="100"/>
    </row>
    <row r="3696" spans="6:30" x14ac:dyDescent="0.25">
      <c r="F3696" s="85" t="str">
        <f t="shared" si="5"/>
        <v/>
      </c>
      <c r="AB3696" s="86"/>
      <c r="AD3696" s="100"/>
    </row>
    <row r="3697" spans="6:30" x14ac:dyDescent="0.25">
      <c r="F3697" s="85" t="str">
        <f t="shared" si="5"/>
        <v/>
      </c>
      <c r="AB3697" s="86"/>
    </row>
    <row r="3698" spans="6:30" x14ac:dyDescent="0.25">
      <c r="F3698" s="85" t="str">
        <f t="shared" si="5"/>
        <v/>
      </c>
      <c r="AB3698" s="86"/>
    </row>
    <row r="3699" spans="6:30" x14ac:dyDescent="0.25">
      <c r="F3699" s="85" t="str">
        <f t="shared" si="5"/>
        <v/>
      </c>
      <c r="AB3699" s="86"/>
      <c r="AD3699" s="100"/>
    </row>
    <row r="3700" spans="6:30" x14ac:dyDescent="0.25">
      <c r="F3700" s="85" t="str">
        <f t="shared" si="5"/>
        <v/>
      </c>
      <c r="AB3700" s="86"/>
      <c r="AD3700" s="100"/>
    </row>
    <row r="3701" spans="6:30" x14ac:dyDescent="0.25">
      <c r="F3701" s="85" t="str">
        <f t="shared" si="5"/>
        <v/>
      </c>
      <c r="AB3701" s="86"/>
      <c r="AD3701" s="100"/>
    </row>
    <row r="3702" spans="6:30" x14ac:dyDescent="0.25">
      <c r="F3702" s="85" t="str">
        <f t="shared" si="5"/>
        <v/>
      </c>
      <c r="AB3702" s="86"/>
      <c r="AD3702" s="100"/>
    </row>
    <row r="3703" spans="6:30" x14ac:dyDescent="0.25">
      <c r="F3703" s="85" t="str">
        <f t="shared" si="5"/>
        <v/>
      </c>
      <c r="AB3703" s="86"/>
      <c r="AD3703" s="100"/>
    </row>
    <row r="3704" spans="6:30" x14ac:dyDescent="0.25">
      <c r="F3704" s="85" t="str">
        <f t="shared" si="5"/>
        <v/>
      </c>
      <c r="AB3704" s="86"/>
      <c r="AD3704" s="100"/>
    </row>
    <row r="3705" spans="6:30" x14ac:dyDescent="0.25">
      <c r="F3705" s="85" t="str">
        <f t="shared" si="5"/>
        <v/>
      </c>
      <c r="AB3705" s="86"/>
    </row>
    <row r="3706" spans="6:30" x14ac:dyDescent="0.25">
      <c r="F3706" s="85" t="str">
        <f t="shared" si="5"/>
        <v/>
      </c>
      <c r="AB3706" s="86"/>
      <c r="AD3706" s="100"/>
    </row>
    <row r="3707" spans="6:30" x14ac:dyDescent="0.25">
      <c r="F3707" s="85" t="str">
        <f t="shared" si="5"/>
        <v/>
      </c>
      <c r="AB3707" s="86"/>
      <c r="AD3707" s="100"/>
    </row>
    <row r="3708" spans="6:30" x14ac:dyDescent="0.25">
      <c r="F3708" s="85" t="str">
        <f t="shared" si="5"/>
        <v/>
      </c>
      <c r="AB3708" s="86"/>
      <c r="AD3708" s="100"/>
    </row>
    <row r="3709" spans="6:30" x14ac:dyDescent="0.25">
      <c r="F3709" s="85" t="str">
        <f t="shared" si="5"/>
        <v/>
      </c>
      <c r="AB3709" s="86"/>
      <c r="AD3709" s="100"/>
    </row>
    <row r="3710" spans="6:30" x14ac:dyDescent="0.25">
      <c r="F3710" s="85" t="str">
        <f t="shared" si="5"/>
        <v/>
      </c>
      <c r="AB3710" s="86"/>
      <c r="AD3710" s="100"/>
    </row>
    <row r="3711" spans="6:30" x14ac:dyDescent="0.25">
      <c r="F3711" s="85" t="str">
        <f t="shared" si="5"/>
        <v/>
      </c>
      <c r="AB3711" s="86"/>
      <c r="AD3711" s="100"/>
    </row>
    <row r="3712" spans="6:30" x14ac:dyDescent="0.25">
      <c r="F3712" s="85" t="str">
        <f t="shared" si="5"/>
        <v/>
      </c>
      <c r="AB3712" s="86"/>
      <c r="AD3712" s="100"/>
    </row>
    <row r="3713" spans="6:30" x14ac:dyDescent="0.25">
      <c r="F3713" s="85" t="str">
        <f t="shared" si="5"/>
        <v/>
      </c>
      <c r="AB3713" s="86"/>
      <c r="AD3713" s="100"/>
    </row>
    <row r="3714" spans="6:30" x14ac:dyDescent="0.25">
      <c r="F3714" s="85" t="str">
        <f t="shared" si="5"/>
        <v/>
      </c>
      <c r="AB3714" s="86"/>
      <c r="AD3714" s="100"/>
    </row>
    <row r="3715" spans="6:30" x14ac:dyDescent="0.25">
      <c r="F3715" s="85" t="str">
        <f t="shared" ref="F3715:F3778" si="6">IF($A3715="","",CONCATENATE($A3715,"_",$B3715,"_",$C3715))</f>
        <v/>
      </c>
      <c r="AB3715" s="86"/>
      <c r="AD3715" s="100"/>
    </row>
    <row r="3716" spans="6:30" x14ac:dyDescent="0.25">
      <c r="F3716" s="85" t="str">
        <f t="shared" si="6"/>
        <v/>
      </c>
      <c r="AB3716" s="86"/>
      <c r="AD3716" s="100"/>
    </row>
    <row r="3717" spans="6:30" x14ac:dyDescent="0.25">
      <c r="F3717" s="85" t="str">
        <f t="shared" si="6"/>
        <v/>
      </c>
      <c r="AB3717" s="86"/>
      <c r="AD3717" s="100"/>
    </row>
    <row r="3718" spans="6:30" x14ac:dyDescent="0.25">
      <c r="F3718" s="85" t="str">
        <f t="shared" si="6"/>
        <v/>
      </c>
      <c r="AB3718" s="86"/>
      <c r="AD3718" s="100"/>
    </row>
    <row r="3719" spans="6:30" x14ac:dyDescent="0.25">
      <c r="F3719" s="85" t="str">
        <f t="shared" si="6"/>
        <v/>
      </c>
      <c r="AB3719" s="86"/>
      <c r="AD3719" s="100"/>
    </row>
    <row r="3720" spans="6:30" x14ac:dyDescent="0.25">
      <c r="F3720" s="85" t="str">
        <f t="shared" si="6"/>
        <v/>
      </c>
      <c r="AB3720" s="86"/>
      <c r="AD3720" s="100"/>
    </row>
    <row r="3721" spans="6:30" x14ac:dyDescent="0.25">
      <c r="F3721" s="85" t="str">
        <f t="shared" si="6"/>
        <v/>
      </c>
      <c r="AB3721" s="86"/>
      <c r="AD3721" s="100"/>
    </row>
    <row r="3722" spans="6:30" x14ac:dyDescent="0.25">
      <c r="F3722" s="85" t="str">
        <f t="shared" si="6"/>
        <v/>
      </c>
      <c r="AB3722" s="86"/>
      <c r="AD3722" s="100"/>
    </row>
    <row r="3723" spans="6:30" x14ac:dyDescent="0.25">
      <c r="F3723" s="85" t="str">
        <f t="shared" si="6"/>
        <v/>
      </c>
      <c r="AB3723" s="86"/>
      <c r="AD3723" s="100"/>
    </row>
    <row r="3724" spans="6:30" x14ac:dyDescent="0.25">
      <c r="F3724" s="85" t="str">
        <f t="shared" si="6"/>
        <v/>
      </c>
      <c r="AB3724" s="86"/>
      <c r="AD3724" s="100"/>
    </row>
    <row r="3725" spans="6:30" x14ac:dyDescent="0.25">
      <c r="F3725" s="85" t="str">
        <f t="shared" si="6"/>
        <v/>
      </c>
      <c r="AB3725" s="86"/>
      <c r="AD3725" s="100"/>
    </row>
    <row r="3726" spans="6:30" x14ac:dyDescent="0.25">
      <c r="F3726" s="85" t="str">
        <f t="shared" si="6"/>
        <v/>
      </c>
      <c r="AB3726" s="86"/>
      <c r="AD3726" s="100"/>
    </row>
    <row r="3727" spans="6:30" x14ac:dyDescent="0.25">
      <c r="F3727" s="85" t="str">
        <f t="shared" si="6"/>
        <v/>
      </c>
      <c r="AB3727" s="86"/>
      <c r="AD3727" s="100"/>
    </row>
    <row r="3728" spans="6:30" x14ac:dyDescent="0.25">
      <c r="F3728" s="85" t="str">
        <f t="shared" si="6"/>
        <v/>
      </c>
      <c r="AB3728" s="86"/>
      <c r="AD3728" s="100"/>
    </row>
    <row r="3729" spans="6:30" x14ac:dyDescent="0.25">
      <c r="F3729" s="85" t="str">
        <f t="shared" si="6"/>
        <v/>
      </c>
      <c r="AB3729" s="86"/>
      <c r="AD3729" s="100"/>
    </row>
    <row r="3730" spans="6:30" x14ac:dyDescent="0.25">
      <c r="F3730" s="85" t="str">
        <f t="shared" si="6"/>
        <v/>
      </c>
      <c r="AB3730" s="86"/>
      <c r="AD3730" s="100"/>
    </row>
    <row r="3731" spans="6:30" x14ac:dyDescent="0.25">
      <c r="F3731" s="85" t="str">
        <f t="shared" si="6"/>
        <v/>
      </c>
      <c r="AB3731" s="86"/>
      <c r="AD3731" s="100"/>
    </row>
    <row r="3732" spans="6:30" x14ac:dyDescent="0.25">
      <c r="F3732" s="85" t="str">
        <f t="shared" si="6"/>
        <v/>
      </c>
      <c r="AB3732" s="86"/>
      <c r="AD3732" s="100"/>
    </row>
    <row r="3733" spans="6:30" x14ac:dyDescent="0.25">
      <c r="F3733" s="85" t="str">
        <f t="shared" si="6"/>
        <v/>
      </c>
      <c r="AB3733" s="86"/>
      <c r="AD3733" s="100"/>
    </row>
    <row r="3734" spans="6:30" x14ac:dyDescent="0.25">
      <c r="F3734" s="85" t="str">
        <f t="shared" si="6"/>
        <v/>
      </c>
      <c r="AB3734" s="86"/>
      <c r="AD3734" s="100"/>
    </row>
    <row r="3735" spans="6:30" x14ac:dyDescent="0.25">
      <c r="F3735" s="85" t="str">
        <f t="shared" si="6"/>
        <v/>
      </c>
      <c r="AB3735" s="86"/>
      <c r="AD3735" s="100"/>
    </row>
    <row r="3736" spans="6:30" x14ac:dyDescent="0.25">
      <c r="F3736" s="85" t="str">
        <f t="shared" si="6"/>
        <v/>
      </c>
      <c r="AB3736" s="86"/>
      <c r="AD3736" s="100"/>
    </row>
    <row r="3737" spans="6:30" x14ac:dyDescent="0.25">
      <c r="F3737" s="85" t="str">
        <f t="shared" si="6"/>
        <v/>
      </c>
      <c r="AB3737" s="86"/>
      <c r="AD3737" s="100"/>
    </row>
    <row r="3738" spans="6:30" x14ac:dyDescent="0.25">
      <c r="F3738" s="85" t="str">
        <f t="shared" si="6"/>
        <v/>
      </c>
      <c r="AB3738" s="86"/>
      <c r="AD3738" s="100"/>
    </row>
    <row r="3739" spans="6:30" x14ac:dyDescent="0.25">
      <c r="F3739" s="85" t="str">
        <f t="shared" si="6"/>
        <v/>
      </c>
      <c r="AB3739" s="86"/>
      <c r="AD3739" s="100"/>
    </row>
    <row r="3740" spans="6:30" x14ac:dyDescent="0.25">
      <c r="F3740" s="85" t="str">
        <f t="shared" si="6"/>
        <v/>
      </c>
      <c r="AB3740" s="86"/>
      <c r="AD3740" s="100"/>
    </row>
    <row r="3741" spans="6:30" x14ac:dyDescent="0.25">
      <c r="F3741" s="85" t="str">
        <f t="shared" si="6"/>
        <v/>
      </c>
      <c r="AB3741" s="86"/>
      <c r="AD3741" s="100"/>
    </row>
    <row r="3742" spans="6:30" x14ac:dyDescent="0.25">
      <c r="F3742" s="85" t="str">
        <f t="shared" si="6"/>
        <v/>
      </c>
      <c r="AB3742" s="86"/>
      <c r="AD3742" s="100"/>
    </row>
    <row r="3743" spans="6:30" x14ac:dyDescent="0.25">
      <c r="F3743" s="85" t="str">
        <f t="shared" si="6"/>
        <v/>
      </c>
      <c r="AB3743" s="86"/>
      <c r="AD3743" s="100"/>
    </row>
    <row r="3744" spans="6:30" x14ac:dyDescent="0.25">
      <c r="F3744" s="85" t="str">
        <f t="shared" si="6"/>
        <v/>
      </c>
      <c r="AB3744" s="86"/>
      <c r="AD3744" s="100"/>
    </row>
    <row r="3745" spans="6:30" x14ac:dyDescent="0.25">
      <c r="F3745" s="85" t="str">
        <f t="shared" si="6"/>
        <v/>
      </c>
      <c r="AB3745" s="86"/>
      <c r="AD3745" s="100"/>
    </row>
    <row r="3746" spans="6:30" x14ac:dyDescent="0.25">
      <c r="F3746" s="85" t="str">
        <f t="shared" si="6"/>
        <v/>
      </c>
      <c r="AB3746" s="86"/>
      <c r="AD3746" s="100"/>
    </row>
    <row r="3747" spans="6:30" x14ac:dyDescent="0.25">
      <c r="F3747" s="85" t="str">
        <f t="shared" si="6"/>
        <v/>
      </c>
      <c r="AB3747" s="86"/>
      <c r="AD3747" s="100"/>
    </row>
    <row r="3748" spans="6:30" x14ac:dyDescent="0.25">
      <c r="F3748" s="85" t="str">
        <f t="shared" si="6"/>
        <v/>
      </c>
      <c r="AB3748" s="86"/>
      <c r="AD3748" s="100"/>
    </row>
    <row r="3749" spans="6:30" x14ac:dyDescent="0.25">
      <c r="F3749" s="85" t="str">
        <f t="shared" si="6"/>
        <v/>
      </c>
      <c r="AB3749" s="86"/>
      <c r="AD3749" s="100"/>
    </row>
    <row r="3750" spans="6:30" x14ac:dyDescent="0.25">
      <c r="F3750" s="85" t="str">
        <f t="shared" si="6"/>
        <v/>
      </c>
      <c r="AB3750" s="86"/>
      <c r="AD3750" s="100"/>
    </row>
    <row r="3751" spans="6:30" x14ac:dyDescent="0.25">
      <c r="F3751" s="85" t="str">
        <f t="shared" si="6"/>
        <v/>
      </c>
      <c r="AB3751" s="86"/>
      <c r="AD3751" s="100"/>
    </row>
    <row r="3752" spans="6:30" x14ac:dyDescent="0.25">
      <c r="F3752" s="85" t="str">
        <f t="shared" si="6"/>
        <v/>
      </c>
      <c r="AB3752" s="86"/>
      <c r="AD3752" s="100"/>
    </row>
    <row r="3753" spans="6:30" x14ac:dyDescent="0.25">
      <c r="F3753" s="85" t="str">
        <f t="shared" si="6"/>
        <v/>
      </c>
      <c r="AB3753" s="86"/>
      <c r="AD3753" s="100"/>
    </row>
    <row r="3754" spans="6:30" x14ac:dyDescent="0.25">
      <c r="F3754" s="85" t="str">
        <f t="shared" si="6"/>
        <v/>
      </c>
      <c r="AB3754" s="86"/>
      <c r="AD3754" s="100"/>
    </row>
    <row r="3755" spans="6:30" x14ac:dyDescent="0.25">
      <c r="F3755" s="85" t="str">
        <f t="shared" si="6"/>
        <v/>
      </c>
      <c r="AB3755" s="86"/>
      <c r="AD3755" s="100"/>
    </row>
    <row r="3756" spans="6:30" x14ac:dyDescent="0.25">
      <c r="F3756" s="85" t="str">
        <f t="shared" si="6"/>
        <v/>
      </c>
      <c r="AB3756" s="86"/>
      <c r="AD3756" s="100"/>
    </row>
    <row r="3757" spans="6:30" x14ac:dyDescent="0.25">
      <c r="F3757" s="85" t="str">
        <f t="shared" si="6"/>
        <v/>
      </c>
      <c r="AB3757" s="86"/>
      <c r="AD3757" s="100"/>
    </row>
    <row r="3758" spans="6:30" x14ac:dyDescent="0.25">
      <c r="F3758" s="85" t="str">
        <f t="shared" si="6"/>
        <v/>
      </c>
      <c r="AB3758" s="86"/>
      <c r="AD3758" s="100"/>
    </row>
    <row r="3759" spans="6:30" x14ac:dyDescent="0.25">
      <c r="F3759" s="85" t="str">
        <f t="shared" si="6"/>
        <v/>
      </c>
      <c r="AB3759" s="86"/>
      <c r="AD3759" s="100"/>
    </row>
    <row r="3760" spans="6:30" x14ac:dyDescent="0.25">
      <c r="F3760" s="85" t="str">
        <f t="shared" si="6"/>
        <v/>
      </c>
      <c r="AB3760" s="86"/>
      <c r="AD3760" s="100"/>
    </row>
    <row r="3761" spans="6:30" x14ac:dyDescent="0.25">
      <c r="F3761" s="85" t="str">
        <f t="shared" si="6"/>
        <v/>
      </c>
      <c r="AB3761" s="86"/>
      <c r="AD3761" s="100"/>
    </row>
    <row r="3762" spans="6:30" x14ac:dyDescent="0.25">
      <c r="F3762" s="85" t="str">
        <f t="shared" si="6"/>
        <v/>
      </c>
      <c r="AB3762" s="86"/>
      <c r="AD3762" s="100"/>
    </row>
    <row r="3763" spans="6:30" x14ac:dyDescent="0.25">
      <c r="F3763" s="85" t="str">
        <f t="shared" si="6"/>
        <v/>
      </c>
      <c r="AB3763" s="86"/>
      <c r="AD3763" s="100"/>
    </row>
    <row r="3764" spans="6:30" x14ac:dyDescent="0.25">
      <c r="F3764" s="85" t="str">
        <f t="shared" si="6"/>
        <v/>
      </c>
      <c r="AB3764" s="86"/>
      <c r="AD3764" s="100"/>
    </row>
    <row r="3765" spans="6:30" x14ac:dyDescent="0.25">
      <c r="F3765" s="85" t="str">
        <f t="shared" si="6"/>
        <v/>
      </c>
      <c r="AB3765" s="86"/>
      <c r="AD3765" s="100"/>
    </row>
    <row r="3766" spans="6:30" x14ac:dyDescent="0.25">
      <c r="F3766" s="85" t="str">
        <f t="shared" si="6"/>
        <v/>
      </c>
      <c r="AB3766" s="86"/>
      <c r="AD3766" s="100"/>
    </row>
    <row r="3767" spans="6:30" x14ac:dyDescent="0.25">
      <c r="F3767" s="85" t="str">
        <f t="shared" si="6"/>
        <v/>
      </c>
      <c r="AB3767" s="86"/>
      <c r="AD3767" s="100"/>
    </row>
    <row r="3768" spans="6:30" x14ac:dyDescent="0.25">
      <c r="F3768" s="85" t="str">
        <f t="shared" si="6"/>
        <v/>
      </c>
      <c r="AB3768" s="86"/>
      <c r="AD3768" s="100"/>
    </row>
    <row r="3769" spans="6:30" x14ac:dyDescent="0.25">
      <c r="F3769" s="85" t="str">
        <f t="shared" si="6"/>
        <v/>
      </c>
      <c r="AB3769" s="86"/>
      <c r="AD3769" s="100"/>
    </row>
    <row r="3770" spans="6:30" x14ac:dyDescent="0.25">
      <c r="F3770" s="85" t="str">
        <f t="shared" si="6"/>
        <v/>
      </c>
      <c r="AB3770" s="86"/>
      <c r="AD3770" s="100"/>
    </row>
    <row r="3771" spans="6:30" x14ac:dyDescent="0.25">
      <c r="F3771" s="85" t="str">
        <f t="shared" si="6"/>
        <v/>
      </c>
      <c r="AB3771" s="86"/>
      <c r="AD3771" s="100"/>
    </row>
    <row r="3772" spans="6:30" x14ac:dyDescent="0.25">
      <c r="F3772" s="85" t="str">
        <f t="shared" si="6"/>
        <v/>
      </c>
      <c r="AB3772" s="86"/>
      <c r="AD3772" s="100"/>
    </row>
    <row r="3773" spans="6:30" x14ac:dyDescent="0.25">
      <c r="F3773" s="85" t="str">
        <f t="shared" si="6"/>
        <v/>
      </c>
      <c r="AB3773" s="86"/>
      <c r="AD3773" s="100"/>
    </row>
    <row r="3774" spans="6:30" x14ac:dyDescent="0.25">
      <c r="F3774" s="85" t="str">
        <f t="shared" si="6"/>
        <v/>
      </c>
      <c r="AB3774" s="86"/>
      <c r="AD3774" s="100"/>
    </row>
    <row r="3775" spans="6:30" x14ac:dyDescent="0.25">
      <c r="F3775" s="85" t="str">
        <f t="shared" si="6"/>
        <v/>
      </c>
      <c r="AB3775" s="86"/>
      <c r="AD3775" s="100"/>
    </row>
    <row r="3776" spans="6:30" x14ac:dyDescent="0.25">
      <c r="F3776" s="85" t="str">
        <f t="shared" si="6"/>
        <v/>
      </c>
      <c r="AB3776" s="86"/>
      <c r="AD3776" s="100"/>
    </row>
    <row r="3777" spans="6:30" x14ac:dyDescent="0.25">
      <c r="F3777" s="85" t="str">
        <f t="shared" si="6"/>
        <v/>
      </c>
      <c r="AB3777" s="86"/>
      <c r="AD3777" s="100"/>
    </row>
    <row r="3778" spans="6:30" x14ac:dyDescent="0.25">
      <c r="F3778" s="85" t="str">
        <f t="shared" si="6"/>
        <v/>
      </c>
      <c r="AB3778" s="86"/>
      <c r="AD3778" s="100"/>
    </row>
    <row r="3779" spans="6:30" x14ac:dyDescent="0.25">
      <c r="F3779" s="85" t="str">
        <f t="shared" ref="F3779:F3842" si="7">IF($A3779="","",CONCATENATE($A3779,"_",$B3779,"_",$C3779))</f>
        <v/>
      </c>
      <c r="AB3779" s="86"/>
      <c r="AD3779" s="100"/>
    </row>
    <row r="3780" spans="6:30" x14ac:dyDescent="0.25">
      <c r="F3780" s="85" t="str">
        <f t="shared" si="7"/>
        <v/>
      </c>
      <c r="AB3780" s="86"/>
      <c r="AD3780" s="100"/>
    </row>
    <row r="3781" spans="6:30" x14ac:dyDescent="0.25">
      <c r="F3781" s="85" t="str">
        <f t="shared" si="7"/>
        <v/>
      </c>
      <c r="AB3781" s="86"/>
      <c r="AD3781" s="100"/>
    </row>
    <row r="3782" spans="6:30" x14ac:dyDescent="0.25">
      <c r="F3782" s="85" t="str">
        <f t="shared" si="7"/>
        <v/>
      </c>
      <c r="AB3782" s="86"/>
      <c r="AD3782" s="100"/>
    </row>
    <row r="3783" spans="6:30" x14ac:dyDescent="0.25">
      <c r="F3783" s="85" t="str">
        <f t="shared" si="7"/>
        <v/>
      </c>
      <c r="AB3783" s="86"/>
      <c r="AD3783" s="100"/>
    </row>
    <row r="3784" spans="6:30" x14ac:dyDescent="0.25">
      <c r="F3784" s="85" t="str">
        <f t="shared" si="7"/>
        <v/>
      </c>
      <c r="AB3784" s="86"/>
      <c r="AD3784" s="100"/>
    </row>
    <row r="3785" spans="6:30" x14ac:dyDescent="0.25">
      <c r="F3785" s="85" t="str">
        <f t="shared" si="7"/>
        <v/>
      </c>
      <c r="AB3785" s="86"/>
      <c r="AD3785" s="100"/>
    </row>
    <row r="3786" spans="6:30" x14ac:dyDescent="0.25">
      <c r="F3786" s="85" t="str">
        <f t="shared" si="7"/>
        <v/>
      </c>
      <c r="AB3786" s="86"/>
      <c r="AD3786" s="100"/>
    </row>
    <row r="3787" spans="6:30" x14ac:dyDescent="0.25">
      <c r="F3787" s="85" t="str">
        <f t="shared" si="7"/>
        <v/>
      </c>
      <c r="AB3787" s="86"/>
      <c r="AD3787" s="100"/>
    </row>
    <row r="3788" spans="6:30" x14ac:dyDescent="0.25">
      <c r="F3788" s="85" t="str">
        <f t="shared" si="7"/>
        <v/>
      </c>
      <c r="AB3788" s="86"/>
      <c r="AD3788" s="100"/>
    </row>
    <row r="3789" spans="6:30" x14ac:dyDescent="0.25">
      <c r="F3789" s="85" t="str">
        <f t="shared" si="7"/>
        <v/>
      </c>
      <c r="AB3789" s="86"/>
      <c r="AD3789" s="100"/>
    </row>
    <row r="3790" spans="6:30" x14ac:dyDescent="0.25">
      <c r="F3790" s="85" t="str">
        <f t="shared" si="7"/>
        <v/>
      </c>
      <c r="AB3790" s="86"/>
      <c r="AD3790" s="100"/>
    </row>
    <row r="3791" spans="6:30" x14ac:dyDescent="0.25">
      <c r="F3791" s="85" t="str">
        <f t="shared" si="7"/>
        <v/>
      </c>
      <c r="AB3791" s="86"/>
      <c r="AD3791" s="100"/>
    </row>
    <row r="3792" spans="6:30" x14ac:dyDescent="0.25">
      <c r="F3792" s="85" t="str">
        <f t="shared" si="7"/>
        <v/>
      </c>
      <c r="AB3792" s="86"/>
    </row>
    <row r="3793" spans="6:30" x14ac:dyDescent="0.25">
      <c r="F3793" s="85" t="str">
        <f t="shared" si="7"/>
        <v/>
      </c>
      <c r="AB3793" s="86"/>
      <c r="AD3793" s="100"/>
    </row>
    <row r="3794" spans="6:30" x14ac:dyDescent="0.25">
      <c r="F3794" s="85" t="str">
        <f t="shared" si="7"/>
        <v/>
      </c>
      <c r="AB3794" s="86"/>
      <c r="AD3794" s="100"/>
    </row>
    <row r="3795" spans="6:30" x14ac:dyDescent="0.25">
      <c r="F3795" s="85" t="str">
        <f t="shared" si="7"/>
        <v/>
      </c>
      <c r="AB3795" s="86"/>
      <c r="AD3795" s="100"/>
    </row>
    <row r="3796" spans="6:30" x14ac:dyDescent="0.25">
      <c r="F3796" s="85" t="str">
        <f t="shared" si="7"/>
        <v/>
      </c>
      <c r="AB3796" s="86"/>
    </row>
    <row r="3797" spans="6:30" x14ac:dyDescent="0.25">
      <c r="F3797" s="85" t="str">
        <f t="shared" si="7"/>
        <v/>
      </c>
      <c r="AB3797" s="86"/>
      <c r="AD3797" s="100"/>
    </row>
    <row r="3798" spans="6:30" x14ac:dyDescent="0.25">
      <c r="F3798" s="85" t="str">
        <f t="shared" si="7"/>
        <v/>
      </c>
      <c r="AB3798" s="86"/>
    </row>
    <row r="3799" spans="6:30" x14ac:dyDescent="0.25">
      <c r="F3799" s="85" t="str">
        <f t="shared" si="7"/>
        <v/>
      </c>
      <c r="AB3799" s="86"/>
      <c r="AD3799" s="100"/>
    </row>
    <row r="3800" spans="6:30" x14ac:dyDescent="0.25">
      <c r="F3800" s="85" t="str">
        <f t="shared" si="7"/>
        <v/>
      </c>
      <c r="AB3800" s="86"/>
      <c r="AD3800" s="100"/>
    </row>
    <row r="3801" spans="6:30" x14ac:dyDescent="0.25">
      <c r="F3801" s="85" t="str">
        <f t="shared" si="7"/>
        <v/>
      </c>
      <c r="AB3801" s="86"/>
      <c r="AD3801" s="100"/>
    </row>
    <row r="3802" spans="6:30" x14ac:dyDescent="0.25">
      <c r="F3802" s="85" t="str">
        <f t="shared" si="7"/>
        <v/>
      </c>
      <c r="AB3802" s="86"/>
      <c r="AD3802" s="100"/>
    </row>
    <row r="3803" spans="6:30" x14ac:dyDescent="0.25">
      <c r="F3803" s="85" t="str">
        <f t="shared" si="7"/>
        <v/>
      </c>
      <c r="AB3803" s="86"/>
      <c r="AD3803" s="100"/>
    </row>
    <row r="3804" spans="6:30" x14ac:dyDescent="0.25">
      <c r="F3804" s="85" t="str">
        <f t="shared" si="7"/>
        <v/>
      </c>
      <c r="AB3804" s="86"/>
      <c r="AD3804" s="100"/>
    </row>
    <row r="3805" spans="6:30" x14ac:dyDescent="0.25">
      <c r="F3805" s="85" t="str">
        <f t="shared" si="7"/>
        <v/>
      </c>
      <c r="AB3805" s="86"/>
      <c r="AD3805" s="100"/>
    </row>
    <row r="3806" spans="6:30" x14ac:dyDescent="0.25">
      <c r="F3806" s="85" t="str">
        <f t="shared" si="7"/>
        <v/>
      </c>
      <c r="AB3806" s="86"/>
      <c r="AD3806" s="100"/>
    </row>
    <row r="3807" spans="6:30" x14ac:dyDescent="0.25">
      <c r="F3807" s="85" t="str">
        <f t="shared" si="7"/>
        <v/>
      </c>
      <c r="AB3807" s="86"/>
      <c r="AD3807" s="100"/>
    </row>
    <row r="3808" spans="6:30" x14ac:dyDescent="0.25">
      <c r="F3808" s="85" t="str">
        <f t="shared" si="7"/>
        <v/>
      </c>
      <c r="AB3808" s="86"/>
      <c r="AD3808" s="100"/>
    </row>
    <row r="3809" spans="6:30" x14ac:dyDescent="0.25">
      <c r="F3809" s="85" t="str">
        <f t="shared" si="7"/>
        <v/>
      </c>
      <c r="AB3809" s="86"/>
      <c r="AD3809" s="100"/>
    </row>
    <row r="3810" spans="6:30" x14ac:dyDescent="0.25">
      <c r="F3810" s="85" t="str">
        <f t="shared" si="7"/>
        <v/>
      </c>
      <c r="AB3810" s="86"/>
      <c r="AD3810" s="100"/>
    </row>
    <row r="3811" spans="6:30" x14ac:dyDescent="0.25">
      <c r="F3811" s="85" t="str">
        <f t="shared" si="7"/>
        <v/>
      </c>
      <c r="AB3811" s="86"/>
      <c r="AD3811" s="100"/>
    </row>
    <row r="3812" spans="6:30" x14ac:dyDescent="0.25">
      <c r="F3812" s="85" t="str">
        <f t="shared" si="7"/>
        <v/>
      </c>
      <c r="AB3812" s="86"/>
      <c r="AD3812" s="100"/>
    </row>
    <row r="3813" spans="6:30" x14ac:dyDescent="0.25">
      <c r="F3813" s="85" t="str">
        <f t="shared" si="7"/>
        <v/>
      </c>
      <c r="AB3813" s="86"/>
      <c r="AD3813" s="100"/>
    </row>
    <row r="3814" spans="6:30" x14ac:dyDescent="0.25">
      <c r="F3814" s="85" t="str">
        <f t="shared" si="7"/>
        <v/>
      </c>
      <c r="AB3814" s="86"/>
      <c r="AD3814" s="100"/>
    </row>
    <row r="3815" spans="6:30" x14ac:dyDescent="0.25">
      <c r="F3815" s="85" t="str">
        <f t="shared" si="7"/>
        <v/>
      </c>
      <c r="AB3815" s="86"/>
      <c r="AD3815" s="100"/>
    </row>
    <row r="3816" spans="6:30" x14ac:dyDescent="0.25">
      <c r="F3816" s="85" t="str">
        <f t="shared" si="7"/>
        <v/>
      </c>
      <c r="AB3816" s="86"/>
      <c r="AD3816" s="100"/>
    </row>
    <row r="3817" spans="6:30" x14ac:dyDescent="0.25">
      <c r="F3817" s="85" t="str">
        <f t="shared" si="7"/>
        <v/>
      </c>
      <c r="AB3817" s="86"/>
      <c r="AD3817" s="100"/>
    </row>
    <row r="3818" spans="6:30" x14ac:dyDescent="0.25">
      <c r="F3818" s="85" t="str">
        <f t="shared" si="7"/>
        <v/>
      </c>
      <c r="AB3818" s="86"/>
      <c r="AD3818" s="100"/>
    </row>
    <row r="3819" spans="6:30" x14ac:dyDescent="0.25">
      <c r="F3819" s="85" t="str">
        <f t="shared" si="7"/>
        <v/>
      </c>
      <c r="AB3819" s="86"/>
      <c r="AD3819" s="100"/>
    </row>
    <row r="3820" spans="6:30" x14ac:dyDescent="0.25">
      <c r="F3820" s="85" t="str">
        <f t="shared" si="7"/>
        <v/>
      </c>
      <c r="AB3820" s="86"/>
      <c r="AD3820" s="100"/>
    </row>
    <row r="3821" spans="6:30" x14ac:dyDescent="0.25">
      <c r="F3821" s="85" t="str">
        <f t="shared" si="7"/>
        <v/>
      </c>
      <c r="AB3821" s="86"/>
      <c r="AD3821" s="100"/>
    </row>
    <row r="3822" spans="6:30" x14ac:dyDescent="0.25">
      <c r="F3822" s="85" t="str">
        <f t="shared" si="7"/>
        <v/>
      </c>
      <c r="AB3822" s="86"/>
      <c r="AD3822" s="100"/>
    </row>
    <row r="3823" spans="6:30" x14ac:dyDescent="0.25">
      <c r="F3823" s="85" t="str">
        <f t="shared" si="7"/>
        <v/>
      </c>
      <c r="AB3823" s="86"/>
      <c r="AD3823" s="100"/>
    </row>
    <row r="3824" spans="6:30" x14ac:dyDescent="0.25">
      <c r="F3824" s="85" t="str">
        <f t="shared" si="7"/>
        <v/>
      </c>
      <c r="AB3824" s="86"/>
      <c r="AD3824" s="100"/>
    </row>
    <row r="3825" spans="6:30" x14ac:dyDescent="0.25">
      <c r="F3825" s="85" t="str">
        <f t="shared" si="7"/>
        <v/>
      </c>
      <c r="AB3825" s="86"/>
      <c r="AD3825" s="100"/>
    </row>
    <row r="3826" spans="6:30" x14ac:dyDescent="0.25">
      <c r="F3826" s="85" t="str">
        <f t="shared" si="7"/>
        <v/>
      </c>
      <c r="AB3826" s="86"/>
      <c r="AD3826" s="100"/>
    </row>
    <row r="3827" spans="6:30" x14ac:dyDescent="0.25">
      <c r="F3827" s="85" t="str">
        <f t="shared" si="7"/>
        <v/>
      </c>
      <c r="AB3827" s="86"/>
      <c r="AD3827" s="100"/>
    </row>
    <row r="3828" spans="6:30" x14ac:dyDescent="0.25">
      <c r="F3828" s="85" t="str">
        <f t="shared" si="7"/>
        <v/>
      </c>
      <c r="AB3828" s="86"/>
      <c r="AD3828" s="100"/>
    </row>
    <row r="3829" spans="6:30" x14ac:dyDescent="0.25">
      <c r="F3829" s="85" t="str">
        <f t="shared" si="7"/>
        <v/>
      </c>
      <c r="AB3829" s="86"/>
      <c r="AD3829" s="100"/>
    </row>
    <row r="3830" spans="6:30" x14ac:dyDescent="0.25">
      <c r="F3830" s="85" t="str">
        <f t="shared" si="7"/>
        <v/>
      </c>
      <c r="AB3830" s="86"/>
      <c r="AD3830" s="100"/>
    </row>
    <row r="3831" spans="6:30" x14ac:dyDescent="0.25">
      <c r="F3831" s="85" t="str">
        <f t="shared" si="7"/>
        <v/>
      </c>
      <c r="AB3831" s="86"/>
      <c r="AD3831" s="100"/>
    </row>
    <row r="3832" spans="6:30" x14ac:dyDescent="0.25">
      <c r="F3832" s="85" t="str">
        <f t="shared" si="7"/>
        <v/>
      </c>
      <c r="AB3832" s="86"/>
      <c r="AD3832" s="100"/>
    </row>
    <row r="3833" spans="6:30" x14ac:dyDescent="0.25">
      <c r="F3833" s="85" t="str">
        <f t="shared" si="7"/>
        <v/>
      </c>
      <c r="AB3833" s="86"/>
      <c r="AD3833" s="100"/>
    </row>
    <row r="3834" spans="6:30" x14ac:dyDescent="0.25">
      <c r="F3834" s="85" t="str">
        <f t="shared" si="7"/>
        <v/>
      </c>
      <c r="AB3834" s="86"/>
      <c r="AD3834" s="100"/>
    </row>
    <row r="3835" spans="6:30" x14ac:dyDescent="0.25">
      <c r="F3835" s="85" t="str">
        <f t="shared" si="7"/>
        <v/>
      </c>
      <c r="AB3835" s="86"/>
      <c r="AD3835" s="100"/>
    </row>
    <row r="3836" spans="6:30" x14ac:dyDescent="0.25">
      <c r="F3836" s="85" t="str">
        <f t="shared" si="7"/>
        <v/>
      </c>
      <c r="AB3836" s="86"/>
      <c r="AD3836" s="100"/>
    </row>
    <row r="3837" spans="6:30" x14ac:dyDescent="0.25">
      <c r="F3837" s="85" t="str">
        <f t="shared" si="7"/>
        <v/>
      </c>
      <c r="AB3837" s="86"/>
      <c r="AD3837" s="100"/>
    </row>
    <row r="3838" spans="6:30" x14ac:dyDescent="0.25">
      <c r="F3838" s="85" t="str">
        <f t="shared" si="7"/>
        <v/>
      </c>
      <c r="AB3838" s="86"/>
      <c r="AD3838" s="100"/>
    </row>
    <row r="3839" spans="6:30" x14ac:dyDescent="0.25">
      <c r="F3839" s="85" t="str">
        <f t="shared" si="7"/>
        <v/>
      </c>
      <c r="AB3839" s="86"/>
      <c r="AD3839" s="100"/>
    </row>
    <row r="3840" spans="6:30" x14ac:dyDescent="0.25">
      <c r="F3840" s="85" t="str">
        <f t="shared" si="7"/>
        <v/>
      </c>
      <c r="AB3840" s="86"/>
      <c r="AD3840" s="100"/>
    </row>
    <row r="3841" spans="6:30" x14ac:dyDescent="0.25">
      <c r="F3841" s="85" t="str">
        <f t="shared" si="7"/>
        <v/>
      </c>
      <c r="AB3841" s="86"/>
      <c r="AD3841" s="100"/>
    </row>
    <row r="3842" spans="6:30" x14ac:dyDescent="0.25">
      <c r="F3842" s="85" t="str">
        <f t="shared" si="7"/>
        <v/>
      </c>
      <c r="AB3842" s="86"/>
      <c r="AD3842" s="100"/>
    </row>
    <row r="3843" spans="6:30" x14ac:dyDescent="0.25">
      <c r="F3843" s="85" t="str">
        <f t="shared" ref="F3843:F3906" si="8">IF($A3843="","",CONCATENATE($A3843,"_",$B3843,"_",$C3843))</f>
        <v/>
      </c>
      <c r="AB3843" s="86"/>
      <c r="AD3843" s="100"/>
    </row>
    <row r="3844" spans="6:30" x14ac:dyDescent="0.25">
      <c r="F3844" s="85" t="str">
        <f t="shared" si="8"/>
        <v/>
      </c>
      <c r="AB3844" s="86"/>
      <c r="AD3844" s="100"/>
    </row>
    <row r="3845" spans="6:30" x14ac:dyDescent="0.25">
      <c r="F3845" s="85" t="str">
        <f t="shared" si="8"/>
        <v/>
      </c>
      <c r="AB3845" s="86"/>
      <c r="AD3845" s="100"/>
    </row>
    <row r="3846" spans="6:30" x14ac:dyDescent="0.25">
      <c r="F3846" s="85" t="str">
        <f t="shared" si="8"/>
        <v/>
      </c>
      <c r="AB3846" s="86"/>
      <c r="AD3846" s="100"/>
    </row>
    <row r="3847" spans="6:30" x14ac:dyDescent="0.25">
      <c r="F3847" s="85" t="str">
        <f t="shared" si="8"/>
        <v/>
      </c>
      <c r="AB3847" s="86"/>
      <c r="AD3847" s="100"/>
    </row>
    <row r="3848" spans="6:30" x14ac:dyDescent="0.25">
      <c r="F3848" s="85" t="str">
        <f t="shared" si="8"/>
        <v/>
      </c>
      <c r="AB3848" s="86"/>
      <c r="AD3848" s="100"/>
    </row>
    <row r="3849" spans="6:30" x14ac:dyDescent="0.25">
      <c r="F3849" s="85" t="str">
        <f t="shared" si="8"/>
        <v/>
      </c>
      <c r="AB3849" s="86"/>
      <c r="AD3849" s="100"/>
    </row>
    <row r="3850" spans="6:30" x14ac:dyDescent="0.25">
      <c r="F3850" s="85" t="str">
        <f t="shared" si="8"/>
        <v/>
      </c>
      <c r="AB3850" s="86"/>
      <c r="AD3850" s="100"/>
    </row>
    <row r="3851" spans="6:30" x14ac:dyDescent="0.25">
      <c r="F3851" s="85" t="str">
        <f t="shared" si="8"/>
        <v/>
      </c>
      <c r="AB3851" s="86"/>
      <c r="AD3851" s="100"/>
    </row>
    <row r="3852" spans="6:30" x14ac:dyDescent="0.25">
      <c r="F3852" s="85" t="str">
        <f t="shared" si="8"/>
        <v/>
      </c>
      <c r="AB3852" s="86"/>
      <c r="AD3852" s="100"/>
    </row>
    <row r="3853" spans="6:30" x14ac:dyDescent="0.25">
      <c r="F3853" s="85" t="str">
        <f t="shared" si="8"/>
        <v/>
      </c>
      <c r="AB3853" s="86"/>
      <c r="AD3853" s="100"/>
    </row>
    <row r="3854" spans="6:30" x14ac:dyDescent="0.25">
      <c r="F3854" s="85" t="str">
        <f t="shared" si="8"/>
        <v/>
      </c>
      <c r="AB3854" s="86"/>
      <c r="AD3854" s="100"/>
    </row>
    <row r="3855" spans="6:30" x14ac:dyDescent="0.25">
      <c r="F3855" s="85" t="str">
        <f t="shared" si="8"/>
        <v/>
      </c>
      <c r="AB3855" s="86"/>
      <c r="AD3855" s="100"/>
    </row>
    <row r="3856" spans="6:30" x14ac:dyDescent="0.25">
      <c r="F3856" s="85" t="str">
        <f t="shared" si="8"/>
        <v/>
      </c>
      <c r="AB3856" s="86"/>
      <c r="AD3856" s="100"/>
    </row>
    <row r="3857" spans="6:30" x14ac:dyDescent="0.25">
      <c r="F3857" s="85" t="str">
        <f t="shared" si="8"/>
        <v/>
      </c>
      <c r="AB3857" s="86"/>
      <c r="AD3857" s="100"/>
    </row>
    <row r="3858" spans="6:30" x14ac:dyDescent="0.25">
      <c r="F3858" s="85" t="str">
        <f t="shared" si="8"/>
        <v/>
      </c>
      <c r="AB3858" s="86"/>
      <c r="AD3858" s="100"/>
    </row>
    <row r="3859" spans="6:30" x14ac:dyDescent="0.25">
      <c r="F3859" s="85" t="str">
        <f t="shared" si="8"/>
        <v/>
      </c>
      <c r="AB3859" s="86"/>
      <c r="AD3859" s="100"/>
    </row>
    <row r="3860" spans="6:30" x14ac:dyDescent="0.25">
      <c r="F3860" s="85" t="str">
        <f t="shared" si="8"/>
        <v/>
      </c>
      <c r="AB3860" s="86"/>
      <c r="AD3860" s="100"/>
    </row>
    <row r="3861" spans="6:30" x14ac:dyDescent="0.25">
      <c r="F3861" s="85" t="str">
        <f t="shared" si="8"/>
        <v/>
      </c>
      <c r="AB3861" s="86"/>
      <c r="AD3861" s="100"/>
    </row>
    <row r="3862" spans="6:30" x14ac:dyDescent="0.25">
      <c r="F3862" s="85" t="str">
        <f t="shared" si="8"/>
        <v/>
      </c>
      <c r="AB3862" s="86"/>
      <c r="AD3862" s="100"/>
    </row>
    <row r="3863" spans="6:30" x14ac:dyDescent="0.25">
      <c r="F3863" s="85" t="str">
        <f t="shared" si="8"/>
        <v/>
      </c>
      <c r="AB3863" s="86"/>
      <c r="AD3863" s="100"/>
    </row>
    <row r="3864" spans="6:30" x14ac:dyDescent="0.25">
      <c r="F3864" s="85" t="str">
        <f t="shared" si="8"/>
        <v/>
      </c>
      <c r="AB3864" s="86"/>
      <c r="AD3864" s="100"/>
    </row>
    <row r="3865" spans="6:30" x14ac:dyDescent="0.25">
      <c r="F3865" s="85" t="str">
        <f t="shared" si="8"/>
        <v/>
      </c>
      <c r="AB3865" s="86"/>
      <c r="AD3865" s="100"/>
    </row>
    <row r="3866" spans="6:30" x14ac:dyDescent="0.25">
      <c r="F3866" s="85" t="str">
        <f t="shared" si="8"/>
        <v/>
      </c>
      <c r="AB3866" s="86"/>
      <c r="AD3866" s="100"/>
    </row>
    <row r="3867" spans="6:30" x14ac:dyDescent="0.25">
      <c r="F3867" s="85" t="str">
        <f t="shared" si="8"/>
        <v/>
      </c>
      <c r="AB3867" s="86"/>
      <c r="AD3867" s="100"/>
    </row>
    <row r="3868" spans="6:30" x14ac:dyDescent="0.25">
      <c r="F3868" s="85" t="str">
        <f t="shared" si="8"/>
        <v/>
      </c>
      <c r="AB3868" s="86"/>
      <c r="AD3868" s="100"/>
    </row>
    <row r="3869" spans="6:30" x14ac:dyDescent="0.25">
      <c r="F3869" s="85" t="str">
        <f t="shared" si="8"/>
        <v/>
      </c>
      <c r="AB3869" s="86"/>
      <c r="AD3869" s="100"/>
    </row>
    <row r="3870" spans="6:30" x14ac:dyDescent="0.25">
      <c r="F3870" s="85" t="str">
        <f t="shared" si="8"/>
        <v/>
      </c>
      <c r="AB3870" s="86"/>
      <c r="AD3870" s="100"/>
    </row>
    <row r="3871" spans="6:30" x14ac:dyDescent="0.25">
      <c r="F3871" s="85" t="str">
        <f t="shared" si="8"/>
        <v/>
      </c>
      <c r="AB3871" s="86"/>
      <c r="AD3871" s="100"/>
    </row>
    <row r="3872" spans="6:30" x14ac:dyDescent="0.25">
      <c r="F3872" s="85" t="str">
        <f t="shared" si="8"/>
        <v/>
      </c>
      <c r="AB3872" s="86"/>
      <c r="AD3872" s="100"/>
    </row>
    <row r="3873" spans="6:30" x14ac:dyDescent="0.25">
      <c r="F3873" s="85" t="str">
        <f t="shared" si="8"/>
        <v/>
      </c>
      <c r="AB3873" s="86"/>
      <c r="AD3873" s="100"/>
    </row>
    <row r="3874" spans="6:30" x14ac:dyDescent="0.25">
      <c r="F3874" s="85" t="str">
        <f t="shared" si="8"/>
        <v/>
      </c>
      <c r="AB3874" s="86"/>
      <c r="AD3874" s="100"/>
    </row>
    <row r="3875" spans="6:30" x14ac:dyDescent="0.25">
      <c r="F3875" s="85" t="str">
        <f t="shared" si="8"/>
        <v/>
      </c>
      <c r="AB3875" s="86"/>
      <c r="AD3875" s="100"/>
    </row>
    <row r="3876" spans="6:30" x14ac:dyDescent="0.25">
      <c r="F3876" s="85" t="str">
        <f t="shared" si="8"/>
        <v/>
      </c>
      <c r="AB3876" s="86"/>
      <c r="AD3876" s="100"/>
    </row>
    <row r="3877" spans="6:30" x14ac:dyDescent="0.25">
      <c r="F3877" s="85" t="str">
        <f t="shared" si="8"/>
        <v/>
      </c>
      <c r="AB3877" s="86"/>
      <c r="AD3877" s="100"/>
    </row>
    <row r="3878" spans="6:30" x14ac:dyDescent="0.25">
      <c r="F3878" s="85" t="str">
        <f t="shared" si="8"/>
        <v/>
      </c>
      <c r="AB3878" s="86"/>
      <c r="AD3878" s="100"/>
    </row>
    <row r="3879" spans="6:30" x14ac:dyDescent="0.25">
      <c r="F3879" s="85" t="str">
        <f t="shared" si="8"/>
        <v/>
      </c>
      <c r="AB3879" s="86"/>
      <c r="AD3879" s="100"/>
    </row>
    <row r="3880" spans="6:30" x14ac:dyDescent="0.25">
      <c r="F3880" s="85" t="str">
        <f t="shared" si="8"/>
        <v/>
      </c>
      <c r="AB3880" s="86"/>
      <c r="AD3880" s="100"/>
    </row>
    <row r="3881" spans="6:30" x14ac:dyDescent="0.25">
      <c r="F3881" s="85" t="str">
        <f t="shared" si="8"/>
        <v/>
      </c>
      <c r="AB3881" s="86"/>
      <c r="AD3881" s="100"/>
    </row>
    <row r="3882" spans="6:30" x14ac:dyDescent="0.25">
      <c r="F3882" s="85" t="str">
        <f t="shared" si="8"/>
        <v/>
      </c>
      <c r="AB3882" s="86"/>
      <c r="AD3882" s="100"/>
    </row>
    <row r="3883" spans="6:30" x14ac:dyDescent="0.25">
      <c r="F3883" s="85" t="str">
        <f t="shared" si="8"/>
        <v/>
      </c>
      <c r="AB3883" s="86"/>
      <c r="AD3883" s="100"/>
    </row>
    <row r="3884" spans="6:30" x14ac:dyDescent="0.25">
      <c r="F3884" s="85" t="str">
        <f t="shared" si="8"/>
        <v/>
      </c>
      <c r="AB3884" s="86"/>
      <c r="AD3884" s="100"/>
    </row>
    <row r="3885" spans="6:30" x14ac:dyDescent="0.25">
      <c r="F3885" s="85" t="str">
        <f t="shared" si="8"/>
        <v/>
      </c>
      <c r="AB3885" s="86"/>
      <c r="AD3885" s="100"/>
    </row>
    <row r="3886" spans="6:30" x14ac:dyDescent="0.25">
      <c r="F3886" s="85" t="str">
        <f t="shared" si="8"/>
        <v/>
      </c>
      <c r="AB3886" s="86"/>
      <c r="AD3886" s="100"/>
    </row>
    <row r="3887" spans="6:30" x14ac:dyDescent="0.25">
      <c r="F3887" s="85" t="str">
        <f t="shared" si="8"/>
        <v/>
      </c>
      <c r="AB3887" s="86"/>
      <c r="AD3887" s="100"/>
    </row>
    <row r="3888" spans="6:30" x14ac:dyDescent="0.25">
      <c r="F3888" s="85" t="str">
        <f t="shared" si="8"/>
        <v/>
      </c>
      <c r="AB3888" s="86"/>
      <c r="AD3888" s="100"/>
    </row>
    <row r="3889" spans="6:30" x14ac:dyDescent="0.25">
      <c r="F3889" s="85" t="str">
        <f t="shared" si="8"/>
        <v/>
      </c>
      <c r="AB3889" s="86"/>
      <c r="AD3889" s="100"/>
    </row>
    <row r="3890" spans="6:30" x14ac:dyDescent="0.25">
      <c r="F3890" s="85" t="str">
        <f t="shared" si="8"/>
        <v/>
      </c>
      <c r="AB3890" s="86"/>
      <c r="AD3890" s="100"/>
    </row>
    <row r="3891" spans="6:30" x14ac:dyDescent="0.25">
      <c r="F3891" s="85" t="str">
        <f t="shared" si="8"/>
        <v/>
      </c>
      <c r="AB3891" s="86"/>
      <c r="AD3891" s="100"/>
    </row>
    <row r="3892" spans="6:30" x14ac:dyDescent="0.25">
      <c r="F3892" s="85" t="str">
        <f t="shared" si="8"/>
        <v/>
      </c>
      <c r="AB3892" s="86"/>
      <c r="AD3892" s="100"/>
    </row>
    <row r="3893" spans="6:30" x14ac:dyDescent="0.25">
      <c r="F3893" s="85" t="str">
        <f t="shared" si="8"/>
        <v/>
      </c>
      <c r="AB3893" s="86"/>
      <c r="AD3893" s="100"/>
    </row>
    <row r="3894" spans="6:30" x14ac:dyDescent="0.25">
      <c r="F3894" s="85" t="str">
        <f t="shared" si="8"/>
        <v/>
      </c>
      <c r="AB3894" s="86"/>
      <c r="AD3894" s="100"/>
    </row>
    <row r="3895" spans="6:30" x14ac:dyDescent="0.25">
      <c r="F3895" s="85" t="str">
        <f t="shared" si="8"/>
        <v/>
      </c>
      <c r="AB3895" s="86"/>
    </row>
    <row r="3896" spans="6:30" x14ac:dyDescent="0.25">
      <c r="F3896" s="85" t="str">
        <f t="shared" si="8"/>
        <v/>
      </c>
      <c r="AB3896" s="86"/>
      <c r="AD3896" s="100"/>
    </row>
    <row r="3897" spans="6:30" x14ac:dyDescent="0.25">
      <c r="F3897" s="85" t="str">
        <f t="shared" si="8"/>
        <v/>
      </c>
      <c r="AB3897" s="86"/>
      <c r="AD3897" s="100"/>
    </row>
    <row r="3898" spans="6:30" x14ac:dyDescent="0.25">
      <c r="F3898" s="85" t="str">
        <f t="shared" si="8"/>
        <v/>
      </c>
      <c r="AB3898" s="86"/>
      <c r="AD3898" s="100"/>
    </row>
    <row r="3899" spans="6:30" x14ac:dyDescent="0.25">
      <c r="F3899" s="85" t="str">
        <f t="shared" si="8"/>
        <v/>
      </c>
      <c r="AB3899" s="86"/>
    </row>
    <row r="3900" spans="6:30" x14ac:dyDescent="0.25">
      <c r="F3900" s="85" t="str">
        <f t="shared" si="8"/>
        <v/>
      </c>
      <c r="AB3900" s="86"/>
      <c r="AD3900" s="100"/>
    </row>
    <row r="3901" spans="6:30" x14ac:dyDescent="0.25">
      <c r="F3901" s="85" t="str">
        <f t="shared" si="8"/>
        <v/>
      </c>
      <c r="AB3901" s="86"/>
      <c r="AD3901" s="100"/>
    </row>
    <row r="3902" spans="6:30" x14ac:dyDescent="0.25">
      <c r="F3902" s="85" t="str">
        <f t="shared" si="8"/>
        <v/>
      </c>
      <c r="AB3902" s="86"/>
      <c r="AD3902" s="100"/>
    </row>
    <row r="3903" spans="6:30" x14ac:dyDescent="0.25">
      <c r="F3903" s="85" t="str">
        <f t="shared" si="8"/>
        <v/>
      </c>
      <c r="AB3903" s="86"/>
      <c r="AD3903" s="100"/>
    </row>
    <row r="3904" spans="6:30" x14ac:dyDescent="0.25">
      <c r="F3904" s="85" t="str">
        <f t="shared" si="8"/>
        <v/>
      </c>
      <c r="AB3904" s="86"/>
      <c r="AD3904" s="100"/>
    </row>
    <row r="3905" spans="6:30" x14ac:dyDescent="0.25">
      <c r="F3905" s="85" t="str">
        <f t="shared" si="8"/>
        <v/>
      </c>
      <c r="AB3905" s="86"/>
      <c r="AD3905" s="100"/>
    </row>
    <row r="3906" spans="6:30" x14ac:dyDescent="0.25">
      <c r="F3906" s="85" t="str">
        <f t="shared" si="8"/>
        <v/>
      </c>
      <c r="AB3906" s="86"/>
      <c r="AD3906" s="100"/>
    </row>
    <row r="3907" spans="6:30" x14ac:dyDescent="0.25">
      <c r="F3907" s="85" t="str">
        <f t="shared" ref="F3907:F3970" si="9">IF($A3907="","",CONCATENATE($A3907,"_",$B3907,"_",$C3907))</f>
        <v/>
      </c>
      <c r="AB3907" s="86"/>
      <c r="AD3907" s="100"/>
    </row>
    <row r="3908" spans="6:30" x14ac:dyDescent="0.25">
      <c r="F3908" s="85" t="str">
        <f t="shared" si="9"/>
        <v/>
      </c>
      <c r="AB3908" s="86"/>
      <c r="AD3908" s="100"/>
    </row>
    <row r="3909" spans="6:30" x14ac:dyDescent="0.25">
      <c r="F3909" s="85" t="str">
        <f t="shared" si="9"/>
        <v/>
      </c>
      <c r="AB3909" s="86"/>
      <c r="AD3909" s="100"/>
    </row>
    <row r="3910" spans="6:30" x14ac:dyDescent="0.25">
      <c r="F3910" s="85" t="str">
        <f t="shared" si="9"/>
        <v/>
      </c>
      <c r="AB3910" s="86"/>
      <c r="AD3910" s="100"/>
    </row>
    <row r="3911" spans="6:30" x14ac:dyDescent="0.25">
      <c r="F3911" s="85" t="str">
        <f t="shared" si="9"/>
        <v/>
      </c>
      <c r="AB3911" s="86"/>
      <c r="AD3911" s="100"/>
    </row>
    <row r="3912" spans="6:30" x14ac:dyDescent="0.25">
      <c r="F3912" s="85" t="str">
        <f t="shared" si="9"/>
        <v/>
      </c>
      <c r="AB3912" s="86"/>
      <c r="AD3912" s="100"/>
    </row>
    <row r="3913" spans="6:30" x14ac:dyDescent="0.25">
      <c r="F3913" s="85" t="str">
        <f t="shared" si="9"/>
        <v/>
      </c>
      <c r="AB3913" s="86"/>
      <c r="AD3913" s="100"/>
    </row>
    <row r="3914" spans="6:30" x14ac:dyDescent="0.25">
      <c r="F3914" s="85" t="str">
        <f t="shared" si="9"/>
        <v/>
      </c>
      <c r="AB3914" s="86"/>
      <c r="AD3914" s="100"/>
    </row>
    <row r="3915" spans="6:30" x14ac:dyDescent="0.25">
      <c r="F3915" s="85" t="str">
        <f t="shared" si="9"/>
        <v/>
      </c>
      <c r="AB3915" s="86"/>
      <c r="AD3915" s="100"/>
    </row>
    <row r="3916" spans="6:30" x14ac:dyDescent="0.25">
      <c r="F3916" s="85" t="str">
        <f t="shared" si="9"/>
        <v/>
      </c>
      <c r="AB3916" s="86"/>
      <c r="AD3916" s="100"/>
    </row>
    <row r="3917" spans="6:30" x14ac:dyDescent="0.25">
      <c r="F3917" s="85" t="str">
        <f t="shared" si="9"/>
        <v/>
      </c>
      <c r="AB3917" s="86"/>
      <c r="AD3917" s="100"/>
    </row>
    <row r="3918" spans="6:30" x14ac:dyDescent="0.25">
      <c r="F3918" s="85" t="str">
        <f t="shared" si="9"/>
        <v/>
      </c>
      <c r="AB3918" s="86"/>
      <c r="AD3918" s="100"/>
    </row>
    <row r="3919" spans="6:30" x14ac:dyDescent="0.25">
      <c r="F3919" s="85" t="str">
        <f t="shared" si="9"/>
        <v/>
      </c>
      <c r="AB3919" s="86"/>
      <c r="AD3919" s="100"/>
    </row>
    <row r="3920" spans="6:30" x14ac:dyDescent="0.25">
      <c r="F3920" s="85" t="str">
        <f t="shared" si="9"/>
        <v/>
      </c>
      <c r="AB3920" s="86"/>
    </row>
    <row r="3921" spans="6:30" x14ac:dyDescent="0.25">
      <c r="F3921" s="85" t="str">
        <f t="shared" si="9"/>
        <v/>
      </c>
      <c r="AB3921" s="86"/>
    </row>
    <row r="3922" spans="6:30" x14ac:dyDescent="0.25">
      <c r="F3922" s="85" t="str">
        <f t="shared" si="9"/>
        <v/>
      </c>
      <c r="AB3922" s="86"/>
      <c r="AD3922" s="100"/>
    </row>
    <row r="3923" spans="6:30" x14ac:dyDescent="0.25">
      <c r="F3923" s="85" t="str">
        <f t="shared" si="9"/>
        <v/>
      </c>
      <c r="AB3923" s="86"/>
      <c r="AD3923" s="100"/>
    </row>
    <row r="3924" spans="6:30" x14ac:dyDescent="0.25">
      <c r="F3924" s="85" t="str">
        <f t="shared" si="9"/>
        <v/>
      </c>
      <c r="AB3924" s="86"/>
      <c r="AD3924" s="100"/>
    </row>
    <row r="3925" spans="6:30" x14ac:dyDescent="0.25">
      <c r="F3925" s="85" t="str">
        <f t="shared" si="9"/>
        <v/>
      </c>
      <c r="AB3925" s="86"/>
      <c r="AD3925" s="100"/>
    </row>
    <row r="3926" spans="6:30" x14ac:dyDescent="0.25">
      <c r="F3926" s="85" t="str">
        <f t="shared" si="9"/>
        <v/>
      </c>
      <c r="AB3926" s="86"/>
      <c r="AD3926" s="100"/>
    </row>
    <row r="3927" spans="6:30" x14ac:dyDescent="0.25">
      <c r="F3927" s="85" t="str">
        <f t="shared" si="9"/>
        <v/>
      </c>
      <c r="AB3927" s="86"/>
      <c r="AD3927" s="100"/>
    </row>
    <row r="3928" spans="6:30" x14ac:dyDescent="0.25">
      <c r="F3928" s="85" t="str">
        <f t="shared" si="9"/>
        <v/>
      </c>
      <c r="AB3928" s="86"/>
      <c r="AD3928" s="100"/>
    </row>
    <row r="3929" spans="6:30" x14ac:dyDescent="0.25">
      <c r="F3929" s="85" t="str">
        <f t="shared" si="9"/>
        <v/>
      </c>
      <c r="AB3929" s="86"/>
      <c r="AD3929" s="100"/>
    </row>
    <row r="3930" spans="6:30" x14ac:dyDescent="0.25">
      <c r="F3930" s="85" t="str">
        <f t="shared" si="9"/>
        <v/>
      </c>
      <c r="AB3930" s="86"/>
      <c r="AD3930" s="100"/>
    </row>
    <row r="3931" spans="6:30" x14ac:dyDescent="0.25">
      <c r="F3931" s="85" t="str">
        <f t="shared" si="9"/>
        <v/>
      </c>
      <c r="AB3931" s="86"/>
      <c r="AD3931" s="100"/>
    </row>
    <row r="3932" spans="6:30" x14ac:dyDescent="0.25">
      <c r="F3932" s="85" t="str">
        <f t="shared" si="9"/>
        <v/>
      </c>
      <c r="AB3932" s="86"/>
      <c r="AD3932" s="100"/>
    </row>
    <row r="3933" spans="6:30" x14ac:dyDescent="0.25">
      <c r="F3933" s="85" t="str">
        <f t="shared" si="9"/>
        <v/>
      </c>
      <c r="AB3933" s="86"/>
      <c r="AD3933" s="100"/>
    </row>
    <row r="3934" spans="6:30" x14ac:dyDescent="0.25">
      <c r="F3934" s="85" t="str">
        <f t="shared" si="9"/>
        <v/>
      </c>
      <c r="AB3934" s="86"/>
      <c r="AD3934" s="100"/>
    </row>
    <row r="3935" spans="6:30" x14ac:dyDescent="0.25">
      <c r="F3935" s="85" t="str">
        <f t="shared" si="9"/>
        <v/>
      </c>
      <c r="AB3935" s="86"/>
      <c r="AD3935" s="100"/>
    </row>
    <row r="3936" spans="6:30" x14ac:dyDescent="0.25">
      <c r="F3936" s="85" t="str">
        <f t="shared" si="9"/>
        <v/>
      </c>
      <c r="AB3936" s="86"/>
      <c r="AD3936" s="100"/>
    </row>
    <row r="3937" spans="6:30" x14ac:dyDescent="0.25">
      <c r="F3937" s="85" t="str">
        <f t="shared" si="9"/>
        <v/>
      </c>
      <c r="AB3937" s="86"/>
      <c r="AD3937" s="100"/>
    </row>
    <row r="3938" spans="6:30" x14ac:dyDescent="0.25">
      <c r="F3938" s="85" t="str">
        <f t="shared" si="9"/>
        <v/>
      </c>
      <c r="AB3938" s="86"/>
      <c r="AD3938" s="100"/>
    </row>
    <row r="3939" spans="6:30" x14ac:dyDescent="0.25">
      <c r="F3939" s="85" t="str">
        <f t="shared" si="9"/>
        <v/>
      </c>
      <c r="AB3939" s="86"/>
      <c r="AD3939" s="100"/>
    </row>
    <row r="3940" spans="6:30" x14ac:dyDescent="0.25">
      <c r="F3940" s="85" t="str">
        <f t="shared" si="9"/>
        <v/>
      </c>
      <c r="AB3940" s="86"/>
      <c r="AD3940" s="100"/>
    </row>
    <row r="3941" spans="6:30" x14ac:dyDescent="0.25">
      <c r="F3941" s="85" t="str">
        <f t="shared" si="9"/>
        <v/>
      </c>
      <c r="AB3941" s="86"/>
      <c r="AD3941" s="100"/>
    </row>
    <row r="3942" spans="6:30" x14ac:dyDescent="0.25">
      <c r="F3942" s="85" t="str">
        <f t="shared" si="9"/>
        <v/>
      </c>
      <c r="AB3942" s="86"/>
      <c r="AD3942" s="100"/>
    </row>
    <row r="3943" spans="6:30" x14ac:dyDescent="0.25">
      <c r="F3943" s="85" t="str">
        <f t="shared" si="9"/>
        <v/>
      </c>
      <c r="AB3943" s="86"/>
      <c r="AD3943" s="100"/>
    </row>
    <row r="3944" spans="6:30" x14ac:dyDescent="0.25">
      <c r="F3944" s="85" t="str">
        <f t="shared" si="9"/>
        <v/>
      </c>
      <c r="AB3944" s="86"/>
      <c r="AD3944" s="100"/>
    </row>
    <row r="3945" spans="6:30" x14ac:dyDescent="0.25">
      <c r="F3945" s="85" t="str">
        <f t="shared" si="9"/>
        <v/>
      </c>
      <c r="AB3945" s="86"/>
      <c r="AD3945" s="100"/>
    </row>
    <row r="3946" spans="6:30" x14ac:dyDescent="0.25">
      <c r="F3946" s="85" t="str">
        <f t="shared" si="9"/>
        <v/>
      </c>
      <c r="AB3946" s="86"/>
      <c r="AD3946" s="100"/>
    </row>
    <row r="3947" spans="6:30" x14ac:dyDescent="0.25">
      <c r="F3947" s="85" t="str">
        <f t="shared" si="9"/>
        <v/>
      </c>
      <c r="AB3947" s="86"/>
      <c r="AD3947" s="100"/>
    </row>
    <row r="3948" spans="6:30" x14ac:dyDescent="0.25">
      <c r="F3948" s="85" t="str">
        <f t="shared" si="9"/>
        <v/>
      </c>
      <c r="AB3948" s="86"/>
      <c r="AD3948" s="100"/>
    </row>
    <row r="3949" spans="6:30" x14ac:dyDescent="0.25">
      <c r="F3949" s="85" t="str">
        <f t="shared" si="9"/>
        <v/>
      </c>
      <c r="AB3949" s="86"/>
      <c r="AD3949" s="100"/>
    </row>
    <row r="3950" spans="6:30" x14ac:dyDescent="0.25">
      <c r="F3950" s="85" t="str">
        <f t="shared" si="9"/>
        <v/>
      </c>
      <c r="AB3950" s="86"/>
      <c r="AD3950" s="100"/>
    </row>
    <row r="3951" spans="6:30" x14ac:dyDescent="0.25">
      <c r="F3951" s="85" t="str">
        <f t="shared" si="9"/>
        <v/>
      </c>
      <c r="AB3951" s="86"/>
      <c r="AD3951" s="100"/>
    </row>
    <row r="3952" spans="6:30" x14ac:dyDescent="0.25">
      <c r="F3952" s="85" t="str">
        <f t="shared" si="9"/>
        <v/>
      </c>
      <c r="AB3952" s="86"/>
      <c r="AD3952" s="100"/>
    </row>
    <row r="3953" spans="6:30" x14ac:dyDescent="0.25">
      <c r="F3953" s="85" t="str">
        <f t="shared" si="9"/>
        <v/>
      </c>
      <c r="AB3953" s="86"/>
      <c r="AD3953" s="100"/>
    </row>
    <row r="3954" spans="6:30" x14ac:dyDescent="0.25">
      <c r="F3954" s="85" t="str">
        <f t="shared" si="9"/>
        <v/>
      </c>
      <c r="AB3954" s="86"/>
      <c r="AD3954" s="100"/>
    </row>
    <row r="3955" spans="6:30" x14ac:dyDescent="0.25">
      <c r="F3955" s="85" t="str">
        <f t="shared" si="9"/>
        <v/>
      </c>
      <c r="AB3955" s="86"/>
      <c r="AD3955" s="100"/>
    </row>
    <row r="3956" spans="6:30" x14ac:dyDescent="0.25">
      <c r="F3956" s="85" t="str">
        <f t="shared" si="9"/>
        <v/>
      </c>
      <c r="AB3956" s="86"/>
      <c r="AD3956" s="100"/>
    </row>
    <row r="3957" spans="6:30" x14ac:dyDescent="0.25">
      <c r="F3957" s="85" t="str">
        <f t="shared" si="9"/>
        <v/>
      </c>
      <c r="AB3957" s="86"/>
      <c r="AD3957" s="100"/>
    </row>
    <row r="3958" spans="6:30" x14ac:dyDescent="0.25">
      <c r="F3958" s="85" t="str">
        <f t="shared" si="9"/>
        <v/>
      </c>
      <c r="AB3958" s="86"/>
      <c r="AD3958" s="100"/>
    </row>
    <row r="3959" spans="6:30" x14ac:dyDescent="0.25">
      <c r="F3959" s="85" t="str">
        <f t="shared" si="9"/>
        <v/>
      </c>
      <c r="AB3959" s="86"/>
      <c r="AD3959" s="100"/>
    </row>
    <row r="3960" spans="6:30" x14ac:dyDescent="0.25">
      <c r="F3960" s="85" t="str">
        <f t="shared" si="9"/>
        <v/>
      </c>
      <c r="AB3960" s="86"/>
      <c r="AD3960" s="100"/>
    </row>
    <row r="3961" spans="6:30" x14ac:dyDescent="0.25">
      <c r="F3961" s="85" t="str">
        <f t="shared" si="9"/>
        <v/>
      </c>
      <c r="AB3961" s="86"/>
      <c r="AD3961" s="100"/>
    </row>
    <row r="3962" spans="6:30" x14ac:dyDescent="0.25">
      <c r="F3962" s="85" t="str">
        <f t="shared" si="9"/>
        <v/>
      </c>
      <c r="AB3962" s="86"/>
      <c r="AD3962" s="100"/>
    </row>
    <row r="3963" spans="6:30" x14ac:dyDescent="0.25">
      <c r="F3963" s="85" t="str">
        <f t="shared" si="9"/>
        <v/>
      </c>
      <c r="AB3963" s="86"/>
      <c r="AD3963" s="100"/>
    </row>
    <row r="3964" spans="6:30" x14ac:dyDescent="0.25">
      <c r="F3964" s="85" t="str">
        <f t="shared" si="9"/>
        <v/>
      </c>
      <c r="AB3964" s="86"/>
      <c r="AD3964" s="100"/>
    </row>
    <row r="3965" spans="6:30" x14ac:dyDescent="0.25">
      <c r="F3965" s="85" t="str">
        <f t="shared" si="9"/>
        <v/>
      </c>
      <c r="AB3965" s="86"/>
      <c r="AD3965" s="100"/>
    </row>
    <row r="3966" spans="6:30" x14ac:dyDescent="0.25">
      <c r="F3966" s="85" t="str">
        <f t="shared" si="9"/>
        <v/>
      </c>
      <c r="AB3966" s="86"/>
      <c r="AD3966" s="100"/>
    </row>
    <row r="3967" spans="6:30" x14ac:dyDescent="0.25">
      <c r="F3967" s="85" t="str">
        <f t="shared" si="9"/>
        <v/>
      </c>
      <c r="AB3967" s="86"/>
      <c r="AD3967" s="100"/>
    </row>
    <row r="3968" spans="6:30" x14ac:dyDescent="0.25">
      <c r="F3968" s="85" t="str">
        <f t="shared" si="9"/>
        <v/>
      </c>
      <c r="AB3968" s="86"/>
      <c r="AD3968" s="100"/>
    </row>
    <row r="3969" spans="6:30" x14ac:dyDescent="0.25">
      <c r="F3969" s="85" t="str">
        <f t="shared" si="9"/>
        <v/>
      </c>
      <c r="AB3969" s="86"/>
      <c r="AD3969" s="100"/>
    </row>
    <row r="3970" spans="6:30" x14ac:dyDescent="0.25">
      <c r="F3970" s="85" t="str">
        <f t="shared" si="9"/>
        <v/>
      </c>
      <c r="AB3970" s="86"/>
      <c r="AD3970" s="100"/>
    </row>
    <row r="3971" spans="6:30" x14ac:dyDescent="0.25">
      <c r="F3971" s="85" t="str">
        <f t="shared" ref="F3971:F4034" si="10">IF($A3971="","",CONCATENATE($A3971,"_",$B3971,"_",$C3971))</f>
        <v/>
      </c>
      <c r="AB3971" s="86"/>
      <c r="AD3971" s="100"/>
    </row>
    <row r="3972" spans="6:30" x14ac:dyDescent="0.25">
      <c r="F3972" s="85" t="str">
        <f t="shared" si="10"/>
        <v/>
      </c>
      <c r="AB3972" s="86"/>
      <c r="AD3972" s="100"/>
    </row>
    <row r="3973" spans="6:30" x14ac:dyDescent="0.25">
      <c r="F3973" s="85" t="str">
        <f t="shared" si="10"/>
        <v/>
      </c>
      <c r="AB3973" s="86"/>
      <c r="AD3973" s="100"/>
    </row>
    <row r="3974" spans="6:30" x14ac:dyDescent="0.25">
      <c r="F3974" s="85" t="str">
        <f t="shared" si="10"/>
        <v/>
      </c>
      <c r="AB3974" s="86"/>
      <c r="AD3974" s="100"/>
    </row>
    <row r="3975" spans="6:30" x14ac:dyDescent="0.25">
      <c r="F3975" s="85" t="str">
        <f t="shared" si="10"/>
        <v/>
      </c>
      <c r="AB3975" s="86"/>
      <c r="AD3975" s="100"/>
    </row>
    <row r="3976" spans="6:30" x14ac:dyDescent="0.25">
      <c r="F3976" s="85" t="str">
        <f t="shared" si="10"/>
        <v/>
      </c>
      <c r="AB3976" s="86"/>
      <c r="AD3976" s="100"/>
    </row>
    <row r="3977" spans="6:30" x14ac:dyDescent="0.25">
      <c r="F3977" s="85" t="str">
        <f t="shared" si="10"/>
        <v/>
      </c>
      <c r="AB3977" s="86"/>
      <c r="AD3977" s="100"/>
    </row>
    <row r="3978" spans="6:30" x14ac:dyDescent="0.25">
      <c r="F3978" s="85" t="str">
        <f t="shared" si="10"/>
        <v/>
      </c>
      <c r="AB3978" s="86"/>
      <c r="AD3978" s="100"/>
    </row>
    <row r="3979" spans="6:30" x14ac:dyDescent="0.25">
      <c r="F3979" s="85" t="str">
        <f t="shared" si="10"/>
        <v/>
      </c>
      <c r="AB3979" s="86"/>
      <c r="AD3979" s="100"/>
    </row>
    <row r="3980" spans="6:30" x14ac:dyDescent="0.25">
      <c r="F3980" s="85" t="str">
        <f t="shared" si="10"/>
        <v/>
      </c>
      <c r="AB3980" s="86"/>
      <c r="AD3980" s="100"/>
    </row>
    <row r="3981" spans="6:30" x14ac:dyDescent="0.25">
      <c r="F3981" s="85" t="str">
        <f t="shared" si="10"/>
        <v/>
      </c>
      <c r="AB3981" s="86"/>
      <c r="AD3981" s="100"/>
    </row>
    <row r="3982" spans="6:30" x14ac:dyDescent="0.25">
      <c r="F3982" s="85" t="str">
        <f t="shared" si="10"/>
        <v/>
      </c>
      <c r="AB3982" s="86"/>
      <c r="AD3982" s="100"/>
    </row>
    <row r="3983" spans="6:30" x14ac:dyDescent="0.25">
      <c r="F3983" s="85" t="str">
        <f t="shared" si="10"/>
        <v/>
      </c>
      <c r="AB3983" s="86"/>
      <c r="AD3983" s="100"/>
    </row>
    <row r="3984" spans="6:30" x14ac:dyDescent="0.25">
      <c r="F3984" s="85" t="str">
        <f t="shared" si="10"/>
        <v/>
      </c>
      <c r="AB3984" s="86"/>
      <c r="AD3984" s="100"/>
    </row>
    <row r="3985" spans="6:30" x14ac:dyDescent="0.25">
      <c r="F3985" s="85" t="str">
        <f t="shared" si="10"/>
        <v/>
      </c>
      <c r="AB3985" s="86"/>
      <c r="AD3985" s="100"/>
    </row>
    <row r="3986" spans="6:30" x14ac:dyDescent="0.25">
      <c r="F3986" s="85" t="str">
        <f t="shared" si="10"/>
        <v/>
      </c>
      <c r="AB3986" s="86"/>
      <c r="AD3986" s="100"/>
    </row>
    <row r="3987" spans="6:30" x14ac:dyDescent="0.25">
      <c r="F3987" s="85" t="str">
        <f t="shared" si="10"/>
        <v/>
      </c>
      <c r="AB3987" s="86"/>
      <c r="AD3987" s="100"/>
    </row>
    <row r="3988" spans="6:30" x14ac:dyDescent="0.25">
      <c r="F3988" s="85" t="str">
        <f t="shared" si="10"/>
        <v/>
      </c>
      <c r="AB3988" s="86"/>
      <c r="AD3988" s="100"/>
    </row>
    <row r="3989" spans="6:30" x14ac:dyDescent="0.25">
      <c r="F3989" s="85" t="str">
        <f t="shared" si="10"/>
        <v/>
      </c>
      <c r="AB3989" s="86"/>
      <c r="AD3989" s="100"/>
    </row>
    <row r="3990" spans="6:30" x14ac:dyDescent="0.25">
      <c r="F3990" s="85" t="str">
        <f t="shared" si="10"/>
        <v/>
      </c>
      <c r="AB3990" s="86"/>
      <c r="AD3990" s="100"/>
    </row>
    <row r="3991" spans="6:30" x14ac:dyDescent="0.25">
      <c r="F3991" s="85" t="str">
        <f t="shared" si="10"/>
        <v/>
      </c>
      <c r="AB3991" s="86"/>
      <c r="AD3991" s="100"/>
    </row>
    <row r="3992" spans="6:30" x14ac:dyDescent="0.25">
      <c r="F3992" s="85" t="str">
        <f t="shared" si="10"/>
        <v/>
      </c>
      <c r="AB3992" s="86"/>
      <c r="AD3992" s="100"/>
    </row>
    <row r="3993" spans="6:30" x14ac:dyDescent="0.25">
      <c r="F3993" s="85" t="str">
        <f t="shared" si="10"/>
        <v/>
      </c>
      <c r="AB3993" s="86"/>
      <c r="AD3993" s="100"/>
    </row>
    <row r="3994" spans="6:30" x14ac:dyDescent="0.25">
      <c r="F3994" s="85" t="str">
        <f t="shared" si="10"/>
        <v/>
      </c>
      <c r="AB3994" s="86"/>
      <c r="AD3994" s="100"/>
    </row>
    <row r="3995" spans="6:30" x14ac:dyDescent="0.25">
      <c r="F3995" s="85" t="str">
        <f t="shared" si="10"/>
        <v/>
      </c>
      <c r="AB3995" s="86"/>
      <c r="AD3995" s="100"/>
    </row>
    <row r="3996" spans="6:30" x14ac:dyDescent="0.25">
      <c r="F3996" s="85" t="str">
        <f t="shared" si="10"/>
        <v/>
      </c>
      <c r="AB3996" s="86"/>
      <c r="AD3996" s="100"/>
    </row>
    <row r="3997" spans="6:30" x14ac:dyDescent="0.25">
      <c r="F3997" s="85" t="str">
        <f t="shared" si="10"/>
        <v/>
      </c>
      <c r="AB3997" s="86"/>
      <c r="AD3997" s="100"/>
    </row>
    <row r="3998" spans="6:30" x14ac:dyDescent="0.25">
      <c r="F3998" s="85" t="str">
        <f t="shared" si="10"/>
        <v/>
      </c>
      <c r="AB3998" s="86"/>
      <c r="AD3998" s="100"/>
    </row>
    <row r="3999" spans="6:30" x14ac:dyDescent="0.25">
      <c r="F3999" s="85" t="str">
        <f t="shared" si="10"/>
        <v/>
      </c>
      <c r="AB3999" s="86"/>
      <c r="AD3999" s="100"/>
    </row>
    <row r="4000" spans="6:30" x14ac:dyDescent="0.25">
      <c r="F4000" s="85" t="str">
        <f t="shared" si="10"/>
        <v/>
      </c>
      <c r="AB4000" s="86"/>
      <c r="AD4000" s="100"/>
    </row>
    <row r="4001" spans="6:30" x14ac:dyDescent="0.25">
      <c r="F4001" s="85" t="str">
        <f t="shared" si="10"/>
        <v/>
      </c>
      <c r="AB4001" s="86"/>
      <c r="AD4001" s="100"/>
    </row>
    <row r="4002" spans="6:30" x14ac:dyDescent="0.25">
      <c r="F4002" s="85" t="str">
        <f t="shared" si="10"/>
        <v/>
      </c>
      <c r="AB4002" s="86"/>
    </row>
    <row r="4003" spans="6:30" x14ac:dyDescent="0.25">
      <c r="F4003" s="85" t="str">
        <f t="shared" si="10"/>
        <v/>
      </c>
      <c r="AB4003" s="86"/>
    </row>
    <row r="4004" spans="6:30" x14ac:dyDescent="0.25">
      <c r="F4004" s="85" t="str">
        <f t="shared" si="10"/>
        <v/>
      </c>
      <c r="AB4004" s="86"/>
      <c r="AD4004" s="100"/>
    </row>
    <row r="4005" spans="6:30" x14ac:dyDescent="0.25">
      <c r="F4005" s="85" t="str">
        <f t="shared" si="10"/>
        <v/>
      </c>
      <c r="AB4005" s="86"/>
    </row>
    <row r="4006" spans="6:30" x14ac:dyDescent="0.25">
      <c r="F4006" s="85" t="str">
        <f t="shared" si="10"/>
        <v/>
      </c>
      <c r="AB4006" s="86"/>
    </row>
    <row r="4007" spans="6:30" x14ac:dyDescent="0.25">
      <c r="F4007" s="85" t="str">
        <f t="shared" si="10"/>
        <v/>
      </c>
      <c r="AB4007" s="86"/>
    </row>
    <row r="4008" spans="6:30" x14ac:dyDescent="0.25">
      <c r="F4008" s="85" t="str">
        <f t="shared" si="10"/>
        <v/>
      </c>
      <c r="AB4008" s="86"/>
    </row>
    <row r="4009" spans="6:30" x14ac:dyDescent="0.25">
      <c r="F4009" s="85" t="str">
        <f t="shared" si="10"/>
        <v/>
      </c>
      <c r="AB4009" s="86"/>
      <c r="AD4009" s="100"/>
    </row>
    <row r="4010" spans="6:30" x14ac:dyDescent="0.25">
      <c r="F4010" s="85" t="str">
        <f t="shared" si="10"/>
        <v/>
      </c>
      <c r="AB4010" s="86"/>
      <c r="AD4010" s="100"/>
    </row>
    <row r="4011" spans="6:30" x14ac:dyDescent="0.25">
      <c r="F4011" s="85" t="str">
        <f t="shared" si="10"/>
        <v/>
      </c>
      <c r="AB4011" s="86"/>
    </row>
    <row r="4012" spans="6:30" x14ac:dyDescent="0.25">
      <c r="F4012" s="85" t="str">
        <f t="shared" si="10"/>
        <v/>
      </c>
      <c r="AB4012" s="86"/>
      <c r="AD4012" s="100"/>
    </row>
    <row r="4013" spans="6:30" x14ac:dyDescent="0.25">
      <c r="F4013" s="85" t="str">
        <f t="shared" si="10"/>
        <v/>
      </c>
      <c r="AB4013" s="86"/>
      <c r="AD4013" s="100"/>
    </row>
    <row r="4014" spans="6:30" x14ac:dyDescent="0.25">
      <c r="F4014" s="85" t="str">
        <f t="shared" si="10"/>
        <v/>
      </c>
      <c r="AB4014" s="86"/>
      <c r="AD4014" s="100"/>
    </row>
    <row r="4015" spans="6:30" x14ac:dyDescent="0.25">
      <c r="F4015" s="85" t="str">
        <f t="shared" si="10"/>
        <v/>
      </c>
      <c r="AB4015" s="86"/>
      <c r="AD4015" s="100"/>
    </row>
    <row r="4016" spans="6:30" x14ac:dyDescent="0.25">
      <c r="F4016" s="85" t="str">
        <f t="shared" si="10"/>
        <v/>
      </c>
      <c r="AB4016" s="86"/>
      <c r="AD4016" s="100"/>
    </row>
    <row r="4017" spans="6:30" x14ac:dyDescent="0.25">
      <c r="F4017" s="85" t="str">
        <f t="shared" si="10"/>
        <v/>
      </c>
      <c r="AB4017" s="86"/>
      <c r="AD4017" s="100"/>
    </row>
    <row r="4018" spans="6:30" x14ac:dyDescent="0.25">
      <c r="F4018" s="85" t="str">
        <f t="shared" si="10"/>
        <v/>
      </c>
      <c r="AB4018" s="86"/>
      <c r="AD4018" s="100"/>
    </row>
    <row r="4019" spans="6:30" x14ac:dyDescent="0.25">
      <c r="F4019" s="85" t="str">
        <f t="shared" si="10"/>
        <v/>
      </c>
      <c r="AB4019" s="86"/>
      <c r="AD4019" s="100"/>
    </row>
    <row r="4020" spans="6:30" x14ac:dyDescent="0.25">
      <c r="F4020" s="85" t="str">
        <f t="shared" si="10"/>
        <v/>
      </c>
      <c r="AB4020" s="86"/>
      <c r="AD4020" s="100"/>
    </row>
    <row r="4021" spans="6:30" x14ac:dyDescent="0.25">
      <c r="F4021" s="85" t="str">
        <f t="shared" si="10"/>
        <v/>
      </c>
      <c r="AB4021" s="86"/>
    </row>
    <row r="4022" spans="6:30" x14ac:dyDescent="0.25">
      <c r="F4022" s="85" t="str">
        <f t="shared" si="10"/>
        <v/>
      </c>
      <c r="AB4022" s="86"/>
      <c r="AD4022" s="100"/>
    </row>
    <row r="4023" spans="6:30" x14ac:dyDescent="0.25">
      <c r="F4023" s="85" t="str">
        <f t="shared" si="10"/>
        <v/>
      </c>
      <c r="AB4023" s="86"/>
      <c r="AD4023" s="100"/>
    </row>
    <row r="4024" spans="6:30" x14ac:dyDescent="0.25">
      <c r="F4024" s="85" t="str">
        <f t="shared" si="10"/>
        <v/>
      </c>
      <c r="AB4024" s="86"/>
    </row>
    <row r="4025" spans="6:30" x14ac:dyDescent="0.25">
      <c r="F4025" s="85" t="str">
        <f t="shared" si="10"/>
        <v/>
      </c>
      <c r="AB4025" s="86"/>
    </row>
    <row r="4026" spans="6:30" x14ac:dyDescent="0.25">
      <c r="F4026" s="85" t="str">
        <f t="shared" si="10"/>
        <v/>
      </c>
      <c r="AB4026" s="86"/>
      <c r="AD4026" s="100"/>
    </row>
    <row r="4027" spans="6:30" x14ac:dyDescent="0.25">
      <c r="F4027" s="85" t="str">
        <f t="shared" si="10"/>
        <v/>
      </c>
      <c r="AB4027" s="86"/>
    </row>
    <row r="4028" spans="6:30" x14ac:dyDescent="0.25">
      <c r="F4028" s="85" t="str">
        <f t="shared" si="10"/>
        <v/>
      </c>
      <c r="AB4028" s="86"/>
      <c r="AD4028" s="100"/>
    </row>
    <row r="4029" spans="6:30" x14ac:dyDescent="0.25">
      <c r="F4029" s="85" t="str">
        <f t="shared" si="10"/>
        <v/>
      </c>
      <c r="AB4029" s="86"/>
    </row>
    <row r="4030" spans="6:30" x14ac:dyDescent="0.25">
      <c r="F4030" s="85" t="str">
        <f t="shared" si="10"/>
        <v/>
      </c>
      <c r="AB4030" s="86"/>
      <c r="AD4030" s="100"/>
    </row>
    <row r="4031" spans="6:30" x14ac:dyDescent="0.25">
      <c r="F4031" s="85" t="str">
        <f t="shared" si="10"/>
        <v/>
      </c>
      <c r="AB4031" s="86"/>
      <c r="AD4031" s="100"/>
    </row>
    <row r="4032" spans="6:30" x14ac:dyDescent="0.25">
      <c r="F4032" s="85" t="str">
        <f t="shared" si="10"/>
        <v/>
      </c>
      <c r="AB4032" s="86"/>
    </row>
    <row r="4033" spans="6:30" x14ac:dyDescent="0.25">
      <c r="F4033" s="85" t="str">
        <f t="shared" si="10"/>
        <v/>
      </c>
      <c r="AB4033" s="86"/>
    </row>
    <row r="4034" spans="6:30" x14ac:dyDescent="0.25">
      <c r="F4034" s="85" t="str">
        <f t="shared" si="10"/>
        <v/>
      </c>
      <c r="AB4034" s="86"/>
      <c r="AD4034" s="100"/>
    </row>
    <row r="4035" spans="6:30" x14ac:dyDescent="0.25">
      <c r="F4035" s="85" t="str">
        <f t="shared" ref="F4035:F4098" si="11">IF($A4035="","",CONCATENATE($A4035,"_",$B4035,"_",$C4035))</f>
        <v/>
      </c>
      <c r="AB4035" s="86"/>
      <c r="AD4035" s="100"/>
    </row>
    <row r="4036" spans="6:30" x14ac:dyDescent="0.25">
      <c r="F4036" s="85" t="str">
        <f t="shared" si="11"/>
        <v/>
      </c>
      <c r="AB4036" s="86"/>
      <c r="AD4036" s="100"/>
    </row>
    <row r="4037" spans="6:30" x14ac:dyDescent="0.25">
      <c r="F4037" s="85" t="str">
        <f t="shared" si="11"/>
        <v/>
      </c>
      <c r="AB4037" s="86"/>
      <c r="AD4037" s="100"/>
    </row>
    <row r="4038" spans="6:30" x14ac:dyDescent="0.25">
      <c r="F4038" s="85" t="str">
        <f t="shared" si="11"/>
        <v/>
      </c>
      <c r="AB4038" s="86"/>
      <c r="AD4038" s="100"/>
    </row>
    <row r="4039" spans="6:30" x14ac:dyDescent="0.25">
      <c r="F4039" s="85" t="str">
        <f t="shared" si="11"/>
        <v/>
      </c>
      <c r="AB4039" s="86"/>
    </row>
    <row r="4040" spans="6:30" x14ac:dyDescent="0.25">
      <c r="F4040" s="85" t="str">
        <f t="shared" si="11"/>
        <v/>
      </c>
      <c r="AB4040" s="86"/>
    </row>
    <row r="4041" spans="6:30" x14ac:dyDescent="0.25">
      <c r="F4041" s="85" t="str">
        <f t="shared" si="11"/>
        <v/>
      </c>
      <c r="AB4041" s="86"/>
      <c r="AD4041" s="100"/>
    </row>
    <row r="4042" spans="6:30" x14ac:dyDescent="0.25">
      <c r="F4042" s="85" t="str">
        <f t="shared" si="11"/>
        <v/>
      </c>
      <c r="AB4042" s="86"/>
      <c r="AD4042" s="100"/>
    </row>
    <row r="4043" spans="6:30" x14ac:dyDescent="0.25">
      <c r="F4043" s="85" t="str">
        <f t="shared" si="11"/>
        <v/>
      </c>
      <c r="AB4043" s="86"/>
      <c r="AD4043" s="100"/>
    </row>
    <row r="4044" spans="6:30" x14ac:dyDescent="0.25">
      <c r="F4044" s="85" t="str">
        <f t="shared" si="11"/>
        <v/>
      </c>
      <c r="AB4044" s="86"/>
      <c r="AD4044" s="100"/>
    </row>
    <row r="4045" spans="6:30" x14ac:dyDescent="0.25">
      <c r="F4045" s="85" t="str">
        <f t="shared" si="11"/>
        <v/>
      </c>
      <c r="AB4045" s="86"/>
      <c r="AD4045" s="100"/>
    </row>
    <row r="4046" spans="6:30" x14ac:dyDescent="0.25">
      <c r="F4046" s="85" t="str">
        <f t="shared" si="11"/>
        <v/>
      </c>
      <c r="AB4046" s="86"/>
    </row>
    <row r="4047" spans="6:30" x14ac:dyDescent="0.25">
      <c r="F4047" s="85" t="str">
        <f t="shared" si="11"/>
        <v/>
      </c>
      <c r="AB4047" s="86"/>
    </row>
    <row r="4048" spans="6:30" x14ac:dyDescent="0.25">
      <c r="F4048" s="85" t="str">
        <f t="shared" si="11"/>
        <v/>
      </c>
      <c r="AB4048" s="86"/>
    </row>
    <row r="4049" spans="6:30" x14ac:dyDescent="0.25">
      <c r="F4049" s="85" t="str">
        <f t="shared" si="11"/>
        <v/>
      </c>
      <c r="AB4049" s="86"/>
      <c r="AD4049" s="100"/>
    </row>
    <row r="4050" spans="6:30" x14ac:dyDescent="0.25">
      <c r="F4050" s="85" t="str">
        <f t="shared" si="11"/>
        <v/>
      </c>
      <c r="AB4050" s="86"/>
      <c r="AD4050" s="100"/>
    </row>
    <row r="4051" spans="6:30" x14ac:dyDescent="0.25">
      <c r="F4051" s="85" t="str">
        <f t="shared" si="11"/>
        <v/>
      </c>
      <c r="AB4051" s="86"/>
    </row>
    <row r="4052" spans="6:30" x14ac:dyDescent="0.25">
      <c r="F4052" s="85" t="str">
        <f t="shared" si="11"/>
        <v/>
      </c>
      <c r="AB4052" s="86"/>
      <c r="AD4052" s="100"/>
    </row>
    <row r="4053" spans="6:30" x14ac:dyDescent="0.25">
      <c r="F4053" s="85" t="str">
        <f t="shared" si="11"/>
        <v/>
      </c>
      <c r="AB4053" s="86"/>
      <c r="AD4053" s="100"/>
    </row>
    <row r="4054" spans="6:30" x14ac:dyDescent="0.25">
      <c r="F4054" s="85" t="str">
        <f t="shared" si="11"/>
        <v/>
      </c>
      <c r="AB4054" s="86"/>
      <c r="AD4054" s="100"/>
    </row>
    <row r="4055" spans="6:30" x14ac:dyDescent="0.25">
      <c r="F4055" s="85" t="str">
        <f t="shared" si="11"/>
        <v/>
      </c>
      <c r="AB4055" s="86"/>
    </row>
    <row r="4056" spans="6:30" x14ac:dyDescent="0.25">
      <c r="F4056" s="85" t="str">
        <f t="shared" si="11"/>
        <v/>
      </c>
      <c r="AB4056" s="86"/>
      <c r="AD4056" s="100"/>
    </row>
    <row r="4057" spans="6:30" x14ac:dyDescent="0.25">
      <c r="F4057" s="85" t="str">
        <f t="shared" si="11"/>
        <v/>
      </c>
      <c r="AB4057" s="86"/>
      <c r="AD4057" s="100"/>
    </row>
    <row r="4058" spans="6:30" x14ac:dyDescent="0.25">
      <c r="F4058" s="85" t="str">
        <f t="shared" si="11"/>
        <v/>
      </c>
      <c r="AB4058" s="86"/>
    </row>
    <row r="4059" spans="6:30" x14ac:dyDescent="0.25">
      <c r="F4059" s="85" t="str">
        <f t="shared" si="11"/>
        <v/>
      </c>
      <c r="AB4059" s="86"/>
      <c r="AD4059" s="100"/>
    </row>
    <row r="4060" spans="6:30" x14ac:dyDescent="0.25">
      <c r="F4060" s="85" t="str">
        <f t="shared" si="11"/>
        <v/>
      </c>
      <c r="AB4060" s="86"/>
      <c r="AD4060" s="100"/>
    </row>
    <row r="4061" spans="6:30" x14ac:dyDescent="0.25">
      <c r="F4061" s="85" t="str">
        <f t="shared" si="11"/>
        <v/>
      </c>
      <c r="AB4061" s="86"/>
      <c r="AD4061" s="100"/>
    </row>
    <row r="4062" spans="6:30" x14ac:dyDescent="0.25">
      <c r="F4062" s="85" t="str">
        <f t="shared" si="11"/>
        <v/>
      </c>
      <c r="AB4062" s="86"/>
    </row>
    <row r="4063" spans="6:30" x14ac:dyDescent="0.25">
      <c r="F4063" s="85" t="str">
        <f t="shared" si="11"/>
        <v/>
      </c>
      <c r="AB4063" s="86"/>
    </row>
    <row r="4064" spans="6:30" x14ac:dyDescent="0.25">
      <c r="F4064" s="85" t="str">
        <f t="shared" si="11"/>
        <v/>
      </c>
      <c r="AB4064" s="86"/>
      <c r="AD4064" s="100"/>
    </row>
    <row r="4065" spans="6:30" x14ac:dyDescent="0.25">
      <c r="F4065" s="85" t="str">
        <f t="shared" si="11"/>
        <v/>
      </c>
      <c r="AB4065" s="86"/>
    </row>
    <row r="4066" spans="6:30" x14ac:dyDescent="0.25">
      <c r="F4066" s="85" t="str">
        <f t="shared" si="11"/>
        <v/>
      </c>
      <c r="AB4066" s="86"/>
    </row>
    <row r="4067" spans="6:30" x14ac:dyDescent="0.25">
      <c r="F4067" s="85" t="str">
        <f t="shared" si="11"/>
        <v/>
      </c>
      <c r="AB4067" s="86"/>
    </row>
    <row r="4068" spans="6:30" x14ac:dyDescent="0.25">
      <c r="F4068" s="85" t="str">
        <f t="shared" si="11"/>
        <v/>
      </c>
      <c r="AB4068" s="86"/>
    </row>
    <row r="4069" spans="6:30" x14ac:dyDescent="0.25">
      <c r="F4069" s="85" t="str">
        <f t="shared" si="11"/>
        <v/>
      </c>
      <c r="AB4069" s="86"/>
    </row>
    <row r="4070" spans="6:30" x14ac:dyDescent="0.25">
      <c r="F4070" s="85" t="str">
        <f t="shared" si="11"/>
        <v/>
      </c>
      <c r="AB4070" s="86"/>
      <c r="AD4070" s="100"/>
    </row>
    <row r="4071" spans="6:30" x14ac:dyDescent="0.25">
      <c r="F4071" s="85" t="str">
        <f t="shared" si="11"/>
        <v/>
      </c>
      <c r="AB4071" s="86"/>
      <c r="AD4071" s="100"/>
    </row>
    <row r="4072" spans="6:30" x14ac:dyDescent="0.25">
      <c r="F4072" s="85" t="str">
        <f t="shared" si="11"/>
        <v/>
      </c>
      <c r="AB4072" s="86"/>
      <c r="AD4072" s="100"/>
    </row>
    <row r="4073" spans="6:30" x14ac:dyDescent="0.25">
      <c r="F4073" s="85" t="str">
        <f t="shared" si="11"/>
        <v/>
      </c>
      <c r="AB4073" s="86"/>
      <c r="AD4073" s="100"/>
    </row>
    <row r="4074" spans="6:30" x14ac:dyDescent="0.25">
      <c r="F4074" s="85" t="str">
        <f t="shared" si="11"/>
        <v/>
      </c>
      <c r="AB4074" s="86"/>
      <c r="AD4074" s="100"/>
    </row>
    <row r="4075" spans="6:30" x14ac:dyDescent="0.25">
      <c r="F4075" s="85" t="str">
        <f t="shared" si="11"/>
        <v/>
      </c>
      <c r="AB4075" s="86"/>
      <c r="AD4075" s="100"/>
    </row>
    <row r="4076" spans="6:30" x14ac:dyDescent="0.25">
      <c r="F4076" s="85" t="str">
        <f t="shared" si="11"/>
        <v/>
      </c>
      <c r="AB4076" s="86"/>
      <c r="AD4076" s="100"/>
    </row>
    <row r="4077" spans="6:30" x14ac:dyDescent="0.25">
      <c r="F4077" s="85" t="str">
        <f t="shared" si="11"/>
        <v/>
      </c>
      <c r="AB4077" s="86"/>
      <c r="AD4077" s="100"/>
    </row>
    <row r="4078" spans="6:30" x14ac:dyDescent="0.25">
      <c r="F4078" s="85" t="str">
        <f t="shared" si="11"/>
        <v/>
      </c>
      <c r="AB4078" s="86"/>
      <c r="AD4078" s="100"/>
    </row>
    <row r="4079" spans="6:30" x14ac:dyDescent="0.25">
      <c r="F4079" s="85" t="str">
        <f t="shared" si="11"/>
        <v/>
      </c>
      <c r="AB4079" s="86"/>
      <c r="AD4079" s="100"/>
    </row>
    <row r="4080" spans="6:30" x14ac:dyDescent="0.25">
      <c r="F4080" s="85" t="str">
        <f t="shared" si="11"/>
        <v/>
      </c>
      <c r="AB4080" s="86"/>
    </row>
    <row r="4081" spans="6:30" x14ac:dyDescent="0.25">
      <c r="F4081" s="85" t="str">
        <f t="shared" si="11"/>
        <v/>
      </c>
      <c r="AB4081" s="86"/>
    </row>
    <row r="4082" spans="6:30" x14ac:dyDescent="0.25">
      <c r="F4082" s="85" t="str">
        <f t="shared" si="11"/>
        <v/>
      </c>
      <c r="AB4082" s="86"/>
    </row>
    <row r="4083" spans="6:30" x14ac:dyDescent="0.25">
      <c r="F4083" s="85" t="str">
        <f t="shared" si="11"/>
        <v/>
      </c>
      <c r="AB4083" s="86"/>
      <c r="AD4083" s="100"/>
    </row>
    <row r="4084" spans="6:30" x14ac:dyDescent="0.25">
      <c r="F4084" s="85" t="str">
        <f t="shared" si="11"/>
        <v/>
      </c>
      <c r="AB4084" s="86"/>
      <c r="AD4084" s="100"/>
    </row>
    <row r="4085" spans="6:30" x14ac:dyDescent="0.25">
      <c r="F4085" s="85" t="str">
        <f t="shared" si="11"/>
        <v/>
      </c>
      <c r="AB4085" s="86"/>
      <c r="AD4085" s="100"/>
    </row>
    <row r="4086" spans="6:30" x14ac:dyDescent="0.25">
      <c r="F4086" s="85" t="str">
        <f t="shared" si="11"/>
        <v/>
      </c>
      <c r="AB4086" s="86"/>
      <c r="AD4086" s="100"/>
    </row>
    <row r="4087" spans="6:30" x14ac:dyDescent="0.25">
      <c r="F4087" s="85" t="str">
        <f t="shared" si="11"/>
        <v/>
      </c>
      <c r="AB4087" s="86"/>
      <c r="AD4087" s="100"/>
    </row>
    <row r="4088" spans="6:30" x14ac:dyDescent="0.25">
      <c r="F4088" s="85" t="str">
        <f t="shared" si="11"/>
        <v/>
      </c>
      <c r="AB4088" s="86"/>
    </row>
    <row r="4089" spans="6:30" x14ac:dyDescent="0.25">
      <c r="F4089" s="85" t="str">
        <f t="shared" si="11"/>
        <v/>
      </c>
      <c r="AB4089" s="86"/>
      <c r="AD4089" s="100"/>
    </row>
    <row r="4090" spans="6:30" x14ac:dyDescent="0.25">
      <c r="F4090" s="85" t="str">
        <f t="shared" si="11"/>
        <v/>
      </c>
      <c r="AB4090" s="86"/>
    </row>
    <row r="4091" spans="6:30" x14ac:dyDescent="0.25">
      <c r="F4091" s="85" t="str">
        <f t="shared" si="11"/>
        <v/>
      </c>
      <c r="AB4091" s="86"/>
    </row>
    <row r="4092" spans="6:30" x14ac:dyDescent="0.25">
      <c r="F4092" s="85" t="str">
        <f t="shared" si="11"/>
        <v/>
      </c>
      <c r="AB4092" s="86"/>
      <c r="AD4092" s="100"/>
    </row>
    <row r="4093" spans="6:30" x14ac:dyDescent="0.25">
      <c r="F4093" s="85" t="str">
        <f t="shared" si="11"/>
        <v/>
      </c>
      <c r="AB4093" s="86"/>
    </row>
    <row r="4094" spans="6:30" x14ac:dyDescent="0.25">
      <c r="F4094" s="85" t="str">
        <f t="shared" si="11"/>
        <v/>
      </c>
      <c r="AB4094" s="86"/>
    </row>
    <row r="4095" spans="6:30" x14ac:dyDescent="0.25">
      <c r="F4095" s="85" t="str">
        <f t="shared" si="11"/>
        <v/>
      </c>
      <c r="AB4095" s="86"/>
    </row>
    <row r="4096" spans="6:30" x14ac:dyDescent="0.25">
      <c r="F4096" s="85" t="str">
        <f t="shared" si="11"/>
        <v/>
      </c>
      <c r="AB4096" s="86"/>
      <c r="AD4096" s="100"/>
    </row>
    <row r="4097" spans="6:30" x14ac:dyDescent="0.25">
      <c r="F4097" s="85" t="str">
        <f t="shared" si="11"/>
        <v/>
      </c>
      <c r="AB4097" s="86"/>
      <c r="AD4097" s="100"/>
    </row>
    <row r="4098" spans="6:30" x14ac:dyDescent="0.25">
      <c r="F4098" s="85" t="str">
        <f t="shared" si="11"/>
        <v/>
      </c>
      <c r="AB4098" s="86"/>
    </row>
    <row r="4099" spans="6:30" x14ac:dyDescent="0.25">
      <c r="F4099" s="85" t="str">
        <f t="shared" ref="F4099:F4162" si="12">IF($A4099="","",CONCATENATE($A4099,"_",$B4099,"_",$C4099))</f>
        <v/>
      </c>
      <c r="AB4099" s="86"/>
    </row>
    <row r="4100" spans="6:30" x14ac:dyDescent="0.25">
      <c r="F4100" s="85" t="str">
        <f t="shared" si="12"/>
        <v/>
      </c>
      <c r="AB4100" s="86"/>
      <c r="AD4100" s="100"/>
    </row>
    <row r="4101" spans="6:30" x14ac:dyDescent="0.25">
      <c r="F4101" s="85" t="str">
        <f t="shared" si="12"/>
        <v/>
      </c>
      <c r="AB4101" s="86"/>
    </row>
    <row r="4102" spans="6:30" x14ac:dyDescent="0.25">
      <c r="F4102" s="85" t="str">
        <f t="shared" si="12"/>
        <v/>
      </c>
      <c r="AB4102" s="86"/>
      <c r="AD4102" s="100"/>
    </row>
    <row r="4103" spans="6:30" x14ac:dyDescent="0.25">
      <c r="F4103" s="85" t="str">
        <f t="shared" si="12"/>
        <v/>
      </c>
      <c r="AB4103" s="86"/>
    </row>
    <row r="4104" spans="6:30" x14ac:dyDescent="0.25">
      <c r="F4104" s="85" t="str">
        <f t="shared" si="12"/>
        <v/>
      </c>
      <c r="AB4104" s="86"/>
      <c r="AD4104" s="100"/>
    </row>
    <row r="4105" spans="6:30" x14ac:dyDescent="0.25">
      <c r="F4105" s="85" t="str">
        <f t="shared" si="12"/>
        <v/>
      </c>
      <c r="AB4105" s="86"/>
      <c r="AD4105" s="100"/>
    </row>
    <row r="4106" spans="6:30" x14ac:dyDescent="0.25">
      <c r="F4106" s="85" t="str">
        <f t="shared" si="12"/>
        <v/>
      </c>
      <c r="AB4106" s="86"/>
      <c r="AD4106" s="100"/>
    </row>
    <row r="4107" spans="6:30" x14ac:dyDescent="0.25">
      <c r="F4107" s="85" t="str">
        <f t="shared" si="12"/>
        <v/>
      </c>
      <c r="AB4107" s="86"/>
      <c r="AD4107" s="100"/>
    </row>
    <row r="4108" spans="6:30" x14ac:dyDescent="0.25">
      <c r="F4108" s="85" t="str">
        <f t="shared" si="12"/>
        <v/>
      </c>
      <c r="AB4108" s="86"/>
    </row>
    <row r="4109" spans="6:30" x14ac:dyDescent="0.25">
      <c r="F4109" s="85" t="str">
        <f t="shared" si="12"/>
        <v/>
      </c>
      <c r="AB4109" s="86"/>
    </row>
    <row r="4110" spans="6:30" x14ac:dyDescent="0.25">
      <c r="F4110" s="85" t="str">
        <f t="shared" si="12"/>
        <v/>
      </c>
      <c r="AB4110" s="86"/>
      <c r="AD4110" s="100"/>
    </row>
    <row r="4111" spans="6:30" x14ac:dyDescent="0.25">
      <c r="F4111" s="85" t="str">
        <f t="shared" si="12"/>
        <v/>
      </c>
      <c r="AB4111" s="86"/>
    </row>
    <row r="4112" spans="6:30" x14ac:dyDescent="0.25">
      <c r="F4112" s="85" t="str">
        <f t="shared" si="12"/>
        <v/>
      </c>
      <c r="AB4112" s="86"/>
    </row>
    <row r="4113" spans="6:30" x14ac:dyDescent="0.25">
      <c r="F4113" s="85" t="str">
        <f t="shared" si="12"/>
        <v/>
      </c>
      <c r="AB4113" s="86"/>
      <c r="AD4113" s="100"/>
    </row>
    <row r="4114" spans="6:30" x14ac:dyDescent="0.25">
      <c r="F4114" s="85" t="str">
        <f t="shared" si="12"/>
        <v/>
      </c>
      <c r="AB4114" s="86"/>
      <c r="AD4114" s="100"/>
    </row>
    <row r="4115" spans="6:30" x14ac:dyDescent="0.25">
      <c r="F4115" s="85" t="str">
        <f t="shared" si="12"/>
        <v/>
      </c>
      <c r="AB4115" s="86"/>
      <c r="AD4115" s="100"/>
    </row>
    <row r="4116" spans="6:30" x14ac:dyDescent="0.25">
      <c r="F4116" s="85" t="str">
        <f t="shared" si="12"/>
        <v/>
      </c>
      <c r="AB4116" s="86"/>
      <c r="AD4116" s="100"/>
    </row>
    <row r="4117" spans="6:30" x14ac:dyDescent="0.25">
      <c r="F4117" s="85" t="str">
        <f t="shared" si="12"/>
        <v/>
      </c>
      <c r="AB4117" s="86"/>
      <c r="AD4117" s="100"/>
    </row>
    <row r="4118" spans="6:30" x14ac:dyDescent="0.25">
      <c r="F4118" s="85" t="str">
        <f t="shared" si="12"/>
        <v/>
      </c>
      <c r="AB4118" s="86"/>
      <c r="AD4118" s="100"/>
    </row>
    <row r="4119" spans="6:30" x14ac:dyDescent="0.25">
      <c r="F4119" s="85" t="str">
        <f t="shared" si="12"/>
        <v/>
      </c>
      <c r="AB4119" s="86"/>
      <c r="AD4119" s="100"/>
    </row>
    <row r="4120" spans="6:30" x14ac:dyDescent="0.25">
      <c r="F4120" s="85" t="str">
        <f t="shared" si="12"/>
        <v/>
      </c>
      <c r="AB4120" s="86"/>
      <c r="AD4120" s="100"/>
    </row>
    <row r="4121" spans="6:30" x14ac:dyDescent="0.25">
      <c r="F4121" s="85" t="str">
        <f t="shared" si="12"/>
        <v/>
      </c>
      <c r="AB4121" s="86"/>
      <c r="AD4121" s="100"/>
    </row>
    <row r="4122" spans="6:30" x14ac:dyDescent="0.25">
      <c r="F4122" s="85" t="str">
        <f t="shared" si="12"/>
        <v/>
      </c>
      <c r="AB4122" s="86"/>
      <c r="AD4122" s="100"/>
    </row>
    <row r="4123" spans="6:30" x14ac:dyDescent="0.25">
      <c r="F4123" s="85" t="str">
        <f t="shared" si="12"/>
        <v/>
      </c>
      <c r="AB4123" s="86"/>
    </row>
    <row r="4124" spans="6:30" x14ac:dyDescent="0.25">
      <c r="F4124" s="85" t="str">
        <f t="shared" si="12"/>
        <v/>
      </c>
      <c r="AB4124" s="86"/>
    </row>
    <row r="4125" spans="6:30" x14ac:dyDescent="0.25">
      <c r="F4125" s="85" t="str">
        <f t="shared" si="12"/>
        <v/>
      </c>
      <c r="AB4125" s="86"/>
      <c r="AD4125" s="100"/>
    </row>
    <row r="4126" spans="6:30" x14ac:dyDescent="0.25">
      <c r="F4126" s="85" t="str">
        <f t="shared" si="12"/>
        <v/>
      </c>
      <c r="AB4126" s="86"/>
    </row>
    <row r="4127" spans="6:30" x14ac:dyDescent="0.25">
      <c r="F4127" s="85" t="str">
        <f t="shared" si="12"/>
        <v/>
      </c>
      <c r="AB4127" s="86"/>
      <c r="AD4127" s="100"/>
    </row>
    <row r="4128" spans="6:30" x14ac:dyDescent="0.25">
      <c r="F4128" s="85" t="str">
        <f t="shared" si="12"/>
        <v/>
      </c>
      <c r="AB4128" s="86"/>
      <c r="AD4128" s="100"/>
    </row>
    <row r="4129" spans="6:30" x14ac:dyDescent="0.25">
      <c r="F4129" s="85" t="str">
        <f t="shared" si="12"/>
        <v/>
      </c>
      <c r="AB4129" s="86"/>
      <c r="AD4129" s="100"/>
    </row>
    <row r="4130" spans="6:30" x14ac:dyDescent="0.25">
      <c r="F4130" s="85" t="str">
        <f t="shared" si="12"/>
        <v/>
      </c>
      <c r="AB4130" s="86"/>
      <c r="AD4130" s="100"/>
    </row>
    <row r="4131" spans="6:30" x14ac:dyDescent="0.25">
      <c r="F4131" s="85" t="str">
        <f t="shared" si="12"/>
        <v/>
      </c>
      <c r="AB4131" s="86"/>
      <c r="AD4131" s="100"/>
    </row>
    <row r="4132" spans="6:30" x14ac:dyDescent="0.25">
      <c r="F4132" s="85" t="str">
        <f t="shared" si="12"/>
        <v/>
      </c>
      <c r="AB4132" s="86"/>
    </row>
    <row r="4133" spans="6:30" x14ac:dyDescent="0.25">
      <c r="F4133" s="85" t="str">
        <f t="shared" si="12"/>
        <v/>
      </c>
      <c r="AB4133" s="86"/>
      <c r="AD4133" s="100"/>
    </row>
    <row r="4134" spans="6:30" x14ac:dyDescent="0.25">
      <c r="F4134" s="85" t="str">
        <f t="shared" si="12"/>
        <v/>
      </c>
      <c r="AB4134" s="86"/>
    </row>
    <row r="4135" spans="6:30" x14ac:dyDescent="0.25">
      <c r="F4135" s="85" t="str">
        <f t="shared" si="12"/>
        <v/>
      </c>
      <c r="AB4135" s="86"/>
      <c r="AD4135" s="100"/>
    </row>
    <row r="4136" spans="6:30" x14ac:dyDescent="0.25">
      <c r="F4136" s="85" t="str">
        <f t="shared" si="12"/>
        <v/>
      </c>
      <c r="AB4136" s="86"/>
      <c r="AD4136" s="100"/>
    </row>
    <row r="4137" spans="6:30" x14ac:dyDescent="0.25">
      <c r="F4137" s="85" t="str">
        <f t="shared" si="12"/>
        <v/>
      </c>
      <c r="AB4137" s="86"/>
    </row>
    <row r="4138" spans="6:30" x14ac:dyDescent="0.25">
      <c r="F4138" s="85" t="str">
        <f t="shared" si="12"/>
        <v/>
      </c>
      <c r="AB4138" s="86"/>
    </row>
    <row r="4139" spans="6:30" x14ac:dyDescent="0.25">
      <c r="F4139" s="85" t="str">
        <f t="shared" si="12"/>
        <v/>
      </c>
      <c r="AB4139" s="86"/>
      <c r="AD4139" s="100"/>
    </row>
    <row r="4140" spans="6:30" x14ac:dyDescent="0.25">
      <c r="F4140" s="85" t="str">
        <f t="shared" si="12"/>
        <v/>
      </c>
      <c r="AB4140" s="86"/>
      <c r="AD4140" s="100"/>
    </row>
    <row r="4141" spans="6:30" x14ac:dyDescent="0.25">
      <c r="F4141" s="85" t="str">
        <f t="shared" si="12"/>
        <v/>
      </c>
      <c r="AB4141" s="86"/>
    </row>
    <row r="4142" spans="6:30" x14ac:dyDescent="0.25">
      <c r="F4142" s="85" t="str">
        <f t="shared" si="12"/>
        <v/>
      </c>
      <c r="AB4142" s="86"/>
      <c r="AD4142" s="100"/>
    </row>
    <row r="4143" spans="6:30" x14ac:dyDescent="0.25">
      <c r="F4143" s="85" t="str">
        <f t="shared" si="12"/>
        <v/>
      </c>
      <c r="AB4143" s="86"/>
      <c r="AD4143" s="100"/>
    </row>
    <row r="4144" spans="6:30" x14ac:dyDescent="0.25">
      <c r="F4144" s="85" t="str">
        <f t="shared" si="12"/>
        <v/>
      </c>
      <c r="AB4144" s="86"/>
    </row>
    <row r="4145" spans="6:30" x14ac:dyDescent="0.25">
      <c r="F4145" s="85" t="str">
        <f t="shared" si="12"/>
        <v/>
      </c>
      <c r="AB4145" s="86"/>
      <c r="AD4145" s="100"/>
    </row>
    <row r="4146" spans="6:30" x14ac:dyDescent="0.25">
      <c r="F4146" s="85" t="str">
        <f t="shared" si="12"/>
        <v/>
      </c>
      <c r="AB4146" s="86"/>
    </row>
    <row r="4147" spans="6:30" x14ac:dyDescent="0.25">
      <c r="F4147" s="85" t="str">
        <f t="shared" si="12"/>
        <v/>
      </c>
      <c r="AB4147" s="86"/>
      <c r="AD4147" s="100"/>
    </row>
    <row r="4148" spans="6:30" x14ac:dyDescent="0.25">
      <c r="F4148" s="85" t="str">
        <f t="shared" si="12"/>
        <v/>
      </c>
      <c r="AB4148" s="86"/>
      <c r="AD4148" s="100"/>
    </row>
    <row r="4149" spans="6:30" x14ac:dyDescent="0.25">
      <c r="F4149" s="85" t="str">
        <f t="shared" si="12"/>
        <v/>
      </c>
      <c r="AB4149" s="86"/>
      <c r="AD4149" s="100"/>
    </row>
    <row r="4150" spans="6:30" x14ac:dyDescent="0.25">
      <c r="F4150" s="85" t="str">
        <f t="shared" si="12"/>
        <v/>
      </c>
      <c r="AB4150" s="86"/>
      <c r="AD4150" s="100"/>
    </row>
    <row r="4151" spans="6:30" x14ac:dyDescent="0.25">
      <c r="F4151" s="85" t="str">
        <f t="shared" si="12"/>
        <v/>
      </c>
      <c r="AB4151" s="86"/>
      <c r="AD4151" s="100"/>
    </row>
    <row r="4152" spans="6:30" x14ac:dyDescent="0.25">
      <c r="F4152" s="85" t="str">
        <f t="shared" si="12"/>
        <v/>
      </c>
      <c r="AB4152" s="86"/>
    </row>
    <row r="4153" spans="6:30" x14ac:dyDescent="0.25">
      <c r="F4153" s="85" t="str">
        <f t="shared" si="12"/>
        <v/>
      </c>
      <c r="AB4153" s="86"/>
    </row>
    <row r="4154" spans="6:30" x14ac:dyDescent="0.25">
      <c r="F4154" s="85" t="str">
        <f t="shared" si="12"/>
        <v/>
      </c>
      <c r="AB4154" s="86"/>
      <c r="AD4154" s="100"/>
    </row>
    <row r="4155" spans="6:30" x14ac:dyDescent="0.25">
      <c r="F4155" s="85" t="str">
        <f t="shared" si="12"/>
        <v/>
      </c>
      <c r="AB4155" s="86"/>
      <c r="AD4155" s="100"/>
    </row>
    <row r="4156" spans="6:30" x14ac:dyDescent="0.25">
      <c r="F4156" s="85" t="str">
        <f t="shared" si="12"/>
        <v/>
      </c>
      <c r="AB4156" s="86"/>
      <c r="AD4156" s="100"/>
    </row>
    <row r="4157" spans="6:30" x14ac:dyDescent="0.25">
      <c r="F4157" s="85" t="str">
        <f t="shared" si="12"/>
        <v/>
      </c>
      <c r="AB4157" s="86"/>
      <c r="AD4157" s="100"/>
    </row>
    <row r="4158" spans="6:30" x14ac:dyDescent="0.25">
      <c r="F4158" s="85" t="str">
        <f t="shared" si="12"/>
        <v/>
      </c>
      <c r="AB4158" s="86"/>
    </row>
    <row r="4159" spans="6:30" x14ac:dyDescent="0.25">
      <c r="F4159" s="85" t="str">
        <f t="shared" si="12"/>
        <v/>
      </c>
      <c r="AB4159" s="86"/>
    </row>
    <row r="4160" spans="6:30" x14ac:dyDescent="0.25">
      <c r="F4160" s="85" t="str">
        <f t="shared" si="12"/>
        <v/>
      </c>
      <c r="AB4160" s="86"/>
      <c r="AD4160" s="100"/>
    </row>
    <row r="4161" spans="6:30" x14ac:dyDescent="0.25">
      <c r="F4161" s="85" t="str">
        <f t="shared" si="12"/>
        <v/>
      </c>
      <c r="AB4161" s="86"/>
      <c r="AD4161" s="100"/>
    </row>
    <row r="4162" spans="6:30" x14ac:dyDescent="0.25">
      <c r="F4162" s="85" t="str">
        <f t="shared" si="12"/>
        <v/>
      </c>
      <c r="AB4162" s="86"/>
    </row>
    <row r="4163" spans="6:30" x14ac:dyDescent="0.25">
      <c r="F4163" s="85" t="str">
        <f t="shared" ref="F4163:F4226" si="13">IF($A4163="","",CONCATENATE($A4163,"_",$B4163,"_",$C4163))</f>
        <v/>
      </c>
      <c r="AB4163" s="86"/>
      <c r="AD4163" s="100"/>
    </row>
    <row r="4164" spans="6:30" x14ac:dyDescent="0.25">
      <c r="F4164" s="85" t="str">
        <f t="shared" si="13"/>
        <v/>
      </c>
      <c r="AB4164" s="86"/>
    </row>
    <row r="4165" spans="6:30" x14ac:dyDescent="0.25">
      <c r="F4165" s="85" t="str">
        <f t="shared" si="13"/>
        <v/>
      </c>
      <c r="AB4165" s="86"/>
    </row>
    <row r="4166" spans="6:30" x14ac:dyDescent="0.25">
      <c r="F4166" s="85" t="str">
        <f t="shared" si="13"/>
        <v/>
      </c>
      <c r="AB4166" s="86"/>
    </row>
    <row r="4167" spans="6:30" x14ac:dyDescent="0.25">
      <c r="F4167" s="85" t="str">
        <f t="shared" si="13"/>
        <v/>
      </c>
      <c r="AB4167" s="86"/>
      <c r="AD4167" s="100"/>
    </row>
    <row r="4168" spans="6:30" x14ac:dyDescent="0.25">
      <c r="F4168" s="85" t="str">
        <f t="shared" si="13"/>
        <v/>
      </c>
      <c r="AB4168" s="86"/>
      <c r="AD4168" s="100"/>
    </row>
    <row r="4169" spans="6:30" x14ac:dyDescent="0.25">
      <c r="F4169" s="85" t="str">
        <f t="shared" si="13"/>
        <v/>
      </c>
      <c r="AB4169" s="86"/>
      <c r="AD4169" s="100"/>
    </row>
    <row r="4170" spans="6:30" x14ac:dyDescent="0.25">
      <c r="F4170" s="85" t="str">
        <f t="shared" si="13"/>
        <v/>
      </c>
      <c r="AB4170" s="86"/>
    </row>
    <row r="4171" spans="6:30" x14ac:dyDescent="0.25">
      <c r="F4171" s="85" t="str">
        <f t="shared" si="13"/>
        <v/>
      </c>
      <c r="AB4171" s="86"/>
    </row>
    <row r="4172" spans="6:30" x14ac:dyDescent="0.25">
      <c r="F4172" s="85" t="str">
        <f t="shared" si="13"/>
        <v/>
      </c>
      <c r="AB4172" s="86"/>
      <c r="AD4172" s="100"/>
    </row>
    <row r="4173" spans="6:30" x14ac:dyDescent="0.25">
      <c r="F4173" s="85" t="str">
        <f t="shared" si="13"/>
        <v/>
      </c>
      <c r="AB4173" s="86"/>
      <c r="AD4173" s="100"/>
    </row>
    <row r="4174" spans="6:30" x14ac:dyDescent="0.25">
      <c r="F4174" s="85" t="str">
        <f t="shared" si="13"/>
        <v/>
      </c>
      <c r="AB4174" s="86"/>
      <c r="AD4174" s="100"/>
    </row>
    <row r="4175" spans="6:30" x14ac:dyDescent="0.25">
      <c r="F4175" s="85" t="str">
        <f t="shared" si="13"/>
        <v/>
      </c>
      <c r="AB4175" s="86"/>
      <c r="AD4175" s="100"/>
    </row>
    <row r="4176" spans="6:30" x14ac:dyDescent="0.25">
      <c r="F4176" s="85" t="str">
        <f t="shared" si="13"/>
        <v/>
      </c>
      <c r="AB4176" s="86"/>
      <c r="AD4176" s="100"/>
    </row>
    <row r="4177" spans="6:30" x14ac:dyDescent="0.25">
      <c r="F4177" s="85" t="str">
        <f t="shared" si="13"/>
        <v/>
      </c>
      <c r="AB4177" s="86"/>
      <c r="AD4177" s="100"/>
    </row>
    <row r="4178" spans="6:30" x14ac:dyDescent="0.25">
      <c r="F4178" s="85" t="str">
        <f t="shared" si="13"/>
        <v/>
      </c>
      <c r="AB4178" s="86"/>
      <c r="AD4178" s="100"/>
    </row>
    <row r="4179" spans="6:30" x14ac:dyDescent="0.25">
      <c r="F4179" s="85" t="str">
        <f t="shared" si="13"/>
        <v/>
      </c>
      <c r="AB4179" s="86"/>
      <c r="AD4179" s="100"/>
    </row>
    <row r="4180" spans="6:30" x14ac:dyDescent="0.25">
      <c r="F4180" s="85" t="str">
        <f t="shared" si="13"/>
        <v/>
      </c>
      <c r="AB4180" s="86"/>
      <c r="AD4180" s="100"/>
    </row>
    <row r="4181" spans="6:30" x14ac:dyDescent="0.25">
      <c r="F4181" s="85" t="str">
        <f t="shared" si="13"/>
        <v/>
      </c>
      <c r="AB4181" s="86"/>
      <c r="AD4181" s="100"/>
    </row>
    <row r="4182" spans="6:30" x14ac:dyDescent="0.25">
      <c r="F4182" s="85" t="str">
        <f t="shared" si="13"/>
        <v/>
      </c>
      <c r="AB4182" s="86"/>
      <c r="AD4182" s="100"/>
    </row>
    <row r="4183" spans="6:30" x14ac:dyDescent="0.25">
      <c r="F4183" s="85" t="str">
        <f t="shared" si="13"/>
        <v/>
      </c>
      <c r="AB4183" s="86"/>
      <c r="AD4183" s="100"/>
    </row>
    <row r="4184" spans="6:30" x14ac:dyDescent="0.25">
      <c r="F4184" s="85" t="str">
        <f t="shared" si="13"/>
        <v/>
      </c>
      <c r="AB4184" s="86"/>
      <c r="AD4184" s="100"/>
    </row>
    <row r="4185" spans="6:30" x14ac:dyDescent="0.25">
      <c r="F4185" s="85" t="str">
        <f t="shared" si="13"/>
        <v/>
      </c>
      <c r="AB4185" s="86"/>
      <c r="AD4185" s="100"/>
    </row>
    <row r="4186" spans="6:30" x14ac:dyDescent="0.25">
      <c r="F4186" s="85" t="str">
        <f t="shared" si="13"/>
        <v/>
      </c>
      <c r="AB4186" s="86"/>
      <c r="AD4186" s="100"/>
    </row>
    <row r="4187" spans="6:30" x14ac:dyDescent="0.25">
      <c r="F4187" s="85" t="str">
        <f t="shared" si="13"/>
        <v/>
      </c>
      <c r="AB4187" s="86"/>
      <c r="AD4187" s="100"/>
    </row>
    <row r="4188" spans="6:30" x14ac:dyDescent="0.25">
      <c r="F4188" s="85" t="str">
        <f t="shared" si="13"/>
        <v/>
      </c>
      <c r="AB4188" s="86"/>
      <c r="AD4188" s="100"/>
    </row>
    <row r="4189" spans="6:30" x14ac:dyDescent="0.25">
      <c r="F4189" s="85" t="str">
        <f t="shared" si="13"/>
        <v/>
      </c>
      <c r="AB4189" s="86"/>
      <c r="AD4189" s="100"/>
    </row>
    <row r="4190" spans="6:30" x14ac:dyDescent="0.25">
      <c r="F4190" s="85" t="str">
        <f t="shared" si="13"/>
        <v/>
      </c>
      <c r="AB4190" s="86"/>
      <c r="AD4190" s="100"/>
    </row>
    <row r="4191" spans="6:30" x14ac:dyDescent="0.25">
      <c r="F4191" s="85" t="str">
        <f t="shared" si="13"/>
        <v/>
      </c>
      <c r="AB4191" s="86"/>
      <c r="AD4191" s="100"/>
    </row>
    <row r="4192" spans="6:30" x14ac:dyDescent="0.25">
      <c r="F4192" s="85" t="str">
        <f t="shared" si="13"/>
        <v/>
      </c>
      <c r="AB4192" s="86"/>
      <c r="AD4192" s="100"/>
    </row>
    <row r="4193" spans="6:30" x14ac:dyDescent="0.25">
      <c r="F4193" s="85" t="str">
        <f t="shared" si="13"/>
        <v/>
      </c>
      <c r="AB4193" s="86"/>
      <c r="AD4193" s="100"/>
    </row>
    <row r="4194" spans="6:30" x14ac:dyDescent="0.25">
      <c r="F4194" s="85" t="str">
        <f t="shared" si="13"/>
        <v/>
      </c>
      <c r="AB4194" s="86"/>
      <c r="AD4194" s="100"/>
    </row>
    <row r="4195" spans="6:30" x14ac:dyDescent="0.25">
      <c r="F4195" s="85" t="str">
        <f t="shared" si="13"/>
        <v/>
      </c>
      <c r="AB4195" s="86"/>
      <c r="AD4195" s="100"/>
    </row>
    <row r="4196" spans="6:30" x14ac:dyDescent="0.25">
      <c r="F4196" s="85" t="str">
        <f t="shared" si="13"/>
        <v/>
      </c>
      <c r="AB4196" s="86"/>
      <c r="AD4196" s="100"/>
    </row>
    <row r="4197" spans="6:30" x14ac:dyDescent="0.25">
      <c r="F4197" s="85" t="str">
        <f t="shared" si="13"/>
        <v/>
      </c>
      <c r="AB4197" s="86"/>
      <c r="AD4197" s="100"/>
    </row>
    <row r="4198" spans="6:30" x14ac:dyDescent="0.25">
      <c r="F4198" s="85" t="str">
        <f t="shared" si="13"/>
        <v/>
      </c>
      <c r="AB4198" s="86"/>
      <c r="AD4198" s="100"/>
    </row>
    <row r="4199" spans="6:30" x14ac:dyDescent="0.25">
      <c r="F4199" s="85" t="str">
        <f t="shared" si="13"/>
        <v/>
      </c>
      <c r="AB4199" s="86"/>
      <c r="AD4199" s="100"/>
    </row>
    <row r="4200" spans="6:30" x14ac:dyDescent="0.25">
      <c r="F4200" s="85" t="str">
        <f t="shared" si="13"/>
        <v/>
      </c>
      <c r="AB4200" s="86"/>
      <c r="AD4200" s="100"/>
    </row>
    <row r="4201" spans="6:30" x14ac:dyDescent="0.25">
      <c r="F4201" s="85" t="str">
        <f t="shared" si="13"/>
        <v/>
      </c>
      <c r="AB4201" s="86"/>
      <c r="AD4201" s="100"/>
    </row>
    <row r="4202" spans="6:30" x14ac:dyDescent="0.25">
      <c r="F4202" s="85" t="str">
        <f t="shared" si="13"/>
        <v/>
      </c>
      <c r="AB4202" s="86"/>
      <c r="AD4202" s="100"/>
    </row>
    <row r="4203" spans="6:30" x14ac:dyDescent="0.25">
      <c r="F4203" s="85" t="str">
        <f t="shared" si="13"/>
        <v/>
      </c>
      <c r="AB4203" s="86"/>
      <c r="AD4203" s="100"/>
    </row>
    <row r="4204" spans="6:30" x14ac:dyDescent="0.25">
      <c r="F4204" s="85" t="str">
        <f t="shared" si="13"/>
        <v/>
      </c>
      <c r="AB4204" s="86"/>
      <c r="AD4204" s="100"/>
    </row>
    <row r="4205" spans="6:30" x14ac:dyDescent="0.25">
      <c r="F4205" s="85" t="str">
        <f t="shared" si="13"/>
        <v/>
      </c>
      <c r="AB4205" s="86"/>
      <c r="AD4205" s="100"/>
    </row>
    <row r="4206" spans="6:30" x14ac:dyDescent="0.25">
      <c r="F4206" s="85" t="str">
        <f t="shared" si="13"/>
        <v/>
      </c>
      <c r="AB4206" s="86"/>
      <c r="AD4206" s="100"/>
    </row>
    <row r="4207" spans="6:30" x14ac:dyDescent="0.25">
      <c r="F4207" s="85" t="str">
        <f t="shared" si="13"/>
        <v/>
      </c>
      <c r="AB4207" s="86"/>
      <c r="AD4207" s="100"/>
    </row>
    <row r="4208" spans="6:30" x14ac:dyDescent="0.25">
      <c r="F4208" s="85" t="str">
        <f t="shared" si="13"/>
        <v/>
      </c>
      <c r="AB4208" s="86"/>
      <c r="AD4208" s="100"/>
    </row>
    <row r="4209" spans="6:30" x14ac:dyDescent="0.25">
      <c r="F4209" s="85" t="str">
        <f t="shared" si="13"/>
        <v/>
      </c>
      <c r="AB4209" s="86"/>
      <c r="AD4209" s="100"/>
    </row>
    <row r="4210" spans="6:30" x14ac:dyDescent="0.25">
      <c r="F4210" s="85" t="str">
        <f t="shared" si="13"/>
        <v/>
      </c>
      <c r="AB4210" s="86"/>
      <c r="AD4210" s="100"/>
    </row>
    <row r="4211" spans="6:30" x14ac:dyDescent="0.25">
      <c r="F4211" s="85" t="str">
        <f t="shared" si="13"/>
        <v/>
      </c>
      <c r="AB4211" s="86"/>
      <c r="AD4211" s="100"/>
    </row>
    <row r="4212" spans="6:30" x14ac:dyDescent="0.25">
      <c r="F4212" s="85" t="str">
        <f t="shared" si="13"/>
        <v/>
      </c>
      <c r="AB4212" s="86"/>
      <c r="AD4212" s="100"/>
    </row>
    <row r="4213" spans="6:30" x14ac:dyDescent="0.25">
      <c r="F4213" s="85" t="str">
        <f t="shared" si="13"/>
        <v/>
      </c>
      <c r="AB4213" s="86"/>
      <c r="AD4213" s="100"/>
    </row>
    <row r="4214" spans="6:30" x14ac:dyDescent="0.25">
      <c r="F4214" s="85" t="str">
        <f t="shared" si="13"/>
        <v/>
      </c>
      <c r="AB4214" s="86"/>
      <c r="AD4214" s="100"/>
    </row>
    <row r="4215" spans="6:30" x14ac:dyDescent="0.25">
      <c r="F4215" s="85" t="str">
        <f t="shared" si="13"/>
        <v/>
      </c>
      <c r="AB4215" s="86"/>
      <c r="AD4215" s="100"/>
    </row>
    <row r="4216" spans="6:30" x14ac:dyDescent="0.25">
      <c r="F4216" s="85" t="str">
        <f t="shared" si="13"/>
        <v/>
      </c>
      <c r="AB4216" s="86"/>
      <c r="AD4216" s="100"/>
    </row>
    <row r="4217" spans="6:30" x14ac:dyDescent="0.25">
      <c r="F4217" s="85" t="str">
        <f t="shared" si="13"/>
        <v/>
      </c>
      <c r="AB4217" s="86"/>
      <c r="AD4217" s="100"/>
    </row>
    <row r="4218" spans="6:30" x14ac:dyDescent="0.25">
      <c r="F4218" s="85" t="str">
        <f t="shared" si="13"/>
        <v/>
      </c>
      <c r="AB4218" s="86"/>
      <c r="AD4218" s="100"/>
    </row>
    <row r="4219" spans="6:30" x14ac:dyDescent="0.25">
      <c r="F4219" s="85" t="str">
        <f t="shared" si="13"/>
        <v/>
      </c>
      <c r="AB4219" s="86"/>
      <c r="AD4219" s="100"/>
    </row>
    <row r="4220" spans="6:30" x14ac:dyDescent="0.25">
      <c r="F4220" s="85" t="str">
        <f t="shared" si="13"/>
        <v/>
      </c>
      <c r="AB4220" s="86"/>
      <c r="AD4220" s="100"/>
    </row>
    <row r="4221" spans="6:30" x14ac:dyDescent="0.25">
      <c r="F4221" s="85" t="str">
        <f t="shared" si="13"/>
        <v/>
      </c>
      <c r="AB4221" s="86"/>
      <c r="AD4221" s="100"/>
    </row>
    <row r="4222" spans="6:30" x14ac:dyDescent="0.25">
      <c r="F4222" s="85" t="str">
        <f t="shared" si="13"/>
        <v/>
      </c>
      <c r="AB4222" s="86"/>
      <c r="AD4222" s="100"/>
    </row>
    <row r="4223" spans="6:30" x14ac:dyDescent="0.25">
      <c r="F4223" s="85" t="str">
        <f t="shared" si="13"/>
        <v/>
      </c>
      <c r="AB4223" s="86"/>
      <c r="AD4223" s="100"/>
    </row>
    <row r="4224" spans="6:30" x14ac:dyDescent="0.25">
      <c r="F4224" s="85" t="str">
        <f t="shared" si="13"/>
        <v/>
      </c>
      <c r="AB4224" s="86"/>
      <c r="AD4224" s="100"/>
    </row>
    <row r="4225" spans="6:30" x14ac:dyDescent="0.25">
      <c r="F4225" s="85" t="str">
        <f t="shared" si="13"/>
        <v/>
      </c>
      <c r="AB4225" s="86"/>
      <c r="AD4225" s="100"/>
    </row>
    <row r="4226" spans="6:30" x14ac:dyDescent="0.25">
      <c r="F4226" s="85" t="str">
        <f t="shared" si="13"/>
        <v/>
      </c>
      <c r="AB4226" s="86"/>
      <c r="AD4226" s="100"/>
    </row>
    <row r="4227" spans="6:30" x14ac:dyDescent="0.25">
      <c r="F4227" s="85" t="str">
        <f t="shared" ref="F4227:F4290" si="14">IF($A4227="","",CONCATENATE($A4227,"_",$B4227,"_",$C4227))</f>
        <v/>
      </c>
      <c r="AB4227" s="86"/>
      <c r="AD4227" s="100"/>
    </row>
    <row r="4228" spans="6:30" x14ac:dyDescent="0.25">
      <c r="F4228" s="85" t="str">
        <f t="shared" si="14"/>
        <v/>
      </c>
      <c r="AB4228" s="86"/>
      <c r="AD4228" s="100"/>
    </row>
    <row r="4229" spans="6:30" x14ac:dyDescent="0.25">
      <c r="F4229" s="85" t="str">
        <f t="shared" si="14"/>
        <v/>
      </c>
      <c r="AB4229" s="86"/>
      <c r="AD4229" s="100"/>
    </row>
    <row r="4230" spans="6:30" x14ac:dyDescent="0.25">
      <c r="F4230" s="85" t="str">
        <f t="shared" si="14"/>
        <v/>
      </c>
      <c r="AB4230" s="86"/>
      <c r="AD4230" s="100"/>
    </row>
    <row r="4231" spans="6:30" x14ac:dyDescent="0.25">
      <c r="F4231" s="85" t="str">
        <f t="shared" si="14"/>
        <v/>
      </c>
      <c r="AB4231" s="86"/>
      <c r="AD4231" s="100"/>
    </row>
    <row r="4232" spans="6:30" x14ac:dyDescent="0.25">
      <c r="F4232" s="85" t="str">
        <f t="shared" si="14"/>
        <v/>
      </c>
      <c r="AB4232" s="86"/>
      <c r="AD4232" s="100"/>
    </row>
    <row r="4233" spans="6:30" x14ac:dyDescent="0.25">
      <c r="F4233" s="85" t="str">
        <f t="shared" si="14"/>
        <v/>
      </c>
      <c r="AB4233" s="86"/>
      <c r="AD4233" s="100"/>
    </row>
    <row r="4234" spans="6:30" x14ac:dyDescent="0.25">
      <c r="F4234" s="85" t="str">
        <f t="shared" si="14"/>
        <v/>
      </c>
      <c r="AB4234" s="86"/>
      <c r="AD4234" s="100"/>
    </row>
    <row r="4235" spans="6:30" x14ac:dyDescent="0.25">
      <c r="F4235" s="85" t="str">
        <f t="shared" si="14"/>
        <v/>
      </c>
      <c r="AB4235" s="86"/>
      <c r="AD4235" s="100"/>
    </row>
    <row r="4236" spans="6:30" x14ac:dyDescent="0.25">
      <c r="F4236" s="85" t="str">
        <f t="shared" si="14"/>
        <v/>
      </c>
      <c r="AB4236" s="86"/>
      <c r="AD4236" s="100"/>
    </row>
    <row r="4237" spans="6:30" x14ac:dyDescent="0.25">
      <c r="F4237" s="85" t="str">
        <f t="shared" si="14"/>
        <v/>
      </c>
      <c r="AB4237" s="86"/>
      <c r="AD4237" s="100"/>
    </row>
    <row r="4238" spans="6:30" x14ac:dyDescent="0.25">
      <c r="F4238" s="85" t="str">
        <f t="shared" si="14"/>
        <v/>
      </c>
      <c r="AB4238" s="86"/>
      <c r="AD4238" s="100"/>
    </row>
    <row r="4239" spans="6:30" x14ac:dyDescent="0.25">
      <c r="F4239" s="85" t="str">
        <f t="shared" si="14"/>
        <v/>
      </c>
      <c r="AB4239" s="86"/>
      <c r="AD4239" s="100"/>
    </row>
    <row r="4240" spans="6:30" x14ac:dyDescent="0.25">
      <c r="F4240" s="85" t="str">
        <f t="shared" si="14"/>
        <v/>
      </c>
      <c r="AB4240" s="86"/>
      <c r="AD4240" s="100"/>
    </row>
    <row r="4241" spans="6:30" x14ac:dyDescent="0.25">
      <c r="F4241" s="85" t="str">
        <f t="shared" si="14"/>
        <v/>
      </c>
      <c r="AB4241" s="86"/>
      <c r="AD4241" s="100"/>
    </row>
    <row r="4242" spans="6:30" x14ac:dyDescent="0.25">
      <c r="F4242" s="85" t="str">
        <f t="shared" si="14"/>
        <v/>
      </c>
      <c r="AB4242" s="86"/>
      <c r="AD4242" s="100"/>
    </row>
    <row r="4243" spans="6:30" x14ac:dyDescent="0.25">
      <c r="F4243" s="85" t="str">
        <f t="shared" si="14"/>
        <v/>
      </c>
      <c r="AB4243" s="86"/>
      <c r="AD4243" s="100"/>
    </row>
    <row r="4244" spans="6:30" x14ac:dyDescent="0.25">
      <c r="F4244" s="85" t="str">
        <f t="shared" si="14"/>
        <v/>
      </c>
      <c r="AB4244" s="86"/>
      <c r="AD4244" s="100"/>
    </row>
    <row r="4245" spans="6:30" x14ac:dyDescent="0.25">
      <c r="F4245" s="85" t="str">
        <f t="shared" si="14"/>
        <v/>
      </c>
      <c r="AB4245" s="86"/>
      <c r="AD4245" s="100"/>
    </row>
    <row r="4246" spans="6:30" x14ac:dyDescent="0.25">
      <c r="F4246" s="85" t="str">
        <f t="shared" si="14"/>
        <v/>
      </c>
      <c r="AB4246" s="86"/>
      <c r="AD4246" s="100"/>
    </row>
    <row r="4247" spans="6:30" x14ac:dyDescent="0.25">
      <c r="F4247" s="85" t="str">
        <f t="shared" si="14"/>
        <v/>
      </c>
      <c r="AB4247" s="86"/>
      <c r="AD4247" s="100"/>
    </row>
    <row r="4248" spans="6:30" x14ac:dyDescent="0.25">
      <c r="F4248" s="85" t="str">
        <f t="shared" si="14"/>
        <v/>
      </c>
      <c r="AB4248" s="86"/>
      <c r="AD4248" s="100"/>
    </row>
    <row r="4249" spans="6:30" x14ac:dyDescent="0.25">
      <c r="F4249" s="85" t="str">
        <f t="shared" si="14"/>
        <v/>
      </c>
      <c r="AB4249" s="86"/>
      <c r="AD4249" s="100"/>
    </row>
    <row r="4250" spans="6:30" x14ac:dyDescent="0.25">
      <c r="F4250" s="85" t="str">
        <f t="shared" si="14"/>
        <v/>
      </c>
      <c r="AB4250" s="86"/>
      <c r="AD4250" s="100"/>
    </row>
    <row r="4251" spans="6:30" x14ac:dyDescent="0.25">
      <c r="F4251" s="85" t="str">
        <f t="shared" si="14"/>
        <v/>
      </c>
      <c r="AB4251" s="86"/>
      <c r="AD4251" s="100"/>
    </row>
    <row r="4252" spans="6:30" x14ac:dyDescent="0.25">
      <c r="F4252" s="85" t="str">
        <f t="shared" si="14"/>
        <v/>
      </c>
      <c r="AB4252" s="86"/>
      <c r="AD4252" s="100"/>
    </row>
    <row r="4253" spans="6:30" x14ac:dyDescent="0.25">
      <c r="F4253" s="85" t="str">
        <f t="shared" si="14"/>
        <v/>
      </c>
      <c r="AB4253" s="86"/>
      <c r="AD4253" s="100"/>
    </row>
    <row r="4254" spans="6:30" x14ac:dyDescent="0.25">
      <c r="F4254" s="85" t="str">
        <f t="shared" si="14"/>
        <v/>
      </c>
      <c r="AB4254" s="86"/>
      <c r="AD4254" s="100"/>
    </row>
    <row r="4255" spans="6:30" x14ac:dyDescent="0.25">
      <c r="F4255" s="85" t="str">
        <f t="shared" si="14"/>
        <v/>
      </c>
      <c r="AB4255" s="86"/>
      <c r="AD4255" s="100"/>
    </row>
    <row r="4256" spans="6:30" x14ac:dyDescent="0.25">
      <c r="F4256" s="85" t="str">
        <f t="shared" si="14"/>
        <v/>
      </c>
      <c r="AB4256" s="86"/>
      <c r="AD4256" s="100"/>
    </row>
    <row r="4257" spans="6:30" x14ac:dyDescent="0.25">
      <c r="F4257" s="85" t="str">
        <f t="shared" si="14"/>
        <v/>
      </c>
      <c r="AB4257" s="86"/>
      <c r="AD4257" s="100"/>
    </row>
    <row r="4258" spans="6:30" x14ac:dyDescent="0.25">
      <c r="F4258" s="85" t="str">
        <f t="shared" si="14"/>
        <v/>
      </c>
      <c r="AB4258" s="86"/>
      <c r="AD4258" s="100"/>
    </row>
    <row r="4259" spans="6:30" x14ac:dyDescent="0.25">
      <c r="F4259" s="85" t="str">
        <f t="shared" si="14"/>
        <v/>
      </c>
      <c r="AB4259" s="86"/>
      <c r="AD4259" s="100"/>
    </row>
    <row r="4260" spans="6:30" x14ac:dyDescent="0.25">
      <c r="F4260" s="85" t="str">
        <f t="shared" si="14"/>
        <v/>
      </c>
      <c r="AB4260" s="86"/>
      <c r="AD4260" s="100"/>
    </row>
    <row r="4261" spans="6:30" x14ac:dyDescent="0.25">
      <c r="F4261" s="85" t="str">
        <f t="shared" si="14"/>
        <v/>
      </c>
      <c r="AB4261" s="86"/>
      <c r="AD4261" s="100"/>
    </row>
    <row r="4262" spans="6:30" x14ac:dyDescent="0.25">
      <c r="F4262" s="85" t="str">
        <f t="shared" si="14"/>
        <v/>
      </c>
      <c r="AB4262" s="86"/>
      <c r="AD4262" s="100"/>
    </row>
    <row r="4263" spans="6:30" x14ac:dyDescent="0.25">
      <c r="F4263" s="85" t="str">
        <f t="shared" si="14"/>
        <v/>
      </c>
      <c r="AB4263" s="86"/>
      <c r="AD4263" s="100"/>
    </row>
    <row r="4264" spans="6:30" x14ac:dyDescent="0.25">
      <c r="F4264" s="85" t="str">
        <f t="shared" si="14"/>
        <v/>
      </c>
      <c r="AB4264" s="86"/>
      <c r="AD4264" s="100"/>
    </row>
    <row r="4265" spans="6:30" x14ac:dyDescent="0.25">
      <c r="F4265" s="85" t="str">
        <f t="shared" si="14"/>
        <v/>
      </c>
      <c r="AB4265" s="86"/>
      <c r="AD4265" s="100"/>
    </row>
    <row r="4266" spans="6:30" x14ac:dyDescent="0.25">
      <c r="F4266" s="85" t="str">
        <f t="shared" si="14"/>
        <v/>
      </c>
      <c r="AB4266" s="86"/>
      <c r="AD4266" s="100"/>
    </row>
    <row r="4267" spans="6:30" x14ac:dyDescent="0.25">
      <c r="F4267" s="85" t="str">
        <f t="shared" si="14"/>
        <v/>
      </c>
      <c r="AB4267" s="86"/>
      <c r="AD4267" s="100"/>
    </row>
    <row r="4268" spans="6:30" x14ac:dyDescent="0.25">
      <c r="F4268" s="85" t="str">
        <f t="shared" si="14"/>
        <v/>
      </c>
      <c r="AB4268" s="86"/>
      <c r="AD4268" s="100"/>
    </row>
    <row r="4269" spans="6:30" x14ac:dyDescent="0.25">
      <c r="F4269" s="85" t="str">
        <f t="shared" si="14"/>
        <v/>
      </c>
      <c r="AB4269" s="86"/>
      <c r="AD4269" s="100"/>
    </row>
    <row r="4270" spans="6:30" x14ac:dyDescent="0.25">
      <c r="F4270" s="85" t="str">
        <f t="shared" si="14"/>
        <v/>
      </c>
      <c r="AB4270" s="86"/>
      <c r="AD4270" s="100"/>
    </row>
    <row r="4271" spans="6:30" x14ac:dyDescent="0.25">
      <c r="F4271" s="85" t="str">
        <f t="shared" si="14"/>
        <v/>
      </c>
      <c r="AB4271" s="86"/>
      <c r="AD4271" s="100"/>
    </row>
    <row r="4272" spans="6:30" x14ac:dyDescent="0.25">
      <c r="F4272" s="85" t="str">
        <f t="shared" si="14"/>
        <v/>
      </c>
      <c r="AB4272" s="86"/>
      <c r="AD4272" s="100"/>
    </row>
    <row r="4273" spans="6:30" x14ac:dyDescent="0.25">
      <c r="F4273" s="85" t="str">
        <f t="shared" si="14"/>
        <v/>
      </c>
      <c r="AB4273" s="86"/>
      <c r="AD4273" s="100"/>
    </row>
    <row r="4274" spans="6:30" x14ac:dyDescent="0.25">
      <c r="F4274" s="85" t="str">
        <f t="shared" si="14"/>
        <v/>
      </c>
      <c r="AB4274" s="86"/>
      <c r="AD4274" s="100"/>
    </row>
    <row r="4275" spans="6:30" x14ac:dyDescent="0.25">
      <c r="F4275" s="85" t="str">
        <f t="shared" si="14"/>
        <v/>
      </c>
      <c r="AB4275" s="86"/>
      <c r="AD4275" s="100"/>
    </row>
    <row r="4276" spans="6:30" x14ac:dyDescent="0.25">
      <c r="F4276" s="85" t="str">
        <f t="shared" si="14"/>
        <v/>
      </c>
      <c r="AB4276" s="86"/>
      <c r="AD4276" s="100"/>
    </row>
    <row r="4277" spans="6:30" x14ac:dyDescent="0.25">
      <c r="F4277" s="85" t="str">
        <f t="shared" si="14"/>
        <v/>
      </c>
      <c r="AB4277" s="86"/>
      <c r="AD4277" s="100"/>
    </row>
    <row r="4278" spans="6:30" x14ac:dyDescent="0.25">
      <c r="F4278" s="85" t="str">
        <f t="shared" si="14"/>
        <v/>
      </c>
      <c r="AB4278" s="86"/>
      <c r="AD4278" s="100"/>
    </row>
    <row r="4279" spans="6:30" x14ac:dyDescent="0.25">
      <c r="F4279" s="85" t="str">
        <f t="shared" si="14"/>
        <v/>
      </c>
      <c r="AB4279" s="86"/>
      <c r="AD4279" s="100"/>
    </row>
    <row r="4280" spans="6:30" x14ac:dyDescent="0.25">
      <c r="F4280" s="85" t="str">
        <f t="shared" si="14"/>
        <v/>
      </c>
      <c r="AB4280" s="86"/>
      <c r="AD4280" s="100"/>
    </row>
    <row r="4281" spans="6:30" x14ac:dyDescent="0.25">
      <c r="F4281" s="85" t="str">
        <f t="shared" si="14"/>
        <v/>
      </c>
      <c r="AB4281" s="86"/>
      <c r="AD4281" s="100"/>
    </row>
    <row r="4282" spans="6:30" x14ac:dyDescent="0.25">
      <c r="F4282" s="85" t="str">
        <f t="shared" si="14"/>
        <v/>
      </c>
      <c r="AB4282" s="86"/>
      <c r="AD4282" s="100"/>
    </row>
    <row r="4283" spans="6:30" x14ac:dyDescent="0.25">
      <c r="F4283" s="85" t="str">
        <f t="shared" si="14"/>
        <v/>
      </c>
      <c r="AB4283" s="86"/>
    </row>
    <row r="4284" spans="6:30" x14ac:dyDescent="0.25">
      <c r="F4284" s="85" t="str">
        <f t="shared" si="14"/>
        <v/>
      </c>
      <c r="AB4284" s="86"/>
      <c r="AD4284" s="100"/>
    </row>
    <row r="4285" spans="6:30" x14ac:dyDescent="0.25">
      <c r="F4285" s="85" t="str">
        <f t="shared" si="14"/>
        <v/>
      </c>
      <c r="AB4285" s="86"/>
      <c r="AD4285" s="100"/>
    </row>
    <row r="4286" spans="6:30" x14ac:dyDescent="0.25">
      <c r="F4286" s="85" t="str">
        <f t="shared" si="14"/>
        <v/>
      </c>
      <c r="AB4286" s="86"/>
      <c r="AD4286" s="100"/>
    </row>
    <row r="4287" spans="6:30" x14ac:dyDescent="0.25">
      <c r="F4287" s="85" t="str">
        <f t="shared" si="14"/>
        <v/>
      </c>
      <c r="AB4287" s="86"/>
      <c r="AD4287" s="100"/>
    </row>
    <row r="4288" spans="6:30" x14ac:dyDescent="0.25">
      <c r="F4288" s="85" t="str">
        <f t="shared" si="14"/>
        <v/>
      </c>
      <c r="AB4288" s="86"/>
      <c r="AD4288" s="100"/>
    </row>
    <row r="4289" spans="6:30" x14ac:dyDescent="0.25">
      <c r="F4289" s="85" t="str">
        <f t="shared" si="14"/>
        <v/>
      </c>
      <c r="AB4289" s="86"/>
      <c r="AD4289" s="100"/>
    </row>
    <row r="4290" spans="6:30" x14ac:dyDescent="0.25">
      <c r="F4290" s="85" t="str">
        <f t="shared" si="14"/>
        <v/>
      </c>
      <c r="AB4290" s="86"/>
    </row>
    <row r="4291" spans="6:30" x14ac:dyDescent="0.25">
      <c r="F4291" s="85" t="str">
        <f t="shared" ref="F4291:F4354" si="15">IF($A4291="","",CONCATENATE($A4291,"_",$B4291,"_",$C4291))</f>
        <v/>
      </c>
      <c r="AB4291" s="86"/>
      <c r="AD4291" s="100"/>
    </row>
    <row r="4292" spans="6:30" x14ac:dyDescent="0.25">
      <c r="F4292" s="85" t="str">
        <f t="shared" si="15"/>
        <v/>
      </c>
      <c r="AB4292" s="86"/>
      <c r="AD4292" s="100"/>
    </row>
    <row r="4293" spans="6:30" x14ac:dyDescent="0.25">
      <c r="F4293" s="85" t="str">
        <f t="shared" si="15"/>
        <v/>
      </c>
      <c r="AB4293" s="86"/>
      <c r="AD4293" s="100"/>
    </row>
    <row r="4294" spans="6:30" x14ac:dyDescent="0.25">
      <c r="F4294" s="85" t="str">
        <f t="shared" si="15"/>
        <v/>
      </c>
      <c r="AB4294" s="86"/>
    </row>
    <row r="4295" spans="6:30" x14ac:dyDescent="0.25">
      <c r="F4295" s="85" t="str">
        <f t="shared" si="15"/>
        <v/>
      </c>
      <c r="AB4295" s="86"/>
      <c r="AD4295" s="100"/>
    </row>
    <row r="4296" spans="6:30" x14ac:dyDescent="0.25">
      <c r="F4296" s="85" t="str">
        <f t="shared" si="15"/>
        <v/>
      </c>
      <c r="AB4296" s="86"/>
      <c r="AD4296" s="100"/>
    </row>
    <row r="4297" spans="6:30" x14ac:dyDescent="0.25">
      <c r="F4297" s="85" t="str">
        <f t="shared" si="15"/>
        <v/>
      </c>
      <c r="AB4297" s="86"/>
      <c r="AD4297" s="100"/>
    </row>
    <row r="4298" spans="6:30" x14ac:dyDescent="0.25">
      <c r="F4298" s="85" t="str">
        <f t="shared" si="15"/>
        <v/>
      </c>
      <c r="AB4298" s="86"/>
      <c r="AD4298" s="100"/>
    </row>
    <row r="4299" spans="6:30" x14ac:dyDescent="0.25">
      <c r="F4299" s="85" t="str">
        <f t="shared" si="15"/>
        <v/>
      </c>
      <c r="AB4299" s="86"/>
      <c r="AD4299" s="100"/>
    </row>
    <row r="4300" spans="6:30" x14ac:dyDescent="0.25">
      <c r="F4300" s="85" t="str">
        <f t="shared" si="15"/>
        <v/>
      </c>
      <c r="AB4300" s="86"/>
      <c r="AD4300" s="100"/>
    </row>
    <row r="4301" spans="6:30" x14ac:dyDescent="0.25">
      <c r="F4301" s="85" t="str">
        <f t="shared" si="15"/>
        <v/>
      </c>
      <c r="AB4301" s="86"/>
      <c r="AD4301" s="100"/>
    </row>
    <row r="4302" spans="6:30" x14ac:dyDescent="0.25">
      <c r="F4302" s="85" t="str">
        <f t="shared" si="15"/>
        <v/>
      </c>
      <c r="AB4302" s="86"/>
      <c r="AD4302" s="100"/>
    </row>
    <row r="4303" spans="6:30" x14ac:dyDescent="0.25">
      <c r="F4303" s="85" t="str">
        <f t="shared" si="15"/>
        <v/>
      </c>
      <c r="AB4303" s="86"/>
      <c r="AD4303" s="100"/>
    </row>
    <row r="4304" spans="6:30" x14ac:dyDescent="0.25">
      <c r="F4304" s="85" t="str">
        <f t="shared" si="15"/>
        <v/>
      </c>
      <c r="AB4304" s="86"/>
      <c r="AD4304" s="100"/>
    </row>
    <row r="4305" spans="6:30" x14ac:dyDescent="0.25">
      <c r="F4305" s="85" t="str">
        <f t="shared" si="15"/>
        <v/>
      </c>
      <c r="AB4305" s="86"/>
      <c r="AD4305" s="100"/>
    </row>
    <row r="4306" spans="6:30" x14ac:dyDescent="0.25">
      <c r="F4306" s="85" t="str">
        <f t="shared" si="15"/>
        <v/>
      </c>
      <c r="AB4306" s="86"/>
      <c r="AD4306" s="100"/>
    </row>
    <row r="4307" spans="6:30" x14ac:dyDescent="0.25">
      <c r="F4307" s="85" t="str">
        <f t="shared" si="15"/>
        <v/>
      </c>
      <c r="AB4307" s="86"/>
      <c r="AD4307" s="100"/>
    </row>
    <row r="4308" spans="6:30" x14ac:dyDescent="0.25">
      <c r="F4308" s="85" t="str">
        <f t="shared" si="15"/>
        <v/>
      </c>
      <c r="AB4308" s="86"/>
      <c r="AD4308" s="100"/>
    </row>
    <row r="4309" spans="6:30" x14ac:dyDescent="0.25">
      <c r="F4309" s="85" t="str">
        <f t="shared" si="15"/>
        <v/>
      </c>
      <c r="AB4309" s="86"/>
      <c r="AD4309" s="100"/>
    </row>
    <row r="4310" spans="6:30" x14ac:dyDescent="0.25">
      <c r="F4310" s="85" t="str">
        <f t="shared" si="15"/>
        <v/>
      </c>
      <c r="AB4310" s="86"/>
      <c r="AD4310" s="100"/>
    </row>
    <row r="4311" spans="6:30" x14ac:dyDescent="0.25">
      <c r="F4311" s="85" t="str">
        <f t="shared" si="15"/>
        <v/>
      </c>
      <c r="AB4311" s="86"/>
      <c r="AD4311" s="100"/>
    </row>
    <row r="4312" spans="6:30" x14ac:dyDescent="0.25">
      <c r="F4312" s="85" t="str">
        <f t="shared" si="15"/>
        <v/>
      </c>
      <c r="AB4312" s="86"/>
      <c r="AD4312" s="100"/>
    </row>
    <row r="4313" spans="6:30" x14ac:dyDescent="0.25">
      <c r="F4313" s="85" t="str">
        <f t="shared" si="15"/>
        <v/>
      </c>
      <c r="AB4313" s="86"/>
      <c r="AD4313" s="100"/>
    </row>
    <row r="4314" spans="6:30" x14ac:dyDescent="0.25">
      <c r="F4314" s="85" t="str">
        <f t="shared" si="15"/>
        <v/>
      </c>
      <c r="AB4314" s="86"/>
      <c r="AD4314" s="100"/>
    </row>
    <row r="4315" spans="6:30" x14ac:dyDescent="0.25">
      <c r="F4315" s="85" t="str">
        <f t="shared" si="15"/>
        <v/>
      </c>
      <c r="AB4315" s="86"/>
      <c r="AD4315" s="100"/>
    </row>
    <row r="4316" spans="6:30" x14ac:dyDescent="0.25">
      <c r="F4316" s="85" t="str">
        <f t="shared" si="15"/>
        <v/>
      </c>
      <c r="AB4316" s="86"/>
      <c r="AD4316" s="100"/>
    </row>
    <row r="4317" spans="6:30" x14ac:dyDescent="0.25">
      <c r="F4317" s="85" t="str">
        <f t="shared" si="15"/>
        <v/>
      </c>
      <c r="AB4317" s="86"/>
      <c r="AD4317" s="100"/>
    </row>
    <row r="4318" spans="6:30" x14ac:dyDescent="0.25">
      <c r="F4318" s="85" t="str">
        <f t="shared" si="15"/>
        <v/>
      </c>
      <c r="AB4318" s="86"/>
      <c r="AD4318" s="100"/>
    </row>
    <row r="4319" spans="6:30" x14ac:dyDescent="0.25">
      <c r="F4319" s="85" t="str">
        <f t="shared" si="15"/>
        <v/>
      </c>
      <c r="AB4319" s="86"/>
      <c r="AD4319" s="100"/>
    </row>
    <row r="4320" spans="6:30" x14ac:dyDescent="0.25">
      <c r="F4320" s="85" t="str">
        <f t="shared" si="15"/>
        <v/>
      </c>
      <c r="AB4320" s="86"/>
    </row>
    <row r="4321" spans="6:30" x14ac:dyDescent="0.25">
      <c r="F4321" s="85" t="str">
        <f t="shared" si="15"/>
        <v/>
      </c>
      <c r="AB4321" s="86"/>
      <c r="AD4321" s="100"/>
    </row>
    <row r="4322" spans="6:30" x14ac:dyDescent="0.25">
      <c r="F4322" s="85" t="str">
        <f t="shared" si="15"/>
        <v/>
      </c>
      <c r="AB4322" s="86"/>
      <c r="AD4322" s="100"/>
    </row>
    <row r="4323" spans="6:30" x14ac:dyDescent="0.25">
      <c r="F4323" s="85" t="str">
        <f t="shared" si="15"/>
        <v/>
      </c>
      <c r="AB4323" s="86"/>
      <c r="AD4323" s="100"/>
    </row>
    <row r="4324" spans="6:30" x14ac:dyDescent="0.25">
      <c r="F4324" s="85" t="str">
        <f t="shared" si="15"/>
        <v/>
      </c>
      <c r="AB4324" s="86"/>
      <c r="AD4324" s="100"/>
    </row>
    <row r="4325" spans="6:30" x14ac:dyDescent="0.25">
      <c r="F4325" s="85" t="str">
        <f t="shared" si="15"/>
        <v/>
      </c>
      <c r="AB4325" s="86"/>
      <c r="AD4325" s="100"/>
    </row>
    <row r="4326" spans="6:30" x14ac:dyDescent="0.25">
      <c r="F4326" s="85" t="str">
        <f t="shared" si="15"/>
        <v/>
      </c>
      <c r="AB4326" s="86"/>
      <c r="AD4326" s="100"/>
    </row>
    <row r="4327" spans="6:30" x14ac:dyDescent="0.25">
      <c r="F4327" s="85" t="str">
        <f t="shared" si="15"/>
        <v/>
      </c>
      <c r="AB4327" s="86"/>
      <c r="AD4327" s="100"/>
    </row>
    <row r="4328" spans="6:30" x14ac:dyDescent="0.25">
      <c r="F4328" s="85" t="str">
        <f t="shared" si="15"/>
        <v/>
      </c>
      <c r="AB4328" s="86"/>
      <c r="AD4328" s="100"/>
    </row>
    <row r="4329" spans="6:30" x14ac:dyDescent="0.25">
      <c r="F4329" s="85" t="str">
        <f t="shared" si="15"/>
        <v/>
      </c>
      <c r="AB4329" s="86"/>
      <c r="AD4329" s="100"/>
    </row>
    <row r="4330" spans="6:30" x14ac:dyDescent="0.25">
      <c r="F4330" s="85" t="str">
        <f t="shared" si="15"/>
        <v/>
      </c>
      <c r="AB4330" s="86"/>
      <c r="AD4330" s="100"/>
    </row>
    <row r="4331" spans="6:30" x14ac:dyDescent="0.25">
      <c r="F4331" s="85" t="str">
        <f t="shared" si="15"/>
        <v/>
      </c>
      <c r="AB4331" s="86"/>
      <c r="AD4331" s="100"/>
    </row>
    <row r="4332" spans="6:30" x14ac:dyDescent="0.25">
      <c r="F4332" s="85" t="str">
        <f t="shared" si="15"/>
        <v/>
      </c>
      <c r="AB4332" s="86"/>
      <c r="AD4332" s="100"/>
    </row>
    <row r="4333" spans="6:30" x14ac:dyDescent="0.25">
      <c r="F4333" s="85" t="str">
        <f t="shared" si="15"/>
        <v/>
      </c>
      <c r="AB4333" s="86"/>
      <c r="AD4333" s="100"/>
    </row>
    <row r="4334" spans="6:30" x14ac:dyDescent="0.25">
      <c r="F4334" s="85" t="str">
        <f t="shared" si="15"/>
        <v/>
      </c>
      <c r="AB4334" s="86"/>
      <c r="AD4334" s="100"/>
    </row>
    <row r="4335" spans="6:30" x14ac:dyDescent="0.25">
      <c r="F4335" s="85" t="str">
        <f t="shared" si="15"/>
        <v/>
      </c>
      <c r="AB4335" s="86"/>
      <c r="AD4335" s="100"/>
    </row>
    <row r="4336" spans="6:30" x14ac:dyDescent="0.25">
      <c r="F4336" s="85" t="str">
        <f t="shared" si="15"/>
        <v/>
      </c>
      <c r="AB4336" s="86"/>
      <c r="AD4336" s="100"/>
    </row>
    <row r="4337" spans="6:30" x14ac:dyDescent="0.25">
      <c r="F4337" s="85" t="str">
        <f t="shared" si="15"/>
        <v/>
      </c>
      <c r="AB4337" s="86"/>
      <c r="AD4337" s="100"/>
    </row>
    <row r="4338" spans="6:30" x14ac:dyDescent="0.25">
      <c r="F4338" s="85" t="str">
        <f t="shared" si="15"/>
        <v/>
      </c>
      <c r="AB4338" s="86"/>
      <c r="AD4338" s="100"/>
    </row>
    <row r="4339" spans="6:30" x14ac:dyDescent="0.25">
      <c r="F4339" s="85" t="str">
        <f t="shared" si="15"/>
        <v/>
      </c>
      <c r="AB4339" s="86"/>
      <c r="AD4339" s="100"/>
    </row>
    <row r="4340" spans="6:30" x14ac:dyDescent="0.25">
      <c r="F4340" s="85" t="str">
        <f t="shared" si="15"/>
        <v/>
      </c>
      <c r="AB4340" s="86"/>
      <c r="AD4340" s="100"/>
    </row>
    <row r="4341" spans="6:30" x14ac:dyDescent="0.25">
      <c r="F4341" s="85" t="str">
        <f t="shared" si="15"/>
        <v/>
      </c>
      <c r="AB4341" s="86"/>
      <c r="AD4341" s="100"/>
    </row>
    <row r="4342" spans="6:30" x14ac:dyDescent="0.25">
      <c r="F4342" s="85" t="str">
        <f t="shared" si="15"/>
        <v/>
      </c>
      <c r="AB4342" s="86"/>
      <c r="AD4342" s="100"/>
    </row>
    <row r="4343" spans="6:30" x14ac:dyDescent="0.25">
      <c r="F4343" s="85" t="str">
        <f t="shared" si="15"/>
        <v/>
      </c>
      <c r="AB4343" s="86"/>
      <c r="AD4343" s="100"/>
    </row>
    <row r="4344" spans="6:30" x14ac:dyDescent="0.25">
      <c r="F4344" s="85" t="str">
        <f t="shared" si="15"/>
        <v/>
      </c>
      <c r="AB4344" s="86"/>
      <c r="AD4344" s="100"/>
    </row>
    <row r="4345" spans="6:30" x14ac:dyDescent="0.25">
      <c r="F4345" s="85" t="str">
        <f t="shared" si="15"/>
        <v/>
      </c>
      <c r="AB4345" s="86"/>
      <c r="AD4345" s="100"/>
    </row>
    <row r="4346" spans="6:30" x14ac:dyDescent="0.25">
      <c r="F4346" s="85" t="str">
        <f t="shared" si="15"/>
        <v/>
      </c>
      <c r="AB4346" s="86"/>
      <c r="AD4346" s="100"/>
    </row>
    <row r="4347" spans="6:30" x14ac:dyDescent="0.25">
      <c r="F4347" s="85" t="str">
        <f t="shared" si="15"/>
        <v/>
      </c>
      <c r="AB4347" s="86"/>
      <c r="AD4347" s="100"/>
    </row>
    <row r="4348" spans="6:30" x14ac:dyDescent="0.25">
      <c r="F4348" s="85" t="str">
        <f t="shared" si="15"/>
        <v/>
      </c>
      <c r="AB4348" s="86"/>
      <c r="AD4348" s="100"/>
    </row>
    <row r="4349" spans="6:30" x14ac:dyDescent="0.25">
      <c r="F4349" s="85" t="str">
        <f t="shared" si="15"/>
        <v/>
      </c>
      <c r="AB4349" s="86"/>
      <c r="AD4349" s="100"/>
    </row>
    <row r="4350" spans="6:30" x14ac:dyDescent="0.25">
      <c r="F4350" s="85" t="str">
        <f t="shared" si="15"/>
        <v/>
      </c>
      <c r="AB4350" s="86"/>
      <c r="AD4350" s="100"/>
    </row>
    <row r="4351" spans="6:30" x14ac:dyDescent="0.25">
      <c r="F4351" s="85" t="str">
        <f t="shared" si="15"/>
        <v/>
      </c>
      <c r="AB4351" s="86"/>
      <c r="AD4351" s="100"/>
    </row>
    <row r="4352" spans="6:30" x14ac:dyDescent="0.25">
      <c r="F4352" s="85" t="str">
        <f t="shared" si="15"/>
        <v/>
      </c>
      <c r="AB4352" s="86"/>
      <c r="AD4352" s="100"/>
    </row>
    <row r="4353" spans="6:30" x14ac:dyDescent="0.25">
      <c r="F4353" s="85" t="str">
        <f t="shared" si="15"/>
        <v/>
      </c>
      <c r="AB4353" s="86"/>
      <c r="AD4353" s="100"/>
    </row>
    <row r="4354" spans="6:30" x14ac:dyDescent="0.25">
      <c r="F4354" s="85" t="str">
        <f t="shared" si="15"/>
        <v/>
      </c>
      <c r="AB4354" s="86"/>
      <c r="AD4354" s="100"/>
    </row>
    <row r="4355" spans="6:30" x14ac:dyDescent="0.25">
      <c r="F4355" s="85" t="str">
        <f t="shared" ref="F4355:F4418" si="16">IF($A4355="","",CONCATENATE($A4355,"_",$B4355,"_",$C4355))</f>
        <v/>
      </c>
      <c r="AB4355" s="86"/>
      <c r="AD4355" s="100"/>
    </row>
    <row r="4356" spans="6:30" x14ac:dyDescent="0.25">
      <c r="F4356" s="85" t="str">
        <f t="shared" si="16"/>
        <v/>
      </c>
      <c r="AB4356" s="86"/>
      <c r="AD4356" s="100"/>
    </row>
    <row r="4357" spans="6:30" x14ac:dyDescent="0.25">
      <c r="F4357" s="85" t="str">
        <f t="shared" si="16"/>
        <v/>
      </c>
      <c r="AB4357" s="86"/>
      <c r="AD4357" s="100"/>
    </row>
    <row r="4358" spans="6:30" x14ac:dyDescent="0.25">
      <c r="F4358" s="85" t="str">
        <f t="shared" si="16"/>
        <v/>
      </c>
      <c r="AB4358" s="86"/>
      <c r="AD4358" s="100"/>
    </row>
    <row r="4359" spans="6:30" x14ac:dyDescent="0.25">
      <c r="F4359" s="85" t="str">
        <f t="shared" si="16"/>
        <v/>
      </c>
      <c r="AB4359" s="86"/>
      <c r="AD4359" s="100"/>
    </row>
    <row r="4360" spans="6:30" x14ac:dyDescent="0.25">
      <c r="F4360" s="85" t="str">
        <f t="shared" si="16"/>
        <v/>
      </c>
      <c r="AB4360" s="86"/>
      <c r="AD4360" s="100"/>
    </row>
    <row r="4361" spans="6:30" x14ac:dyDescent="0.25">
      <c r="F4361" s="85" t="str">
        <f t="shared" si="16"/>
        <v/>
      </c>
      <c r="AB4361" s="86"/>
      <c r="AD4361" s="100"/>
    </row>
    <row r="4362" spans="6:30" x14ac:dyDescent="0.25">
      <c r="F4362" s="85" t="str">
        <f t="shared" si="16"/>
        <v/>
      </c>
      <c r="AB4362" s="86"/>
      <c r="AD4362" s="100"/>
    </row>
    <row r="4363" spans="6:30" x14ac:dyDescent="0.25">
      <c r="F4363" s="85" t="str">
        <f t="shared" si="16"/>
        <v/>
      </c>
      <c r="AB4363" s="86"/>
      <c r="AD4363" s="100"/>
    </row>
    <row r="4364" spans="6:30" x14ac:dyDescent="0.25">
      <c r="F4364" s="85" t="str">
        <f t="shared" si="16"/>
        <v/>
      </c>
      <c r="AB4364" s="86"/>
      <c r="AD4364" s="100"/>
    </row>
    <row r="4365" spans="6:30" x14ac:dyDescent="0.25">
      <c r="F4365" s="85" t="str">
        <f t="shared" si="16"/>
        <v/>
      </c>
      <c r="AB4365" s="86"/>
      <c r="AD4365" s="100"/>
    </row>
    <row r="4366" spans="6:30" x14ac:dyDescent="0.25">
      <c r="F4366" s="85" t="str">
        <f t="shared" si="16"/>
        <v/>
      </c>
      <c r="AB4366" s="86"/>
      <c r="AD4366" s="100"/>
    </row>
    <row r="4367" spans="6:30" x14ac:dyDescent="0.25">
      <c r="F4367" s="85" t="str">
        <f t="shared" si="16"/>
        <v/>
      </c>
      <c r="AB4367" s="86"/>
      <c r="AD4367" s="100"/>
    </row>
    <row r="4368" spans="6:30" x14ac:dyDescent="0.25">
      <c r="F4368" s="85" t="str">
        <f t="shared" si="16"/>
        <v/>
      </c>
      <c r="AB4368" s="86"/>
      <c r="AD4368" s="100"/>
    </row>
    <row r="4369" spans="6:30" x14ac:dyDescent="0.25">
      <c r="F4369" s="85" t="str">
        <f t="shared" si="16"/>
        <v/>
      </c>
      <c r="AB4369" s="86"/>
      <c r="AD4369" s="100"/>
    </row>
    <row r="4370" spans="6:30" x14ac:dyDescent="0.25">
      <c r="F4370" s="85" t="str">
        <f t="shared" si="16"/>
        <v/>
      </c>
      <c r="AB4370" s="86"/>
      <c r="AD4370" s="100"/>
    </row>
    <row r="4371" spans="6:30" x14ac:dyDescent="0.25">
      <c r="F4371" s="85" t="str">
        <f t="shared" si="16"/>
        <v/>
      </c>
      <c r="AB4371" s="86"/>
      <c r="AD4371" s="100"/>
    </row>
    <row r="4372" spans="6:30" x14ac:dyDescent="0.25">
      <c r="F4372" s="85" t="str">
        <f t="shared" si="16"/>
        <v/>
      </c>
      <c r="AB4372" s="86"/>
      <c r="AD4372" s="100"/>
    </row>
    <row r="4373" spans="6:30" x14ac:dyDescent="0.25">
      <c r="F4373" s="85" t="str">
        <f t="shared" si="16"/>
        <v/>
      </c>
      <c r="AB4373" s="86"/>
      <c r="AD4373" s="100"/>
    </row>
    <row r="4374" spans="6:30" x14ac:dyDescent="0.25">
      <c r="F4374" s="85" t="str">
        <f t="shared" si="16"/>
        <v/>
      </c>
      <c r="AB4374" s="86"/>
      <c r="AD4374" s="100"/>
    </row>
    <row r="4375" spans="6:30" x14ac:dyDescent="0.25">
      <c r="F4375" s="85" t="str">
        <f t="shared" si="16"/>
        <v/>
      </c>
      <c r="AB4375" s="86"/>
      <c r="AD4375" s="100"/>
    </row>
    <row r="4376" spans="6:30" x14ac:dyDescent="0.25">
      <c r="F4376" s="85" t="str">
        <f t="shared" si="16"/>
        <v/>
      </c>
      <c r="AB4376" s="86"/>
      <c r="AD4376" s="100"/>
    </row>
    <row r="4377" spans="6:30" x14ac:dyDescent="0.25">
      <c r="F4377" s="85" t="str">
        <f t="shared" si="16"/>
        <v/>
      </c>
      <c r="AB4377" s="86"/>
      <c r="AD4377" s="100"/>
    </row>
    <row r="4378" spans="6:30" x14ac:dyDescent="0.25">
      <c r="F4378" s="85" t="str">
        <f t="shared" si="16"/>
        <v/>
      </c>
      <c r="AB4378" s="86"/>
      <c r="AD4378" s="100"/>
    </row>
    <row r="4379" spans="6:30" x14ac:dyDescent="0.25">
      <c r="F4379" s="85" t="str">
        <f t="shared" si="16"/>
        <v/>
      </c>
      <c r="AB4379" s="86"/>
      <c r="AD4379" s="100"/>
    </row>
    <row r="4380" spans="6:30" x14ac:dyDescent="0.25">
      <c r="F4380" s="85" t="str">
        <f t="shared" si="16"/>
        <v/>
      </c>
      <c r="AB4380" s="86"/>
      <c r="AD4380" s="100"/>
    </row>
    <row r="4381" spans="6:30" x14ac:dyDescent="0.25">
      <c r="F4381" s="85" t="str">
        <f t="shared" si="16"/>
        <v/>
      </c>
      <c r="AB4381" s="86"/>
      <c r="AD4381" s="100"/>
    </row>
    <row r="4382" spans="6:30" x14ac:dyDescent="0.25">
      <c r="F4382" s="85" t="str">
        <f t="shared" si="16"/>
        <v/>
      </c>
      <c r="AB4382" s="86"/>
      <c r="AD4382" s="100"/>
    </row>
    <row r="4383" spans="6:30" x14ac:dyDescent="0.25">
      <c r="F4383" s="85" t="str">
        <f t="shared" si="16"/>
        <v/>
      </c>
      <c r="AB4383" s="86"/>
      <c r="AD4383" s="100"/>
    </row>
    <row r="4384" spans="6:30" x14ac:dyDescent="0.25">
      <c r="F4384" s="85" t="str">
        <f t="shared" si="16"/>
        <v/>
      </c>
      <c r="AB4384" s="86"/>
      <c r="AD4384" s="100"/>
    </row>
    <row r="4385" spans="6:30" x14ac:dyDescent="0.25">
      <c r="F4385" s="85" t="str">
        <f t="shared" si="16"/>
        <v/>
      </c>
      <c r="AB4385" s="86"/>
      <c r="AD4385" s="100"/>
    </row>
    <row r="4386" spans="6:30" x14ac:dyDescent="0.25">
      <c r="F4386" s="85" t="str">
        <f t="shared" si="16"/>
        <v/>
      </c>
      <c r="AB4386" s="86"/>
      <c r="AD4386" s="100"/>
    </row>
    <row r="4387" spans="6:30" x14ac:dyDescent="0.25">
      <c r="F4387" s="85" t="str">
        <f t="shared" si="16"/>
        <v/>
      </c>
      <c r="AB4387" s="86"/>
      <c r="AD4387" s="100"/>
    </row>
    <row r="4388" spans="6:30" x14ac:dyDescent="0.25">
      <c r="F4388" s="85" t="str">
        <f t="shared" si="16"/>
        <v/>
      </c>
      <c r="AB4388" s="86"/>
      <c r="AD4388" s="100"/>
    </row>
    <row r="4389" spans="6:30" x14ac:dyDescent="0.25">
      <c r="F4389" s="85" t="str">
        <f t="shared" si="16"/>
        <v/>
      </c>
      <c r="AB4389" s="86"/>
      <c r="AD4389" s="100"/>
    </row>
    <row r="4390" spans="6:30" x14ac:dyDescent="0.25">
      <c r="F4390" s="85" t="str">
        <f t="shared" si="16"/>
        <v/>
      </c>
      <c r="AB4390" s="86"/>
      <c r="AD4390" s="100"/>
    </row>
    <row r="4391" spans="6:30" x14ac:dyDescent="0.25">
      <c r="F4391" s="85" t="str">
        <f t="shared" si="16"/>
        <v/>
      </c>
      <c r="AB4391" s="86"/>
      <c r="AD4391" s="100"/>
    </row>
    <row r="4392" spans="6:30" x14ac:dyDescent="0.25">
      <c r="F4392" s="85" t="str">
        <f t="shared" si="16"/>
        <v/>
      </c>
      <c r="AB4392" s="86"/>
      <c r="AD4392" s="100"/>
    </row>
    <row r="4393" spans="6:30" x14ac:dyDescent="0.25">
      <c r="F4393" s="85" t="str">
        <f t="shared" si="16"/>
        <v/>
      </c>
      <c r="AB4393" s="86"/>
      <c r="AD4393" s="100"/>
    </row>
    <row r="4394" spans="6:30" x14ac:dyDescent="0.25">
      <c r="F4394" s="85" t="str">
        <f t="shared" si="16"/>
        <v/>
      </c>
      <c r="AB4394" s="86"/>
      <c r="AD4394" s="100"/>
    </row>
    <row r="4395" spans="6:30" x14ac:dyDescent="0.25">
      <c r="F4395" s="85" t="str">
        <f t="shared" si="16"/>
        <v/>
      </c>
      <c r="AB4395" s="86"/>
      <c r="AD4395" s="100"/>
    </row>
    <row r="4396" spans="6:30" x14ac:dyDescent="0.25">
      <c r="F4396" s="85" t="str">
        <f t="shared" si="16"/>
        <v/>
      </c>
      <c r="AB4396" s="86"/>
      <c r="AD4396" s="100"/>
    </row>
    <row r="4397" spans="6:30" x14ac:dyDescent="0.25">
      <c r="F4397" s="85" t="str">
        <f t="shared" si="16"/>
        <v/>
      </c>
      <c r="AB4397" s="86"/>
      <c r="AD4397" s="100"/>
    </row>
    <row r="4398" spans="6:30" x14ac:dyDescent="0.25">
      <c r="F4398" s="85" t="str">
        <f t="shared" si="16"/>
        <v/>
      </c>
      <c r="AB4398" s="86"/>
      <c r="AD4398" s="100"/>
    </row>
    <row r="4399" spans="6:30" x14ac:dyDescent="0.25">
      <c r="F4399" s="85" t="str">
        <f t="shared" si="16"/>
        <v/>
      </c>
      <c r="AB4399" s="86"/>
      <c r="AD4399" s="100"/>
    </row>
    <row r="4400" spans="6:30" x14ac:dyDescent="0.25">
      <c r="F4400" s="85" t="str">
        <f t="shared" si="16"/>
        <v/>
      </c>
      <c r="AB4400" s="86"/>
      <c r="AD4400" s="100"/>
    </row>
    <row r="4401" spans="6:30" x14ac:dyDescent="0.25">
      <c r="F4401" s="85" t="str">
        <f t="shared" si="16"/>
        <v/>
      </c>
      <c r="AB4401" s="86"/>
      <c r="AD4401" s="100"/>
    </row>
    <row r="4402" spans="6:30" x14ac:dyDescent="0.25">
      <c r="F4402" s="85" t="str">
        <f t="shared" si="16"/>
        <v/>
      </c>
      <c r="AB4402" s="86"/>
      <c r="AD4402" s="100"/>
    </row>
    <row r="4403" spans="6:30" x14ac:dyDescent="0.25">
      <c r="F4403" s="85" t="str">
        <f t="shared" si="16"/>
        <v/>
      </c>
      <c r="AB4403" s="86"/>
      <c r="AD4403" s="100"/>
    </row>
    <row r="4404" spans="6:30" x14ac:dyDescent="0.25">
      <c r="F4404" s="85" t="str">
        <f t="shared" si="16"/>
        <v/>
      </c>
      <c r="AB4404" s="86"/>
      <c r="AD4404" s="100"/>
    </row>
    <row r="4405" spans="6:30" x14ac:dyDescent="0.25">
      <c r="F4405" s="85" t="str">
        <f t="shared" si="16"/>
        <v/>
      </c>
      <c r="AB4405" s="86"/>
      <c r="AD4405" s="100"/>
    </row>
    <row r="4406" spans="6:30" x14ac:dyDescent="0.25">
      <c r="F4406" s="85" t="str">
        <f t="shared" si="16"/>
        <v/>
      </c>
      <c r="AB4406" s="86"/>
      <c r="AD4406" s="100"/>
    </row>
    <row r="4407" spans="6:30" x14ac:dyDescent="0.25">
      <c r="F4407" s="85" t="str">
        <f t="shared" si="16"/>
        <v/>
      </c>
      <c r="AB4407" s="86"/>
      <c r="AD4407" s="100"/>
    </row>
    <row r="4408" spans="6:30" x14ac:dyDescent="0.25">
      <c r="F4408" s="85" t="str">
        <f t="shared" si="16"/>
        <v/>
      </c>
      <c r="AB4408" s="86"/>
      <c r="AD4408" s="100"/>
    </row>
    <row r="4409" spans="6:30" x14ac:dyDescent="0.25">
      <c r="F4409" s="85" t="str">
        <f t="shared" si="16"/>
        <v/>
      </c>
      <c r="AB4409" s="86"/>
      <c r="AD4409" s="100"/>
    </row>
    <row r="4410" spans="6:30" x14ac:dyDescent="0.25">
      <c r="F4410" s="85" t="str">
        <f t="shared" si="16"/>
        <v/>
      </c>
      <c r="AB4410" s="86"/>
      <c r="AD4410" s="100"/>
    </row>
    <row r="4411" spans="6:30" x14ac:dyDescent="0.25">
      <c r="F4411" s="85" t="str">
        <f t="shared" si="16"/>
        <v/>
      </c>
      <c r="AB4411" s="86"/>
      <c r="AD4411" s="100"/>
    </row>
    <row r="4412" spans="6:30" x14ac:dyDescent="0.25">
      <c r="F4412" s="85" t="str">
        <f t="shared" si="16"/>
        <v/>
      </c>
      <c r="AB4412" s="86"/>
      <c r="AD4412" s="100"/>
    </row>
    <row r="4413" spans="6:30" x14ac:dyDescent="0.25">
      <c r="F4413" s="85" t="str">
        <f t="shared" si="16"/>
        <v/>
      </c>
      <c r="AB4413" s="86"/>
      <c r="AD4413" s="100"/>
    </row>
    <row r="4414" spans="6:30" x14ac:dyDescent="0.25">
      <c r="F4414" s="85" t="str">
        <f t="shared" si="16"/>
        <v/>
      </c>
      <c r="AB4414" s="86"/>
      <c r="AD4414" s="100"/>
    </row>
    <row r="4415" spans="6:30" x14ac:dyDescent="0.25">
      <c r="F4415" s="85" t="str">
        <f t="shared" si="16"/>
        <v/>
      </c>
      <c r="AB4415" s="86"/>
      <c r="AD4415" s="100"/>
    </row>
    <row r="4416" spans="6:30" x14ac:dyDescent="0.25">
      <c r="F4416" s="85" t="str">
        <f t="shared" si="16"/>
        <v/>
      </c>
      <c r="AB4416" s="86"/>
      <c r="AD4416" s="100"/>
    </row>
    <row r="4417" spans="6:30" x14ac:dyDescent="0.25">
      <c r="F4417" s="85" t="str">
        <f t="shared" si="16"/>
        <v/>
      </c>
      <c r="AB4417" s="86"/>
      <c r="AD4417" s="100"/>
    </row>
    <row r="4418" spans="6:30" x14ac:dyDescent="0.25">
      <c r="F4418" s="85" t="str">
        <f t="shared" si="16"/>
        <v/>
      </c>
      <c r="AB4418" s="86"/>
      <c r="AD4418" s="100"/>
    </row>
    <row r="4419" spans="6:30" x14ac:dyDescent="0.25">
      <c r="F4419" s="85" t="str">
        <f t="shared" ref="F4419:F4482" si="17">IF($A4419="","",CONCATENATE($A4419,"_",$B4419,"_",$C4419))</f>
        <v/>
      </c>
      <c r="AB4419" s="86"/>
      <c r="AD4419" s="100"/>
    </row>
    <row r="4420" spans="6:30" x14ac:dyDescent="0.25">
      <c r="F4420" s="85" t="str">
        <f t="shared" si="17"/>
        <v/>
      </c>
      <c r="AB4420" s="86"/>
      <c r="AD4420" s="100"/>
    </row>
    <row r="4421" spans="6:30" x14ac:dyDescent="0.25">
      <c r="F4421" s="85" t="str">
        <f t="shared" si="17"/>
        <v/>
      </c>
      <c r="AB4421" s="86"/>
      <c r="AD4421" s="100"/>
    </row>
    <row r="4422" spans="6:30" x14ac:dyDescent="0.25">
      <c r="F4422" s="85" t="str">
        <f t="shared" si="17"/>
        <v/>
      </c>
      <c r="AB4422" s="86"/>
      <c r="AD4422" s="100"/>
    </row>
    <row r="4423" spans="6:30" x14ac:dyDescent="0.25">
      <c r="F4423" s="85" t="str">
        <f t="shared" si="17"/>
        <v/>
      </c>
      <c r="AB4423" s="86"/>
      <c r="AD4423" s="100"/>
    </row>
    <row r="4424" spans="6:30" x14ac:dyDescent="0.25">
      <c r="F4424" s="85" t="str">
        <f t="shared" si="17"/>
        <v/>
      </c>
      <c r="AB4424" s="86"/>
      <c r="AD4424" s="100"/>
    </row>
    <row r="4425" spans="6:30" x14ac:dyDescent="0.25">
      <c r="F4425" s="85" t="str">
        <f t="shared" si="17"/>
        <v/>
      </c>
      <c r="AB4425" s="86"/>
      <c r="AD4425" s="100"/>
    </row>
    <row r="4426" spans="6:30" x14ac:dyDescent="0.25">
      <c r="F4426" s="85" t="str">
        <f t="shared" si="17"/>
        <v/>
      </c>
      <c r="AB4426" s="86"/>
      <c r="AD4426" s="100"/>
    </row>
    <row r="4427" spans="6:30" x14ac:dyDescent="0.25">
      <c r="F4427" s="85" t="str">
        <f t="shared" si="17"/>
        <v/>
      </c>
      <c r="AB4427" s="86"/>
      <c r="AD4427" s="100"/>
    </row>
    <row r="4428" spans="6:30" x14ac:dyDescent="0.25">
      <c r="F4428" s="85" t="str">
        <f t="shared" si="17"/>
        <v/>
      </c>
      <c r="AB4428" s="86"/>
      <c r="AD4428" s="100"/>
    </row>
    <row r="4429" spans="6:30" x14ac:dyDescent="0.25">
      <c r="F4429" s="85" t="str">
        <f t="shared" si="17"/>
        <v/>
      </c>
      <c r="AB4429" s="86"/>
      <c r="AD4429" s="100"/>
    </row>
    <row r="4430" spans="6:30" x14ac:dyDescent="0.25">
      <c r="F4430" s="85" t="str">
        <f t="shared" si="17"/>
        <v/>
      </c>
      <c r="AB4430" s="86"/>
      <c r="AD4430" s="100"/>
    </row>
    <row r="4431" spans="6:30" x14ac:dyDescent="0.25">
      <c r="F4431" s="85" t="str">
        <f t="shared" si="17"/>
        <v/>
      </c>
      <c r="AB4431" s="86"/>
      <c r="AD4431" s="100"/>
    </row>
    <row r="4432" spans="6:30" x14ac:dyDescent="0.25">
      <c r="F4432" s="85" t="str">
        <f t="shared" si="17"/>
        <v/>
      </c>
      <c r="AB4432" s="86"/>
      <c r="AD4432" s="100"/>
    </row>
    <row r="4433" spans="6:30" x14ac:dyDescent="0.25">
      <c r="F4433" s="85" t="str">
        <f t="shared" si="17"/>
        <v/>
      </c>
      <c r="AB4433" s="86"/>
      <c r="AD4433" s="100"/>
    </row>
    <row r="4434" spans="6:30" x14ac:dyDescent="0.25">
      <c r="F4434" s="85" t="str">
        <f t="shared" si="17"/>
        <v/>
      </c>
      <c r="AB4434" s="86"/>
      <c r="AD4434" s="100"/>
    </row>
    <row r="4435" spans="6:30" x14ac:dyDescent="0.25">
      <c r="F4435" s="85" t="str">
        <f t="shared" si="17"/>
        <v/>
      </c>
      <c r="AB4435" s="86"/>
      <c r="AD4435" s="100"/>
    </row>
    <row r="4436" spans="6:30" x14ac:dyDescent="0.25">
      <c r="F4436" s="85" t="str">
        <f t="shared" si="17"/>
        <v/>
      </c>
      <c r="AB4436" s="86"/>
      <c r="AD4436" s="100"/>
    </row>
    <row r="4437" spans="6:30" x14ac:dyDescent="0.25">
      <c r="F4437" s="85" t="str">
        <f t="shared" si="17"/>
        <v/>
      </c>
      <c r="AB4437" s="86"/>
      <c r="AD4437" s="100"/>
    </row>
    <row r="4438" spans="6:30" x14ac:dyDescent="0.25">
      <c r="F4438" s="85" t="str">
        <f t="shared" si="17"/>
        <v/>
      </c>
      <c r="AB4438" s="86"/>
      <c r="AD4438" s="100"/>
    </row>
    <row r="4439" spans="6:30" x14ac:dyDescent="0.25">
      <c r="F4439" s="85" t="str">
        <f t="shared" si="17"/>
        <v/>
      </c>
      <c r="AB4439" s="86"/>
      <c r="AD4439" s="100"/>
    </row>
    <row r="4440" spans="6:30" x14ac:dyDescent="0.25">
      <c r="F4440" s="85" t="str">
        <f t="shared" si="17"/>
        <v/>
      </c>
      <c r="AB4440" s="86"/>
      <c r="AD4440" s="100"/>
    </row>
    <row r="4441" spans="6:30" x14ac:dyDescent="0.25">
      <c r="F4441" s="85" t="str">
        <f t="shared" si="17"/>
        <v/>
      </c>
      <c r="AB4441" s="86"/>
      <c r="AD4441" s="100"/>
    </row>
    <row r="4442" spans="6:30" x14ac:dyDescent="0.25">
      <c r="F4442" s="85" t="str">
        <f t="shared" si="17"/>
        <v/>
      </c>
      <c r="AB4442" s="86"/>
      <c r="AD4442" s="100"/>
    </row>
    <row r="4443" spans="6:30" x14ac:dyDescent="0.25">
      <c r="F4443" s="85" t="str">
        <f t="shared" si="17"/>
        <v/>
      </c>
      <c r="AB4443" s="86"/>
      <c r="AD4443" s="100"/>
    </row>
    <row r="4444" spans="6:30" x14ac:dyDescent="0.25">
      <c r="F4444" s="85" t="str">
        <f t="shared" si="17"/>
        <v/>
      </c>
      <c r="AB4444" s="86"/>
      <c r="AD4444" s="100"/>
    </row>
    <row r="4445" spans="6:30" x14ac:dyDescent="0.25">
      <c r="F4445" s="85" t="str">
        <f t="shared" si="17"/>
        <v/>
      </c>
      <c r="AB4445" s="86"/>
      <c r="AD4445" s="100"/>
    </row>
    <row r="4446" spans="6:30" x14ac:dyDescent="0.25">
      <c r="F4446" s="85" t="str">
        <f t="shared" si="17"/>
        <v/>
      </c>
      <c r="AB4446" s="86"/>
      <c r="AD4446" s="100"/>
    </row>
    <row r="4447" spans="6:30" x14ac:dyDescent="0.25">
      <c r="F4447" s="85" t="str">
        <f t="shared" si="17"/>
        <v/>
      </c>
      <c r="AB4447" s="86"/>
      <c r="AD4447" s="100"/>
    </row>
    <row r="4448" spans="6:30" x14ac:dyDescent="0.25">
      <c r="F4448" s="85" t="str">
        <f t="shared" si="17"/>
        <v/>
      </c>
      <c r="AB4448" s="86"/>
    </row>
    <row r="4449" spans="6:30" x14ac:dyDescent="0.25">
      <c r="F4449" s="85" t="str">
        <f t="shared" si="17"/>
        <v/>
      </c>
      <c r="AB4449" s="86"/>
    </row>
    <row r="4450" spans="6:30" x14ac:dyDescent="0.25">
      <c r="F4450" s="85" t="str">
        <f t="shared" si="17"/>
        <v/>
      </c>
      <c r="AB4450" s="86"/>
    </row>
    <row r="4451" spans="6:30" x14ac:dyDescent="0.25">
      <c r="F4451" s="85" t="str">
        <f t="shared" si="17"/>
        <v/>
      </c>
      <c r="AB4451" s="86"/>
    </row>
    <row r="4452" spans="6:30" x14ac:dyDescent="0.25">
      <c r="F4452" s="85" t="str">
        <f t="shared" si="17"/>
        <v/>
      </c>
      <c r="AB4452" s="86"/>
    </row>
    <row r="4453" spans="6:30" x14ac:dyDescent="0.25">
      <c r="F4453" s="85" t="str">
        <f t="shared" si="17"/>
        <v/>
      </c>
      <c r="AB4453" s="86"/>
    </row>
    <row r="4454" spans="6:30" x14ac:dyDescent="0.25">
      <c r="F4454" s="85" t="str">
        <f t="shared" si="17"/>
        <v/>
      </c>
      <c r="AB4454" s="86"/>
    </row>
    <row r="4455" spans="6:30" x14ac:dyDescent="0.25">
      <c r="F4455" s="85" t="str">
        <f t="shared" si="17"/>
        <v/>
      </c>
      <c r="AB4455" s="86"/>
      <c r="AD4455" s="100"/>
    </row>
    <row r="4456" spans="6:30" x14ac:dyDescent="0.25">
      <c r="F4456" s="85" t="str">
        <f t="shared" si="17"/>
        <v/>
      </c>
      <c r="AB4456" s="86"/>
      <c r="AD4456" s="100"/>
    </row>
    <row r="4457" spans="6:30" x14ac:dyDescent="0.25">
      <c r="F4457" s="85" t="str">
        <f t="shared" si="17"/>
        <v/>
      </c>
      <c r="AB4457" s="86"/>
      <c r="AD4457" s="100"/>
    </row>
    <row r="4458" spans="6:30" x14ac:dyDescent="0.25">
      <c r="F4458" s="85" t="str">
        <f t="shared" si="17"/>
        <v/>
      </c>
      <c r="AB4458" s="86"/>
      <c r="AD4458" s="100"/>
    </row>
    <row r="4459" spans="6:30" x14ac:dyDescent="0.25">
      <c r="F4459" s="85" t="str">
        <f t="shared" si="17"/>
        <v/>
      </c>
      <c r="AB4459" s="86"/>
      <c r="AD4459" s="100"/>
    </row>
    <row r="4460" spans="6:30" x14ac:dyDescent="0.25">
      <c r="F4460" s="85" t="str">
        <f t="shared" si="17"/>
        <v/>
      </c>
      <c r="AB4460" s="86"/>
    </row>
    <row r="4461" spans="6:30" x14ac:dyDescent="0.25">
      <c r="F4461" s="85" t="str">
        <f t="shared" si="17"/>
        <v/>
      </c>
      <c r="AB4461" s="86"/>
    </row>
    <row r="4462" spans="6:30" x14ac:dyDescent="0.25">
      <c r="F4462" s="85" t="str">
        <f t="shared" si="17"/>
        <v/>
      </c>
      <c r="AB4462" s="86"/>
    </row>
    <row r="4463" spans="6:30" x14ac:dyDescent="0.25">
      <c r="F4463" s="85" t="str">
        <f t="shared" si="17"/>
        <v/>
      </c>
      <c r="AB4463" s="86"/>
      <c r="AD4463" s="100"/>
    </row>
    <row r="4464" spans="6:30" x14ac:dyDescent="0.25">
      <c r="F4464" s="85" t="str">
        <f t="shared" si="17"/>
        <v/>
      </c>
      <c r="AB4464" s="86"/>
      <c r="AD4464" s="100"/>
    </row>
    <row r="4465" spans="6:30" x14ac:dyDescent="0.25">
      <c r="F4465" s="85" t="str">
        <f t="shared" si="17"/>
        <v/>
      </c>
      <c r="AB4465" s="86"/>
      <c r="AD4465" s="100"/>
    </row>
    <row r="4466" spans="6:30" x14ac:dyDescent="0.25">
      <c r="F4466" s="85" t="str">
        <f t="shared" si="17"/>
        <v/>
      </c>
      <c r="AB4466" s="86"/>
      <c r="AD4466" s="100"/>
    </row>
    <row r="4467" spans="6:30" x14ac:dyDescent="0.25">
      <c r="F4467" s="85" t="str">
        <f t="shared" si="17"/>
        <v/>
      </c>
      <c r="AB4467" s="86"/>
    </row>
    <row r="4468" spans="6:30" x14ac:dyDescent="0.25">
      <c r="F4468" s="85" t="str">
        <f t="shared" si="17"/>
        <v/>
      </c>
      <c r="AB4468" s="86"/>
      <c r="AD4468" s="100"/>
    </row>
    <row r="4469" spans="6:30" x14ac:dyDescent="0.25">
      <c r="F4469" s="85" t="str">
        <f t="shared" si="17"/>
        <v/>
      </c>
      <c r="AB4469" s="86"/>
      <c r="AD4469" s="100"/>
    </row>
    <row r="4470" spans="6:30" x14ac:dyDescent="0.25">
      <c r="F4470" s="85" t="str">
        <f t="shared" si="17"/>
        <v/>
      </c>
      <c r="AB4470" s="86"/>
      <c r="AD4470" s="100"/>
    </row>
    <row r="4471" spans="6:30" x14ac:dyDescent="0.25">
      <c r="F4471" s="85" t="str">
        <f t="shared" si="17"/>
        <v/>
      </c>
      <c r="AB4471" s="86"/>
      <c r="AD4471" s="100"/>
    </row>
    <row r="4472" spans="6:30" x14ac:dyDescent="0.25">
      <c r="F4472" s="85" t="str">
        <f t="shared" si="17"/>
        <v/>
      </c>
      <c r="AB4472" s="86"/>
      <c r="AD4472" s="100"/>
    </row>
    <row r="4473" spans="6:30" x14ac:dyDescent="0.25">
      <c r="F4473" s="85" t="str">
        <f t="shared" si="17"/>
        <v/>
      </c>
      <c r="AB4473" s="86"/>
      <c r="AD4473" s="100"/>
    </row>
    <row r="4474" spans="6:30" x14ac:dyDescent="0.25">
      <c r="F4474" s="85" t="str">
        <f t="shared" si="17"/>
        <v/>
      </c>
      <c r="AB4474" s="86"/>
      <c r="AD4474" s="100"/>
    </row>
    <row r="4475" spans="6:30" x14ac:dyDescent="0.25">
      <c r="F4475" s="85" t="str">
        <f t="shared" si="17"/>
        <v/>
      </c>
      <c r="AB4475" s="86"/>
    </row>
    <row r="4476" spans="6:30" x14ac:dyDescent="0.25">
      <c r="F4476" s="85" t="str">
        <f t="shared" si="17"/>
        <v/>
      </c>
      <c r="AB4476" s="86"/>
      <c r="AD4476" s="100"/>
    </row>
    <row r="4477" spans="6:30" x14ac:dyDescent="0.25">
      <c r="F4477" s="85" t="str">
        <f t="shared" si="17"/>
        <v/>
      </c>
      <c r="AB4477" s="86"/>
      <c r="AD4477" s="100"/>
    </row>
    <row r="4478" spans="6:30" x14ac:dyDescent="0.25">
      <c r="F4478" s="85" t="str">
        <f t="shared" si="17"/>
        <v/>
      </c>
      <c r="AB4478" s="86"/>
      <c r="AD4478" s="100"/>
    </row>
    <row r="4479" spans="6:30" x14ac:dyDescent="0.25">
      <c r="F4479" s="85" t="str">
        <f t="shared" si="17"/>
        <v/>
      </c>
      <c r="AB4479" s="86"/>
      <c r="AD4479" s="100"/>
    </row>
    <row r="4480" spans="6:30" x14ac:dyDescent="0.25">
      <c r="F4480" s="85" t="str">
        <f t="shared" si="17"/>
        <v/>
      </c>
      <c r="AB4480" s="86"/>
      <c r="AD4480" s="100"/>
    </row>
    <row r="4481" spans="6:30" x14ac:dyDescent="0.25">
      <c r="F4481" s="85" t="str">
        <f t="shared" si="17"/>
        <v/>
      </c>
      <c r="AB4481" s="86"/>
      <c r="AD4481" s="100"/>
    </row>
    <row r="4482" spans="6:30" x14ac:dyDescent="0.25">
      <c r="F4482" s="85" t="str">
        <f t="shared" si="17"/>
        <v/>
      </c>
      <c r="AB4482" s="86"/>
      <c r="AD4482" s="100"/>
    </row>
    <row r="4483" spans="6:30" x14ac:dyDescent="0.25">
      <c r="F4483" s="85" t="str">
        <f t="shared" ref="F4483:F4546" si="18">IF($A4483="","",CONCATENATE($A4483,"_",$B4483,"_",$C4483))</f>
        <v/>
      </c>
      <c r="AB4483" s="86"/>
      <c r="AD4483" s="100"/>
    </row>
    <row r="4484" spans="6:30" x14ac:dyDescent="0.25">
      <c r="F4484" s="85" t="str">
        <f t="shared" si="18"/>
        <v/>
      </c>
      <c r="AB4484" s="86"/>
      <c r="AD4484" s="100"/>
    </row>
    <row r="4485" spans="6:30" x14ac:dyDescent="0.25">
      <c r="F4485" s="85" t="str">
        <f t="shared" si="18"/>
        <v/>
      </c>
      <c r="AB4485" s="86"/>
      <c r="AD4485" s="100"/>
    </row>
    <row r="4486" spans="6:30" x14ac:dyDescent="0.25">
      <c r="F4486" s="85" t="str">
        <f t="shared" si="18"/>
        <v/>
      </c>
      <c r="AB4486" s="86"/>
      <c r="AD4486" s="100"/>
    </row>
    <row r="4487" spans="6:30" x14ac:dyDescent="0.25">
      <c r="F4487" s="85" t="str">
        <f t="shared" si="18"/>
        <v/>
      </c>
      <c r="AB4487" s="86"/>
      <c r="AD4487" s="100"/>
    </row>
    <row r="4488" spans="6:30" x14ac:dyDescent="0.25">
      <c r="F4488" s="85" t="str">
        <f t="shared" si="18"/>
        <v/>
      </c>
      <c r="AB4488" s="86"/>
      <c r="AD4488" s="100"/>
    </row>
    <row r="4489" spans="6:30" x14ac:dyDescent="0.25">
      <c r="F4489" s="85" t="str">
        <f t="shared" si="18"/>
        <v/>
      </c>
      <c r="AB4489" s="86"/>
      <c r="AD4489" s="100"/>
    </row>
    <row r="4490" spans="6:30" x14ac:dyDescent="0.25">
      <c r="F4490" s="85" t="str">
        <f t="shared" si="18"/>
        <v/>
      </c>
      <c r="AB4490" s="86"/>
      <c r="AD4490" s="100"/>
    </row>
    <row r="4491" spans="6:30" x14ac:dyDescent="0.25">
      <c r="F4491" s="85" t="str">
        <f t="shared" si="18"/>
        <v/>
      </c>
      <c r="AB4491" s="86"/>
      <c r="AD4491" s="100"/>
    </row>
    <row r="4492" spans="6:30" x14ac:dyDescent="0.25">
      <c r="F4492" s="85" t="str">
        <f t="shared" si="18"/>
        <v/>
      </c>
      <c r="AB4492" s="86"/>
      <c r="AD4492" s="100"/>
    </row>
    <row r="4493" spans="6:30" x14ac:dyDescent="0.25">
      <c r="F4493" s="85" t="str">
        <f t="shared" si="18"/>
        <v/>
      </c>
      <c r="AB4493" s="86"/>
    </row>
    <row r="4494" spans="6:30" x14ac:dyDescent="0.25">
      <c r="F4494" s="85" t="str">
        <f t="shared" si="18"/>
        <v/>
      </c>
      <c r="AB4494" s="86"/>
      <c r="AD4494" s="100"/>
    </row>
    <row r="4495" spans="6:30" x14ac:dyDescent="0.25">
      <c r="F4495" s="85" t="str">
        <f t="shared" si="18"/>
        <v/>
      </c>
      <c r="AB4495" s="86"/>
      <c r="AD4495" s="100"/>
    </row>
    <row r="4496" spans="6:30" x14ac:dyDescent="0.25">
      <c r="F4496" s="85" t="str">
        <f t="shared" si="18"/>
        <v/>
      </c>
      <c r="AB4496" s="86"/>
      <c r="AD4496" s="100"/>
    </row>
    <row r="4497" spans="6:30" x14ac:dyDescent="0.25">
      <c r="F4497" s="85" t="str">
        <f t="shared" si="18"/>
        <v/>
      </c>
      <c r="AB4497" s="86"/>
      <c r="AD4497" s="100"/>
    </row>
    <row r="4498" spans="6:30" x14ac:dyDescent="0.25">
      <c r="F4498" s="85" t="str">
        <f t="shared" si="18"/>
        <v/>
      </c>
      <c r="AB4498" s="86"/>
      <c r="AD4498" s="100"/>
    </row>
    <row r="4499" spans="6:30" x14ac:dyDescent="0.25">
      <c r="F4499" s="85" t="str">
        <f t="shared" si="18"/>
        <v/>
      </c>
      <c r="AB4499" s="86"/>
      <c r="AD4499" s="100"/>
    </row>
    <row r="4500" spans="6:30" x14ac:dyDescent="0.25">
      <c r="F4500" s="85" t="str">
        <f t="shared" si="18"/>
        <v/>
      </c>
      <c r="AB4500" s="86"/>
      <c r="AD4500" s="100"/>
    </row>
    <row r="4501" spans="6:30" x14ac:dyDescent="0.25">
      <c r="F4501" s="85" t="str">
        <f t="shared" si="18"/>
        <v/>
      </c>
      <c r="AB4501" s="86"/>
      <c r="AD4501" s="100"/>
    </row>
    <row r="4502" spans="6:30" x14ac:dyDescent="0.25">
      <c r="F4502" s="85" t="str">
        <f t="shared" si="18"/>
        <v/>
      </c>
      <c r="AB4502" s="86"/>
    </row>
    <row r="4503" spans="6:30" x14ac:dyDescent="0.25">
      <c r="F4503" s="85" t="str">
        <f t="shared" si="18"/>
        <v/>
      </c>
      <c r="AB4503" s="86"/>
      <c r="AD4503" s="100"/>
    </row>
    <row r="4504" spans="6:30" x14ac:dyDescent="0.25">
      <c r="F4504" s="85" t="str">
        <f t="shared" si="18"/>
        <v/>
      </c>
      <c r="AB4504" s="86"/>
      <c r="AD4504" s="100"/>
    </row>
    <row r="4505" spans="6:30" x14ac:dyDescent="0.25">
      <c r="F4505" s="85" t="str">
        <f t="shared" si="18"/>
        <v/>
      </c>
      <c r="AB4505" s="86"/>
    </row>
    <row r="4506" spans="6:30" x14ac:dyDescent="0.25">
      <c r="F4506" s="85" t="str">
        <f t="shared" si="18"/>
        <v/>
      </c>
      <c r="AB4506" s="86"/>
    </row>
    <row r="4507" spans="6:30" x14ac:dyDescent="0.25">
      <c r="F4507" s="85" t="str">
        <f t="shared" si="18"/>
        <v/>
      </c>
      <c r="AB4507" s="86"/>
      <c r="AD4507" s="100"/>
    </row>
    <row r="4508" spans="6:30" x14ac:dyDescent="0.25">
      <c r="F4508" s="85" t="str">
        <f t="shared" si="18"/>
        <v/>
      </c>
      <c r="AB4508" s="86"/>
    </row>
    <row r="4509" spans="6:30" x14ac:dyDescent="0.25">
      <c r="F4509" s="85" t="str">
        <f t="shared" si="18"/>
        <v/>
      </c>
      <c r="AB4509" s="86"/>
      <c r="AD4509" s="100"/>
    </row>
    <row r="4510" spans="6:30" x14ac:dyDescent="0.25">
      <c r="F4510" s="85" t="str">
        <f t="shared" si="18"/>
        <v/>
      </c>
      <c r="AB4510" s="86"/>
      <c r="AD4510" s="100"/>
    </row>
    <row r="4511" spans="6:30" x14ac:dyDescent="0.25">
      <c r="F4511" s="85" t="str">
        <f t="shared" si="18"/>
        <v/>
      </c>
      <c r="AB4511" s="86"/>
      <c r="AD4511" s="100"/>
    </row>
    <row r="4512" spans="6:30" x14ac:dyDescent="0.25">
      <c r="F4512" s="85" t="str">
        <f t="shared" si="18"/>
        <v/>
      </c>
      <c r="AB4512" s="86"/>
    </row>
    <row r="4513" spans="6:30" x14ac:dyDescent="0.25">
      <c r="F4513" s="85" t="str">
        <f t="shared" si="18"/>
        <v/>
      </c>
      <c r="AB4513" s="86"/>
    </row>
    <row r="4514" spans="6:30" x14ac:dyDescent="0.25">
      <c r="F4514" s="85" t="str">
        <f t="shared" si="18"/>
        <v/>
      </c>
      <c r="AB4514" s="86"/>
    </row>
    <row r="4515" spans="6:30" x14ac:dyDescent="0.25">
      <c r="F4515" s="85" t="str">
        <f t="shared" si="18"/>
        <v/>
      </c>
      <c r="AB4515" s="86"/>
      <c r="AD4515" s="100"/>
    </row>
    <row r="4516" spans="6:30" x14ac:dyDescent="0.25">
      <c r="F4516" s="85" t="str">
        <f t="shared" si="18"/>
        <v/>
      </c>
      <c r="AB4516" s="86"/>
      <c r="AD4516" s="100"/>
    </row>
    <row r="4517" spans="6:30" x14ac:dyDescent="0.25">
      <c r="F4517" s="85" t="str">
        <f t="shared" si="18"/>
        <v/>
      </c>
      <c r="AB4517" s="86"/>
      <c r="AD4517" s="100"/>
    </row>
    <row r="4518" spans="6:30" x14ac:dyDescent="0.25">
      <c r="F4518" s="85" t="str">
        <f t="shared" si="18"/>
        <v/>
      </c>
      <c r="AB4518" s="86"/>
      <c r="AD4518" s="100"/>
    </row>
    <row r="4519" spans="6:30" x14ac:dyDescent="0.25">
      <c r="F4519" s="85" t="str">
        <f t="shared" si="18"/>
        <v/>
      </c>
      <c r="AB4519" s="86"/>
    </row>
    <row r="4520" spans="6:30" x14ac:dyDescent="0.25">
      <c r="F4520" s="85" t="str">
        <f t="shared" si="18"/>
        <v/>
      </c>
      <c r="AB4520" s="86"/>
      <c r="AD4520" s="100"/>
    </row>
    <row r="4521" spans="6:30" x14ac:dyDescent="0.25">
      <c r="F4521" s="85" t="str">
        <f t="shared" si="18"/>
        <v/>
      </c>
      <c r="AB4521" s="86"/>
      <c r="AD4521" s="100"/>
    </row>
    <row r="4522" spans="6:30" x14ac:dyDescent="0.25">
      <c r="F4522" s="85" t="str">
        <f t="shared" si="18"/>
        <v/>
      </c>
      <c r="AB4522" s="86"/>
      <c r="AD4522" s="100"/>
    </row>
    <row r="4523" spans="6:30" x14ac:dyDescent="0.25">
      <c r="F4523" s="85" t="str">
        <f t="shared" si="18"/>
        <v/>
      </c>
      <c r="AB4523" s="86"/>
      <c r="AD4523" s="100"/>
    </row>
    <row r="4524" spans="6:30" x14ac:dyDescent="0.25">
      <c r="F4524" s="85" t="str">
        <f t="shared" si="18"/>
        <v/>
      </c>
      <c r="AB4524" s="86"/>
    </row>
    <row r="4525" spans="6:30" x14ac:dyDescent="0.25">
      <c r="F4525" s="85" t="str">
        <f t="shared" si="18"/>
        <v/>
      </c>
      <c r="AB4525" s="86"/>
      <c r="AD4525" s="100"/>
    </row>
    <row r="4526" spans="6:30" x14ac:dyDescent="0.25">
      <c r="F4526" s="85" t="str">
        <f t="shared" si="18"/>
        <v/>
      </c>
      <c r="AB4526" s="86"/>
      <c r="AD4526" s="100"/>
    </row>
    <row r="4527" spans="6:30" x14ac:dyDescent="0.25">
      <c r="F4527" s="85" t="str">
        <f t="shared" si="18"/>
        <v/>
      </c>
      <c r="AB4527" s="86"/>
      <c r="AD4527" s="100"/>
    </row>
    <row r="4528" spans="6:30" x14ac:dyDescent="0.25">
      <c r="F4528" s="85" t="str">
        <f t="shared" si="18"/>
        <v/>
      </c>
      <c r="AB4528" s="86"/>
      <c r="AD4528" s="100"/>
    </row>
    <row r="4529" spans="6:30" x14ac:dyDescent="0.25">
      <c r="F4529" s="85" t="str">
        <f t="shared" si="18"/>
        <v/>
      </c>
      <c r="AB4529" s="86"/>
      <c r="AD4529" s="100"/>
    </row>
    <row r="4530" spans="6:30" x14ac:dyDescent="0.25">
      <c r="F4530" s="85" t="str">
        <f t="shared" si="18"/>
        <v/>
      </c>
      <c r="AB4530" s="86"/>
      <c r="AD4530" s="100"/>
    </row>
    <row r="4531" spans="6:30" x14ac:dyDescent="0.25">
      <c r="F4531" s="85" t="str">
        <f t="shared" si="18"/>
        <v/>
      </c>
      <c r="AB4531" s="86"/>
      <c r="AD4531" s="100"/>
    </row>
    <row r="4532" spans="6:30" x14ac:dyDescent="0.25">
      <c r="F4532" s="85" t="str">
        <f t="shared" si="18"/>
        <v/>
      </c>
      <c r="AB4532" s="86"/>
      <c r="AD4532" s="100"/>
    </row>
    <row r="4533" spans="6:30" x14ac:dyDescent="0.25">
      <c r="F4533" s="85" t="str">
        <f t="shared" si="18"/>
        <v/>
      </c>
      <c r="AB4533" s="86"/>
      <c r="AD4533" s="100"/>
    </row>
    <row r="4534" spans="6:30" x14ac:dyDescent="0.25">
      <c r="F4534" s="85" t="str">
        <f t="shared" si="18"/>
        <v/>
      </c>
      <c r="AB4534" s="86"/>
      <c r="AD4534" s="100"/>
    </row>
    <row r="4535" spans="6:30" x14ac:dyDescent="0.25">
      <c r="F4535" s="85" t="str">
        <f t="shared" si="18"/>
        <v/>
      </c>
      <c r="AB4535" s="86"/>
      <c r="AD4535" s="100"/>
    </row>
    <row r="4536" spans="6:30" x14ac:dyDescent="0.25">
      <c r="F4536" s="85" t="str">
        <f t="shared" si="18"/>
        <v/>
      </c>
      <c r="AB4536" s="86"/>
      <c r="AD4536" s="100"/>
    </row>
    <row r="4537" spans="6:30" x14ac:dyDescent="0.25">
      <c r="F4537" s="85" t="str">
        <f t="shared" si="18"/>
        <v/>
      </c>
      <c r="AB4537" s="86"/>
      <c r="AD4537" s="100"/>
    </row>
    <row r="4538" spans="6:30" x14ac:dyDescent="0.25">
      <c r="F4538" s="85" t="str">
        <f t="shared" si="18"/>
        <v/>
      </c>
      <c r="AB4538" s="86"/>
      <c r="AD4538" s="100"/>
    </row>
    <row r="4539" spans="6:30" x14ac:dyDescent="0.25">
      <c r="F4539" s="85" t="str">
        <f t="shared" si="18"/>
        <v/>
      </c>
      <c r="AB4539" s="86"/>
      <c r="AD4539" s="100"/>
    </row>
    <row r="4540" spans="6:30" x14ac:dyDescent="0.25">
      <c r="F4540" s="85" t="str">
        <f t="shared" si="18"/>
        <v/>
      </c>
      <c r="AB4540" s="86"/>
      <c r="AD4540" s="100"/>
    </row>
    <row r="4541" spans="6:30" x14ac:dyDescent="0.25">
      <c r="F4541" s="85" t="str">
        <f t="shared" si="18"/>
        <v/>
      </c>
      <c r="AB4541" s="86"/>
      <c r="AD4541" s="100"/>
    </row>
    <row r="4542" spans="6:30" x14ac:dyDescent="0.25">
      <c r="F4542" s="85" t="str">
        <f t="shared" si="18"/>
        <v/>
      </c>
      <c r="AB4542" s="86"/>
      <c r="AD4542" s="100"/>
    </row>
    <row r="4543" spans="6:30" x14ac:dyDescent="0.25">
      <c r="F4543" s="85" t="str">
        <f t="shared" si="18"/>
        <v/>
      </c>
      <c r="AB4543" s="86"/>
      <c r="AD4543" s="100"/>
    </row>
    <row r="4544" spans="6:30" x14ac:dyDescent="0.25">
      <c r="F4544" s="85" t="str">
        <f t="shared" si="18"/>
        <v/>
      </c>
      <c r="AB4544" s="86"/>
      <c r="AD4544" s="100"/>
    </row>
    <row r="4545" spans="6:30" x14ac:dyDescent="0.25">
      <c r="F4545" s="85" t="str">
        <f t="shared" si="18"/>
        <v/>
      </c>
      <c r="AB4545" s="86"/>
      <c r="AD4545" s="100"/>
    </row>
    <row r="4546" spans="6:30" x14ac:dyDescent="0.25">
      <c r="F4546" s="85" t="str">
        <f t="shared" si="18"/>
        <v/>
      </c>
      <c r="AB4546" s="86"/>
      <c r="AD4546" s="100"/>
    </row>
    <row r="4547" spans="6:30" x14ac:dyDescent="0.25">
      <c r="F4547" s="85" t="str">
        <f t="shared" ref="F4547:F4610" si="19">IF($A4547="","",CONCATENATE($A4547,"_",$B4547,"_",$C4547))</f>
        <v/>
      </c>
      <c r="AB4547" s="86"/>
      <c r="AD4547" s="100"/>
    </row>
    <row r="4548" spans="6:30" x14ac:dyDescent="0.25">
      <c r="F4548" s="85" t="str">
        <f t="shared" si="19"/>
        <v/>
      </c>
      <c r="AB4548" s="86"/>
      <c r="AD4548" s="100"/>
    </row>
    <row r="4549" spans="6:30" x14ac:dyDescent="0.25">
      <c r="F4549" s="85" t="str">
        <f t="shared" si="19"/>
        <v/>
      </c>
      <c r="AB4549" s="86"/>
      <c r="AD4549" s="100"/>
    </row>
    <row r="4550" spans="6:30" x14ac:dyDescent="0.25">
      <c r="F4550" s="85" t="str">
        <f t="shared" si="19"/>
        <v/>
      </c>
      <c r="AB4550" s="86"/>
      <c r="AD4550" s="100"/>
    </row>
    <row r="4551" spans="6:30" x14ac:dyDescent="0.25">
      <c r="F4551" s="85" t="str">
        <f t="shared" si="19"/>
        <v/>
      </c>
      <c r="AB4551" s="86"/>
      <c r="AD4551" s="100"/>
    </row>
    <row r="4552" spans="6:30" x14ac:dyDescent="0.25">
      <c r="F4552" s="85" t="str">
        <f t="shared" si="19"/>
        <v/>
      </c>
      <c r="AB4552" s="86"/>
      <c r="AD4552" s="100"/>
    </row>
    <row r="4553" spans="6:30" x14ac:dyDescent="0.25">
      <c r="F4553" s="85" t="str">
        <f t="shared" si="19"/>
        <v/>
      </c>
      <c r="AB4553" s="86"/>
      <c r="AD4553" s="100"/>
    </row>
    <row r="4554" spans="6:30" x14ac:dyDescent="0.25">
      <c r="F4554" s="85" t="str">
        <f t="shared" si="19"/>
        <v/>
      </c>
      <c r="AB4554" s="86"/>
      <c r="AD4554" s="100"/>
    </row>
    <row r="4555" spans="6:30" x14ac:dyDescent="0.25">
      <c r="F4555" s="85" t="str">
        <f t="shared" si="19"/>
        <v/>
      </c>
      <c r="AB4555" s="86"/>
      <c r="AD4555" s="100"/>
    </row>
    <row r="4556" spans="6:30" x14ac:dyDescent="0.25">
      <c r="F4556" s="85" t="str">
        <f t="shared" si="19"/>
        <v/>
      </c>
      <c r="AB4556" s="86"/>
      <c r="AD4556" s="100"/>
    </row>
    <row r="4557" spans="6:30" x14ac:dyDescent="0.25">
      <c r="F4557" s="85" t="str">
        <f t="shared" si="19"/>
        <v/>
      </c>
      <c r="AB4557" s="86"/>
      <c r="AD4557" s="100"/>
    </row>
    <row r="4558" spans="6:30" x14ac:dyDescent="0.25">
      <c r="F4558" s="85" t="str">
        <f t="shared" si="19"/>
        <v/>
      </c>
      <c r="AB4558" s="86"/>
      <c r="AD4558" s="100"/>
    </row>
    <row r="4559" spans="6:30" x14ac:dyDescent="0.25">
      <c r="F4559" s="85" t="str">
        <f t="shared" si="19"/>
        <v/>
      </c>
      <c r="AB4559" s="86"/>
      <c r="AD4559" s="100"/>
    </row>
    <row r="4560" spans="6:30" x14ac:dyDescent="0.25">
      <c r="F4560" s="85" t="str">
        <f t="shared" si="19"/>
        <v/>
      </c>
      <c r="AB4560" s="86"/>
      <c r="AD4560" s="100"/>
    </row>
    <row r="4561" spans="6:30" x14ac:dyDescent="0.25">
      <c r="F4561" s="85" t="str">
        <f t="shared" si="19"/>
        <v/>
      </c>
      <c r="AB4561" s="86"/>
      <c r="AD4561" s="100"/>
    </row>
    <row r="4562" spans="6:30" x14ac:dyDescent="0.25">
      <c r="F4562" s="85" t="str">
        <f t="shared" si="19"/>
        <v/>
      </c>
      <c r="AB4562" s="86"/>
      <c r="AD4562" s="100"/>
    </row>
    <row r="4563" spans="6:30" x14ac:dyDescent="0.25">
      <c r="F4563" s="85" t="str">
        <f t="shared" si="19"/>
        <v/>
      </c>
      <c r="AB4563" s="86"/>
      <c r="AD4563" s="100"/>
    </row>
    <row r="4564" spans="6:30" x14ac:dyDescent="0.25">
      <c r="F4564" s="85" t="str">
        <f t="shared" si="19"/>
        <v/>
      </c>
      <c r="AB4564" s="86"/>
      <c r="AD4564" s="100"/>
    </row>
    <row r="4565" spans="6:30" x14ac:dyDescent="0.25">
      <c r="F4565" s="85" t="str">
        <f t="shared" si="19"/>
        <v/>
      </c>
      <c r="AB4565" s="86"/>
      <c r="AD4565" s="100"/>
    </row>
    <row r="4566" spans="6:30" x14ac:dyDescent="0.25">
      <c r="F4566" s="85" t="str">
        <f t="shared" si="19"/>
        <v/>
      </c>
      <c r="AB4566" s="86"/>
      <c r="AD4566" s="100"/>
    </row>
    <row r="4567" spans="6:30" x14ac:dyDescent="0.25">
      <c r="F4567" s="85" t="str">
        <f t="shared" si="19"/>
        <v/>
      </c>
      <c r="AB4567" s="86"/>
      <c r="AD4567" s="100"/>
    </row>
    <row r="4568" spans="6:30" x14ac:dyDescent="0.25">
      <c r="F4568" s="85" t="str">
        <f t="shared" si="19"/>
        <v/>
      </c>
      <c r="AB4568" s="86"/>
      <c r="AD4568" s="100"/>
    </row>
    <row r="4569" spans="6:30" x14ac:dyDescent="0.25">
      <c r="F4569" s="85" t="str">
        <f t="shared" si="19"/>
        <v/>
      </c>
      <c r="AB4569" s="86"/>
      <c r="AD4569" s="100"/>
    </row>
    <row r="4570" spans="6:30" x14ac:dyDescent="0.25">
      <c r="F4570" s="85" t="str">
        <f t="shared" si="19"/>
        <v/>
      </c>
      <c r="AB4570" s="86"/>
      <c r="AD4570" s="100"/>
    </row>
    <row r="4571" spans="6:30" x14ac:dyDescent="0.25">
      <c r="F4571" s="85" t="str">
        <f t="shared" si="19"/>
        <v/>
      </c>
      <c r="AB4571" s="86"/>
      <c r="AD4571" s="100"/>
    </row>
    <row r="4572" spans="6:30" x14ac:dyDescent="0.25">
      <c r="F4572" s="85" t="str">
        <f t="shared" si="19"/>
        <v/>
      </c>
      <c r="AB4572" s="86"/>
      <c r="AD4572" s="100"/>
    </row>
    <row r="4573" spans="6:30" x14ac:dyDescent="0.25">
      <c r="F4573" s="85" t="str">
        <f t="shared" si="19"/>
        <v/>
      </c>
      <c r="AB4573" s="86"/>
      <c r="AD4573" s="100"/>
    </row>
    <row r="4574" spans="6:30" x14ac:dyDescent="0.25">
      <c r="F4574" s="85" t="str">
        <f t="shared" si="19"/>
        <v/>
      </c>
      <c r="AB4574" s="86"/>
      <c r="AD4574" s="100"/>
    </row>
    <row r="4575" spans="6:30" x14ac:dyDescent="0.25">
      <c r="F4575" s="85" t="str">
        <f t="shared" si="19"/>
        <v/>
      </c>
      <c r="AB4575" s="86"/>
      <c r="AD4575" s="100"/>
    </row>
    <row r="4576" spans="6:30" x14ac:dyDescent="0.25">
      <c r="F4576" s="85" t="str">
        <f t="shared" si="19"/>
        <v/>
      </c>
      <c r="AB4576" s="86"/>
      <c r="AD4576" s="100"/>
    </row>
    <row r="4577" spans="6:30" x14ac:dyDescent="0.25">
      <c r="F4577" s="85" t="str">
        <f t="shared" si="19"/>
        <v/>
      </c>
      <c r="AB4577" s="86"/>
      <c r="AD4577" s="100"/>
    </row>
    <row r="4578" spans="6:30" x14ac:dyDescent="0.25">
      <c r="F4578" s="85" t="str">
        <f t="shared" si="19"/>
        <v/>
      </c>
      <c r="AB4578" s="86"/>
      <c r="AD4578" s="100"/>
    </row>
    <row r="4579" spans="6:30" x14ac:dyDescent="0.25">
      <c r="F4579" s="85" t="str">
        <f t="shared" si="19"/>
        <v/>
      </c>
      <c r="AB4579" s="86"/>
      <c r="AD4579" s="100"/>
    </row>
    <row r="4580" spans="6:30" x14ac:dyDescent="0.25">
      <c r="F4580" s="85" t="str">
        <f t="shared" si="19"/>
        <v/>
      </c>
      <c r="AB4580" s="86"/>
      <c r="AD4580" s="100"/>
    </row>
    <row r="4581" spans="6:30" x14ac:dyDescent="0.25">
      <c r="F4581" s="85" t="str">
        <f t="shared" si="19"/>
        <v/>
      </c>
      <c r="AB4581" s="86"/>
      <c r="AD4581" s="100"/>
    </row>
    <row r="4582" spans="6:30" x14ac:dyDescent="0.25">
      <c r="F4582" s="85" t="str">
        <f t="shared" si="19"/>
        <v/>
      </c>
      <c r="AB4582" s="86"/>
      <c r="AD4582" s="100"/>
    </row>
    <row r="4583" spans="6:30" x14ac:dyDescent="0.25">
      <c r="F4583" s="85" t="str">
        <f t="shared" si="19"/>
        <v/>
      </c>
      <c r="AB4583" s="86"/>
      <c r="AD4583" s="100"/>
    </row>
    <row r="4584" spans="6:30" x14ac:dyDescent="0.25">
      <c r="F4584" s="85" t="str">
        <f t="shared" si="19"/>
        <v/>
      </c>
      <c r="AB4584" s="86"/>
      <c r="AD4584" s="100"/>
    </row>
    <row r="4585" spans="6:30" x14ac:dyDescent="0.25">
      <c r="F4585" s="85" t="str">
        <f t="shared" si="19"/>
        <v/>
      </c>
      <c r="AB4585" s="86"/>
      <c r="AD4585" s="100"/>
    </row>
    <row r="4586" spans="6:30" x14ac:dyDescent="0.25">
      <c r="F4586" s="85" t="str">
        <f t="shared" si="19"/>
        <v/>
      </c>
      <c r="AB4586" s="86"/>
      <c r="AD4586" s="100"/>
    </row>
    <row r="4587" spans="6:30" x14ac:dyDescent="0.25">
      <c r="F4587" s="85" t="str">
        <f t="shared" si="19"/>
        <v/>
      </c>
      <c r="AB4587" s="86"/>
      <c r="AD4587" s="100"/>
    </row>
    <row r="4588" spans="6:30" x14ac:dyDescent="0.25">
      <c r="F4588" s="85" t="str">
        <f t="shared" si="19"/>
        <v/>
      </c>
      <c r="AB4588" s="86"/>
      <c r="AD4588" s="100"/>
    </row>
    <row r="4589" spans="6:30" x14ac:dyDescent="0.25">
      <c r="F4589" s="85" t="str">
        <f t="shared" si="19"/>
        <v/>
      </c>
      <c r="AB4589" s="86"/>
      <c r="AD4589" s="100"/>
    </row>
    <row r="4590" spans="6:30" x14ac:dyDescent="0.25">
      <c r="F4590" s="85" t="str">
        <f t="shared" si="19"/>
        <v/>
      </c>
      <c r="AB4590" s="86"/>
      <c r="AD4590" s="100"/>
    </row>
    <row r="4591" spans="6:30" x14ac:dyDescent="0.25">
      <c r="F4591" s="85" t="str">
        <f t="shared" si="19"/>
        <v/>
      </c>
      <c r="AB4591" s="86"/>
      <c r="AD4591" s="100"/>
    </row>
    <row r="4592" spans="6:30" x14ac:dyDescent="0.25">
      <c r="F4592" s="85" t="str">
        <f t="shared" si="19"/>
        <v/>
      </c>
      <c r="AB4592" s="86"/>
      <c r="AD4592" s="100"/>
    </row>
    <row r="4593" spans="6:30" x14ac:dyDescent="0.25">
      <c r="F4593" s="85" t="str">
        <f t="shared" si="19"/>
        <v/>
      </c>
      <c r="AB4593" s="86"/>
      <c r="AD4593" s="100"/>
    </row>
    <row r="4594" spans="6:30" x14ac:dyDescent="0.25">
      <c r="F4594" s="85" t="str">
        <f t="shared" si="19"/>
        <v/>
      </c>
      <c r="AB4594" s="86"/>
      <c r="AD4594" s="100"/>
    </row>
    <row r="4595" spans="6:30" x14ac:dyDescent="0.25">
      <c r="F4595" s="85" t="str">
        <f t="shared" si="19"/>
        <v/>
      </c>
      <c r="AB4595" s="86"/>
      <c r="AD4595" s="100"/>
    </row>
    <row r="4596" spans="6:30" x14ac:dyDescent="0.25">
      <c r="F4596" s="85" t="str">
        <f t="shared" si="19"/>
        <v/>
      </c>
      <c r="AB4596" s="86"/>
      <c r="AD4596" s="100"/>
    </row>
    <row r="4597" spans="6:30" x14ac:dyDescent="0.25">
      <c r="F4597" s="85" t="str">
        <f t="shared" si="19"/>
        <v/>
      </c>
      <c r="AB4597" s="86"/>
      <c r="AD4597" s="100"/>
    </row>
    <row r="4598" spans="6:30" x14ac:dyDescent="0.25">
      <c r="F4598" s="85" t="str">
        <f t="shared" si="19"/>
        <v/>
      </c>
      <c r="AB4598" s="86"/>
      <c r="AD4598" s="100"/>
    </row>
    <row r="4599" spans="6:30" x14ac:dyDescent="0.25">
      <c r="F4599" s="85" t="str">
        <f t="shared" si="19"/>
        <v/>
      </c>
      <c r="AB4599" s="86"/>
      <c r="AD4599" s="100"/>
    </row>
    <row r="4600" spans="6:30" x14ac:dyDescent="0.25">
      <c r="F4600" s="85" t="str">
        <f t="shared" si="19"/>
        <v/>
      </c>
      <c r="AB4600" s="86"/>
      <c r="AD4600" s="100"/>
    </row>
    <row r="4601" spans="6:30" x14ac:dyDescent="0.25">
      <c r="F4601" s="85" t="str">
        <f t="shared" si="19"/>
        <v/>
      </c>
      <c r="AB4601" s="86"/>
      <c r="AD4601" s="100"/>
    </row>
    <row r="4602" spans="6:30" x14ac:dyDescent="0.25">
      <c r="F4602" s="85" t="str">
        <f t="shared" si="19"/>
        <v/>
      </c>
      <c r="AB4602" s="86"/>
      <c r="AD4602" s="100"/>
    </row>
    <row r="4603" spans="6:30" x14ac:dyDescent="0.25">
      <c r="F4603" s="85" t="str">
        <f t="shared" si="19"/>
        <v/>
      </c>
      <c r="AB4603" s="86"/>
      <c r="AD4603" s="100"/>
    </row>
    <row r="4604" spans="6:30" x14ac:dyDescent="0.25">
      <c r="F4604" s="85" t="str">
        <f t="shared" si="19"/>
        <v/>
      </c>
      <c r="AB4604" s="86"/>
      <c r="AD4604" s="100"/>
    </row>
    <row r="4605" spans="6:30" x14ac:dyDescent="0.25">
      <c r="F4605" s="85" t="str">
        <f t="shared" si="19"/>
        <v/>
      </c>
      <c r="AB4605" s="86"/>
      <c r="AD4605" s="100"/>
    </row>
    <row r="4606" spans="6:30" x14ac:dyDescent="0.25">
      <c r="F4606" s="85" t="str">
        <f t="shared" si="19"/>
        <v/>
      </c>
      <c r="AB4606" s="86"/>
      <c r="AD4606" s="100"/>
    </row>
    <row r="4607" spans="6:30" x14ac:dyDescent="0.25">
      <c r="F4607" s="85" t="str">
        <f t="shared" si="19"/>
        <v/>
      </c>
      <c r="AB4607" s="86"/>
      <c r="AD4607" s="100"/>
    </row>
    <row r="4608" spans="6:30" x14ac:dyDescent="0.25">
      <c r="F4608" s="85" t="str">
        <f t="shared" si="19"/>
        <v/>
      </c>
      <c r="AB4608" s="86"/>
      <c r="AD4608" s="100"/>
    </row>
    <row r="4609" spans="6:30" x14ac:dyDescent="0.25">
      <c r="F4609" s="85" t="str">
        <f t="shared" si="19"/>
        <v/>
      </c>
      <c r="AB4609" s="86"/>
      <c r="AD4609" s="100"/>
    </row>
    <row r="4610" spans="6:30" x14ac:dyDescent="0.25">
      <c r="F4610" s="85" t="str">
        <f t="shared" si="19"/>
        <v/>
      </c>
      <c r="AB4610" s="86"/>
      <c r="AD4610" s="100"/>
    </row>
    <row r="4611" spans="6:30" x14ac:dyDescent="0.25">
      <c r="F4611" s="85" t="str">
        <f t="shared" ref="F4611:F4674" si="20">IF($A4611="","",CONCATENATE($A4611,"_",$B4611,"_",$C4611))</f>
        <v/>
      </c>
      <c r="AB4611" s="86"/>
      <c r="AD4611" s="100"/>
    </row>
    <row r="4612" spans="6:30" x14ac:dyDescent="0.25">
      <c r="F4612" s="85" t="str">
        <f t="shared" si="20"/>
        <v/>
      </c>
      <c r="AB4612" s="86"/>
      <c r="AD4612" s="100"/>
    </row>
    <row r="4613" spans="6:30" x14ac:dyDescent="0.25">
      <c r="F4613" s="85" t="str">
        <f t="shared" si="20"/>
        <v/>
      </c>
      <c r="AB4613" s="86"/>
      <c r="AD4613" s="100"/>
    </row>
    <row r="4614" spans="6:30" x14ac:dyDescent="0.25">
      <c r="F4614" s="85" t="str">
        <f t="shared" si="20"/>
        <v/>
      </c>
      <c r="AB4614" s="86"/>
      <c r="AD4614" s="100"/>
    </row>
    <row r="4615" spans="6:30" x14ac:dyDescent="0.25">
      <c r="F4615" s="85" t="str">
        <f t="shared" si="20"/>
        <v/>
      </c>
      <c r="AB4615" s="86"/>
      <c r="AD4615" s="100"/>
    </row>
    <row r="4616" spans="6:30" x14ac:dyDescent="0.25">
      <c r="F4616" s="85" t="str">
        <f t="shared" si="20"/>
        <v/>
      </c>
      <c r="AB4616" s="86"/>
      <c r="AD4616" s="100"/>
    </row>
    <row r="4617" spans="6:30" x14ac:dyDescent="0.25">
      <c r="F4617" s="85" t="str">
        <f t="shared" si="20"/>
        <v/>
      </c>
      <c r="AB4617" s="86"/>
      <c r="AD4617" s="100"/>
    </row>
    <row r="4618" spans="6:30" x14ac:dyDescent="0.25">
      <c r="F4618" s="85" t="str">
        <f t="shared" si="20"/>
        <v/>
      </c>
      <c r="AB4618" s="86"/>
      <c r="AD4618" s="100"/>
    </row>
    <row r="4619" spans="6:30" x14ac:dyDescent="0.25">
      <c r="F4619" s="85" t="str">
        <f t="shared" si="20"/>
        <v/>
      </c>
      <c r="AB4619" s="86"/>
      <c r="AD4619" s="100"/>
    </row>
    <row r="4620" spans="6:30" x14ac:dyDescent="0.25">
      <c r="F4620" s="85" t="str">
        <f t="shared" si="20"/>
        <v/>
      </c>
      <c r="AB4620" s="86"/>
      <c r="AD4620" s="100"/>
    </row>
    <row r="4621" spans="6:30" x14ac:dyDescent="0.25">
      <c r="F4621" s="85" t="str">
        <f t="shared" si="20"/>
        <v/>
      </c>
      <c r="AB4621" s="86"/>
      <c r="AD4621" s="100"/>
    </row>
    <row r="4622" spans="6:30" x14ac:dyDescent="0.25">
      <c r="F4622" s="85" t="str">
        <f t="shared" si="20"/>
        <v/>
      </c>
      <c r="AB4622" s="86"/>
      <c r="AD4622" s="100"/>
    </row>
    <row r="4623" spans="6:30" x14ac:dyDescent="0.25">
      <c r="F4623" s="85" t="str">
        <f t="shared" si="20"/>
        <v/>
      </c>
      <c r="AB4623" s="86"/>
      <c r="AD4623" s="100"/>
    </row>
    <row r="4624" spans="6:30" x14ac:dyDescent="0.25">
      <c r="F4624" s="85" t="str">
        <f t="shared" si="20"/>
        <v/>
      </c>
      <c r="AB4624" s="86"/>
      <c r="AD4624" s="100"/>
    </row>
    <row r="4625" spans="6:30" x14ac:dyDescent="0.25">
      <c r="F4625" s="85" t="str">
        <f t="shared" si="20"/>
        <v/>
      </c>
      <c r="AB4625" s="86"/>
      <c r="AD4625" s="100"/>
    </row>
    <row r="4626" spans="6:30" x14ac:dyDescent="0.25">
      <c r="F4626" s="85" t="str">
        <f t="shared" si="20"/>
        <v/>
      </c>
      <c r="AB4626" s="86"/>
      <c r="AD4626" s="100"/>
    </row>
    <row r="4627" spans="6:30" x14ac:dyDescent="0.25">
      <c r="F4627" s="85" t="str">
        <f t="shared" si="20"/>
        <v/>
      </c>
      <c r="AB4627" s="86"/>
      <c r="AD4627" s="100"/>
    </row>
    <row r="4628" spans="6:30" x14ac:dyDescent="0.25">
      <c r="F4628" s="85" t="str">
        <f t="shared" si="20"/>
        <v/>
      </c>
      <c r="AB4628" s="86"/>
      <c r="AD4628" s="100"/>
    </row>
    <row r="4629" spans="6:30" x14ac:dyDescent="0.25">
      <c r="F4629" s="85" t="str">
        <f t="shared" si="20"/>
        <v/>
      </c>
      <c r="AB4629" s="86"/>
      <c r="AD4629" s="100"/>
    </row>
    <row r="4630" spans="6:30" x14ac:dyDescent="0.25">
      <c r="F4630" s="85" t="str">
        <f t="shared" si="20"/>
        <v/>
      </c>
      <c r="AB4630" s="86"/>
      <c r="AD4630" s="100"/>
    </row>
    <row r="4631" spans="6:30" x14ac:dyDescent="0.25">
      <c r="F4631" s="85" t="str">
        <f t="shared" si="20"/>
        <v/>
      </c>
      <c r="AB4631" s="86"/>
      <c r="AD4631" s="100"/>
    </row>
    <row r="4632" spans="6:30" x14ac:dyDescent="0.25">
      <c r="F4632" s="85" t="str">
        <f t="shared" si="20"/>
        <v/>
      </c>
      <c r="AB4632" s="86"/>
      <c r="AD4632" s="100"/>
    </row>
    <row r="4633" spans="6:30" x14ac:dyDescent="0.25">
      <c r="F4633" s="85" t="str">
        <f t="shared" si="20"/>
        <v/>
      </c>
      <c r="AB4633" s="86"/>
      <c r="AD4633" s="100"/>
    </row>
    <row r="4634" spans="6:30" x14ac:dyDescent="0.25">
      <c r="F4634" s="85" t="str">
        <f t="shared" si="20"/>
        <v/>
      </c>
      <c r="AB4634" s="86"/>
      <c r="AD4634" s="100"/>
    </row>
    <row r="4635" spans="6:30" x14ac:dyDescent="0.25">
      <c r="F4635" s="85" t="str">
        <f t="shared" si="20"/>
        <v/>
      </c>
      <c r="AB4635" s="86"/>
      <c r="AD4635" s="100"/>
    </row>
    <row r="4636" spans="6:30" x14ac:dyDescent="0.25">
      <c r="F4636" s="85" t="str">
        <f t="shared" si="20"/>
        <v/>
      </c>
      <c r="AB4636" s="86"/>
      <c r="AD4636" s="100"/>
    </row>
    <row r="4637" spans="6:30" x14ac:dyDescent="0.25">
      <c r="F4637" s="85" t="str">
        <f t="shared" si="20"/>
        <v/>
      </c>
      <c r="AB4637" s="86"/>
      <c r="AD4637" s="100"/>
    </row>
    <row r="4638" spans="6:30" x14ac:dyDescent="0.25">
      <c r="F4638" s="85" t="str">
        <f t="shared" si="20"/>
        <v/>
      </c>
      <c r="AB4638" s="86"/>
      <c r="AD4638" s="100"/>
    </row>
    <row r="4639" spans="6:30" x14ac:dyDescent="0.25">
      <c r="F4639" s="85" t="str">
        <f t="shared" si="20"/>
        <v/>
      </c>
      <c r="AB4639" s="86"/>
      <c r="AD4639" s="100"/>
    </row>
    <row r="4640" spans="6:30" x14ac:dyDescent="0.25">
      <c r="F4640" s="85" t="str">
        <f t="shared" si="20"/>
        <v/>
      </c>
      <c r="AB4640" s="86"/>
      <c r="AD4640" s="100"/>
    </row>
    <row r="4641" spans="6:30" x14ac:dyDescent="0.25">
      <c r="F4641" s="85" t="str">
        <f t="shared" si="20"/>
        <v/>
      </c>
      <c r="AB4641" s="86"/>
      <c r="AD4641" s="100"/>
    </row>
    <row r="4642" spans="6:30" x14ac:dyDescent="0.25">
      <c r="F4642" s="85" t="str">
        <f t="shared" si="20"/>
        <v/>
      </c>
      <c r="AB4642" s="86"/>
      <c r="AD4642" s="100"/>
    </row>
    <row r="4643" spans="6:30" x14ac:dyDescent="0.25">
      <c r="F4643" s="85" t="str">
        <f t="shared" si="20"/>
        <v/>
      </c>
      <c r="AB4643" s="86"/>
      <c r="AD4643" s="100"/>
    </row>
    <row r="4644" spans="6:30" x14ac:dyDescent="0.25">
      <c r="F4644" s="85" t="str">
        <f t="shared" si="20"/>
        <v/>
      </c>
      <c r="AB4644" s="86"/>
      <c r="AD4644" s="100"/>
    </row>
    <row r="4645" spans="6:30" x14ac:dyDescent="0.25">
      <c r="F4645" s="85" t="str">
        <f t="shared" si="20"/>
        <v/>
      </c>
      <c r="AB4645" s="86"/>
      <c r="AD4645" s="100"/>
    </row>
    <row r="4646" spans="6:30" x14ac:dyDescent="0.25">
      <c r="F4646" s="85" t="str">
        <f t="shared" si="20"/>
        <v/>
      </c>
      <c r="AB4646" s="86"/>
      <c r="AD4646" s="100"/>
    </row>
    <row r="4647" spans="6:30" x14ac:dyDescent="0.25">
      <c r="F4647" s="85" t="str">
        <f t="shared" si="20"/>
        <v/>
      </c>
      <c r="AB4647" s="86"/>
      <c r="AD4647" s="100"/>
    </row>
    <row r="4648" spans="6:30" x14ac:dyDescent="0.25">
      <c r="F4648" s="85" t="str">
        <f t="shared" si="20"/>
        <v/>
      </c>
      <c r="AB4648" s="86"/>
      <c r="AD4648" s="100"/>
    </row>
    <row r="4649" spans="6:30" x14ac:dyDescent="0.25">
      <c r="F4649" s="85" t="str">
        <f t="shared" si="20"/>
        <v/>
      </c>
      <c r="AB4649" s="86"/>
      <c r="AD4649" s="100"/>
    </row>
    <row r="4650" spans="6:30" x14ac:dyDescent="0.25">
      <c r="F4650" s="85" t="str">
        <f t="shared" si="20"/>
        <v/>
      </c>
      <c r="AB4650" s="86"/>
      <c r="AD4650" s="100"/>
    </row>
    <row r="4651" spans="6:30" x14ac:dyDescent="0.25">
      <c r="F4651" s="85" t="str">
        <f t="shared" si="20"/>
        <v/>
      </c>
      <c r="AB4651" s="86"/>
      <c r="AD4651" s="100"/>
    </row>
    <row r="4652" spans="6:30" x14ac:dyDescent="0.25">
      <c r="F4652" s="85" t="str">
        <f t="shared" si="20"/>
        <v/>
      </c>
      <c r="AB4652" s="86"/>
      <c r="AD4652" s="100"/>
    </row>
    <row r="4653" spans="6:30" x14ac:dyDescent="0.25">
      <c r="F4653" s="85" t="str">
        <f t="shared" si="20"/>
        <v/>
      </c>
      <c r="AB4653" s="86"/>
      <c r="AD4653" s="100"/>
    </row>
    <row r="4654" spans="6:30" x14ac:dyDescent="0.25">
      <c r="F4654" s="85" t="str">
        <f t="shared" si="20"/>
        <v/>
      </c>
      <c r="AB4654" s="86"/>
      <c r="AD4654" s="100"/>
    </row>
    <row r="4655" spans="6:30" x14ac:dyDescent="0.25">
      <c r="F4655" s="85" t="str">
        <f t="shared" si="20"/>
        <v/>
      </c>
      <c r="AB4655" s="86"/>
      <c r="AD4655" s="100"/>
    </row>
    <row r="4656" spans="6:30" x14ac:dyDescent="0.25">
      <c r="F4656" s="85" t="str">
        <f t="shared" si="20"/>
        <v/>
      </c>
      <c r="AB4656" s="86"/>
      <c r="AD4656" s="100"/>
    </row>
    <row r="4657" spans="6:30" x14ac:dyDescent="0.25">
      <c r="F4657" s="85" t="str">
        <f t="shared" si="20"/>
        <v/>
      </c>
      <c r="AB4657" s="86"/>
      <c r="AD4657" s="100"/>
    </row>
    <row r="4658" spans="6:30" x14ac:dyDescent="0.25">
      <c r="F4658" s="85" t="str">
        <f t="shared" si="20"/>
        <v/>
      </c>
      <c r="AB4658" s="86"/>
      <c r="AD4658" s="100"/>
    </row>
    <row r="4659" spans="6:30" x14ac:dyDescent="0.25">
      <c r="F4659" s="85" t="str">
        <f t="shared" si="20"/>
        <v/>
      </c>
      <c r="AB4659" s="86"/>
      <c r="AD4659" s="100"/>
    </row>
    <row r="4660" spans="6:30" x14ac:dyDescent="0.25">
      <c r="F4660" s="85" t="str">
        <f t="shared" si="20"/>
        <v/>
      </c>
      <c r="AB4660" s="86"/>
      <c r="AD4660" s="100"/>
    </row>
    <row r="4661" spans="6:30" x14ac:dyDescent="0.25">
      <c r="F4661" s="85" t="str">
        <f t="shared" si="20"/>
        <v/>
      </c>
      <c r="AB4661" s="86"/>
      <c r="AD4661" s="100"/>
    </row>
    <row r="4662" spans="6:30" x14ac:dyDescent="0.25">
      <c r="F4662" s="85" t="str">
        <f t="shared" si="20"/>
        <v/>
      </c>
      <c r="AB4662" s="86"/>
      <c r="AD4662" s="100"/>
    </row>
    <row r="4663" spans="6:30" x14ac:dyDescent="0.25">
      <c r="F4663" s="85" t="str">
        <f t="shared" si="20"/>
        <v/>
      </c>
      <c r="AB4663" s="86"/>
      <c r="AD4663" s="100"/>
    </row>
    <row r="4664" spans="6:30" x14ac:dyDescent="0.25">
      <c r="F4664" s="85" t="str">
        <f t="shared" si="20"/>
        <v/>
      </c>
      <c r="AB4664" s="86"/>
      <c r="AD4664" s="100"/>
    </row>
    <row r="4665" spans="6:30" x14ac:dyDescent="0.25">
      <c r="F4665" s="85" t="str">
        <f t="shared" si="20"/>
        <v/>
      </c>
      <c r="AB4665" s="86"/>
      <c r="AD4665" s="100"/>
    </row>
    <row r="4666" spans="6:30" x14ac:dyDescent="0.25">
      <c r="F4666" s="85" t="str">
        <f t="shared" si="20"/>
        <v/>
      </c>
      <c r="AB4666" s="86"/>
      <c r="AD4666" s="100"/>
    </row>
    <row r="4667" spans="6:30" x14ac:dyDescent="0.25">
      <c r="F4667" s="85" t="str">
        <f t="shared" si="20"/>
        <v/>
      </c>
      <c r="AB4667" s="86"/>
      <c r="AD4667" s="100"/>
    </row>
    <row r="4668" spans="6:30" x14ac:dyDescent="0.25">
      <c r="F4668" s="85" t="str">
        <f t="shared" si="20"/>
        <v/>
      </c>
      <c r="AB4668" s="86"/>
      <c r="AD4668" s="100"/>
    </row>
    <row r="4669" spans="6:30" x14ac:dyDescent="0.25">
      <c r="F4669" s="85" t="str">
        <f t="shared" si="20"/>
        <v/>
      </c>
      <c r="AB4669" s="86"/>
      <c r="AD4669" s="100"/>
    </row>
    <row r="4670" spans="6:30" x14ac:dyDescent="0.25">
      <c r="F4670" s="85" t="str">
        <f t="shared" si="20"/>
        <v/>
      </c>
      <c r="AB4670" s="86"/>
      <c r="AD4670" s="100"/>
    </row>
    <row r="4671" spans="6:30" x14ac:dyDescent="0.25">
      <c r="F4671" s="85" t="str">
        <f t="shared" si="20"/>
        <v/>
      </c>
      <c r="AB4671" s="86"/>
      <c r="AD4671" s="100"/>
    </row>
    <row r="4672" spans="6:30" x14ac:dyDescent="0.25">
      <c r="F4672" s="85" t="str">
        <f t="shared" si="20"/>
        <v/>
      </c>
      <c r="AB4672" s="86"/>
      <c r="AD4672" s="100"/>
    </row>
    <row r="4673" spans="6:30" x14ac:dyDescent="0.25">
      <c r="F4673" s="85" t="str">
        <f t="shared" si="20"/>
        <v/>
      </c>
      <c r="AB4673" s="86"/>
      <c r="AD4673" s="100"/>
    </row>
    <row r="4674" spans="6:30" x14ac:dyDescent="0.25">
      <c r="F4674" s="85" t="str">
        <f t="shared" si="20"/>
        <v/>
      </c>
      <c r="AB4674" s="86"/>
      <c r="AD4674" s="100"/>
    </row>
    <row r="4675" spans="6:30" x14ac:dyDescent="0.25">
      <c r="F4675" s="85" t="str">
        <f t="shared" ref="F4675:F4738" si="21">IF($A4675="","",CONCATENATE($A4675,"_",$B4675,"_",$C4675))</f>
        <v/>
      </c>
      <c r="AB4675" s="86"/>
      <c r="AD4675" s="100"/>
    </row>
    <row r="4676" spans="6:30" x14ac:dyDescent="0.25">
      <c r="F4676" s="85" t="str">
        <f t="shared" si="21"/>
        <v/>
      </c>
      <c r="AB4676" s="86"/>
      <c r="AD4676" s="100"/>
    </row>
    <row r="4677" spans="6:30" x14ac:dyDescent="0.25">
      <c r="F4677" s="85" t="str">
        <f t="shared" si="21"/>
        <v/>
      </c>
      <c r="AB4677" s="86"/>
      <c r="AD4677" s="100"/>
    </row>
    <row r="4678" spans="6:30" x14ac:dyDescent="0.25">
      <c r="F4678" s="85" t="str">
        <f t="shared" si="21"/>
        <v/>
      </c>
      <c r="AB4678" s="86"/>
      <c r="AD4678" s="100"/>
    </row>
    <row r="4679" spans="6:30" x14ac:dyDescent="0.25">
      <c r="F4679" s="85" t="str">
        <f t="shared" si="21"/>
        <v/>
      </c>
      <c r="AB4679" s="86"/>
      <c r="AD4679" s="100"/>
    </row>
    <row r="4680" spans="6:30" x14ac:dyDescent="0.25">
      <c r="F4680" s="85" t="str">
        <f t="shared" si="21"/>
        <v/>
      </c>
      <c r="AB4680" s="86"/>
      <c r="AD4680" s="100"/>
    </row>
    <row r="4681" spans="6:30" x14ac:dyDescent="0.25">
      <c r="F4681" s="85" t="str">
        <f t="shared" si="21"/>
        <v/>
      </c>
      <c r="AB4681" s="86"/>
      <c r="AD4681" s="100"/>
    </row>
    <row r="4682" spans="6:30" x14ac:dyDescent="0.25">
      <c r="F4682" s="85" t="str">
        <f t="shared" si="21"/>
        <v/>
      </c>
      <c r="AB4682" s="86"/>
      <c r="AD4682" s="100"/>
    </row>
    <row r="4683" spans="6:30" x14ac:dyDescent="0.25">
      <c r="F4683" s="85" t="str">
        <f t="shared" si="21"/>
        <v/>
      </c>
      <c r="AB4683" s="86"/>
      <c r="AD4683" s="100"/>
    </row>
    <row r="4684" spans="6:30" x14ac:dyDescent="0.25">
      <c r="F4684" s="85" t="str">
        <f t="shared" si="21"/>
        <v/>
      </c>
      <c r="AB4684" s="86"/>
      <c r="AD4684" s="100"/>
    </row>
    <row r="4685" spans="6:30" x14ac:dyDescent="0.25">
      <c r="F4685" s="85" t="str">
        <f t="shared" si="21"/>
        <v/>
      </c>
      <c r="AB4685" s="86"/>
      <c r="AD4685" s="100"/>
    </row>
    <row r="4686" spans="6:30" x14ac:dyDescent="0.25">
      <c r="F4686" s="85" t="str">
        <f t="shared" si="21"/>
        <v/>
      </c>
      <c r="AB4686" s="86"/>
      <c r="AD4686" s="100"/>
    </row>
    <row r="4687" spans="6:30" x14ac:dyDescent="0.25">
      <c r="F4687" s="85" t="str">
        <f t="shared" si="21"/>
        <v/>
      </c>
      <c r="AB4687" s="86"/>
      <c r="AD4687" s="100"/>
    </row>
    <row r="4688" spans="6:30" x14ac:dyDescent="0.25">
      <c r="F4688" s="85" t="str">
        <f t="shared" si="21"/>
        <v/>
      </c>
      <c r="AB4688" s="86"/>
      <c r="AD4688" s="100"/>
    </row>
    <row r="4689" spans="6:30" x14ac:dyDescent="0.25">
      <c r="F4689" s="85" t="str">
        <f t="shared" si="21"/>
        <v/>
      </c>
      <c r="AB4689" s="86"/>
      <c r="AD4689" s="100"/>
    </row>
    <row r="4690" spans="6:30" x14ac:dyDescent="0.25">
      <c r="F4690" s="85" t="str">
        <f t="shared" si="21"/>
        <v/>
      </c>
      <c r="AB4690" s="86"/>
      <c r="AD4690" s="100"/>
    </row>
    <row r="4691" spans="6:30" x14ac:dyDescent="0.25">
      <c r="F4691" s="85" t="str">
        <f t="shared" si="21"/>
        <v/>
      </c>
      <c r="AB4691" s="86"/>
      <c r="AD4691" s="100"/>
    </row>
    <row r="4692" spans="6:30" x14ac:dyDescent="0.25">
      <c r="F4692" s="85" t="str">
        <f t="shared" si="21"/>
        <v/>
      </c>
      <c r="AB4692" s="86"/>
      <c r="AD4692" s="100"/>
    </row>
    <row r="4693" spans="6:30" x14ac:dyDescent="0.25">
      <c r="F4693" s="85" t="str">
        <f t="shared" si="21"/>
        <v/>
      </c>
      <c r="AB4693" s="86"/>
      <c r="AD4693" s="100"/>
    </row>
    <row r="4694" spans="6:30" x14ac:dyDescent="0.25">
      <c r="F4694" s="85" t="str">
        <f t="shared" si="21"/>
        <v/>
      </c>
      <c r="AB4694" s="86"/>
      <c r="AD4694" s="100"/>
    </row>
    <row r="4695" spans="6:30" x14ac:dyDescent="0.25">
      <c r="F4695" s="85" t="str">
        <f t="shared" si="21"/>
        <v/>
      </c>
      <c r="AB4695" s="86"/>
      <c r="AD4695" s="100"/>
    </row>
    <row r="4696" spans="6:30" x14ac:dyDescent="0.25">
      <c r="F4696" s="85" t="str">
        <f t="shared" si="21"/>
        <v/>
      </c>
      <c r="AB4696" s="86"/>
      <c r="AD4696" s="100"/>
    </row>
    <row r="4697" spans="6:30" x14ac:dyDescent="0.25">
      <c r="F4697" s="85" t="str">
        <f t="shared" si="21"/>
        <v/>
      </c>
      <c r="AB4697" s="86"/>
      <c r="AD4697" s="100"/>
    </row>
    <row r="4698" spans="6:30" x14ac:dyDescent="0.25">
      <c r="F4698" s="85" t="str">
        <f t="shared" si="21"/>
        <v/>
      </c>
      <c r="AB4698" s="86"/>
      <c r="AD4698" s="100"/>
    </row>
    <row r="4699" spans="6:30" x14ac:dyDescent="0.25">
      <c r="F4699" s="85" t="str">
        <f t="shared" si="21"/>
        <v/>
      </c>
      <c r="AB4699" s="86"/>
      <c r="AD4699" s="100"/>
    </row>
    <row r="4700" spans="6:30" x14ac:dyDescent="0.25">
      <c r="F4700" s="85" t="str">
        <f t="shared" si="21"/>
        <v/>
      </c>
      <c r="AB4700" s="86"/>
      <c r="AD4700" s="100"/>
    </row>
    <row r="4701" spans="6:30" x14ac:dyDescent="0.25">
      <c r="F4701" s="85" t="str">
        <f t="shared" si="21"/>
        <v/>
      </c>
      <c r="AB4701" s="86"/>
      <c r="AD4701" s="100"/>
    </row>
    <row r="4702" spans="6:30" x14ac:dyDescent="0.25">
      <c r="F4702" s="85" t="str">
        <f t="shared" si="21"/>
        <v/>
      </c>
      <c r="AB4702" s="86"/>
      <c r="AD4702" s="100"/>
    </row>
    <row r="4703" spans="6:30" x14ac:dyDescent="0.25">
      <c r="F4703" s="85" t="str">
        <f t="shared" si="21"/>
        <v/>
      </c>
      <c r="AB4703" s="86"/>
      <c r="AD4703" s="100"/>
    </row>
    <row r="4704" spans="6:30" x14ac:dyDescent="0.25">
      <c r="F4704" s="85" t="str">
        <f t="shared" si="21"/>
        <v/>
      </c>
      <c r="AB4704" s="86"/>
      <c r="AD4704" s="100"/>
    </row>
    <row r="4705" spans="6:30" x14ac:dyDescent="0.25">
      <c r="F4705" s="85" t="str">
        <f t="shared" si="21"/>
        <v/>
      </c>
      <c r="AB4705" s="86"/>
      <c r="AD4705" s="100"/>
    </row>
    <row r="4706" spans="6:30" x14ac:dyDescent="0.25">
      <c r="F4706" s="85" t="str">
        <f t="shared" si="21"/>
        <v/>
      </c>
      <c r="AB4706" s="86"/>
      <c r="AD4706" s="100"/>
    </row>
    <row r="4707" spans="6:30" x14ac:dyDescent="0.25">
      <c r="F4707" s="85" t="str">
        <f t="shared" si="21"/>
        <v/>
      </c>
      <c r="AB4707" s="86"/>
      <c r="AD4707" s="100"/>
    </row>
    <row r="4708" spans="6:30" x14ac:dyDescent="0.25">
      <c r="F4708" s="85" t="str">
        <f t="shared" si="21"/>
        <v/>
      </c>
      <c r="AB4708" s="86"/>
      <c r="AD4708" s="100"/>
    </row>
    <row r="4709" spans="6:30" x14ac:dyDescent="0.25">
      <c r="F4709" s="85" t="str">
        <f t="shared" si="21"/>
        <v/>
      </c>
      <c r="AB4709" s="86"/>
      <c r="AD4709" s="100"/>
    </row>
    <row r="4710" spans="6:30" x14ac:dyDescent="0.25">
      <c r="F4710" s="85" t="str">
        <f t="shared" si="21"/>
        <v/>
      </c>
      <c r="AB4710" s="86"/>
      <c r="AD4710" s="100"/>
    </row>
    <row r="4711" spans="6:30" x14ac:dyDescent="0.25">
      <c r="F4711" s="85" t="str">
        <f t="shared" si="21"/>
        <v/>
      </c>
      <c r="AB4711" s="86"/>
      <c r="AD4711" s="100"/>
    </row>
    <row r="4712" spans="6:30" x14ac:dyDescent="0.25">
      <c r="F4712" s="85" t="str">
        <f t="shared" si="21"/>
        <v/>
      </c>
      <c r="AB4712" s="86"/>
      <c r="AD4712" s="100"/>
    </row>
    <row r="4713" spans="6:30" x14ac:dyDescent="0.25">
      <c r="F4713" s="85" t="str">
        <f t="shared" si="21"/>
        <v/>
      </c>
      <c r="AB4713" s="86"/>
      <c r="AD4713" s="100"/>
    </row>
    <row r="4714" spans="6:30" x14ac:dyDescent="0.25">
      <c r="F4714" s="85" t="str">
        <f t="shared" si="21"/>
        <v/>
      </c>
      <c r="AB4714" s="86"/>
      <c r="AD4714" s="100"/>
    </row>
    <row r="4715" spans="6:30" x14ac:dyDescent="0.25">
      <c r="F4715" s="85" t="str">
        <f t="shared" si="21"/>
        <v/>
      </c>
      <c r="AB4715" s="86"/>
      <c r="AD4715" s="100"/>
    </row>
    <row r="4716" spans="6:30" x14ac:dyDescent="0.25">
      <c r="F4716" s="85" t="str">
        <f t="shared" si="21"/>
        <v/>
      </c>
      <c r="AB4716" s="86"/>
      <c r="AD4716" s="100"/>
    </row>
    <row r="4717" spans="6:30" x14ac:dyDescent="0.25">
      <c r="F4717" s="85" t="str">
        <f t="shared" si="21"/>
        <v/>
      </c>
      <c r="AB4717" s="86"/>
      <c r="AD4717" s="100"/>
    </row>
    <row r="4718" spans="6:30" x14ac:dyDescent="0.25">
      <c r="F4718" s="85" t="str">
        <f t="shared" si="21"/>
        <v/>
      </c>
      <c r="AB4718" s="86"/>
      <c r="AD4718" s="100"/>
    </row>
    <row r="4719" spans="6:30" x14ac:dyDescent="0.25">
      <c r="F4719" s="85" t="str">
        <f t="shared" si="21"/>
        <v/>
      </c>
      <c r="AB4719" s="86"/>
      <c r="AD4719" s="100"/>
    </row>
    <row r="4720" spans="6:30" x14ac:dyDescent="0.25">
      <c r="F4720" s="85" t="str">
        <f t="shared" si="21"/>
        <v/>
      </c>
      <c r="AB4720" s="86"/>
      <c r="AD4720" s="100"/>
    </row>
    <row r="4721" spans="6:30" x14ac:dyDescent="0.25">
      <c r="F4721" s="85" t="str">
        <f t="shared" si="21"/>
        <v/>
      </c>
      <c r="AB4721" s="86"/>
      <c r="AD4721" s="100"/>
    </row>
    <row r="4722" spans="6:30" x14ac:dyDescent="0.25">
      <c r="F4722" s="85" t="str">
        <f t="shared" si="21"/>
        <v/>
      </c>
      <c r="AB4722" s="86"/>
      <c r="AD4722" s="100"/>
    </row>
    <row r="4723" spans="6:30" x14ac:dyDescent="0.25">
      <c r="F4723" s="85" t="str">
        <f t="shared" si="21"/>
        <v/>
      </c>
      <c r="AB4723" s="86"/>
      <c r="AD4723" s="100"/>
    </row>
    <row r="4724" spans="6:30" x14ac:dyDescent="0.25">
      <c r="F4724" s="85" t="str">
        <f t="shared" si="21"/>
        <v/>
      </c>
      <c r="AB4724" s="86"/>
      <c r="AD4724" s="100"/>
    </row>
    <row r="4725" spans="6:30" x14ac:dyDescent="0.25">
      <c r="F4725" s="85" t="str">
        <f t="shared" si="21"/>
        <v/>
      </c>
      <c r="AB4725" s="86"/>
      <c r="AD4725" s="100"/>
    </row>
    <row r="4726" spans="6:30" x14ac:dyDescent="0.25">
      <c r="F4726" s="85" t="str">
        <f t="shared" si="21"/>
        <v/>
      </c>
      <c r="AB4726" s="86"/>
      <c r="AD4726" s="100"/>
    </row>
    <row r="4727" spans="6:30" x14ac:dyDescent="0.25">
      <c r="F4727" s="85" t="str">
        <f t="shared" si="21"/>
        <v/>
      </c>
      <c r="AB4727" s="86"/>
      <c r="AD4727" s="100"/>
    </row>
    <row r="4728" spans="6:30" x14ac:dyDescent="0.25">
      <c r="F4728" s="85" t="str">
        <f t="shared" si="21"/>
        <v/>
      </c>
      <c r="AB4728" s="86"/>
      <c r="AD4728" s="100"/>
    </row>
    <row r="4729" spans="6:30" x14ac:dyDescent="0.25">
      <c r="F4729" s="85" t="str">
        <f t="shared" si="21"/>
        <v/>
      </c>
      <c r="AB4729" s="86"/>
      <c r="AD4729" s="100"/>
    </row>
    <row r="4730" spans="6:30" x14ac:dyDescent="0.25">
      <c r="F4730" s="85" t="str">
        <f t="shared" si="21"/>
        <v/>
      </c>
      <c r="AB4730" s="86"/>
      <c r="AD4730" s="100"/>
    </row>
    <row r="4731" spans="6:30" x14ac:dyDescent="0.25">
      <c r="F4731" s="85" t="str">
        <f t="shared" si="21"/>
        <v/>
      </c>
      <c r="AB4731" s="86"/>
      <c r="AD4731" s="100"/>
    </row>
    <row r="4732" spans="6:30" x14ac:dyDescent="0.25">
      <c r="F4732" s="85" t="str">
        <f t="shared" si="21"/>
        <v/>
      </c>
      <c r="AB4732" s="86"/>
      <c r="AD4732" s="100"/>
    </row>
    <row r="4733" spans="6:30" x14ac:dyDescent="0.25">
      <c r="F4733" s="85" t="str">
        <f t="shared" si="21"/>
        <v/>
      </c>
      <c r="AB4733" s="86"/>
      <c r="AD4733" s="100"/>
    </row>
    <row r="4734" spans="6:30" x14ac:dyDescent="0.25">
      <c r="F4734" s="85" t="str">
        <f t="shared" si="21"/>
        <v/>
      </c>
      <c r="AB4734" s="86"/>
      <c r="AD4734" s="100"/>
    </row>
    <row r="4735" spans="6:30" x14ac:dyDescent="0.25">
      <c r="F4735" s="85" t="str">
        <f t="shared" si="21"/>
        <v/>
      </c>
      <c r="AB4735" s="86"/>
      <c r="AD4735" s="100"/>
    </row>
    <row r="4736" spans="6:30" x14ac:dyDescent="0.25">
      <c r="F4736" s="85" t="str">
        <f t="shared" si="21"/>
        <v/>
      </c>
      <c r="AB4736" s="86"/>
      <c r="AD4736" s="100"/>
    </row>
    <row r="4737" spans="6:30" x14ac:dyDescent="0.25">
      <c r="F4737" s="85" t="str">
        <f t="shared" si="21"/>
        <v/>
      </c>
      <c r="AB4737" s="86"/>
    </row>
    <row r="4738" spans="6:30" x14ac:dyDescent="0.25">
      <c r="F4738" s="85" t="str">
        <f t="shared" si="21"/>
        <v/>
      </c>
      <c r="AB4738" s="86"/>
      <c r="AD4738" s="100"/>
    </row>
    <row r="4739" spans="6:30" x14ac:dyDescent="0.25">
      <c r="F4739" s="85" t="str">
        <f t="shared" ref="F4739:F4802" si="22">IF($A4739="","",CONCATENATE($A4739,"_",$B4739,"_",$C4739))</f>
        <v/>
      </c>
      <c r="AB4739" s="86"/>
      <c r="AD4739" s="100"/>
    </row>
    <row r="4740" spans="6:30" x14ac:dyDescent="0.25">
      <c r="F4740" s="85" t="str">
        <f t="shared" si="22"/>
        <v/>
      </c>
      <c r="AB4740" s="86"/>
      <c r="AD4740" s="100"/>
    </row>
    <row r="4741" spans="6:30" x14ac:dyDescent="0.25">
      <c r="F4741" s="85" t="str">
        <f t="shared" si="22"/>
        <v/>
      </c>
      <c r="AB4741" s="86"/>
      <c r="AD4741" s="100"/>
    </row>
    <row r="4742" spans="6:30" x14ac:dyDescent="0.25">
      <c r="F4742" s="85" t="str">
        <f t="shared" si="22"/>
        <v/>
      </c>
      <c r="AB4742" s="86"/>
      <c r="AD4742" s="100"/>
    </row>
    <row r="4743" spans="6:30" x14ac:dyDescent="0.25">
      <c r="F4743" s="85" t="str">
        <f t="shared" si="22"/>
        <v/>
      </c>
      <c r="AB4743" s="86"/>
    </row>
    <row r="4744" spans="6:30" x14ac:dyDescent="0.25">
      <c r="F4744" s="85" t="str">
        <f t="shared" si="22"/>
        <v/>
      </c>
      <c r="AB4744" s="86"/>
    </row>
    <row r="4745" spans="6:30" x14ac:dyDescent="0.25">
      <c r="F4745" s="85" t="str">
        <f t="shared" si="22"/>
        <v/>
      </c>
      <c r="AB4745" s="86"/>
      <c r="AD4745" s="100"/>
    </row>
    <row r="4746" spans="6:30" x14ac:dyDescent="0.25">
      <c r="F4746" s="85" t="str">
        <f t="shared" si="22"/>
        <v/>
      </c>
      <c r="AB4746" s="86"/>
      <c r="AD4746" s="100"/>
    </row>
    <row r="4747" spans="6:30" x14ac:dyDescent="0.25">
      <c r="F4747" s="85" t="str">
        <f t="shared" si="22"/>
        <v/>
      </c>
      <c r="AB4747" s="86"/>
    </row>
    <row r="4748" spans="6:30" x14ac:dyDescent="0.25">
      <c r="F4748" s="85" t="str">
        <f t="shared" si="22"/>
        <v/>
      </c>
      <c r="AB4748" s="86"/>
    </row>
    <row r="4749" spans="6:30" x14ac:dyDescent="0.25">
      <c r="F4749" s="85" t="str">
        <f t="shared" si="22"/>
        <v/>
      </c>
      <c r="AB4749" s="86"/>
      <c r="AD4749" s="100"/>
    </row>
    <row r="4750" spans="6:30" x14ac:dyDescent="0.25">
      <c r="F4750" s="85" t="str">
        <f t="shared" si="22"/>
        <v/>
      </c>
      <c r="AB4750" s="86"/>
      <c r="AD4750" s="100"/>
    </row>
    <row r="4751" spans="6:30" x14ac:dyDescent="0.25">
      <c r="F4751" s="85" t="str">
        <f t="shared" si="22"/>
        <v/>
      </c>
      <c r="AB4751" s="86"/>
      <c r="AD4751" s="100"/>
    </row>
    <row r="4752" spans="6:30" x14ac:dyDescent="0.25">
      <c r="F4752" s="85" t="str">
        <f t="shared" si="22"/>
        <v/>
      </c>
      <c r="AB4752" s="86"/>
      <c r="AD4752" s="100"/>
    </row>
    <row r="4753" spans="6:30" x14ac:dyDescent="0.25">
      <c r="F4753" s="85" t="str">
        <f t="shared" si="22"/>
        <v/>
      </c>
      <c r="AB4753" s="86"/>
    </row>
    <row r="4754" spans="6:30" x14ac:dyDescent="0.25">
      <c r="F4754" s="85" t="str">
        <f t="shared" si="22"/>
        <v/>
      </c>
      <c r="AB4754" s="86"/>
      <c r="AD4754" s="100"/>
    </row>
    <row r="4755" spans="6:30" x14ac:dyDescent="0.25">
      <c r="F4755" s="85" t="str">
        <f t="shared" si="22"/>
        <v/>
      </c>
      <c r="AB4755" s="86"/>
      <c r="AD4755" s="100"/>
    </row>
    <row r="4756" spans="6:30" x14ac:dyDescent="0.25">
      <c r="F4756" s="85" t="str">
        <f t="shared" si="22"/>
        <v/>
      </c>
      <c r="AB4756" s="86"/>
      <c r="AD4756" s="100"/>
    </row>
    <row r="4757" spans="6:30" x14ac:dyDescent="0.25">
      <c r="F4757" s="85" t="str">
        <f t="shared" si="22"/>
        <v/>
      </c>
      <c r="AB4757" s="86"/>
      <c r="AD4757" s="100"/>
    </row>
    <row r="4758" spans="6:30" x14ac:dyDescent="0.25">
      <c r="F4758" s="85" t="str">
        <f t="shared" si="22"/>
        <v/>
      </c>
      <c r="AB4758" s="86"/>
      <c r="AD4758" s="100"/>
    </row>
    <row r="4759" spans="6:30" x14ac:dyDescent="0.25">
      <c r="F4759" s="85" t="str">
        <f t="shared" si="22"/>
        <v/>
      </c>
      <c r="AB4759" s="86"/>
      <c r="AD4759" s="100"/>
    </row>
    <row r="4760" spans="6:30" x14ac:dyDescent="0.25">
      <c r="F4760" s="85" t="str">
        <f t="shared" si="22"/>
        <v/>
      </c>
      <c r="AB4760" s="86"/>
      <c r="AD4760" s="100"/>
    </row>
    <row r="4761" spans="6:30" x14ac:dyDescent="0.25">
      <c r="F4761" s="85" t="str">
        <f t="shared" si="22"/>
        <v/>
      </c>
      <c r="AB4761" s="86"/>
      <c r="AD4761" s="100"/>
    </row>
    <row r="4762" spans="6:30" x14ac:dyDescent="0.25">
      <c r="F4762" s="85" t="str">
        <f t="shared" si="22"/>
        <v/>
      </c>
      <c r="AB4762" s="86"/>
      <c r="AD4762" s="100"/>
    </row>
    <row r="4763" spans="6:30" x14ac:dyDescent="0.25">
      <c r="F4763" s="85" t="str">
        <f t="shared" si="22"/>
        <v/>
      </c>
      <c r="AB4763" s="86"/>
      <c r="AD4763" s="100"/>
    </row>
    <row r="4764" spans="6:30" x14ac:dyDescent="0.25">
      <c r="F4764" s="85" t="str">
        <f t="shared" si="22"/>
        <v/>
      </c>
      <c r="AB4764" s="86"/>
      <c r="AD4764" s="100"/>
    </row>
    <row r="4765" spans="6:30" x14ac:dyDescent="0.25">
      <c r="F4765" s="85" t="str">
        <f t="shared" si="22"/>
        <v/>
      </c>
      <c r="AB4765" s="86"/>
      <c r="AD4765" s="100"/>
    </row>
    <row r="4766" spans="6:30" x14ac:dyDescent="0.25">
      <c r="F4766" s="85" t="str">
        <f t="shared" si="22"/>
        <v/>
      </c>
      <c r="AB4766" s="86"/>
      <c r="AD4766" s="100"/>
    </row>
    <row r="4767" spans="6:30" x14ac:dyDescent="0.25">
      <c r="F4767" s="85" t="str">
        <f t="shared" si="22"/>
        <v/>
      </c>
      <c r="AB4767" s="86"/>
    </row>
    <row r="4768" spans="6:30" x14ac:dyDescent="0.25">
      <c r="F4768" s="85" t="str">
        <f t="shared" si="22"/>
        <v/>
      </c>
      <c r="AB4768" s="86"/>
      <c r="AD4768" s="100"/>
    </row>
    <row r="4769" spans="6:30" x14ac:dyDescent="0.25">
      <c r="F4769" s="85" t="str">
        <f t="shared" si="22"/>
        <v/>
      </c>
      <c r="AB4769" s="86"/>
      <c r="AD4769" s="100"/>
    </row>
    <row r="4770" spans="6:30" x14ac:dyDescent="0.25">
      <c r="F4770" s="85" t="str">
        <f t="shared" si="22"/>
        <v/>
      </c>
      <c r="AB4770" s="86"/>
      <c r="AD4770" s="100"/>
    </row>
    <row r="4771" spans="6:30" x14ac:dyDescent="0.25">
      <c r="F4771" s="85" t="str">
        <f t="shared" si="22"/>
        <v/>
      </c>
      <c r="AB4771" s="86"/>
      <c r="AD4771" s="100"/>
    </row>
    <row r="4772" spans="6:30" x14ac:dyDescent="0.25">
      <c r="F4772" s="85" t="str">
        <f t="shared" si="22"/>
        <v/>
      </c>
      <c r="AB4772" s="86"/>
      <c r="AD4772" s="100"/>
    </row>
    <row r="4773" spans="6:30" x14ac:dyDescent="0.25">
      <c r="F4773" s="85" t="str">
        <f t="shared" si="22"/>
        <v/>
      </c>
      <c r="AB4773" s="86"/>
      <c r="AD4773" s="100"/>
    </row>
    <row r="4774" spans="6:30" x14ac:dyDescent="0.25">
      <c r="F4774" s="85" t="str">
        <f t="shared" si="22"/>
        <v/>
      </c>
      <c r="AB4774" s="86"/>
      <c r="AD4774" s="100"/>
    </row>
    <row r="4775" spans="6:30" x14ac:dyDescent="0.25">
      <c r="F4775" s="85" t="str">
        <f t="shared" si="22"/>
        <v/>
      </c>
      <c r="AB4775" s="86"/>
      <c r="AD4775" s="100"/>
    </row>
    <row r="4776" spans="6:30" x14ac:dyDescent="0.25">
      <c r="F4776" s="85" t="str">
        <f t="shared" si="22"/>
        <v/>
      </c>
      <c r="AB4776" s="86"/>
      <c r="AD4776" s="100"/>
    </row>
    <row r="4777" spans="6:30" x14ac:dyDescent="0.25">
      <c r="F4777" s="85" t="str">
        <f t="shared" si="22"/>
        <v/>
      </c>
      <c r="AB4777" s="86"/>
      <c r="AD4777" s="100"/>
    </row>
    <row r="4778" spans="6:30" x14ac:dyDescent="0.25">
      <c r="F4778" s="85" t="str">
        <f t="shared" si="22"/>
        <v/>
      </c>
      <c r="AB4778" s="86"/>
      <c r="AD4778" s="100"/>
    </row>
    <row r="4779" spans="6:30" x14ac:dyDescent="0.25">
      <c r="F4779" s="85" t="str">
        <f t="shared" si="22"/>
        <v/>
      </c>
      <c r="AB4779" s="86"/>
      <c r="AD4779" s="100"/>
    </row>
    <row r="4780" spans="6:30" x14ac:dyDescent="0.25">
      <c r="F4780" s="85" t="str">
        <f t="shared" si="22"/>
        <v/>
      </c>
      <c r="AB4780" s="86"/>
      <c r="AD4780" s="100"/>
    </row>
    <row r="4781" spans="6:30" x14ac:dyDescent="0.25">
      <c r="F4781" s="85" t="str">
        <f t="shared" si="22"/>
        <v/>
      </c>
      <c r="AB4781" s="86"/>
      <c r="AD4781" s="100"/>
    </row>
    <row r="4782" spans="6:30" x14ac:dyDescent="0.25">
      <c r="F4782" s="85" t="str">
        <f t="shared" si="22"/>
        <v/>
      </c>
      <c r="AB4782" s="86"/>
      <c r="AD4782" s="100"/>
    </row>
    <row r="4783" spans="6:30" x14ac:dyDescent="0.25">
      <c r="F4783" s="85" t="str">
        <f t="shared" si="22"/>
        <v/>
      </c>
      <c r="AB4783" s="86"/>
      <c r="AD4783" s="100"/>
    </row>
    <row r="4784" spans="6:30" x14ac:dyDescent="0.25">
      <c r="F4784" s="85" t="str">
        <f t="shared" si="22"/>
        <v/>
      </c>
      <c r="AB4784" s="86"/>
      <c r="AD4784" s="100"/>
    </row>
    <row r="4785" spans="6:30" x14ac:dyDescent="0.25">
      <c r="F4785" s="85" t="str">
        <f t="shared" si="22"/>
        <v/>
      </c>
      <c r="AB4785" s="86"/>
      <c r="AD4785" s="100"/>
    </row>
    <row r="4786" spans="6:30" x14ac:dyDescent="0.25">
      <c r="F4786" s="85" t="str">
        <f t="shared" si="22"/>
        <v/>
      </c>
      <c r="AB4786" s="86"/>
      <c r="AD4786" s="100"/>
    </row>
    <row r="4787" spans="6:30" x14ac:dyDescent="0.25">
      <c r="F4787" s="85" t="str">
        <f t="shared" si="22"/>
        <v/>
      </c>
      <c r="AB4787" s="86"/>
      <c r="AD4787" s="100"/>
    </row>
    <row r="4788" spans="6:30" x14ac:dyDescent="0.25">
      <c r="F4788" s="85" t="str">
        <f t="shared" si="22"/>
        <v/>
      </c>
      <c r="AB4788" s="86"/>
      <c r="AD4788" s="100"/>
    </row>
    <row r="4789" spans="6:30" x14ac:dyDescent="0.25">
      <c r="F4789" s="85" t="str">
        <f t="shared" si="22"/>
        <v/>
      </c>
      <c r="AB4789" s="86"/>
      <c r="AD4789" s="100"/>
    </row>
    <row r="4790" spans="6:30" x14ac:dyDescent="0.25">
      <c r="F4790" s="85" t="str">
        <f t="shared" si="22"/>
        <v/>
      </c>
      <c r="AB4790" s="86"/>
      <c r="AD4790" s="100"/>
    </row>
    <row r="4791" spans="6:30" x14ac:dyDescent="0.25">
      <c r="F4791" s="85" t="str">
        <f t="shared" si="22"/>
        <v/>
      </c>
      <c r="AB4791" s="86"/>
      <c r="AD4791" s="100"/>
    </row>
    <row r="4792" spans="6:30" x14ac:dyDescent="0.25">
      <c r="F4792" s="85" t="str">
        <f t="shared" si="22"/>
        <v/>
      </c>
      <c r="AB4792" s="86"/>
      <c r="AD4792" s="100"/>
    </row>
    <row r="4793" spans="6:30" x14ac:dyDescent="0.25">
      <c r="F4793" s="85" t="str">
        <f t="shared" si="22"/>
        <v/>
      </c>
      <c r="AB4793" s="86"/>
      <c r="AD4793" s="100"/>
    </row>
    <row r="4794" spans="6:30" x14ac:dyDescent="0.25">
      <c r="F4794" s="85" t="str">
        <f t="shared" si="22"/>
        <v/>
      </c>
      <c r="AB4794" s="86"/>
      <c r="AD4794" s="100"/>
    </row>
    <row r="4795" spans="6:30" x14ac:dyDescent="0.25">
      <c r="F4795" s="85" t="str">
        <f t="shared" si="22"/>
        <v/>
      </c>
      <c r="AB4795" s="86"/>
      <c r="AD4795" s="100"/>
    </row>
    <row r="4796" spans="6:30" x14ac:dyDescent="0.25">
      <c r="F4796" s="85" t="str">
        <f t="shared" si="22"/>
        <v/>
      </c>
      <c r="AB4796" s="86"/>
      <c r="AD4796" s="100"/>
    </row>
    <row r="4797" spans="6:30" x14ac:dyDescent="0.25">
      <c r="F4797" s="85" t="str">
        <f t="shared" si="22"/>
        <v/>
      </c>
      <c r="AB4797" s="86"/>
      <c r="AD4797" s="100"/>
    </row>
    <row r="4798" spans="6:30" x14ac:dyDescent="0.25">
      <c r="F4798" s="85" t="str">
        <f t="shared" si="22"/>
        <v/>
      </c>
      <c r="AB4798" s="86"/>
      <c r="AD4798" s="100"/>
    </row>
    <row r="4799" spans="6:30" x14ac:dyDescent="0.25">
      <c r="F4799" s="85" t="str">
        <f t="shared" si="22"/>
        <v/>
      </c>
      <c r="AB4799" s="86"/>
      <c r="AD4799" s="100"/>
    </row>
    <row r="4800" spans="6:30" x14ac:dyDescent="0.25">
      <c r="F4800" s="85" t="str">
        <f t="shared" si="22"/>
        <v/>
      </c>
      <c r="AB4800" s="86"/>
      <c r="AD4800" s="100"/>
    </row>
    <row r="4801" spans="6:30" x14ac:dyDescent="0.25">
      <c r="F4801" s="85" t="str">
        <f t="shared" si="22"/>
        <v/>
      </c>
      <c r="AB4801" s="86"/>
      <c r="AD4801" s="100"/>
    </row>
    <row r="4802" spans="6:30" x14ac:dyDescent="0.25">
      <c r="F4802" s="85" t="str">
        <f t="shared" si="22"/>
        <v/>
      </c>
      <c r="AB4802" s="86"/>
      <c r="AD4802" s="100"/>
    </row>
    <row r="4803" spans="6:30" x14ac:dyDescent="0.25">
      <c r="F4803" s="85" t="str">
        <f t="shared" ref="F4803:F4866" si="23">IF($A4803="","",CONCATENATE($A4803,"_",$B4803,"_",$C4803))</f>
        <v/>
      </c>
      <c r="AB4803" s="86"/>
      <c r="AD4803" s="100"/>
    </row>
    <row r="4804" spans="6:30" x14ac:dyDescent="0.25">
      <c r="F4804" s="85" t="str">
        <f t="shared" si="23"/>
        <v/>
      </c>
      <c r="AB4804" s="86"/>
      <c r="AD4804" s="100"/>
    </row>
    <row r="4805" spans="6:30" x14ac:dyDescent="0.25">
      <c r="F4805" s="85" t="str">
        <f t="shared" si="23"/>
        <v/>
      </c>
      <c r="AB4805" s="86"/>
      <c r="AD4805" s="100"/>
    </row>
    <row r="4806" spans="6:30" x14ac:dyDescent="0.25">
      <c r="F4806" s="85" t="str">
        <f t="shared" si="23"/>
        <v/>
      </c>
      <c r="AB4806" s="86"/>
      <c r="AD4806" s="100"/>
    </row>
    <row r="4807" spans="6:30" x14ac:dyDescent="0.25">
      <c r="F4807" s="85" t="str">
        <f t="shared" si="23"/>
        <v/>
      </c>
      <c r="AB4807" s="86"/>
      <c r="AD4807" s="100"/>
    </row>
    <row r="4808" spans="6:30" x14ac:dyDescent="0.25">
      <c r="F4808" s="85" t="str">
        <f t="shared" si="23"/>
        <v/>
      </c>
      <c r="AB4808" s="86"/>
      <c r="AD4808" s="100"/>
    </row>
    <row r="4809" spans="6:30" x14ac:dyDescent="0.25">
      <c r="F4809" s="85" t="str">
        <f t="shared" si="23"/>
        <v/>
      </c>
      <c r="AB4809" s="86"/>
      <c r="AD4809" s="100"/>
    </row>
    <row r="4810" spans="6:30" x14ac:dyDescent="0.25">
      <c r="F4810" s="85" t="str">
        <f t="shared" si="23"/>
        <v/>
      </c>
      <c r="AB4810" s="86"/>
      <c r="AD4810" s="100"/>
    </row>
    <row r="4811" spans="6:30" x14ac:dyDescent="0.25">
      <c r="F4811" s="85" t="str">
        <f t="shared" si="23"/>
        <v/>
      </c>
      <c r="AB4811" s="86"/>
      <c r="AD4811" s="100"/>
    </row>
    <row r="4812" spans="6:30" x14ac:dyDescent="0.25">
      <c r="F4812" s="85" t="str">
        <f t="shared" si="23"/>
        <v/>
      </c>
      <c r="AB4812" s="86"/>
      <c r="AD4812" s="100"/>
    </row>
    <row r="4813" spans="6:30" x14ac:dyDescent="0.25">
      <c r="F4813" s="85" t="str">
        <f t="shared" si="23"/>
        <v/>
      </c>
      <c r="AB4813" s="86"/>
      <c r="AD4813" s="100"/>
    </row>
    <row r="4814" spans="6:30" x14ac:dyDescent="0.25">
      <c r="F4814" s="85" t="str">
        <f t="shared" si="23"/>
        <v/>
      </c>
      <c r="AB4814" s="86"/>
      <c r="AD4814" s="100"/>
    </row>
    <row r="4815" spans="6:30" x14ac:dyDescent="0.25">
      <c r="F4815" s="85" t="str">
        <f t="shared" si="23"/>
        <v/>
      </c>
      <c r="AB4815" s="86"/>
      <c r="AD4815" s="100"/>
    </row>
    <row r="4816" spans="6:30" x14ac:dyDescent="0.25">
      <c r="F4816" s="85" t="str">
        <f t="shared" si="23"/>
        <v/>
      </c>
      <c r="AB4816" s="86"/>
      <c r="AD4816" s="100"/>
    </row>
    <row r="4817" spans="6:30" x14ac:dyDescent="0.25">
      <c r="F4817" s="85" t="str">
        <f t="shared" si="23"/>
        <v/>
      </c>
      <c r="AB4817" s="86"/>
      <c r="AD4817" s="100"/>
    </row>
    <row r="4818" spans="6:30" x14ac:dyDescent="0.25">
      <c r="F4818" s="85" t="str">
        <f t="shared" si="23"/>
        <v/>
      </c>
      <c r="AB4818" s="86"/>
      <c r="AD4818" s="100"/>
    </row>
    <row r="4819" spans="6:30" x14ac:dyDescent="0.25">
      <c r="F4819" s="85" t="str">
        <f t="shared" si="23"/>
        <v/>
      </c>
      <c r="AB4819" s="86"/>
      <c r="AD4819" s="100"/>
    </row>
    <row r="4820" spans="6:30" x14ac:dyDescent="0.25">
      <c r="F4820" s="85" t="str">
        <f t="shared" si="23"/>
        <v/>
      </c>
      <c r="AB4820" s="86"/>
      <c r="AD4820" s="100"/>
    </row>
    <row r="4821" spans="6:30" x14ac:dyDescent="0.25">
      <c r="F4821" s="85" t="str">
        <f t="shared" si="23"/>
        <v/>
      </c>
      <c r="AB4821" s="86"/>
      <c r="AD4821" s="100"/>
    </row>
    <row r="4822" spans="6:30" x14ac:dyDescent="0.25">
      <c r="F4822" s="85" t="str">
        <f t="shared" si="23"/>
        <v/>
      </c>
      <c r="AB4822" s="86"/>
      <c r="AD4822" s="100"/>
    </row>
    <row r="4823" spans="6:30" x14ac:dyDescent="0.25">
      <c r="F4823" s="85" t="str">
        <f t="shared" si="23"/>
        <v/>
      </c>
      <c r="AB4823" s="86"/>
      <c r="AD4823" s="100"/>
    </row>
    <row r="4824" spans="6:30" x14ac:dyDescent="0.25">
      <c r="F4824" s="85" t="str">
        <f t="shared" si="23"/>
        <v/>
      </c>
      <c r="AB4824" s="86"/>
      <c r="AD4824" s="100"/>
    </row>
    <row r="4825" spans="6:30" x14ac:dyDescent="0.25">
      <c r="F4825" s="85" t="str">
        <f t="shared" si="23"/>
        <v/>
      </c>
      <c r="AB4825" s="86"/>
      <c r="AD4825" s="100"/>
    </row>
    <row r="4826" spans="6:30" x14ac:dyDescent="0.25">
      <c r="F4826" s="85" t="str">
        <f t="shared" si="23"/>
        <v/>
      </c>
      <c r="AB4826" s="86"/>
      <c r="AD4826" s="100"/>
    </row>
    <row r="4827" spans="6:30" x14ac:dyDescent="0.25">
      <c r="F4827" s="85" t="str">
        <f t="shared" si="23"/>
        <v/>
      </c>
      <c r="AB4827" s="86"/>
      <c r="AD4827" s="100"/>
    </row>
    <row r="4828" spans="6:30" x14ac:dyDescent="0.25">
      <c r="F4828" s="85" t="str">
        <f t="shared" si="23"/>
        <v/>
      </c>
      <c r="AB4828" s="86"/>
      <c r="AD4828" s="100"/>
    </row>
    <row r="4829" spans="6:30" x14ac:dyDescent="0.25">
      <c r="F4829" s="85" t="str">
        <f t="shared" si="23"/>
        <v/>
      </c>
      <c r="AB4829" s="86"/>
      <c r="AD4829" s="100"/>
    </row>
    <row r="4830" spans="6:30" x14ac:dyDescent="0.25">
      <c r="F4830" s="85" t="str">
        <f t="shared" si="23"/>
        <v/>
      </c>
      <c r="AB4830" s="86"/>
      <c r="AD4830" s="100"/>
    </row>
    <row r="4831" spans="6:30" x14ac:dyDescent="0.25">
      <c r="F4831" s="85" t="str">
        <f t="shared" si="23"/>
        <v/>
      </c>
      <c r="AB4831" s="86"/>
      <c r="AD4831" s="100"/>
    </row>
    <row r="4832" spans="6:30" x14ac:dyDescent="0.25">
      <c r="F4832" s="85" t="str">
        <f t="shared" si="23"/>
        <v/>
      </c>
      <c r="AB4832" s="86"/>
      <c r="AD4832" s="100"/>
    </row>
    <row r="4833" spans="6:30" x14ac:dyDescent="0.25">
      <c r="F4833" s="85" t="str">
        <f t="shared" si="23"/>
        <v/>
      </c>
      <c r="AB4833" s="86"/>
      <c r="AD4833" s="100"/>
    </row>
    <row r="4834" spans="6:30" x14ac:dyDescent="0.25">
      <c r="F4834" s="85" t="str">
        <f t="shared" si="23"/>
        <v/>
      </c>
      <c r="AB4834" s="86"/>
      <c r="AD4834" s="100"/>
    </row>
    <row r="4835" spans="6:30" x14ac:dyDescent="0.25">
      <c r="F4835" s="85" t="str">
        <f t="shared" si="23"/>
        <v/>
      </c>
      <c r="AB4835" s="86"/>
      <c r="AD4835" s="100"/>
    </row>
    <row r="4836" spans="6:30" x14ac:dyDescent="0.25">
      <c r="F4836" s="85" t="str">
        <f t="shared" si="23"/>
        <v/>
      </c>
      <c r="AB4836" s="86"/>
      <c r="AD4836" s="100"/>
    </row>
    <row r="4837" spans="6:30" x14ac:dyDescent="0.25">
      <c r="F4837" s="85" t="str">
        <f t="shared" si="23"/>
        <v/>
      </c>
      <c r="AB4837" s="86"/>
      <c r="AD4837" s="100"/>
    </row>
    <row r="4838" spans="6:30" x14ac:dyDescent="0.25">
      <c r="F4838" s="85" t="str">
        <f t="shared" si="23"/>
        <v/>
      </c>
      <c r="AB4838" s="86"/>
      <c r="AD4838" s="100"/>
    </row>
    <row r="4839" spans="6:30" x14ac:dyDescent="0.25">
      <c r="F4839" s="85" t="str">
        <f t="shared" si="23"/>
        <v/>
      </c>
      <c r="AB4839" s="86"/>
      <c r="AD4839" s="100"/>
    </row>
    <row r="4840" spans="6:30" x14ac:dyDescent="0.25">
      <c r="F4840" s="85" t="str">
        <f t="shared" si="23"/>
        <v/>
      </c>
      <c r="AB4840" s="86"/>
      <c r="AD4840" s="100"/>
    </row>
    <row r="4841" spans="6:30" x14ac:dyDescent="0.25">
      <c r="F4841" s="85" t="str">
        <f t="shared" si="23"/>
        <v/>
      </c>
      <c r="AB4841" s="86"/>
      <c r="AD4841" s="100"/>
    </row>
    <row r="4842" spans="6:30" x14ac:dyDescent="0.25">
      <c r="F4842" s="85" t="str">
        <f t="shared" si="23"/>
        <v/>
      </c>
      <c r="AB4842" s="86"/>
      <c r="AD4842" s="100"/>
    </row>
    <row r="4843" spans="6:30" x14ac:dyDescent="0.25">
      <c r="F4843" s="85" t="str">
        <f t="shared" si="23"/>
        <v/>
      </c>
      <c r="AB4843" s="86"/>
    </row>
    <row r="4844" spans="6:30" x14ac:dyDescent="0.25">
      <c r="F4844" s="85" t="str">
        <f t="shared" si="23"/>
        <v/>
      </c>
      <c r="AB4844" s="86"/>
      <c r="AD4844" s="100"/>
    </row>
    <row r="4845" spans="6:30" x14ac:dyDescent="0.25">
      <c r="F4845" s="85" t="str">
        <f t="shared" si="23"/>
        <v/>
      </c>
      <c r="AB4845" s="86"/>
      <c r="AD4845" s="100"/>
    </row>
    <row r="4846" spans="6:30" x14ac:dyDescent="0.25">
      <c r="F4846" s="85" t="str">
        <f t="shared" si="23"/>
        <v/>
      </c>
      <c r="AB4846" s="86"/>
      <c r="AD4846" s="100"/>
    </row>
    <row r="4847" spans="6:30" x14ac:dyDescent="0.25">
      <c r="F4847" s="85" t="str">
        <f t="shared" si="23"/>
        <v/>
      </c>
      <c r="AB4847" s="86"/>
      <c r="AD4847" s="100"/>
    </row>
    <row r="4848" spans="6:30" x14ac:dyDescent="0.25">
      <c r="F4848" s="85" t="str">
        <f t="shared" si="23"/>
        <v/>
      </c>
      <c r="AB4848" s="86"/>
      <c r="AD4848" s="100"/>
    </row>
    <row r="4849" spans="6:30" x14ac:dyDescent="0.25">
      <c r="F4849" s="85" t="str">
        <f t="shared" si="23"/>
        <v/>
      </c>
      <c r="AB4849" s="86"/>
      <c r="AD4849" s="100"/>
    </row>
    <row r="4850" spans="6:30" x14ac:dyDescent="0.25">
      <c r="F4850" s="85" t="str">
        <f t="shared" si="23"/>
        <v/>
      </c>
      <c r="AB4850" s="86"/>
      <c r="AD4850" s="100"/>
    </row>
    <row r="4851" spans="6:30" x14ac:dyDescent="0.25">
      <c r="F4851" s="85" t="str">
        <f t="shared" si="23"/>
        <v/>
      </c>
      <c r="AB4851" s="86"/>
      <c r="AD4851" s="100"/>
    </row>
    <row r="4852" spans="6:30" x14ac:dyDescent="0.25">
      <c r="F4852" s="85" t="str">
        <f t="shared" si="23"/>
        <v/>
      </c>
      <c r="AB4852" s="86"/>
      <c r="AD4852" s="100"/>
    </row>
    <row r="4853" spans="6:30" x14ac:dyDescent="0.25">
      <c r="F4853" s="85" t="str">
        <f t="shared" si="23"/>
        <v/>
      </c>
      <c r="AB4853" s="86"/>
      <c r="AD4853" s="100"/>
    </row>
    <row r="4854" spans="6:30" x14ac:dyDescent="0.25">
      <c r="F4854" s="85" t="str">
        <f t="shared" si="23"/>
        <v/>
      </c>
      <c r="AB4854" s="86"/>
      <c r="AD4854" s="100"/>
    </row>
    <row r="4855" spans="6:30" x14ac:dyDescent="0.25">
      <c r="F4855" s="85" t="str">
        <f t="shared" si="23"/>
        <v/>
      </c>
      <c r="AB4855" s="86"/>
      <c r="AD4855" s="100"/>
    </row>
    <row r="4856" spans="6:30" x14ac:dyDescent="0.25">
      <c r="F4856" s="85" t="str">
        <f t="shared" si="23"/>
        <v/>
      </c>
      <c r="AB4856" s="86"/>
      <c r="AD4856" s="100"/>
    </row>
    <row r="4857" spans="6:30" x14ac:dyDescent="0.25">
      <c r="F4857" s="85" t="str">
        <f t="shared" si="23"/>
        <v/>
      </c>
      <c r="AB4857" s="86"/>
      <c r="AD4857" s="100"/>
    </row>
    <row r="4858" spans="6:30" x14ac:dyDescent="0.25">
      <c r="F4858" s="85" t="str">
        <f t="shared" si="23"/>
        <v/>
      </c>
      <c r="AB4858" s="86"/>
      <c r="AD4858" s="100"/>
    </row>
    <row r="4859" spans="6:30" x14ac:dyDescent="0.25">
      <c r="F4859" s="85" t="str">
        <f t="shared" si="23"/>
        <v/>
      </c>
      <c r="AB4859" s="86"/>
      <c r="AD4859" s="100"/>
    </row>
    <row r="4860" spans="6:30" x14ac:dyDescent="0.25">
      <c r="F4860" s="85" t="str">
        <f t="shared" si="23"/>
        <v/>
      </c>
      <c r="AB4860" s="86"/>
      <c r="AD4860" s="100"/>
    </row>
    <row r="4861" spans="6:30" x14ac:dyDescent="0.25">
      <c r="F4861" s="85" t="str">
        <f t="shared" si="23"/>
        <v/>
      </c>
      <c r="AB4861" s="86"/>
      <c r="AD4861" s="100"/>
    </row>
    <row r="4862" spans="6:30" x14ac:dyDescent="0.25">
      <c r="F4862" s="85" t="str">
        <f t="shared" si="23"/>
        <v/>
      </c>
      <c r="AB4862" s="86"/>
      <c r="AD4862" s="100"/>
    </row>
    <row r="4863" spans="6:30" x14ac:dyDescent="0.25">
      <c r="F4863" s="85" t="str">
        <f t="shared" si="23"/>
        <v/>
      </c>
      <c r="AB4863" s="86"/>
      <c r="AD4863" s="100"/>
    </row>
    <row r="4864" spans="6:30" x14ac:dyDescent="0.25">
      <c r="F4864" s="85" t="str">
        <f t="shared" si="23"/>
        <v/>
      </c>
      <c r="AB4864" s="86"/>
      <c r="AD4864" s="100"/>
    </row>
    <row r="4865" spans="6:30" x14ac:dyDescent="0.25">
      <c r="F4865" s="85" t="str">
        <f t="shared" si="23"/>
        <v/>
      </c>
      <c r="AB4865" s="86"/>
      <c r="AD4865" s="100"/>
    </row>
    <row r="4866" spans="6:30" x14ac:dyDescent="0.25">
      <c r="F4866" s="85" t="str">
        <f t="shared" si="23"/>
        <v/>
      </c>
      <c r="AB4866" s="86"/>
      <c r="AD4866" s="100"/>
    </row>
    <row r="4867" spans="6:30" x14ac:dyDescent="0.25">
      <c r="F4867" s="85" t="str">
        <f t="shared" ref="F4867:F4930" si="24">IF($A4867="","",CONCATENATE($A4867,"_",$B4867,"_",$C4867))</f>
        <v/>
      </c>
      <c r="AB4867" s="86"/>
      <c r="AD4867" s="100"/>
    </row>
    <row r="4868" spans="6:30" x14ac:dyDescent="0.25">
      <c r="F4868" s="85" t="str">
        <f t="shared" si="24"/>
        <v/>
      </c>
      <c r="AB4868" s="86"/>
      <c r="AD4868" s="100"/>
    </row>
    <row r="4869" spans="6:30" x14ac:dyDescent="0.25">
      <c r="F4869" s="85" t="str">
        <f t="shared" si="24"/>
        <v/>
      </c>
      <c r="AB4869" s="86"/>
      <c r="AD4869" s="100"/>
    </row>
    <row r="4870" spans="6:30" x14ac:dyDescent="0.25">
      <c r="F4870" s="85" t="str">
        <f t="shared" si="24"/>
        <v/>
      </c>
      <c r="AB4870" s="86"/>
      <c r="AD4870" s="100"/>
    </row>
    <row r="4871" spans="6:30" x14ac:dyDescent="0.25">
      <c r="F4871" s="85" t="str">
        <f t="shared" si="24"/>
        <v/>
      </c>
      <c r="AB4871" s="86"/>
      <c r="AD4871" s="100"/>
    </row>
    <row r="4872" spans="6:30" x14ac:dyDescent="0.25">
      <c r="F4872" s="85" t="str">
        <f t="shared" si="24"/>
        <v/>
      </c>
      <c r="AB4872" s="86"/>
      <c r="AD4872" s="100"/>
    </row>
    <row r="4873" spans="6:30" x14ac:dyDescent="0.25">
      <c r="F4873" s="85" t="str">
        <f t="shared" si="24"/>
        <v/>
      </c>
      <c r="AB4873" s="86"/>
      <c r="AD4873" s="100"/>
    </row>
    <row r="4874" spans="6:30" x14ac:dyDescent="0.25">
      <c r="F4874" s="85" t="str">
        <f t="shared" si="24"/>
        <v/>
      </c>
      <c r="AB4874" s="86"/>
      <c r="AD4874" s="100"/>
    </row>
    <row r="4875" spans="6:30" x14ac:dyDescent="0.25">
      <c r="F4875" s="85" t="str">
        <f t="shared" si="24"/>
        <v/>
      </c>
      <c r="AB4875" s="86"/>
      <c r="AD4875" s="100"/>
    </row>
    <row r="4876" spans="6:30" x14ac:dyDescent="0.25">
      <c r="F4876" s="85" t="str">
        <f t="shared" si="24"/>
        <v/>
      </c>
      <c r="AB4876" s="86"/>
      <c r="AD4876" s="100"/>
    </row>
    <row r="4877" spans="6:30" x14ac:dyDescent="0.25">
      <c r="F4877" s="85" t="str">
        <f t="shared" si="24"/>
        <v/>
      </c>
      <c r="AB4877" s="86"/>
      <c r="AD4877" s="100"/>
    </row>
    <row r="4878" spans="6:30" x14ac:dyDescent="0.25">
      <c r="F4878" s="85" t="str">
        <f t="shared" si="24"/>
        <v/>
      </c>
      <c r="AB4878" s="86"/>
      <c r="AD4878" s="100"/>
    </row>
    <row r="4879" spans="6:30" x14ac:dyDescent="0.25">
      <c r="F4879" s="85" t="str">
        <f t="shared" si="24"/>
        <v/>
      </c>
      <c r="AB4879" s="86"/>
      <c r="AD4879" s="100"/>
    </row>
    <row r="4880" spans="6:30" x14ac:dyDescent="0.25">
      <c r="F4880" s="85" t="str">
        <f t="shared" si="24"/>
        <v/>
      </c>
      <c r="AB4880" s="86"/>
      <c r="AD4880" s="100"/>
    </row>
    <row r="4881" spans="6:30" x14ac:dyDescent="0.25">
      <c r="F4881" s="85" t="str">
        <f t="shared" si="24"/>
        <v/>
      </c>
      <c r="AB4881" s="86"/>
      <c r="AD4881" s="100"/>
    </row>
    <row r="4882" spans="6:30" x14ac:dyDescent="0.25">
      <c r="F4882" s="85" t="str">
        <f t="shared" si="24"/>
        <v/>
      </c>
      <c r="AB4882" s="86"/>
      <c r="AD4882" s="100"/>
    </row>
    <row r="4883" spans="6:30" x14ac:dyDescent="0.25">
      <c r="F4883" s="85" t="str">
        <f t="shared" si="24"/>
        <v/>
      </c>
      <c r="AB4883" s="86"/>
      <c r="AD4883" s="100"/>
    </row>
    <row r="4884" spans="6:30" x14ac:dyDescent="0.25">
      <c r="F4884" s="85" t="str">
        <f t="shared" si="24"/>
        <v/>
      </c>
      <c r="AB4884" s="86"/>
      <c r="AD4884" s="100"/>
    </row>
    <row r="4885" spans="6:30" x14ac:dyDescent="0.25">
      <c r="F4885" s="85" t="str">
        <f t="shared" si="24"/>
        <v/>
      </c>
      <c r="AB4885" s="86"/>
      <c r="AD4885" s="100"/>
    </row>
    <row r="4886" spans="6:30" x14ac:dyDescent="0.25">
      <c r="F4886" s="85" t="str">
        <f t="shared" si="24"/>
        <v/>
      </c>
      <c r="AB4886" s="86"/>
      <c r="AD4886" s="100"/>
    </row>
    <row r="4887" spans="6:30" x14ac:dyDescent="0.25">
      <c r="F4887" s="85" t="str">
        <f t="shared" si="24"/>
        <v/>
      </c>
      <c r="AB4887" s="86"/>
      <c r="AD4887" s="100"/>
    </row>
    <row r="4888" spans="6:30" x14ac:dyDescent="0.25">
      <c r="F4888" s="85" t="str">
        <f t="shared" si="24"/>
        <v/>
      </c>
      <c r="AB4888" s="86"/>
      <c r="AD4888" s="100"/>
    </row>
    <row r="4889" spans="6:30" x14ac:dyDescent="0.25">
      <c r="F4889" s="85" t="str">
        <f t="shared" si="24"/>
        <v/>
      </c>
      <c r="AB4889" s="86"/>
      <c r="AD4889" s="100"/>
    </row>
    <row r="4890" spans="6:30" x14ac:dyDescent="0.25">
      <c r="F4890" s="85" t="str">
        <f t="shared" si="24"/>
        <v/>
      </c>
      <c r="AB4890" s="86"/>
      <c r="AD4890" s="100"/>
    </row>
    <row r="4891" spans="6:30" x14ac:dyDescent="0.25">
      <c r="F4891" s="85" t="str">
        <f t="shared" si="24"/>
        <v/>
      </c>
      <c r="AB4891" s="86"/>
      <c r="AD4891" s="100"/>
    </row>
    <row r="4892" spans="6:30" x14ac:dyDescent="0.25">
      <c r="F4892" s="85" t="str">
        <f t="shared" si="24"/>
        <v/>
      </c>
      <c r="AB4892" s="86"/>
      <c r="AD4892" s="100"/>
    </row>
    <row r="4893" spans="6:30" x14ac:dyDescent="0.25">
      <c r="F4893" s="85" t="str">
        <f t="shared" si="24"/>
        <v/>
      </c>
      <c r="AB4893" s="86"/>
      <c r="AD4893" s="100"/>
    </row>
    <row r="4894" spans="6:30" x14ac:dyDescent="0.25">
      <c r="F4894" s="85" t="str">
        <f t="shared" si="24"/>
        <v/>
      </c>
      <c r="AB4894" s="86"/>
      <c r="AD4894" s="100"/>
    </row>
    <row r="4895" spans="6:30" x14ac:dyDescent="0.25">
      <c r="F4895" s="85" t="str">
        <f t="shared" si="24"/>
        <v/>
      </c>
      <c r="AB4895" s="86"/>
      <c r="AD4895" s="100"/>
    </row>
    <row r="4896" spans="6:30" x14ac:dyDescent="0.25">
      <c r="F4896" s="85" t="str">
        <f t="shared" si="24"/>
        <v/>
      </c>
      <c r="AB4896" s="86"/>
      <c r="AD4896" s="100"/>
    </row>
    <row r="4897" spans="6:30" x14ac:dyDescent="0.25">
      <c r="F4897" s="85" t="str">
        <f t="shared" si="24"/>
        <v/>
      </c>
      <c r="AB4897" s="86"/>
      <c r="AD4897" s="100"/>
    </row>
    <row r="4898" spans="6:30" x14ac:dyDescent="0.25">
      <c r="F4898" s="85" t="str">
        <f t="shared" si="24"/>
        <v/>
      </c>
      <c r="AB4898" s="86"/>
      <c r="AD4898" s="100"/>
    </row>
    <row r="4899" spans="6:30" x14ac:dyDescent="0.25">
      <c r="F4899" s="85" t="str">
        <f t="shared" si="24"/>
        <v/>
      </c>
      <c r="AB4899" s="86"/>
      <c r="AD4899" s="100"/>
    </row>
    <row r="4900" spans="6:30" x14ac:dyDescent="0.25">
      <c r="F4900" s="85" t="str">
        <f t="shared" si="24"/>
        <v/>
      </c>
      <c r="AB4900" s="86"/>
      <c r="AD4900" s="100"/>
    </row>
    <row r="4901" spans="6:30" x14ac:dyDescent="0.25">
      <c r="F4901" s="85" t="str">
        <f t="shared" si="24"/>
        <v/>
      </c>
      <c r="AB4901" s="86"/>
      <c r="AD4901" s="100"/>
    </row>
    <row r="4902" spans="6:30" x14ac:dyDescent="0.25">
      <c r="F4902" s="85" t="str">
        <f t="shared" si="24"/>
        <v/>
      </c>
      <c r="AB4902" s="86"/>
      <c r="AD4902" s="100"/>
    </row>
    <row r="4903" spans="6:30" x14ac:dyDescent="0.25">
      <c r="F4903" s="85" t="str">
        <f t="shared" si="24"/>
        <v/>
      </c>
      <c r="AB4903" s="86"/>
      <c r="AD4903" s="100"/>
    </row>
    <row r="4904" spans="6:30" x14ac:dyDescent="0.25">
      <c r="F4904" s="85" t="str">
        <f t="shared" si="24"/>
        <v/>
      </c>
      <c r="AB4904" s="86"/>
      <c r="AD4904" s="100"/>
    </row>
    <row r="4905" spans="6:30" x14ac:dyDescent="0.25">
      <c r="F4905" s="85" t="str">
        <f t="shared" si="24"/>
        <v/>
      </c>
      <c r="AB4905" s="86"/>
      <c r="AD4905" s="100"/>
    </row>
    <row r="4906" spans="6:30" x14ac:dyDescent="0.25">
      <c r="F4906" s="85" t="str">
        <f t="shared" si="24"/>
        <v/>
      </c>
      <c r="AB4906" s="86"/>
      <c r="AD4906" s="100"/>
    </row>
    <row r="4907" spans="6:30" x14ac:dyDescent="0.25">
      <c r="F4907" s="85" t="str">
        <f t="shared" si="24"/>
        <v/>
      </c>
      <c r="AB4907" s="86"/>
      <c r="AD4907" s="100"/>
    </row>
    <row r="4908" spans="6:30" x14ac:dyDescent="0.25">
      <c r="F4908" s="85" t="str">
        <f t="shared" si="24"/>
        <v/>
      </c>
      <c r="AB4908" s="86"/>
      <c r="AD4908" s="100"/>
    </row>
    <row r="4909" spans="6:30" x14ac:dyDescent="0.25">
      <c r="F4909" s="85" t="str">
        <f t="shared" si="24"/>
        <v/>
      </c>
      <c r="AB4909" s="86"/>
      <c r="AD4909" s="100"/>
    </row>
    <row r="4910" spans="6:30" x14ac:dyDescent="0.25">
      <c r="F4910" s="85" t="str">
        <f t="shared" si="24"/>
        <v/>
      </c>
      <c r="AB4910" s="86"/>
      <c r="AD4910" s="100"/>
    </row>
    <row r="4911" spans="6:30" x14ac:dyDescent="0.25">
      <c r="F4911" s="85" t="str">
        <f t="shared" si="24"/>
        <v/>
      </c>
      <c r="AB4911" s="86"/>
      <c r="AD4911" s="100"/>
    </row>
    <row r="4912" spans="6:30" x14ac:dyDescent="0.25">
      <c r="F4912" s="85" t="str">
        <f t="shared" si="24"/>
        <v/>
      </c>
      <c r="AB4912" s="86"/>
      <c r="AD4912" s="100"/>
    </row>
    <row r="4913" spans="6:30" x14ac:dyDescent="0.25">
      <c r="F4913" s="85" t="str">
        <f t="shared" si="24"/>
        <v/>
      </c>
      <c r="AB4913" s="86"/>
      <c r="AD4913" s="100"/>
    </row>
    <row r="4914" spans="6:30" x14ac:dyDescent="0.25">
      <c r="F4914" s="85" t="str">
        <f t="shared" si="24"/>
        <v/>
      </c>
      <c r="AB4914" s="86"/>
      <c r="AD4914" s="100"/>
    </row>
    <row r="4915" spans="6:30" x14ac:dyDescent="0.25">
      <c r="F4915" s="85" t="str">
        <f t="shared" si="24"/>
        <v/>
      </c>
      <c r="AB4915" s="86"/>
      <c r="AD4915" s="100"/>
    </row>
    <row r="4916" spans="6:30" x14ac:dyDescent="0.25">
      <c r="F4916" s="85" t="str">
        <f t="shared" si="24"/>
        <v/>
      </c>
      <c r="AB4916" s="86"/>
      <c r="AD4916" s="100"/>
    </row>
    <row r="4917" spans="6:30" x14ac:dyDescent="0.25">
      <c r="F4917" s="85" t="str">
        <f t="shared" si="24"/>
        <v/>
      </c>
      <c r="AB4917" s="86"/>
      <c r="AD4917" s="100"/>
    </row>
    <row r="4918" spans="6:30" x14ac:dyDescent="0.25">
      <c r="F4918" s="85" t="str">
        <f t="shared" si="24"/>
        <v/>
      </c>
      <c r="AB4918" s="86"/>
      <c r="AD4918" s="100"/>
    </row>
    <row r="4919" spans="6:30" x14ac:dyDescent="0.25">
      <c r="F4919" s="85" t="str">
        <f t="shared" si="24"/>
        <v/>
      </c>
      <c r="AB4919" s="86"/>
      <c r="AD4919" s="100"/>
    </row>
    <row r="4920" spans="6:30" x14ac:dyDescent="0.25">
      <c r="F4920" s="85" t="str">
        <f t="shared" si="24"/>
        <v/>
      </c>
      <c r="AB4920" s="86"/>
      <c r="AD4920" s="100"/>
    </row>
    <row r="4921" spans="6:30" x14ac:dyDescent="0.25">
      <c r="F4921" s="85" t="str">
        <f t="shared" si="24"/>
        <v/>
      </c>
      <c r="AB4921" s="86"/>
      <c r="AD4921" s="100"/>
    </row>
    <row r="4922" spans="6:30" x14ac:dyDescent="0.25">
      <c r="F4922" s="85" t="str">
        <f t="shared" si="24"/>
        <v/>
      </c>
      <c r="AB4922" s="86"/>
      <c r="AD4922" s="100"/>
    </row>
    <row r="4923" spans="6:30" x14ac:dyDescent="0.25">
      <c r="F4923" s="85" t="str">
        <f t="shared" si="24"/>
        <v/>
      </c>
      <c r="AB4923" s="86"/>
      <c r="AD4923" s="100"/>
    </row>
    <row r="4924" spans="6:30" x14ac:dyDescent="0.25">
      <c r="F4924" s="85" t="str">
        <f t="shared" si="24"/>
        <v/>
      </c>
      <c r="AB4924" s="86"/>
      <c r="AD4924" s="100"/>
    </row>
    <row r="4925" spans="6:30" x14ac:dyDescent="0.25">
      <c r="F4925" s="85" t="str">
        <f t="shared" si="24"/>
        <v/>
      </c>
      <c r="AB4925" s="86"/>
      <c r="AD4925" s="100"/>
    </row>
    <row r="4926" spans="6:30" x14ac:dyDescent="0.25">
      <c r="F4926" s="85" t="str">
        <f t="shared" si="24"/>
        <v/>
      </c>
      <c r="AB4926" s="86"/>
      <c r="AD4926" s="100"/>
    </row>
    <row r="4927" spans="6:30" x14ac:dyDescent="0.25">
      <c r="F4927" s="85" t="str">
        <f t="shared" si="24"/>
        <v/>
      </c>
      <c r="AB4927" s="86"/>
      <c r="AD4927" s="100"/>
    </row>
    <row r="4928" spans="6:30" x14ac:dyDescent="0.25">
      <c r="F4928" s="85" t="str">
        <f t="shared" si="24"/>
        <v/>
      </c>
      <c r="AB4928" s="86"/>
      <c r="AD4928" s="100"/>
    </row>
    <row r="4929" spans="6:30" x14ac:dyDescent="0.25">
      <c r="F4929" s="85" t="str">
        <f t="shared" si="24"/>
        <v/>
      </c>
      <c r="AB4929" s="86"/>
      <c r="AD4929" s="100"/>
    </row>
    <row r="4930" spans="6:30" x14ac:dyDescent="0.25">
      <c r="F4930" s="85" t="str">
        <f t="shared" si="24"/>
        <v/>
      </c>
      <c r="AB4930" s="86"/>
      <c r="AD4930" s="100"/>
    </row>
    <row r="4931" spans="6:30" x14ac:dyDescent="0.25">
      <c r="F4931" s="85" t="str">
        <f t="shared" ref="F4931:F4994" si="25">IF($A4931="","",CONCATENATE($A4931,"_",$B4931,"_",$C4931))</f>
        <v/>
      </c>
      <c r="AB4931" s="86"/>
      <c r="AD4931" s="100"/>
    </row>
    <row r="4932" spans="6:30" x14ac:dyDescent="0.25">
      <c r="F4932" s="85" t="str">
        <f t="shared" si="25"/>
        <v/>
      </c>
      <c r="AB4932" s="86"/>
      <c r="AD4932" s="100"/>
    </row>
    <row r="4933" spans="6:30" x14ac:dyDescent="0.25">
      <c r="F4933" s="85" t="str">
        <f t="shared" si="25"/>
        <v/>
      </c>
      <c r="AB4933" s="86"/>
      <c r="AD4933" s="100"/>
    </row>
    <row r="4934" spans="6:30" x14ac:dyDescent="0.25">
      <c r="F4934" s="85" t="str">
        <f t="shared" si="25"/>
        <v/>
      </c>
      <c r="AB4934" s="86"/>
      <c r="AD4934" s="100"/>
    </row>
    <row r="4935" spans="6:30" x14ac:dyDescent="0.25">
      <c r="F4935" s="85" t="str">
        <f t="shared" si="25"/>
        <v/>
      </c>
      <c r="AB4935" s="86"/>
      <c r="AD4935" s="100"/>
    </row>
    <row r="4936" spans="6:30" x14ac:dyDescent="0.25">
      <c r="F4936" s="85" t="str">
        <f t="shared" si="25"/>
        <v/>
      </c>
      <c r="AB4936" s="86"/>
      <c r="AD4936" s="100"/>
    </row>
    <row r="4937" spans="6:30" x14ac:dyDescent="0.25">
      <c r="F4937" s="85" t="str">
        <f t="shared" si="25"/>
        <v/>
      </c>
      <c r="AB4937" s="86"/>
      <c r="AD4937" s="100"/>
    </row>
    <row r="4938" spans="6:30" x14ac:dyDescent="0.25">
      <c r="F4938" s="85" t="str">
        <f t="shared" si="25"/>
        <v/>
      </c>
      <c r="AB4938" s="86"/>
      <c r="AD4938" s="100"/>
    </row>
    <row r="4939" spans="6:30" x14ac:dyDescent="0.25">
      <c r="F4939" s="85" t="str">
        <f t="shared" si="25"/>
        <v/>
      </c>
      <c r="AB4939" s="86"/>
      <c r="AD4939" s="100"/>
    </row>
    <row r="4940" spans="6:30" x14ac:dyDescent="0.25">
      <c r="F4940" s="85" t="str">
        <f t="shared" si="25"/>
        <v/>
      </c>
      <c r="AB4940" s="86"/>
      <c r="AD4940" s="100"/>
    </row>
    <row r="4941" spans="6:30" x14ac:dyDescent="0.25">
      <c r="F4941" s="85" t="str">
        <f t="shared" si="25"/>
        <v/>
      </c>
      <c r="AB4941" s="86"/>
      <c r="AD4941" s="100"/>
    </row>
    <row r="4942" spans="6:30" x14ac:dyDescent="0.25">
      <c r="F4942" s="85" t="str">
        <f t="shared" si="25"/>
        <v/>
      </c>
      <c r="AB4942" s="86"/>
      <c r="AD4942" s="100"/>
    </row>
    <row r="4943" spans="6:30" x14ac:dyDescent="0.25">
      <c r="F4943" s="85" t="str">
        <f t="shared" si="25"/>
        <v/>
      </c>
      <c r="AB4943" s="86"/>
      <c r="AD4943" s="100"/>
    </row>
    <row r="4944" spans="6:30" x14ac:dyDescent="0.25">
      <c r="F4944" s="85" t="str">
        <f t="shared" si="25"/>
        <v/>
      </c>
      <c r="AB4944" s="86"/>
      <c r="AD4944" s="100"/>
    </row>
    <row r="4945" spans="6:30" x14ac:dyDescent="0.25">
      <c r="F4945" s="85" t="str">
        <f t="shared" si="25"/>
        <v/>
      </c>
      <c r="AB4945" s="86"/>
      <c r="AD4945" s="100"/>
    </row>
    <row r="4946" spans="6:30" x14ac:dyDescent="0.25">
      <c r="F4946" s="85" t="str">
        <f t="shared" si="25"/>
        <v/>
      </c>
      <c r="AB4946" s="86"/>
      <c r="AD4946" s="100"/>
    </row>
    <row r="4947" spans="6:30" x14ac:dyDescent="0.25">
      <c r="F4947" s="85" t="str">
        <f t="shared" si="25"/>
        <v/>
      </c>
      <c r="AB4947" s="86"/>
      <c r="AD4947" s="100"/>
    </row>
    <row r="4948" spans="6:30" x14ac:dyDescent="0.25">
      <c r="F4948" s="85" t="str">
        <f t="shared" si="25"/>
        <v/>
      </c>
      <c r="AB4948" s="86"/>
      <c r="AD4948" s="100"/>
    </row>
    <row r="4949" spans="6:30" x14ac:dyDescent="0.25">
      <c r="F4949" s="85" t="str">
        <f t="shared" si="25"/>
        <v/>
      </c>
      <c r="AB4949" s="86"/>
      <c r="AD4949" s="100"/>
    </row>
    <row r="4950" spans="6:30" x14ac:dyDescent="0.25">
      <c r="F4950" s="85" t="str">
        <f t="shared" si="25"/>
        <v/>
      </c>
      <c r="AB4950" s="86"/>
      <c r="AD4950" s="100"/>
    </row>
    <row r="4951" spans="6:30" x14ac:dyDescent="0.25">
      <c r="F4951" s="85" t="str">
        <f t="shared" si="25"/>
        <v/>
      </c>
      <c r="AB4951" s="86"/>
      <c r="AD4951" s="100"/>
    </row>
    <row r="4952" spans="6:30" x14ac:dyDescent="0.25">
      <c r="F4952" s="85" t="str">
        <f t="shared" si="25"/>
        <v/>
      </c>
      <c r="AB4952" s="86"/>
      <c r="AD4952" s="100"/>
    </row>
    <row r="4953" spans="6:30" x14ac:dyDescent="0.25">
      <c r="F4953" s="85" t="str">
        <f t="shared" si="25"/>
        <v/>
      </c>
      <c r="AB4953" s="86"/>
      <c r="AD4953" s="100"/>
    </row>
    <row r="4954" spans="6:30" x14ac:dyDescent="0.25">
      <c r="F4954" s="85" t="str">
        <f t="shared" si="25"/>
        <v/>
      </c>
      <c r="AB4954" s="86"/>
      <c r="AD4954" s="100"/>
    </row>
    <row r="4955" spans="6:30" x14ac:dyDescent="0.25">
      <c r="F4955" s="85" t="str">
        <f t="shared" si="25"/>
        <v/>
      </c>
      <c r="AB4955" s="86"/>
      <c r="AD4955" s="100"/>
    </row>
    <row r="4956" spans="6:30" x14ac:dyDescent="0.25">
      <c r="F4956" s="85" t="str">
        <f t="shared" si="25"/>
        <v/>
      </c>
      <c r="AB4956" s="86"/>
      <c r="AD4956" s="100"/>
    </row>
    <row r="4957" spans="6:30" x14ac:dyDescent="0.25">
      <c r="F4957" s="85" t="str">
        <f t="shared" si="25"/>
        <v/>
      </c>
      <c r="AB4957" s="86"/>
      <c r="AD4957" s="100"/>
    </row>
    <row r="4958" spans="6:30" x14ac:dyDescent="0.25">
      <c r="F4958" s="85" t="str">
        <f t="shared" si="25"/>
        <v/>
      </c>
      <c r="AB4958" s="86"/>
      <c r="AD4958" s="100"/>
    </row>
    <row r="4959" spans="6:30" x14ac:dyDescent="0.25">
      <c r="F4959" s="85" t="str">
        <f t="shared" si="25"/>
        <v/>
      </c>
      <c r="AB4959" s="86"/>
      <c r="AD4959" s="100"/>
    </row>
    <row r="4960" spans="6:30" x14ac:dyDescent="0.25">
      <c r="F4960" s="85" t="str">
        <f t="shared" si="25"/>
        <v/>
      </c>
      <c r="AB4960" s="86"/>
      <c r="AD4960" s="100"/>
    </row>
    <row r="4961" spans="6:30" x14ac:dyDescent="0.25">
      <c r="F4961" s="85" t="str">
        <f t="shared" si="25"/>
        <v/>
      </c>
      <c r="AB4961" s="86"/>
      <c r="AD4961" s="100"/>
    </row>
    <row r="4962" spans="6:30" x14ac:dyDescent="0.25">
      <c r="F4962" s="85" t="str">
        <f t="shared" si="25"/>
        <v/>
      </c>
      <c r="AB4962" s="86"/>
      <c r="AD4962" s="100"/>
    </row>
    <row r="4963" spans="6:30" x14ac:dyDescent="0.25">
      <c r="F4963" s="85" t="str">
        <f t="shared" si="25"/>
        <v/>
      </c>
      <c r="AB4963" s="86"/>
      <c r="AD4963" s="100"/>
    </row>
    <row r="4964" spans="6:30" x14ac:dyDescent="0.25">
      <c r="F4964" s="85" t="str">
        <f t="shared" si="25"/>
        <v/>
      </c>
      <c r="AB4964" s="86"/>
      <c r="AD4964" s="100"/>
    </row>
    <row r="4965" spans="6:30" x14ac:dyDescent="0.25">
      <c r="F4965" s="85" t="str">
        <f t="shared" si="25"/>
        <v/>
      </c>
      <c r="AB4965" s="86"/>
      <c r="AD4965" s="100"/>
    </row>
    <row r="4966" spans="6:30" x14ac:dyDescent="0.25">
      <c r="F4966" s="85" t="str">
        <f t="shared" si="25"/>
        <v/>
      </c>
      <c r="AB4966" s="86"/>
      <c r="AD4966" s="100"/>
    </row>
    <row r="4967" spans="6:30" x14ac:dyDescent="0.25">
      <c r="F4967" s="85" t="str">
        <f t="shared" si="25"/>
        <v/>
      </c>
      <c r="AB4967" s="86"/>
      <c r="AD4967" s="100"/>
    </row>
    <row r="4968" spans="6:30" x14ac:dyDescent="0.25">
      <c r="F4968" s="85" t="str">
        <f t="shared" si="25"/>
        <v/>
      </c>
      <c r="AB4968" s="86"/>
      <c r="AD4968" s="100"/>
    </row>
    <row r="4969" spans="6:30" x14ac:dyDescent="0.25">
      <c r="F4969" s="85" t="str">
        <f t="shared" si="25"/>
        <v/>
      </c>
      <c r="AB4969" s="86"/>
      <c r="AD4969" s="100"/>
    </row>
    <row r="4970" spans="6:30" x14ac:dyDescent="0.25">
      <c r="F4970" s="85" t="str">
        <f t="shared" si="25"/>
        <v/>
      </c>
      <c r="AB4970" s="86"/>
      <c r="AD4970" s="100"/>
    </row>
    <row r="4971" spans="6:30" x14ac:dyDescent="0.25">
      <c r="F4971" s="85" t="str">
        <f t="shared" si="25"/>
        <v/>
      </c>
      <c r="AB4971" s="86"/>
      <c r="AD4971" s="100"/>
    </row>
    <row r="4972" spans="6:30" x14ac:dyDescent="0.25">
      <c r="F4972" s="85" t="str">
        <f t="shared" si="25"/>
        <v/>
      </c>
      <c r="AB4972" s="86"/>
      <c r="AD4972" s="100"/>
    </row>
    <row r="4973" spans="6:30" x14ac:dyDescent="0.25">
      <c r="F4973" s="85" t="str">
        <f t="shared" si="25"/>
        <v/>
      </c>
      <c r="AB4973" s="86"/>
      <c r="AD4973" s="100"/>
    </row>
    <row r="4974" spans="6:30" x14ac:dyDescent="0.25">
      <c r="F4974" s="85" t="str">
        <f t="shared" si="25"/>
        <v/>
      </c>
      <c r="AB4974" s="86"/>
      <c r="AD4974" s="100"/>
    </row>
    <row r="4975" spans="6:30" x14ac:dyDescent="0.25">
      <c r="F4975" s="85" t="str">
        <f t="shared" si="25"/>
        <v/>
      </c>
      <c r="AB4975" s="86"/>
      <c r="AD4975" s="100"/>
    </row>
    <row r="4976" spans="6:30" x14ac:dyDescent="0.25">
      <c r="F4976" s="85" t="str">
        <f t="shared" si="25"/>
        <v/>
      </c>
      <c r="AB4976" s="86"/>
      <c r="AD4976" s="100"/>
    </row>
    <row r="4977" spans="6:30" x14ac:dyDescent="0.25">
      <c r="F4977" s="85" t="str">
        <f t="shared" si="25"/>
        <v/>
      </c>
      <c r="AB4977" s="86"/>
      <c r="AD4977" s="100"/>
    </row>
    <row r="4978" spans="6:30" x14ac:dyDescent="0.25">
      <c r="F4978" s="85" t="str">
        <f t="shared" si="25"/>
        <v/>
      </c>
      <c r="AB4978" s="86"/>
      <c r="AD4978" s="100"/>
    </row>
    <row r="4979" spans="6:30" x14ac:dyDescent="0.25">
      <c r="F4979" s="85" t="str">
        <f t="shared" si="25"/>
        <v/>
      </c>
      <c r="AB4979" s="86"/>
      <c r="AD4979" s="100"/>
    </row>
    <row r="4980" spans="6:30" x14ac:dyDescent="0.25">
      <c r="F4980" s="85" t="str">
        <f t="shared" si="25"/>
        <v/>
      </c>
      <c r="AB4980" s="86"/>
      <c r="AD4980" s="100"/>
    </row>
    <row r="4981" spans="6:30" x14ac:dyDescent="0.25">
      <c r="F4981" s="85" t="str">
        <f t="shared" si="25"/>
        <v/>
      </c>
      <c r="AB4981" s="86"/>
      <c r="AD4981" s="100"/>
    </row>
    <row r="4982" spans="6:30" x14ac:dyDescent="0.25">
      <c r="F4982" s="85" t="str">
        <f t="shared" si="25"/>
        <v/>
      </c>
      <c r="AB4982" s="86"/>
      <c r="AD4982" s="100"/>
    </row>
    <row r="4983" spans="6:30" x14ac:dyDescent="0.25">
      <c r="F4983" s="85" t="str">
        <f t="shared" si="25"/>
        <v/>
      </c>
      <c r="AB4983" s="86"/>
      <c r="AD4983" s="100"/>
    </row>
    <row r="4984" spans="6:30" x14ac:dyDescent="0.25">
      <c r="F4984" s="85" t="str">
        <f t="shared" si="25"/>
        <v/>
      </c>
      <c r="AB4984" s="86"/>
      <c r="AD4984" s="100"/>
    </row>
    <row r="4985" spans="6:30" x14ac:dyDescent="0.25">
      <c r="F4985" s="85" t="str">
        <f t="shared" si="25"/>
        <v/>
      </c>
      <c r="AB4985" s="86"/>
      <c r="AD4985" s="100"/>
    </row>
    <row r="4986" spans="6:30" x14ac:dyDescent="0.25">
      <c r="F4986" s="85" t="str">
        <f t="shared" si="25"/>
        <v/>
      </c>
      <c r="AB4986" s="86"/>
      <c r="AD4986" s="100"/>
    </row>
    <row r="4987" spans="6:30" x14ac:dyDescent="0.25">
      <c r="F4987" s="85" t="str">
        <f t="shared" si="25"/>
        <v/>
      </c>
      <c r="AB4987" s="86"/>
      <c r="AD4987" s="100"/>
    </row>
    <row r="4988" spans="6:30" x14ac:dyDescent="0.25">
      <c r="F4988" s="85" t="str">
        <f t="shared" si="25"/>
        <v/>
      </c>
      <c r="AB4988" s="86"/>
      <c r="AD4988" s="100"/>
    </row>
    <row r="4989" spans="6:30" x14ac:dyDescent="0.25">
      <c r="F4989" s="85" t="str">
        <f t="shared" si="25"/>
        <v/>
      </c>
      <c r="AB4989" s="86"/>
      <c r="AD4989" s="100"/>
    </row>
    <row r="4990" spans="6:30" x14ac:dyDescent="0.25">
      <c r="F4990" s="85" t="str">
        <f t="shared" si="25"/>
        <v/>
      </c>
      <c r="AB4990" s="86"/>
    </row>
    <row r="4991" spans="6:30" x14ac:dyDescent="0.25">
      <c r="F4991" s="85" t="str">
        <f t="shared" si="25"/>
        <v/>
      </c>
      <c r="AB4991" s="86"/>
      <c r="AD4991" s="100"/>
    </row>
    <row r="4992" spans="6:30" x14ac:dyDescent="0.25">
      <c r="F4992" s="85" t="str">
        <f t="shared" si="25"/>
        <v/>
      </c>
      <c r="AB4992" s="86"/>
      <c r="AD4992" s="100"/>
    </row>
    <row r="4993" spans="6:30" x14ac:dyDescent="0.25">
      <c r="F4993" s="85" t="str">
        <f t="shared" si="25"/>
        <v/>
      </c>
      <c r="AB4993" s="86"/>
      <c r="AD4993" s="100"/>
    </row>
    <row r="4994" spans="6:30" x14ac:dyDescent="0.25">
      <c r="F4994" s="85" t="str">
        <f t="shared" si="25"/>
        <v/>
      </c>
      <c r="AB4994" s="86"/>
      <c r="AD4994" s="100"/>
    </row>
    <row r="4995" spans="6:30" x14ac:dyDescent="0.25">
      <c r="F4995" s="85" t="str">
        <f t="shared" ref="F4995:F5058" si="26">IF($A4995="","",CONCATENATE($A4995,"_",$B4995,"_",$C4995))</f>
        <v/>
      </c>
      <c r="AB4995" s="86"/>
      <c r="AD4995" s="100"/>
    </row>
    <row r="4996" spans="6:30" x14ac:dyDescent="0.25">
      <c r="F4996" s="85" t="str">
        <f t="shared" si="26"/>
        <v/>
      </c>
      <c r="AB4996" s="86"/>
      <c r="AD4996" s="100"/>
    </row>
    <row r="4997" spans="6:30" x14ac:dyDescent="0.25">
      <c r="F4997" s="85" t="str">
        <f t="shared" si="26"/>
        <v/>
      </c>
      <c r="AB4997" s="86"/>
      <c r="AD4997" s="100"/>
    </row>
    <row r="4998" spans="6:30" x14ac:dyDescent="0.25">
      <c r="F4998" s="85" t="str">
        <f t="shared" si="26"/>
        <v/>
      </c>
      <c r="AB4998" s="86"/>
      <c r="AD4998" s="100"/>
    </row>
    <row r="4999" spans="6:30" x14ac:dyDescent="0.25">
      <c r="F4999" s="85" t="str">
        <f t="shared" si="26"/>
        <v/>
      </c>
      <c r="AB4999" s="86"/>
      <c r="AD4999" s="100"/>
    </row>
    <row r="5000" spans="6:30" x14ac:dyDescent="0.25">
      <c r="F5000" s="85" t="str">
        <f t="shared" si="26"/>
        <v/>
      </c>
      <c r="AB5000" s="86"/>
      <c r="AD5000" s="100"/>
    </row>
    <row r="5001" spans="6:30" x14ac:dyDescent="0.25">
      <c r="F5001" s="85" t="str">
        <f t="shared" si="26"/>
        <v/>
      </c>
      <c r="AB5001" s="86"/>
      <c r="AD5001" s="100"/>
    </row>
    <row r="5002" spans="6:30" x14ac:dyDescent="0.25">
      <c r="F5002" s="85" t="str">
        <f t="shared" si="26"/>
        <v/>
      </c>
      <c r="AB5002" s="86"/>
      <c r="AD5002" s="100"/>
    </row>
    <row r="5003" spans="6:30" x14ac:dyDescent="0.25">
      <c r="F5003" s="85" t="str">
        <f t="shared" si="26"/>
        <v/>
      </c>
      <c r="AB5003" s="86"/>
      <c r="AD5003" s="100"/>
    </row>
    <row r="5004" spans="6:30" x14ac:dyDescent="0.25">
      <c r="F5004" s="85" t="str">
        <f t="shared" si="26"/>
        <v/>
      </c>
      <c r="AB5004" s="86"/>
      <c r="AD5004" s="100"/>
    </row>
    <row r="5005" spans="6:30" x14ac:dyDescent="0.25">
      <c r="F5005" s="85" t="str">
        <f t="shared" si="26"/>
        <v/>
      </c>
      <c r="AB5005" s="86"/>
      <c r="AD5005" s="100"/>
    </row>
    <row r="5006" spans="6:30" x14ac:dyDescent="0.25">
      <c r="F5006" s="85" t="str">
        <f t="shared" si="26"/>
        <v/>
      </c>
      <c r="AB5006" s="86"/>
      <c r="AD5006" s="100"/>
    </row>
    <row r="5007" spans="6:30" x14ac:dyDescent="0.25">
      <c r="F5007" s="85" t="str">
        <f t="shared" si="26"/>
        <v/>
      </c>
      <c r="AB5007" s="86"/>
      <c r="AD5007" s="100"/>
    </row>
    <row r="5008" spans="6:30" x14ac:dyDescent="0.25">
      <c r="F5008" s="85" t="str">
        <f t="shared" si="26"/>
        <v/>
      </c>
      <c r="AB5008" s="86"/>
      <c r="AD5008" s="100"/>
    </row>
    <row r="5009" spans="6:30" x14ac:dyDescent="0.25">
      <c r="F5009" s="85" t="str">
        <f t="shared" si="26"/>
        <v/>
      </c>
      <c r="AB5009" s="86"/>
      <c r="AD5009" s="100"/>
    </row>
    <row r="5010" spans="6:30" x14ac:dyDescent="0.25">
      <c r="F5010" s="85" t="str">
        <f t="shared" si="26"/>
        <v/>
      </c>
      <c r="AB5010" s="86"/>
      <c r="AD5010" s="100"/>
    </row>
    <row r="5011" spans="6:30" x14ac:dyDescent="0.25">
      <c r="F5011" s="85" t="str">
        <f t="shared" si="26"/>
        <v/>
      </c>
      <c r="AB5011" s="86"/>
      <c r="AD5011" s="100"/>
    </row>
    <row r="5012" spans="6:30" x14ac:dyDescent="0.25">
      <c r="F5012" s="85" t="str">
        <f t="shared" si="26"/>
        <v/>
      </c>
      <c r="AB5012" s="86"/>
      <c r="AD5012" s="100"/>
    </row>
    <row r="5013" spans="6:30" x14ac:dyDescent="0.25">
      <c r="F5013" s="85" t="str">
        <f t="shared" si="26"/>
        <v/>
      </c>
      <c r="AB5013" s="86"/>
      <c r="AD5013" s="100"/>
    </row>
    <row r="5014" spans="6:30" x14ac:dyDescent="0.25">
      <c r="F5014" s="85" t="str">
        <f t="shared" si="26"/>
        <v/>
      </c>
      <c r="AB5014" s="86"/>
      <c r="AD5014" s="100"/>
    </row>
    <row r="5015" spans="6:30" x14ac:dyDescent="0.25">
      <c r="F5015" s="85" t="str">
        <f t="shared" si="26"/>
        <v/>
      </c>
      <c r="AB5015" s="86"/>
      <c r="AD5015" s="100"/>
    </row>
    <row r="5016" spans="6:30" x14ac:dyDescent="0.25">
      <c r="F5016" s="85" t="str">
        <f t="shared" si="26"/>
        <v/>
      </c>
      <c r="AB5016" s="86"/>
      <c r="AD5016" s="100"/>
    </row>
    <row r="5017" spans="6:30" x14ac:dyDescent="0.25">
      <c r="F5017" s="85" t="str">
        <f t="shared" si="26"/>
        <v/>
      </c>
      <c r="AB5017" s="86"/>
      <c r="AD5017" s="100"/>
    </row>
    <row r="5018" spans="6:30" x14ac:dyDescent="0.25">
      <c r="F5018" s="85" t="str">
        <f t="shared" si="26"/>
        <v/>
      </c>
      <c r="AB5018" s="86"/>
      <c r="AD5018" s="100"/>
    </row>
    <row r="5019" spans="6:30" x14ac:dyDescent="0.25">
      <c r="F5019" s="85" t="str">
        <f t="shared" si="26"/>
        <v/>
      </c>
      <c r="AB5019" s="86"/>
      <c r="AD5019" s="100"/>
    </row>
    <row r="5020" spans="6:30" x14ac:dyDescent="0.25">
      <c r="F5020" s="85" t="str">
        <f t="shared" si="26"/>
        <v/>
      </c>
      <c r="AB5020" s="86"/>
      <c r="AD5020" s="100"/>
    </row>
    <row r="5021" spans="6:30" x14ac:dyDescent="0.25">
      <c r="F5021" s="85" t="str">
        <f t="shared" si="26"/>
        <v/>
      </c>
      <c r="AB5021" s="86"/>
      <c r="AD5021" s="100"/>
    </row>
    <row r="5022" spans="6:30" x14ac:dyDescent="0.25">
      <c r="F5022" s="85" t="str">
        <f t="shared" si="26"/>
        <v/>
      </c>
      <c r="AB5022" s="86"/>
      <c r="AD5022" s="100"/>
    </row>
    <row r="5023" spans="6:30" x14ac:dyDescent="0.25">
      <c r="F5023" s="85" t="str">
        <f t="shared" si="26"/>
        <v/>
      </c>
      <c r="AB5023" s="86"/>
      <c r="AD5023" s="100"/>
    </row>
    <row r="5024" spans="6:30" x14ac:dyDescent="0.25">
      <c r="F5024" s="85" t="str">
        <f t="shared" si="26"/>
        <v/>
      </c>
      <c r="AB5024" s="86"/>
      <c r="AD5024" s="100"/>
    </row>
    <row r="5025" spans="6:30" x14ac:dyDescent="0.25">
      <c r="F5025" s="85" t="str">
        <f t="shared" si="26"/>
        <v/>
      </c>
      <c r="AB5025" s="86"/>
      <c r="AD5025" s="100"/>
    </row>
    <row r="5026" spans="6:30" x14ac:dyDescent="0.25">
      <c r="F5026" s="85" t="str">
        <f t="shared" si="26"/>
        <v/>
      </c>
      <c r="AB5026" s="86"/>
      <c r="AD5026" s="100"/>
    </row>
    <row r="5027" spans="6:30" x14ac:dyDescent="0.25">
      <c r="F5027" s="85" t="str">
        <f t="shared" si="26"/>
        <v/>
      </c>
      <c r="AB5027" s="86"/>
      <c r="AD5027" s="100"/>
    </row>
    <row r="5028" spans="6:30" x14ac:dyDescent="0.25">
      <c r="F5028" s="85" t="str">
        <f t="shared" si="26"/>
        <v/>
      </c>
      <c r="AB5028" s="86"/>
      <c r="AD5028" s="100"/>
    </row>
    <row r="5029" spans="6:30" x14ac:dyDescent="0.25">
      <c r="F5029" s="85" t="str">
        <f t="shared" si="26"/>
        <v/>
      </c>
      <c r="AB5029" s="86"/>
      <c r="AD5029" s="100"/>
    </row>
    <row r="5030" spans="6:30" x14ac:dyDescent="0.25">
      <c r="F5030" s="85" t="str">
        <f t="shared" si="26"/>
        <v/>
      </c>
      <c r="AB5030" s="86"/>
      <c r="AD5030" s="100"/>
    </row>
    <row r="5031" spans="6:30" x14ac:dyDescent="0.25">
      <c r="F5031" s="85" t="str">
        <f t="shared" si="26"/>
        <v/>
      </c>
      <c r="AB5031" s="86"/>
      <c r="AD5031" s="100"/>
    </row>
    <row r="5032" spans="6:30" x14ac:dyDescent="0.25">
      <c r="F5032" s="85" t="str">
        <f t="shared" si="26"/>
        <v/>
      </c>
      <c r="AB5032" s="86"/>
      <c r="AD5032" s="100"/>
    </row>
    <row r="5033" spans="6:30" x14ac:dyDescent="0.25">
      <c r="F5033" s="85" t="str">
        <f t="shared" si="26"/>
        <v/>
      </c>
      <c r="AB5033" s="86"/>
      <c r="AD5033" s="100"/>
    </row>
    <row r="5034" spans="6:30" x14ac:dyDescent="0.25">
      <c r="F5034" s="85" t="str">
        <f t="shared" si="26"/>
        <v/>
      </c>
      <c r="AB5034" s="86"/>
      <c r="AD5034" s="100"/>
    </row>
    <row r="5035" spans="6:30" x14ac:dyDescent="0.25">
      <c r="F5035" s="85" t="str">
        <f t="shared" si="26"/>
        <v/>
      </c>
      <c r="AB5035" s="86"/>
      <c r="AD5035" s="100"/>
    </row>
    <row r="5036" spans="6:30" x14ac:dyDescent="0.25">
      <c r="F5036" s="85" t="str">
        <f t="shared" si="26"/>
        <v/>
      </c>
      <c r="AB5036" s="86"/>
      <c r="AD5036" s="100"/>
    </row>
    <row r="5037" spans="6:30" x14ac:dyDescent="0.25">
      <c r="F5037" s="85" t="str">
        <f t="shared" si="26"/>
        <v/>
      </c>
      <c r="AB5037" s="86"/>
      <c r="AD5037" s="100"/>
    </row>
    <row r="5038" spans="6:30" x14ac:dyDescent="0.25">
      <c r="F5038" s="85" t="str">
        <f t="shared" si="26"/>
        <v/>
      </c>
      <c r="AB5038" s="86"/>
      <c r="AD5038" s="100"/>
    </row>
    <row r="5039" spans="6:30" x14ac:dyDescent="0.25">
      <c r="F5039" s="85" t="str">
        <f t="shared" si="26"/>
        <v/>
      </c>
      <c r="AB5039" s="86"/>
      <c r="AD5039" s="100"/>
    </row>
    <row r="5040" spans="6:30" x14ac:dyDescent="0.25">
      <c r="F5040" s="85" t="str">
        <f t="shared" si="26"/>
        <v/>
      </c>
      <c r="AB5040" s="86"/>
      <c r="AD5040" s="100"/>
    </row>
    <row r="5041" spans="6:30" x14ac:dyDescent="0.25">
      <c r="F5041" s="85" t="str">
        <f t="shared" si="26"/>
        <v/>
      </c>
      <c r="AB5041" s="86"/>
      <c r="AD5041" s="100"/>
    </row>
    <row r="5042" spans="6:30" x14ac:dyDescent="0.25">
      <c r="F5042" s="85" t="str">
        <f t="shared" si="26"/>
        <v/>
      </c>
      <c r="AB5042" s="86"/>
      <c r="AD5042" s="100"/>
    </row>
    <row r="5043" spans="6:30" x14ac:dyDescent="0.25">
      <c r="F5043" s="85" t="str">
        <f t="shared" si="26"/>
        <v/>
      </c>
      <c r="AB5043" s="86"/>
      <c r="AD5043" s="100"/>
    </row>
    <row r="5044" spans="6:30" x14ac:dyDescent="0.25">
      <c r="F5044" s="85" t="str">
        <f t="shared" si="26"/>
        <v/>
      </c>
      <c r="AB5044" s="86"/>
      <c r="AD5044" s="100"/>
    </row>
    <row r="5045" spans="6:30" x14ac:dyDescent="0.25">
      <c r="F5045" s="85" t="str">
        <f t="shared" si="26"/>
        <v/>
      </c>
      <c r="AB5045" s="86"/>
      <c r="AD5045" s="100"/>
    </row>
    <row r="5046" spans="6:30" x14ac:dyDescent="0.25">
      <c r="F5046" s="85" t="str">
        <f t="shared" si="26"/>
        <v/>
      </c>
      <c r="AB5046" s="86"/>
      <c r="AD5046" s="100"/>
    </row>
    <row r="5047" spans="6:30" x14ac:dyDescent="0.25">
      <c r="F5047" s="85" t="str">
        <f t="shared" si="26"/>
        <v/>
      </c>
      <c r="AB5047" s="86"/>
      <c r="AD5047" s="100"/>
    </row>
    <row r="5048" spans="6:30" x14ac:dyDescent="0.25">
      <c r="F5048" s="85" t="str">
        <f t="shared" si="26"/>
        <v/>
      </c>
      <c r="AB5048" s="86"/>
      <c r="AD5048" s="100"/>
    </row>
    <row r="5049" spans="6:30" x14ac:dyDescent="0.25">
      <c r="F5049" s="85" t="str">
        <f t="shared" si="26"/>
        <v/>
      </c>
      <c r="AB5049" s="86"/>
      <c r="AD5049" s="100"/>
    </row>
    <row r="5050" spans="6:30" x14ac:dyDescent="0.25">
      <c r="F5050" s="85" t="str">
        <f t="shared" si="26"/>
        <v/>
      </c>
      <c r="AB5050" s="86"/>
      <c r="AD5050" s="100"/>
    </row>
    <row r="5051" spans="6:30" x14ac:dyDescent="0.25">
      <c r="F5051" s="85" t="str">
        <f t="shared" si="26"/>
        <v/>
      </c>
      <c r="AB5051" s="86"/>
      <c r="AD5051" s="100"/>
    </row>
    <row r="5052" spans="6:30" x14ac:dyDescent="0.25">
      <c r="F5052" s="85" t="str">
        <f t="shared" si="26"/>
        <v/>
      </c>
      <c r="AB5052" s="86"/>
      <c r="AD5052" s="100"/>
    </row>
    <row r="5053" spans="6:30" x14ac:dyDescent="0.25">
      <c r="F5053" s="85" t="str">
        <f t="shared" si="26"/>
        <v/>
      </c>
      <c r="AB5053" s="86"/>
      <c r="AD5053" s="100"/>
    </row>
    <row r="5054" spans="6:30" x14ac:dyDescent="0.25">
      <c r="F5054" s="85" t="str">
        <f t="shared" si="26"/>
        <v/>
      </c>
      <c r="AB5054" s="86"/>
      <c r="AD5054" s="100"/>
    </row>
    <row r="5055" spans="6:30" x14ac:dyDescent="0.25">
      <c r="F5055" s="85" t="str">
        <f t="shared" si="26"/>
        <v/>
      </c>
      <c r="AB5055" s="86"/>
      <c r="AD5055" s="100"/>
    </row>
    <row r="5056" spans="6:30" x14ac:dyDescent="0.25">
      <c r="F5056" s="85" t="str">
        <f t="shared" si="26"/>
        <v/>
      </c>
      <c r="AB5056" s="86"/>
      <c r="AD5056" s="100"/>
    </row>
    <row r="5057" spans="6:30" x14ac:dyDescent="0.25">
      <c r="F5057" s="85" t="str">
        <f t="shared" si="26"/>
        <v/>
      </c>
      <c r="AB5057" s="86"/>
      <c r="AD5057" s="100"/>
    </row>
    <row r="5058" spans="6:30" x14ac:dyDescent="0.25">
      <c r="F5058" s="85" t="str">
        <f t="shared" si="26"/>
        <v/>
      </c>
      <c r="AB5058" s="86"/>
      <c r="AD5058" s="100"/>
    </row>
    <row r="5059" spans="6:30" x14ac:dyDescent="0.25">
      <c r="F5059" s="85" t="str">
        <f t="shared" ref="F5059:F5122" si="27">IF($A5059="","",CONCATENATE($A5059,"_",$B5059,"_",$C5059))</f>
        <v/>
      </c>
      <c r="AB5059" s="86"/>
      <c r="AD5059" s="100"/>
    </row>
    <row r="5060" spans="6:30" x14ac:dyDescent="0.25">
      <c r="F5060" s="85" t="str">
        <f t="shared" si="27"/>
        <v/>
      </c>
      <c r="AB5060" s="86"/>
      <c r="AD5060" s="100"/>
    </row>
    <row r="5061" spans="6:30" x14ac:dyDescent="0.25">
      <c r="F5061" s="85" t="str">
        <f t="shared" si="27"/>
        <v/>
      </c>
      <c r="AB5061" s="86"/>
      <c r="AD5061" s="100"/>
    </row>
    <row r="5062" spans="6:30" x14ac:dyDescent="0.25">
      <c r="F5062" s="85" t="str">
        <f t="shared" si="27"/>
        <v/>
      </c>
      <c r="AB5062" s="86"/>
      <c r="AD5062" s="100"/>
    </row>
    <row r="5063" spans="6:30" x14ac:dyDescent="0.25">
      <c r="F5063" s="85" t="str">
        <f t="shared" si="27"/>
        <v/>
      </c>
      <c r="AB5063" s="86"/>
      <c r="AD5063" s="100"/>
    </row>
    <row r="5064" spans="6:30" x14ac:dyDescent="0.25">
      <c r="F5064" s="85" t="str">
        <f t="shared" si="27"/>
        <v/>
      </c>
      <c r="AB5064" s="86"/>
      <c r="AD5064" s="100"/>
    </row>
    <row r="5065" spans="6:30" x14ac:dyDescent="0.25">
      <c r="F5065" s="85" t="str">
        <f t="shared" si="27"/>
        <v/>
      </c>
      <c r="AB5065" s="86"/>
      <c r="AD5065" s="100"/>
    </row>
    <row r="5066" spans="6:30" x14ac:dyDescent="0.25">
      <c r="F5066" s="85" t="str">
        <f t="shared" si="27"/>
        <v/>
      </c>
      <c r="AB5066" s="86"/>
      <c r="AD5066" s="100"/>
    </row>
    <row r="5067" spans="6:30" x14ac:dyDescent="0.25">
      <c r="F5067" s="85" t="str">
        <f t="shared" si="27"/>
        <v/>
      </c>
      <c r="AB5067" s="86"/>
      <c r="AD5067" s="100"/>
    </row>
    <row r="5068" spans="6:30" x14ac:dyDescent="0.25">
      <c r="F5068" s="85" t="str">
        <f t="shared" si="27"/>
        <v/>
      </c>
      <c r="AB5068" s="86"/>
      <c r="AD5068" s="100"/>
    </row>
    <row r="5069" spans="6:30" x14ac:dyDescent="0.25">
      <c r="F5069" s="85" t="str">
        <f t="shared" si="27"/>
        <v/>
      </c>
      <c r="AB5069" s="86"/>
      <c r="AD5069" s="100"/>
    </row>
    <row r="5070" spans="6:30" x14ac:dyDescent="0.25">
      <c r="F5070" s="85" t="str">
        <f t="shared" si="27"/>
        <v/>
      </c>
      <c r="AB5070" s="86"/>
      <c r="AD5070" s="100"/>
    </row>
    <row r="5071" spans="6:30" x14ac:dyDescent="0.25">
      <c r="F5071" s="85" t="str">
        <f t="shared" si="27"/>
        <v/>
      </c>
      <c r="AB5071" s="86"/>
      <c r="AD5071" s="100"/>
    </row>
    <row r="5072" spans="6:30" x14ac:dyDescent="0.25">
      <c r="F5072" s="85" t="str">
        <f t="shared" si="27"/>
        <v/>
      </c>
      <c r="AB5072" s="86"/>
      <c r="AD5072" s="100"/>
    </row>
    <row r="5073" spans="6:30" x14ac:dyDescent="0.25">
      <c r="F5073" s="85" t="str">
        <f t="shared" si="27"/>
        <v/>
      </c>
      <c r="AB5073" s="86"/>
      <c r="AD5073" s="100"/>
    </row>
    <row r="5074" spans="6:30" x14ac:dyDescent="0.25">
      <c r="F5074" s="85" t="str">
        <f t="shared" si="27"/>
        <v/>
      </c>
      <c r="AB5074" s="86"/>
      <c r="AD5074" s="100"/>
    </row>
    <row r="5075" spans="6:30" x14ac:dyDescent="0.25">
      <c r="F5075" s="85" t="str">
        <f t="shared" si="27"/>
        <v/>
      </c>
      <c r="AB5075" s="86"/>
      <c r="AD5075" s="100"/>
    </row>
    <row r="5076" spans="6:30" x14ac:dyDescent="0.25">
      <c r="F5076" s="85" t="str">
        <f t="shared" si="27"/>
        <v/>
      </c>
      <c r="AB5076" s="86"/>
      <c r="AD5076" s="100"/>
    </row>
    <row r="5077" spans="6:30" x14ac:dyDescent="0.25">
      <c r="F5077" s="85" t="str">
        <f t="shared" si="27"/>
        <v/>
      </c>
      <c r="AB5077" s="86"/>
      <c r="AD5077" s="100"/>
    </row>
    <row r="5078" spans="6:30" x14ac:dyDescent="0.25">
      <c r="F5078" s="85" t="str">
        <f t="shared" si="27"/>
        <v/>
      </c>
      <c r="AB5078" s="86"/>
      <c r="AD5078" s="100"/>
    </row>
    <row r="5079" spans="6:30" x14ac:dyDescent="0.25">
      <c r="F5079" s="85" t="str">
        <f t="shared" si="27"/>
        <v/>
      </c>
      <c r="AB5079" s="86"/>
      <c r="AD5079" s="100"/>
    </row>
    <row r="5080" spans="6:30" x14ac:dyDescent="0.25">
      <c r="F5080" s="85" t="str">
        <f t="shared" si="27"/>
        <v/>
      </c>
      <c r="AB5080" s="86"/>
      <c r="AD5080" s="100"/>
    </row>
    <row r="5081" spans="6:30" x14ac:dyDescent="0.25">
      <c r="F5081" s="85" t="str">
        <f t="shared" si="27"/>
        <v/>
      </c>
      <c r="AB5081" s="86"/>
      <c r="AD5081" s="100"/>
    </row>
    <row r="5082" spans="6:30" x14ac:dyDescent="0.25">
      <c r="F5082" s="85" t="str">
        <f t="shared" si="27"/>
        <v/>
      </c>
      <c r="AB5082" s="86"/>
      <c r="AD5082" s="100"/>
    </row>
    <row r="5083" spans="6:30" x14ac:dyDescent="0.25">
      <c r="F5083" s="85" t="str">
        <f t="shared" si="27"/>
        <v/>
      </c>
      <c r="AB5083" s="86"/>
      <c r="AD5083" s="100"/>
    </row>
    <row r="5084" spans="6:30" x14ac:dyDescent="0.25">
      <c r="F5084" s="85" t="str">
        <f t="shared" si="27"/>
        <v/>
      </c>
      <c r="AB5084" s="86"/>
      <c r="AD5084" s="100"/>
    </row>
    <row r="5085" spans="6:30" x14ac:dyDescent="0.25">
      <c r="F5085" s="85" t="str">
        <f t="shared" si="27"/>
        <v/>
      </c>
      <c r="AB5085" s="86"/>
      <c r="AD5085" s="100"/>
    </row>
    <row r="5086" spans="6:30" x14ac:dyDescent="0.25">
      <c r="F5086" s="85" t="str">
        <f t="shared" si="27"/>
        <v/>
      </c>
      <c r="AB5086" s="86"/>
      <c r="AD5086" s="100"/>
    </row>
    <row r="5087" spans="6:30" x14ac:dyDescent="0.25">
      <c r="F5087" s="85" t="str">
        <f t="shared" si="27"/>
        <v/>
      </c>
      <c r="AB5087" s="86"/>
      <c r="AD5087" s="100"/>
    </row>
    <row r="5088" spans="6:30" x14ac:dyDescent="0.25">
      <c r="F5088" s="85" t="str">
        <f t="shared" si="27"/>
        <v/>
      </c>
      <c r="AB5088" s="86"/>
      <c r="AD5088" s="100"/>
    </row>
    <row r="5089" spans="6:30" x14ac:dyDescent="0.25">
      <c r="F5089" s="85" t="str">
        <f t="shared" si="27"/>
        <v/>
      </c>
      <c r="AB5089" s="86"/>
      <c r="AD5089" s="100"/>
    </row>
    <row r="5090" spans="6:30" x14ac:dyDescent="0.25">
      <c r="F5090" s="85" t="str">
        <f t="shared" si="27"/>
        <v/>
      </c>
      <c r="AB5090" s="86"/>
      <c r="AD5090" s="100"/>
    </row>
    <row r="5091" spans="6:30" x14ac:dyDescent="0.25">
      <c r="F5091" s="85" t="str">
        <f t="shared" si="27"/>
        <v/>
      </c>
      <c r="AB5091" s="86"/>
      <c r="AD5091" s="100"/>
    </row>
    <row r="5092" spans="6:30" x14ac:dyDescent="0.25">
      <c r="F5092" s="85" t="str">
        <f t="shared" si="27"/>
        <v/>
      </c>
      <c r="AB5092" s="86"/>
      <c r="AD5092" s="100"/>
    </row>
    <row r="5093" spans="6:30" x14ac:dyDescent="0.25">
      <c r="F5093" s="85" t="str">
        <f t="shared" si="27"/>
        <v/>
      </c>
      <c r="AB5093" s="86"/>
      <c r="AD5093" s="100"/>
    </row>
    <row r="5094" spans="6:30" x14ac:dyDescent="0.25">
      <c r="F5094" s="85" t="str">
        <f t="shared" si="27"/>
        <v/>
      </c>
      <c r="AB5094" s="86"/>
      <c r="AD5094" s="100"/>
    </row>
    <row r="5095" spans="6:30" x14ac:dyDescent="0.25">
      <c r="F5095" s="85" t="str">
        <f t="shared" si="27"/>
        <v/>
      </c>
      <c r="AB5095" s="86"/>
      <c r="AD5095" s="100"/>
    </row>
    <row r="5096" spans="6:30" x14ac:dyDescent="0.25">
      <c r="F5096" s="85" t="str">
        <f t="shared" si="27"/>
        <v/>
      </c>
      <c r="AB5096" s="86"/>
      <c r="AD5096" s="100"/>
    </row>
    <row r="5097" spans="6:30" x14ac:dyDescent="0.25">
      <c r="F5097" s="85" t="str">
        <f t="shared" si="27"/>
        <v/>
      </c>
      <c r="AB5097" s="86"/>
      <c r="AD5097" s="100"/>
    </row>
    <row r="5098" spans="6:30" x14ac:dyDescent="0.25">
      <c r="F5098" s="85" t="str">
        <f t="shared" si="27"/>
        <v/>
      </c>
      <c r="AB5098" s="86"/>
      <c r="AD5098" s="100"/>
    </row>
    <row r="5099" spans="6:30" x14ac:dyDescent="0.25">
      <c r="F5099" s="85" t="str">
        <f t="shared" si="27"/>
        <v/>
      </c>
      <c r="AB5099" s="86"/>
      <c r="AD5099" s="100"/>
    </row>
    <row r="5100" spans="6:30" x14ac:dyDescent="0.25">
      <c r="F5100" s="85" t="str">
        <f t="shared" si="27"/>
        <v/>
      </c>
      <c r="AB5100" s="86"/>
      <c r="AD5100" s="100"/>
    </row>
    <row r="5101" spans="6:30" x14ac:dyDescent="0.25">
      <c r="F5101" s="85" t="str">
        <f t="shared" si="27"/>
        <v/>
      </c>
      <c r="AB5101" s="86"/>
      <c r="AD5101" s="100"/>
    </row>
    <row r="5102" spans="6:30" x14ac:dyDescent="0.25">
      <c r="F5102" s="85" t="str">
        <f t="shared" si="27"/>
        <v/>
      </c>
      <c r="AB5102" s="86"/>
      <c r="AD5102" s="100"/>
    </row>
    <row r="5103" spans="6:30" x14ac:dyDescent="0.25">
      <c r="F5103" s="85" t="str">
        <f t="shared" si="27"/>
        <v/>
      </c>
      <c r="AB5103" s="86"/>
      <c r="AD5103" s="100"/>
    </row>
    <row r="5104" spans="6:30" x14ac:dyDescent="0.25">
      <c r="F5104" s="85" t="str">
        <f t="shared" si="27"/>
        <v/>
      </c>
      <c r="AB5104" s="86"/>
      <c r="AD5104" s="100"/>
    </row>
    <row r="5105" spans="6:30" x14ac:dyDescent="0.25">
      <c r="F5105" s="85" t="str">
        <f t="shared" si="27"/>
        <v/>
      </c>
      <c r="AB5105" s="86"/>
      <c r="AD5105" s="100"/>
    </row>
    <row r="5106" spans="6:30" x14ac:dyDescent="0.25">
      <c r="F5106" s="85" t="str">
        <f t="shared" si="27"/>
        <v/>
      </c>
      <c r="AB5106" s="86"/>
      <c r="AD5106" s="100"/>
    </row>
    <row r="5107" spans="6:30" x14ac:dyDescent="0.25">
      <c r="F5107" s="85" t="str">
        <f t="shared" si="27"/>
        <v/>
      </c>
      <c r="AB5107" s="86"/>
      <c r="AD5107" s="100"/>
    </row>
    <row r="5108" spans="6:30" x14ac:dyDescent="0.25">
      <c r="F5108" s="85" t="str">
        <f t="shared" si="27"/>
        <v/>
      </c>
      <c r="AB5108" s="86"/>
      <c r="AD5108" s="100"/>
    </row>
    <row r="5109" spans="6:30" x14ac:dyDescent="0.25">
      <c r="F5109" s="85" t="str">
        <f t="shared" si="27"/>
        <v/>
      </c>
      <c r="AB5109" s="86"/>
      <c r="AD5109" s="100"/>
    </row>
    <row r="5110" spans="6:30" x14ac:dyDescent="0.25">
      <c r="F5110" s="85" t="str">
        <f t="shared" si="27"/>
        <v/>
      </c>
      <c r="AB5110" s="86"/>
      <c r="AD5110" s="100"/>
    </row>
    <row r="5111" spans="6:30" x14ac:dyDescent="0.25">
      <c r="F5111" s="85" t="str">
        <f t="shared" si="27"/>
        <v/>
      </c>
      <c r="AB5111" s="86"/>
      <c r="AD5111" s="100"/>
    </row>
    <row r="5112" spans="6:30" x14ac:dyDescent="0.25">
      <c r="F5112" s="85" t="str">
        <f t="shared" si="27"/>
        <v/>
      </c>
      <c r="AB5112" s="86"/>
      <c r="AD5112" s="100"/>
    </row>
    <row r="5113" spans="6:30" x14ac:dyDescent="0.25">
      <c r="F5113" s="85" t="str">
        <f t="shared" si="27"/>
        <v/>
      </c>
      <c r="AB5113" s="86"/>
      <c r="AD5113" s="100"/>
    </row>
    <row r="5114" spans="6:30" x14ac:dyDescent="0.25">
      <c r="F5114" s="85" t="str">
        <f t="shared" si="27"/>
        <v/>
      </c>
      <c r="AB5114" s="86"/>
      <c r="AD5114" s="100"/>
    </row>
    <row r="5115" spans="6:30" x14ac:dyDescent="0.25">
      <c r="F5115" s="85" t="str">
        <f t="shared" si="27"/>
        <v/>
      </c>
      <c r="AB5115" s="86"/>
      <c r="AD5115" s="100"/>
    </row>
    <row r="5116" spans="6:30" x14ac:dyDescent="0.25">
      <c r="F5116" s="85" t="str">
        <f t="shared" si="27"/>
        <v/>
      </c>
      <c r="AB5116" s="86"/>
      <c r="AD5116" s="100"/>
    </row>
    <row r="5117" spans="6:30" x14ac:dyDescent="0.25">
      <c r="F5117" s="85" t="str">
        <f t="shared" si="27"/>
        <v/>
      </c>
      <c r="AB5117" s="86"/>
      <c r="AD5117" s="100"/>
    </row>
    <row r="5118" spans="6:30" x14ac:dyDescent="0.25">
      <c r="F5118" s="85" t="str">
        <f t="shared" si="27"/>
        <v/>
      </c>
      <c r="AB5118" s="86"/>
      <c r="AD5118" s="100"/>
    </row>
    <row r="5119" spans="6:30" x14ac:dyDescent="0.25">
      <c r="F5119" s="85" t="str">
        <f t="shared" si="27"/>
        <v/>
      </c>
      <c r="AB5119" s="86"/>
      <c r="AD5119" s="100"/>
    </row>
    <row r="5120" spans="6:30" x14ac:dyDescent="0.25">
      <c r="F5120" s="85" t="str">
        <f t="shared" si="27"/>
        <v/>
      </c>
      <c r="AB5120" s="86"/>
      <c r="AD5120" s="100"/>
    </row>
    <row r="5121" spans="6:30" x14ac:dyDescent="0.25">
      <c r="F5121" s="85" t="str">
        <f t="shared" si="27"/>
        <v/>
      </c>
      <c r="AB5121" s="86"/>
      <c r="AD5121" s="100"/>
    </row>
    <row r="5122" spans="6:30" x14ac:dyDescent="0.25">
      <c r="F5122" s="85" t="str">
        <f t="shared" si="27"/>
        <v/>
      </c>
      <c r="AB5122" s="86"/>
      <c r="AD5122" s="100"/>
    </row>
    <row r="5123" spans="6:30" x14ac:dyDescent="0.25">
      <c r="F5123" s="85" t="str">
        <f t="shared" ref="F5123:F5186" si="28">IF($A5123="","",CONCATENATE($A5123,"_",$B5123,"_",$C5123))</f>
        <v/>
      </c>
      <c r="AB5123" s="86"/>
      <c r="AD5123" s="100"/>
    </row>
    <row r="5124" spans="6:30" x14ac:dyDescent="0.25">
      <c r="F5124" s="85" t="str">
        <f t="shared" si="28"/>
        <v/>
      </c>
      <c r="AB5124" s="86"/>
      <c r="AD5124" s="100"/>
    </row>
    <row r="5125" spans="6:30" x14ac:dyDescent="0.25">
      <c r="F5125" s="85" t="str">
        <f t="shared" si="28"/>
        <v/>
      </c>
      <c r="AB5125" s="86"/>
      <c r="AD5125" s="100"/>
    </row>
    <row r="5126" spans="6:30" x14ac:dyDescent="0.25">
      <c r="F5126" s="85" t="str">
        <f t="shared" si="28"/>
        <v/>
      </c>
      <c r="AB5126" s="86"/>
      <c r="AD5126" s="100"/>
    </row>
    <row r="5127" spans="6:30" x14ac:dyDescent="0.25">
      <c r="F5127" s="85" t="str">
        <f t="shared" si="28"/>
        <v/>
      </c>
      <c r="AB5127" s="86"/>
      <c r="AD5127" s="100"/>
    </row>
    <row r="5128" spans="6:30" x14ac:dyDescent="0.25">
      <c r="F5128" s="85" t="str">
        <f t="shared" si="28"/>
        <v/>
      </c>
      <c r="AB5128" s="86"/>
      <c r="AD5128" s="100"/>
    </row>
    <row r="5129" spans="6:30" x14ac:dyDescent="0.25">
      <c r="F5129" s="85" t="str">
        <f t="shared" si="28"/>
        <v/>
      </c>
      <c r="AB5129" s="86"/>
      <c r="AD5129" s="100"/>
    </row>
    <row r="5130" spans="6:30" x14ac:dyDescent="0.25">
      <c r="F5130" s="85" t="str">
        <f t="shared" si="28"/>
        <v/>
      </c>
      <c r="AB5130" s="86"/>
      <c r="AD5130" s="100"/>
    </row>
    <row r="5131" spans="6:30" x14ac:dyDescent="0.25">
      <c r="F5131" s="85" t="str">
        <f t="shared" si="28"/>
        <v/>
      </c>
      <c r="AB5131" s="86"/>
      <c r="AD5131" s="100"/>
    </row>
    <row r="5132" spans="6:30" x14ac:dyDescent="0.25">
      <c r="F5132" s="85" t="str">
        <f t="shared" si="28"/>
        <v/>
      </c>
      <c r="AB5132" s="86"/>
      <c r="AD5132" s="100"/>
    </row>
    <row r="5133" spans="6:30" x14ac:dyDescent="0.25">
      <c r="F5133" s="85" t="str">
        <f t="shared" si="28"/>
        <v/>
      </c>
      <c r="AB5133" s="86"/>
      <c r="AD5133" s="100"/>
    </row>
    <row r="5134" spans="6:30" x14ac:dyDescent="0.25">
      <c r="F5134" s="85" t="str">
        <f t="shared" si="28"/>
        <v/>
      </c>
      <c r="AB5134" s="86"/>
      <c r="AD5134" s="100"/>
    </row>
    <row r="5135" spans="6:30" x14ac:dyDescent="0.25">
      <c r="F5135" s="85" t="str">
        <f t="shared" si="28"/>
        <v/>
      </c>
      <c r="AB5135" s="86"/>
      <c r="AD5135" s="100"/>
    </row>
    <row r="5136" spans="6:30" x14ac:dyDescent="0.25">
      <c r="F5136" s="85" t="str">
        <f t="shared" si="28"/>
        <v/>
      </c>
      <c r="AB5136" s="86"/>
      <c r="AD5136" s="100"/>
    </row>
    <row r="5137" spans="6:30" x14ac:dyDescent="0.25">
      <c r="F5137" s="85" t="str">
        <f t="shared" si="28"/>
        <v/>
      </c>
      <c r="AB5137" s="86"/>
      <c r="AD5137" s="100"/>
    </row>
    <row r="5138" spans="6:30" x14ac:dyDescent="0.25">
      <c r="F5138" s="85" t="str">
        <f t="shared" si="28"/>
        <v/>
      </c>
      <c r="AB5138" s="86"/>
      <c r="AD5138" s="100"/>
    </row>
    <row r="5139" spans="6:30" x14ac:dyDescent="0.25">
      <c r="F5139" s="85" t="str">
        <f t="shared" si="28"/>
        <v/>
      </c>
      <c r="AB5139" s="86"/>
      <c r="AD5139" s="100"/>
    </row>
    <row r="5140" spans="6:30" x14ac:dyDescent="0.25">
      <c r="F5140" s="85" t="str">
        <f t="shared" si="28"/>
        <v/>
      </c>
      <c r="AB5140" s="86"/>
      <c r="AD5140" s="100"/>
    </row>
    <row r="5141" spans="6:30" x14ac:dyDescent="0.25">
      <c r="F5141" s="85" t="str">
        <f t="shared" si="28"/>
        <v/>
      </c>
      <c r="AB5141" s="86"/>
      <c r="AD5141" s="100"/>
    </row>
    <row r="5142" spans="6:30" x14ac:dyDescent="0.25">
      <c r="F5142" s="85" t="str">
        <f t="shared" si="28"/>
        <v/>
      </c>
      <c r="AB5142" s="86"/>
      <c r="AD5142" s="100"/>
    </row>
    <row r="5143" spans="6:30" x14ac:dyDescent="0.25">
      <c r="F5143" s="85" t="str">
        <f t="shared" si="28"/>
        <v/>
      </c>
      <c r="AB5143" s="86"/>
      <c r="AD5143" s="100"/>
    </row>
    <row r="5144" spans="6:30" x14ac:dyDescent="0.25">
      <c r="F5144" s="85" t="str">
        <f t="shared" si="28"/>
        <v/>
      </c>
      <c r="AB5144" s="86"/>
      <c r="AD5144" s="100"/>
    </row>
    <row r="5145" spans="6:30" x14ac:dyDescent="0.25">
      <c r="F5145" s="85" t="str">
        <f t="shared" si="28"/>
        <v/>
      </c>
      <c r="AB5145" s="86"/>
      <c r="AD5145" s="100"/>
    </row>
    <row r="5146" spans="6:30" x14ac:dyDescent="0.25">
      <c r="F5146" s="85" t="str">
        <f t="shared" si="28"/>
        <v/>
      </c>
      <c r="AB5146" s="86"/>
      <c r="AD5146" s="100"/>
    </row>
    <row r="5147" spans="6:30" x14ac:dyDescent="0.25">
      <c r="F5147" s="85" t="str">
        <f t="shared" si="28"/>
        <v/>
      </c>
      <c r="AB5147" s="86"/>
      <c r="AD5147" s="100"/>
    </row>
    <row r="5148" spans="6:30" x14ac:dyDescent="0.25">
      <c r="F5148" s="85" t="str">
        <f t="shared" si="28"/>
        <v/>
      </c>
      <c r="AB5148" s="86"/>
      <c r="AD5148" s="100"/>
    </row>
    <row r="5149" spans="6:30" x14ac:dyDescent="0.25">
      <c r="F5149" s="85" t="str">
        <f t="shared" si="28"/>
        <v/>
      </c>
      <c r="AB5149" s="86"/>
      <c r="AD5149" s="100"/>
    </row>
    <row r="5150" spans="6:30" x14ac:dyDescent="0.25">
      <c r="F5150" s="85" t="str">
        <f t="shared" si="28"/>
        <v/>
      </c>
      <c r="AB5150" s="86"/>
      <c r="AD5150" s="100"/>
    </row>
    <row r="5151" spans="6:30" x14ac:dyDescent="0.25">
      <c r="F5151" s="85" t="str">
        <f t="shared" si="28"/>
        <v/>
      </c>
      <c r="AB5151" s="86"/>
      <c r="AD5151" s="100"/>
    </row>
    <row r="5152" spans="6:30" x14ac:dyDescent="0.25">
      <c r="F5152" s="85" t="str">
        <f t="shared" si="28"/>
        <v/>
      </c>
      <c r="AB5152" s="86"/>
      <c r="AD5152" s="100"/>
    </row>
    <row r="5153" spans="6:30" x14ac:dyDescent="0.25">
      <c r="F5153" s="85" t="str">
        <f t="shared" si="28"/>
        <v/>
      </c>
      <c r="AB5153" s="86"/>
      <c r="AD5153" s="100"/>
    </row>
    <row r="5154" spans="6:30" x14ac:dyDescent="0.25">
      <c r="F5154" s="85" t="str">
        <f t="shared" si="28"/>
        <v/>
      </c>
      <c r="AB5154" s="86"/>
      <c r="AD5154" s="100"/>
    </row>
    <row r="5155" spans="6:30" x14ac:dyDescent="0.25">
      <c r="F5155" s="85" t="str">
        <f t="shared" si="28"/>
        <v/>
      </c>
      <c r="AB5155" s="86"/>
      <c r="AD5155" s="100"/>
    </row>
    <row r="5156" spans="6:30" x14ac:dyDescent="0.25">
      <c r="F5156" s="85" t="str">
        <f t="shared" si="28"/>
        <v/>
      </c>
      <c r="AB5156" s="86"/>
      <c r="AD5156" s="100"/>
    </row>
    <row r="5157" spans="6:30" x14ac:dyDescent="0.25">
      <c r="F5157" s="85" t="str">
        <f t="shared" si="28"/>
        <v/>
      </c>
      <c r="AB5157" s="86"/>
      <c r="AD5157" s="100"/>
    </row>
    <row r="5158" spans="6:30" x14ac:dyDescent="0.25">
      <c r="F5158" s="85" t="str">
        <f t="shared" si="28"/>
        <v/>
      </c>
      <c r="AB5158" s="86"/>
      <c r="AD5158" s="100"/>
    </row>
    <row r="5159" spans="6:30" x14ac:dyDescent="0.25">
      <c r="F5159" s="85" t="str">
        <f t="shared" si="28"/>
        <v/>
      </c>
      <c r="AB5159" s="86"/>
      <c r="AD5159" s="100"/>
    </row>
    <row r="5160" spans="6:30" x14ac:dyDescent="0.25">
      <c r="F5160" s="85" t="str">
        <f t="shared" si="28"/>
        <v/>
      </c>
      <c r="AB5160" s="86"/>
      <c r="AD5160" s="100"/>
    </row>
    <row r="5161" spans="6:30" x14ac:dyDescent="0.25">
      <c r="F5161" s="85" t="str">
        <f t="shared" si="28"/>
        <v/>
      </c>
      <c r="AB5161" s="86"/>
      <c r="AD5161" s="100"/>
    </row>
    <row r="5162" spans="6:30" x14ac:dyDescent="0.25">
      <c r="F5162" s="85" t="str">
        <f t="shared" si="28"/>
        <v/>
      </c>
      <c r="AB5162" s="86"/>
      <c r="AD5162" s="100"/>
    </row>
    <row r="5163" spans="6:30" x14ac:dyDescent="0.25">
      <c r="F5163" s="85" t="str">
        <f t="shared" si="28"/>
        <v/>
      </c>
      <c r="AB5163" s="86"/>
      <c r="AD5163" s="100"/>
    </row>
    <row r="5164" spans="6:30" x14ac:dyDescent="0.25">
      <c r="F5164" s="85" t="str">
        <f t="shared" si="28"/>
        <v/>
      </c>
      <c r="AB5164" s="86"/>
      <c r="AD5164" s="100"/>
    </row>
    <row r="5165" spans="6:30" x14ac:dyDescent="0.25">
      <c r="F5165" s="85" t="str">
        <f t="shared" si="28"/>
        <v/>
      </c>
      <c r="AB5165" s="86"/>
      <c r="AD5165" s="100"/>
    </row>
    <row r="5166" spans="6:30" x14ac:dyDescent="0.25">
      <c r="F5166" s="85" t="str">
        <f t="shared" si="28"/>
        <v/>
      </c>
      <c r="AB5166" s="86"/>
      <c r="AD5166" s="100"/>
    </row>
    <row r="5167" spans="6:30" x14ac:dyDescent="0.25">
      <c r="F5167" s="85" t="str">
        <f t="shared" si="28"/>
        <v/>
      </c>
      <c r="AB5167" s="86"/>
      <c r="AD5167" s="100"/>
    </row>
    <row r="5168" spans="6:30" x14ac:dyDescent="0.25">
      <c r="F5168" s="85" t="str">
        <f t="shared" si="28"/>
        <v/>
      </c>
      <c r="AB5168" s="86"/>
      <c r="AD5168" s="100"/>
    </row>
    <row r="5169" spans="6:30" x14ac:dyDescent="0.25">
      <c r="F5169" s="85" t="str">
        <f t="shared" si="28"/>
        <v/>
      </c>
      <c r="AB5169" s="86"/>
      <c r="AD5169" s="100"/>
    </row>
    <row r="5170" spans="6:30" x14ac:dyDescent="0.25">
      <c r="F5170" s="85" t="str">
        <f t="shared" si="28"/>
        <v/>
      </c>
      <c r="AB5170" s="86"/>
      <c r="AD5170" s="100"/>
    </row>
    <row r="5171" spans="6:30" x14ac:dyDescent="0.25">
      <c r="F5171" s="85" t="str">
        <f t="shared" si="28"/>
        <v/>
      </c>
      <c r="AB5171" s="86"/>
      <c r="AD5171" s="100"/>
    </row>
    <row r="5172" spans="6:30" x14ac:dyDescent="0.25">
      <c r="F5172" s="85" t="str">
        <f t="shared" si="28"/>
        <v/>
      </c>
      <c r="AB5172" s="86"/>
      <c r="AD5172" s="100"/>
    </row>
    <row r="5173" spans="6:30" x14ac:dyDescent="0.25">
      <c r="F5173" s="85" t="str">
        <f t="shared" si="28"/>
        <v/>
      </c>
      <c r="AB5173" s="86"/>
      <c r="AD5173" s="100"/>
    </row>
    <row r="5174" spans="6:30" x14ac:dyDescent="0.25">
      <c r="F5174" s="85" t="str">
        <f t="shared" si="28"/>
        <v/>
      </c>
      <c r="AB5174" s="86"/>
      <c r="AD5174" s="100"/>
    </row>
    <row r="5175" spans="6:30" x14ac:dyDescent="0.25">
      <c r="F5175" s="85" t="str">
        <f t="shared" si="28"/>
        <v/>
      </c>
      <c r="AB5175" s="86"/>
      <c r="AD5175" s="100"/>
    </row>
    <row r="5176" spans="6:30" x14ac:dyDescent="0.25">
      <c r="F5176" s="85" t="str">
        <f t="shared" si="28"/>
        <v/>
      </c>
      <c r="AB5176" s="86"/>
      <c r="AD5176" s="100"/>
    </row>
    <row r="5177" spans="6:30" x14ac:dyDescent="0.25">
      <c r="F5177" s="85" t="str">
        <f t="shared" si="28"/>
        <v/>
      </c>
      <c r="AB5177" s="86"/>
      <c r="AD5177" s="100"/>
    </row>
    <row r="5178" spans="6:30" x14ac:dyDescent="0.25">
      <c r="F5178" s="85" t="str">
        <f t="shared" si="28"/>
        <v/>
      </c>
      <c r="AB5178" s="86"/>
      <c r="AD5178" s="100"/>
    </row>
    <row r="5179" spans="6:30" x14ac:dyDescent="0.25">
      <c r="F5179" s="85" t="str">
        <f t="shared" si="28"/>
        <v/>
      </c>
      <c r="AB5179" s="86"/>
      <c r="AD5179" s="100"/>
    </row>
    <row r="5180" spans="6:30" x14ac:dyDescent="0.25">
      <c r="F5180" s="85" t="str">
        <f t="shared" si="28"/>
        <v/>
      </c>
      <c r="AB5180" s="86"/>
      <c r="AD5180" s="100"/>
    </row>
    <row r="5181" spans="6:30" x14ac:dyDescent="0.25">
      <c r="F5181" s="85" t="str">
        <f t="shared" si="28"/>
        <v/>
      </c>
      <c r="AB5181" s="86"/>
      <c r="AD5181" s="100"/>
    </row>
    <row r="5182" spans="6:30" x14ac:dyDescent="0.25">
      <c r="F5182" s="85" t="str">
        <f t="shared" si="28"/>
        <v/>
      </c>
      <c r="AB5182" s="86"/>
      <c r="AD5182" s="100"/>
    </row>
    <row r="5183" spans="6:30" x14ac:dyDescent="0.25">
      <c r="F5183" s="85" t="str">
        <f t="shared" si="28"/>
        <v/>
      </c>
      <c r="AB5183" s="86"/>
      <c r="AD5183" s="100"/>
    </row>
    <row r="5184" spans="6:30" x14ac:dyDescent="0.25">
      <c r="F5184" s="85" t="str">
        <f t="shared" si="28"/>
        <v/>
      </c>
      <c r="AB5184" s="86"/>
      <c r="AD5184" s="100"/>
    </row>
    <row r="5185" spans="6:30" x14ac:dyDescent="0.25">
      <c r="F5185" s="85" t="str">
        <f t="shared" si="28"/>
        <v/>
      </c>
      <c r="AB5185" s="86"/>
      <c r="AD5185" s="100"/>
    </row>
    <row r="5186" spans="6:30" x14ac:dyDescent="0.25">
      <c r="F5186" s="85" t="str">
        <f t="shared" si="28"/>
        <v/>
      </c>
      <c r="AB5186" s="86"/>
      <c r="AD5186" s="100"/>
    </row>
    <row r="5187" spans="6:30" x14ac:dyDescent="0.25">
      <c r="F5187" s="85" t="str">
        <f t="shared" ref="F5187:F5250" si="29">IF($A5187="","",CONCATENATE($A5187,"_",$B5187,"_",$C5187))</f>
        <v/>
      </c>
      <c r="AB5187" s="86"/>
      <c r="AD5187" s="100"/>
    </row>
    <row r="5188" spans="6:30" x14ac:dyDescent="0.25">
      <c r="F5188" s="85" t="str">
        <f t="shared" si="29"/>
        <v/>
      </c>
      <c r="AB5188" s="86"/>
      <c r="AD5188" s="100"/>
    </row>
    <row r="5189" spans="6:30" x14ac:dyDescent="0.25">
      <c r="F5189" s="85" t="str">
        <f t="shared" si="29"/>
        <v/>
      </c>
      <c r="AB5189" s="86"/>
      <c r="AD5189" s="100"/>
    </row>
    <row r="5190" spans="6:30" x14ac:dyDescent="0.25">
      <c r="F5190" s="85" t="str">
        <f t="shared" si="29"/>
        <v/>
      </c>
      <c r="AB5190" s="86"/>
      <c r="AD5190" s="100"/>
    </row>
    <row r="5191" spans="6:30" x14ac:dyDescent="0.25">
      <c r="F5191" s="85" t="str">
        <f t="shared" si="29"/>
        <v/>
      </c>
      <c r="AB5191" s="86"/>
      <c r="AD5191" s="100"/>
    </row>
    <row r="5192" spans="6:30" x14ac:dyDescent="0.25">
      <c r="F5192" s="85" t="str">
        <f t="shared" si="29"/>
        <v/>
      </c>
      <c r="AB5192" s="86"/>
      <c r="AD5192" s="100"/>
    </row>
    <row r="5193" spans="6:30" x14ac:dyDescent="0.25">
      <c r="F5193" s="85" t="str">
        <f t="shared" si="29"/>
        <v/>
      </c>
      <c r="AB5193" s="86"/>
      <c r="AD5193" s="100"/>
    </row>
    <row r="5194" spans="6:30" x14ac:dyDescent="0.25">
      <c r="F5194" s="85" t="str">
        <f t="shared" si="29"/>
        <v/>
      </c>
      <c r="AB5194" s="86"/>
      <c r="AD5194" s="100"/>
    </row>
    <row r="5195" spans="6:30" x14ac:dyDescent="0.25">
      <c r="F5195" s="85" t="str">
        <f t="shared" si="29"/>
        <v/>
      </c>
      <c r="AB5195" s="86"/>
      <c r="AD5195" s="100"/>
    </row>
    <row r="5196" spans="6:30" x14ac:dyDescent="0.25">
      <c r="F5196" s="85" t="str">
        <f t="shared" si="29"/>
        <v/>
      </c>
      <c r="AB5196" s="86"/>
      <c r="AD5196" s="100"/>
    </row>
    <row r="5197" spans="6:30" x14ac:dyDescent="0.25">
      <c r="F5197" s="85" t="str">
        <f t="shared" si="29"/>
        <v/>
      </c>
      <c r="AB5197" s="86"/>
      <c r="AD5197" s="100"/>
    </row>
    <row r="5198" spans="6:30" x14ac:dyDescent="0.25">
      <c r="F5198" s="85" t="str">
        <f t="shared" si="29"/>
        <v/>
      </c>
      <c r="AB5198" s="86"/>
      <c r="AD5198" s="100"/>
    </row>
    <row r="5199" spans="6:30" x14ac:dyDescent="0.25">
      <c r="F5199" s="85" t="str">
        <f t="shared" si="29"/>
        <v/>
      </c>
      <c r="AB5199" s="86"/>
      <c r="AD5199" s="100"/>
    </row>
    <row r="5200" spans="6:30" x14ac:dyDescent="0.25">
      <c r="F5200" s="85" t="str">
        <f t="shared" si="29"/>
        <v/>
      </c>
      <c r="AB5200" s="86"/>
      <c r="AD5200" s="100"/>
    </row>
    <row r="5201" spans="6:30" x14ac:dyDescent="0.25">
      <c r="F5201" s="85" t="str">
        <f t="shared" si="29"/>
        <v/>
      </c>
      <c r="AB5201" s="86"/>
      <c r="AD5201" s="100"/>
    </row>
    <row r="5202" spans="6:30" x14ac:dyDescent="0.25">
      <c r="F5202" s="85" t="str">
        <f t="shared" si="29"/>
        <v/>
      </c>
      <c r="AB5202" s="86"/>
      <c r="AD5202" s="100"/>
    </row>
    <row r="5203" spans="6:30" x14ac:dyDescent="0.25">
      <c r="F5203" s="85" t="str">
        <f t="shared" si="29"/>
        <v/>
      </c>
      <c r="AB5203" s="86"/>
      <c r="AD5203" s="100"/>
    </row>
    <row r="5204" spans="6:30" x14ac:dyDescent="0.25">
      <c r="F5204" s="85" t="str">
        <f t="shared" si="29"/>
        <v/>
      </c>
      <c r="AB5204" s="86"/>
      <c r="AD5204" s="100"/>
    </row>
    <row r="5205" spans="6:30" x14ac:dyDescent="0.25">
      <c r="F5205" s="85" t="str">
        <f t="shared" si="29"/>
        <v/>
      </c>
      <c r="AB5205" s="86"/>
      <c r="AD5205" s="100"/>
    </row>
    <row r="5206" spans="6:30" x14ac:dyDescent="0.25">
      <c r="F5206" s="85" t="str">
        <f t="shared" si="29"/>
        <v/>
      </c>
      <c r="AB5206" s="86"/>
      <c r="AD5206" s="100"/>
    </row>
    <row r="5207" spans="6:30" x14ac:dyDescent="0.25">
      <c r="F5207" s="85" t="str">
        <f t="shared" si="29"/>
        <v/>
      </c>
      <c r="AB5207" s="86"/>
      <c r="AD5207" s="100"/>
    </row>
    <row r="5208" spans="6:30" x14ac:dyDescent="0.25">
      <c r="F5208" s="85" t="str">
        <f t="shared" si="29"/>
        <v/>
      </c>
      <c r="AB5208" s="86"/>
      <c r="AD5208" s="100"/>
    </row>
    <row r="5209" spans="6:30" x14ac:dyDescent="0.25">
      <c r="F5209" s="85" t="str">
        <f t="shared" si="29"/>
        <v/>
      </c>
      <c r="AB5209" s="86"/>
      <c r="AD5209" s="100"/>
    </row>
    <row r="5210" spans="6:30" x14ac:dyDescent="0.25">
      <c r="F5210" s="85" t="str">
        <f t="shared" si="29"/>
        <v/>
      </c>
      <c r="AB5210" s="86"/>
      <c r="AD5210" s="100"/>
    </row>
    <row r="5211" spans="6:30" x14ac:dyDescent="0.25">
      <c r="F5211" s="85" t="str">
        <f t="shared" si="29"/>
        <v/>
      </c>
      <c r="AB5211" s="86"/>
      <c r="AD5211" s="100"/>
    </row>
    <row r="5212" spans="6:30" x14ac:dyDescent="0.25">
      <c r="F5212" s="85" t="str">
        <f t="shared" si="29"/>
        <v/>
      </c>
      <c r="AB5212" s="86"/>
      <c r="AD5212" s="100"/>
    </row>
    <row r="5213" spans="6:30" x14ac:dyDescent="0.25">
      <c r="F5213" s="85" t="str">
        <f t="shared" si="29"/>
        <v/>
      </c>
      <c r="AB5213" s="86"/>
      <c r="AD5213" s="100"/>
    </row>
    <row r="5214" spans="6:30" x14ac:dyDescent="0.25">
      <c r="F5214" s="85" t="str">
        <f t="shared" si="29"/>
        <v/>
      </c>
      <c r="AB5214" s="86"/>
      <c r="AD5214" s="100"/>
    </row>
    <row r="5215" spans="6:30" x14ac:dyDescent="0.25">
      <c r="F5215" s="85" t="str">
        <f t="shared" si="29"/>
        <v/>
      </c>
      <c r="AB5215" s="86"/>
      <c r="AD5215" s="100"/>
    </row>
    <row r="5216" spans="6:30" x14ac:dyDescent="0.25">
      <c r="F5216" s="85" t="str">
        <f t="shared" si="29"/>
        <v/>
      </c>
      <c r="AB5216" s="86"/>
      <c r="AD5216" s="100"/>
    </row>
    <row r="5217" spans="6:30" x14ac:dyDescent="0.25">
      <c r="F5217" s="85" t="str">
        <f t="shared" si="29"/>
        <v/>
      </c>
      <c r="AB5217" s="86"/>
      <c r="AD5217" s="100"/>
    </row>
    <row r="5218" spans="6:30" x14ac:dyDescent="0.25">
      <c r="F5218" s="85" t="str">
        <f t="shared" si="29"/>
        <v/>
      </c>
      <c r="AB5218" s="86"/>
      <c r="AD5218" s="100"/>
    </row>
    <row r="5219" spans="6:30" x14ac:dyDescent="0.25">
      <c r="F5219" s="85" t="str">
        <f t="shared" si="29"/>
        <v/>
      </c>
      <c r="AB5219" s="86"/>
      <c r="AD5219" s="100"/>
    </row>
    <row r="5220" spans="6:30" x14ac:dyDescent="0.25">
      <c r="F5220" s="85" t="str">
        <f t="shared" si="29"/>
        <v/>
      </c>
      <c r="AB5220" s="86"/>
      <c r="AD5220" s="100"/>
    </row>
    <row r="5221" spans="6:30" x14ac:dyDescent="0.25">
      <c r="F5221" s="85" t="str">
        <f t="shared" si="29"/>
        <v/>
      </c>
      <c r="AB5221" s="86"/>
      <c r="AD5221" s="100"/>
    </row>
    <row r="5222" spans="6:30" x14ac:dyDescent="0.25">
      <c r="F5222" s="85" t="str">
        <f t="shared" si="29"/>
        <v/>
      </c>
      <c r="AB5222" s="86"/>
      <c r="AD5222" s="100"/>
    </row>
    <row r="5223" spans="6:30" x14ac:dyDescent="0.25">
      <c r="F5223" s="85" t="str">
        <f t="shared" si="29"/>
        <v/>
      </c>
      <c r="AB5223" s="86"/>
      <c r="AD5223" s="100"/>
    </row>
    <row r="5224" spans="6:30" x14ac:dyDescent="0.25">
      <c r="F5224" s="85" t="str">
        <f t="shared" si="29"/>
        <v/>
      </c>
      <c r="AB5224" s="86"/>
      <c r="AD5224" s="100"/>
    </row>
    <row r="5225" spans="6:30" x14ac:dyDescent="0.25">
      <c r="F5225" s="85" t="str">
        <f t="shared" si="29"/>
        <v/>
      </c>
      <c r="AB5225" s="86"/>
      <c r="AD5225" s="100"/>
    </row>
    <row r="5226" spans="6:30" x14ac:dyDescent="0.25">
      <c r="F5226" s="85" t="str">
        <f t="shared" si="29"/>
        <v/>
      </c>
      <c r="AB5226" s="86"/>
      <c r="AD5226" s="100"/>
    </row>
    <row r="5227" spans="6:30" x14ac:dyDescent="0.25">
      <c r="F5227" s="85" t="str">
        <f t="shared" si="29"/>
        <v/>
      </c>
      <c r="AB5227" s="86"/>
      <c r="AD5227" s="100"/>
    </row>
    <row r="5228" spans="6:30" x14ac:dyDescent="0.25">
      <c r="F5228" s="85" t="str">
        <f t="shared" si="29"/>
        <v/>
      </c>
      <c r="AB5228" s="86"/>
      <c r="AD5228" s="100"/>
    </row>
    <row r="5229" spans="6:30" x14ac:dyDescent="0.25">
      <c r="F5229" s="85" t="str">
        <f t="shared" si="29"/>
        <v/>
      </c>
      <c r="AB5229" s="86"/>
      <c r="AD5229" s="100"/>
    </row>
    <row r="5230" spans="6:30" x14ac:dyDescent="0.25">
      <c r="F5230" s="85" t="str">
        <f t="shared" si="29"/>
        <v/>
      </c>
      <c r="AB5230" s="86"/>
      <c r="AD5230" s="100"/>
    </row>
    <row r="5231" spans="6:30" x14ac:dyDescent="0.25">
      <c r="F5231" s="85" t="str">
        <f t="shared" si="29"/>
        <v/>
      </c>
      <c r="AB5231" s="86"/>
      <c r="AD5231" s="100"/>
    </row>
    <row r="5232" spans="6:30" x14ac:dyDescent="0.25">
      <c r="F5232" s="85" t="str">
        <f t="shared" si="29"/>
        <v/>
      </c>
      <c r="AB5232" s="86"/>
      <c r="AD5232" s="100"/>
    </row>
    <row r="5233" spans="6:30" x14ac:dyDescent="0.25">
      <c r="F5233" s="85" t="str">
        <f t="shared" si="29"/>
        <v/>
      </c>
      <c r="AB5233" s="86"/>
      <c r="AD5233" s="100"/>
    </row>
    <row r="5234" spans="6:30" x14ac:dyDescent="0.25">
      <c r="F5234" s="85" t="str">
        <f t="shared" si="29"/>
        <v/>
      </c>
      <c r="AB5234" s="86"/>
      <c r="AD5234" s="100"/>
    </row>
    <row r="5235" spans="6:30" x14ac:dyDescent="0.25">
      <c r="F5235" s="85" t="str">
        <f t="shared" si="29"/>
        <v/>
      </c>
      <c r="AB5235" s="86"/>
      <c r="AD5235" s="100"/>
    </row>
    <row r="5236" spans="6:30" x14ac:dyDescent="0.25">
      <c r="F5236" s="85" t="str">
        <f t="shared" si="29"/>
        <v/>
      </c>
      <c r="AB5236" s="86"/>
      <c r="AD5236" s="100"/>
    </row>
    <row r="5237" spans="6:30" x14ac:dyDescent="0.25">
      <c r="F5237" s="85" t="str">
        <f t="shared" si="29"/>
        <v/>
      </c>
      <c r="AB5237" s="86"/>
      <c r="AD5237" s="100"/>
    </row>
    <row r="5238" spans="6:30" x14ac:dyDescent="0.25">
      <c r="F5238" s="85" t="str">
        <f t="shared" si="29"/>
        <v/>
      </c>
      <c r="AB5238" s="86"/>
      <c r="AD5238" s="100"/>
    </row>
    <row r="5239" spans="6:30" x14ac:dyDescent="0.25">
      <c r="F5239" s="85" t="str">
        <f t="shared" si="29"/>
        <v/>
      </c>
      <c r="AB5239" s="86"/>
      <c r="AD5239" s="100"/>
    </row>
    <row r="5240" spans="6:30" x14ac:dyDescent="0.25">
      <c r="F5240" s="85" t="str">
        <f t="shared" si="29"/>
        <v/>
      </c>
      <c r="AB5240" s="86"/>
      <c r="AD5240" s="100"/>
    </row>
    <row r="5241" spans="6:30" x14ac:dyDescent="0.25">
      <c r="F5241" s="85" t="str">
        <f t="shared" si="29"/>
        <v/>
      </c>
      <c r="AB5241" s="86"/>
      <c r="AD5241" s="100"/>
    </row>
    <row r="5242" spans="6:30" x14ac:dyDescent="0.25">
      <c r="F5242" s="85" t="str">
        <f t="shared" si="29"/>
        <v/>
      </c>
      <c r="AB5242" s="86"/>
      <c r="AD5242" s="100"/>
    </row>
    <row r="5243" spans="6:30" x14ac:dyDescent="0.25">
      <c r="F5243" s="85" t="str">
        <f t="shared" si="29"/>
        <v/>
      </c>
      <c r="AB5243" s="86"/>
      <c r="AD5243" s="100"/>
    </row>
    <row r="5244" spans="6:30" x14ac:dyDescent="0.25">
      <c r="F5244" s="85" t="str">
        <f t="shared" si="29"/>
        <v/>
      </c>
      <c r="AB5244" s="86"/>
      <c r="AD5244" s="100"/>
    </row>
    <row r="5245" spans="6:30" x14ac:dyDescent="0.25">
      <c r="F5245" s="85" t="str">
        <f t="shared" si="29"/>
        <v/>
      </c>
      <c r="AB5245" s="86"/>
      <c r="AD5245" s="100"/>
    </row>
    <row r="5246" spans="6:30" x14ac:dyDescent="0.25">
      <c r="F5246" s="85" t="str">
        <f t="shared" si="29"/>
        <v/>
      </c>
      <c r="AB5246" s="86"/>
      <c r="AD5246" s="100"/>
    </row>
    <row r="5247" spans="6:30" x14ac:dyDescent="0.25">
      <c r="F5247" s="85" t="str">
        <f t="shared" si="29"/>
        <v/>
      </c>
      <c r="AB5247" s="86"/>
      <c r="AD5247" s="100"/>
    </row>
    <row r="5248" spans="6:30" x14ac:dyDescent="0.25">
      <c r="F5248" s="85" t="str">
        <f t="shared" si="29"/>
        <v/>
      </c>
      <c r="AB5248" s="86"/>
      <c r="AD5248" s="100"/>
    </row>
    <row r="5249" spans="6:30" x14ac:dyDescent="0.25">
      <c r="F5249" s="85" t="str">
        <f t="shared" si="29"/>
        <v/>
      </c>
      <c r="AB5249" s="86"/>
      <c r="AD5249" s="100"/>
    </row>
    <row r="5250" spans="6:30" x14ac:dyDescent="0.25">
      <c r="F5250" s="85" t="str">
        <f t="shared" si="29"/>
        <v/>
      </c>
      <c r="AB5250" s="86"/>
      <c r="AD5250" s="100"/>
    </row>
    <row r="5251" spans="6:30" x14ac:dyDescent="0.25">
      <c r="F5251" s="85" t="str">
        <f t="shared" ref="F5251:F5314" si="30">IF($A5251="","",CONCATENATE($A5251,"_",$B5251,"_",$C5251))</f>
        <v/>
      </c>
      <c r="AB5251" s="86"/>
      <c r="AD5251" s="100"/>
    </row>
    <row r="5252" spans="6:30" x14ac:dyDescent="0.25">
      <c r="F5252" s="85" t="str">
        <f t="shared" si="30"/>
        <v/>
      </c>
      <c r="AB5252" s="86"/>
      <c r="AD5252" s="100"/>
    </row>
    <row r="5253" spans="6:30" x14ac:dyDescent="0.25">
      <c r="F5253" s="85" t="str">
        <f t="shared" si="30"/>
        <v/>
      </c>
      <c r="AB5253" s="86"/>
      <c r="AD5253" s="100"/>
    </row>
    <row r="5254" spans="6:30" x14ac:dyDescent="0.25">
      <c r="F5254" s="85" t="str">
        <f t="shared" si="30"/>
        <v/>
      </c>
      <c r="AB5254" s="86"/>
      <c r="AD5254" s="100"/>
    </row>
    <row r="5255" spans="6:30" x14ac:dyDescent="0.25">
      <c r="F5255" s="85" t="str">
        <f t="shared" si="30"/>
        <v/>
      </c>
      <c r="AB5255" s="86"/>
      <c r="AD5255" s="100"/>
    </row>
    <row r="5256" spans="6:30" x14ac:dyDescent="0.25">
      <c r="F5256" s="85" t="str">
        <f t="shared" si="30"/>
        <v/>
      </c>
      <c r="AB5256" s="86"/>
      <c r="AD5256" s="100"/>
    </row>
    <row r="5257" spans="6:30" x14ac:dyDescent="0.25">
      <c r="F5257" s="85" t="str">
        <f t="shared" si="30"/>
        <v/>
      </c>
      <c r="AB5257" s="86"/>
      <c r="AD5257" s="100"/>
    </row>
    <row r="5258" spans="6:30" x14ac:dyDescent="0.25">
      <c r="F5258" s="85" t="str">
        <f t="shared" si="30"/>
        <v/>
      </c>
      <c r="AB5258" s="86"/>
      <c r="AD5258" s="100"/>
    </row>
    <row r="5259" spans="6:30" x14ac:dyDescent="0.25">
      <c r="F5259" s="85" t="str">
        <f t="shared" si="30"/>
        <v/>
      </c>
      <c r="AB5259" s="86"/>
      <c r="AD5259" s="100"/>
    </row>
    <row r="5260" spans="6:30" x14ac:dyDescent="0.25">
      <c r="F5260" s="85" t="str">
        <f t="shared" si="30"/>
        <v/>
      </c>
      <c r="AB5260" s="86"/>
      <c r="AD5260" s="100"/>
    </row>
    <row r="5261" spans="6:30" x14ac:dyDescent="0.25">
      <c r="F5261" s="85" t="str">
        <f t="shared" si="30"/>
        <v/>
      </c>
      <c r="AB5261" s="86"/>
      <c r="AD5261" s="100"/>
    </row>
    <row r="5262" spans="6:30" x14ac:dyDescent="0.25">
      <c r="F5262" s="85" t="str">
        <f t="shared" si="30"/>
        <v/>
      </c>
      <c r="AB5262" s="86"/>
      <c r="AD5262" s="100"/>
    </row>
    <row r="5263" spans="6:30" x14ac:dyDescent="0.25">
      <c r="F5263" s="85" t="str">
        <f t="shared" si="30"/>
        <v/>
      </c>
      <c r="AB5263" s="86"/>
      <c r="AD5263" s="100"/>
    </row>
    <row r="5264" spans="6:30" x14ac:dyDescent="0.25">
      <c r="F5264" s="85" t="str">
        <f t="shared" si="30"/>
        <v/>
      </c>
      <c r="AB5264" s="86"/>
      <c r="AD5264" s="100"/>
    </row>
    <row r="5265" spans="6:30" x14ac:dyDescent="0.25">
      <c r="F5265" s="85" t="str">
        <f t="shared" si="30"/>
        <v/>
      </c>
      <c r="AB5265" s="86"/>
      <c r="AD5265" s="100"/>
    </row>
    <row r="5266" spans="6:30" x14ac:dyDescent="0.25">
      <c r="F5266" s="85" t="str">
        <f t="shared" si="30"/>
        <v/>
      </c>
      <c r="AB5266" s="86"/>
      <c r="AD5266" s="100"/>
    </row>
    <row r="5267" spans="6:30" x14ac:dyDescent="0.25">
      <c r="F5267" s="85" t="str">
        <f t="shared" si="30"/>
        <v/>
      </c>
      <c r="AB5267" s="86"/>
      <c r="AD5267" s="100"/>
    </row>
    <row r="5268" spans="6:30" x14ac:dyDescent="0.25">
      <c r="F5268" s="85" t="str">
        <f t="shared" si="30"/>
        <v/>
      </c>
      <c r="AB5268" s="86"/>
      <c r="AD5268" s="100"/>
    </row>
    <row r="5269" spans="6:30" x14ac:dyDescent="0.25">
      <c r="F5269" s="85" t="str">
        <f t="shared" si="30"/>
        <v/>
      </c>
      <c r="AB5269" s="86"/>
      <c r="AD5269" s="100"/>
    </row>
    <row r="5270" spans="6:30" x14ac:dyDescent="0.25">
      <c r="F5270" s="85" t="str">
        <f t="shared" si="30"/>
        <v/>
      </c>
      <c r="AB5270" s="86"/>
      <c r="AD5270" s="100"/>
    </row>
    <row r="5271" spans="6:30" x14ac:dyDescent="0.25">
      <c r="F5271" s="85" t="str">
        <f t="shared" si="30"/>
        <v/>
      </c>
      <c r="AB5271" s="86"/>
      <c r="AD5271" s="100"/>
    </row>
    <row r="5272" spans="6:30" x14ac:dyDescent="0.25">
      <c r="F5272" s="85" t="str">
        <f t="shared" si="30"/>
        <v/>
      </c>
      <c r="AB5272" s="86"/>
      <c r="AD5272" s="100"/>
    </row>
    <row r="5273" spans="6:30" x14ac:dyDescent="0.25">
      <c r="F5273" s="85" t="str">
        <f t="shared" si="30"/>
        <v/>
      </c>
      <c r="AB5273" s="86"/>
      <c r="AD5273" s="100"/>
    </row>
    <row r="5274" spans="6:30" x14ac:dyDescent="0.25">
      <c r="F5274" s="85" t="str">
        <f t="shared" si="30"/>
        <v/>
      </c>
      <c r="AB5274" s="86"/>
      <c r="AD5274" s="100"/>
    </row>
    <row r="5275" spans="6:30" x14ac:dyDescent="0.25">
      <c r="F5275" s="85" t="str">
        <f t="shared" si="30"/>
        <v/>
      </c>
      <c r="AB5275" s="86"/>
      <c r="AD5275" s="100"/>
    </row>
    <row r="5276" spans="6:30" x14ac:dyDescent="0.25">
      <c r="F5276" s="85" t="str">
        <f t="shared" si="30"/>
        <v/>
      </c>
      <c r="AB5276" s="86"/>
      <c r="AD5276" s="100"/>
    </row>
    <row r="5277" spans="6:30" x14ac:dyDescent="0.25">
      <c r="F5277" s="85" t="str">
        <f t="shared" si="30"/>
        <v/>
      </c>
      <c r="AB5277" s="86"/>
      <c r="AD5277" s="100"/>
    </row>
    <row r="5278" spans="6:30" x14ac:dyDescent="0.25">
      <c r="F5278" s="85" t="str">
        <f t="shared" si="30"/>
        <v/>
      </c>
      <c r="AB5278" s="86"/>
      <c r="AD5278" s="100"/>
    </row>
    <row r="5279" spans="6:30" x14ac:dyDescent="0.25">
      <c r="F5279" s="85" t="str">
        <f t="shared" si="30"/>
        <v/>
      </c>
      <c r="AB5279" s="86"/>
      <c r="AD5279" s="100"/>
    </row>
    <row r="5280" spans="6:30" x14ac:dyDescent="0.25">
      <c r="F5280" s="85" t="str">
        <f t="shared" si="30"/>
        <v/>
      </c>
      <c r="AB5280" s="86"/>
      <c r="AD5280" s="100"/>
    </row>
    <row r="5281" spans="6:30" x14ac:dyDescent="0.25">
      <c r="F5281" s="85" t="str">
        <f t="shared" si="30"/>
        <v/>
      </c>
      <c r="AB5281" s="86"/>
      <c r="AD5281" s="100"/>
    </row>
    <row r="5282" spans="6:30" x14ac:dyDescent="0.25">
      <c r="F5282" s="85" t="str">
        <f t="shared" si="30"/>
        <v/>
      </c>
      <c r="AB5282" s="86"/>
      <c r="AD5282" s="100"/>
    </row>
    <row r="5283" spans="6:30" x14ac:dyDescent="0.25">
      <c r="F5283" s="85" t="str">
        <f t="shared" si="30"/>
        <v/>
      </c>
      <c r="AB5283" s="86"/>
      <c r="AD5283" s="100"/>
    </row>
    <row r="5284" spans="6:30" x14ac:dyDescent="0.25">
      <c r="F5284" s="85" t="str">
        <f t="shared" si="30"/>
        <v/>
      </c>
      <c r="AB5284" s="86"/>
      <c r="AD5284" s="100"/>
    </row>
    <row r="5285" spans="6:30" x14ac:dyDescent="0.25">
      <c r="F5285" s="85" t="str">
        <f t="shared" si="30"/>
        <v/>
      </c>
      <c r="AB5285" s="86"/>
      <c r="AD5285" s="100"/>
    </row>
    <row r="5286" spans="6:30" x14ac:dyDescent="0.25">
      <c r="F5286" s="85" t="str">
        <f t="shared" si="30"/>
        <v/>
      </c>
      <c r="AB5286" s="86"/>
      <c r="AD5286" s="100"/>
    </row>
    <row r="5287" spans="6:30" x14ac:dyDescent="0.25">
      <c r="F5287" s="85" t="str">
        <f t="shared" si="30"/>
        <v/>
      </c>
      <c r="AB5287" s="86"/>
      <c r="AD5287" s="100"/>
    </row>
    <row r="5288" spans="6:30" x14ac:dyDescent="0.25">
      <c r="F5288" s="85" t="str">
        <f t="shared" si="30"/>
        <v/>
      </c>
      <c r="AB5288" s="86"/>
      <c r="AD5288" s="100"/>
    </row>
    <row r="5289" spans="6:30" x14ac:dyDescent="0.25">
      <c r="F5289" s="85" t="str">
        <f t="shared" si="30"/>
        <v/>
      </c>
      <c r="AB5289" s="86"/>
      <c r="AD5289" s="100"/>
    </row>
    <row r="5290" spans="6:30" x14ac:dyDescent="0.25">
      <c r="F5290" s="85" t="str">
        <f t="shared" si="30"/>
        <v/>
      </c>
      <c r="AB5290" s="86"/>
      <c r="AD5290" s="100"/>
    </row>
    <row r="5291" spans="6:30" x14ac:dyDescent="0.25">
      <c r="F5291" s="85" t="str">
        <f t="shared" si="30"/>
        <v/>
      </c>
      <c r="AB5291" s="86"/>
      <c r="AD5291" s="100"/>
    </row>
    <row r="5292" spans="6:30" x14ac:dyDescent="0.25">
      <c r="F5292" s="85" t="str">
        <f t="shared" si="30"/>
        <v/>
      </c>
      <c r="AB5292" s="86"/>
      <c r="AD5292" s="100"/>
    </row>
    <row r="5293" spans="6:30" x14ac:dyDescent="0.25">
      <c r="F5293" s="85" t="str">
        <f t="shared" si="30"/>
        <v/>
      </c>
      <c r="AB5293" s="86"/>
      <c r="AD5293" s="100"/>
    </row>
    <row r="5294" spans="6:30" x14ac:dyDescent="0.25">
      <c r="F5294" s="85" t="str">
        <f t="shared" si="30"/>
        <v/>
      </c>
      <c r="AB5294" s="86"/>
      <c r="AD5294" s="100"/>
    </row>
    <row r="5295" spans="6:30" x14ac:dyDescent="0.25">
      <c r="F5295" s="85" t="str">
        <f t="shared" si="30"/>
        <v/>
      </c>
      <c r="AB5295" s="86"/>
      <c r="AD5295" s="100"/>
    </row>
    <row r="5296" spans="6:30" x14ac:dyDescent="0.25">
      <c r="F5296" s="85" t="str">
        <f t="shared" si="30"/>
        <v/>
      </c>
      <c r="AB5296" s="86"/>
      <c r="AD5296" s="100"/>
    </row>
    <row r="5297" spans="6:30" x14ac:dyDescent="0.25">
      <c r="F5297" s="85" t="str">
        <f t="shared" si="30"/>
        <v/>
      </c>
      <c r="AB5297" s="86"/>
      <c r="AD5297" s="100"/>
    </row>
    <row r="5298" spans="6:30" x14ac:dyDescent="0.25">
      <c r="F5298" s="85" t="str">
        <f t="shared" si="30"/>
        <v/>
      </c>
      <c r="AB5298" s="86"/>
      <c r="AD5298" s="100"/>
    </row>
    <row r="5299" spans="6:30" x14ac:dyDescent="0.25">
      <c r="F5299" s="85" t="str">
        <f t="shared" si="30"/>
        <v/>
      </c>
      <c r="AB5299" s="86"/>
      <c r="AD5299" s="100"/>
    </row>
    <row r="5300" spans="6:30" x14ac:dyDescent="0.25">
      <c r="F5300" s="85" t="str">
        <f t="shared" si="30"/>
        <v/>
      </c>
      <c r="AB5300" s="86"/>
      <c r="AD5300" s="100"/>
    </row>
    <row r="5301" spans="6:30" x14ac:dyDescent="0.25">
      <c r="F5301" s="85" t="str">
        <f t="shared" si="30"/>
        <v/>
      </c>
      <c r="AB5301" s="86"/>
      <c r="AD5301" s="100"/>
    </row>
    <row r="5302" spans="6:30" x14ac:dyDescent="0.25">
      <c r="F5302" s="85" t="str">
        <f t="shared" si="30"/>
        <v/>
      </c>
      <c r="AB5302" s="86"/>
      <c r="AD5302" s="100"/>
    </row>
    <row r="5303" spans="6:30" x14ac:dyDescent="0.25">
      <c r="F5303" s="85" t="str">
        <f t="shared" si="30"/>
        <v/>
      </c>
      <c r="AB5303" s="86"/>
      <c r="AD5303" s="100"/>
    </row>
    <row r="5304" spans="6:30" x14ac:dyDescent="0.25">
      <c r="F5304" s="85" t="str">
        <f t="shared" si="30"/>
        <v/>
      </c>
      <c r="AB5304" s="86"/>
      <c r="AD5304" s="100"/>
    </row>
    <row r="5305" spans="6:30" x14ac:dyDescent="0.25">
      <c r="F5305" s="85" t="str">
        <f t="shared" si="30"/>
        <v/>
      </c>
      <c r="AB5305" s="86"/>
      <c r="AD5305" s="100"/>
    </row>
    <row r="5306" spans="6:30" x14ac:dyDescent="0.25">
      <c r="F5306" s="85" t="str">
        <f t="shared" si="30"/>
        <v/>
      </c>
      <c r="AB5306" s="86"/>
      <c r="AD5306" s="100"/>
    </row>
    <row r="5307" spans="6:30" x14ac:dyDescent="0.25">
      <c r="F5307" s="85" t="str">
        <f t="shared" si="30"/>
        <v/>
      </c>
      <c r="AB5307" s="86"/>
      <c r="AD5307" s="100"/>
    </row>
    <row r="5308" spans="6:30" x14ac:dyDescent="0.25">
      <c r="F5308" s="85" t="str">
        <f t="shared" si="30"/>
        <v/>
      </c>
      <c r="AB5308" s="86"/>
      <c r="AD5308" s="100"/>
    </row>
    <row r="5309" spans="6:30" x14ac:dyDescent="0.25">
      <c r="F5309" s="85" t="str">
        <f t="shared" si="30"/>
        <v/>
      </c>
      <c r="AB5309" s="86"/>
      <c r="AD5309" s="100"/>
    </row>
    <row r="5310" spans="6:30" x14ac:dyDescent="0.25">
      <c r="F5310" s="85" t="str">
        <f t="shared" si="30"/>
        <v/>
      </c>
      <c r="AB5310" s="86"/>
      <c r="AD5310" s="100"/>
    </row>
    <row r="5311" spans="6:30" x14ac:dyDescent="0.25">
      <c r="F5311" s="85" t="str">
        <f t="shared" si="30"/>
        <v/>
      </c>
      <c r="AB5311" s="86"/>
      <c r="AD5311" s="100"/>
    </row>
    <row r="5312" spans="6:30" x14ac:dyDescent="0.25">
      <c r="F5312" s="85" t="str">
        <f t="shared" si="30"/>
        <v/>
      </c>
      <c r="AB5312" s="86"/>
      <c r="AD5312" s="100"/>
    </row>
    <row r="5313" spans="6:30" x14ac:dyDescent="0.25">
      <c r="F5313" s="85" t="str">
        <f t="shared" si="30"/>
        <v/>
      </c>
      <c r="AB5313" s="86"/>
      <c r="AD5313" s="100"/>
    </row>
    <row r="5314" spans="6:30" x14ac:dyDescent="0.25">
      <c r="F5314" s="85" t="str">
        <f t="shared" si="30"/>
        <v/>
      </c>
      <c r="AB5314" s="86"/>
      <c r="AD5314" s="100"/>
    </row>
    <row r="5315" spans="6:30" x14ac:dyDescent="0.25">
      <c r="F5315" s="85" t="str">
        <f t="shared" ref="F5315:F5378" si="31">IF($A5315="","",CONCATENATE($A5315,"_",$B5315,"_",$C5315))</f>
        <v/>
      </c>
      <c r="AB5315" s="86"/>
      <c r="AD5315" s="100"/>
    </row>
    <row r="5316" spans="6:30" x14ac:dyDescent="0.25">
      <c r="F5316" s="85" t="str">
        <f t="shared" si="31"/>
        <v/>
      </c>
      <c r="AB5316" s="86"/>
      <c r="AD5316" s="100"/>
    </row>
    <row r="5317" spans="6:30" x14ac:dyDescent="0.25">
      <c r="F5317" s="85" t="str">
        <f t="shared" si="31"/>
        <v/>
      </c>
      <c r="AB5317" s="86"/>
      <c r="AD5317" s="100"/>
    </row>
    <row r="5318" spans="6:30" x14ac:dyDescent="0.25">
      <c r="F5318" s="85" t="str">
        <f t="shared" si="31"/>
        <v/>
      </c>
      <c r="AB5318" s="86"/>
      <c r="AD5318" s="100"/>
    </row>
    <row r="5319" spans="6:30" x14ac:dyDescent="0.25">
      <c r="F5319" s="85" t="str">
        <f t="shared" si="31"/>
        <v/>
      </c>
      <c r="AB5319" s="86"/>
      <c r="AD5319" s="100"/>
    </row>
    <row r="5320" spans="6:30" x14ac:dyDescent="0.25">
      <c r="F5320" s="85" t="str">
        <f t="shared" si="31"/>
        <v/>
      </c>
      <c r="AB5320" s="86"/>
      <c r="AD5320" s="100"/>
    </row>
    <row r="5321" spans="6:30" x14ac:dyDescent="0.25">
      <c r="F5321" s="85" t="str">
        <f t="shared" si="31"/>
        <v/>
      </c>
      <c r="AB5321" s="86"/>
      <c r="AD5321" s="100"/>
    </row>
    <row r="5322" spans="6:30" x14ac:dyDescent="0.25">
      <c r="F5322" s="85" t="str">
        <f t="shared" si="31"/>
        <v/>
      </c>
      <c r="AB5322" s="86"/>
      <c r="AD5322" s="100"/>
    </row>
    <row r="5323" spans="6:30" x14ac:dyDescent="0.25">
      <c r="F5323" s="85" t="str">
        <f t="shared" si="31"/>
        <v/>
      </c>
      <c r="AB5323" s="86"/>
      <c r="AD5323" s="100"/>
    </row>
    <row r="5324" spans="6:30" x14ac:dyDescent="0.25">
      <c r="F5324" s="85" t="str">
        <f t="shared" si="31"/>
        <v/>
      </c>
      <c r="AB5324" s="86"/>
      <c r="AD5324" s="100"/>
    </row>
    <row r="5325" spans="6:30" x14ac:dyDescent="0.25">
      <c r="F5325" s="85" t="str">
        <f t="shared" si="31"/>
        <v/>
      </c>
      <c r="AB5325" s="86"/>
      <c r="AD5325" s="100"/>
    </row>
    <row r="5326" spans="6:30" x14ac:dyDescent="0.25">
      <c r="F5326" s="85" t="str">
        <f t="shared" si="31"/>
        <v/>
      </c>
      <c r="AB5326" s="86"/>
      <c r="AD5326" s="100"/>
    </row>
    <row r="5327" spans="6:30" x14ac:dyDescent="0.25">
      <c r="F5327" s="85" t="str">
        <f t="shared" si="31"/>
        <v/>
      </c>
      <c r="AB5327" s="86"/>
      <c r="AD5327" s="100"/>
    </row>
    <row r="5328" spans="6:30" x14ac:dyDescent="0.25">
      <c r="F5328" s="85" t="str">
        <f t="shared" si="31"/>
        <v/>
      </c>
      <c r="AB5328" s="86"/>
      <c r="AD5328" s="100"/>
    </row>
    <row r="5329" spans="6:30" x14ac:dyDescent="0.25">
      <c r="F5329" s="85" t="str">
        <f t="shared" si="31"/>
        <v/>
      </c>
      <c r="AB5329" s="86"/>
      <c r="AD5329" s="100"/>
    </row>
    <row r="5330" spans="6:30" x14ac:dyDescent="0.25">
      <c r="F5330" s="85" t="str">
        <f t="shared" si="31"/>
        <v/>
      </c>
      <c r="AB5330" s="86"/>
      <c r="AD5330" s="100"/>
    </row>
    <row r="5331" spans="6:30" x14ac:dyDescent="0.25">
      <c r="F5331" s="85" t="str">
        <f t="shared" si="31"/>
        <v/>
      </c>
      <c r="AB5331" s="86"/>
      <c r="AD5331" s="100"/>
    </row>
    <row r="5332" spans="6:30" x14ac:dyDescent="0.25">
      <c r="F5332" s="85" t="str">
        <f t="shared" si="31"/>
        <v/>
      </c>
      <c r="AB5332" s="86"/>
      <c r="AD5332" s="100"/>
    </row>
    <row r="5333" spans="6:30" x14ac:dyDescent="0.25">
      <c r="F5333" s="85" t="str">
        <f t="shared" si="31"/>
        <v/>
      </c>
      <c r="AB5333" s="86"/>
      <c r="AD5333" s="100"/>
    </row>
    <row r="5334" spans="6:30" x14ac:dyDescent="0.25">
      <c r="F5334" s="85" t="str">
        <f t="shared" si="31"/>
        <v/>
      </c>
      <c r="AB5334" s="86"/>
      <c r="AD5334" s="100"/>
    </row>
    <row r="5335" spans="6:30" x14ac:dyDescent="0.25">
      <c r="F5335" s="85" t="str">
        <f t="shared" si="31"/>
        <v/>
      </c>
      <c r="AB5335" s="86"/>
      <c r="AD5335" s="100"/>
    </row>
    <row r="5336" spans="6:30" x14ac:dyDescent="0.25">
      <c r="F5336" s="85" t="str">
        <f t="shared" si="31"/>
        <v/>
      </c>
      <c r="AB5336" s="86"/>
      <c r="AD5336" s="100"/>
    </row>
    <row r="5337" spans="6:30" x14ac:dyDescent="0.25">
      <c r="F5337" s="85" t="str">
        <f t="shared" si="31"/>
        <v/>
      </c>
      <c r="AB5337" s="86"/>
      <c r="AD5337" s="100"/>
    </row>
    <row r="5338" spans="6:30" x14ac:dyDescent="0.25">
      <c r="F5338" s="85" t="str">
        <f t="shared" si="31"/>
        <v/>
      </c>
      <c r="AB5338" s="86"/>
      <c r="AD5338" s="100"/>
    </row>
    <row r="5339" spans="6:30" x14ac:dyDescent="0.25">
      <c r="F5339" s="85" t="str">
        <f t="shared" si="31"/>
        <v/>
      </c>
      <c r="AB5339" s="86"/>
      <c r="AD5339" s="100"/>
    </row>
    <row r="5340" spans="6:30" x14ac:dyDescent="0.25">
      <c r="F5340" s="85" t="str">
        <f t="shared" si="31"/>
        <v/>
      </c>
      <c r="AB5340" s="86"/>
      <c r="AD5340" s="100"/>
    </row>
    <row r="5341" spans="6:30" x14ac:dyDescent="0.25">
      <c r="F5341" s="85" t="str">
        <f t="shared" si="31"/>
        <v/>
      </c>
      <c r="AB5341" s="86"/>
      <c r="AD5341" s="100"/>
    </row>
    <row r="5342" spans="6:30" x14ac:dyDescent="0.25">
      <c r="F5342" s="85" t="str">
        <f t="shared" si="31"/>
        <v/>
      </c>
      <c r="AB5342" s="86"/>
      <c r="AD5342" s="100"/>
    </row>
    <row r="5343" spans="6:30" x14ac:dyDescent="0.25">
      <c r="F5343" s="85" t="str">
        <f t="shared" si="31"/>
        <v/>
      </c>
      <c r="AB5343" s="86"/>
      <c r="AD5343" s="100"/>
    </row>
    <row r="5344" spans="6:30" x14ac:dyDescent="0.25">
      <c r="F5344" s="85" t="str">
        <f t="shared" si="31"/>
        <v/>
      </c>
      <c r="AB5344" s="86"/>
      <c r="AD5344" s="100"/>
    </row>
    <row r="5345" spans="6:30" x14ac:dyDescent="0.25">
      <c r="F5345" s="85" t="str">
        <f t="shared" si="31"/>
        <v/>
      </c>
      <c r="AB5345" s="86"/>
      <c r="AD5345" s="100"/>
    </row>
    <row r="5346" spans="6:30" x14ac:dyDescent="0.25">
      <c r="F5346" s="85" t="str">
        <f t="shared" si="31"/>
        <v/>
      </c>
      <c r="AB5346" s="86"/>
      <c r="AD5346" s="100"/>
    </row>
    <row r="5347" spans="6:30" x14ac:dyDescent="0.25">
      <c r="F5347" s="85" t="str">
        <f t="shared" si="31"/>
        <v/>
      </c>
      <c r="AB5347" s="86"/>
      <c r="AD5347" s="100"/>
    </row>
    <row r="5348" spans="6:30" x14ac:dyDescent="0.25">
      <c r="F5348" s="85" t="str">
        <f t="shared" si="31"/>
        <v/>
      </c>
      <c r="AB5348" s="86"/>
      <c r="AD5348" s="100"/>
    </row>
    <row r="5349" spans="6:30" x14ac:dyDescent="0.25">
      <c r="F5349" s="85" t="str">
        <f t="shared" si="31"/>
        <v/>
      </c>
      <c r="AB5349" s="86"/>
      <c r="AD5349" s="100"/>
    </row>
    <row r="5350" spans="6:30" x14ac:dyDescent="0.25">
      <c r="F5350" s="85" t="str">
        <f t="shared" si="31"/>
        <v/>
      </c>
      <c r="AB5350" s="86"/>
      <c r="AD5350" s="100"/>
    </row>
    <row r="5351" spans="6:30" x14ac:dyDescent="0.25">
      <c r="F5351" s="85" t="str">
        <f t="shared" si="31"/>
        <v/>
      </c>
      <c r="AB5351" s="86"/>
      <c r="AD5351" s="100"/>
    </row>
    <row r="5352" spans="6:30" x14ac:dyDescent="0.25">
      <c r="F5352" s="85" t="str">
        <f t="shared" si="31"/>
        <v/>
      </c>
      <c r="AB5352" s="86"/>
      <c r="AD5352" s="100"/>
    </row>
    <row r="5353" spans="6:30" x14ac:dyDescent="0.25">
      <c r="F5353" s="85" t="str">
        <f t="shared" si="31"/>
        <v/>
      </c>
      <c r="AB5353" s="86"/>
      <c r="AD5353" s="100"/>
    </row>
    <row r="5354" spans="6:30" x14ac:dyDescent="0.25">
      <c r="F5354" s="85" t="str">
        <f t="shared" si="31"/>
        <v/>
      </c>
      <c r="AB5354" s="86"/>
      <c r="AD5354" s="100"/>
    </row>
    <row r="5355" spans="6:30" x14ac:dyDescent="0.25">
      <c r="F5355" s="85" t="str">
        <f t="shared" si="31"/>
        <v/>
      </c>
      <c r="AB5355" s="86"/>
      <c r="AD5355" s="100"/>
    </row>
    <row r="5356" spans="6:30" x14ac:dyDescent="0.25">
      <c r="F5356" s="85" t="str">
        <f t="shared" si="31"/>
        <v/>
      </c>
      <c r="AB5356" s="86"/>
      <c r="AD5356" s="100"/>
    </row>
    <row r="5357" spans="6:30" x14ac:dyDescent="0.25">
      <c r="F5357" s="85" t="str">
        <f t="shared" si="31"/>
        <v/>
      </c>
      <c r="AB5357" s="86"/>
      <c r="AD5357" s="100"/>
    </row>
    <row r="5358" spans="6:30" x14ac:dyDescent="0.25">
      <c r="F5358" s="85" t="str">
        <f t="shared" si="31"/>
        <v/>
      </c>
      <c r="AB5358" s="86"/>
      <c r="AD5358" s="100"/>
    </row>
    <row r="5359" spans="6:30" x14ac:dyDescent="0.25">
      <c r="F5359" s="85" t="str">
        <f t="shared" si="31"/>
        <v/>
      </c>
      <c r="AB5359" s="86"/>
      <c r="AD5359" s="100"/>
    </row>
    <row r="5360" spans="6:30" x14ac:dyDescent="0.25">
      <c r="F5360" s="85" t="str">
        <f t="shared" si="31"/>
        <v/>
      </c>
      <c r="AB5360" s="86"/>
      <c r="AD5360" s="100"/>
    </row>
    <row r="5361" spans="6:30" x14ac:dyDescent="0.25">
      <c r="F5361" s="85" t="str">
        <f t="shared" si="31"/>
        <v/>
      </c>
      <c r="AB5361" s="86"/>
      <c r="AD5361" s="100"/>
    </row>
    <row r="5362" spans="6:30" x14ac:dyDescent="0.25">
      <c r="F5362" s="85" t="str">
        <f t="shared" si="31"/>
        <v/>
      </c>
      <c r="AB5362" s="86"/>
      <c r="AD5362" s="100"/>
    </row>
    <row r="5363" spans="6:30" x14ac:dyDescent="0.25">
      <c r="F5363" s="85" t="str">
        <f t="shared" si="31"/>
        <v/>
      </c>
      <c r="AB5363" s="86"/>
      <c r="AD5363" s="100"/>
    </row>
    <row r="5364" spans="6:30" x14ac:dyDescent="0.25">
      <c r="F5364" s="85" t="str">
        <f t="shared" si="31"/>
        <v/>
      </c>
      <c r="AB5364" s="86"/>
      <c r="AD5364" s="100"/>
    </row>
    <row r="5365" spans="6:30" x14ac:dyDescent="0.25">
      <c r="F5365" s="85" t="str">
        <f t="shared" si="31"/>
        <v/>
      </c>
      <c r="AB5365" s="86"/>
      <c r="AD5365" s="100"/>
    </row>
    <row r="5366" spans="6:30" x14ac:dyDescent="0.25">
      <c r="F5366" s="85" t="str">
        <f t="shared" si="31"/>
        <v/>
      </c>
      <c r="AB5366" s="86"/>
      <c r="AD5366" s="100"/>
    </row>
    <row r="5367" spans="6:30" x14ac:dyDescent="0.25">
      <c r="F5367" s="85" t="str">
        <f t="shared" si="31"/>
        <v/>
      </c>
      <c r="AB5367" s="86"/>
      <c r="AD5367" s="100"/>
    </row>
    <row r="5368" spans="6:30" x14ac:dyDescent="0.25">
      <c r="F5368" s="85" t="str">
        <f t="shared" si="31"/>
        <v/>
      </c>
      <c r="AB5368" s="86"/>
      <c r="AD5368" s="100"/>
    </row>
    <row r="5369" spans="6:30" x14ac:dyDescent="0.25">
      <c r="F5369" s="85" t="str">
        <f t="shared" si="31"/>
        <v/>
      </c>
      <c r="AB5369" s="86"/>
      <c r="AD5369" s="100"/>
    </row>
    <row r="5370" spans="6:30" x14ac:dyDescent="0.25">
      <c r="F5370" s="85" t="str">
        <f t="shared" si="31"/>
        <v/>
      </c>
      <c r="AB5370" s="86"/>
      <c r="AD5370" s="100"/>
    </row>
    <row r="5371" spans="6:30" x14ac:dyDescent="0.25">
      <c r="F5371" s="85" t="str">
        <f t="shared" si="31"/>
        <v/>
      </c>
      <c r="AB5371" s="86"/>
      <c r="AD5371" s="100"/>
    </row>
    <row r="5372" spans="6:30" x14ac:dyDescent="0.25">
      <c r="F5372" s="85" t="str">
        <f t="shared" si="31"/>
        <v/>
      </c>
      <c r="AB5372" s="86"/>
      <c r="AD5372" s="100"/>
    </row>
    <row r="5373" spans="6:30" x14ac:dyDescent="0.25">
      <c r="F5373" s="85" t="str">
        <f t="shared" si="31"/>
        <v/>
      </c>
      <c r="AB5373" s="86"/>
      <c r="AD5373" s="100"/>
    </row>
    <row r="5374" spans="6:30" x14ac:dyDescent="0.25">
      <c r="F5374" s="85" t="str">
        <f t="shared" si="31"/>
        <v/>
      </c>
      <c r="AB5374" s="86"/>
      <c r="AD5374" s="100"/>
    </row>
    <row r="5375" spans="6:30" x14ac:dyDescent="0.25">
      <c r="F5375" s="85" t="str">
        <f t="shared" si="31"/>
        <v/>
      </c>
      <c r="AB5375" s="86"/>
      <c r="AD5375" s="100"/>
    </row>
    <row r="5376" spans="6:30" x14ac:dyDescent="0.25">
      <c r="F5376" s="85" t="str">
        <f t="shared" si="31"/>
        <v/>
      </c>
      <c r="AB5376" s="86"/>
      <c r="AD5376" s="100"/>
    </row>
    <row r="5377" spans="6:30" x14ac:dyDescent="0.25">
      <c r="F5377" s="85" t="str">
        <f t="shared" si="31"/>
        <v/>
      </c>
      <c r="AB5377" s="86"/>
      <c r="AD5377" s="100"/>
    </row>
    <row r="5378" spans="6:30" x14ac:dyDescent="0.25">
      <c r="F5378" s="85" t="str">
        <f t="shared" si="31"/>
        <v/>
      </c>
      <c r="AB5378" s="86"/>
      <c r="AD5378" s="100"/>
    </row>
    <row r="5379" spans="6:30" x14ac:dyDescent="0.25">
      <c r="F5379" s="85" t="str">
        <f t="shared" ref="F5379:F5442" si="32">IF($A5379="","",CONCATENATE($A5379,"_",$B5379,"_",$C5379))</f>
        <v/>
      </c>
      <c r="AB5379" s="86"/>
      <c r="AD5379" s="100"/>
    </row>
    <row r="5380" spans="6:30" x14ac:dyDescent="0.25">
      <c r="F5380" s="85" t="str">
        <f t="shared" si="32"/>
        <v/>
      </c>
      <c r="AB5380" s="86"/>
      <c r="AD5380" s="100"/>
    </row>
    <row r="5381" spans="6:30" x14ac:dyDescent="0.25">
      <c r="F5381" s="85" t="str">
        <f t="shared" si="32"/>
        <v/>
      </c>
      <c r="AB5381" s="86"/>
      <c r="AD5381" s="100"/>
    </row>
    <row r="5382" spans="6:30" x14ac:dyDescent="0.25">
      <c r="F5382" s="85" t="str">
        <f t="shared" si="32"/>
        <v/>
      </c>
      <c r="AB5382" s="86"/>
      <c r="AD5382" s="100"/>
    </row>
    <row r="5383" spans="6:30" x14ac:dyDescent="0.25">
      <c r="F5383" s="85" t="str">
        <f t="shared" si="32"/>
        <v/>
      </c>
      <c r="AB5383" s="86"/>
      <c r="AD5383" s="100"/>
    </row>
    <row r="5384" spans="6:30" x14ac:dyDescent="0.25">
      <c r="F5384" s="85" t="str">
        <f t="shared" si="32"/>
        <v/>
      </c>
      <c r="AB5384" s="86"/>
      <c r="AD5384" s="100"/>
    </row>
    <row r="5385" spans="6:30" x14ac:dyDescent="0.25">
      <c r="F5385" s="85" t="str">
        <f t="shared" si="32"/>
        <v/>
      </c>
      <c r="AB5385" s="86"/>
      <c r="AD5385" s="100"/>
    </row>
    <row r="5386" spans="6:30" x14ac:dyDescent="0.25">
      <c r="F5386" s="85" t="str">
        <f t="shared" si="32"/>
        <v/>
      </c>
      <c r="AB5386" s="86"/>
      <c r="AD5386" s="100"/>
    </row>
    <row r="5387" spans="6:30" x14ac:dyDescent="0.25">
      <c r="F5387" s="85" t="str">
        <f t="shared" si="32"/>
        <v/>
      </c>
      <c r="AB5387" s="86"/>
      <c r="AD5387" s="100"/>
    </row>
    <row r="5388" spans="6:30" x14ac:dyDescent="0.25">
      <c r="F5388" s="85" t="str">
        <f t="shared" si="32"/>
        <v/>
      </c>
      <c r="AB5388" s="86"/>
      <c r="AD5388" s="100"/>
    </row>
    <row r="5389" spans="6:30" x14ac:dyDescent="0.25">
      <c r="F5389" s="85" t="str">
        <f t="shared" si="32"/>
        <v/>
      </c>
      <c r="AB5389" s="86"/>
      <c r="AD5389" s="100"/>
    </row>
    <row r="5390" spans="6:30" x14ac:dyDescent="0.25">
      <c r="F5390" s="85" t="str">
        <f t="shared" si="32"/>
        <v/>
      </c>
      <c r="AB5390" s="86"/>
      <c r="AD5390" s="100"/>
    </row>
    <row r="5391" spans="6:30" x14ac:dyDescent="0.25">
      <c r="F5391" s="85" t="str">
        <f t="shared" si="32"/>
        <v/>
      </c>
      <c r="AB5391" s="86"/>
      <c r="AD5391" s="100"/>
    </row>
    <row r="5392" spans="6:30" x14ac:dyDescent="0.25">
      <c r="F5392" s="85" t="str">
        <f t="shared" si="32"/>
        <v/>
      </c>
      <c r="AB5392" s="86"/>
      <c r="AD5392" s="100"/>
    </row>
    <row r="5393" spans="6:30" x14ac:dyDescent="0.25">
      <c r="F5393" s="85" t="str">
        <f t="shared" si="32"/>
        <v/>
      </c>
      <c r="AB5393" s="86"/>
      <c r="AD5393" s="100"/>
    </row>
    <row r="5394" spans="6:30" x14ac:dyDescent="0.25">
      <c r="F5394" s="85" t="str">
        <f t="shared" si="32"/>
        <v/>
      </c>
      <c r="AB5394" s="86"/>
      <c r="AD5394" s="100"/>
    </row>
    <row r="5395" spans="6:30" x14ac:dyDescent="0.25">
      <c r="F5395" s="85" t="str">
        <f t="shared" si="32"/>
        <v/>
      </c>
      <c r="AB5395" s="86"/>
      <c r="AD5395" s="100"/>
    </row>
    <row r="5396" spans="6:30" x14ac:dyDescent="0.25">
      <c r="F5396" s="85" t="str">
        <f t="shared" si="32"/>
        <v/>
      </c>
      <c r="AB5396" s="86"/>
      <c r="AD5396" s="100"/>
    </row>
    <row r="5397" spans="6:30" x14ac:dyDescent="0.25">
      <c r="F5397" s="85" t="str">
        <f t="shared" si="32"/>
        <v/>
      </c>
      <c r="AB5397" s="86"/>
      <c r="AD5397" s="100"/>
    </row>
    <row r="5398" spans="6:30" x14ac:dyDescent="0.25">
      <c r="F5398" s="85" t="str">
        <f t="shared" si="32"/>
        <v/>
      </c>
      <c r="AB5398" s="86"/>
      <c r="AD5398" s="100"/>
    </row>
    <row r="5399" spans="6:30" x14ac:dyDescent="0.25">
      <c r="F5399" s="85" t="str">
        <f t="shared" si="32"/>
        <v/>
      </c>
      <c r="AB5399" s="86"/>
      <c r="AD5399" s="100"/>
    </row>
    <row r="5400" spans="6:30" x14ac:dyDescent="0.25">
      <c r="F5400" s="85" t="str">
        <f t="shared" si="32"/>
        <v/>
      </c>
      <c r="AB5400" s="86"/>
      <c r="AD5400" s="100"/>
    </row>
    <row r="5401" spans="6:30" x14ac:dyDescent="0.25">
      <c r="F5401" s="85" t="str">
        <f t="shared" si="32"/>
        <v/>
      </c>
      <c r="AB5401" s="86"/>
      <c r="AD5401" s="100"/>
    </row>
    <row r="5402" spans="6:30" x14ac:dyDescent="0.25">
      <c r="F5402" s="85" t="str">
        <f t="shared" si="32"/>
        <v/>
      </c>
      <c r="AB5402" s="86"/>
      <c r="AD5402" s="100"/>
    </row>
    <row r="5403" spans="6:30" x14ac:dyDescent="0.25">
      <c r="F5403" s="85" t="str">
        <f t="shared" si="32"/>
        <v/>
      </c>
      <c r="AB5403" s="86"/>
      <c r="AD5403" s="100"/>
    </row>
    <row r="5404" spans="6:30" x14ac:dyDescent="0.25">
      <c r="F5404" s="85" t="str">
        <f t="shared" si="32"/>
        <v/>
      </c>
      <c r="AB5404" s="86"/>
      <c r="AD5404" s="100"/>
    </row>
    <row r="5405" spans="6:30" x14ac:dyDescent="0.25">
      <c r="F5405" s="85" t="str">
        <f t="shared" si="32"/>
        <v/>
      </c>
      <c r="AB5405" s="86"/>
      <c r="AD5405" s="100"/>
    </row>
    <row r="5406" spans="6:30" x14ac:dyDescent="0.25">
      <c r="F5406" s="85" t="str">
        <f t="shared" si="32"/>
        <v/>
      </c>
      <c r="AB5406" s="86"/>
      <c r="AD5406" s="100"/>
    </row>
    <row r="5407" spans="6:30" x14ac:dyDescent="0.25">
      <c r="F5407" s="85" t="str">
        <f t="shared" si="32"/>
        <v/>
      </c>
      <c r="AB5407" s="86"/>
      <c r="AD5407" s="100"/>
    </row>
    <row r="5408" spans="6:30" x14ac:dyDescent="0.25">
      <c r="F5408" s="85" t="str">
        <f t="shared" si="32"/>
        <v/>
      </c>
      <c r="AB5408" s="86"/>
      <c r="AD5408" s="100"/>
    </row>
    <row r="5409" spans="6:30" x14ac:dyDescent="0.25">
      <c r="F5409" s="85" t="str">
        <f t="shared" si="32"/>
        <v/>
      </c>
      <c r="AB5409" s="86"/>
      <c r="AD5409" s="100"/>
    </row>
    <row r="5410" spans="6:30" x14ac:dyDescent="0.25">
      <c r="F5410" s="85" t="str">
        <f t="shared" si="32"/>
        <v/>
      </c>
      <c r="AB5410" s="86"/>
      <c r="AD5410" s="100"/>
    </row>
    <row r="5411" spans="6:30" x14ac:dyDescent="0.25">
      <c r="F5411" s="85" t="str">
        <f t="shared" si="32"/>
        <v/>
      </c>
      <c r="AB5411" s="86"/>
      <c r="AD5411" s="100"/>
    </row>
    <row r="5412" spans="6:30" x14ac:dyDescent="0.25">
      <c r="F5412" s="85" t="str">
        <f t="shared" si="32"/>
        <v/>
      </c>
      <c r="AB5412" s="86"/>
      <c r="AD5412" s="100"/>
    </row>
    <row r="5413" spans="6:30" x14ac:dyDescent="0.25">
      <c r="F5413" s="85" t="str">
        <f t="shared" si="32"/>
        <v/>
      </c>
      <c r="AB5413" s="86"/>
      <c r="AD5413" s="100"/>
    </row>
    <row r="5414" spans="6:30" x14ac:dyDescent="0.25">
      <c r="F5414" s="85" t="str">
        <f t="shared" si="32"/>
        <v/>
      </c>
      <c r="AB5414" s="86"/>
      <c r="AD5414" s="100"/>
    </row>
    <row r="5415" spans="6:30" x14ac:dyDescent="0.25">
      <c r="F5415" s="85" t="str">
        <f t="shared" si="32"/>
        <v/>
      </c>
      <c r="AB5415" s="86"/>
      <c r="AD5415" s="100"/>
    </row>
    <row r="5416" spans="6:30" x14ac:dyDescent="0.25">
      <c r="F5416" s="85" t="str">
        <f t="shared" si="32"/>
        <v/>
      </c>
      <c r="AB5416" s="86"/>
      <c r="AD5416" s="100"/>
    </row>
    <row r="5417" spans="6:30" x14ac:dyDescent="0.25">
      <c r="F5417" s="85" t="str">
        <f t="shared" si="32"/>
        <v/>
      </c>
      <c r="AB5417" s="86"/>
      <c r="AD5417" s="100"/>
    </row>
    <row r="5418" spans="6:30" x14ac:dyDescent="0.25">
      <c r="F5418" s="85" t="str">
        <f t="shared" si="32"/>
        <v/>
      </c>
      <c r="AB5418" s="86"/>
      <c r="AD5418" s="100"/>
    </row>
    <row r="5419" spans="6:30" x14ac:dyDescent="0.25">
      <c r="F5419" s="85" t="str">
        <f t="shared" si="32"/>
        <v/>
      </c>
      <c r="AB5419" s="86"/>
      <c r="AD5419" s="100"/>
    </row>
    <row r="5420" spans="6:30" x14ac:dyDescent="0.25">
      <c r="F5420" s="85" t="str">
        <f t="shared" si="32"/>
        <v/>
      </c>
      <c r="AB5420" s="86"/>
      <c r="AD5420" s="100"/>
    </row>
    <row r="5421" spans="6:30" x14ac:dyDescent="0.25">
      <c r="F5421" s="85" t="str">
        <f t="shared" si="32"/>
        <v/>
      </c>
      <c r="AB5421" s="86"/>
      <c r="AD5421" s="100"/>
    </row>
    <row r="5422" spans="6:30" x14ac:dyDescent="0.25">
      <c r="F5422" s="85" t="str">
        <f t="shared" si="32"/>
        <v/>
      </c>
      <c r="AB5422" s="86"/>
      <c r="AD5422" s="100"/>
    </row>
    <row r="5423" spans="6:30" x14ac:dyDescent="0.25">
      <c r="F5423" s="85" t="str">
        <f t="shared" si="32"/>
        <v/>
      </c>
      <c r="AB5423" s="86"/>
      <c r="AD5423" s="100"/>
    </row>
    <row r="5424" spans="6:30" x14ac:dyDescent="0.25">
      <c r="F5424" s="85" t="str">
        <f t="shared" si="32"/>
        <v/>
      </c>
      <c r="AB5424" s="86"/>
      <c r="AD5424" s="100"/>
    </row>
    <row r="5425" spans="6:30" x14ac:dyDescent="0.25">
      <c r="F5425" s="85" t="str">
        <f t="shared" si="32"/>
        <v/>
      </c>
      <c r="AB5425" s="86"/>
      <c r="AD5425" s="100"/>
    </row>
    <row r="5426" spans="6:30" x14ac:dyDescent="0.25">
      <c r="F5426" s="85" t="str">
        <f t="shared" si="32"/>
        <v/>
      </c>
      <c r="AB5426" s="86"/>
      <c r="AD5426" s="100"/>
    </row>
    <row r="5427" spans="6:30" x14ac:dyDescent="0.25">
      <c r="F5427" s="85" t="str">
        <f t="shared" si="32"/>
        <v/>
      </c>
      <c r="AB5427" s="86"/>
      <c r="AD5427" s="100"/>
    </row>
    <row r="5428" spans="6:30" x14ac:dyDescent="0.25">
      <c r="F5428" s="85" t="str">
        <f t="shared" si="32"/>
        <v/>
      </c>
      <c r="AB5428" s="86"/>
      <c r="AD5428" s="100"/>
    </row>
    <row r="5429" spans="6:30" x14ac:dyDescent="0.25">
      <c r="F5429" s="85" t="str">
        <f t="shared" si="32"/>
        <v/>
      </c>
      <c r="AB5429" s="86"/>
    </row>
    <row r="5430" spans="6:30" x14ac:dyDescent="0.25">
      <c r="F5430" s="85" t="str">
        <f t="shared" si="32"/>
        <v/>
      </c>
      <c r="AB5430" s="86"/>
      <c r="AD5430" s="100"/>
    </row>
    <row r="5431" spans="6:30" x14ac:dyDescent="0.25">
      <c r="F5431" s="85" t="str">
        <f t="shared" si="32"/>
        <v/>
      </c>
      <c r="AB5431" s="86"/>
      <c r="AD5431" s="100"/>
    </row>
    <row r="5432" spans="6:30" x14ac:dyDescent="0.25">
      <c r="F5432" s="85" t="str">
        <f t="shared" si="32"/>
        <v/>
      </c>
      <c r="AB5432" s="86"/>
      <c r="AD5432" s="100"/>
    </row>
    <row r="5433" spans="6:30" x14ac:dyDescent="0.25">
      <c r="F5433" s="85" t="str">
        <f t="shared" si="32"/>
        <v/>
      </c>
      <c r="AB5433" s="86"/>
    </row>
    <row r="5434" spans="6:30" x14ac:dyDescent="0.25">
      <c r="F5434" s="85" t="str">
        <f t="shared" si="32"/>
        <v/>
      </c>
      <c r="AB5434" s="86"/>
    </row>
    <row r="5435" spans="6:30" x14ac:dyDescent="0.25">
      <c r="F5435" s="85" t="str">
        <f t="shared" si="32"/>
        <v/>
      </c>
      <c r="AB5435" s="86"/>
      <c r="AD5435" s="100"/>
    </row>
    <row r="5436" spans="6:30" x14ac:dyDescent="0.25">
      <c r="F5436" s="85" t="str">
        <f t="shared" si="32"/>
        <v/>
      </c>
      <c r="AB5436" s="86"/>
      <c r="AD5436" s="100"/>
    </row>
    <row r="5437" spans="6:30" x14ac:dyDescent="0.25">
      <c r="F5437" s="85" t="str">
        <f t="shared" si="32"/>
        <v/>
      </c>
      <c r="AB5437" s="86"/>
      <c r="AD5437" s="100"/>
    </row>
    <row r="5438" spans="6:30" x14ac:dyDescent="0.25">
      <c r="F5438" s="85" t="str">
        <f t="shared" si="32"/>
        <v/>
      </c>
      <c r="AB5438" s="86"/>
      <c r="AD5438" s="100"/>
    </row>
    <row r="5439" spans="6:30" x14ac:dyDescent="0.25">
      <c r="F5439" s="85" t="str">
        <f t="shared" si="32"/>
        <v/>
      </c>
      <c r="AB5439" s="86"/>
      <c r="AD5439" s="100"/>
    </row>
    <row r="5440" spans="6:30" x14ac:dyDescent="0.25">
      <c r="F5440" s="85" t="str">
        <f t="shared" si="32"/>
        <v/>
      </c>
      <c r="AB5440" s="86"/>
      <c r="AD5440" s="100"/>
    </row>
    <row r="5441" spans="6:30" x14ac:dyDescent="0.25">
      <c r="F5441" s="85" t="str">
        <f t="shared" si="32"/>
        <v/>
      </c>
      <c r="AB5441" s="86"/>
      <c r="AD5441" s="100"/>
    </row>
    <row r="5442" spans="6:30" x14ac:dyDescent="0.25">
      <c r="F5442" s="85" t="str">
        <f t="shared" si="32"/>
        <v/>
      </c>
      <c r="AB5442" s="86"/>
      <c r="AD5442" s="100"/>
    </row>
    <row r="5443" spans="6:30" x14ac:dyDescent="0.25">
      <c r="F5443" s="85" t="str">
        <f t="shared" ref="F5443:F5506" si="33">IF($A5443="","",CONCATENATE($A5443,"_",$B5443,"_",$C5443))</f>
        <v/>
      </c>
      <c r="AB5443" s="86"/>
      <c r="AD5443" s="100"/>
    </row>
    <row r="5444" spans="6:30" x14ac:dyDescent="0.25">
      <c r="F5444" s="85" t="str">
        <f t="shared" si="33"/>
        <v/>
      </c>
      <c r="AB5444" s="86"/>
      <c r="AD5444" s="100"/>
    </row>
    <row r="5445" spans="6:30" x14ac:dyDescent="0.25">
      <c r="F5445" s="85" t="str">
        <f t="shared" si="33"/>
        <v/>
      </c>
      <c r="AB5445" s="86"/>
    </row>
    <row r="5446" spans="6:30" x14ac:dyDescent="0.25">
      <c r="F5446" s="85" t="str">
        <f t="shared" si="33"/>
        <v/>
      </c>
      <c r="AB5446" s="86"/>
      <c r="AD5446" s="100"/>
    </row>
    <row r="5447" spans="6:30" x14ac:dyDescent="0.25">
      <c r="F5447" s="85" t="str">
        <f t="shared" si="33"/>
        <v/>
      </c>
      <c r="AB5447" s="86"/>
    </row>
    <row r="5448" spans="6:30" x14ac:dyDescent="0.25">
      <c r="F5448" s="85" t="str">
        <f t="shared" si="33"/>
        <v/>
      </c>
      <c r="AB5448" s="86"/>
    </row>
    <row r="5449" spans="6:30" x14ac:dyDescent="0.25">
      <c r="F5449" s="85" t="str">
        <f t="shared" si="33"/>
        <v/>
      </c>
      <c r="AB5449" s="86"/>
    </row>
    <row r="5450" spans="6:30" x14ac:dyDescent="0.25">
      <c r="F5450" s="85" t="str">
        <f t="shared" si="33"/>
        <v/>
      </c>
      <c r="AB5450" s="86"/>
    </row>
    <row r="5451" spans="6:30" x14ac:dyDescent="0.25">
      <c r="F5451" s="85" t="str">
        <f t="shared" si="33"/>
        <v/>
      </c>
      <c r="AB5451" s="86"/>
    </row>
    <row r="5452" spans="6:30" x14ac:dyDescent="0.25">
      <c r="F5452" s="85" t="str">
        <f t="shared" si="33"/>
        <v/>
      </c>
      <c r="AB5452" s="86"/>
      <c r="AD5452" s="100"/>
    </row>
    <row r="5453" spans="6:30" x14ac:dyDescent="0.25">
      <c r="F5453" s="85" t="str">
        <f t="shared" si="33"/>
        <v/>
      </c>
      <c r="AB5453" s="86"/>
      <c r="AD5453" s="100"/>
    </row>
    <row r="5454" spans="6:30" x14ac:dyDescent="0.25">
      <c r="F5454" s="85" t="str">
        <f t="shared" si="33"/>
        <v/>
      </c>
      <c r="AB5454" s="86"/>
      <c r="AD5454" s="100"/>
    </row>
    <row r="5455" spans="6:30" x14ac:dyDescent="0.25">
      <c r="F5455" s="85" t="str">
        <f t="shared" si="33"/>
        <v/>
      </c>
      <c r="AB5455" s="86"/>
      <c r="AD5455" s="100"/>
    </row>
    <row r="5456" spans="6:30" x14ac:dyDescent="0.25">
      <c r="F5456" s="85" t="str">
        <f t="shared" si="33"/>
        <v/>
      </c>
      <c r="AB5456" s="86"/>
      <c r="AD5456" s="100"/>
    </row>
    <row r="5457" spans="6:30" x14ac:dyDescent="0.25">
      <c r="F5457" s="85" t="str">
        <f t="shared" si="33"/>
        <v/>
      </c>
      <c r="AB5457" s="86"/>
      <c r="AD5457" s="100"/>
    </row>
    <row r="5458" spans="6:30" x14ac:dyDescent="0.25">
      <c r="F5458" s="85" t="str">
        <f t="shared" si="33"/>
        <v/>
      </c>
      <c r="AB5458" s="86"/>
      <c r="AD5458" s="100"/>
    </row>
    <row r="5459" spans="6:30" x14ac:dyDescent="0.25">
      <c r="F5459" s="85" t="str">
        <f t="shared" si="33"/>
        <v/>
      </c>
      <c r="AB5459" s="86"/>
      <c r="AD5459" s="100"/>
    </row>
    <row r="5460" spans="6:30" x14ac:dyDescent="0.25">
      <c r="F5460" s="85" t="str">
        <f t="shared" si="33"/>
        <v/>
      </c>
      <c r="AB5460" s="86"/>
      <c r="AD5460" s="100"/>
    </row>
    <row r="5461" spans="6:30" x14ac:dyDescent="0.25">
      <c r="F5461" s="85" t="str">
        <f t="shared" si="33"/>
        <v/>
      </c>
      <c r="AB5461" s="86"/>
      <c r="AD5461" s="100"/>
    </row>
    <row r="5462" spans="6:30" x14ac:dyDescent="0.25">
      <c r="F5462" s="85" t="str">
        <f t="shared" si="33"/>
        <v/>
      </c>
      <c r="AB5462" s="86"/>
      <c r="AD5462" s="100"/>
    </row>
    <row r="5463" spans="6:30" x14ac:dyDescent="0.25">
      <c r="F5463" s="85" t="str">
        <f t="shared" si="33"/>
        <v/>
      </c>
      <c r="AB5463" s="86"/>
      <c r="AD5463" s="100"/>
    </row>
    <row r="5464" spans="6:30" x14ac:dyDescent="0.25">
      <c r="F5464" s="85" t="str">
        <f t="shared" si="33"/>
        <v/>
      </c>
      <c r="AB5464" s="86"/>
      <c r="AD5464" s="100"/>
    </row>
    <row r="5465" spans="6:30" x14ac:dyDescent="0.25">
      <c r="F5465" s="85" t="str">
        <f t="shared" si="33"/>
        <v/>
      </c>
      <c r="AB5465" s="86"/>
      <c r="AD5465" s="100"/>
    </row>
    <row r="5466" spans="6:30" x14ac:dyDescent="0.25">
      <c r="F5466" s="85" t="str">
        <f t="shared" si="33"/>
        <v/>
      </c>
      <c r="AB5466" s="86"/>
    </row>
    <row r="5467" spans="6:30" x14ac:dyDescent="0.25">
      <c r="F5467" s="85" t="str">
        <f t="shared" si="33"/>
        <v/>
      </c>
      <c r="AB5467" s="86"/>
      <c r="AD5467" s="100"/>
    </row>
    <row r="5468" spans="6:30" x14ac:dyDescent="0.25">
      <c r="F5468" s="85" t="str">
        <f t="shared" si="33"/>
        <v/>
      </c>
      <c r="AB5468" s="86"/>
    </row>
    <row r="5469" spans="6:30" x14ac:dyDescent="0.25">
      <c r="F5469" s="85" t="str">
        <f t="shared" si="33"/>
        <v/>
      </c>
      <c r="AB5469" s="86"/>
      <c r="AD5469" s="100"/>
    </row>
    <row r="5470" spans="6:30" x14ac:dyDescent="0.25">
      <c r="F5470" s="85" t="str">
        <f t="shared" si="33"/>
        <v/>
      </c>
      <c r="AB5470" s="86"/>
      <c r="AD5470" s="100"/>
    </row>
    <row r="5471" spans="6:30" x14ac:dyDescent="0.25">
      <c r="F5471" s="85" t="str">
        <f t="shared" si="33"/>
        <v/>
      </c>
      <c r="AB5471" s="86"/>
      <c r="AD5471" s="100"/>
    </row>
    <row r="5472" spans="6:30" x14ac:dyDescent="0.25">
      <c r="F5472" s="85" t="str">
        <f t="shared" si="33"/>
        <v/>
      </c>
      <c r="AB5472" s="86"/>
      <c r="AD5472" s="100"/>
    </row>
    <row r="5473" spans="6:30" x14ac:dyDescent="0.25">
      <c r="F5473" s="85" t="str">
        <f t="shared" si="33"/>
        <v/>
      </c>
      <c r="AB5473" s="86"/>
      <c r="AD5473" s="100"/>
    </row>
    <row r="5474" spans="6:30" x14ac:dyDescent="0.25">
      <c r="F5474" s="85" t="str">
        <f t="shared" si="33"/>
        <v/>
      </c>
      <c r="AB5474" s="86"/>
    </row>
    <row r="5475" spans="6:30" x14ac:dyDescent="0.25">
      <c r="F5475" s="85" t="str">
        <f t="shared" si="33"/>
        <v/>
      </c>
      <c r="AB5475" s="86"/>
      <c r="AD5475" s="100"/>
    </row>
    <row r="5476" spans="6:30" x14ac:dyDescent="0.25">
      <c r="F5476" s="85" t="str">
        <f t="shared" si="33"/>
        <v/>
      </c>
      <c r="AB5476" s="86"/>
    </row>
    <row r="5477" spans="6:30" x14ac:dyDescent="0.25">
      <c r="F5477" s="85" t="str">
        <f t="shared" si="33"/>
        <v/>
      </c>
      <c r="AB5477" s="86"/>
      <c r="AD5477" s="100"/>
    </row>
    <row r="5478" spans="6:30" x14ac:dyDescent="0.25">
      <c r="F5478" s="85" t="str">
        <f t="shared" si="33"/>
        <v/>
      </c>
      <c r="AB5478" s="86"/>
      <c r="AD5478" s="100"/>
    </row>
    <row r="5479" spans="6:30" x14ac:dyDescent="0.25">
      <c r="F5479" s="85" t="str">
        <f t="shared" si="33"/>
        <v/>
      </c>
      <c r="AB5479" s="86"/>
      <c r="AD5479" s="100"/>
    </row>
    <row r="5480" spans="6:30" x14ac:dyDescent="0.25">
      <c r="F5480" s="85" t="str">
        <f t="shared" si="33"/>
        <v/>
      </c>
      <c r="AB5480" s="86"/>
      <c r="AD5480" s="100"/>
    </row>
    <row r="5481" spans="6:30" x14ac:dyDescent="0.25">
      <c r="F5481" s="85" t="str">
        <f t="shared" si="33"/>
        <v/>
      </c>
      <c r="AB5481" s="86"/>
      <c r="AD5481" s="100"/>
    </row>
    <row r="5482" spans="6:30" x14ac:dyDescent="0.25">
      <c r="F5482" s="85" t="str">
        <f t="shared" si="33"/>
        <v/>
      </c>
      <c r="AB5482" s="86"/>
      <c r="AD5482" s="100"/>
    </row>
    <row r="5483" spans="6:30" x14ac:dyDescent="0.25">
      <c r="F5483" s="85" t="str">
        <f t="shared" si="33"/>
        <v/>
      </c>
      <c r="AB5483" s="86"/>
      <c r="AD5483" s="100"/>
    </row>
    <row r="5484" spans="6:30" x14ac:dyDescent="0.25">
      <c r="F5484" s="85" t="str">
        <f t="shared" si="33"/>
        <v/>
      </c>
      <c r="AB5484" s="86"/>
      <c r="AD5484" s="100"/>
    </row>
    <row r="5485" spans="6:30" x14ac:dyDescent="0.25">
      <c r="F5485" s="85" t="str">
        <f t="shared" si="33"/>
        <v/>
      </c>
      <c r="AB5485" s="86"/>
      <c r="AD5485" s="100"/>
    </row>
    <row r="5486" spans="6:30" x14ac:dyDescent="0.25">
      <c r="F5486" s="85" t="str">
        <f t="shared" si="33"/>
        <v/>
      </c>
      <c r="AB5486" s="86"/>
      <c r="AD5486" s="100"/>
    </row>
    <row r="5487" spans="6:30" x14ac:dyDescent="0.25">
      <c r="F5487" s="85" t="str">
        <f t="shared" si="33"/>
        <v/>
      </c>
      <c r="AB5487" s="86"/>
      <c r="AD5487" s="100"/>
    </row>
    <row r="5488" spans="6:30" x14ac:dyDescent="0.25">
      <c r="F5488" s="85" t="str">
        <f t="shared" si="33"/>
        <v/>
      </c>
      <c r="AB5488" s="86"/>
    </row>
    <row r="5489" spans="6:30" x14ac:dyDescent="0.25">
      <c r="F5489" s="85" t="str">
        <f t="shared" si="33"/>
        <v/>
      </c>
      <c r="AB5489" s="86"/>
      <c r="AD5489" s="100"/>
    </row>
    <row r="5490" spans="6:30" x14ac:dyDescent="0.25">
      <c r="F5490" s="85" t="str">
        <f t="shared" si="33"/>
        <v/>
      </c>
      <c r="AB5490" s="86"/>
      <c r="AD5490" s="100"/>
    </row>
    <row r="5491" spans="6:30" x14ac:dyDescent="0.25">
      <c r="F5491" s="85" t="str">
        <f t="shared" si="33"/>
        <v/>
      </c>
      <c r="AB5491" s="86"/>
    </row>
    <row r="5492" spans="6:30" x14ac:dyDescent="0.25">
      <c r="F5492" s="85" t="str">
        <f t="shared" si="33"/>
        <v/>
      </c>
      <c r="AB5492" s="86"/>
      <c r="AD5492" s="100"/>
    </row>
    <row r="5493" spans="6:30" x14ac:dyDescent="0.25">
      <c r="F5493" s="85" t="str">
        <f t="shared" si="33"/>
        <v/>
      </c>
      <c r="AB5493" s="86"/>
      <c r="AD5493" s="100"/>
    </row>
    <row r="5494" spans="6:30" x14ac:dyDescent="0.25">
      <c r="F5494" s="85" t="str">
        <f t="shared" si="33"/>
        <v/>
      </c>
      <c r="AB5494" s="86"/>
      <c r="AD5494" s="100"/>
    </row>
    <row r="5495" spans="6:30" x14ac:dyDescent="0.25">
      <c r="F5495" s="85" t="str">
        <f t="shared" si="33"/>
        <v/>
      </c>
      <c r="AB5495" s="86"/>
      <c r="AD5495" s="100"/>
    </row>
    <row r="5496" spans="6:30" x14ac:dyDescent="0.25">
      <c r="F5496" s="85" t="str">
        <f t="shared" si="33"/>
        <v/>
      </c>
      <c r="AB5496" s="86"/>
      <c r="AD5496" s="100"/>
    </row>
    <row r="5497" spans="6:30" x14ac:dyDescent="0.25">
      <c r="F5497" s="85" t="str">
        <f t="shared" si="33"/>
        <v/>
      </c>
      <c r="AB5497" s="86"/>
      <c r="AD5497" s="100"/>
    </row>
    <row r="5498" spans="6:30" x14ac:dyDescent="0.25">
      <c r="F5498" s="85" t="str">
        <f t="shared" si="33"/>
        <v/>
      </c>
      <c r="AB5498" s="86"/>
      <c r="AD5498" s="100"/>
    </row>
    <row r="5499" spans="6:30" x14ac:dyDescent="0.25">
      <c r="F5499" s="85" t="str">
        <f t="shared" si="33"/>
        <v/>
      </c>
      <c r="AB5499" s="86"/>
      <c r="AD5499" s="100"/>
    </row>
    <row r="5500" spans="6:30" x14ac:dyDescent="0.25">
      <c r="F5500" s="85" t="str">
        <f t="shared" si="33"/>
        <v/>
      </c>
      <c r="AB5500" s="86"/>
      <c r="AD5500" s="100"/>
    </row>
    <row r="5501" spans="6:30" x14ac:dyDescent="0.25">
      <c r="F5501" s="85" t="str">
        <f t="shared" si="33"/>
        <v/>
      </c>
      <c r="AB5501" s="86"/>
      <c r="AD5501" s="100"/>
    </row>
    <row r="5502" spans="6:30" x14ac:dyDescent="0.25">
      <c r="F5502" s="85" t="str">
        <f t="shared" si="33"/>
        <v/>
      </c>
      <c r="AB5502" s="86"/>
      <c r="AD5502" s="100"/>
    </row>
    <row r="5503" spans="6:30" x14ac:dyDescent="0.25">
      <c r="F5503" s="85" t="str">
        <f t="shared" si="33"/>
        <v/>
      </c>
      <c r="AB5503" s="86"/>
      <c r="AD5503" s="100"/>
    </row>
    <row r="5504" spans="6:30" x14ac:dyDescent="0.25">
      <c r="F5504" s="85" t="str">
        <f t="shared" si="33"/>
        <v/>
      </c>
      <c r="AB5504" s="86"/>
      <c r="AD5504" s="100"/>
    </row>
    <row r="5505" spans="6:30" x14ac:dyDescent="0.25">
      <c r="F5505" s="85" t="str">
        <f t="shared" si="33"/>
        <v/>
      </c>
      <c r="AB5505" s="86"/>
      <c r="AD5505" s="100"/>
    </row>
    <row r="5506" spans="6:30" x14ac:dyDescent="0.25">
      <c r="F5506" s="85" t="str">
        <f t="shared" si="33"/>
        <v/>
      </c>
      <c r="AB5506" s="86"/>
      <c r="AD5506" s="100"/>
    </row>
    <row r="5507" spans="6:30" x14ac:dyDescent="0.25">
      <c r="F5507" s="85" t="str">
        <f t="shared" ref="F5507:F5570" si="34">IF($A5507="","",CONCATENATE($A5507,"_",$B5507,"_",$C5507))</f>
        <v/>
      </c>
      <c r="AB5507" s="86"/>
      <c r="AD5507" s="100"/>
    </row>
    <row r="5508" spans="6:30" x14ac:dyDescent="0.25">
      <c r="F5508" s="85" t="str">
        <f t="shared" si="34"/>
        <v/>
      </c>
      <c r="AB5508" s="86"/>
      <c r="AD5508" s="100"/>
    </row>
    <row r="5509" spans="6:30" x14ac:dyDescent="0.25">
      <c r="F5509" s="85" t="str">
        <f t="shared" si="34"/>
        <v/>
      </c>
      <c r="AB5509" s="86"/>
      <c r="AD5509" s="100"/>
    </row>
    <row r="5510" spans="6:30" x14ac:dyDescent="0.25">
      <c r="F5510" s="85" t="str">
        <f t="shared" si="34"/>
        <v/>
      </c>
      <c r="AB5510" s="86"/>
      <c r="AD5510" s="100"/>
    </row>
    <row r="5511" spans="6:30" x14ac:dyDescent="0.25">
      <c r="F5511" s="85" t="str">
        <f t="shared" si="34"/>
        <v/>
      </c>
      <c r="AB5511" s="86"/>
      <c r="AD5511" s="100"/>
    </row>
    <row r="5512" spans="6:30" x14ac:dyDescent="0.25">
      <c r="F5512" s="85" t="str">
        <f t="shared" si="34"/>
        <v/>
      </c>
      <c r="AB5512" s="86"/>
      <c r="AD5512" s="100"/>
    </row>
    <row r="5513" spans="6:30" x14ac:dyDescent="0.25">
      <c r="F5513" s="85" t="str">
        <f t="shared" si="34"/>
        <v/>
      </c>
      <c r="AB5513" s="86"/>
      <c r="AD5513" s="100"/>
    </row>
    <row r="5514" spans="6:30" x14ac:dyDescent="0.25">
      <c r="F5514" s="85" t="str">
        <f t="shared" si="34"/>
        <v/>
      </c>
      <c r="AB5514" s="86"/>
      <c r="AD5514" s="100"/>
    </row>
    <row r="5515" spans="6:30" x14ac:dyDescent="0.25">
      <c r="F5515" s="85" t="str">
        <f t="shared" si="34"/>
        <v/>
      </c>
      <c r="AB5515" s="86"/>
      <c r="AD5515" s="100"/>
    </row>
    <row r="5516" spans="6:30" x14ac:dyDescent="0.25">
      <c r="F5516" s="85" t="str">
        <f t="shared" si="34"/>
        <v/>
      </c>
      <c r="AB5516" s="86"/>
      <c r="AD5516" s="100"/>
    </row>
    <row r="5517" spans="6:30" x14ac:dyDescent="0.25">
      <c r="F5517" s="85" t="str">
        <f t="shared" si="34"/>
        <v/>
      </c>
      <c r="AB5517" s="86"/>
      <c r="AD5517" s="100"/>
    </row>
    <row r="5518" spans="6:30" x14ac:dyDescent="0.25">
      <c r="F5518" s="85" t="str">
        <f t="shared" si="34"/>
        <v/>
      </c>
      <c r="AB5518" s="86"/>
      <c r="AD5518" s="100"/>
    </row>
    <row r="5519" spans="6:30" x14ac:dyDescent="0.25">
      <c r="F5519" s="85" t="str">
        <f t="shared" si="34"/>
        <v/>
      </c>
      <c r="AB5519" s="86"/>
      <c r="AD5519" s="100"/>
    </row>
    <row r="5520" spans="6:30" x14ac:dyDescent="0.25">
      <c r="F5520" s="85" t="str">
        <f t="shared" si="34"/>
        <v/>
      </c>
      <c r="AB5520" s="86"/>
      <c r="AD5520" s="100"/>
    </row>
    <row r="5521" spans="6:30" x14ac:dyDescent="0.25">
      <c r="F5521" s="85" t="str">
        <f t="shared" si="34"/>
        <v/>
      </c>
      <c r="AB5521" s="86"/>
      <c r="AD5521" s="100"/>
    </row>
    <row r="5522" spans="6:30" x14ac:dyDescent="0.25">
      <c r="F5522" s="85" t="str">
        <f t="shared" si="34"/>
        <v/>
      </c>
      <c r="AB5522" s="86"/>
      <c r="AD5522" s="100"/>
    </row>
    <row r="5523" spans="6:30" x14ac:dyDescent="0.25">
      <c r="F5523" s="85" t="str">
        <f t="shared" si="34"/>
        <v/>
      </c>
      <c r="AB5523" s="86"/>
      <c r="AD5523" s="100"/>
    </row>
    <row r="5524" spans="6:30" x14ac:dyDescent="0.25">
      <c r="F5524" s="85" t="str">
        <f t="shared" si="34"/>
        <v/>
      </c>
      <c r="AB5524" s="86"/>
      <c r="AD5524" s="100"/>
    </row>
    <row r="5525" spans="6:30" x14ac:dyDescent="0.25">
      <c r="F5525" s="85" t="str">
        <f t="shared" si="34"/>
        <v/>
      </c>
      <c r="AB5525" s="86"/>
      <c r="AD5525" s="100"/>
    </row>
    <row r="5526" spans="6:30" x14ac:dyDescent="0.25">
      <c r="F5526" s="85" t="str">
        <f t="shared" si="34"/>
        <v/>
      </c>
      <c r="AB5526" s="86"/>
      <c r="AD5526" s="100"/>
    </row>
    <row r="5527" spans="6:30" x14ac:dyDescent="0.25">
      <c r="F5527" s="85" t="str">
        <f t="shared" si="34"/>
        <v/>
      </c>
      <c r="AB5527" s="86"/>
      <c r="AD5527" s="100"/>
    </row>
    <row r="5528" spans="6:30" x14ac:dyDescent="0.25">
      <c r="F5528" s="85" t="str">
        <f t="shared" si="34"/>
        <v/>
      </c>
      <c r="AB5528" s="86"/>
      <c r="AD5528" s="100"/>
    </row>
    <row r="5529" spans="6:30" x14ac:dyDescent="0.25">
      <c r="F5529" s="85" t="str">
        <f t="shared" si="34"/>
        <v/>
      </c>
      <c r="AB5529" s="86"/>
      <c r="AD5529" s="100"/>
    </row>
    <row r="5530" spans="6:30" x14ac:dyDescent="0.25">
      <c r="F5530" s="85" t="str">
        <f t="shared" si="34"/>
        <v/>
      </c>
      <c r="AB5530" s="86"/>
      <c r="AD5530" s="100"/>
    </row>
    <row r="5531" spans="6:30" x14ac:dyDescent="0.25">
      <c r="F5531" s="85" t="str">
        <f t="shared" si="34"/>
        <v/>
      </c>
      <c r="AB5531" s="86"/>
      <c r="AD5531" s="100"/>
    </row>
    <row r="5532" spans="6:30" x14ac:dyDescent="0.25">
      <c r="F5532" s="85" t="str">
        <f t="shared" si="34"/>
        <v/>
      </c>
      <c r="AB5532" s="86"/>
      <c r="AD5532" s="100"/>
    </row>
    <row r="5533" spans="6:30" x14ac:dyDescent="0.25">
      <c r="F5533" s="85" t="str">
        <f t="shared" si="34"/>
        <v/>
      </c>
      <c r="AB5533" s="86"/>
      <c r="AD5533" s="100"/>
    </row>
    <row r="5534" spans="6:30" x14ac:dyDescent="0.25">
      <c r="F5534" s="85" t="str">
        <f t="shared" si="34"/>
        <v/>
      </c>
      <c r="AB5534" s="86"/>
      <c r="AD5534" s="100"/>
    </row>
    <row r="5535" spans="6:30" x14ac:dyDescent="0.25">
      <c r="F5535" s="85" t="str">
        <f t="shared" si="34"/>
        <v/>
      </c>
      <c r="AB5535" s="86"/>
      <c r="AD5535" s="100"/>
    </row>
    <row r="5536" spans="6:30" x14ac:dyDescent="0.25">
      <c r="F5536" s="85" t="str">
        <f t="shared" si="34"/>
        <v/>
      </c>
      <c r="AB5536" s="86"/>
      <c r="AD5536" s="100"/>
    </row>
    <row r="5537" spans="6:30" x14ac:dyDescent="0.25">
      <c r="F5537" s="85" t="str">
        <f t="shared" si="34"/>
        <v/>
      </c>
      <c r="AB5537" s="86"/>
      <c r="AD5537" s="100"/>
    </row>
    <row r="5538" spans="6:30" x14ac:dyDescent="0.25">
      <c r="F5538" s="85" t="str">
        <f t="shared" si="34"/>
        <v/>
      </c>
      <c r="AB5538" s="86"/>
      <c r="AD5538" s="100"/>
    </row>
    <row r="5539" spans="6:30" x14ac:dyDescent="0.25">
      <c r="F5539" s="85" t="str">
        <f t="shared" si="34"/>
        <v/>
      </c>
      <c r="AB5539" s="86"/>
      <c r="AD5539" s="100"/>
    </row>
    <row r="5540" spans="6:30" x14ac:dyDescent="0.25">
      <c r="F5540" s="85" t="str">
        <f t="shared" si="34"/>
        <v/>
      </c>
      <c r="AB5540" s="86"/>
      <c r="AD5540" s="100"/>
    </row>
    <row r="5541" spans="6:30" x14ac:dyDescent="0.25">
      <c r="F5541" s="85" t="str">
        <f t="shared" si="34"/>
        <v/>
      </c>
      <c r="AB5541" s="86"/>
      <c r="AD5541" s="100"/>
    </row>
    <row r="5542" spans="6:30" x14ac:dyDescent="0.25">
      <c r="F5542" s="85" t="str">
        <f t="shared" si="34"/>
        <v/>
      </c>
      <c r="AB5542" s="86"/>
      <c r="AD5542" s="100"/>
    </row>
    <row r="5543" spans="6:30" x14ac:dyDescent="0.25">
      <c r="F5543" s="85" t="str">
        <f t="shared" si="34"/>
        <v/>
      </c>
      <c r="AB5543" s="86"/>
      <c r="AD5543" s="100"/>
    </row>
    <row r="5544" spans="6:30" x14ac:dyDescent="0.25">
      <c r="F5544" s="85" t="str">
        <f t="shared" si="34"/>
        <v/>
      </c>
      <c r="AB5544" s="86"/>
      <c r="AD5544" s="100"/>
    </row>
    <row r="5545" spans="6:30" x14ac:dyDescent="0.25">
      <c r="F5545" s="85" t="str">
        <f t="shared" si="34"/>
        <v/>
      </c>
      <c r="AB5545" s="86"/>
      <c r="AD5545" s="100"/>
    </row>
    <row r="5546" spans="6:30" x14ac:dyDescent="0.25">
      <c r="F5546" s="85" t="str">
        <f t="shared" si="34"/>
        <v/>
      </c>
      <c r="AB5546" s="86"/>
      <c r="AD5546" s="100"/>
    </row>
    <row r="5547" spans="6:30" x14ac:dyDescent="0.25">
      <c r="F5547" s="85" t="str">
        <f t="shared" si="34"/>
        <v/>
      </c>
      <c r="AB5547" s="86"/>
      <c r="AD5547" s="100"/>
    </row>
    <row r="5548" spans="6:30" x14ac:dyDescent="0.25">
      <c r="F5548" s="85" t="str">
        <f t="shared" si="34"/>
        <v/>
      </c>
      <c r="AB5548" s="86"/>
      <c r="AD5548" s="100"/>
    </row>
    <row r="5549" spans="6:30" x14ac:dyDescent="0.25">
      <c r="F5549" s="85" t="str">
        <f t="shared" si="34"/>
        <v/>
      </c>
      <c r="AB5549" s="86"/>
      <c r="AD5549" s="100"/>
    </row>
    <row r="5550" spans="6:30" x14ac:dyDescent="0.25">
      <c r="F5550" s="85" t="str">
        <f t="shared" si="34"/>
        <v/>
      </c>
      <c r="AB5550" s="86"/>
      <c r="AD5550" s="100"/>
    </row>
    <row r="5551" spans="6:30" x14ac:dyDescent="0.25">
      <c r="F5551" s="85" t="str">
        <f t="shared" si="34"/>
        <v/>
      </c>
      <c r="AB5551" s="86"/>
      <c r="AD5551" s="100"/>
    </row>
    <row r="5552" spans="6:30" x14ac:dyDescent="0.25">
      <c r="F5552" s="85" t="str">
        <f t="shared" si="34"/>
        <v/>
      </c>
      <c r="AB5552" s="86"/>
      <c r="AD5552" s="100"/>
    </row>
    <row r="5553" spans="6:30" x14ac:dyDescent="0.25">
      <c r="F5553" s="85" t="str">
        <f t="shared" si="34"/>
        <v/>
      </c>
      <c r="AB5553" s="86"/>
      <c r="AD5553" s="100"/>
    </row>
    <row r="5554" spans="6:30" x14ac:dyDescent="0.25">
      <c r="F5554" s="85" t="str">
        <f t="shared" si="34"/>
        <v/>
      </c>
      <c r="AB5554" s="86"/>
      <c r="AD5554" s="100"/>
    </row>
    <row r="5555" spans="6:30" x14ac:dyDescent="0.25">
      <c r="F5555" s="85" t="str">
        <f t="shared" si="34"/>
        <v/>
      </c>
      <c r="AB5555" s="86"/>
      <c r="AD5555" s="100"/>
    </row>
    <row r="5556" spans="6:30" x14ac:dyDescent="0.25">
      <c r="F5556" s="85" t="str">
        <f t="shared" si="34"/>
        <v/>
      </c>
      <c r="AB5556" s="86"/>
      <c r="AD5556" s="100"/>
    </row>
    <row r="5557" spans="6:30" x14ac:dyDescent="0.25">
      <c r="F5557" s="85" t="str">
        <f t="shared" si="34"/>
        <v/>
      </c>
      <c r="AB5557" s="86"/>
      <c r="AD5557" s="100"/>
    </row>
    <row r="5558" spans="6:30" x14ac:dyDescent="0.25">
      <c r="F5558" s="85" t="str">
        <f t="shared" si="34"/>
        <v/>
      </c>
      <c r="AB5558" s="86"/>
      <c r="AD5558" s="100"/>
    </row>
    <row r="5559" spans="6:30" x14ac:dyDescent="0.25">
      <c r="F5559" s="85" t="str">
        <f t="shared" si="34"/>
        <v/>
      </c>
      <c r="AB5559" s="86"/>
      <c r="AD5559" s="100"/>
    </row>
    <row r="5560" spans="6:30" x14ac:dyDescent="0.25">
      <c r="F5560" s="85" t="str">
        <f t="shared" si="34"/>
        <v/>
      </c>
      <c r="AB5560" s="86"/>
      <c r="AD5560" s="100"/>
    </row>
    <row r="5561" spans="6:30" x14ac:dyDescent="0.25">
      <c r="F5561" s="85" t="str">
        <f t="shared" si="34"/>
        <v/>
      </c>
      <c r="AB5561" s="86"/>
      <c r="AD5561" s="100"/>
    </row>
    <row r="5562" spans="6:30" x14ac:dyDescent="0.25">
      <c r="F5562" s="85" t="str">
        <f t="shared" si="34"/>
        <v/>
      </c>
      <c r="AB5562" s="86"/>
      <c r="AD5562" s="100"/>
    </row>
    <row r="5563" spans="6:30" x14ac:dyDescent="0.25">
      <c r="F5563" s="85" t="str">
        <f t="shared" si="34"/>
        <v/>
      </c>
      <c r="AB5563" s="86"/>
      <c r="AD5563" s="100"/>
    </row>
    <row r="5564" spans="6:30" x14ac:dyDescent="0.25">
      <c r="F5564" s="85" t="str">
        <f t="shared" si="34"/>
        <v/>
      </c>
      <c r="AB5564" s="86"/>
      <c r="AD5564" s="100"/>
    </row>
    <row r="5565" spans="6:30" x14ac:dyDescent="0.25">
      <c r="F5565" s="85" t="str">
        <f t="shared" si="34"/>
        <v/>
      </c>
      <c r="AB5565" s="86"/>
      <c r="AD5565" s="100"/>
    </row>
    <row r="5566" spans="6:30" x14ac:dyDescent="0.25">
      <c r="F5566" s="85" t="str">
        <f t="shared" si="34"/>
        <v/>
      </c>
      <c r="AB5566" s="86"/>
      <c r="AD5566" s="100"/>
    </row>
    <row r="5567" spans="6:30" x14ac:dyDescent="0.25">
      <c r="F5567" s="85" t="str">
        <f t="shared" si="34"/>
        <v/>
      </c>
      <c r="AB5567" s="86"/>
      <c r="AD5567" s="100"/>
    </row>
    <row r="5568" spans="6:30" x14ac:dyDescent="0.25">
      <c r="F5568" s="85" t="str">
        <f t="shared" si="34"/>
        <v/>
      </c>
      <c r="AB5568" s="86"/>
      <c r="AD5568" s="100"/>
    </row>
    <row r="5569" spans="6:30" x14ac:dyDescent="0.25">
      <c r="F5569" s="85" t="str">
        <f t="shared" si="34"/>
        <v/>
      </c>
      <c r="AB5569" s="86"/>
      <c r="AD5569" s="100"/>
    </row>
    <row r="5570" spans="6:30" x14ac:dyDescent="0.25">
      <c r="F5570" s="85" t="str">
        <f t="shared" si="34"/>
        <v/>
      </c>
      <c r="AB5570" s="86"/>
      <c r="AD5570" s="100"/>
    </row>
    <row r="5571" spans="6:30" x14ac:dyDescent="0.25">
      <c r="F5571" s="85" t="str">
        <f t="shared" ref="F5571:F5634" si="35">IF($A5571="","",CONCATENATE($A5571,"_",$B5571,"_",$C5571))</f>
        <v/>
      </c>
      <c r="AB5571" s="86"/>
      <c r="AD5571" s="100"/>
    </row>
    <row r="5572" spans="6:30" x14ac:dyDescent="0.25">
      <c r="F5572" s="85" t="str">
        <f t="shared" si="35"/>
        <v/>
      </c>
      <c r="AB5572" s="86"/>
      <c r="AD5572" s="100"/>
    </row>
    <row r="5573" spans="6:30" x14ac:dyDescent="0.25">
      <c r="F5573" s="85" t="str">
        <f t="shared" si="35"/>
        <v/>
      </c>
      <c r="AB5573" s="86"/>
      <c r="AD5573" s="100"/>
    </row>
    <row r="5574" spans="6:30" x14ac:dyDescent="0.25">
      <c r="F5574" s="85" t="str">
        <f t="shared" si="35"/>
        <v/>
      </c>
      <c r="AB5574" s="86"/>
      <c r="AD5574" s="100"/>
    </row>
    <row r="5575" spans="6:30" x14ac:dyDescent="0.25">
      <c r="F5575" s="85" t="str">
        <f t="shared" si="35"/>
        <v/>
      </c>
      <c r="AB5575" s="86"/>
      <c r="AD5575" s="100"/>
    </row>
    <row r="5576" spans="6:30" x14ac:dyDescent="0.25">
      <c r="F5576" s="85" t="str">
        <f t="shared" si="35"/>
        <v/>
      </c>
      <c r="AB5576" s="86"/>
      <c r="AD5576" s="100"/>
    </row>
    <row r="5577" spans="6:30" x14ac:dyDescent="0.25">
      <c r="F5577" s="85" t="str">
        <f t="shared" si="35"/>
        <v/>
      </c>
      <c r="AB5577" s="86"/>
      <c r="AD5577" s="100"/>
    </row>
    <row r="5578" spans="6:30" x14ac:dyDescent="0.25">
      <c r="F5578" s="85" t="str">
        <f t="shared" si="35"/>
        <v/>
      </c>
      <c r="AB5578" s="86"/>
      <c r="AD5578" s="100"/>
    </row>
    <row r="5579" spans="6:30" x14ac:dyDescent="0.25">
      <c r="F5579" s="85" t="str">
        <f t="shared" si="35"/>
        <v/>
      </c>
      <c r="AB5579" s="86"/>
      <c r="AD5579" s="100"/>
    </row>
    <row r="5580" spans="6:30" x14ac:dyDescent="0.25">
      <c r="F5580" s="85" t="str">
        <f t="shared" si="35"/>
        <v/>
      </c>
      <c r="AB5580" s="86"/>
      <c r="AD5580" s="100"/>
    </row>
    <row r="5581" spans="6:30" x14ac:dyDescent="0.25">
      <c r="F5581" s="85" t="str">
        <f t="shared" si="35"/>
        <v/>
      </c>
      <c r="AB5581" s="86"/>
      <c r="AD5581" s="100"/>
    </row>
    <row r="5582" spans="6:30" x14ac:dyDescent="0.25">
      <c r="F5582" s="85" t="str">
        <f t="shared" si="35"/>
        <v/>
      </c>
      <c r="AB5582" s="86"/>
      <c r="AD5582" s="100"/>
    </row>
    <row r="5583" spans="6:30" x14ac:dyDescent="0.25">
      <c r="F5583" s="85" t="str">
        <f t="shared" si="35"/>
        <v/>
      </c>
      <c r="AB5583" s="86"/>
      <c r="AD5583" s="100"/>
    </row>
    <row r="5584" spans="6:30" x14ac:dyDescent="0.25">
      <c r="F5584" s="85" t="str">
        <f t="shared" si="35"/>
        <v/>
      </c>
      <c r="AB5584" s="86"/>
      <c r="AD5584" s="100"/>
    </row>
    <row r="5585" spans="6:30" x14ac:dyDescent="0.25">
      <c r="F5585" s="85" t="str">
        <f t="shared" si="35"/>
        <v/>
      </c>
      <c r="AB5585" s="86"/>
      <c r="AD5585" s="100"/>
    </row>
    <row r="5586" spans="6:30" x14ac:dyDescent="0.25">
      <c r="F5586" s="85" t="str">
        <f t="shared" si="35"/>
        <v/>
      </c>
      <c r="AB5586" s="86"/>
      <c r="AD5586" s="100"/>
    </row>
    <row r="5587" spans="6:30" x14ac:dyDescent="0.25">
      <c r="F5587" s="85" t="str">
        <f t="shared" si="35"/>
        <v/>
      </c>
      <c r="AB5587" s="86"/>
      <c r="AD5587" s="100"/>
    </row>
    <row r="5588" spans="6:30" x14ac:dyDescent="0.25">
      <c r="F5588" s="85" t="str">
        <f t="shared" si="35"/>
        <v/>
      </c>
      <c r="AB5588" s="86"/>
      <c r="AD5588" s="100"/>
    </row>
    <row r="5589" spans="6:30" x14ac:dyDescent="0.25">
      <c r="F5589" s="85" t="str">
        <f t="shared" si="35"/>
        <v/>
      </c>
      <c r="AB5589" s="86"/>
      <c r="AD5589" s="100"/>
    </row>
    <row r="5590" spans="6:30" x14ac:dyDescent="0.25">
      <c r="F5590" s="85" t="str">
        <f t="shared" si="35"/>
        <v/>
      </c>
      <c r="AB5590" s="86"/>
      <c r="AD5590" s="100"/>
    </row>
    <row r="5591" spans="6:30" x14ac:dyDescent="0.25">
      <c r="F5591" s="85" t="str">
        <f t="shared" si="35"/>
        <v/>
      </c>
      <c r="AB5591" s="86"/>
      <c r="AD5591" s="100"/>
    </row>
    <row r="5592" spans="6:30" x14ac:dyDescent="0.25">
      <c r="F5592" s="85" t="str">
        <f t="shared" si="35"/>
        <v/>
      </c>
      <c r="AB5592" s="86"/>
      <c r="AD5592" s="100"/>
    </row>
    <row r="5593" spans="6:30" x14ac:dyDescent="0.25">
      <c r="F5593" s="85" t="str">
        <f t="shared" si="35"/>
        <v/>
      </c>
      <c r="AB5593" s="86"/>
      <c r="AD5593" s="100"/>
    </row>
    <row r="5594" spans="6:30" x14ac:dyDescent="0.25">
      <c r="F5594" s="85" t="str">
        <f t="shared" si="35"/>
        <v/>
      </c>
      <c r="AB5594" s="86"/>
      <c r="AD5594" s="100"/>
    </row>
    <row r="5595" spans="6:30" x14ac:dyDescent="0.25">
      <c r="F5595" s="85" t="str">
        <f t="shared" si="35"/>
        <v/>
      </c>
      <c r="AB5595" s="86"/>
      <c r="AD5595" s="100"/>
    </row>
    <row r="5596" spans="6:30" x14ac:dyDescent="0.25">
      <c r="F5596" s="85" t="str">
        <f t="shared" si="35"/>
        <v/>
      </c>
      <c r="AB5596" s="86"/>
      <c r="AD5596" s="100"/>
    </row>
    <row r="5597" spans="6:30" x14ac:dyDescent="0.25">
      <c r="F5597" s="85" t="str">
        <f t="shared" si="35"/>
        <v/>
      </c>
      <c r="AB5597" s="86"/>
      <c r="AD5597" s="100"/>
    </row>
    <row r="5598" spans="6:30" x14ac:dyDescent="0.25">
      <c r="F5598" s="85" t="str">
        <f t="shared" si="35"/>
        <v/>
      </c>
      <c r="AB5598" s="86"/>
      <c r="AD5598" s="100"/>
    </row>
    <row r="5599" spans="6:30" x14ac:dyDescent="0.25">
      <c r="F5599" s="85" t="str">
        <f t="shared" si="35"/>
        <v/>
      </c>
      <c r="AB5599" s="86"/>
      <c r="AD5599" s="100"/>
    </row>
    <row r="5600" spans="6:30" x14ac:dyDescent="0.25">
      <c r="F5600" s="85" t="str">
        <f t="shared" si="35"/>
        <v/>
      </c>
      <c r="AB5600" s="86"/>
      <c r="AD5600" s="100"/>
    </row>
    <row r="5601" spans="6:30" x14ac:dyDescent="0.25">
      <c r="F5601" s="85" t="str">
        <f t="shared" si="35"/>
        <v/>
      </c>
      <c r="AB5601" s="86"/>
      <c r="AD5601" s="100"/>
    </row>
    <row r="5602" spans="6:30" x14ac:dyDescent="0.25">
      <c r="F5602" s="85" t="str">
        <f t="shared" si="35"/>
        <v/>
      </c>
      <c r="AB5602" s="86"/>
      <c r="AD5602" s="100"/>
    </row>
    <row r="5603" spans="6:30" x14ac:dyDescent="0.25">
      <c r="F5603" s="85" t="str">
        <f t="shared" si="35"/>
        <v/>
      </c>
      <c r="AB5603" s="86"/>
      <c r="AD5603" s="100"/>
    </row>
    <row r="5604" spans="6:30" x14ac:dyDescent="0.25">
      <c r="F5604" s="85" t="str">
        <f t="shared" si="35"/>
        <v/>
      </c>
      <c r="AB5604" s="86"/>
      <c r="AD5604" s="100"/>
    </row>
    <row r="5605" spans="6:30" x14ac:dyDescent="0.25">
      <c r="F5605" s="85" t="str">
        <f t="shared" si="35"/>
        <v/>
      </c>
      <c r="AB5605" s="86"/>
      <c r="AD5605" s="100"/>
    </row>
    <row r="5606" spans="6:30" x14ac:dyDescent="0.25">
      <c r="F5606" s="85" t="str">
        <f t="shared" si="35"/>
        <v/>
      </c>
      <c r="AB5606" s="86"/>
      <c r="AD5606" s="100"/>
    </row>
    <row r="5607" spans="6:30" x14ac:dyDescent="0.25">
      <c r="F5607" s="85" t="str">
        <f t="shared" si="35"/>
        <v/>
      </c>
      <c r="AB5607" s="86"/>
      <c r="AD5607" s="100"/>
    </row>
    <row r="5608" spans="6:30" x14ac:dyDescent="0.25">
      <c r="F5608" s="85" t="str">
        <f t="shared" si="35"/>
        <v/>
      </c>
      <c r="AB5608" s="86"/>
      <c r="AD5608" s="100"/>
    </row>
    <row r="5609" spans="6:30" x14ac:dyDescent="0.25">
      <c r="F5609" s="85" t="str">
        <f t="shared" si="35"/>
        <v/>
      </c>
      <c r="AB5609" s="86"/>
      <c r="AD5609" s="100"/>
    </row>
    <row r="5610" spans="6:30" x14ac:dyDescent="0.25">
      <c r="F5610" s="85" t="str">
        <f t="shared" si="35"/>
        <v/>
      </c>
      <c r="AB5610" s="86"/>
      <c r="AD5610" s="100"/>
    </row>
    <row r="5611" spans="6:30" x14ac:dyDescent="0.25">
      <c r="F5611" s="85" t="str">
        <f t="shared" si="35"/>
        <v/>
      </c>
      <c r="AB5611" s="86"/>
      <c r="AD5611" s="100"/>
    </row>
    <row r="5612" spans="6:30" x14ac:dyDescent="0.25">
      <c r="F5612" s="85" t="str">
        <f t="shared" si="35"/>
        <v/>
      </c>
      <c r="AB5612" s="86"/>
      <c r="AD5612" s="100"/>
    </row>
    <row r="5613" spans="6:30" x14ac:dyDescent="0.25">
      <c r="F5613" s="85" t="str">
        <f t="shared" si="35"/>
        <v/>
      </c>
      <c r="AB5613" s="86"/>
      <c r="AD5613" s="100"/>
    </row>
    <row r="5614" spans="6:30" x14ac:dyDescent="0.25">
      <c r="F5614" s="85" t="str">
        <f t="shared" si="35"/>
        <v/>
      </c>
      <c r="AB5614" s="86"/>
      <c r="AD5614" s="100"/>
    </row>
    <row r="5615" spans="6:30" x14ac:dyDescent="0.25">
      <c r="F5615" s="85" t="str">
        <f t="shared" si="35"/>
        <v/>
      </c>
      <c r="AB5615" s="86"/>
      <c r="AD5615" s="100"/>
    </row>
    <row r="5616" spans="6:30" x14ac:dyDescent="0.25">
      <c r="F5616" s="85" t="str">
        <f t="shared" si="35"/>
        <v/>
      </c>
      <c r="AB5616" s="86"/>
      <c r="AD5616" s="100"/>
    </row>
    <row r="5617" spans="6:30" x14ac:dyDescent="0.25">
      <c r="F5617" s="85" t="str">
        <f t="shared" si="35"/>
        <v/>
      </c>
      <c r="AB5617" s="86"/>
      <c r="AD5617" s="100"/>
    </row>
    <row r="5618" spans="6:30" x14ac:dyDescent="0.25">
      <c r="F5618" s="85" t="str">
        <f t="shared" si="35"/>
        <v/>
      </c>
      <c r="AB5618" s="86"/>
      <c r="AD5618" s="100"/>
    </row>
    <row r="5619" spans="6:30" x14ac:dyDescent="0.25">
      <c r="F5619" s="85" t="str">
        <f t="shared" si="35"/>
        <v/>
      </c>
      <c r="AB5619" s="86"/>
      <c r="AD5619" s="100"/>
    </row>
    <row r="5620" spans="6:30" x14ac:dyDescent="0.25">
      <c r="F5620" s="85" t="str">
        <f t="shared" si="35"/>
        <v/>
      </c>
      <c r="AB5620" s="86"/>
      <c r="AD5620" s="100"/>
    </row>
    <row r="5621" spans="6:30" x14ac:dyDescent="0.25">
      <c r="F5621" s="85" t="str">
        <f t="shared" si="35"/>
        <v/>
      </c>
      <c r="AB5621" s="86"/>
      <c r="AD5621" s="100"/>
    </row>
    <row r="5622" spans="6:30" x14ac:dyDescent="0.25">
      <c r="F5622" s="85" t="str">
        <f t="shared" si="35"/>
        <v/>
      </c>
      <c r="AB5622" s="86"/>
      <c r="AD5622" s="100"/>
    </row>
    <row r="5623" spans="6:30" x14ac:dyDescent="0.25">
      <c r="F5623" s="85" t="str">
        <f t="shared" si="35"/>
        <v/>
      </c>
      <c r="AB5623" s="86"/>
      <c r="AD5623" s="100"/>
    </row>
    <row r="5624" spans="6:30" x14ac:dyDescent="0.25">
      <c r="F5624" s="85" t="str">
        <f t="shared" si="35"/>
        <v/>
      </c>
      <c r="AB5624" s="86"/>
      <c r="AD5624" s="100"/>
    </row>
    <row r="5625" spans="6:30" x14ac:dyDescent="0.25">
      <c r="F5625" s="85" t="str">
        <f t="shared" si="35"/>
        <v/>
      </c>
      <c r="AB5625" s="86"/>
      <c r="AD5625" s="100"/>
    </row>
    <row r="5626" spans="6:30" x14ac:dyDescent="0.25">
      <c r="F5626" s="85" t="str">
        <f t="shared" si="35"/>
        <v/>
      </c>
      <c r="AB5626" s="86"/>
      <c r="AD5626" s="100"/>
    </row>
    <row r="5627" spans="6:30" x14ac:dyDescent="0.25">
      <c r="F5627" s="85" t="str">
        <f t="shared" si="35"/>
        <v/>
      </c>
      <c r="AB5627" s="86"/>
      <c r="AD5627" s="100"/>
    </row>
    <row r="5628" spans="6:30" x14ac:dyDescent="0.25">
      <c r="F5628" s="85" t="str">
        <f t="shared" si="35"/>
        <v/>
      </c>
      <c r="AB5628" s="86"/>
      <c r="AD5628" s="100"/>
    </row>
    <row r="5629" spans="6:30" x14ac:dyDescent="0.25">
      <c r="F5629" s="85" t="str">
        <f t="shared" si="35"/>
        <v/>
      </c>
      <c r="AB5629" s="86"/>
      <c r="AD5629" s="100"/>
    </row>
    <row r="5630" spans="6:30" x14ac:dyDescent="0.25">
      <c r="F5630" s="85" t="str">
        <f t="shared" si="35"/>
        <v/>
      </c>
      <c r="AB5630" s="86"/>
      <c r="AD5630" s="100"/>
    </row>
    <row r="5631" spans="6:30" x14ac:dyDescent="0.25">
      <c r="F5631" s="85" t="str">
        <f t="shared" si="35"/>
        <v/>
      </c>
      <c r="AB5631" s="86"/>
      <c r="AD5631" s="100"/>
    </row>
    <row r="5632" spans="6:30" x14ac:dyDescent="0.25">
      <c r="F5632" s="85" t="str">
        <f t="shared" si="35"/>
        <v/>
      </c>
      <c r="AB5632" s="86"/>
      <c r="AD5632" s="100"/>
    </row>
    <row r="5633" spans="6:30" x14ac:dyDescent="0.25">
      <c r="F5633" s="85" t="str">
        <f t="shared" si="35"/>
        <v/>
      </c>
      <c r="AB5633" s="86"/>
      <c r="AD5633" s="100"/>
    </row>
    <row r="5634" spans="6:30" x14ac:dyDescent="0.25">
      <c r="F5634" s="85" t="str">
        <f t="shared" si="35"/>
        <v/>
      </c>
      <c r="AB5634" s="86"/>
      <c r="AD5634" s="100"/>
    </row>
    <row r="5635" spans="6:30" x14ac:dyDescent="0.25">
      <c r="F5635" s="85" t="str">
        <f t="shared" ref="F5635:F5698" si="36">IF($A5635="","",CONCATENATE($A5635,"_",$B5635,"_",$C5635))</f>
        <v/>
      </c>
      <c r="AB5635" s="86"/>
      <c r="AD5635" s="100"/>
    </row>
    <row r="5636" spans="6:30" x14ac:dyDescent="0.25">
      <c r="F5636" s="85" t="str">
        <f t="shared" si="36"/>
        <v/>
      </c>
      <c r="AB5636" s="86"/>
      <c r="AD5636" s="100"/>
    </row>
    <row r="5637" spans="6:30" x14ac:dyDescent="0.25">
      <c r="F5637" s="85" t="str">
        <f t="shared" si="36"/>
        <v/>
      </c>
      <c r="AB5637" s="86"/>
      <c r="AD5637" s="100"/>
    </row>
    <row r="5638" spans="6:30" x14ac:dyDescent="0.25">
      <c r="F5638" s="85" t="str">
        <f t="shared" si="36"/>
        <v/>
      </c>
      <c r="AB5638" s="86"/>
      <c r="AD5638" s="100"/>
    </row>
    <row r="5639" spans="6:30" x14ac:dyDescent="0.25">
      <c r="F5639" s="85" t="str">
        <f t="shared" si="36"/>
        <v/>
      </c>
      <c r="AB5639" s="86"/>
      <c r="AD5639" s="100"/>
    </row>
    <row r="5640" spans="6:30" x14ac:dyDescent="0.25">
      <c r="F5640" s="85" t="str">
        <f t="shared" si="36"/>
        <v/>
      </c>
      <c r="AB5640" s="86"/>
      <c r="AD5640" s="100"/>
    </row>
    <row r="5641" spans="6:30" x14ac:dyDescent="0.25">
      <c r="F5641" s="85" t="str">
        <f t="shared" si="36"/>
        <v/>
      </c>
      <c r="AB5641" s="86"/>
      <c r="AD5641" s="100"/>
    </row>
    <row r="5642" spans="6:30" x14ac:dyDescent="0.25">
      <c r="F5642" s="85" t="str">
        <f t="shared" si="36"/>
        <v/>
      </c>
      <c r="AB5642" s="86"/>
      <c r="AD5642" s="100"/>
    </row>
    <row r="5643" spans="6:30" x14ac:dyDescent="0.25">
      <c r="F5643" s="85" t="str">
        <f t="shared" si="36"/>
        <v/>
      </c>
      <c r="AB5643" s="86"/>
      <c r="AD5643" s="100"/>
    </row>
    <row r="5644" spans="6:30" x14ac:dyDescent="0.25">
      <c r="F5644" s="85" t="str">
        <f t="shared" si="36"/>
        <v/>
      </c>
      <c r="AB5644" s="86"/>
      <c r="AD5644" s="100"/>
    </row>
    <row r="5645" spans="6:30" x14ac:dyDescent="0.25">
      <c r="F5645" s="85" t="str">
        <f t="shared" si="36"/>
        <v/>
      </c>
      <c r="AB5645" s="86"/>
      <c r="AD5645" s="100"/>
    </row>
    <row r="5646" spans="6:30" x14ac:dyDescent="0.25">
      <c r="F5646" s="85" t="str">
        <f t="shared" si="36"/>
        <v/>
      </c>
      <c r="AB5646" s="86"/>
      <c r="AD5646" s="100"/>
    </row>
    <row r="5647" spans="6:30" x14ac:dyDescent="0.25">
      <c r="F5647" s="85" t="str">
        <f t="shared" si="36"/>
        <v/>
      </c>
      <c r="AB5647" s="86"/>
      <c r="AD5647" s="100"/>
    </row>
    <row r="5648" spans="6:30" x14ac:dyDescent="0.25">
      <c r="F5648" s="85" t="str">
        <f t="shared" si="36"/>
        <v/>
      </c>
      <c r="AB5648" s="86"/>
      <c r="AD5648" s="100"/>
    </row>
    <row r="5649" spans="6:30" x14ac:dyDescent="0.25">
      <c r="F5649" s="85" t="str">
        <f t="shared" si="36"/>
        <v/>
      </c>
      <c r="AB5649" s="86"/>
      <c r="AD5649" s="100"/>
    </row>
    <row r="5650" spans="6:30" x14ac:dyDescent="0.25">
      <c r="F5650" s="85" t="str">
        <f t="shared" si="36"/>
        <v/>
      </c>
      <c r="AB5650" s="86"/>
      <c r="AD5650" s="100"/>
    </row>
    <row r="5651" spans="6:30" x14ac:dyDescent="0.25">
      <c r="F5651" s="85" t="str">
        <f t="shared" si="36"/>
        <v/>
      </c>
      <c r="AB5651" s="86"/>
      <c r="AD5651" s="100"/>
    </row>
    <row r="5652" spans="6:30" x14ac:dyDescent="0.25">
      <c r="F5652" s="85" t="str">
        <f t="shared" si="36"/>
        <v/>
      </c>
      <c r="AB5652" s="86"/>
      <c r="AD5652" s="100"/>
    </row>
    <row r="5653" spans="6:30" x14ac:dyDescent="0.25">
      <c r="F5653" s="85" t="str">
        <f t="shared" si="36"/>
        <v/>
      </c>
      <c r="AB5653" s="86"/>
      <c r="AD5653" s="100"/>
    </row>
    <row r="5654" spans="6:30" x14ac:dyDescent="0.25">
      <c r="F5654" s="85" t="str">
        <f t="shared" si="36"/>
        <v/>
      </c>
      <c r="AB5654" s="86"/>
      <c r="AD5654" s="100"/>
    </row>
    <row r="5655" spans="6:30" x14ac:dyDescent="0.25">
      <c r="F5655" s="85" t="str">
        <f t="shared" si="36"/>
        <v/>
      </c>
      <c r="AB5655" s="86"/>
      <c r="AD5655" s="100"/>
    </row>
    <row r="5656" spans="6:30" x14ac:dyDescent="0.25">
      <c r="F5656" s="85" t="str">
        <f t="shared" si="36"/>
        <v/>
      </c>
      <c r="AB5656" s="86"/>
      <c r="AD5656" s="100"/>
    </row>
    <row r="5657" spans="6:30" x14ac:dyDescent="0.25">
      <c r="F5657" s="85" t="str">
        <f t="shared" si="36"/>
        <v/>
      </c>
      <c r="AB5657" s="86"/>
      <c r="AD5657" s="100"/>
    </row>
    <row r="5658" spans="6:30" x14ac:dyDescent="0.25">
      <c r="F5658" s="85" t="str">
        <f t="shared" si="36"/>
        <v/>
      </c>
      <c r="AB5658" s="86"/>
      <c r="AD5658" s="100"/>
    </row>
    <row r="5659" spans="6:30" x14ac:dyDescent="0.25">
      <c r="F5659" s="85" t="str">
        <f t="shared" si="36"/>
        <v/>
      </c>
      <c r="AB5659" s="86"/>
      <c r="AD5659" s="100"/>
    </row>
    <row r="5660" spans="6:30" x14ac:dyDescent="0.25">
      <c r="F5660" s="85" t="str">
        <f t="shared" si="36"/>
        <v/>
      </c>
      <c r="AB5660" s="86"/>
      <c r="AD5660" s="100"/>
    </row>
    <row r="5661" spans="6:30" x14ac:dyDescent="0.25">
      <c r="F5661" s="85" t="str">
        <f t="shared" si="36"/>
        <v/>
      </c>
      <c r="AB5661" s="86"/>
      <c r="AD5661" s="100"/>
    </row>
    <row r="5662" spans="6:30" x14ac:dyDescent="0.25">
      <c r="F5662" s="85" t="str">
        <f t="shared" si="36"/>
        <v/>
      </c>
      <c r="AB5662" s="86"/>
      <c r="AD5662" s="100"/>
    </row>
    <row r="5663" spans="6:30" x14ac:dyDescent="0.25">
      <c r="F5663" s="85" t="str">
        <f t="shared" si="36"/>
        <v/>
      </c>
      <c r="AB5663" s="86"/>
      <c r="AD5663" s="100"/>
    </row>
    <row r="5664" spans="6:30" x14ac:dyDescent="0.25">
      <c r="F5664" s="85" t="str">
        <f t="shared" si="36"/>
        <v/>
      </c>
      <c r="AB5664" s="86"/>
      <c r="AD5664" s="100"/>
    </row>
    <row r="5665" spans="6:30" x14ac:dyDescent="0.25">
      <c r="F5665" s="85" t="str">
        <f t="shared" si="36"/>
        <v/>
      </c>
      <c r="AB5665" s="86"/>
      <c r="AD5665" s="100"/>
    </row>
    <row r="5666" spans="6:30" x14ac:dyDescent="0.25">
      <c r="F5666" s="85" t="str">
        <f t="shared" si="36"/>
        <v/>
      </c>
      <c r="AB5666" s="86"/>
      <c r="AD5666" s="100"/>
    </row>
    <row r="5667" spans="6:30" x14ac:dyDescent="0.25">
      <c r="F5667" s="85" t="str">
        <f t="shared" si="36"/>
        <v/>
      </c>
      <c r="AB5667" s="86"/>
      <c r="AD5667" s="100"/>
    </row>
    <row r="5668" spans="6:30" x14ac:dyDescent="0.25">
      <c r="F5668" s="85" t="str">
        <f t="shared" si="36"/>
        <v/>
      </c>
      <c r="AB5668" s="86"/>
      <c r="AD5668" s="100"/>
    </row>
    <row r="5669" spans="6:30" x14ac:dyDescent="0.25">
      <c r="F5669" s="85" t="str">
        <f t="shared" si="36"/>
        <v/>
      </c>
      <c r="AB5669" s="86"/>
      <c r="AD5669" s="100"/>
    </row>
    <row r="5670" spans="6:30" x14ac:dyDescent="0.25">
      <c r="F5670" s="85" t="str">
        <f t="shared" si="36"/>
        <v/>
      </c>
      <c r="AB5670" s="86"/>
      <c r="AD5670" s="100"/>
    </row>
    <row r="5671" spans="6:30" x14ac:dyDescent="0.25">
      <c r="F5671" s="85" t="str">
        <f t="shared" si="36"/>
        <v/>
      </c>
      <c r="AB5671" s="86"/>
      <c r="AD5671" s="100"/>
    </row>
    <row r="5672" spans="6:30" x14ac:dyDescent="0.25">
      <c r="F5672" s="85" t="str">
        <f t="shared" si="36"/>
        <v/>
      </c>
      <c r="AB5672" s="86"/>
      <c r="AD5672" s="100"/>
    </row>
    <row r="5673" spans="6:30" x14ac:dyDescent="0.25">
      <c r="F5673" s="85" t="str">
        <f t="shared" si="36"/>
        <v/>
      </c>
      <c r="AB5673" s="86"/>
      <c r="AD5673" s="100"/>
    </row>
    <row r="5674" spans="6:30" x14ac:dyDescent="0.25">
      <c r="F5674" s="85" t="str">
        <f t="shared" si="36"/>
        <v/>
      </c>
      <c r="AB5674" s="86"/>
      <c r="AD5674" s="100"/>
    </row>
    <row r="5675" spans="6:30" x14ac:dyDescent="0.25">
      <c r="F5675" s="85" t="str">
        <f t="shared" si="36"/>
        <v/>
      </c>
      <c r="AB5675" s="86"/>
      <c r="AD5675" s="100"/>
    </row>
    <row r="5676" spans="6:30" x14ac:dyDescent="0.25">
      <c r="F5676" s="85" t="str">
        <f t="shared" si="36"/>
        <v/>
      </c>
      <c r="AB5676" s="86"/>
      <c r="AD5676" s="100"/>
    </row>
    <row r="5677" spans="6:30" x14ac:dyDescent="0.25">
      <c r="F5677" s="85" t="str">
        <f t="shared" si="36"/>
        <v/>
      </c>
      <c r="AB5677" s="86"/>
      <c r="AD5677" s="100"/>
    </row>
    <row r="5678" spans="6:30" x14ac:dyDescent="0.25">
      <c r="F5678" s="85" t="str">
        <f t="shared" si="36"/>
        <v/>
      </c>
      <c r="AB5678" s="86"/>
      <c r="AD5678" s="100"/>
    </row>
    <row r="5679" spans="6:30" x14ac:dyDescent="0.25">
      <c r="F5679" s="85" t="str">
        <f t="shared" si="36"/>
        <v/>
      </c>
      <c r="AB5679" s="86"/>
      <c r="AD5679" s="100"/>
    </row>
    <row r="5680" spans="6:30" x14ac:dyDescent="0.25">
      <c r="F5680" s="85" t="str">
        <f t="shared" si="36"/>
        <v/>
      </c>
      <c r="AB5680" s="86"/>
      <c r="AD5680" s="100"/>
    </row>
    <row r="5681" spans="6:30" x14ac:dyDescent="0.25">
      <c r="F5681" s="85" t="str">
        <f t="shared" si="36"/>
        <v/>
      </c>
      <c r="AB5681" s="86"/>
      <c r="AD5681" s="100"/>
    </row>
    <row r="5682" spans="6:30" x14ac:dyDescent="0.25">
      <c r="F5682" s="85" t="str">
        <f t="shared" si="36"/>
        <v/>
      </c>
      <c r="AB5682" s="86"/>
      <c r="AD5682" s="100"/>
    </row>
    <row r="5683" spans="6:30" x14ac:dyDescent="0.25">
      <c r="F5683" s="85" t="str">
        <f t="shared" si="36"/>
        <v/>
      </c>
      <c r="AB5683" s="86"/>
      <c r="AD5683" s="100"/>
    </row>
    <row r="5684" spans="6:30" x14ac:dyDescent="0.25">
      <c r="F5684" s="85" t="str">
        <f t="shared" si="36"/>
        <v/>
      </c>
      <c r="AB5684" s="86"/>
      <c r="AD5684" s="100"/>
    </row>
    <row r="5685" spans="6:30" x14ac:dyDescent="0.25">
      <c r="F5685" s="85" t="str">
        <f t="shared" si="36"/>
        <v/>
      </c>
      <c r="AB5685" s="86"/>
      <c r="AD5685" s="100"/>
    </row>
    <row r="5686" spans="6:30" x14ac:dyDescent="0.25">
      <c r="F5686" s="85" t="str">
        <f t="shared" si="36"/>
        <v/>
      </c>
      <c r="AB5686" s="86"/>
      <c r="AD5686" s="100"/>
    </row>
    <row r="5687" spans="6:30" x14ac:dyDescent="0.25">
      <c r="F5687" s="85" t="str">
        <f t="shared" si="36"/>
        <v/>
      </c>
      <c r="AB5687" s="86"/>
      <c r="AD5687" s="100"/>
    </row>
    <row r="5688" spans="6:30" x14ac:dyDescent="0.25">
      <c r="F5688" s="85" t="str">
        <f t="shared" si="36"/>
        <v/>
      </c>
      <c r="AB5688" s="86"/>
      <c r="AD5688" s="100"/>
    </row>
    <row r="5689" spans="6:30" x14ac:dyDescent="0.25">
      <c r="F5689" s="85" t="str">
        <f t="shared" si="36"/>
        <v/>
      </c>
      <c r="AB5689" s="86"/>
      <c r="AD5689" s="100"/>
    </row>
    <row r="5690" spans="6:30" x14ac:dyDescent="0.25">
      <c r="F5690" s="85" t="str">
        <f t="shared" si="36"/>
        <v/>
      </c>
      <c r="AB5690" s="86"/>
      <c r="AD5690" s="100"/>
    </row>
    <row r="5691" spans="6:30" x14ac:dyDescent="0.25">
      <c r="F5691" s="85" t="str">
        <f t="shared" si="36"/>
        <v/>
      </c>
      <c r="AB5691" s="86"/>
      <c r="AD5691" s="100"/>
    </row>
    <row r="5692" spans="6:30" x14ac:dyDescent="0.25">
      <c r="F5692" s="85" t="str">
        <f t="shared" si="36"/>
        <v/>
      </c>
      <c r="AB5692" s="86"/>
      <c r="AD5692" s="100"/>
    </row>
    <row r="5693" spans="6:30" x14ac:dyDescent="0.25">
      <c r="F5693" s="85" t="str">
        <f t="shared" si="36"/>
        <v/>
      </c>
      <c r="AB5693" s="86"/>
      <c r="AD5693" s="100"/>
    </row>
    <row r="5694" spans="6:30" x14ac:dyDescent="0.25">
      <c r="F5694" s="85" t="str">
        <f t="shared" si="36"/>
        <v/>
      </c>
      <c r="AB5694" s="86"/>
      <c r="AD5694" s="100"/>
    </row>
    <row r="5695" spans="6:30" x14ac:dyDescent="0.25">
      <c r="F5695" s="85" t="str">
        <f t="shared" si="36"/>
        <v/>
      </c>
      <c r="AB5695" s="86"/>
      <c r="AD5695" s="100"/>
    </row>
    <row r="5696" spans="6:30" x14ac:dyDescent="0.25">
      <c r="F5696" s="85" t="str">
        <f t="shared" si="36"/>
        <v/>
      </c>
      <c r="AB5696" s="86"/>
      <c r="AD5696" s="100"/>
    </row>
    <row r="5697" spans="6:30" x14ac:dyDescent="0.25">
      <c r="F5697" s="85" t="str">
        <f t="shared" si="36"/>
        <v/>
      </c>
      <c r="AB5697" s="86"/>
      <c r="AD5697" s="100"/>
    </row>
    <row r="5698" spans="6:30" x14ac:dyDescent="0.25">
      <c r="F5698" s="85" t="str">
        <f t="shared" si="36"/>
        <v/>
      </c>
      <c r="AB5698" s="86"/>
    </row>
    <row r="5699" spans="6:30" x14ac:dyDescent="0.25">
      <c r="F5699" s="85" t="str">
        <f t="shared" ref="F5699:F5762" si="37">IF($A5699="","",CONCATENATE($A5699,"_",$B5699,"_",$C5699))</f>
        <v/>
      </c>
      <c r="AB5699" s="86"/>
      <c r="AD5699" s="100"/>
    </row>
    <row r="5700" spans="6:30" x14ac:dyDescent="0.25">
      <c r="F5700" s="85" t="str">
        <f t="shared" si="37"/>
        <v/>
      </c>
      <c r="AB5700" s="86"/>
      <c r="AD5700" s="100"/>
    </row>
    <row r="5701" spans="6:30" x14ac:dyDescent="0.25">
      <c r="F5701" s="85" t="str">
        <f t="shared" si="37"/>
        <v/>
      </c>
      <c r="AB5701" s="86"/>
      <c r="AD5701" s="100"/>
    </row>
    <row r="5702" spans="6:30" x14ac:dyDescent="0.25">
      <c r="F5702" s="85" t="str">
        <f t="shared" si="37"/>
        <v/>
      </c>
      <c r="AB5702" s="86"/>
      <c r="AD5702" s="100"/>
    </row>
    <row r="5703" spans="6:30" x14ac:dyDescent="0.25">
      <c r="F5703" s="85" t="str">
        <f t="shared" si="37"/>
        <v/>
      </c>
      <c r="AB5703" s="86"/>
      <c r="AD5703" s="100"/>
    </row>
    <row r="5704" spans="6:30" x14ac:dyDescent="0.25">
      <c r="F5704" s="85" t="str">
        <f t="shared" si="37"/>
        <v/>
      </c>
      <c r="AB5704" s="86"/>
      <c r="AD5704" s="100"/>
    </row>
    <row r="5705" spans="6:30" x14ac:dyDescent="0.25">
      <c r="F5705" s="85" t="str">
        <f t="shared" si="37"/>
        <v/>
      </c>
      <c r="AB5705" s="86"/>
      <c r="AD5705" s="100"/>
    </row>
    <row r="5706" spans="6:30" x14ac:dyDescent="0.25">
      <c r="F5706" s="85" t="str">
        <f t="shared" si="37"/>
        <v/>
      </c>
      <c r="AB5706" s="86"/>
      <c r="AD5706" s="100"/>
    </row>
    <row r="5707" spans="6:30" x14ac:dyDescent="0.25">
      <c r="F5707" s="85" t="str">
        <f t="shared" si="37"/>
        <v/>
      </c>
      <c r="AB5707" s="86"/>
      <c r="AD5707" s="100"/>
    </row>
    <row r="5708" spans="6:30" x14ac:dyDescent="0.25">
      <c r="F5708" s="85" t="str">
        <f t="shared" si="37"/>
        <v/>
      </c>
      <c r="AB5708" s="86"/>
      <c r="AD5708" s="100"/>
    </row>
    <row r="5709" spans="6:30" x14ac:dyDescent="0.25">
      <c r="F5709" s="85" t="str">
        <f t="shared" si="37"/>
        <v/>
      </c>
      <c r="AB5709" s="86"/>
      <c r="AD5709" s="100"/>
    </row>
    <row r="5710" spans="6:30" x14ac:dyDescent="0.25">
      <c r="F5710" s="85" t="str">
        <f t="shared" si="37"/>
        <v/>
      </c>
      <c r="AB5710" s="86"/>
      <c r="AD5710" s="100"/>
    </row>
    <row r="5711" spans="6:30" x14ac:dyDescent="0.25">
      <c r="F5711" s="85" t="str">
        <f t="shared" si="37"/>
        <v/>
      </c>
      <c r="AB5711" s="86"/>
      <c r="AD5711" s="100"/>
    </row>
    <row r="5712" spans="6:30" x14ac:dyDescent="0.25">
      <c r="F5712" s="85" t="str">
        <f t="shared" si="37"/>
        <v/>
      </c>
      <c r="AB5712" s="86"/>
      <c r="AD5712" s="100"/>
    </row>
    <row r="5713" spans="6:30" x14ac:dyDescent="0.25">
      <c r="F5713" s="85" t="str">
        <f t="shared" si="37"/>
        <v/>
      </c>
      <c r="AB5713" s="86"/>
      <c r="AD5713" s="100"/>
    </row>
    <row r="5714" spans="6:30" x14ac:dyDescent="0.25">
      <c r="F5714" s="85" t="str">
        <f t="shared" si="37"/>
        <v/>
      </c>
      <c r="AB5714" s="86"/>
      <c r="AD5714" s="100"/>
    </row>
    <row r="5715" spans="6:30" x14ac:dyDescent="0.25">
      <c r="F5715" s="85" t="str">
        <f t="shared" si="37"/>
        <v/>
      </c>
      <c r="AB5715" s="86"/>
      <c r="AD5715" s="100"/>
    </row>
    <row r="5716" spans="6:30" x14ac:dyDescent="0.25">
      <c r="F5716" s="85" t="str">
        <f t="shared" si="37"/>
        <v/>
      </c>
      <c r="AB5716" s="86"/>
      <c r="AD5716" s="100"/>
    </row>
    <row r="5717" spans="6:30" x14ac:dyDescent="0.25">
      <c r="F5717" s="85" t="str">
        <f t="shared" si="37"/>
        <v/>
      </c>
      <c r="AB5717" s="86"/>
      <c r="AD5717" s="100"/>
    </row>
    <row r="5718" spans="6:30" x14ac:dyDescent="0.25">
      <c r="F5718" s="85" t="str">
        <f t="shared" si="37"/>
        <v/>
      </c>
      <c r="AB5718" s="86"/>
      <c r="AD5718" s="100"/>
    </row>
    <row r="5719" spans="6:30" x14ac:dyDescent="0.25">
      <c r="F5719" s="85" t="str">
        <f t="shared" si="37"/>
        <v/>
      </c>
      <c r="AB5719" s="86"/>
      <c r="AD5719" s="100"/>
    </row>
    <row r="5720" spans="6:30" x14ac:dyDescent="0.25">
      <c r="F5720" s="85" t="str">
        <f t="shared" si="37"/>
        <v/>
      </c>
      <c r="AB5720" s="86"/>
      <c r="AD5720" s="100"/>
    </row>
    <row r="5721" spans="6:30" x14ac:dyDescent="0.25">
      <c r="F5721" s="85" t="str">
        <f t="shared" si="37"/>
        <v/>
      </c>
      <c r="AB5721" s="86"/>
      <c r="AD5721" s="100"/>
    </row>
    <row r="5722" spans="6:30" x14ac:dyDescent="0.25">
      <c r="F5722" s="85" t="str">
        <f t="shared" si="37"/>
        <v/>
      </c>
      <c r="AB5722" s="86"/>
    </row>
    <row r="5723" spans="6:30" x14ac:dyDescent="0.25">
      <c r="F5723" s="85" t="str">
        <f t="shared" si="37"/>
        <v/>
      </c>
      <c r="AB5723" s="86"/>
    </row>
    <row r="5724" spans="6:30" x14ac:dyDescent="0.25">
      <c r="F5724" s="85" t="str">
        <f t="shared" si="37"/>
        <v/>
      </c>
      <c r="AB5724" s="86"/>
      <c r="AD5724" s="100"/>
    </row>
    <row r="5725" spans="6:30" x14ac:dyDescent="0.25">
      <c r="F5725" s="85" t="str">
        <f t="shared" si="37"/>
        <v/>
      </c>
      <c r="AB5725" s="86"/>
      <c r="AD5725" s="100"/>
    </row>
    <row r="5726" spans="6:30" x14ac:dyDescent="0.25">
      <c r="F5726" s="85" t="str">
        <f t="shared" si="37"/>
        <v/>
      </c>
      <c r="AB5726" s="86"/>
      <c r="AD5726" s="100"/>
    </row>
    <row r="5727" spans="6:30" x14ac:dyDescent="0.25">
      <c r="F5727" s="85" t="str">
        <f t="shared" si="37"/>
        <v/>
      </c>
      <c r="AB5727" s="86"/>
      <c r="AD5727" s="100"/>
    </row>
    <row r="5728" spans="6:30" x14ac:dyDescent="0.25">
      <c r="F5728" s="85" t="str">
        <f t="shared" si="37"/>
        <v/>
      </c>
      <c r="AB5728" s="86"/>
      <c r="AD5728" s="100"/>
    </row>
    <row r="5729" spans="6:30" x14ac:dyDescent="0.25">
      <c r="F5729" s="85" t="str">
        <f t="shared" si="37"/>
        <v/>
      </c>
      <c r="AB5729" s="86"/>
      <c r="AD5729" s="100"/>
    </row>
    <row r="5730" spans="6:30" x14ac:dyDescent="0.25">
      <c r="F5730" s="85" t="str">
        <f t="shared" si="37"/>
        <v/>
      </c>
      <c r="AB5730" s="86"/>
      <c r="AD5730" s="100"/>
    </row>
    <row r="5731" spans="6:30" x14ac:dyDescent="0.25">
      <c r="F5731" s="85" t="str">
        <f t="shared" si="37"/>
        <v/>
      </c>
      <c r="AB5731" s="86"/>
      <c r="AD5731" s="100"/>
    </row>
    <row r="5732" spans="6:30" x14ac:dyDescent="0.25">
      <c r="F5732" s="85" t="str">
        <f t="shared" si="37"/>
        <v/>
      </c>
      <c r="AB5732" s="86"/>
      <c r="AD5732" s="100"/>
    </row>
    <row r="5733" spans="6:30" x14ac:dyDescent="0.25">
      <c r="F5733" s="85" t="str">
        <f t="shared" si="37"/>
        <v/>
      </c>
      <c r="AB5733" s="86"/>
      <c r="AD5733" s="100"/>
    </row>
    <row r="5734" spans="6:30" x14ac:dyDescent="0.25">
      <c r="F5734" s="85" t="str">
        <f t="shared" si="37"/>
        <v/>
      </c>
      <c r="AB5734" s="86"/>
      <c r="AD5734" s="100"/>
    </row>
    <row r="5735" spans="6:30" x14ac:dyDescent="0.25">
      <c r="F5735" s="85" t="str">
        <f t="shared" si="37"/>
        <v/>
      </c>
      <c r="AB5735" s="86"/>
      <c r="AD5735" s="100"/>
    </row>
    <row r="5736" spans="6:30" x14ac:dyDescent="0.25">
      <c r="F5736" s="85" t="str">
        <f t="shared" si="37"/>
        <v/>
      </c>
      <c r="AB5736" s="86"/>
      <c r="AD5736" s="100"/>
    </row>
    <row r="5737" spans="6:30" x14ac:dyDescent="0.25">
      <c r="F5737" s="85" t="str">
        <f t="shared" si="37"/>
        <v/>
      </c>
      <c r="AB5737" s="86"/>
    </row>
    <row r="5738" spans="6:30" x14ac:dyDescent="0.25">
      <c r="F5738" s="85" t="str">
        <f t="shared" si="37"/>
        <v/>
      </c>
      <c r="AB5738" s="86"/>
      <c r="AD5738" s="100"/>
    </row>
    <row r="5739" spans="6:30" x14ac:dyDescent="0.25">
      <c r="F5739" s="85" t="str">
        <f t="shared" si="37"/>
        <v/>
      </c>
      <c r="AB5739" s="86"/>
      <c r="AD5739" s="100"/>
    </row>
    <row r="5740" spans="6:30" x14ac:dyDescent="0.25">
      <c r="F5740" s="85" t="str">
        <f t="shared" si="37"/>
        <v/>
      </c>
      <c r="AB5740" s="86"/>
      <c r="AD5740" s="100"/>
    </row>
    <row r="5741" spans="6:30" x14ac:dyDescent="0.25">
      <c r="F5741" s="85" t="str">
        <f t="shared" si="37"/>
        <v/>
      </c>
      <c r="AB5741" s="86"/>
      <c r="AD5741" s="100"/>
    </row>
    <row r="5742" spans="6:30" x14ac:dyDescent="0.25">
      <c r="F5742" s="85" t="str">
        <f t="shared" si="37"/>
        <v/>
      </c>
      <c r="AB5742" s="86"/>
    </row>
    <row r="5743" spans="6:30" x14ac:dyDescent="0.25">
      <c r="F5743" s="85" t="str">
        <f t="shared" si="37"/>
        <v/>
      </c>
      <c r="AB5743" s="86"/>
      <c r="AD5743" s="100"/>
    </row>
    <row r="5744" spans="6:30" x14ac:dyDescent="0.25">
      <c r="F5744" s="85" t="str">
        <f t="shared" si="37"/>
        <v/>
      </c>
      <c r="AB5744" s="86"/>
      <c r="AD5744" s="100"/>
    </row>
    <row r="5745" spans="6:30" x14ac:dyDescent="0.25">
      <c r="F5745" s="85" t="str">
        <f t="shared" si="37"/>
        <v/>
      </c>
      <c r="AB5745" s="86"/>
      <c r="AD5745" s="100"/>
    </row>
    <row r="5746" spans="6:30" x14ac:dyDescent="0.25">
      <c r="F5746" s="85" t="str">
        <f t="shared" si="37"/>
        <v/>
      </c>
      <c r="AB5746" s="86"/>
      <c r="AD5746" s="100"/>
    </row>
    <row r="5747" spans="6:30" x14ac:dyDescent="0.25">
      <c r="F5747" s="85" t="str">
        <f t="shared" si="37"/>
        <v/>
      </c>
      <c r="AB5747" s="86"/>
      <c r="AD5747" s="100"/>
    </row>
    <row r="5748" spans="6:30" x14ac:dyDescent="0.25">
      <c r="F5748" s="85" t="str">
        <f t="shared" si="37"/>
        <v/>
      </c>
      <c r="AB5748" s="86"/>
      <c r="AD5748" s="100"/>
    </row>
    <row r="5749" spans="6:30" x14ac:dyDescent="0.25">
      <c r="F5749" s="85" t="str">
        <f t="shared" si="37"/>
        <v/>
      </c>
      <c r="AB5749" s="86"/>
      <c r="AD5749" s="100"/>
    </row>
    <row r="5750" spans="6:30" x14ac:dyDescent="0.25">
      <c r="F5750" s="85" t="str">
        <f t="shared" si="37"/>
        <v/>
      </c>
      <c r="AB5750" s="86"/>
      <c r="AD5750" s="100"/>
    </row>
    <row r="5751" spans="6:30" x14ac:dyDescent="0.25">
      <c r="F5751" s="85" t="str">
        <f t="shared" si="37"/>
        <v/>
      </c>
      <c r="AB5751" s="86"/>
      <c r="AD5751" s="100"/>
    </row>
    <row r="5752" spans="6:30" x14ac:dyDescent="0.25">
      <c r="F5752" s="85" t="str">
        <f t="shared" si="37"/>
        <v/>
      </c>
      <c r="AB5752" s="86"/>
      <c r="AD5752" s="100"/>
    </row>
    <row r="5753" spans="6:30" x14ac:dyDescent="0.25">
      <c r="F5753" s="85" t="str">
        <f t="shared" si="37"/>
        <v/>
      </c>
      <c r="AB5753" s="86"/>
      <c r="AD5753" s="100"/>
    </row>
    <row r="5754" spans="6:30" x14ac:dyDescent="0.25">
      <c r="F5754" s="85" t="str">
        <f t="shared" si="37"/>
        <v/>
      </c>
      <c r="AB5754" s="86"/>
      <c r="AD5754" s="100"/>
    </row>
    <row r="5755" spans="6:30" x14ac:dyDescent="0.25">
      <c r="F5755" s="85" t="str">
        <f t="shared" si="37"/>
        <v/>
      </c>
      <c r="AB5755" s="86"/>
    </row>
    <row r="5756" spans="6:30" x14ac:dyDescent="0.25">
      <c r="F5756" s="85" t="str">
        <f t="shared" si="37"/>
        <v/>
      </c>
      <c r="AB5756" s="86"/>
    </row>
    <row r="5757" spans="6:30" x14ac:dyDescent="0.25">
      <c r="F5757" s="85" t="str">
        <f t="shared" si="37"/>
        <v/>
      </c>
      <c r="AB5757" s="86"/>
      <c r="AD5757" s="100"/>
    </row>
    <row r="5758" spans="6:30" x14ac:dyDescent="0.25">
      <c r="F5758" s="85" t="str">
        <f t="shared" si="37"/>
        <v/>
      </c>
      <c r="AB5758" s="86"/>
      <c r="AD5758" s="100"/>
    </row>
    <row r="5759" spans="6:30" x14ac:dyDescent="0.25">
      <c r="F5759" s="85" t="str">
        <f t="shared" si="37"/>
        <v/>
      </c>
      <c r="AB5759" s="86"/>
      <c r="AD5759" s="100"/>
    </row>
    <row r="5760" spans="6:30" x14ac:dyDescent="0.25">
      <c r="F5760" s="85" t="str">
        <f t="shared" si="37"/>
        <v/>
      </c>
      <c r="AB5760" s="86"/>
      <c r="AD5760" s="100"/>
    </row>
    <row r="5761" spans="6:30" x14ac:dyDescent="0.25">
      <c r="F5761" s="85" t="str">
        <f t="shared" si="37"/>
        <v/>
      </c>
      <c r="AB5761" s="86"/>
      <c r="AD5761" s="100"/>
    </row>
    <row r="5762" spans="6:30" x14ac:dyDescent="0.25">
      <c r="F5762" s="85" t="str">
        <f t="shared" si="37"/>
        <v/>
      </c>
      <c r="AB5762" s="86"/>
      <c r="AD5762" s="100"/>
    </row>
    <row r="5763" spans="6:30" x14ac:dyDescent="0.25">
      <c r="F5763" s="85" t="str">
        <f t="shared" ref="F5763:F5826" si="38">IF($A5763="","",CONCATENATE($A5763,"_",$B5763,"_",$C5763))</f>
        <v/>
      </c>
      <c r="AB5763" s="86"/>
      <c r="AD5763" s="100"/>
    </row>
    <row r="5764" spans="6:30" x14ac:dyDescent="0.25">
      <c r="F5764" s="85" t="str">
        <f t="shared" si="38"/>
        <v/>
      </c>
      <c r="AB5764" s="86"/>
      <c r="AD5764" s="100"/>
    </row>
    <row r="5765" spans="6:30" x14ac:dyDescent="0.25">
      <c r="F5765" s="85" t="str">
        <f t="shared" si="38"/>
        <v/>
      </c>
      <c r="AB5765" s="86"/>
      <c r="AD5765" s="100"/>
    </row>
    <row r="5766" spans="6:30" x14ac:dyDescent="0.25">
      <c r="F5766" s="85" t="str">
        <f t="shared" si="38"/>
        <v/>
      </c>
      <c r="AB5766" s="86"/>
      <c r="AD5766" s="100"/>
    </row>
    <row r="5767" spans="6:30" x14ac:dyDescent="0.25">
      <c r="F5767" s="85" t="str">
        <f t="shared" si="38"/>
        <v/>
      </c>
      <c r="AB5767" s="86"/>
      <c r="AD5767" s="100"/>
    </row>
    <row r="5768" spans="6:30" x14ac:dyDescent="0.25">
      <c r="F5768" s="85" t="str">
        <f t="shared" si="38"/>
        <v/>
      </c>
      <c r="AB5768" s="86"/>
      <c r="AD5768" s="100"/>
    </row>
    <row r="5769" spans="6:30" x14ac:dyDescent="0.25">
      <c r="F5769" s="85" t="str">
        <f t="shared" si="38"/>
        <v/>
      </c>
      <c r="AB5769" s="86"/>
      <c r="AD5769" s="100"/>
    </row>
    <row r="5770" spans="6:30" x14ac:dyDescent="0.25">
      <c r="F5770" s="85" t="str">
        <f t="shared" si="38"/>
        <v/>
      </c>
      <c r="AB5770" s="86"/>
      <c r="AD5770" s="100"/>
    </row>
    <row r="5771" spans="6:30" x14ac:dyDescent="0.25">
      <c r="F5771" s="85" t="str">
        <f t="shared" si="38"/>
        <v/>
      </c>
      <c r="AB5771" s="86"/>
    </row>
    <row r="5772" spans="6:30" x14ac:dyDescent="0.25">
      <c r="F5772" s="85" t="str">
        <f t="shared" si="38"/>
        <v/>
      </c>
      <c r="AB5772" s="86"/>
    </row>
    <row r="5773" spans="6:30" x14ac:dyDescent="0.25">
      <c r="F5773" s="85" t="str">
        <f t="shared" si="38"/>
        <v/>
      </c>
      <c r="AB5773" s="86"/>
    </row>
    <row r="5774" spans="6:30" x14ac:dyDescent="0.25">
      <c r="F5774" s="85" t="str">
        <f t="shared" si="38"/>
        <v/>
      </c>
      <c r="AB5774" s="86"/>
    </row>
    <row r="5775" spans="6:30" x14ac:dyDescent="0.25">
      <c r="F5775" s="85" t="str">
        <f t="shared" si="38"/>
        <v/>
      </c>
      <c r="AB5775" s="86"/>
      <c r="AD5775" s="100"/>
    </row>
    <row r="5776" spans="6:30" x14ac:dyDescent="0.25">
      <c r="F5776" s="85" t="str">
        <f t="shared" si="38"/>
        <v/>
      </c>
      <c r="AB5776" s="86"/>
      <c r="AD5776" s="100"/>
    </row>
    <row r="5777" spans="6:30" x14ac:dyDescent="0.25">
      <c r="F5777" s="85" t="str">
        <f t="shared" si="38"/>
        <v/>
      </c>
      <c r="AB5777" s="86"/>
      <c r="AD5777" s="100"/>
    </row>
    <row r="5778" spans="6:30" x14ac:dyDescent="0.25">
      <c r="F5778" s="85" t="str">
        <f t="shared" si="38"/>
        <v/>
      </c>
      <c r="AB5778" s="86"/>
      <c r="AD5778" s="100"/>
    </row>
    <row r="5779" spans="6:30" x14ac:dyDescent="0.25">
      <c r="F5779" s="85" t="str">
        <f t="shared" si="38"/>
        <v/>
      </c>
      <c r="AB5779" s="86"/>
    </row>
    <row r="5780" spans="6:30" x14ac:dyDescent="0.25">
      <c r="F5780" s="85" t="str">
        <f t="shared" si="38"/>
        <v/>
      </c>
      <c r="AB5780" s="86"/>
    </row>
    <row r="5781" spans="6:30" x14ac:dyDescent="0.25">
      <c r="F5781" s="85" t="str">
        <f t="shared" si="38"/>
        <v/>
      </c>
      <c r="AB5781" s="86"/>
      <c r="AD5781" s="100"/>
    </row>
    <row r="5782" spans="6:30" x14ac:dyDescent="0.25">
      <c r="F5782" s="85" t="str">
        <f t="shared" si="38"/>
        <v/>
      </c>
      <c r="AB5782" s="86"/>
      <c r="AD5782" s="100"/>
    </row>
    <row r="5783" spans="6:30" x14ac:dyDescent="0.25">
      <c r="F5783" s="85" t="str">
        <f t="shared" si="38"/>
        <v/>
      </c>
      <c r="AB5783" s="86"/>
    </row>
    <row r="5784" spans="6:30" x14ac:dyDescent="0.25">
      <c r="F5784" s="85" t="str">
        <f t="shared" si="38"/>
        <v/>
      </c>
      <c r="AB5784" s="86"/>
    </row>
    <row r="5785" spans="6:30" x14ac:dyDescent="0.25">
      <c r="F5785" s="85" t="str">
        <f t="shared" si="38"/>
        <v/>
      </c>
      <c r="AB5785" s="86"/>
      <c r="AD5785" s="100"/>
    </row>
    <row r="5786" spans="6:30" x14ac:dyDescent="0.25">
      <c r="F5786" s="85" t="str">
        <f t="shared" si="38"/>
        <v/>
      </c>
      <c r="AB5786" s="86"/>
      <c r="AD5786" s="100"/>
    </row>
    <row r="5787" spans="6:30" x14ac:dyDescent="0.25">
      <c r="F5787" s="85" t="str">
        <f t="shared" si="38"/>
        <v/>
      </c>
      <c r="AB5787" s="86"/>
      <c r="AD5787" s="100"/>
    </row>
    <row r="5788" spans="6:30" x14ac:dyDescent="0.25">
      <c r="F5788" s="85" t="str">
        <f t="shared" si="38"/>
        <v/>
      </c>
      <c r="AB5788" s="86"/>
    </row>
    <row r="5789" spans="6:30" x14ac:dyDescent="0.25">
      <c r="F5789" s="85" t="str">
        <f t="shared" si="38"/>
        <v/>
      </c>
      <c r="AB5789" s="86"/>
    </row>
    <row r="5790" spans="6:30" x14ac:dyDescent="0.25">
      <c r="F5790" s="85" t="str">
        <f t="shared" si="38"/>
        <v/>
      </c>
      <c r="AB5790" s="86"/>
    </row>
    <row r="5791" spans="6:30" x14ac:dyDescent="0.25">
      <c r="F5791" s="85" t="str">
        <f t="shared" si="38"/>
        <v/>
      </c>
      <c r="AB5791" s="86"/>
      <c r="AD5791" s="100"/>
    </row>
    <row r="5792" spans="6:30" x14ac:dyDescent="0.25">
      <c r="F5792" s="85" t="str">
        <f t="shared" si="38"/>
        <v/>
      </c>
      <c r="AB5792" s="86"/>
    </row>
    <row r="5793" spans="6:30" x14ac:dyDescent="0.25">
      <c r="F5793" s="85" t="str">
        <f t="shared" si="38"/>
        <v/>
      </c>
      <c r="AB5793" s="86"/>
      <c r="AD5793" s="100"/>
    </row>
    <row r="5794" spans="6:30" x14ac:dyDescent="0.25">
      <c r="F5794" s="85" t="str">
        <f t="shared" si="38"/>
        <v/>
      </c>
      <c r="AB5794" s="86"/>
      <c r="AD5794" s="100"/>
    </row>
    <row r="5795" spans="6:30" x14ac:dyDescent="0.25">
      <c r="F5795" s="85" t="str">
        <f t="shared" si="38"/>
        <v/>
      </c>
      <c r="AB5795" s="86"/>
      <c r="AD5795" s="100"/>
    </row>
    <row r="5796" spans="6:30" x14ac:dyDescent="0.25">
      <c r="F5796" s="85" t="str">
        <f t="shared" si="38"/>
        <v/>
      </c>
      <c r="AB5796" s="86"/>
      <c r="AD5796" s="100"/>
    </row>
    <row r="5797" spans="6:30" x14ac:dyDescent="0.25">
      <c r="F5797" s="85" t="str">
        <f t="shared" si="38"/>
        <v/>
      </c>
      <c r="AB5797" s="86"/>
      <c r="AD5797" s="100"/>
    </row>
    <row r="5798" spans="6:30" x14ac:dyDescent="0.25">
      <c r="F5798" s="85" t="str">
        <f t="shared" si="38"/>
        <v/>
      </c>
      <c r="AB5798" s="86"/>
      <c r="AD5798" s="100"/>
    </row>
    <row r="5799" spans="6:30" x14ac:dyDescent="0.25">
      <c r="F5799" s="85" t="str">
        <f t="shared" si="38"/>
        <v/>
      </c>
      <c r="AB5799" s="86"/>
      <c r="AD5799" s="100"/>
    </row>
    <row r="5800" spans="6:30" x14ac:dyDescent="0.25">
      <c r="F5800" s="85" t="str">
        <f t="shared" si="38"/>
        <v/>
      </c>
      <c r="AB5800" s="86"/>
    </row>
    <row r="5801" spans="6:30" x14ac:dyDescent="0.25">
      <c r="F5801" s="85" t="str">
        <f t="shared" si="38"/>
        <v/>
      </c>
      <c r="AB5801" s="86"/>
    </row>
    <row r="5802" spans="6:30" x14ac:dyDescent="0.25">
      <c r="F5802" s="85" t="str">
        <f t="shared" si="38"/>
        <v/>
      </c>
      <c r="AB5802" s="86"/>
    </row>
    <row r="5803" spans="6:30" x14ac:dyDescent="0.25">
      <c r="F5803" s="85" t="str">
        <f t="shared" si="38"/>
        <v/>
      </c>
      <c r="AB5803" s="86"/>
      <c r="AD5803" s="100"/>
    </row>
    <row r="5804" spans="6:30" x14ac:dyDescent="0.25">
      <c r="F5804" s="85" t="str">
        <f t="shared" si="38"/>
        <v/>
      </c>
      <c r="AB5804" s="86"/>
    </row>
    <row r="5805" spans="6:30" x14ac:dyDescent="0.25">
      <c r="F5805" s="85" t="str">
        <f t="shared" si="38"/>
        <v/>
      </c>
      <c r="AB5805" s="86"/>
    </row>
    <row r="5806" spans="6:30" x14ac:dyDescent="0.25">
      <c r="F5806" s="85" t="str">
        <f t="shared" si="38"/>
        <v/>
      </c>
      <c r="AB5806" s="86"/>
      <c r="AD5806" s="100"/>
    </row>
    <row r="5807" spans="6:30" x14ac:dyDescent="0.25">
      <c r="F5807" s="85" t="str">
        <f t="shared" si="38"/>
        <v/>
      </c>
      <c r="AB5807" s="86"/>
      <c r="AD5807" s="100"/>
    </row>
    <row r="5808" spans="6:30" x14ac:dyDescent="0.25">
      <c r="F5808" s="85" t="str">
        <f t="shared" si="38"/>
        <v/>
      </c>
      <c r="AB5808" s="86"/>
      <c r="AD5808" s="100"/>
    </row>
    <row r="5809" spans="6:30" x14ac:dyDescent="0.25">
      <c r="F5809" s="85" t="str">
        <f t="shared" si="38"/>
        <v/>
      </c>
      <c r="AB5809" s="86"/>
      <c r="AD5809" s="100"/>
    </row>
    <row r="5810" spans="6:30" x14ac:dyDescent="0.25">
      <c r="F5810" s="85" t="str">
        <f t="shared" si="38"/>
        <v/>
      </c>
      <c r="AB5810" s="86"/>
      <c r="AD5810" s="100"/>
    </row>
    <row r="5811" spans="6:30" x14ac:dyDescent="0.25">
      <c r="F5811" s="85" t="str">
        <f t="shared" si="38"/>
        <v/>
      </c>
      <c r="AB5811" s="86"/>
      <c r="AD5811" s="100"/>
    </row>
    <row r="5812" spans="6:30" x14ac:dyDescent="0.25">
      <c r="F5812" s="85" t="str">
        <f t="shared" si="38"/>
        <v/>
      </c>
      <c r="AB5812" s="86"/>
      <c r="AD5812" s="100"/>
    </row>
    <row r="5813" spans="6:30" x14ac:dyDescent="0.25">
      <c r="F5813" s="85" t="str">
        <f t="shared" si="38"/>
        <v/>
      </c>
      <c r="AB5813" s="86"/>
      <c r="AD5813" s="100"/>
    </row>
    <row r="5814" spans="6:30" x14ac:dyDescent="0.25">
      <c r="F5814" s="85" t="str">
        <f t="shared" si="38"/>
        <v/>
      </c>
      <c r="AB5814" s="86"/>
      <c r="AD5814" s="100"/>
    </row>
    <row r="5815" spans="6:30" x14ac:dyDescent="0.25">
      <c r="F5815" s="85" t="str">
        <f t="shared" si="38"/>
        <v/>
      </c>
      <c r="AB5815" s="86"/>
    </row>
    <row r="5816" spans="6:30" x14ac:dyDescent="0.25">
      <c r="F5816" s="85" t="str">
        <f t="shared" si="38"/>
        <v/>
      </c>
      <c r="AB5816" s="86"/>
    </row>
    <row r="5817" spans="6:30" x14ac:dyDescent="0.25">
      <c r="F5817" s="85" t="str">
        <f t="shared" si="38"/>
        <v/>
      </c>
      <c r="AB5817" s="86"/>
      <c r="AD5817" s="100"/>
    </row>
    <row r="5818" spans="6:30" x14ac:dyDescent="0.25">
      <c r="F5818" s="85" t="str">
        <f t="shared" si="38"/>
        <v/>
      </c>
      <c r="AB5818" s="86"/>
      <c r="AD5818" s="100"/>
    </row>
    <row r="5819" spans="6:30" x14ac:dyDescent="0.25">
      <c r="F5819" s="85" t="str">
        <f t="shared" si="38"/>
        <v/>
      </c>
      <c r="AB5819" s="86"/>
      <c r="AD5819" s="100"/>
    </row>
    <row r="5820" spans="6:30" x14ac:dyDescent="0.25">
      <c r="F5820" s="85" t="str">
        <f t="shared" si="38"/>
        <v/>
      </c>
      <c r="AB5820" s="86"/>
      <c r="AD5820" s="100"/>
    </row>
    <row r="5821" spans="6:30" x14ac:dyDescent="0.25">
      <c r="F5821" s="85" t="str">
        <f t="shared" si="38"/>
        <v/>
      </c>
      <c r="AB5821" s="86"/>
      <c r="AD5821" s="100"/>
    </row>
    <row r="5822" spans="6:30" x14ac:dyDescent="0.25">
      <c r="F5822" s="85" t="str">
        <f t="shared" si="38"/>
        <v/>
      </c>
      <c r="AB5822" s="86"/>
      <c r="AD5822" s="100"/>
    </row>
    <row r="5823" spans="6:30" x14ac:dyDescent="0.25">
      <c r="F5823" s="85" t="str">
        <f t="shared" si="38"/>
        <v/>
      </c>
      <c r="AB5823" s="86"/>
      <c r="AD5823" s="100"/>
    </row>
    <row r="5824" spans="6:30" x14ac:dyDescent="0.25">
      <c r="F5824" s="85" t="str">
        <f t="shared" si="38"/>
        <v/>
      </c>
      <c r="AB5824" s="86"/>
      <c r="AD5824" s="100"/>
    </row>
    <row r="5825" spans="6:30" x14ac:dyDescent="0.25">
      <c r="F5825" s="85" t="str">
        <f t="shared" si="38"/>
        <v/>
      </c>
      <c r="AB5825" s="86"/>
      <c r="AD5825" s="100"/>
    </row>
    <row r="5826" spans="6:30" x14ac:dyDescent="0.25">
      <c r="F5826" s="85" t="str">
        <f t="shared" si="38"/>
        <v/>
      </c>
      <c r="AB5826" s="86"/>
    </row>
    <row r="5827" spans="6:30" x14ac:dyDescent="0.25">
      <c r="F5827" s="85" t="str">
        <f t="shared" ref="F5827:F5890" si="39">IF($A5827="","",CONCATENATE($A5827,"_",$B5827,"_",$C5827))</f>
        <v/>
      </c>
      <c r="AB5827" s="86"/>
      <c r="AD5827" s="100"/>
    </row>
    <row r="5828" spans="6:30" x14ac:dyDescent="0.25">
      <c r="F5828" s="85" t="str">
        <f t="shared" si="39"/>
        <v/>
      </c>
      <c r="AB5828" s="86"/>
      <c r="AD5828" s="100"/>
    </row>
    <row r="5829" spans="6:30" x14ac:dyDescent="0.25">
      <c r="F5829" s="85" t="str">
        <f t="shared" si="39"/>
        <v/>
      </c>
      <c r="AB5829" s="86"/>
      <c r="AD5829" s="100"/>
    </row>
    <row r="5830" spans="6:30" x14ac:dyDescent="0.25">
      <c r="F5830" s="85" t="str">
        <f t="shared" si="39"/>
        <v/>
      </c>
      <c r="AB5830" s="86"/>
      <c r="AD5830" s="100"/>
    </row>
    <row r="5831" spans="6:30" x14ac:dyDescent="0.25">
      <c r="F5831" s="85" t="str">
        <f t="shared" si="39"/>
        <v/>
      </c>
      <c r="AB5831" s="86"/>
      <c r="AD5831" s="100"/>
    </row>
    <row r="5832" spans="6:30" x14ac:dyDescent="0.25">
      <c r="F5832" s="85" t="str">
        <f t="shared" si="39"/>
        <v/>
      </c>
      <c r="AB5832" s="86"/>
      <c r="AD5832" s="100"/>
    </row>
    <row r="5833" spans="6:30" x14ac:dyDescent="0.25">
      <c r="F5833" s="85" t="str">
        <f t="shared" si="39"/>
        <v/>
      </c>
      <c r="AB5833" s="86"/>
    </row>
    <row r="5834" spans="6:30" x14ac:dyDescent="0.25">
      <c r="F5834" s="85" t="str">
        <f t="shared" si="39"/>
        <v/>
      </c>
      <c r="AB5834" s="86"/>
      <c r="AD5834" s="100"/>
    </row>
    <row r="5835" spans="6:30" x14ac:dyDescent="0.25">
      <c r="F5835" s="85" t="str">
        <f t="shared" si="39"/>
        <v/>
      </c>
      <c r="AB5835" s="86"/>
    </row>
    <row r="5836" spans="6:30" x14ac:dyDescent="0.25">
      <c r="F5836" s="85" t="str">
        <f t="shared" si="39"/>
        <v/>
      </c>
      <c r="AB5836" s="86"/>
      <c r="AD5836" s="100"/>
    </row>
    <row r="5837" spans="6:30" x14ac:dyDescent="0.25">
      <c r="F5837" s="85" t="str">
        <f t="shared" si="39"/>
        <v/>
      </c>
      <c r="AB5837" s="86"/>
      <c r="AD5837" s="100"/>
    </row>
    <row r="5838" spans="6:30" x14ac:dyDescent="0.25">
      <c r="F5838" s="85" t="str">
        <f t="shared" si="39"/>
        <v/>
      </c>
      <c r="AB5838" s="86"/>
    </row>
    <row r="5839" spans="6:30" x14ac:dyDescent="0.25">
      <c r="F5839" s="85" t="str">
        <f t="shared" si="39"/>
        <v/>
      </c>
      <c r="AB5839" s="86"/>
    </row>
    <row r="5840" spans="6:30" x14ac:dyDescent="0.25">
      <c r="F5840" s="85" t="str">
        <f t="shared" si="39"/>
        <v/>
      </c>
      <c r="AB5840" s="86"/>
      <c r="AD5840" s="100"/>
    </row>
    <row r="5841" spans="6:30" x14ac:dyDescent="0.25">
      <c r="F5841" s="85" t="str">
        <f t="shared" si="39"/>
        <v/>
      </c>
      <c r="AB5841" s="86"/>
      <c r="AD5841" s="100"/>
    </row>
    <row r="5842" spans="6:30" x14ac:dyDescent="0.25">
      <c r="F5842" s="85" t="str">
        <f t="shared" si="39"/>
        <v/>
      </c>
      <c r="AB5842" s="86"/>
      <c r="AD5842" s="100"/>
    </row>
    <row r="5843" spans="6:30" x14ac:dyDescent="0.25">
      <c r="F5843" s="85" t="str">
        <f t="shared" si="39"/>
        <v/>
      </c>
      <c r="AB5843" s="86"/>
      <c r="AD5843" s="100"/>
    </row>
    <row r="5844" spans="6:30" x14ac:dyDescent="0.25">
      <c r="F5844" s="85" t="str">
        <f t="shared" si="39"/>
        <v/>
      </c>
      <c r="AB5844" s="86"/>
      <c r="AD5844" s="100"/>
    </row>
    <row r="5845" spans="6:30" x14ac:dyDescent="0.25">
      <c r="F5845" s="85" t="str">
        <f t="shared" si="39"/>
        <v/>
      </c>
      <c r="AB5845" s="86"/>
      <c r="AD5845" s="100"/>
    </row>
    <row r="5846" spans="6:30" x14ac:dyDescent="0.25">
      <c r="F5846" s="85" t="str">
        <f t="shared" si="39"/>
        <v/>
      </c>
      <c r="AB5846" s="86"/>
    </row>
    <row r="5847" spans="6:30" x14ac:dyDescent="0.25">
      <c r="F5847" s="85" t="str">
        <f t="shared" si="39"/>
        <v/>
      </c>
      <c r="AB5847" s="86"/>
      <c r="AD5847" s="100"/>
    </row>
    <row r="5848" spans="6:30" x14ac:dyDescent="0.25">
      <c r="F5848" s="85" t="str">
        <f t="shared" si="39"/>
        <v/>
      </c>
      <c r="AB5848" s="86"/>
      <c r="AD5848" s="100"/>
    </row>
    <row r="5849" spans="6:30" x14ac:dyDescent="0.25">
      <c r="F5849" s="85" t="str">
        <f t="shared" si="39"/>
        <v/>
      </c>
      <c r="AB5849" s="86"/>
      <c r="AD5849" s="100"/>
    </row>
    <row r="5850" spans="6:30" x14ac:dyDescent="0.25">
      <c r="F5850" s="85" t="str">
        <f t="shared" si="39"/>
        <v/>
      </c>
      <c r="AB5850" s="86"/>
      <c r="AD5850" s="100"/>
    </row>
    <row r="5851" spans="6:30" x14ac:dyDescent="0.25">
      <c r="F5851" s="85" t="str">
        <f t="shared" si="39"/>
        <v/>
      </c>
      <c r="AB5851" s="86"/>
      <c r="AD5851" s="100"/>
    </row>
    <row r="5852" spans="6:30" x14ac:dyDescent="0.25">
      <c r="F5852" s="85" t="str">
        <f t="shared" si="39"/>
        <v/>
      </c>
      <c r="AB5852" s="86"/>
      <c r="AD5852" s="100"/>
    </row>
    <row r="5853" spans="6:30" x14ac:dyDescent="0.25">
      <c r="F5853" s="85" t="str">
        <f t="shared" si="39"/>
        <v/>
      </c>
      <c r="AB5853" s="86"/>
      <c r="AD5853" s="100"/>
    </row>
    <row r="5854" spans="6:30" x14ac:dyDescent="0.25">
      <c r="F5854" s="85" t="str">
        <f t="shared" si="39"/>
        <v/>
      </c>
      <c r="AB5854" s="86"/>
    </row>
    <row r="5855" spans="6:30" x14ac:dyDescent="0.25">
      <c r="F5855" s="85" t="str">
        <f t="shared" si="39"/>
        <v/>
      </c>
      <c r="AB5855" s="86"/>
      <c r="AD5855" s="100"/>
    </row>
    <row r="5856" spans="6:30" x14ac:dyDescent="0.25">
      <c r="F5856" s="85" t="str">
        <f t="shared" si="39"/>
        <v/>
      </c>
      <c r="AB5856" s="86"/>
      <c r="AD5856" s="100"/>
    </row>
    <row r="5857" spans="6:30" x14ac:dyDescent="0.25">
      <c r="F5857" s="85" t="str">
        <f t="shared" si="39"/>
        <v/>
      </c>
      <c r="AB5857" s="86"/>
    </row>
    <row r="5858" spans="6:30" x14ac:dyDescent="0.25">
      <c r="F5858" s="85" t="str">
        <f t="shared" si="39"/>
        <v/>
      </c>
      <c r="AB5858" s="86"/>
      <c r="AD5858" s="100"/>
    </row>
    <row r="5859" spans="6:30" x14ac:dyDescent="0.25">
      <c r="F5859" s="85" t="str">
        <f t="shared" si="39"/>
        <v/>
      </c>
      <c r="AB5859" s="86"/>
      <c r="AD5859" s="100"/>
    </row>
    <row r="5860" spans="6:30" x14ac:dyDescent="0.25">
      <c r="F5860" s="85" t="str">
        <f t="shared" si="39"/>
        <v/>
      </c>
      <c r="AB5860" s="86"/>
      <c r="AD5860" s="100"/>
    </row>
    <row r="5861" spans="6:30" x14ac:dyDescent="0.25">
      <c r="F5861" s="85" t="str">
        <f t="shared" si="39"/>
        <v/>
      </c>
      <c r="AB5861" s="86"/>
    </row>
    <row r="5862" spans="6:30" x14ac:dyDescent="0.25">
      <c r="F5862" s="85" t="str">
        <f t="shared" si="39"/>
        <v/>
      </c>
      <c r="AB5862" s="86"/>
    </row>
    <row r="5863" spans="6:30" x14ac:dyDescent="0.25">
      <c r="F5863" s="85" t="str">
        <f t="shared" si="39"/>
        <v/>
      </c>
      <c r="AB5863" s="86"/>
      <c r="AD5863" s="100"/>
    </row>
    <row r="5864" spans="6:30" x14ac:dyDescent="0.25">
      <c r="F5864" s="85" t="str">
        <f t="shared" si="39"/>
        <v/>
      </c>
      <c r="AB5864" s="86"/>
      <c r="AD5864" s="100"/>
    </row>
    <row r="5865" spans="6:30" x14ac:dyDescent="0.25">
      <c r="F5865" s="85" t="str">
        <f t="shared" si="39"/>
        <v/>
      </c>
      <c r="AB5865" s="86"/>
      <c r="AD5865" s="100"/>
    </row>
    <row r="5866" spans="6:30" x14ac:dyDescent="0.25">
      <c r="F5866" s="85" t="str">
        <f t="shared" si="39"/>
        <v/>
      </c>
      <c r="AB5866" s="86"/>
      <c r="AD5866" s="100"/>
    </row>
    <row r="5867" spans="6:30" x14ac:dyDescent="0.25">
      <c r="F5867" s="85" t="str">
        <f t="shared" si="39"/>
        <v/>
      </c>
      <c r="AB5867" s="86"/>
      <c r="AD5867" s="100"/>
    </row>
    <row r="5868" spans="6:30" x14ac:dyDescent="0.25">
      <c r="F5868" s="85" t="str">
        <f t="shared" si="39"/>
        <v/>
      </c>
      <c r="AB5868" s="86"/>
      <c r="AD5868" s="100"/>
    </row>
    <row r="5869" spans="6:30" x14ac:dyDescent="0.25">
      <c r="F5869" s="85" t="str">
        <f t="shared" si="39"/>
        <v/>
      </c>
      <c r="AB5869" s="86"/>
      <c r="AD5869" s="100"/>
    </row>
    <row r="5870" spans="6:30" x14ac:dyDescent="0.25">
      <c r="F5870" s="85" t="str">
        <f t="shared" si="39"/>
        <v/>
      </c>
      <c r="AB5870" s="86"/>
    </row>
    <row r="5871" spans="6:30" x14ac:dyDescent="0.25">
      <c r="F5871" s="85" t="str">
        <f t="shared" si="39"/>
        <v/>
      </c>
      <c r="AB5871" s="86"/>
    </row>
    <row r="5872" spans="6:30" x14ac:dyDescent="0.25">
      <c r="F5872" s="85" t="str">
        <f t="shared" si="39"/>
        <v/>
      </c>
      <c r="AB5872" s="86"/>
      <c r="AD5872" s="100"/>
    </row>
    <row r="5873" spans="6:30" x14ac:dyDescent="0.25">
      <c r="F5873" s="85" t="str">
        <f t="shared" si="39"/>
        <v/>
      </c>
      <c r="AB5873" s="86"/>
    </row>
    <row r="5874" spans="6:30" x14ac:dyDescent="0.25">
      <c r="F5874" s="85" t="str">
        <f t="shared" si="39"/>
        <v/>
      </c>
      <c r="AB5874" s="86"/>
    </row>
    <row r="5875" spans="6:30" x14ac:dyDescent="0.25">
      <c r="F5875" s="85" t="str">
        <f t="shared" si="39"/>
        <v/>
      </c>
      <c r="AB5875" s="86"/>
    </row>
    <row r="5876" spans="6:30" x14ac:dyDescent="0.25">
      <c r="F5876" s="85" t="str">
        <f t="shared" si="39"/>
        <v/>
      </c>
      <c r="AB5876" s="86"/>
      <c r="AD5876" s="100"/>
    </row>
    <row r="5877" spans="6:30" x14ac:dyDescent="0.25">
      <c r="F5877" s="85" t="str">
        <f t="shared" si="39"/>
        <v/>
      </c>
      <c r="AB5877" s="86"/>
    </row>
    <row r="5878" spans="6:30" x14ac:dyDescent="0.25">
      <c r="F5878" s="85" t="str">
        <f t="shared" si="39"/>
        <v/>
      </c>
      <c r="AB5878" s="86"/>
    </row>
    <row r="5879" spans="6:30" x14ac:dyDescent="0.25">
      <c r="F5879" s="85" t="str">
        <f t="shared" si="39"/>
        <v/>
      </c>
      <c r="AB5879" s="86"/>
      <c r="AD5879" s="100"/>
    </row>
    <row r="5880" spans="6:30" x14ac:dyDescent="0.25">
      <c r="F5880" s="85" t="str">
        <f t="shared" si="39"/>
        <v/>
      </c>
      <c r="AB5880" s="86"/>
      <c r="AD5880" s="100"/>
    </row>
    <row r="5881" spans="6:30" x14ac:dyDescent="0.25">
      <c r="F5881" s="85" t="str">
        <f t="shared" si="39"/>
        <v/>
      </c>
      <c r="AB5881" s="86"/>
      <c r="AD5881" s="100"/>
    </row>
    <row r="5882" spans="6:30" x14ac:dyDescent="0.25">
      <c r="F5882" s="85" t="str">
        <f t="shared" si="39"/>
        <v/>
      </c>
      <c r="AB5882" s="86"/>
      <c r="AD5882" s="100"/>
    </row>
    <row r="5883" spans="6:30" x14ac:dyDescent="0.25">
      <c r="F5883" s="85" t="str">
        <f t="shared" si="39"/>
        <v/>
      </c>
      <c r="AB5883" s="86"/>
    </row>
    <row r="5884" spans="6:30" x14ac:dyDescent="0.25">
      <c r="F5884" s="85" t="str">
        <f t="shared" si="39"/>
        <v/>
      </c>
      <c r="AB5884" s="86"/>
      <c r="AD5884" s="100"/>
    </row>
    <row r="5885" spans="6:30" x14ac:dyDescent="0.25">
      <c r="F5885" s="85" t="str">
        <f t="shared" si="39"/>
        <v/>
      </c>
      <c r="AB5885" s="86"/>
      <c r="AD5885" s="100"/>
    </row>
    <row r="5886" spans="6:30" x14ac:dyDescent="0.25">
      <c r="F5886" s="85" t="str">
        <f t="shared" si="39"/>
        <v/>
      </c>
      <c r="AB5886" s="86"/>
      <c r="AD5886" s="100"/>
    </row>
    <row r="5887" spans="6:30" x14ac:dyDescent="0.25">
      <c r="F5887" s="85" t="str">
        <f t="shared" si="39"/>
        <v/>
      </c>
      <c r="AB5887" s="86"/>
    </row>
    <row r="5888" spans="6:30" x14ac:dyDescent="0.25">
      <c r="F5888" s="85" t="str">
        <f t="shared" si="39"/>
        <v/>
      </c>
      <c r="AB5888" s="86"/>
    </row>
    <row r="5889" spans="6:30" x14ac:dyDescent="0.25">
      <c r="F5889" s="85" t="str">
        <f t="shared" si="39"/>
        <v/>
      </c>
      <c r="AB5889" s="86"/>
      <c r="AD5889" s="100"/>
    </row>
    <row r="5890" spans="6:30" x14ac:dyDescent="0.25">
      <c r="F5890" s="85" t="str">
        <f t="shared" si="39"/>
        <v/>
      </c>
      <c r="AB5890" s="86"/>
      <c r="AD5890" s="100"/>
    </row>
    <row r="5891" spans="6:30" x14ac:dyDescent="0.25">
      <c r="F5891" s="85" t="str">
        <f t="shared" ref="F5891:F5954" si="40">IF($A5891="","",CONCATENATE($A5891,"_",$B5891,"_",$C5891))</f>
        <v/>
      </c>
      <c r="AB5891" s="86"/>
      <c r="AD5891" s="100"/>
    </row>
    <row r="5892" spans="6:30" x14ac:dyDescent="0.25">
      <c r="F5892" s="85" t="str">
        <f t="shared" si="40"/>
        <v/>
      </c>
      <c r="AB5892" s="86"/>
      <c r="AD5892" s="100"/>
    </row>
    <row r="5893" spans="6:30" x14ac:dyDescent="0.25">
      <c r="F5893" s="85" t="str">
        <f t="shared" si="40"/>
        <v/>
      </c>
      <c r="AB5893" s="86"/>
      <c r="AD5893" s="100"/>
    </row>
    <row r="5894" spans="6:30" x14ac:dyDescent="0.25">
      <c r="F5894" s="85" t="str">
        <f t="shared" si="40"/>
        <v/>
      </c>
      <c r="AB5894" s="86"/>
      <c r="AD5894" s="100"/>
    </row>
    <row r="5895" spans="6:30" x14ac:dyDescent="0.25">
      <c r="F5895" s="85" t="str">
        <f t="shared" si="40"/>
        <v/>
      </c>
      <c r="AB5895" s="86"/>
      <c r="AD5895" s="100"/>
    </row>
    <row r="5896" spans="6:30" x14ac:dyDescent="0.25">
      <c r="F5896" s="85" t="str">
        <f t="shared" si="40"/>
        <v/>
      </c>
      <c r="AB5896" s="86"/>
      <c r="AD5896" s="100"/>
    </row>
    <row r="5897" spans="6:30" x14ac:dyDescent="0.25">
      <c r="F5897" s="85" t="str">
        <f t="shared" si="40"/>
        <v/>
      </c>
      <c r="AB5897" s="86"/>
      <c r="AD5897" s="100"/>
    </row>
    <row r="5898" spans="6:30" x14ac:dyDescent="0.25">
      <c r="F5898" s="85" t="str">
        <f t="shared" si="40"/>
        <v/>
      </c>
      <c r="AB5898" s="86"/>
      <c r="AD5898" s="100"/>
    </row>
    <row r="5899" spans="6:30" x14ac:dyDescent="0.25">
      <c r="F5899" s="85" t="str">
        <f t="shared" si="40"/>
        <v/>
      </c>
      <c r="AB5899" s="86"/>
      <c r="AD5899" s="100"/>
    </row>
    <row r="5900" spans="6:30" x14ac:dyDescent="0.25">
      <c r="F5900" s="85" t="str">
        <f t="shared" si="40"/>
        <v/>
      </c>
      <c r="AB5900" s="86"/>
      <c r="AD5900" s="100"/>
    </row>
    <row r="5901" spans="6:30" x14ac:dyDescent="0.25">
      <c r="F5901" s="85" t="str">
        <f t="shared" si="40"/>
        <v/>
      </c>
      <c r="AB5901" s="86"/>
      <c r="AD5901" s="100"/>
    </row>
    <row r="5902" spans="6:30" x14ac:dyDescent="0.25">
      <c r="F5902" s="85" t="str">
        <f t="shared" si="40"/>
        <v/>
      </c>
      <c r="AB5902" s="86"/>
      <c r="AD5902" s="100"/>
    </row>
    <row r="5903" spans="6:30" x14ac:dyDescent="0.25">
      <c r="F5903" s="85" t="str">
        <f t="shared" si="40"/>
        <v/>
      </c>
      <c r="AB5903" s="86"/>
      <c r="AD5903" s="100"/>
    </row>
    <row r="5904" spans="6:30" x14ac:dyDescent="0.25">
      <c r="F5904" s="85" t="str">
        <f t="shared" si="40"/>
        <v/>
      </c>
      <c r="AB5904" s="86"/>
      <c r="AD5904" s="100"/>
    </row>
    <row r="5905" spans="6:30" x14ac:dyDescent="0.25">
      <c r="F5905" s="85" t="str">
        <f t="shared" si="40"/>
        <v/>
      </c>
      <c r="AB5905" s="86"/>
      <c r="AD5905" s="100"/>
    </row>
    <row r="5906" spans="6:30" x14ac:dyDescent="0.25">
      <c r="F5906" s="85" t="str">
        <f t="shared" si="40"/>
        <v/>
      </c>
      <c r="AB5906" s="86"/>
      <c r="AD5906" s="100"/>
    </row>
    <row r="5907" spans="6:30" x14ac:dyDescent="0.25">
      <c r="F5907" s="85" t="str">
        <f t="shared" si="40"/>
        <v/>
      </c>
      <c r="AB5907" s="86"/>
      <c r="AD5907" s="100"/>
    </row>
    <row r="5908" spans="6:30" x14ac:dyDescent="0.25">
      <c r="F5908" s="85" t="str">
        <f t="shared" si="40"/>
        <v/>
      </c>
      <c r="AB5908" s="86"/>
      <c r="AD5908" s="100"/>
    </row>
    <row r="5909" spans="6:30" x14ac:dyDescent="0.25">
      <c r="F5909" s="85" t="str">
        <f t="shared" si="40"/>
        <v/>
      </c>
      <c r="AB5909" s="86"/>
      <c r="AD5909" s="100"/>
    </row>
    <row r="5910" spans="6:30" x14ac:dyDescent="0.25">
      <c r="F5910" s="85" t="str">
        <f t="shared" si="40"/>
        <v/>
      </c>
      <c r="AB5910" s="86"/>
      <c r="AD5910" s="100"/>
    </row>
    <row r="5911" spans="6:30" x14ac:dyDescent="0.25">
      <c r="F5911" s="85" t="str">
        <f t="shared" si="40"/>
        <v/>
      </c>
      <c r="AB5911" s="86"/>
      <c r="AD5911" s="100"/>
    </row>
    <row r="5912" spans="6:30" x14ac:dyDescent="0.25">
      <c r="F5912" s="85" t="str">
        <f t="shared" si="40"/>
        <v/>
      </c>
      <c r="AB5912" s="86"/>
      <c r="AD5912" s="100"/>
    </row>
    <row r="5913" spans="6:30" x14ac:dyDescent="0.25">
      <c r="F5913" s="85" t="str">
        <f t="shared" si="40"/>
        <v/>
      </c>
      <c r="AB5913" s="86"/>
      <c r="AD5913" s="100"/>
    </row>
    <row r="5914" spans="6:30" x14ac:dyDescent="0.25">
      <c r="F5914" s="85" t="str">
        <f t="shared" si="40"/>
        <v/>
      </c>
      <c r="AB5914" s="86"/>
      <c r="AD5914" s="100"/>
    </row>
    <row r="5915" spans="6:30" x14ac:dyDescent="0.25">
      <c r="F5915" s="85" t="str">
        <f t="shared" si="40"/>
        <v/>
      </c>
      <c r="AB5915" s="86"/>
      <c r="AD5915" s="100"/>
    </row>
    <row r="5916" spans="6:30" x14ac:dyDescent="0.25">
      <c r="F5916" s="85" t="str">
        <f t="shared" si="40"/>
        <v/>
      </c>
      <c r="AB5916" s="86"/>
      <c r="AD5916" s="100"/>
    </row>
    <row r="5917" spans="6:30" x14ac:dyDescent="0.25">
      <c r="F5917" s="85" t="str">
        <f t="shared" si="40"/>
        <v/>
      </c>
      <c r="AB5917" s="86"/>
      <c r="AD5917" s="100"/>
    </row>
    <row r="5918" spans="6:30" x14ac:dyDescent="0.25">
      <c r="F5918" s="85" t="str">
        <f t="shared" si="40"/>
        <v/>
      </c>
      <c r="AB5918" s="86"/>
      <c r="AD5918" s="100"/>
    </row>
    <row r="5919" spans="6:30" x14ac:dyDescent="0.25">
      <c r="F5919" s="85" t="str">
        <f t="shared" si="40"/>
        <v/>
      </c>
      <c r="AB5919" s="86"/>
      <c r="AD5919" s="100"/>
    </row>
    <row r="5920" spans="6:30" x14ac:dyDescent="0.25">
      <c r="F5920" s="85" t="str">
        <f t="shared" si="40"/>
        <v/>
      </c>
      <c r="AB5920" s="86"/>
      <c r="AD5920" s="100"/>
    </row>
    <row r="5921" spans="6:30" x14ac:dyDescent="0.25">
      <c r="F5921" s="85" t="str">
        <f t="shared" si="40"/>
        <v/>
      </c>
      <c r="AB5921" s="86"/>
      <c r="AD5921" s="100"/>
    </row>
    <row r="5922" spans="6:30" x14ac:dyDescent="0.25">
      <c r="F5922" s="85" t="str">
        <f t="shared" si="40"/>
        <v/>
      </c>
      <c r="AB5922" s="86"/>
      <c r="AD5922" s="100"/>
    </row>
    <row r="5923" spans="6:30" x14ac:dyDescent="0.25">
      <c r="F5923" s="85" t="str">
        <f t="shared" si="40"/>
        <v/>
      </c>
      <c r="AB5923" s="86"/>
      <c r="AD5923" s="100"/>
    </row>
    <row r="5924" spans="6:30" x14ac:dyDescent="0.25">
      <c r="F5924" s="85" t="str">
        <f t="shared" si="40"/>
        <v/>
      </c>
      <c r="AB5924" s="86"/>
      <c r="AD5924" s="100"/>
    </row>
    <row r="5925" spans="6:30" x14ac:dyDescent="0.25">
      <c r="F5925" s="85" t="str">
        <f t="shared" si="40"/>
        <v/>
      </c>
      <c r="AB5925" s="86"/>
      <c r="AD5925" s="100"/>
    </row>
    <row r="5926" spans="6:30" x14ac:dyDescent="0.25">
      <c r="F5926" s="85" t="str">
        <f t="shared" si="40"/>
        <v/>
      </c>
      <c r="AB5926" s="86"/>
      <c r="AD5926" s="100"/>
    </row>
    <row r="5927" spans="6:30" x14ac:dyDescent="0.25">
      <c r="F5927" s="85" t="str">
        <f t="shared" si="40"/>
        <v/>
      </c>
      <c r="AB5927" s="86"/>
      <c r="AD5927" s="100"/>
    </row>
    <row r="5928" spans="6:30" x14ac:dyDescent="0.25">
      <c r="F5928" s="85" t="str">
        <f t="shared" si="40"/>
        <v/>
      </c>
      <c r="AB5928" s="86"/>
      <c r="AD5928" s="100"/>
    </row>
    <row r="5929" spans="6:30" x14ac:dyDescent="0.25">
      <c r="F5929" s="85" t="str">
        <f t="shared" si="40"/>
        <v/>
      </c>
      <c r="AB5929" s="86"/>
      <c r="AD5929" s="100"/>
    </row>
    <row r="5930" spans="6:30" x14ac:dyDescent="0.25">
      <c r="F5930" s="85" t="str">
        <f t="shared" si="40"/>
        <v/>
      </c>
      <c r="AB5930" s="86"/>
      <c r="AD5930" s="100"/>
    </row>
    <row r="5931" spans="6:30" x14ac:dyDescent="0.25">
      <c r="F5931" s="85" t="str">
        <f t="shared" si="40"/>
        <v/>
      </c>
      <c r="AB5931" s="86"/>
      <c r="AD5931" s="100"/>
    </row>
    <row r="5932" spans="6:30" x14ac:dyDescent="0.25">
      <c r="F5932" s="85" t="str">
        <f t="shared" si="40"/>
        <v/>
      </c>
      <c r="AB5932" s="86"/>
      <c r="AD5932" s="100"/>
    </row>
    <row r="5933" spans="6:30" x14ac:dyDescent="0.25">
      <c r="F5933" s="85" t="str">
        <f t="shared" si="40"/>
        <v/>
      </c>
      <c r="AB5933" s="86"/>
      <c r="AD5933" s="100"/>
    </row>
    <row r="5934" spans="6:30" x14ac:dyDescent="0.25">
      <c r="F5934" s="85" t="str">
        <f t="shared" si="40"/>
        <v/>
      </c>
      <c r="AB5934" s="86"/>
      <c r="AD5934" s="100"/>
    </row>
    <row r="5935" spans="6:30" x14ac:dyDescent="0.25">
      <c r="F5935" s="85" t="str">
        <f t="shared" si="40"/>
        <v/>
      </c>
      <c r="AB5935" s="86"/>
      <c r="AD5935" s="100"/>
    </row>
    <row r="5936" spans="6:30" x14ac:dyDescent="0.25">
      <c r="F5936" s="85" t="str">
        <f t="shared" si="40"/>
        <v/>
      </c>
      <c r="AB5936" s="86"/>
      <c r="AD5936" s="100"/>
    </row>
    <row r="5937" spans="6:30" x14ac:dyDescent="0.25">
      <c r="F5937" s="85" t="str">
        <f t="shared" si="40"/>
        <v/>
      </c>
      <c r="AB5937" s="86"/>
      <c r="AD5937" s="100"/>
    </row>
    <row r="5938" spans="6:30" x14ac:dyDescent="0.25">
      <c r="F5938" s="85" t="str">
        <f t="shared" si="40"/>
        <v/>
      </c>
      <c r="AB5938" s="86"/>
      <c r="AD5938" s="100"/>
    </row>
    <row r="5939" spans="6:30" x14ac:dyDescent="0.25">
      <c r="F5939" s="85" t="str">
        <f t="shared" si="40"/>
        <v/>
      </c>
      <c r="AB5939" s="86"/>
      <c r="AD5939" s="100"/>
    </row>
    <row r="5940" spans="6:30" x14ac:dyDescent="0.25">
      <c r="F5940" s="85" t="str">
        <f t="shared" si="40"/>
        <v/>
      </c>
      <c r="AB5940" s="86"/>
      <c r="AD5940" s="100"/>
    </row>
    <row r="5941" spans="6:30" x14ac:dyDescent="0.25">
      <c r="F5941" s="85" t="str">
        <f t="shared" si="40"/>
        <v/>
      </c>
      <c r="AB5941" s="86"/>
      <c r="AD5941" s="100"/>
    </row>
    <row r="5942" spans="6:30" x14ac:dyDescent="0.25">
      <c r="F5942" s="85" t="str">
        <f t="shared" si="40"/>
        <v/>
      </c>
      <c r="AB5942" s="86"/>
      <c r="AD5942" s="100"/>
    </row>
    <row r="5943" spans="6:30" x14ac:dyDescent="0.25">
      <c r="F5943" s="85" t="str">
        <f t="shared" si="40"/>
        <v/>
      </c>
      <c r="AB5943" s="86"/>
      <c r="AD5943" s="100"/>
    </row>
    <row r="5944" spans="6:30" x14ac:dyDescent="0.25">
      <c r="F5944" s="85" t="str">
        <f t="shared" si="40"/>
        <v/>
      </c>
      <c r="AB5944" s="86"/>
      <c r="AD5944" s="100"/>
    </row>
    <row r="5945" spans="6:30" x14ac:dyDescent="0.25">
      <c r="F5945" s="85" t="str">
        <f t="shared" si="40"/>
        <v/>
      </c>
      <c r="AB5945" s="86"/>
      <c r="AD5945" s="100"/>
    </row>
    <row r="5946" spans="6:30" x14ac:dyDescent="0.25">
      <c r="F5946" s="85" t="str">
        <f t="shared" si="40"/>
        <v/>
      </c>
      <c r="AB5946" s="86"/>
      <c r="AD5946" s="100"/>
    </row>
    <row r="5947" spans="6:30" x14ac:dyDescent="0.25">
      <c r="F5947" s="85" t="str">
        <f t="shared" si="40"/>
        <v/>
      </c>
      <c r="AB5947" s="86"/>
      <c r="AD5947" s="100"/>
    </row>
    <row r="5948" spans="6:30" x14ac:dyDescent="0.25">
      <c r="F5948" s="85" t="str">
        <f t="shared" si="40"/>
        <v/>
      </c>
      <c r="AB5948" s="86"/>
      <c r="AD5948" s="100"/>
    </row>
    <row r="5949" spans="6:30" x14ac:dyDescent="0.25">
      <c r="F5949" s="85" t="str">
        <f t="shared" si="40"/>
        <v/>
      </c>
      <c r="AB5949" s="86"/>
      <c r="AD5949" s="100"/>
    </row>
    <row r="5950" spans="6:30" x14ac:dyDescent="0.25">
      <c r="F5950" s="85" t="str">
        <f t="shared" si="40"/>
        <v/>
      </c>
      <c r="AB5950" s="86"/>
      <c r="AD5950" s="100"/>
    </row>
    <row r="5951" spans="6:30" x14ac:dyDescent="0.25">
      <c r="F5951" s="85" t="str">
        <f t="shared" si="40"/>
        <v/>
      </c>
      <c r="AB5951" s="86"/>
      <c r="AD5951" s="100"/>
    </row>
    <row r="5952" spans="6:30" x14ac:dyDescent="0.25">
      <c r="F5952" s="85" t="str">
        <f t="shared" si="40"/>
        <v/>
      </c>
      <c r="AB5952" s="86"/>
      <c r="AD5952" s="100"/>
    </row>
    <row r="5953" spans="6:30" x14ac:dyDescent="0.25">
      <c r="F5953" s="85" t="str">
        <f t="shared" si="40"/>
        <v/>
      </c>
      <c r="AB5953" s="86"/>
      <c r="AD5953" s="100"/>
    </row>
    <row r="5954" spans="6:30" x14ac:dyDescent="0.25">
      <c r="F5954" s="85" t="str">
        <f t="shared" si="40"/>
        <v/>
      </c>
      <c r="AB5954" s="86"/>
      <c r="AD5954" s="100"/>
    </row>
    <row r="5955" spans="6:30" x14ac:dyDescent="0.25">
      <c r="F5955" s="85" t="str">
        <f t="shared" ref="F5955:F6018" si="41">IF($A5955="","",CONCATENATE($A5955,"_",$B5955,"_",$C5955))</f>
        <v/>
      </c>
      <c r="AB5955" s="86"/>
      <c r="AD5955" s="100"/>
    </row>
    <row r="5956" spans="6:30" x14ac:dyDescent="0.25">
      <c r="F5956" s="85" t="str">
        <f t="shared" si="41"/>
        <v/>
      </c>
      <c r="AB5956" s="86"/>
      <c r="AD5956" s="100"/>
    </row>
    <row r="5957" spans="6:30" x14ac:dyDescent="0.25">
      <c r="F5957" s="85" t="str">
        <f t="shared" si="41"/>
        <v/>
      </c>
      <c r="AB5957" s="86"/>
      <c r="AD5957" s="100"/>
    </row>
    <row r="5958" spans="6:30" x14ac:dyDescent="0.25">
      <c r="F5958" s="85" t="str">
        <f t="shared" si="41"/>
        <v/>
      </c>
      <c r="AB5958" s="86"/>
      <c r="AD5958" s="100"/>
    </row>
    <row r="5959" spans="6:30" x14ac:dyDescent="0.25">
      <c r="F5959" s="85" t="str">
        <f t="shared" si="41"/>
        <v/>
      </c>
      <c r="AB5959" s="86"/>
      <c r="AD5959" s="100"/>
    </row>
    <row r="5960" spans="6:30" x14ac:dyDescent="0.25">
      <c r="F5960" s="85" t="str">
        <f t="shared" si="41"/>
        <v/>
      </c>
      <c r="AB5960" s="86"/>
      <c r="AD5960" s="100"/>
    </row>
    <row r="5961" spans="6:30" x14ac:dyDescent="0.25">
      <c r="F5961" s="85" t="str">
        <f t="shared" si="41"/>
        <v/>
      </c>
      <c r="AB5961" s="86"/>
      <c r="AD5961" s="100"/>
    </row>
    <row r="5962" spans="6:30" x14ac:dyDescent="0.25">
      <c r="F5962" s="85" t="str">
        <f t="shared" si="41"/>
        <v/>
      </c>
      <c r="AB5962" s="86"/>
      <c r="AD5962" s="100"/>
    </row>
    <row r="5963" spans="6:30" x14ac:dyDescent="0.25">
      <c r="F5963" s="85" t="str">
        <f t="shared" si="41"/>
        <v/>
      </c>
      <c r="AB5963" s="86"/>
      <c r="AD5963" s="100"/>
    </row>
    <row r="5964" spans="6:30" x14ac:dyDescent="0.25">
      <c r="F5964" s="85" t="str">
        <f t="shared" si="41"/>
        <v/>
      </c>
      <c r="AB5964" s="86"/>
      <c r="AD5964" s="100"/>
    </row>
    <row r="5965" spans="6:30" x14ac:dyDescent="0.25">
      <c r="F5965" s="85" t="str">
        <f t="shared" si="41"/>
        <v/>
      </c>
      <c r="AB5965" s="86"/>
      <c r="AD5965" s="100"/>
    </row>
    <row r="5966" spans="6:30" x14ac:dyDescent="0.25">
      <c r="F5966" s="85" t="str">
        <f t="shared" si="41"/>
        <v/>
      </c>
      <c r="AB5966" s="86"/>
      <c r="AD5966" s="100"/>
    </row>
    <row r="5967" spans="6:30" x14ac:dyDescent="0.25">
      <c r="F5967" s="85" t="str">
        <f t="shared" si="41"/>
        <v/>
      </c>
      <c r="AB5967" s="86"/>
      <c r="AD5967" s="100"/>
    </row>
    <row r="5968" spans="6:30" x14ac:dyDescent="0.25">
      <c r="F5968" s="85" t="str">
        <f t="shared" si="41"/>
        <v/>
      </c>
      <c r="AB5968" s="86"/>
      <c r="AD5968" s="100"/>
    </row>
    <row r="5969" spans="6:30" x14ac:dyDescent="0.25">
      <c r="F5969" s="85" t="str">
        <f t="shared" si="41"/>
        <v/>
      </c>
      <c r="AB5969" s="86"/>
      <c r="AD5969" s="100"/>
    </row>
    <row r="5970" spans="6:30" x14ac:dyDescent="0.25">
      <c r="F5970" s="85" t="str">
        <f t="shared" si="41"/>
        <v/>
      </c>
      <c r="AB5970" s="86"/>
      <c r="AD5970" s="100"/>
    </row>
    <row r="5971" spans="6:30" x14ac:dyDescent="0.25">
      <c r="F5971" s="85" t="str">
        <f t="shared" si="41"/>
        <v/>
      </c>
      <c r="AB5971" s="86"/>
      <c r="AD5971" s="100"/>
    </row>
    <row r="5972" spans="6:30" x14ac:dyDescent="0.25">
      <c r="F5972" s="85" t="str">
        <f t="shared" si="41"/>
        <v/>
      </c>
      <c r="AB5972" s="86"/>
      <c r="AD5972" s="100"/>
    </row>
    <row r="5973" spans="6:30" x14ac:dyDescent="0.25">
      <c r="F5973" s="85" t="str">
        <f t="shared" si="41"/>
        <v/>
      </c>
      <c r="AB5973" s="86"/>
      <c r="AD5973" s="100"/>
    </row>
    <row r="5974" spans="6:30" x14ac:dyDescent="0.25">
      <c r="F5974" s="85" t="str">
        <f t="shared" si="41"/>
        <v/>
      </c>
      <c r="AB5974" s="86"/>
      <c r="AD5974" s="100"/>
    </row>
    <row r="5975" spans="6:30" x14ac:dyDescent="0.25">
      <c r="F5975" s="85" t="str">
        <f t="shared" si="41"/>
        <v/>
      </c>
      <c r="AB5975" s="86"/>
      <c r="AD5975" s="100"/>
    </row>
    <row r="5976" spans="6:30" x14ac:dyDescent="0.25">
      <c r="F5976" s="85" t="str">
        <f t="shared" si="41"/>
        <v/>
      </c>
      <c r="AB5976" s="86"/>
      <c r="AD5976" s="100"/>
    </row>
    <row r="5977" spans="6:30" x14ac:dyDescent="0.25">
      <c r="F5977" s="85" t="str">
        <f t="shared" si="41"/>
        <v/>
      </c>
      <c r="AB5977" s="86"/>
      <c r="AD5977" s="100"/>
    </row>
    <row r="5978" spans="6:30" x14ac:dyDescent="0.25">
      <c r="F5978" s="85" t="str">
        <f t="shared" si="41"/>
        <v/>
      </c>
      <c r="AB5978" s="86"/>
      <c r="AD5978" s="100"/>
    </row>
    <row r="5979" spans="6:30" x14ac:dyDescent="0.25">
      <c r="F5979" s="85" t="str">
        <f t="shared" si="41"/>
        <v/>
      </c>
      <c r="AB5979" s="86"/>
      <c r="AD5979" s="100"/>
    </row>
    <row r="5980" spans="6:30" x14ac:dyDescent="0.25">
      <c r="F5980" s="85" t="str">
        <f t="shared" si="41"/>
        <v/>
      </c>
      <c r="AB5980" s="86"/>
      <c r="AD5980" s="100"/>
    </row>
    <row r="5981" spans="6:30" x14ac:dyDescent="0.25">
      <c r="F5981" s="85" t="str">
        <f t="shared" si="41"/>
        <v/>
      </c>
      <c r="AB5981" s="86"/>
      <c r="AD5981" s="100"/>
    </row>
    <row r="5982" spans="6:30" x14ac:dyDescent="0.25">
      <c r="F5982" s="85" t="str">
        <f t="shared" si="41"/>
        <v/>
      </c>
      <c r="AB5982" s="86"/>
      <c r="AD5982" s="100"/>
    </row>
    <row r="5983" spans="6:30" x14ac:dyDescent="0.25">
      <c r="F5983" s="85" t="str">
        <f t="shared" si="41"/>
        <v/>
      </c>
      <c r="AB5983" s="86"/>
      <c r="AD5983" s="100"/>
    </row>
    <row r="5984" spans="6:30" x14ac:dyDescent="0.25">
      <c r="F5984" s="85" t="str">
        <f t="shared" si="41"/>
        <v/>
      </c>
      <c r="AB5984" s="86"/>
      <c r="AD5984" s="100"/>
    </row>
    <row r="5985" spans="6:30" x14ac:dyDescent="0.25">
      <c r="F5985" s="85" t="str">
        <f t="shared" si="41"/>
        <v/>
      </c>
      <c r="AB5985" s="86"/>
      <c r="AD5985" s="100"/>
    </row>
    <row r="5986" spans="6:30" x14ac:dyDescent="0.25">
      <c r="F5986" s="85" t="str">
        <f t="shared" si="41"/>
        <v/>
      </c>
      <c r="AB5986" s="86"/>
      <c r="AD5986" s="100"/>
    </row>
    <row r="5987" spans="6:30" x14ac:dyDescent="0.25">
      <c r="F5987" s="85" t="str">
        <f t="shared" si="41"/>
        <v/>
      </c>
      <c r="AB5987" s="86"/>
      <c r="AD5987" s="100"/>
    </row>
    <row r="5988" spans="6:30" x14ac:dyDescent="0.25">
      <c r="F5988" s="85" t="str">
        <f t="shared" si="41"/>
        <v/>
      </c>
      <c r="AB5988" s="86"/>
      <c r="AD5988" s="100"/>
    </row>
    <row r="5989" spans="6:30" x14ac:dyDescent="0.25">
      <c r="F5989" s="85" t="str">
        <f t="shared" si="41"/>
        <v/>
      </c>
      <c r="AB5989" s="86"/>
      <c r="AD5989" s="100"/>
    </row>
    <row r="5990" spans="6:30" x14ac:dyDescent="0.25">
      <c r="F5990" s="85" t="str">
        <f t="shared" si="41"/>
        <v/>
      </c>
      <c r="AB5990" s="86"/>
      <c r="AD5990" s="100"/>
    </row>
    <row r="5991" spans="6:30" x14ac:dyDescent="0.25">
      <c r="F5991" s="85" t="str">
        <f t="shared" si="41"/>
        <v/>
      </c>
      <c r="AB5991" s="86"/>
      <c r="AD5991" s="100"/>
    </row>
    <row r="5992" spans="6:30" x14ac:dyDescent="0.25">
      <c r="F5992" s="85" t="str">
        <f t="shared" si="41"/>
        <v/>
      </c>
      <c r="AB5992" s="86"/>
      <c r="AD5992" s="100"/>
    </row>
    <row r="5993" spans="6:30" x14ac:dyDescent="0.25">
      <c r="F5993" s="85" t="str">
        <f t="shared" si="41"/>
        <v/>
      </c>
      <c r="AB5993" s="86"/>
      <c r="AD5993" s="100"/>
    </row>
    <row r="5994" spans="6:30" x14ac:dyDescent="0.25">
      <c r="F5994" s="85" t="str">
        <f t="shared" si="41"/>
        <v/>
      </c>
      <c r="AB5994" s="86"/>
      <c r="AD5994" s="100"/>
    </row>
    <row r="5995" spans="6:30" x14ac:dyDescent="0.25">
      <c r="F5995" s="85" t="str">
        <f t="shared" si="41"/>
        <v/>
      </c>
      <c r="AB5995" s="86"/>
      <c r="AD5995" s="100"/>
    </row>
    <row r="5996" spans="6:30" x14ac:dyDescent="0.25">
      <c r="F5996" s="85" t="str">
        <f t="shared" si="41"/>
        <v/>
      </c>
      <c r="AB5996" s="86"/>
      <c r="AD5996" s="100"/>
    </row>
    <row r="5997" spans="6:30" x14ac:dyDescent="0.25">
      <c r="F5997" s="85" t="str">
        <f t="shared" si="41"/>
        <v/>
      </c>
      <c r="AB5997" s="86"/>
      <c r="AD5997" s="100"/>
    </row>
    <row r="5998" spans="6:30" x14ac:dyDescent="0.25">
      <c r="F5998" s="85" t="str">
        <f t="shared" si="41"/>
        <v/>
      </c>
      <c r="AB5998" s="86"/>
      <c r="AD5998" s="100"/>
    </row>
    <row r="5999" spans="6:30" x14ac:dyDescent="0.25">
      <c r="F5999" s="85" t="str">
        <f t="shared" si="41"/>
        <v/>
      </c>
      <c r="AB5999" s="86"/>
      <c r="AD5999" s="100"/>
    </row>
    <row r="6000" spans="6:30" x14ac:dyDescent="0.25">
      <c r="F6000" s="85" t="str">
        <f t="shared" si="41"/>
        <v/>
      </c>
      <c r="AB6000" s="86"/>
      <c r="AD6000" s="100"/>
    </row>
    <row r="6001" spans="6:30" x14ac:dyDescent="0.25">
      <c r="F6001" s="85" t="str">
        <f t="shared" si="41"/>
        <v/>
      </c>
      <c r="AB6001" s="86"/>
      <c r="AD6001" s="100"/>
    </row>
    <row r="6002" spans="6:30" x14ac:dyDescent="0.25">
      <c r="F6002" s="85" t="str">
        <f t="shared" si="41"/>
        <v/>
      </c>
      <c r="AB6002" s="86"/>
      <c r="AD6002" s="100"/>
    </row>
    <row r="6003" spans="6:30" x14ac:dyDescent="0.25">
      <c r="F6003" s="85" t="str">
        <f t="shared" si="41"/>
        <v/>
      </c>
      <c r="AB6003" s="86"/>
      <c r="AD6003" s="100"/>
    </row>
    <row r="6004" spans="6:30" x14ac:dyDescent="0.25">
      <c r="F6004" s="85" t="str">
        <f t="shared" si="41"/>
        <v/>
      </c>
      <c r="AB6004" s="86"/>
      <c r="AD6004" s="100"/>
    </row>
    <row r="6005" spans="6:30" x14ac:dyDescent="0.25">
      <c r="F6005" s="85" t="str">
        <f t="shared" si="41"/>
        <v/>
      </c>
      <c r="AB6005" s="86"/>
      <c r="AD6005" s="100"/>
    </row>
    <row r="6006" spans="6:30" x14ac:dyDescent="0.25">
      <c r="F6006" s="85" t="str">
        <f t="shared" si="41"/>
        <v/>
      </c>
      <c r="AB6006" s="86"/>
      <c r="AD6006" s="100"/>
    </row>
    <row r="6007" spans="6:30" x14ac:dyDescent="0.25">
      <c r="F6007" s="85" t="str">
        <f t="shared" si="41"/>
        <v/>
      </c>
      <c r="AB6007" s="86"/>
      <c r="AD6007" s="100"/>
    </row>
    <row r="6008" spans="6:30" x14ac:dyDescent="0.25">
      <c r="F6008" s="85" t="str">
        <f t="shared" si="41"/>
        <v/>
      </c>
      <c r="AB6008" s="86"/>
      <c r="AD6008" s="100"/>
    </row>
    <row r="6009" spans="6:30" x14ac:dyDescent="0.25">
      <c r="F6009" s="85" t="str">
        <f t="shared" si="41"/>
        <v/>
      </c>
      <c r="AB6009" s="86"/>
      <c r="AD6009" s="100"/>
    </row>
    <row r="6010" spans="6:30" x14ac:dyDescent="0.25">
      <c r="F6010" s="85" t="str">
        <f t="shared" si="41"/>
        <v/>
      </c>
      <c r="AB6010" s="86"/>
      <c r="AD6010" s="100"/>
    </row>
    <row r="6011" spans="6:30" x14ac:dyDescent="0.25">
      <c r="F6011" s="85" t="str">
        <f t="shared" si="41"/>
        <v/>
      </c>
      <c r="AB6011" s="86"/>
      <c r="AD6011" s="100"/>
    </row>
    <row r="6012" spans="6:30" x14ac:dyDescent="0.25">
      <c r="F6012" s="85" t="str">
        <f t="shared" si="41"/>
        <v/>
      </c>
      <c r="AB6012" s="86"/>
      <c r="AD6012" s="100"/>
    </row>
    <row r="6013" spans="6:30" x14ac:dyDescent="0.25">
      <c r="F6013" s="85" t="str">
        <f t="shared" si="41"/>
        <v/>
      </c>
      <c r="AB6013" s="86"/>
      <c r="AD6013" s="100"/>
    </row>
    <row r="6014" spans="6:30" x14ac:dyDescent="0.25">
      <c r="F6014" s="85" t="str">
        <f t="shared" si="41"/>
        <v/>
      </c>
      <c r="AB6014" s="86"/>
      <c r="AD6014" s="100"/>
    </row>
    <row r="6015" spans="6:30" x14ac:dyDescent="0.25">
      <c r="F6015" s="85" t="str">
        <f t="shared" si="41"/>
        <v/>
      </c>
      <c r="AB6015" s="86"/>
      <c r="AD6015" s="100"/>
    </row>
    <row r="6016" spans="6:30" x14ac:dyDescent="0.25">
      <c r="F6016" s="85" t="str">
        <f t="shared" si="41"/>
        <v/>
      </c>
      <c r="AB6016" s="86"/>
      <c r="AD6016" s="100"/>
    </row>
    <row r="6017" spans="6:30" x14ac:dyDescent="0.25">
      <c r="F6017" s="85" t="str">
        <f t="shared" si="41"/>
        <v/>
      </c>
      <c r="AB6017" s="86"/>
      <c r="AD6017" s="100"/>
    </row>
    <row r="6018" spans="6:30" x14ac:dyDescent="0.25">
      <c r="F6018" s="85" t="str">
        <f t="shared" si="41"/>
        <v/>
      </c>
      <c r="AB6018" s="86"/>
      <c r="AD6018" s="100"/>
    </row>
    <row r="6019" spans="6:30" x14ac:dyDescent="0.25">
      <c r="F6019" s="85" t="str">
        <f t="shared" ref="F6019:F6082" si="42">IF($A6019="","",CONCATENATE($A6019,"_",$B6019,"_",$C6019))</f>
        <v/>
      </c>
      <c r="AB6019" s="86"/>
      <c r="AD6019" s="100"/>
    </row>
    <row r="6020" spans="6:30" x14ac:dyDescent="0.25">
      <c r="F6020" s="85" t="str">
        <f t="shared" si="42"/>
        <v/>
      </c>
      <c r="AB6020" s="86"/>
      <c r="AD6020" s="100"/>
    </row>
    <row r="6021" spans="6:30" x14ac:dyDescent="0.25">
      <c r="F6021" s="85" t="str">
        <f t="shared" si="42"/>
        <v/>
      </c>
      <c r="AB6021" s="86"/>
      <c r="AD6021" s="100"/>
    </row>
    <row r="6022" spans="6:30" x14ac:dyDescent="0.25">
      <c r="F6022" s="85" t="str">
        <f t="shared" si="42"/>
        <v/>
      </c>
      <c r="AB6022" s="86"/>
      <c r="AD6022" s="100"/>
    </row>
    <row r="6023" spans="6:30" x14ac:dyDescent="0.25">
      <c r="F6023" s="85" t="str">
        <f t="shared" si="42"/>
        <v/>
      </c>
      <c r="AB6023" s="86"/>
      <c r="AD6023" s="100"/>
    </row>
    <row r="6024" spans="6:30" x14ac:dyDescent="0.25">
      <c r="F6024" s="85" t="str">
        <f t="shared" si="42"/>
        <v/>
      </c>
      <c r="AB6024" s="86"/>
      <c r="AD6024" s="100"/>
    </row>
    <row r="6025" spans="6:30" x14ac:dyDescent="0.25">
      <c r="F6025" s="85" t="str">
        <f t="shared" si="42"/>
        <v/>
      </c>
      <c r="AB6025" s="86"/>
      <c r="AD6025" s="100"/>
    </row>
    <row r="6026" spans="6:30" x14ac:dyDescent="0.25">
      <c r="F6026" s="85" t="str">
        <f t="shared" si="42"/>
        <v/>
      </c>
      <c r="AB6026" s="86"/>
      <c r="AD6026" s="100"/>
    </row>
    <row r="6027" spans="6:30" x14ac:dyDescent="0.25">
      <c r="F6027" s="85" t="str">
        <f t="shared" si="42"/>
        <v/>
      </c>
      <c r="AB6027" s="86"/>
    </row>
    <row r="6028" spans="6:30" x14ac:dyDescent="0.25">
      <c r="F6028" s="85" t="str">
        <f t="shared" si="42"/>
        <v/>
      </c>
      <c r="AB6028" s="86"/>
    </row>
    <row r="6029" spans="6:30" x14ac:dyDescent="0.25">
      <c r="F6029" s="85" t="str">
        <f t="shared" si="42"/>
        <v/>
      </c>
      <c r="AB6029" s="86"/>
      <c r="AD6029" s="100"/>
    </row>
    <row r="6030" spans="6:30" x14ac:dyDescent="0.25">
      <c r="F6030" s="85" t="str">
        <f t="shared" si="42"/>
        <v/>
      </c>
      <c r="AB6030" s="86"/>
      <c r="AD6030" s="100"/>
    </row>
    <row r="6031" spans="6:30" x14ac:dyDescent="0.25">
      <c r="F6031" s="85" t="str">
        <f t="shared" si="42"/>
        <v/>
      </c>
      <c r="AB6031" s="86"/>
    </row>
    <row r="6032" spans="6:30" x14ac:dyDescent="0.25">
      <c r="F6032" s="85" t="str">
        <f t="shared" si="42"/>
        <v/>
      </c>
      <c r="AB6032" s="86"/>
    </row>
    <row r="6033" spans="6:30" x14ac:dyDescent="0.25">
      <c r="F6033" s="85" t="str">
        <f t="shared" si="42"/>
        <v/>
      </c>
      <c r="AB6033" s="86"/>
    </row>
    <row r="6034" spans="6:30" x14ac:dyDescent="0.25">
      <c r="F6034" s="85" t="str">
        <f t="shared" si="42"/>
        <v/>
      </c>
      <c r="AB6034" s="86"/>
    </row>
    <row r="6035" spans="6:30" x14ac:dyDescent="0.25">
      <c r="F6035" s="85" t="str">
        <f t="shared" si="42"/>
        <v/>
      </c>
      <c r="AB6035" s="86"/>
      <c r="AD6035" s="100"/>
    </row>
    <row r="6036" spans="6:30" x14ac:dyDescent="0.25">
      <c r="F6036" s="85" t="str">
        <f t="shared" si="42"/>
        <v/>
      </c>
      <c r="AB6036" s="86"/>
      <c r="AD6036" s="100"/>
    </row>
    <row r="6037" spans="6:30" x14ac:dyDescent="0.25">
      <c r="F6037" s="85" t="str">
        <f t="shared" si="42"/>
        <v/>
      </c>
      <c r="AB6037" s="86"/>
      <c r="AD6037" s="100"/>
    </row>
    <row r="6038" spans="6:30" x14ac:dyDescent="0.25">
      <c r="F6038" s="85" t="str">
        <f t="shared" si="42"/>
        <v/>
      </c>
      <c r="AB6038" s="86"/>
      <c r="AD6038" s="100"/>
    </row>
    <row r="6039" spans="6:30" x14ac:dyDescent="0.25">
      <c r="F6039" s="85" t="str">
        <f t="shared" si="42"/>
        <v/>
      </c>
      <c r="AB6039" s="86"/>
      <c r="AD6039" s="100"/>
    </row>
    <row r="6040" spans="6:30" x14ac:dyDescent="0.25">
      <c r="F6040" s="85" t="str">
        <f t="shared" si="42"/>
        <v/>
      </c>
      <c r="AB6040" s="86"/>
      <c r="AD6040" s="100"/>
    </row>
    <row r="6041" spans="6:30" x14ac:dyDescent="0.25">
      <c r="F6041" s="85" t="str">
        <f t="shared" si="42"/>
        <v/>
      </c>
      <c r="AB6041" s="86"/>
      <c r="AD6041" s="100"/>
    </row>
    <row r="6042" spans="6:30" x14ac:dyDescent="0.25">
      <c r="F6042" s="85" t="str">
        <f t="shared" si="42"/>
        <v/>
      </c>
      <c r="AB6042" s="86"/>
      <c r="AD6042" s="100"/>
    </row>
    <row r="6043" spans="6:30" x14ac:dyDescent="0.25">
      <c r="F6043" s="85" t="str">
        <f t="shared" si="42"/>
        <v/>
      </c>
      <c r="AB6043" s="86"/>
    </row>
    <row r="6044" spans="6:30" x14ac:dyDescent="0.25">
      <c r="F6044" s="85" t="str">
        <f t="shared" si="42"/>
        <v/>
      </c>
      <c r="AB6044" s="86"/>
    </row>
    <row r="6045" spans="6:30" x14ac:dyDescent="0.25">
      <c r="F6045" s="85" t="str">
        <f t="shared" si="42"/>
        <v/>
      </c>
      <c r="AB6045" s="86"/>
      <c r="AD6045" s="100"/>
    </row>
    <row r="6046" spans="6:30" x14ac:dyDescent="0.25">
      <c r="F6046" s="85" t="str">
        <f t="shared" si="42"/>
        <v/>
      </c>
      <c r="AB6046" s="86"/>
    </row>
    <row r="6047" spans="6:30" x14ac:dyDescent="0.25">
      <c r="F6047" s="85" t="str">
        <f t="shared" si="42"/>
        <v/>
      </c>
      <c r="AB6047" s="86"/>
    </row>
    <row r="6048" spans="6:30" x14ac:dyDescent="0.25">
      <c r="F6048" s="85" t="str">
        <f t="shared" si="42"/>
        <v/>
      </c>
      <c r="AB6048" s="86"/>
      <c r="AD6048" s="100"/>
    </row>
    <row r="6049" spans="6:30" x14ac:dyDescent="0.25">
      <c r="F6049" s="85" t="str">
        <f t="shared" si="42"/>
        <v/>
      </c>
      <c r="AB6049" s="86"/>
    </row>
    <row r="6050" spans="6:30" x14ac:dyDescent="0.25">
      <c r="F6050" s="85" t="str">
        <f t="shared" si="42"/>
        <v/>
      </c>
      <c r="AB6050" s="86"/>
      <c r="AD6050" s="100"/>
    </row>
    <row r="6051" spans="6:30" x14ac:dyDescent="0.25">
      <c r="F6051" s="85" t="str">
        <f t="shared" si="42"/>
        <v/>
      </c>
      <c r="AB6051" s="86"/>
      <c r="AD6051" s="100"/>
    </row>
    <row r="6052" spans="6:30" x14ac:dyDescent="0.25">
      <c r="F6052" s="85" t="str">
        <f t="shared" si="42"/>
        <v/>
      </c>
      <c r="AB6052" s="86"/>
      <c r="AD6052" s="100"/>
    </row>
    <row r="6053" spans="6:30" x14ac:dyDescent="0.25">
      <c r="F6053" s="85" t="str">
        <f t="shared" si="42"/>
        <v/>
      </c>
      <c r="AB6053" s="86"/>
      <c r="AD6053" s="100"/>
    </row>
    <row r="6054" spans="6:30" x14ac:dyDescent="0.25">
      <c r="F6054" s="85" t="str">
        <f t="shared" si="42"/>
        <v/>
      </c>
      <c r="AB6054" s="86"/>
      <c r="AD6054" s="100"/>
    </row>
    <row r="6055" spans="6:30" x14ac:dyDescent="0.25">
      <c r="F6055" s="85" t="str">
        <f t="shared" si="42"/>
        <v/>
      </c>
      <c r="AB6055" s="86"/>
      <c r="AD6055" s="100"/>
    </row>
    <row r="6056" spans="6:30" x14ac:dyDescent="0.25">
      <c r="F6056" s="85" t="str">
        <f t="shared" si="42"/>
        <v/>
      </c>
      <c r="AB6056" s="86"/>
      <c r="AD6056" s="100"/>
    </row>
    <row r="6057" spans="6:30" x14ac:dyDescent="0.25">
      <c r="F6057" s="85" t="str">
        <f t="shared" si="42"/>
        <v/>
      </c>
      <c r="AB6057" s="86"/>
      <c r="AD6057" s="100"/>
    </row>
    <row r="6058" spans="6:30" x14ac:dyDescent="0.25">
      <c r="F6058" s="85" t="str">
        <f t="shared" si="42"/>
        <v/>
      </c>
      <c r="AB6058" s="86"/>
      <c r="AD6058" s="100"/>
    </row>
    <row r="6059" spans="6:30" x14ac:dyDescent="0.25">
      <c r="F6059" s="85" t="str">
        <f t="shared" si="42"/>
        <v/>
      </c>
      <c r="AB6059" s="86"/>
      <c r="AD6059" s="100"/>
    </row>
    <row r="6060" spans="6:30" x14ac:dyDescent="0.25">
      <c r="F6060" s="85" t="str">
        <f t="shared" si="42"/>
        <v/>
      </c>
      <c r="AB6060" s="86"/>
      <c r="AD6060" s="100"/>
    </row>
    <row r="6061" spans="6:30" x14ac:dyDescent="0.25">
      <c r="F6061" s="85" t="str">
        <f t="shared" si="42"/>
        <v/>
      </c>
      <c r="AB6061" s="86"/>
      <c r="AD6061" s="100"/>
    </row>
    <row r="6062" spans="6:30" x14ac:dyDescent="0.25">
      <c r="F6062" s="85" t="str">
        <f t="shared" si="42"/>
        <v/>
      </c>
      <c r="AB6062" s="86"/>
      <c r="AD6062" s="100"/>
    </row>
    <row r="6063" spans="6:30" x14ac:dyDescent="0.25">
      <c r="F6063" s="85" t="str">
        <f t="shared" si="42"/>
        <v/>
      </c>
      <c r="AB6063" s="86"/>
      <c r="AD6063" s="100"/>
    </row>
    <row r="6064" spans="6:30" x14ac:dyDescent="0.25">
      <c r="F6064" s="85" t="str">
        <f t="shared" si="42"/>
        <v/>
      </c>
      <c r="AB6064" s="86"/>
      <c r="AD6064" s="100"/>
    </row>
    <row r="6065" spans="6:30" x14ac:dyDescent="0.25">
      <c r="F6065" s="85" t="str">
        <f t="shared" si="42"/>
        <v/>
      </c>
      <c r="AB6065" s="86"/>
      <c r="AD6065" s="100"/>
    </row>
    <row r="6066" spans="6:30" x14ac:dyDescent="0.25">
      <c r="F6066" s="85" t="str">
        <f t="shared" si="42"/>
        <v/>
      </c>
      <c r="AB6066" s="86"/>
      <c r="AD6066" s="100"/>
    </row>
    <row r="6067" spans="6:30" x14ac:dyDescent="0.25">
      <c r="F6067" s="85" t="str">
        <f t="shared" si="42"/>
        <v/>
      </c>
      <c r="AB6067" s="86"/>
      <c r="AD6067" s="100"/>
    </row>
    <row r="6068" spans="6:30" x14ac:dyDescent="0.25">
      <c r="F6068" s="85" t="str">
        <f t="shared" si="42"/>
        <v/>
      </c>
      <c r="AB6068" s="86"/>
      <c r="AD6068" s="100"/>
    </row>
    <row r="6069" spans="6:30" x14ac:dyDescent="0.25">
      <c r="F6069" s="85" t="str">
        <f t="shared" si="42"/>
        <v/>
      </c>
      <c r="AB6069" s="86"/>
      <c r="AD6069" s="100"/>
    </row>
    <row r="6070" spans="6:30" x14ac:dyDescent="0.25">
      <c r="F6070" s="85" t="str">
        <f t="shared" si="42"/>
        <v/>
      </c>
      <c r="AB6070" s="86"/>
      <c r="AD6070" s="100"/>
    </row>
    <row r="6071" spans="6:30" x14ac:dyDescent="0.25">
      <c r="F6071" s="85" t="str">
        <f t="shared" si="42"/>
        <v/>
      </c>
      <c r="AB6071" s="86"/>
      <c r="AD6071" s="100"/>
    </row>
    <row r="6072" spans="6:30" x14ac:dyDescent="0.25">
      <c r="F6072" s="85" t="str">
        <f t="shared" si="42"/>
        <v/>
      </c>
      <c r="AB6072" s="86"/>
      <c r="AD6072" s="100"/>
    </row>
    <row r="6073" spans="6:30" x14ac:dyDescent="0.25">
      <c r="F6073" s="85" t="str">
        <f t="shared" si="42"/>
        <v/>
      </c>
      <c r="AB6073" s="86"/>
      <c r="AD6073" s="100"/>
    </row>
    <row r="6074" spans="6:30" x14ac:dyDescent="0.25">
      <c r="F6074" s="85" t="str">
        <f t="shared" si="42"/>
        <v/>
      </c>
      <c r="AB6074" s="86"/>
      <c r="AD6074" s="100"/>
    </row>
    <row r="6075" spans="6:30" x14ac:dyDescent="0.25">
      <c r="F6075" s="85" t="str">
        <f t="shared" si="42"/>
        <v/>
      </c>
      <c r="AB6075" s="86"/>
      <c r="AD6075" s="100"/>
    </row>
    <row r="6076" spans="6:30" x14ac:dyDescent="0.25">
      <c r="F6076" s="85" t="str">
        <f t="shared" si="42"/>
        <v/>
      </c>
      <c r="AB6076" s="86"/>
      <c r="AD6076" s="100"/>
    </row>
    <row r="6077" spans="6:30" x14ac:dyDescent="0.25">
      <c r="F6077" s="85" t="str">
        <f t="shared" si="42"/>
        <v/>
      </c>
      <c r="AB6077" s="86"/>
      <c r="AD6077" s="100"/>
    </row>
    <row r="6078" spans="6:30" x14ac:dyDescent="0.25">
      <c r="F6078" s="85" t="str">
        <f t="shared" si="42"/>
        <v/>
      </c>
      <c r="AB6078" s="86"/>
      <c r="AD6078" s="100"/>
    </row>
    <row r="6079" spans="6:30" x14ac:dyDescent="0.25">
      <c r="F6079" s="85" t="str">
        <f t="shared" si="42"/>
        <v/>
      </c>
      <c r="AB6079" s="86"/>
      <c r="AD6079" s="100"/>
    </row>
    <row r="6080" spans="6:30" x14ac:dyDescent="0.25">
      <c r="F6080" s="85" t="str">
        <f t="shared" si="42"/>
        <v/>
      </c>
      <c r="AB6080" s="86"/>
      <c r="AD6080" s="100"/>
    </row>
    <row r="6081" spans="6:30" x14ac:dyDescent="0.25">
      <c r="F6081" s="85" t="str">
        <f t="shared" si="42"/>
        <v/>
      </c>
      <c r="AB6081" s="86"/>
      <c r="AD6081" s="100"/>
    </row>
    <row r="6082" spans="6:30" x14ac:dyDescent="0.25">
      <c r="F6082" s="85" t="str">
        <f t="shared" si="42"/>
        <v/>
      </c>
      <c r="AB6082" s="86"/>
      <c r="AD6082" s="100"/>
    </row>
    <row r="6083" spans="6:30" x14ac:dyDescent="0.25">
      <c r="F6083" s="85" t="str">
        <f t="shared" ref="F6083:F6146" si="43">IF($A6083="","",CONCATENATE($A6083,"_",$B6083,"_",$C6083))</f>
        <v/>
      </c>
      <c r="AB6083" s="86"/>
      <c r="AD6083" s="100"/>
    </row>
    <row r="6084" spans="6:30" x14ac:dyDescent="0.25">
      <c r="F6084" s="85" t="str">
        <f t="shared" si="43"/>
        <v/>
      </c>
      <c r="AB6084" s="86"/>
      <c r="AD6084" s="100"/>
    </row>
    <row r="6085" spans="6:30" x14ac:dyDescent="0.25">
      <c r="F6085" s="85" t="str">
        <f t="shared" si="43"/>
        <v/>
      </c>
      <c r="AB6085" s="86"/>
      <c r="AD6085" s="100"/>
    </row>
    <row r="6086" spans="6:30" x14ac:dyDescent="0.25">
      <c r="F6086" s="85" t="str">
        <f t="shared" si="43"/>
        <v/>
      </c>
      <c r="AB6086" s="86"/>
      <c r="AD6086" s="100"/>
    </row>
    <row r="6087" spans="6:30" x14ac:dyDescent="0.25">
      <c r="F6087" s="85" t="str">
        <f t="shared" si="43"/>
        <v/>
      </c>
      <c r="AB6087" s="86"/>
      <c r="AD6087" s="100"/>
    </row>
    <row r="6088" spans="6:30" x14ac:dyDescent="0.25">
      <c r="F6088" s="85" t="str">
        <f t="shared" si="43"/>
        <v/>
      </c>
      <c r="AB6088" s="86"/>
      <c r="AD6088" s="100"/>
    </row>
    <row r="6089" spans="6:30" x14ac:dyDescent="0.25">
      <c r="F6089" s="85" t="str">
        <f t="shared" si="43"/>
        <v/>
      </c>
      <c r="AB6089" s="86"/>
      <c r="AD6089" s="100"/>
    </row>
    <row r="6090" spans="6:30" x14ac:dyDescent="0.25">
      <c r="F6090" s="85" t="str">
        <f t="shared" si="43"/>
        <v/>
      </c>
      <c r="AB6090" s="86"/>
      <c r="AD6090" s="100"/>
    </row>
    <row r="6091" spans="6:30" x14ac:dyDescent="0.25">
      <c r="F6091" s="85" t="str">
        <f t="shared" si="43"/>
        <v/>
      </c>
      <c r="AB6091" s="86"/>
      <c r="AD6091" s="100"/>
    </row>
    <row r="6092" spans="6:30" x14ac:dyDescent="0.25">
      <c r="F6092" s="85" t="str">
        <f t="shared" si="43"/>
        <v/>
      </c>
      <c r="AB6092" s="86"/>
      <c r="AD6092" s="100"/>
    </row>
    <row r="6093" spans="6:30" x14ac:dyDescent="0.25">
      <c r="F6093" s="85" t="str">
        <f t="shared" si="43"/>
        <v/>
      </c>
      <c r="AB6093" s="86"/>
      <c r="AD6093" s="100"/>
    </row>
    <row r="6094" spans="6:30" x14ac:dyDescent="0.25">
      <c r="F6094" s="85" t="str">
        <f t="shared" si="43"/>
        <v/>
      </c>
      <c r="AB6094" s="86"/>
      <c r="AD6094" s="100"/>
    </row>
    <row r="6095" spans="6:30" x14ac:dyDescent="0.25">
      <c r="F6095" s="85" t="str">
        <f t="shared" si="43"/>
        <v/>
      </c>
      <c r="AB6095" s="86"/>
      <c r="AD6095" s="100"/>
    </row>
    <row r="6096" spans="6:30" x14ac:dyDescent="0.25">
      <c r="F6096" s="85" t="str">
        <f t="shared" si="43"/>
        <v/>
      </c>
      <c r="AB6096" s="86"/>
      <c r="AD6096" s="100"/>
    </row>
    <row r="6097" spans="6:30" x14ac:dyDescent="0.25">
      <c r="F6097" s="85" t="str">
        <f t="shared" si="43"/>
        <v/>
      </c>
      <c r="AB6097" s="86"/>
      <c r="AD6097" s="100"/>
    </row>
    <row r="6098" spans="6:30" x14ac:dyDescent="0.25">
      <c r="F6098" s="85" t="str">
        <f t="shared" si="43"/>
        <v/>
      </c>
      <c r="AB6098" s="86"/>
      <c r="AD6098" s="100"/>
    </row>
    <row r="6099" spans="6:30" x14ac:dyDescent="0.25">
      <c r="F6099" s="85" t="str">
        <f t="shared" si="43"/>
        <v/>
      </c>
      <c r="AB6099" s="86"/>
      <c r="AD6099" s="100"/>
    </row>
    <row r="6100" spans="6:30" x14ac:dyDescent="0.25">
      <c r="F6100" s="85" t="str">
        <f t="shared" si="43"/>
        <v/>
      </c>
      <c r="AB6100" s="86"/>
      <c r="AD6100" s="100"/>
    </row>
    <row r="6101" spans="6:30" x14ac:dyDescent="0.25">
      <c r="F6101" s="85" t="str">
        <f t="shared" si="43"/>
        <v/>
      </c>
      <c r="AB6101" s="86"/>
      <c r="AD6101" s="100"/>
    </row>
    <row r="6102" spans="6:30" x14ac:dyDescent="0.25">
      <c r="F6102" s="85" t="str">
        <f t="shared" si="43"/>
        <v/>
      </c>
      <c r="AB6102" s="86"/>
      <c r="AD6102" s="100"/>
    </row>
    <row r="6103" spans="6:30" x14ac:dyDescent="0.25">
      <c r="F6103" s="85" t="str">
        <f t="shared" si="43"/>
        <v/>
      </c>
      <c r="AB6103" s="86"/>
      <c r="AD6103" s="100"/>
    </row>
    <row r="6104" spans="6:30" x14ac:dyDescent="0.25">
      <c r="F6104" s="85" t="str">
        <f t="shared" si="43"/>
        <v/>
      </c>
      <c r="AB6104" s="86"/>
      <c r="AD6104" s="100"/>
    </row>
    <row r="6105" spans="6:30" x14ac:dyDescent="0.25">
      <c r="F6105" s="85" t="str">
        <f t="shared" si="43"/>
        <v/>
      </c>
      <c r="AB6105" s="86"/>
      <c r="AD6105" s="100"/>
    </row>
    <row r="6106" spans="6:30" x14ac:dyDescent="0.25">
      <c r="F6106" s="85" t="str">
        <f t="shared" si="43"/>
        <v/>
      </c>
      <c r="AB6106" s="86"/>
      <c r="AD6106" s="100"/>
    </row>
    <row r="6107" spans="6:30" x14ac:dyDescent="0.25">
      <c r="F6107" s="85" t="str">
        <f t="shared" si="43"/>
        <v/>
      </c>
      <c r="AB6107" s="86"/>
      <c r="AD6107" s="100"/>
    </row>
    <row r="6108" spans="6:30" x14ac:dyDescent="0.25">
      <c r="F6108" s="85" t="str">
        <f t="shared" si="43"/>
        <v/>
      </c>
      <c r="AB6108" s="86"/>
      <c r="AD6108" s="100"/>
    </row>
    <row r="6109" spans="6:30" x14ac:dyDescent="0.25">
      <c r="F6109" s="85" t="str">
        <f t="shared" si="43"/>
        <v/>
      </c>
      <c r="AB6109" s="86"/>
      <c r="AD6109" s="100"/>
    </row>
    <row r="6110" spans="6:30" x14ac:dyDescent="0.25">
      <c r="F6110" s="85" t="str">
        <f t="shared" si="43"/>
        <v/>
      </c>
      <c r="AB6110" s="86"/>
      <c r="AD6110" s="100"/>
    </row>
    <row r="6111" spans="6:30" x14ac:dyDescent="0.25">
      <c r="F6111" s="85" t="str">
        <f t="shared" si="43"/>
        <v/>
      </c>
      <c r="AB6111" s="86"/>
      <c r="AD6111" s="100"/>
    </row>
    <row r="6112" spans="6:30" x14ac:dyDescent="0.25">
      <c r="F6112" s="85" t="str">
        <f t="shared" si="43"/>
        <v/>
      </c>
      <c r="AB6112" s="86"/>
      <c r="AD6112" s="100"/>
    </row>
    <row r="6113" spans="6:30" x14ac:dyDescent="0.25">
      <c r="F6113" s="85" t="str">
        <f t="shared" si="43"/>
        <v/>
      </c>
      <c r="AB6113" s="86"/>
      <c r="AD6113" s="100"/>
    </row>
    <row r="6114" spans="6:30" x14ac:dyDescent="0.25">
      <c r="F6114" s="85" t="str">
        <f t="shared" si="43"/>
        <v/>
      </c>
      <c r="AB6114" s="86"/>
      <c r="AD6114" s="100"/>
    </row>
    <row r="6115" spans="6:30" x14ac:dyDescent="0.25">
      <c r="F6115" s="85" t="str">
        <f t="shared" si="43"/>
        <v/>
      </c>
      <c r="AB6115" s="86"/>
      <c r="AD6115" s="100"/>
    </row>
    <row r="6116" spans="6:30" x14ac:dyDescent="0.25">
      <c r="F6116" s="85" t="str">
        <f t="shared" si="43"/>
        <v/>
      </c>
      <c r="AB6116" s="86"/>
      <c r="AD6116" s="100"/>
    </row>
    <row r="6117" spans="6:30" x14ac:dyDescent="0.25">
      <c r="F6117" s="85" t="str">
        <f t="shared" si="43"/>
        <v/>
      </c>
      <c r="AB6117" s="86"/>
      <c r="AD6117" s="100"/>
    </row>
    <row r="6118" spans="6:30" x14ac:dyDescent="0.25">
      <c r="F6118" s="85" t="str">
        <f t="shared" si="43"/>
        <v/>
      </c>
      <c r="AB6118" s="86"/>
      <c r="AD6118" s="100"/>
    </row>
    <row r="6119" spans="6:30" x14ac:dyDescent="0.25">
      <c r="F6119" s="85" t="str">
        <f t="shared" si="43"/>
        <v/>
      </c>
      <c r="AB6119" s="86"/>
      <c r="AD6119" s="100"/>
    </row>
    <row r="6120" spans="6:30" x14ac:dyDescent="0.25">
      <c r="F6120" s="85" t="str">
        <f t="shared" si="43"/>
        <v/>
      </c>
      <c r="AB6120" s="86"/>
      <c r="AD6120" s="100"/>
    </row>
    <row r="6121" spans="6:30" x14ac:dyDescent="0.25">
      <c r="F6121" s="85" t="str">
        <f t="shared" si="43"/>
        <v/>
      </c>
      <c r="AB6121" s="86"/>
      <c r="AD6121" s="100"/>
    </row>
    <row r="6122" spans="6:30" x14ac:dyDescent="0.25">
      <c r="F6122" s="85" t="str">
        <f t="shared" si="43"/>
        <v/>
      </c>
      <c r="AB6122" s="86"/>
      <c r="AD6122" s="100"/>
    </row>
    <row r="6123" spans="6:30" x14ac:dyDescent="0.25">
      <c r="F6123" s="85" t="str">
        <f t="shared" si="43"/>
        <v/>
      </c>
      <c r="AB6123" s="86"/>
      <c r="AD6123" s="100"/>
    </row>
    <row r="6124" spans="6:30" x14ac:dyDescent="0.25">
      <c r="F6124" s="85" t="str">
        <f t="shared" si="43"/>
        <v/>
      </c>
      <c r="AB6124" s="86"/>
      <c r="AD6124" s="100"/>
    </row>
    <row r="6125" spans="6:30" x14ac:dyDescent="0.25">
      <c r="F6125" s="85" t="str">
        <f t="shared" si="43"/>
        <v/>
      </c>
      <c r="AB6125" s="86"/>
      <c r="AD6125" s="100"/>
    </row>
    <row r="6126" spans="6:30" x14ac:dyDescent="0.25">
      <c r="F6126" s="85" t="str">
        <f t="shared" si="43"/>
        <v/>
      </c>
      <c r="AB6126" s="86"/>
      <c r="AD6126" s="100"/>
    </row>
    <row r="6127" spans="6:30" x14ac:dyDescent="0.25">
      <c r="F6127" s="85" t="str">
        <f t="shared" si="43"/>
        <v/>
      </c>
      <c r="AB6127" s="86"/>
      <c r="AD6127" s="100"/>
    </row>
    <row r="6128" spans="6:30" x14ac:dyDescent="0.25">
      <c r="F6128" s="85" t="str">
        <f t="shared" si="43"/>
        <v/>
      </c>
      <c r="AB6128" s="86"/>
      <c r="AD6128" s="100"/>
    </row>
    <row r="6129" spans="6:30" x14ac:dyDescent="0.25">
      <c r="F6129" s="85" t="str">
        <f t="shared" si="43"/>
        <v/>
      </c>
      <c r="AB6129" s="86"/>
      <c r="AD6129" s="100"/>
    </row>
    <row r="6130" spans="6:30" x14ac:dyDescent="0.25">
      <c r="F6130" s="85" t="str">
        <f t="shared" si="43"/>
        <v/>
      </c>
      <c r="AB6130" s="86"/>
      <c r="AD6130" s="100"/>
    </row>
    <row r="6131" spans="6:30" x14ac:dyDescent="0.25">
      <c r="F6131" s="85" t="str">
        <f t="shared" si="43"/>
        <v/>
      </c>
      <c r="AB6131" s="86"/>
      <c r="AD6131" s="100"/>
    </row>
    <row r="6132" spans="6:30" x14ac:dyDescent="0.25">
      <c r="F6132" s="85" t="str">
        <f t="shared" si="43"/>
        <v/>
      </c>
      <c r="AB6132" s="86"/>
      <c r="AD6132" s="100"/>
    </row>
    <row r="6133" spans="6:30" x14ac:dyDescent="0.25">
      <c r="F6133" s="85" t="str">
        <f t="shared" si="43"/>
        <v/>
      </c>
      <c r="AB6133" s="86"/>
      <c r="AD6133" s="100"/>
    </row>
    <row r="6134" spans="6:30" x14ac:dyDescent="0.25">
      <c r="F6134" s="85" t="str">
        <f t="shared" si="43"/>
        <v/>
      </c>
      <c r="AB6134" s="86"/>
      <c r="AD6134" s="100"/>
    </row>
    <row r="6135" spans="6:30" x14ac:dyDescent="0.25">
      <c r="F6135" s="85" t="str">
        <f t="shared" si="43"/>
        <v/>
      </c>
      <c r="AB6135" s="86"/>
      <c r="AD6135" s="100"/>
    </row>
    <row r="6136" spans="6:30" x14ac:dyDescent="0.25">
      <c r="F6136" s="85" t="str">
        <f t="shared" si="43"/>
        <v/>
      </c>
      <c r="AB6136" s="86"/>
      <c r="AD6136" s="100"/>
    </row>
    <row r="6137" spans="6:30" x14ac:dyDescent="0.25">
      <c r="F6137" s="85" t="str">
        <f t="shared" si="43"/>
        <v/>
      </c>
      <c r="AB6137" s="86"/>
      <c r="AD6137" s="100"/>
    </row>
    <row r="6138" spans="6:30" x14ac:dyDescent="0.25">
      <c r="F6138" s="85" t="str">
        <f t="shared" si="43"/>
        <v/>
      </c>
      <c r="AB6138" s="86"/>
      <c r="AD6138" s="100"/>
    </row>
    <row r="6139" spans="6:30" x14ac:dyDescent="0.25">
      <c r="F6139" s="85" t="str">
        <f t="shared" si="43"/>
        <v/>
      </c>
      <c r="AB6139" s="86"/>
      <c r="AD6139" s="100"/>
    </row>
    <row r="6140" spans="6:30" x14ac:dyDescent="0.25">
      <c r="F6140" s="85" t="str">
        <f t="shared" si="43"/>
        <v/>
      </c>
      <c r="AB6140" s="86"/>
      <c r="AD6140" s="100"/>
    </row>
    <row r="6141" spans="6:30" x14ac:dyDescent="0.25">
      <c r="F6141" s="85" t="str">
        <f t="shared" si="43"/>
        <v/>
      </c>
      <c r="AB6141" s="86"/>
      <c r="AD6141" s="100"/>
    </row>
    <row r="6142" spans="6:30" x14ac:dyDescent="0.25">
      <c r="F6142" s="85" t="str">
        <f t="shared" si="43"/>
        <v/>
      </c>
      <c r="AB6142" s="86"/>
      <c r="AD6142" s="100"/>
    </row>
    <row r="6143" spans="6:30" x14ac:dyDescent="0.25">
      <c r="F6143" s="85" t="str">
        <f t="shared" si="43"/>
        <v/>
      </c>
      <c r="AB6143" s="86"/>
      <c r="AD6143" s="100"/>
    </row>
    <row r="6144" spans="6:30" x14ac:dyDescent="0.25">
      <c r="F6144" s="85" t="str">
        <f t="shared" si="43"/>
        <v/>
      </c>
      <c r="AB6144" s="86"/>
      <c r="AD6144" s="100"/>
    </row>
    <row r="6145" spans="6:30" x14ac:dyDescent="0.25">
      <c r="F6145" s="85" t="str">
        <f t="shared" si="43"/>
        <v/>
      </c>
      <c r="AB6145" s="86"/>
      <c r="AD6145" s="100"/>
    </row>
    <row r="6146" spans="6:30" x14ac:dyDescent="0.25">
      <c r="F6146" s="85" t="str">
        <f t="shared" si="43"/>
        <v/>
      </c>
      <c r="AB6146" s="86"/>
      <c r="AD6146" s="100"/>
    </row>
    <row r="6147" spans="6:30" x14ac:dyDescent="0.25">
      <c r="F6147" s="85" t="str">
        <f t="shared" ref="F6147:F6210" si="44">IF($A6147="","",CONCATENATE($A6147,"_",$B6147,"_",$C6147))</f>
        <v/>
      </c>
      <c r="AB6147" s="86"/>
      <c r="AD6147" s="100"/>
    </row>
    <row r="6148" spans="6:30" x14ac:dyDescent="0.25">
      <c r="F6148" s="85" t="str">
        <f t="shared" si="44"/>
        <v/>
      </c>
      <c r="AB6148" s="86"/>
      <c r="AD6148" s="100"/>
    </row>
    <row r="6149" spans="6:30" x14ac:dyDescent="0.25">
      <c r="F6149" s="85" t="str">
        <f t="shared" si="44"/>
        <v/>
      </c>
      <c r="AB6149" s="86"/>
      <c r="AD6149" s="100"/>
    </row>
    <row r="6150" spans="6:30" x14ac:dyDescent="0.25">
      <c r="F6150" s="85" t="str">
        <f t="shared" si="44"/>
        <v/>
      </c>
      <c r="AB6150" s="86"/>
      <c r="AD6150" s="100"/>
    </row>
    <row r="6151" spans="6:30" x14ac:dyDescent="0.25">
      <c r="F6151" s="85" t="str">
        <f t="shared" si="44"/>
        <v/>
      </c>
      <c r="AB6151" s="86"/>
      <c r="AD6151" s="100"/>
    </row>
    <row r="6152" spans="6:30" x14ac:dyDescent="0.25">
      <c r="F6152" s="85" t="str">
        <f t="shared" si="44"/>
        <v/>
      </c>
      <c r="AB6152" s="86"/>
      <c r="AD6152" s="100"/>
    </row>
    <row r="6153" spans="6:30" x14ac:dyDescent="0.25">
      <c r="F6153" s="85" t="str">
        <f t="shared" si="44"/>
        <v/>
      </c>
      <c r="AB6153" s="86"/>
      <c r="AD6153" s="100"/>
    </row>
    <row r="6154" spans="6:30" x14ac:dyDescent="0.25">
      <c r="F6154" s="85" t="str">
        <f t="shared" si="44"/>
        <v/>
      </c>
      <c r="AB6154" s="86"/>
      <c r="AD6154" s="100"/>
    </row>
    <row r="6155" spans="6:30" x14ac:dyDescent="0.25">
      <c r="F6155" s="85" t="str">
        <f t="shared" si="44"/>
        <v/>
      </c>
      <c r="AB6155" s="86"/>
      <c r="AD6155" s="100"/>
    </row>
    <row r="6156" spans="6:30" x14ac:dyDescent="0.25">
      <c r="F6156" s="85" t="str">
        <f t="shared" si="44"/>
        <v/>
      </c>
      <c r="AB6156" s="86"/>
      <c r="AD6156" s="100"/>
    </row>
    <row r="6157" spans="6:30" x14ac:dyDescent="0.25">
      <c r="F6157" s="85" t="str">
        <f t="shared" si="44"/>
        <v/>
      </c>
      <c r="AB6157" s="86"/>
      <c r="AD6157" s="100"/>
    </row>
    <row r="6158" spans="6:30" x14ac:dyDescent="0.25">
      <c r="F6158" s="85" t="str">
        <f t="shared" si="44"/>
        <v/>
      </c>
      <c r="AB6158" s="86"/>
      <c r="AD6158" s="100"/>
    </row>
    <row r="6159" spans="6:30" x14ac:dyDescent="0.25">
      <c r="F6159" s="85" t="str">
        <f t="shared" si="44"/>
        <v/>
      </c>
      <c r="AB6159" s="86"/>
      <c r="AD6159" s="100"/>
    </row>
    <row r="6160" spans="6:30" x14ac:dyDescent="0.25">
      <c r="F6160" s="85" t="str">
        <f t="shared" si="44"/>
        <v/>
      </c>
      <c r="AB6160" s="86"/>
      <c r="AD6160" s="100"/>
    </row>
    <row r="6161" spans="6:30" x14ac:dyDescent="0.25">
      <c r="F6161" s="85" t="str">
        <f t="shared" si="44"/>
        <v/>
      </c>
      <c r="AB6161" s="86"/>
      <c r="AD6161" s="100"/>
    </row>
    <row r="6162" spans="6:30" x14ac:dyDescent="0.25">
      <c r="F6162" s="85" t="str">
        <f t="shared" si="44"/>
        <v/>
      </c>
      <c r="AB6162" s="86"/>
      <c r="AD6162" s="100"/>
    </row>
    <row r="6163" spans="6:30" x14ac:dyDescent="0.25">
      <c r="F6163" s="85" t="str">
        <f t="shared" si="44"/>
        <v/>
      </c>
      <c r="AB6163" s="86"/>
      <c r="AD6163" s="100"/>
    </row>
    <row r="6164" spans="6:30" x14ac:dyDescent="0.25">
      <c r="F6164" s="85" t="str">
        <f t="shared" si="44"/>
        <v/>
      </c>
      <c r="AB6164" s="86"/>
      <c r="AD6164" s="100"/>
    </row>
    <row r="6165" spans="6:30" x14ac:dyDescent="0.25">
      <c r="F6165" s="85" t="str">
        <f t="shared" si="44"/>
        <v/>
      </c>
      <c r="AB6165" s="86"/>
      <c r="AD6165" s="100"/>
    </row>
    <row r="6166" spans="6:30" x14ac:dyDescent="0.25">
      <c r="F6166" s="85" t="str">
        <f t="shared" si="44"/>
        <v/>
      </c>
      <c r="AB6166" s="86"/>
      <c r="AD6166" s="100"/>
    </row>
    <row r="6167" spans="6:30" x14ac:dyDescent="0.25">
      <c r="F6167" s="85" t="str">
        <f t="shared" si="44"/>
        <v/>
      </c>
      <c r="AB6167" s="86"/>
      <c r="AD6167" s="100"/>
    </row>
    <row r="6168" spans="6:30" x14ac:dyDescent="0.25">
      <c r="F6168" s="85" t="str">
        <f t="shared" si="44"/>
        <v/>
      </c>
      <c r="AB6168" s="86"/>
      <c r="AD6168" s="100"/>
    </row>
    <row r="6169" spans="6:30" x14ac:dyDescent="0.25">
      <c r="F6169" s="85" t="str">
        <f t="shared" si="44"/>
        <v/>
      </c>
      <c r="AB6169" s="86"/>
      <c r="AD6169" s="100"/>
    </row>
    <row r="6170" spans="6:30" x14ac:dyDescent="0.25">
      <c r="F6170" s="85" t="str">
        <f t="shared" si="44"/>
        <v/>
      </c>
      <c r="AB6170" s="86"/>
      <c r="AD6170" s="100"/>
    </row>
    <row r="6171" spans="6:30" x14ac:dyDescent="0.25">
      <c r="F6171" s="85" t="str">
        <f t="shared" si="44"/>
        <v/>
      </c>
      <c r="AB6171" s="86"/>
      <c r="AD6171" s="100"/>
    </row>
    <row r="6172" spans="6:30" x14ac:dyDescent="0.25">
      <c r="F6172" s="85" t="str">
        <f t="shared" si="44"/>
        <v/>
      </c>
      <c r="AB6172" s="86"/>
      <c r="AD6172" s="100"/>
    </row>
    <row r="6173" spans="6:30" x14ac:dyDescent="0.25">
      <c r="F6173" s="85" t="str">
        <f t="shared" si="44"/>
        <v/>
      </c>
      <c r="AB6173" s="86"/>
      <c r="AD6173" s="100"/>
    </row>
    <row r="6174" spans="6:30" x14ac:dyDescent="0.25">
      <c r="F6174" s="85" t="str">
        <f t="shared" si="44"/>
        <v/>
      </c>
      <c r="AB6174" s="86"/>
      <c r="AD6174" s="100"/>
    </row>
    <row r="6175" spans="6:30" x14ac:dyDescent="0.25">
      <c r="F6175" s="85" t="str">
        <f t="shared" si="44"/>
        <v/>
      </c>
      <c r="AB6175" s="86"/>
      <c r="AD6175" s="100"/>
    </row>
    <row r="6176" spans="6:30" x14ac:dyDescent="0.25">
      <c r="F6176" s="85" t="str">
        <f t="shared" si="44"/>
        <v/>
      </c>
      <c r="AB6176" s="86"/>
      <c r="AD6176" s="100"/>
    </row>
    <row r="6177" spans="6:30" x14ac:dyDescent="0.25">
      <c r="F6177" s="85" t="str">
        <f t="shared" si="44"/>
        <v/>
      </c>
      <c r="AB6177" s="86"/>
      <c r="AD6177" s="100"/>
    </row>
    <row r="6178" spans="6:30" x14ac:dyDescent="0.25">
      <c r="F6178" s="85" t="str">
        <f t="shared" si="44"/>
        <v/>
      </c>
      <c r="AB6178" s="86"/>
      <c r="AD6178" s="100"/>
    </row>
    <row r="6179" spans="6:30" x14ac:dyDescent="0.25">
      <c r="F6179" s="85" t="str">
        <f t="shared" si="44"/>
        <v/>
      </c>
      <c r="AB6179" s="86"/>
      <c r="AD6179" s="100"/>
    </row>
    <row r="6180" spans="6:30" x14ac:dyDescent="0.25">
      <c r="F6180" s="85" t="str">
        <f t="shared" si="44"/>
        <v/>
      </c>
      <c r="AB6180" s="86"/>
      <c r="AD6180" s="100"/>
    </row>
    <row r="6181" spans="6:30" x14ac:dyDescent="0.25">
      <c r="F6181" s="85" t="str">
        <f t="shared" si="44"/>
        <v/>
      </c>
      <c r="AB6181" s="86"/>
      <c r="AD6181" s="100"/>
    </row>
    <row r="6182" spans="6:30" x14ac:dyDescent="0.25">
      <c r="F6182" s="85" t="str">
        <f t="shared" si="44"/>
        <v/>
      </c>
      <c r="AB6182" s="86"/>
      <c r="AD6182" s="100"/>
    </row>
    <row r="6183" spans="6:30" x14ac:dyDescent="0.25">
      <c r="F6183" s="85" t="str">
        <f t="shared" si="44"/>
        <v/>
      </c>
      <c r="AB6183" s="86"/>
      <c r="AD6183" s="100"/>
    </row>
    <row r="6184" spans="6:30" x14ac:dyDescent="0.25">
      <c r="F6184" s="85" t="str">
        <f t="shared" si="44"/>
        <v/>
      </c>
      <c r="AB6184" s="86"/>
      <c r="AD6184" s="100"/>
    </row>
    <row r="6185" spans="6:30" x14ac:dyDescent="0.25">
      <c r="F6185" s="85" t="str">
        <f t="shared" si="44"/>
        <v/>
      </c>
      <c r="AB6185" s="86"/>
      <c r="AD6185" s="100"/>
    </row>
    <row r="6186" spans="6:30" x14ac:dyDescent="0.25">
      <c r="F6186" s="85" t="str">
        <f t="shared" si="44"/>
        <v/>
      </c>
      <c r="AB6186" s="86"/>
      <c r="AD6186" s="100"/>
    </row>
    <row r="6187" spans="6:30" x14ac:dyDescent="0.25">
      <c r="F6187" s="85" t="str">
        <f t="shared" si="44"/>
        <v/>
      </c>
      <c r="AB6187" s="86"/>
      <c r="AD6187" s="100"/>
    </row>
    <row r="6188" spans="6:30" x14ac:dyDescent="0.25">
      <c r="F6188" s="85" t="str">
        <f t="shared" si="44"/>
        <v/>
      </c>
      <c r="AB6188" s="86"/>
      <c r="AD6188" s="100"/>
    </row>
    <row r="6189" spans="6:30" x14ac:dyDescent="0.25">
      <c r="F6189" s="85" t="str">
        <f t="shared" si="44"/>
        <v/>
      </c>
      <c r="AB6189" s="86"/>
      <c r="AD6189" s="100"/>
    </row>
    <row r="6190" spans="6:30" x14ac:dyDescent="0.25">
      <c r="F6190" s="85" t="str">
        <f t="shared" si="44"/>
        <v/>
      </c>
      <c r="AB6190" s="86"/>
      <c r="AD6190" s="100"/>
    </row>
    <row r="6191" spans="6:30" x14ac:dyDescent="0.25">
      <c r="F6191" s="85" t="str">
        <f t="shared" si="44"/>
        <v/>
      </c>
      <c r="AB6191" s="86"/>
      <c r="AD6191" s="100"/>
    </row>
    <row r="6192" spans="6:30" x14ac:dyDescent="0.25">
      <c r="F6192" s="85" t="str">
        <f t="shared" si="44"/>
        <v/>
      </c>
      <c r="AB6192" s="86"/>
      <c r="AD6192" s="100"/>
    </row>
    <row r="6193" spans="6:30" x14ac:dyDescent="0.25">
      <c r="F6193" s="85" t="str">
        <f t="shared" si="44"/>
        <v/>
      </c>
      <c r="AB6193" s="86"/>
      <c r="AD6193" s="100"/>
    </row>
    <row r="6194" spans="6:30" x14ac:dyDescent="0.25">
      <c r="F6194" s="85" t="str">
        <f t="shared" si="44"/>
        <v/>
      </c>
      <c r="AB6194" s="86"/>
      <c r="AD6194" s="100"/>
    </row>
    <row r="6195" spans="6:30" x14ac:dyDescent="0.25">
      <c r="F6195" s="85" t="str">
        <f t="shared" si="44"/>
        <v/>
      </c>
      <c r="AB6195" s="86"/>
      <c r="AD6195" s="100"/>
    </row>
    <row r="6196" spans="6:30" x14ac:dyDescent="0.25">
      <c r="F6196" s="85" t="str">
        <f t="shared" si="44"/>
        <v/>
      </c>
      <c r="AB6196" s="86"/>
      <c r="AD6196" s="100"/>
    </row>
    <row r="6197" spans="6:30" x14ac:dyDescent="0.25">
      <c r="F6197" s="85" t="str">
        <f t="shared" si="44"/>
        <v/>
      </c>
      <c r="AB6197" s="86"/>
      <c r="AD6197" s="100"/>
    </row>
    <row r="6198" spans="6:30" x14ac:dyDescent="0.25">
      <c r="F6198" s="85" t="str">
        <f t="shared" si="44"/>
        <v/>
      </c>
      <c r="AB6198" s="86"/>
      <c r="AD6198" s="100"/>
    </row>
    <row r="6199" spans="6:30" x14ac:dyDescent="0.25">
      <c r="F6199" s="85" t="str">
        <f t="shared" si="44"/>
        <v/>
      </c>
      <c r="AB6199" s="86"/>
      <c r="AD6199" s="100"/>
    </row>
    <row r="6200" spans="6:30" x14ac:dyDescent="0.25">
      <c r="F6200" s="85" t="str">
        <f t="shared" si="44"/>
        <v/>
      </c>
      <c r="AB6200" s="86"/>
      <c r="AD6200" s="100"/>
    </row>
    <row r="6201" spans="6:30" x14ac:dyDescent="0.25">
      <c r="F6201" s="85" t="str">
        <f t="shared" si="44"/>
        <v/>
      </c>
      <c r="AB6201" s="86"/>
      <c r="AD6201" s="100"/>
    </row>
    <row r="6202" spans="6:30" x14ac:dyDescent="0.25">
      <c r="F6202" s="85" t="str">
        <f t="shared" si="44"/>
        <v/>
      </c>
      <c r="AB6202" s="86"/>
      <c r="AD6202" s="100"/>
    </row>
    <row r="6203" spans="6:30" x14ac:dyDescent="0.25">
      <c r="F6203" s="85" t="str">
        <f t="shared" si="44"/>
        <v/>
      </c>
      <c r="AB6203" s="86"/>
      <c r="AD6203" s="100"/>
    </row>
    <row r="6204" spans="6:30" x14ac:dyDescent="0.25">
      <c r="F6204" s="85" t="str">
        <f t="shared" si="44"/>
        <v/>
      </c>
      <c r="AB6204" s="86"/>
      <c r="AD6204" s="100"/>
    </row>
    <row r="6205" spans="6:30" x14ac:dyDescent="0.25">
      <c r="F6205" s="85" t="str">
        <f t="shared" si="44"/>
        <v/>
      </c>
      <c r="AB6205" s="86"/>
      <c r="AD6205" s="100"/>
    </row>
    <row r="6206" spans="6:30" x14ac:dyDescent="0.25">
      <c r="F6206" s="85" t="str">
        <f t="shared" si="44"/>
        <v/>
      </c>
      <c r="AB6206" s="86"/>
      <c r="AD6206" s="100"/>
    </row>
    <row r="6207" spans="6:30" x14ac:dyDescent="0.25">
      <c r="F6207" s="85" t="str">
        <f t="shared" si="44"/>
        <v/>
      </c>
      <c r="AB6207" s="86"/>
      <c r="AD6207" s="100"/>
    </row>
    <row r="6208" spans="6:30" x14ac:dyDescent="0.25">
      <c r="F6208" s="85" t="str">
        <f t="shared" si="44"/>
        <v/>
      </c>
      <c r="AB6208" s="86"/>
      <c r="AD6208" s="100"/>
    </row>
    <row r="6209" spans="6:30" x14ac:dyDescent="0.25">
      <c r="F6209" s="85" t="str">
        <f t="shared" si="44"/>
        <v/>
      </c>
      <c r="AB6209" s="86"/>
      <c r="AD6209" s="100"/>
    </row>
    <row r="6210" spans="6:30" x14ac:dyDescent="0.25">
      <c r="F6210" s="85" t="str">
        <f t="shared" si="44"/>
        <v/>
      </c>
      <c r="AB6210" s="86"/>
      <c r="AD6210" s="100"/>
    </row>
    <row r="6211" spans="6:30" x14ac:dyDescent="0.25">
      <c r="F6211" s="85" t="str">
        <f t="shared" ref="F6211:F6274" si="45">IF($A6211="","",CONCATENATE($A6211,"_",$B6211,"_",$C6211))</f>
        <v/>
      </c>
      <c r="AB6211" s="86"/>
      <c r="AD6211" s="100"/>
    </row>
    <row r="6212" spans="6:30" x14ac:dyDescent="0.25">
      <c r="F6212" s="85" t="str">
        <f t="shared" si="45"/>
        <v/>
      </c>
      <c r="AB6212" s="86"/>
      <c r="AD6212" s="100"/>
    </row>
    <row r="6213" spans="6:30" x14ac:dyDescent="0.25">
      <c r="F6213" s="85" t="str">
        <f t="shared" si="45"/>
        <v/>
      </c>
      <c r="AB6213" s="86"/>
      <c r="AD6213" s="100"/>
    </row>
    <row r="6214" spans="6:30" x14ac:dyDescent="0.25">
      <c r="F6214" s="85" t="str">
        <f t="shared" si="45"/>
        <v/>
      </c>
      <c r="AB6214" s="86"/>
      <c r="AD6214" s="100"/>
    </row>
    <row r="6215" spans="6:30" x14ac:dyDescent="0.25">
      <c r="F6215" s="85" t="str">
        <f t="shared" si="45"/>
        <v/>
      </c>
      <c r="AB6215" s="86"/>
      <c r="AD6215" s="100"/>
    </row>
    <row r="6216" spans="6:30" x14ac:dyDescent="0.25">
      <c r="F6216" s="85" t="str">
        <f t="shared" si="45"/>
        <v/>
      </c>
      <c r="AB6216" s="86"/>
      <c r="AD6216" s="100"/>
    </row>
    <row r="6217" spans="6:30" x14ac:dyDescent="0.25">
      <c r="F6217" s="85" t="str">
        <f t="shared" si="45"/>
        <v/>
      </c>
      <c r="AB6217" s="86"/>
      <c r="AD6217" s="100"/>
    </row>
    <row r="6218" spans="6:30" x14ac:dyDescent="0.25">
      <c r="F6218" s="85" t="str">
        <f t="shared" si="45"/>
        <v/>
      </c>
      <c r="AB6218" s="86"/>
      <c r="AD6218" s="100"/>
    </row>
    <row r="6219" spans="6:30" x14ac:dyDescent="0.25">
      <c r="F6219" s="85" t="str">
        <f t="shared" si="45"/>
        <v/>
      </c>
      <c r="AB6219" s="86"/>
      <c r="AD6219" s="100"/>
    </row>
    <row r="6220" spans="6:30" x14ac:dyDescent="0.25">
      <c r="F6220" s="85" t="str">
        <f t="shared" si="45"/>
        <v/>
      </c>
      <c r="AB6220" s="86"/>
      <c r="AD6220" s="100"/>
    </row>
    <row r="6221" spans="6:30" x14ac:dyDescent="0.25">
      <c r="F6221" s="85" t="str">
        <f t="shared" si="45"/>
        <v/>
      </c>
      <c r="AB6221" s="86"/>
      <c r="AD6221" s="100"/>
    </row>
    <row r="6222" spans="6:30" x14ac:dyDescent="0.25">
      <c r="F6222" s="85" t="str">
        <f t="shared" si="45"/>
        <v/>
      </c>
      <c r="AB6222" s="86"/>
      <c r="AD6222" s="100"/>
    </row>
    <row r="6223" spans="6:30" x14ac:dyDescent="0.25">
      <c r="F6223" s="85" t="str">
        <f t="shared" si="45"/>
        <v/>
      </c>
      <c r="AB6223" s="86"/>
      <c r="AD6223" s="100"/>
    </row>
    <row r="6224" spans="6:30" x14ac:dyDescent="0.25">
      <c r="F6224" s="85" t="str">
        <f t="shared" si="45"/>
        <v/>
      </c>
      <c r="AB6224" s="86"/>
      <c r="AD6224" s="100"/>
    </row>
    <row r="6225" spans="6:30" x14ac:dyDescent="0.25">
      <c r="F6225" s="85" t="str">
        <f t="shared" si="45"/>
        <v/>
      </c>
      <c r="AB6225" s="86"/>
      <c r="AD6225" s="100"/>
    </row>
    <row r="6226" spans="6:30" x14ac:dyDescent="0.25">
      <c r="F6226" s="85" t="str">
        <f t="shared" si="45"/>
        <v/>
      </c>
      <c r="AB6226" s="86"/>
      <c r="AD6226" s="100"/>
    </row>
    <row r="6227" spans="6:30" x14ac:dyDescent="0.25">
      <c r="F6227" s="85" t="str">
        <f t="shared" si="45"/>
        <v/>
      </c>
      <c r="AB6227" s="86"/>
      <c r="AD6227" s="100"/>
    </row>
    <row r="6228" spans="6:30" x14ac:dyDescent="0.25">
      <c r="F6228" s="85" t="str">
        <f t="shared" si="45"/>
        <v/>
      </c>
      <c r="AB6228" s="86"/>
      <c r="AD6228" s="100"/>
    </row>
    <row r="6229" spans="6:30" x14ac:dyDescent="0.25">
      <c r="F6229" s="85" t="str">
        <f t="shared" si="45"/>
        <v/>
      </c>
      <c r="AB6229" s="86"/>
      <c r="AD6229" s="100"/>
    </row>
    <row r="6230" spans="6:30" x14ac:dyDescent="0.25">
      <c r="F6230" s="85" t="str">
        <f t="shared" si="45"/>
        <v/>
      </c>
      <c r="AB6230" s="86"/>
      <c r="AD6230" s="100"/>
    </row>
    <row r="6231" spans="6:30" x14ac:dyDescent="0.25">
      <c r="F6231" s="85" t="str">
        <f t="shared" si="45"/>
        <v/>
      </c>
      <c r="AB6231" s="86"/>
      <c r="AD6231" s="100"/>
    </row>
    <row r="6232" spans="6:30" x14ac:dyDescent="0.25">
      <c r="F6232" s="85" t="str">
        <f t="shared" si="45"/>
        <v/>
      </c>
      <c r="AB6232" s="86"/>
      <c r="AD6232" s="100"/>
    </row>
    <row r="6233" spans="6:30" x14ac:dyDescent="0.25">
      <c r="F6233" s="85" t="str">
        <f t="shared" si="45"/>
        <v/>
      </c>
      <c r="AB6233" s="86"/>
      <c r="AD6233" s="100"/>
    </row>
    <row r="6234" spans="6:30" x14ac:dyDescent="0.25">
      <c r="F6234" s="85" t="str">
        <f t="shared" si="45"/>
        <v/>
      </c>
      <c r="AB6234" s="86"/>
      <c r="AD6234" s="100"/>
    </row>
    <row r="6235" spans="6:30" x14ac:dyDescent="0.25">
      <c r="F6235" s="85" t="str">
        <f t="shared" si="45"/>
        <v/>
      </c>
      <c r="AB6235" s="86"/>
      <c r="AD6235" s="100"/>
    </row>
    <row r="6236" spans="6:30" x14ac:dyDescent="0.25">
      <c r="F6236" s="85" t="str">
        <f t="shared" si="45"/>
        <v/>
      </c>
      <c r="AB6236" s="86"/>
      <c r="AD6236" s="100"/>
    </row>
    <row r="6237" spans="6:30" x14ac:dyDescent="0.25">
      <c r="F6237" s="85" t="str">
        <f t="shared" si="45"/>
        <v/>
      </c>
      <c r="AB6237" s="86"/>
      <c r="AD6237" s="100"/>
    </row>
    <row r="6238" spans="6:30" x14ac:dyDescent="0.25">
      <c r="F6238" s="85" t="str">
        <f t="shared" si="45"/>
        <v/>
      </c>
      <c r="AB6238" s="86"/>
      <c r="AD6238" s="100"/>
    </row>
    <row r="6239" spans="6:30" x14ac:dyDescent="0.25">
      <c r="F6239" s="85" t="str">
        <f t="shared" si="45"/>
        <v/>
      </c>
      <c r="AB6239" s="86"/>
      <c r="AD6239" s="100"/>
    </row>
    <row r="6240" spans="6:30" x14ac:dyDescent="0.25">
      <c r="F6240" s="85" t="str">
        <f t="shared" si="45"/>
        <v/>
      </c>
      <c r="AB6240" s="86"/>
      <c r="AD6240" s="100"/>
    </row>
    <row r="6241" spans="6:30" x14ac:dyDescent="0.25">
      <c r="F6241" s="85" t="str">
        <f t="shared" si="45"/>
        <v/>
      </c>
      <c r="AB6241" s="86"/>
      <c r="AD6241" s="100"/>
    </row>
    <row r="6242" spans="6:30" x14ac:dyDescent="0.25">
      <c r="F6242" s="85" t="str">
        <f t="shared" si="45"/>
        <v/>
      </c>
      <c r="AB6242" s="86"/>
      <c r="AD6242" s="100"/>
    </row>
    <row r="6243" spans="6:30" x14ac:dyDescent="0.25">
      <c r="F6243" s="85" t="str">
        <f t="shared" si="45"/>
        <v/>
      </c>
      <c r="AB6243" s="86"/>
      <c r="AD6243" s="100"/>
    </row>
    <row r="6244" spans="6:30" x14ac:dyDescent="0.25">
      <c r="F6244" s="85" t="str">
        <f t="shared" si="45"/>
        <v/>
      </c>
      <c r="AB6244" s="86"/>
      <c r="AD6244" s="100"/>
    </row>
    <row r="6245" spans="6:30" x14ac:dyDescent="0.25">
      <c r="F6245" s="85" t="str">
        <f t="shared" si="45"/>
        <v/>
      </c>
      <c r="AB6245" s="86"/>
      <c r="AD6245" s="100"/>
    </row>
    <row r="6246" spans="6:30" x14ac:dyDescent="0.25">
      <c r="F6246" s="85" t="str">
        <f t="shared" si="45"/>
        <v/>
      </c>
      <c r="AB6246" s="86"/>
      <c r="AD6246" s="100"/>
    </row>
    <row r="6247" spans="6:30" x14ac:dyDescent="0.25">
      <c r="F6247" s="85" t="str">
        <f t="shared" si="45"/>
        <v/>
      </c>
      <c r="AB6247" s="86"/>
      <c r="AD6247" s="100"/>
    </row>
    <row r="6248" spans="6:30" x14ac:dyDescent="0.25">
      <c r="F6248" s="85" t="str">
        <f t="shared" si="45"/>
        <v/>
      </c>
      <c r="AB6248" s="86"/>
      <c r="AD6248" s="100"/>
    </row>
    <row r="6249" spans="6:30" x14ac:dyDescent="0.25">
      <c r="F6249" s="85" t="str">
        <f t="shared" si="45"/>
        <v/>
      </c>
      <c r="AB6249" s="86"/>
      <c r="AD6249" s="100"/>
    </row>
    <row r="6250" spans="6:30" x14ac:dyDescent="0.25">
      <c r="F6250" s="85" t="str">
        <f t="shared" si="45"/>
        <v/>
      </c>
      <c r="AB6250" s="86"/>
      <c r="AD6250" s="100"/>
    </row>
    <row r="6251" spans="6:30" x14ac:dyDescent="0.25">
      <c r="F6251" s="85" t="str">
        <f t="shared" si="45"/>
        <v/>
      </c>
      <c r="AB6251" s="86"/>
      <c r="AD6251" s="100"/>
    </row>
    <row r="6252" spans="6:30" x14ac:dyDescent="0.25">
      <c r="F6252" s="85" t="str">
        <f t="shared" si="45"/>
        <v/>
      </c>
      <c r="AB6252" s="86"/>
      <c r="AD6252" s="100"/>
    </row>
    <row r="6253" spans="6:30" x14ac:dyDescent="0.25">
      <c r="F6253" s="85" t="str">
        <f t="shared" si="45"/>
        <v/>
      </c>
      <c r="AB6253" s="86"/>
      <c r="AD6253" s="100"/>
    </row>
    <row r="6254" spans="6:30" x14ac:dyDescent="0.25">
      <c r="F6254" s="85" t="str">
        <f t="shared" si="45"/>
        <v/>
      </c>
      <c r="AB6254" s="86"/>
      <c r="AD6254" s="100"/>
    </row>
    <row r="6255" spans="6:30" x14ac:dyDescent="0.25">
      <c r="F6255" s="85" t="str">
        <f t="shared" si="45"/>
        <v/>
      </c>
      <c r="AB6255" s="86"/>
      <c r="AD6255" s="100"/>
    </row>
    <row r="6256" spans="6:30" x14ac:dyDescent="0.25">
      <c r="F6256" s="85" t="str">
        <f t="shared" si="45"/>
        <v/>
      </c>
      <c r="AB6256" s="86"/>
      <c r="AD6256" s="100"/>
    </row>
    <row r="6257" spans="6:30" x14ac:dyDescent="0.25">
      <c r="F6257" s="85" t="str">
        <f t="shared" si="45"/>
        <v/>
      </c>
      <c r="AB6257" s="86"/>
      <c r="AD6257" s="100"/>
    </row>
    <row r="6258" spans="6:30" x14ac:dyDescent="0.25">
      <c r="F6258" s="85" t="str">
        <f t="shared" si="45"/>
        <v/>
      </c>
      <c r="AB6258" s="86"/>
      <c r="AD6258" s="100"/>
    </row>
    <row r="6259" spans="6:30" x14ac:dyDescent="0.25">
      <c r="F6259" s="85" t="str">
        <f t="shared" si="45"/>
        <v/>
      </c>
      <c r="AB6259" s="86"/>
      <c r="AD6259" s="100"/>
    </row>
    <row r="6260" spans="6:30" x14ac:dyDescent="0.25">
      <c r="F6260" s="85" t="str">
        <f t="shared" si="45"/>
        <v/>
      </c>
      <c r="AB6260" s="86"/>
      <c r="AD6260" s="100"/>
    </row>
    <row r="6261" spans="6:30" x14ac:dyDescent="0.25">
      <c r="F6261" s="85" t="str">
        <f t="shared" si="45"/>
        <v/>
      </c>
      <c r="AB6261" s="86"/>
      <c r="AD6261" s="100"/>
    </row>
    <row r="6262" spans="6:30" x14ac:dyDescent="0.25">
      <c r="F6262" s="85" t="str">
        <f t="shared" si="45"/>
        <v/>
      </c>
      <c r="AB6262" s="86"/>
      <c r="AD6262" s="100"/>
    </row>
    <row r="6263" spans="6:30" x14ac:dyDescent="0.25">
      <c r="F6263" s="85" t="str">
        <f t="shared" si="45"/>
        <v/>
      </c>
      <c r="AB6263" s="86"/>
      <c r="AD6263" s="100"/>
    </row>
    <row r="6264" spans="6:30" x14ac:dyDescent="0.25">
      <c r="F6264" s="85" t="str">
        <f t="shared" si="45"/>
        <v/>
      </c>
      <c r="AB6264" s="86"/>
      <c r="AD6264" s="100"/>
    </row>
    <row r="6265" spans="6:30" x14ac:dyDescent="0.25">
      <c r="F6265" s="85" t="str">
        <f t="shared" si="45"/>
        <v/>
      </c>
      <c r="AB6265" s="86"/>
      <c r="AD6265" s="100"/>
    </row>
    <row r="6266" spans="6:30" x14ac:dyDescent="0.25">
      <c r="F6266" s="85" t="str">
        <f t="shared" si="45"/>
        <v/>
      </c>
      <c r="AB6266" s="86"/>
      <c r="AD6266" s="100"/>
    </row>
    <row r="6267" spans="6:30" x14ac:dyDescent="0.25">
      <c r="F6267" s="85" t="str">
        <f t="shared" si="45"/>
        <v/>
      </c>
      <c r="AB6267" s="86"/>
      <c r="AD6267" s="100"/>
    </row>
    <row r="6268" spans="6:30" x14ac:dyDescent="0.25">
      <c r="F6268" s="85" t="str">
        <f t="shared" si="45"/>
        <v/>
      </c>
      <c r="AB6268" s="86"/>
      <c r="AD6268" s="100"/>
    </row>
    <row r="6269" spans="6:30" x14ac:dyDescent="0.25">
      <c r="F6269" s="85" t="str">
        <f t="shared" si="45"/>
        <v/>
      </c>
      <c r="AB6269" s="86"/>
      <c r="AD6269" s="100"/>
    </row>
    <row r="6270" spans="6:30" x14ac:dyDescent="0.25">
      <c r="F6270" s="85" t="str">
        <f t="shared" si="45"/>
        <v/>
      </c>
      <c r="AB6270" s="86"/>
      <c r="AD6270" s="100"/>
    </row>
    <row r="6271" spans="6:30" x14ac:dyDescent="0.25">
      <c r="F6271" s="85" t="str">
        <f t="shared" si="45"/>
        <v/>
      </c>
      <c r="AB6271" s="86"/>
      <c r="AD6271" s="100"/>
    </row>
    <row r="6272" spans="6:30" x14ac:dyDescent="0.25">
      <c r="F6272" s="85" t="str">
        <f t="shared" si="45"/>
        <v/>
      </c>
      <c r="AB6272" s="86"/>
      <c r="AD6272" s="100"/>
    </row>
    <row r="6273" spans="6:30" x14ac:dyDescent="0.25">
      <c r="F6273" s="85" t="str">
        <f t="shared" si="45"/>
        <v/>
      </c>
      <c r="AB6273" s="86"/>
      <c r="AD6273" s="100"/>
    </row>
    <row r="6274" spans="6:30" x14ac:dyDescent="0.25">
      <c r="F6274" s="85" t="str">
        <f t="shared" si="45"/>
        <v/>
      </c>
      <c r="AB6274" s="86"/>
      <c r="AD6274" s="100"/>
    </row>
    <row r="6275" spans="6:30" x14ac:dyDescent="0.25">
      <c r="F6275" s="85" t="str">
        <f t="shared" ref="F6275:F6338" si="46">IF($A6275="","",CONCATENATE($A6275,"_",$B6275,"_",$C6275))</f>
        <v/>
      </c>
      <c r="AB6275" s="86"/>
      <c r="AD6275" s="100"/>
    </row>
    <row r="6276" spans="6:30" x14ac:dyDescent="0.25">
      <c r="F6276" s="85" t="str">
        <f t="shared" si="46"/>
        <v/>
      </c>
      <c r="AB6276" s="86"/>
      <c r="AD6276" s="100"/>
    </row>
    <row r="6277" spans="6:30" x14ac:dyDescent="0.25">
      <c r="F6277" s="85" t="str">
        <f t="shared" si="46"/>
        <v/>
      </c>
      <c r="AB6277" s="86"/>
      <c r="AD6277" s="100"/>
    </row>
    <row r="6278" spans="6:30" x14ac:dyDescent="0.25">
      <c r="F6278" s="85" t="str">
        <f t="shared" si="46"/>
        <v/>
      </c>
      <c r="AB6278" s="86"/>
      <c r="AD6278" s="100"/>
    </row>
    <row r="6279" spans="6:30" x14ac:dyDescent="0.25">
      <c r="F6279" s="85" t="str">
        <f t="shared" si="46"/>
        <v/>
      </c>
      <c r="AB6279" s="86"/>
      <c r="AD6279" s="100"/>
    </row>
    <row r="6280" spans="6:30" x14ac:dyDescent="0.25">
      <c r="F6280" s="85" t="str">
        <f t="shared" si="46"/>
        <v/>
      </c>
      <c r="AB6280" s="86"/>
      <c r="AD6280" s="100"/>
    </row>
    <row r="6281" spans="6:30" x14ac:dyDescent="0.25">
      <c r="F6281" s="85" t="str">
        <f t="shared" si="46"/>
        <v/>
      </c>
      <c r="AB6281" s="86"/>
      <c r="AD6281" s="100"/>
    </row>
    <row r="6282" spans="6:30" x14ac:dyDescent="0.25">
      <c r="F6282" s="85" t="str">
        <f t="shared" si="46"/>
        <v/>
      </c>
      <c r="AB6282" s="86"/>
      <c r="AD6282" s="100"/>
    </row>
    <row r="6283" spans="6:30" x14ac:dyDescent="0.25">
      <c r="F6283" s="85" t="str">
        <f t="shared" si="46"/>
        <v/>
      </c>
      <c r="AB6283" s="86"/>
      <c r="AD6283" s="100"/>
    </row>
    <row r="6284" spans="6:30" x14ac:dyDescent="0.25">
      <c r="F6284" s="85" t="str">
        <f t="shared" si="46"/>
        <v/>
      </c>
      <c r="AB6284" s="86"/>
      <c r="AD6284" s="100"/>
    </row>
    <row r="6285" spans="6:30" x14ac:dyDescent="0.25">
      <c r="F6285" s="85" t="str">
        <f t="shared" si="46"/>
        <v/>
      </c>
      <c r="AB6285" s="86"/>
      <c r="AD6285" s="100"/>
    </row>
    <row r="6286" spans="6:30" x14ac:dyDescent="0.25">
      <c r="F6286" s="85" t="str">
        <f t="shared" si="46"/>
        <v/>
      </c>
      <c r="AB6286" s="86"/>
      <c r="AD6286" s="100"/>
    </row>
    <row r="6287" spans="6:30" x14ac:dyDescent="0.25">
      <c r="F6287" s="85" t="str">
        <f t="shared" si="46"/>
        <v/>
      </c>
      <c r="AB6287" s="86"/>
      <c r="AD6287" s="100"/>
    </row>
    <row r="6288" spans="6:30" x14ac:dyDescent="0.25">
      <c r="F6288" s="85" t="str">
        <f t="shared" si="46"/>
        <v/>
      </c>
      <c r="AB6288" s="86"/>
      <c r="AD6288" s="100"/>
    </row>
    <row r="6289" spans="6:30" x14ac:dyDescent="0.25">
      <c r="F6289" s="85" t="str">
        <f t="shared" si="46"/>
        <v/>
      </c>
      <c r="AB6289" s="86"/>
      <c r="AD6289" s="100"/>
    </row>
    <row r="6290" spans="6:30" x14ac:dyDescent="0.25">
      <c r="F6290" s="85" t="str">
        <f t="shared" si="46"/>
        <v/>
      </c>
      <c r="AB6290" s="86"/>
      <c r="AD6290" s="100"/>
    </row>
    <row r="6291" spans="6:30" x14ac:dyDescent="0.25">
      <c r="F6291" s="85" t="str">
        <f t="shared" si="46"/>
        <v/>
      </c>
      <c r="AB6291" s="86"/>
      <c r="AD6291" s="100"/>
    </row>
    <row r="6292" spans="6:30" x14ac:dyDescent="0.25">
      <c r="F6292" s="85" t="str">
        <f t="shared" si="46"/>
        <v/>
      </c>
      <c r="AB6292" s="86"/>
      <c r="AD6292" s="100"/>
    </row>
    <row r="6293" spans="6:30" x14ac:dyDescent="0.25">
      <c r="F6293" s="85" t="str">
        <f t="shared" si="46"/>
        <v/>
      </c>
      <c r="AB6293" s="86"/>
      <c r="AD6293" s="100"/>
    </row>
    <row r="6294" spans="6:30" x14ac:dyDescent="0.25">
      <c r="F6294" s="85" t="str">
        <f t="shared" si="46"/>
        <v/>
      </c>
      <c r="AB6294" s="86"/>
      <c r="AD6294" s="100"/>
    </row>
    <row r="6295" spans="6:30" x14ac:dyDescent="0.25">
      <c r="F6295" s="85" t="str">
        <f t="shared" si="46"/>
        <v/>
      </c>
      <c r="AB6295" s="86"/>
      <c r="AD6295" s="100"/>
    </row>
    <row r="6296" spans="6:30" x14ac:dyDescent="0.25">
      <c r="F6296" s="85" t="str">
        <f t="shared" si="46"/>
        <v/>
      </c>
      <c r="AB6296" s="86"/>
      <c r="AD6296" s="100"/>
    </row>
    <row r="6297" spans="6:30" x14ac:dyDescent="0.25">
      <c r="F6297" s="85" t="str">
        <f t="shared" si="46"/>
        <v/>
      </c>
      <c r="AB6297" s="86"/>
      <c r="AD6297" s="100"/>
    </row>
    <row r="6298" spans="6:30" x14ac:dyDescent="0.25">
      <c r="F6298" s="85" t="str">
        <f t="shared" si="46"/>
        <v/>
      </c>
      <c r="AB6298" s="86"/>
      <c r="AD6298" s="100"/>
    </row>
    <row r="6299" spans="6:30" x14ac:dyDescent="0.25">
      <c r="F6299" s="85" t="str">
        <f t="shared" si="46"/>
        <v/>
      </c>
      <c r="AB6299" s="86"/>
      <c r="AD6299" s="100"/>
    </row>
    <row r="6300" spans="6:30" x14ac:dyDescent="0.25">
      <c r="F6300" s="85" t="str">
        <f t="shared" si="46"/>
        <v/>
      </c>
      <c r="AB6300" s="86"/>
      <c r="AD6300" s="100"/>
    </row>
    <row r="6301" spans="6:30" x14ac:dyDescent="0.25">
      <c r="F6301" s="85" t="str">
        <f t="shared" si="46"/>
        <v/>
      </c>
      <c r="AB6301" s="86"/>
      <c r="AD6301" s="100"/>
    </row>
    <row r="6302" spans="6:30" x14ac:dyDescent="0.25">
      <c r="F6302" s="85" t="str">
        <f t="shared" si="46"/>
        <v/>
      </c>
      <c r="AB6302" s="86"/>
      <c r="AD6302" s="100"/>
    </row>
    <row r="6303" spans="6:30" x14ac:dyDescent="0.25">
      <c r="F6303" s="85" t="str">
        <f t="shared" si="46"/>
        <v/>
      </c>
      <c r="AB6303" s="86"/>
      <c r="AD6303" s="100"/>
    </row>
    <row r="6304" spans="6:30" x14ac:dyDescent="0.25">
      <c r="F6304" s="85" t="str">
        <f t="shared" si="46"/>
        <v/>
      </c>
      <c r="AB6304" s="86"/>
      <c r="AD6304" s="100"/>
    </row>
    <row r="6305" spans="6:30" x14ac:dyDescent="0.25">
      <c r="F6305" s="85" t="str">
        <f t="shared" si="46"/>
        <v/>
      </c>
      <c r="AB6305" s="86"/>
      <c r="AD6305" s="100"/>
    </row>
    <row r="6306" spans="6:30" x14ac:dyDescent="0.25">
      <c r="F6306" s="85" t="str">
        <f t="shared" si="46"/>
        <v/>
      </c>
      <c r="AB6306" s="86"/>
      <c r="AD6306" s="100"/>
    </row>
    <row r="6307" spans="6:30" x14ac:dyDescent="0.25">
      <c r="F6307" s="85" t="str">
        <f t="shared" si="46"/>
        <v/>
      </c>
      <c r="AB6307" s="86"/>
      <c r="AD6307" s="100"/>
    </row>
    <row r="6308" spans="6:30" x14ac:dyDescent="0.25">
      <c r="F6308" s="85" t="str">
        <f t="shared" si="46"/>
        <v/>
      </c>
      <c r="AB6308" s="86"/>
      <c r="AD6308" s="100"/>
    </row>
    <row r="6309" spans="6:30" x14ac:dyDescent="0.25">
      <c r="F6309" s="85" t="str">
        <f t="shared" si="46"/>
        <v/>
      </c>
      <c r="AB6309" s="86"/>
      <c r="AD6309" s="100"/>
    </row>
    <row r="6310" spans="6:30" x14ac:dyDescent="0.25">
      <c r="F6310" s="85" t="str">
        <f t="shared" si="46"/>
        <v/>
      </c>
      <c r="AB6310" s="86"/>
      <c r="AD6310" s="100"/>
    </row>
    <row r="6311" spans="6:30" x14ac:dyDescent="0.25">
      <c r="F6311" s="85" t="str">
        <f t="shared" si="46"/>
        <v/>
      </c>
      <c r="AB6311" s="86"/>
      <c r="AD6311" s="100"/>
    </row>
    <row r="6312" spans="6:30" x14ac:dyDescent="0.25">
      <c r="F6312" s="85" t="str">
        <f t="shared" si="46"/>
        <v/>
      </c>
      <c r="AB6312" s="86"/>
      <c r="AD6312" s="100"/>
    </row>
    <row r="6313" spans="6:30" x14ac:dyDescent="0.25">
      <c r="F6313" s="85" t="str">
        <f t="shared" si="46"/>
        <v/>
      </c>
      <c r="AB6313" s="86"/>
      <c r="AD6313" s="100"/>
    </row>
    <row r="6314" spans="6:30" x14ac:dyDescent="0.25">
      <c r="F6314" s="85" t="str">
        <f t="shared" si="46"/>
        <v/>
      </c>
      <c r="AB6314" s="86"/>
      <c r="AD6314" s="100"/>
    </row>
    <row r="6315" spans="6:30" x14ac:dyDescent="0.25">
      <c r="F6315" s="85" t="str">
        <f t="shared" si="46"/>
        <v/>
      </c>
      <c r="AB6315" s="86"/>
      <c r="AD6315" s="100"/>
    </row>
    <row r="6316" spans="6:30" x14ac:dyDescent="0.25">
      <c r="F6316" s="85" t="str">
        <f t="shared" si="46"/>
        <v/>
      </c>
      <c r="AB6316" s="86"/>
      <c r="AD6316" s="100"/>
    </row>
    <row r="6317" spans="6:30" x14ac:dyDescent="0.25">
      <c r="F6317" s="85" t="str">
        <f t="shared" si="46"/>
        <v/>
      </c>
      <c r="AB6317" s="86"/>
      <c r="AD6317" s="100"/>
    </row>
    <row r="6318" spans="6:30" x14ac:dyDescent="0.25">
      <c r="F6318" s="85" t="str">
        <f t="shared" si="46"/>
        <v/>
      </c>
      <c r="AB6318" s="86"/>
      <c r="AD6318" s="100"/>
    </row>
    <row r="6319" spans="6:30" x14ac:dyDescent="0.25">
      <c r="F6319" s="85" t="str">
        <f t="shared" si="46"/>
        <v/>
      </c>
      <c r="AB6319" s="86"/>
      <c r="AD6319" s="100"/>
    </row>
    <row r="6320" spans="6:30" x14ac:dyDescent="0.25">
      <c r="F6320" s="85" t="str">
        <f t="shared" si="46"/>
        <v/>
      </c>
      <c r="AB6320" s="86"/>
      <c r="AD6320" s="100"/>
    </row>
    <row r="6321" spans="6:30" x14ac:dyDescent="0.25">
      <c r="F6321" s="85" t="str">
        <f t="shared" si="46"/>
        <v/>
      </c>
      <c r="AB6321" s="86"/>
      <c r="AD6321" s="100"/>
    </row>
    <row r="6322" spans="6:30" x14ac:dyDescent="0.25">
      <c r="F6322" s="85" t="str">
        <f t="shared" si="46"/>
        <v/>
      </c>
      <c r="AB6322" s="86"/>
      <c r="AD6322" s="100"/>
    </row>
    <row r="6323" spans="6:30" x14ac:dyDescent="0.25">
      <c r="F6323" s="85" t="str">
        <f t="shared" si="46"/>
        <v/>
      </c>
      <c r="AB6323" s="86"/>
      <c r="AD6323" s="100"/>
    </row>
    <row r="6324" spans="6:30" x14ac:dyDescent="0.25">
      <c r="F6324" s="85" t="str">
        <f t="shared" si="46"/>
        <v/>
      </c>
      <c r="AB6324" s="86"/>
      <c r="AD6324" s="100"/>
    </row>
    <row r="6325" spans="6:30" x14ac:dyDescent="0.25">
      <c r="F6325" s="85" t="str">
        <f t="shared" si="46"/>
        <v/>
      </c>
      <c r="AB6325" s="86"/>
      <c r="AD6325" s="100"/>
    </row>
    <row r="6326" spans="6:30" x14ac:dyDescent="0.25">
      <c r="F6326" s="85" t="str">
        <f t="shared" si="46"/>
        <v/>
      </c>
      <c r="AB6326" s="86"/>
      <c r="AD6326" s="100"/>
    </row>
    <row r="6327" spans="6:30" x14ac:dyDescent="0.25">
      <c r="F6327" s="85" t="str">
        <f t="shared" si="46"/>
        <v/>
      </c>
      <c r="AB6327" s="86"/>
      <c r="AD6327" s="100"/>
    </row>
    <row r="6328" spans="6:30" x14ac:dyDescent="0.25">
      <c r="F6328" s="85" t="str">
        <f t="shared" si="46"/>
        <v/>
      </c>
      <c r="AB6328" s="86"/>
      <c r="AD6328" s="100"/>
    </row>
    <row r="6329" spans="6:30" x14ac:dyDescent="0.25">
      <c r="F6329" s="85" t="str">
        <f t="shared" si="46"/>
        <v/>
      </c>
      <c r="AB6329" s="86"/>
      <c r="AD6329" s="100"/>
    </row>
    <row r="6330" spans="6:30" x14ac:dyDescent="0.25">
      <c r="F6330" s="85" t="str">
        <f t="shared" si="46"/>
        <v/>
      </c>
      <c r="AB6330" s="86"/>
      <c r="AD6330" s="100"/>
    </row>
    <row r="6331" spans="6:30" x14ac:dyDescent="0.25">
      <c r="F6331" s="85" t="str">
        <f t="shared" si="46"/>
        <v/>
      </c>
      <c r="AB6331" s="86"/>
      <c r="AD6331" s="100"/>
    </row>
    <row r="6332" spans="6:30" x14ac:dyDescent="0.25">
      <c r="F6332" s="85" t="str">
        <f t="shared" si="46"/>
        <v/>
      </c>
      <c r="AB6332" s="86"/>
      <c r="AD6332" s="100"/>
    </row>
    <row r="6333" spans="6:30" x14ac:dyDescent="0.25">
      <c r="F6333" s="85" t="str">
        <f t="shared" si="46"/>
        <v/>
      </c>
      <c r="AB6333" s="86"/>
      <c r="AD6333" s="100"/>
    </row>
    <row r="6334" spans="6:30" x14ac:dyDescent="0.25">
      <c r="F6334" s="85" t="str">
        <f t="shared" si="46"/>
        <v/>
      </c>
      <c r="AB6334" s="86"/>
      <c r="AD6334" s="100"/>
    </row>
    <row r="6335" spans="6:30" x14ac:dyDescent="0.25">
      <c r="F6335" s="85" t="str">
        <f t="shared" si="46"/>
        <v/>
      </c>
      <c r="AB6335" s="86"/>
      <c r="AD6335" s="100"/>
    </row>
    <row r="6336" spans="6:30" x14ac:dyDescent="0.25">
      <c r="F6336" s="85" t="str">
        <f t="shared" si="46"/>
        <v/>
      </c>
      <c r="AB6336" s="86"/>
      <c r="AD6336" s="100"/>
    </row>
    <row r="6337" spans="6:30" x14ac:dyDescent="0.25">
      <c r="F6337" s="85" t="str">
        <f t="shared" si="46"/>
        <v/>
      </c>
      <c r="AB6337" s="86"/>
      <c r="AD6337" s="100"/>
    </row>
    <row r="6338" spans="6:30" x14ac:dyDescent="0.25">
      <c r="F6338" s="85" t="str">
        <f t="shared" si="46"/>
        <v/>
      </c>
      <c r="AB6338" s="86"/>
      <c r="AD6338" s="100"/>
    </row>
    <row r="6339" spans="6:30" x14ac:dyDescent="0.25">
      <c r="F6339" s="85" t="str">
        <f t="shared" ref="F6339:F6402" si="47">IF($A6339="","",CONCATENATE($A6339,"_",$B6339,"_",$C6339))</f>
        <v/>
      </c>
      <c r="AB6339" s="86"/>
      <c r="AD6339" s="100"/>
    </row>
    <row r="6340" spans="6:30" x14ac:dyDescent="0.25">
      <c r="F6340" s="85" t="str">
        <f t="shared" si="47"/>
        <v/>
      </c>
      <c r="AB6340" s="86"/>
      <c r="AD6340" s="100"/>
    </row>
    <row r="6341" spans="6:30" x14ac:dyDescent="0.25">
      <c r="F6341" s="85" t="str">
        <f t="shared" si="47"/>
        <v/>
      </c>
      <c r="AB6341" s="86"/>
      <c r="AD6341" s="100"/>
    </row>
    <row r="6342" spans="6:30" x14ac:dyDescent="0.25">
      <c r="F6342" s="85" t="str">
        <f t="shared" si="47"/>
        <v/>
      </c>
      <c r="AB6342" s="86"/>
      <c r="AD6342" s="100"/>
    </row>
    <row r="6343" spans="6:30" x14ac:dyDescent="0.25">
      <c r="F6343" s="85" t="str">
        <f t="shared" si="47"/>
        <v/>
      </c>
      <c r="AB6343" s="86"/>
      <c r="AD6343" s="100"/>
    </row>
    <row r="6344" spans="6:30" x14ac:dyDescent="0.25">
      <c r="F6344" s="85" t="str">
        <f t="shared" si="47"/>
        <v/>
      </c>
      <c r="AB6344" s="86"/>
      <c r="AD6344" s="100"/>
    </row>
    <row r="6345" spans="6:30" x14ac:dyDescent="0.25">
      <c r="F6345" s="85" t="str">
        <f t="shared" si="47"/>
        <v/>
      </c>
      <c r="AB6345" s="86"/>
      <c r="AD6345" s="100"/>
    </row>
    <row r="6346" spans="6:30" x14ac:dyDescent="0.25">
      <c r="F6346" s="85" t="str">
        <f t="shared" si="47"/>
        <v/>
      </c>
      <c r="AB6346" s="86"/>
      <c r="AD6346" s="100"/>
    </row>
    <row r="6347" spans="6:30" x14ac:dyDescent="0.25">
      <c r="F6347" s="85" t="str">
        <f t="shared" si="47"/>
        <v/>
      </c>
      <c r="AB6347" s="86"/>
      <c r="AD6347" s="100"/>
    </row>
    <row r="6348" spans="6:30" x14ac:dyDescent="0.25">
      <c r="F6348" s="85" t="str">
        <f t="shared" si="47"/>
        <v/>
      </c>
      <c r="AB6348" s="86"/>
      <c r="AD6348" s="100"/>
    </row>
    <row r="6349" spans="6:30" x14ac:dyDescent="0.25">
      <c r="F6349" s="85" t="str">
        <f t="shared" si="47"/>
        <v/>
      </c>
      <c r="AB6349" s="86"/>
      <c r="AD6349" s="100"/>
    </row>
    <row r="6350" spans="6:30" x14ac:dyDescent="0.25">
      <c r="F6350" s="85" t="str">
        <f t="shared" si="47"/>
        <v/>
      </c>
      <c r="AB6350" s="86"/>
      <c r="AD6350" s="100"/>
    </row>
    <row r="6351" spans="6:30" x14ac:dyDescent="0.25">
      <c r="F6351" s="85" t="str">
        <f t="shared" si="47"/>
        <v/>
      </c>
      <c r="AB6351" s="86"/>
      <c r="AD6351" s="100"/>
    </row>
    <row r="6352" spans="6:30" x14ac:dyDescent="0.25">
      <c r="F6352" s="85" t="str">
        <f t="shared" si="47"/>
        <v/>
      </c>
      <c r="AB6352" s="86"/>
      <c r="AD6352" s="100"/>
    </row>
    <row r="6353" spans="6:30" x14ac:dyDescent="0.25">
      <c r="F6353" s="85" t="str">
        <f t="shared" si="47"/>
        <v/>
      </c>
      <c r="AB6353" s="86"/>
      <c r="AD6353" s="100"/>
    </row>
    <row r="6354" spans="6:30" x14ac:dyDescent="0.25">
      <c r="F6354" s="85" t="str">
        <f t="shared" si="47"/>
        <v/>
      </c>
      <c r="AB6354" s="86"/>
      <c r="AD6354" s="100"/>
    </row>
    <row r="6355" spans="6:30" x14ac:dyDescent="0.25">
      <c r="F6355" s="85" t="str">
        <f t="shared" si="47"/>
        <v/>
      </c>
      <c r="AB6355" s="86"/>
      <c r="AD6355" s="100"/>
    </row>
    <row r="6356" spans="6:30" x14ac:dyDescent="0.25">
      <c r="F6356" s="85" t="str">
        <f t="shared" si="47"/>
        <v/>
      </c>
      <c r="AB6356" s="86"/>
      <c r="AD6356" s="100"/>
    </row>
    <row r="6357" spans="6:30" x14ac:dyDescent="0.25">
      <c r="F6357" s="85" t="str">
        <f t="shared" si="47"/>
        <v/>
      </c>
      <c r="AB6357" s="86"/>
      <c r="AD6357" s="100"/>
    </row>
    <row r="6358" spans="6:30" x14ac:dyDescent="0.25">
      <c r="F6358" s="85" t="str">
        <f t="shared" si="47"/>
        <v/>
      </c>
      <c r="AB6358" s="86"/>
      <c r="AD6358" s="100"/>
    </row>
    <row r="6359" spans="6:30" x14ac:dyDescent="0.25">
      <c r="F6359" s="85" t="str">
        <f t="shared" si="47"/>
        <v/>
      </c>
      <c r="AB6359" s="86"/>
      <c r="AD6359" s="100"/>
    </row>
    <row r="6360" spans="6:30" x14ac:dyDescent="0.25">
      <c r="F6360" s="85" t="str">
        <f t="shared" si="47"/>
        <v/>
      </c>
      <c r="AB6360" s="86"/>
      <c r="AD6360" s="100"/>
    </row>
    <row r="6361" spans="6:30" x14ac:dyDescent="0.25">
      <c r="F6361" s="85" t="str">
        <f t="shared" si="47"/>
        <v/>
      </c>
      <c r="AB6361" s="86"/>
      <c r="AD6361" s="100"/>
    </row>
    <row r="6362" spans="6:30" x14ac:dyDescent="0.25">
      <c r="F6362" s="85" t="str">
        <f t="shared" si="47"/>
        <v/>
      </c>
      <c r="AB6362" s="86"/>
      <c r="AD6362" s="100"/>
    </row>
    <row r="6363" spans="6:30" x14ac:dyDescent="0.25">
      <c r="F6363" s="85" t="str">
        <f t="shared" si="47"/>
        <v/>
      </c>
      <c r="AB6363" s="86"/>
      <c r="AD6363" s="100"/>
    </row>
    <row r="6364" spans="6:30" x14ac:dyDescent="0.25">
      <c r="F6364" s="85" t="str">
        <f t="shared" si="47"/>
        <v/>
      </c>
      <c r="AB6364" s="86"/>
      <c r="AD6364" s="100"/>
    </row>
    <row r="6365" spans="6:30" x14ac:dyDescent="0.25">
      <c r="F6365" s="85" t="str">
        <f t="shared" si="47"/>
        <v/>
      </c>
      <c r="AB6365" s="86"/>
      <c r="AD6365" s="100"/>
    </row>
    <row r="6366" spans="6:30" x14ac:dyDescent="0.25">
      <c r="F6366" s="85" t="str">
        <f t="shared" si="47"/>
        <v/>
      </c>
      <c r="AB6366" s="86"/>
      <c r="AD6366" s="100"/>
    </row>
    <row r="6367" spans="6:30" x14ac:dyDescent="0.25">
      <c r="F6367" s="85" t="str">
        <f t="shared" si="47"/>
        <v/>
      </c>
      <c r="AB6367" s="86"/>
      <c r="AD6367" s="100"/>
    </row>
    <row r="6368" spans="6:30" x14ac:dyDescent="0.25">
      <c r="F6368" s="85" t="str">
        <f t="shared" si="47"/>
        <v/>
      </c>
      <c r="AB6368" s="86"/>
      <c r="AD6368" s="100"/>
    </row>
    <row r="6369" spans="6:30" x14ac:dyDescent="0.25">
      <c r="F6369" s="85" t="str">
        <f t="shared" si="47"/>
        <v/>
      </c>
      <c r="AB6369" s="86"/>
      <c r="AD6369" s="100"/>
    </row>
    <row r="6370" spans="6:30" x14ac:dyDescent="0.25">
      <c r="F6370" s="85" t="str">
        <f t="shared" si="47"/>
        <v/>
      </c>
      <c r="AB6370" s="86"/>
      <c r="AD6370" s="100"/>
    </row>
    <row r="6371" spans="6:30" x14ac:dyDescent="0.25">
      <c r="F6371" s="85" t="str">
        <f t="shared" si="47"/>
        <v/>
      </c>
      <c r="AB6371" s="86"/>
      <c r="AD6371" s="100"/>
    </row>
    <row r="6372" spans="6:30" x14ac:dyDescent="0.25">
      <c r="F6372" s="85" t="str">
        <f t="shared" si="47"/>
        <v/>
      </c>
      <c r="AB6372" s="86"/>
      <c r="AD6372" s="100"/>
    </row>
    <row r="6373" spans="6:30" x14ac:dyDescent="0.25">
      <c r="F6373" s="85" t="str">
        <f t="shared" si="47"/>
        <v/>
      </c>
      <c r="AB6373" s="86"/>
      <c r="AD6373" s="100"/>
    </row>
    <row r="6374" spans="6:30" x14ac:dyDescent="0.25">
      <c r="F6374" s="85" t="str">
        <f t="shared" si="47"/>
        <v/>
      </c>
      <c r="AB6374" s="86"/>
      <c r="AD6374" s="100"/>
    </row>
    <row r="6375" spans="6:30" x14ac:dyDescent="0.25">
      <c r="F6375" s="85" t="str">
        <f t="shared" si="47"/>
        <v/>
      </c>
      <c r="AB6375" s="86"/>
      <c r="AD6375" s="100"/>
    </row>
    <row r="6376" spans="6:30" x14ac:dyDescent="0.25">
      <c r="F6376" s="85" t="str">
        <f t="shared" si="47"/>
        <v/>
      </c>
      <c r="AB6376" s="86"/>
      <c r="AD6376" s="100"/>
    </row>
    <row r="6377" spans="6:30" x14ac:dyDescent="0.25">
      <c r="F6377" s="85" t="str">
        <f t="shared" si="47"/>
        <v/>
      </c>
      <c r="AB6377" s="86"/>
      <c r="AD6377" s="100"/>
    </row>
    <row r="6378" spans="6:30" x14ac:dyDescent="0.25">
      <c r="F6378" s="85" t="str">
        <f t="shared" si="47"/>
        <v/>
      </c>
      <c r="AB6378" s="86"/>
      <c r="AD6378" s="100"/>
    </row>
    <row r="6379" spans="6:30" x14ac:dyDescent="0.25">
      <c r="F6379" s="85" t="str">
        <f t="shared" si="47"/>
        <v/>
      </c>
      <c r="AB6379" s="86"/>
      <c r="AD6379" s="100"/>
    </row>
    <row r="6380" spans="6:30" x14ac:dyDescent="0.25">
      <c r="F6380" s="85" t="str">
        <f t="shared" si="47"/>
        <v/>
      </c>
      <c r="AB6380" s="86"/>
      <c r="AD6380" s="100"/>
    </row>
    <row r="6381" spans="6:30" x14ac:dyDescent="0.25">
      <c r="F6381" s="85" t="str">
        <f t="shared" si="47"/>
        <v/>
      </c>
      <c r="AB6381" s="86"/>
      <c r="AD6381" s="100"/>
    </row>
    <row r="6382" spans="6:30" x14ac:dyDescent="0.25">
      <c r="F6382" s="85" t="str">
        <f t="shared" si="47"/>
        <v/>
      </c>
      <c r="AB6382" s="86"/>
      <c r="AD6382" s="100"/>
    </row>
    <row r="6383" spans="6:30" x14ac:dyDescent="0.25">
      <c r="F6383" s="85" t="str">
        <f t="shared" si="47"/>
        <v/>
      </c>
      <c r="AB6383" s="86"/>
      <c r="AD6383" s="100"/>
    </row>
    <row r="6384" spans="6:30" x14ac:dyDescent="0.25">
      <c r="F6384" s="85" t="str">
        <f t="shared" si="47"/>
        <v/>
      </c>
      <c r="AB6384" s="86"/>
      <c r="AD6384" s="100"/>
    </row>
    <row r="6385" spans="6:30" x14ac:dyDescent="0.25">
      <c r="F6385" s="85" t="str">
        <f t="shared" si="47"/>
        <v/>
      </c>
      <c r="AB6385" s="86"/>
      <c r="AD6385" s="100"/>
    </row>
    <row r="6386" spans="6:30" x14ac:dyDescent="0.25">
      <c r="F6386" s="85" t="str">
        <f t="shared" si="47"/>
        <v/>
      </c>
      <c r="AB6386" s="86"/>
      <c r="AD6386" s="100"/>
    </row>
    <row r="6387" spans="6:30" x14ac:dyDescent="0.25">
      <c r="F6387" s="85" t="str">
        <f t="shared" si="47"/>
        <v/>
      </c>
      <c r="AB6387" s="86"/>
      <c r="AD6387" s="100"/>
    </row>
    <row r="6388" spans="6:30" x14ac:dyDescent="0.25">
      <c r="F6388" s="85" t="str">
        <f t="shared" si="47"/>
        <v/>
      </c>
      <c r="AB6388" s="86"/>
      <c r="AD6388" s="100"/>
    </row>
    <row r="6389" spans="6:30" x14ac:dyDescent="0.25">
      <c r="F6389" s="85" t="str">
        <f t="shared" si="47"/>
        <v/>
      </c>
      <c r="AB6389" s="86"/>
      <c r="AD6389" s="100"/>
    </row>
    <row r="6390" spans="6:30" x14ac:dyDescent="0.25">
      <c r="F6390" s="85" t="str">
        <f t="shared" si="47"/>
        <v/>
      </c>
      <c r="AB6390" s="86"/>
      <c r="AD6390" s="100"/>
    </row>
    <row r="6391" spans="6:30" x14ac:dyDescent="0.25">
      <c r="F6391" s="85" t="str">
        <f t="shared" si="47"/>
        <v/>
      </c>
      <c r="AB6391" s="86"/>
      <c r="AD6391" s="100"/>
    </row>
    <row r="6392" spans="6:30" x14ac:dyDescent="0.25">
      <c r="F6392" s="85" t="str">
        <f t="shared" si="47"/>
        <v/>
      </c>
      <c r="AB6392" s="86"/>
      <c r="AD6392" s="100"/>
    </row>
    <row r="6393" spans="6:30" x14ac:dyDescent="0.25">
      <c r="F6393" s="85" t="str">
        <f t="shared" si="47"/>
        <v/>
      </c>
      <c r="AB6393" s="86"/>
      <c r="AD6393" s="100"/>
    </row>
    <row r="6394" spans="6:30" x14ac:dyDescent="0.25">
      <c r="F6394" s="85" t="str">
        <f t="shared" si="47"/>
        <v/>
      </c>
      <c r="AB6394" s="86"/>
      <c r="AD6394" s="100"/>
    </row>
    <row r="6395" spans="6:30" x14ac:dyDescent="0.25">
      <c r="F6395" s="85" t="str">
        <f t="shared" si="47"/>
        <v/>
      </c>
      <c r="AB6395" s="86"/>
      <c r="AD6395" s="100"/>
    </row>
    <row r="6396" spans="6:30" x14ac:dyDescent="0.25">
      <c r="F6396" s="85" t="str">
        <f t="shared" si="47"/>
        <v/>
      </c>
      <c r="AB6396" s="86"/>
      <c r="AD6396" s="100"/>
    </row>
    <row r="6397" spans="6:30" x14ac:dyDescent="0.25">
      <c r="F6397" s="85" t="str">
        <f t="shared" si="47"/>
        <v/>
      </c>
      <c r="AB6397" s="86"/>
      <c r="AD6397" s="100"/>
    </row>
    <row r="6398" spans="6:30" x14ac:dyDescent="0.25">
      <c r="F6398" s="85" t="str">
        <f t="shared" si="47"/>
        <v/>
      </c>
      <c r="AB6398" s="86"/>
      <c r="AD6398" s="100"/>
    </row>
    <row r="6399" spans="6:30" x14ac:dyDescent="0.25">
      <c r="F6399" s="85" t="str">
        <f t="shared" si="47"/>
        <v/>
      </c>
      <c r="AB6399" s="86"/>
      <c r="AD6399" s="100"/>
    </row>
    <row r="6400" spans="6:30" x14ac:dyDescent="0.25">
      <c r="F6400" s="85" t="str">
        <f t="shared" si="47"/>
        <v/>
      </c>
      <c r="AB6400" s="86"/>
      <c r="AD6400" s="100"/>
    </row>
    <row r="6401" spans="6:30" x14ac:dyDescent="0.25">
      <c r="F6401" s="85" t="str">
        <f t="shared" si="47"/>
        <v/>
      </c>
      <c r="AB6401" s="86"/>
      <c r="AD6401" s="100"/>
    </row>
    <row r="6402" spans="6:30" x14ac:dyDescent="0.25">
      <c r="F6402" s="85" t="str">
        <f t="shared" si="47"/>
        <v/>
      </c>
      <c r="AB6402" s="86"/>
      <c r="AD6402" s="100"/>
    </row>
    <row r="6403" spans="6:30" x14ac:dyDescent="0.25">
      <c r="F6403" s="85" t="str">
        <f t="shared" ref="F6403:F6466" si="48">IF($A6403="","",CONCATENATE($A6403,"_",$B6403,"_",$C6403))</f>
        <v/>
      </c>
      <c r="AB6403" s="86"/>
      <c r="AD6403" s="100"/>
    </row>
    <row r="6404" spans="6:30" x14ac:dyDescent="0.25">
      <c r="F6404" s="85" t="str">
        <f t="shared" si="48"/>
        <v/>
      </c>
      <c r="AB6404" s="86"/>
      <c r="AD6404" s="100"/>
    </row>
    <row r="6405" spans="6:30" x14ac:dyDescent="0.25">
      <c r="F6405" s="85" t="str">
        <f t="shared" si="48"/>
        <v/>
      </c>
      <c r="AB6405" s="86"/>
      <c r="AD6405" s="100"/>
    </row>
    <row r="6406" spans="6:30" x14ac:dyDescent="0.25">
      <c r="F6406" s="85" t="str">
        <f t="shared" si="48"/>
        <v/>
      </c>
      <c r="AB6406" s="86"/>
      <c r="AD6406" s="100"/>
    </row>
    <row r="6407" spans="6:30" x14ac:dyDescent="0.25">
      <c r="F6407" s="85" t="str">
        <f t="shared" si="48"/>
        <v/>
      </c>
      <c r="AB6407" s="86"/>
      <c r="AD6407" s="100"/>
    </row>
    <row r="6408" spans="6:30" x14ac:dyDescent="0.25">
      <c r="F6408" s="85" t="str">
        <f t="shared" si="48"/>
        <v/>
      </c>
      <c r="AB6408" s="86"/>
      <c r="AD6408" s="100"/>
    </row>
    <row r="6409" spans="6:30" x14ac:dyDescent="0.25">
      <c r="F6409" s="85" t="str">
        <f t="shared" si="48"/>
        <v/>
      </c>
      <c r="AB6409" s="86"/>
      <c r="AD6409" s="100"/>
    </row>
    <row r="6410" spans="6:30" x14ac:dyDescent="0.25">
      <c r="F6410" s="85" t="str">
        <f t="shared" si="48"/>
        <v/>
      </c>
      <c r="AB6410" s="86"/>
      <c r="AD6410" s="100"/>
    </row>
    <row r="6411" spans="6:30" x14ac:dyDescent="0.25">
      <c r="F6411" s="85" t="str">
        <f t="shared" si="48"/>
        <v/>
      </c>
      <c r="AB6411" s="86"/>
      <c r="AD6411" s="100"/>
    </row>
    <row r="6412" spans="6:30" x14ac:dyDescent="0.25">
      <c r="F6412" s="85" t="str">
        <f t="shared" si="48"/>
        <v/>
      </c>
      <c r="AB6412" s="86"/>
      <c r="AD6412" s="100"/>
    </row>
    <row r="6413" spans="6:30" x14ac:dyDescent="0.25">
      <c r="F6413" s="85" t="str">
        <f t="shared" si="48"/>
        <v/>
      </c>
      <c r="AB6413" s="86"/>
      <c r="AD6413" s="100"/>
    </row>
    <row r="6414" spans="6:30" x14ac:dyDescent="0.25">
      <c r="F6414" s="85" t="str">
        <f t="shared" si="48"/>
        <v/>
      </c>
      <c r="AB6414" s="86"/>
      <c r="AD6414" s="100"/>
    </row>
    <row r="6415" spans="6:30" x14ac:dyDescent="0.25">
      <c r="F6415" s="85" t="str">
        <f t="shared" si="48"/>
        <v/>
      </c>
      <c r="AB6415" s="86"/>
      <c r="AD6415" s="100"/>
    </row>
    <row r="6416" spans="6:30" x14ac:dyDescent="0.25">
      <c r="F6416" s="85" t="str">
        <f t="shared" si="48"/>
        <v/>
      </c>
      <c r="AB6416" s="86"/>
      <c r="AD6416" s="100"/>
    </row>
    <row r="6417" spans="6:30" x14ac:dyDescent="0.25">
      <c r="F6417" s="85" t="str">
        <f t="shared" si="48"/>
        <v/>
      </c>
      <c r="AB6417" s="86"/>
      <c r="AD6417" s="100"/>
    </row>
    <row r="6418" spans="6:30" x14ac:dyDescent="0.25">
      <c r="F6418" s="85" t="str">
        <f t="shared" si="48"/>
        <v/>
      </c>
      <c r="AB6418" s="86"/>
      <c r="AD6418" s="100"/>
    </row>
    <row r="6419" spans="6:30" x14ac:dyDescent="0.25">
      <c r="F6419" s="85" t="str">
        <f t="shared" si="48"/>
        <v/>
      </c>
      <c r="AB6419" s="86"/>
      <c r="AD6419" s="100"/>
    </row>
    <row r="6420" spans="6:30" x14ac:dyDescent="0.25">
      <c r="F6420" s="85" t="str">
        <f t="shared" si="48"/>
        <v/>
      </c>
      <c r="AB6420" s="86"/>
      <c r="AD6420" s="100"/>
    </row>
    <row r="6421" spans="6:30" x14ac:dyDescent="0.25">
      <c r="F6421" s="85" t="str">
        <f t="shared" si="48"/>
        <v/>
      </c>
      <c r="AB6421" s="86"/>
      <c r="AD6421" s="100"/>
    </row>
    <row r="6422" spans="6:30" x14ac:dyDescent="0.25">
      <c r="F6422" s="85" t="str">
        <f t="shared" si="48"/>
        <v/>
      </c>
      <c r="AB6422" s="86"/>
      <c r="AD6422" s="100"/>
    </row>
    <row r="6423" spans="6:30" x14ac:dyDescent="0.25">
      <c r="F6423" s="85" t="str">
        <f t="shared" si="48"/>
        <v/>
      </c>
      <c r="AB6423" s="86"/>
      <c r="AD6423" s="100"/>
    </row>
    <row r="6424" spans="6:30" x14ac:dyDescent="0.25">
      <c r="F6424" s="85" t="str">
        <f t="shared" si="48"/>
        <v/>
      </c>
      <c r="AB6424" s="86"/>
      <c r="AD6424" s="100"/>
    </row>
    <row r="6425" spans="6:30" x14ac:dyDescent="0.25">
      <c r="F6425" s="85" t="str">
        <f t="shared" si="48"/>
        <v/>
      </c>
      <c r="AB6425" s="86"/>
      <c r="AD6425" s="100"/>
    </row>
    <row r="6426" spans="6:30" x14ac:dyDescent="0.25">
      <c r="F6426" s="85" t="str">
        <f t="shared" si="48"/>
        <v/>
      </c>
      <c r="AB6426" s="86"/>
      <c r="AD6426" s="100"/>
    </row>
    <row r="6427" spans="6:30" x14ac:dyDescent="0.25">
      <c r="F6427" s="85" t="str">
        <f t="shared" si="48"/>
        <v/>
      </c>
      <c r="AB6427" s="86"/>
      <c r="AD6427" s="100"/>
    </row>
    <row r="6428" spans="6:30" x14ac:dyDescent="0.25">
      <c r="F6428" s="85" t="str">
        <f t="shared" si="48"/>
        <v/>
      </c>
      <c r="AB6428" s="86"/>
      <c r="AD6428" s="100"/>
    </row>
    <row r="6429" spans="6:30" x14ac:dyDescent="0.25">
      <c r="F6429" s="85" t="str">
        <f t="shared" si="48"/>
        <v/>
      </c>
      <c r="AB6429" s="86"/>
      <c r="AD6429" s="100"/>
    </row>
    <row r="6430" spans="6:30" x14ac:dyDescent="0.25">
      <c r="F6430" s="85" t="str">
        <f t="shared" si="48"/>
        <v/>
      </c>
      <c r="AB6430" s="86"/>
      <c r="AD6430" s="100"/>
    </row>
    <row r="6431" spans="6:30" x14ac:dyDescent="0.25">
      <c r="F6431" s="85" t="str">
        <f t="shared" si="48"/>
        <v/>
      </c>
      <c r="AB6431" s="86"/>
      <c r="AD6431" s="100"/>
    </row>
    <row r="6432" spans="6:30" x14ac:dyDescent="0.25">
      <c r="F6432" s="85" t="str">
        <f t="shared" si="48"/>
        <v/>
      </c>
      <c r="AB6432" s="86"/>
      <c r="AD6432" s="100"/>
    </row>
    <row r="6433" spans="6:30" x14ac:dyDescent="0.25">
      <c r="F6433" s="85" t="str">
        <f t="shared" si="48"/>
        <v/>
      </c>
      <c r="AB6433" s="86"/>
      <c r="AD6433" s="100"/>
    </row>
    <row r="6434" spans="6:30" x14ac:dyDescent="0.25">
      <c r="F6434" s="85" t="str">
        <f t="shared" si="48"/>
        <v/>
      </c>
      <c r="AB6434" s="86"/>
      <c r="AD6434" s="100"/>
    </row>
    <row r="6435" spans="6:30" x14ac:dyDescent="0.25">
      <c r="F6435" s="85" t="str">
        <f t="shared" si="48"/>
        <v/>
      </c>
      <c r="AB6435" s="86"/>
      <c r="AD6435" s="100"/>
    </row>
    <row r="6436" spans="6:30" x14ac:dyDescent="0.25">
      <c r="F6436" s="85" t="str">
        <f t="shared" si="48"/>
        <v/>
      </c>
      <c r="AB6436" s="86"/>
      <c r="AD6436" s="100"/>
    </row>
    <row r="6437" spans="6:30" x14ac:dyDescent="0.25">
      <c r="F6437" s="85" t="str">
        <f t="shared" si="48"/>
        <v/>
      </c>
      <c r="AB6437" s="86"/>
    </row>
    <row r="6438" spans="6:30" x14ac:dyDescent="0.25">
      <c r="F6438" s="85" t="str">
        <f t="shared" si="48"/>
        <v/>
      </c>
      <c r="AB6438" s="86"/>
      <c r="AD6438" s="100"/>
    </row>
    <row r="6439" spans="6:30" x14ac:dyDescent="0.25">
      <c r="F6439" s="85" t="str">
        <f t="shared" si="48"/>
        <v/>
      </c>
      <c r="AB6439" s="86"/>
      <c r="AD6439" s="100"/>
    </row>
    <row r="6440" spans="6:30" x14ac:dyDescent="0.25">
      <c r="F6440" s="85" t="str">
        <f t="shared" si="48"/>
        <v/>
      </c>
      <c r="AB6440" s="86"/>
      <c r="AD6440" s="100"/>
    </row>
    <row r="6441" spans="6:30" x14ac:dyDescent="0.25">
      <c r="F6441" s="85" t="str">
        <f t="shared" si="48"/>
        <v/>
      </c>
      <c r="AB6441" s="86"/>
      <c r="AD6441" s="100"/>
    </row>
    <row r="6442" spans="6:30" x14ac:dyDescent="0.25">
      <c r="F6442" s="85" t="str">
        <f t="shared" si="48"/>
        <v/>
      </c>
      <c r="AB6442" s="86"/>
      <c r="AD6442" s="100"/>
    </row>
    <row r="6443" spans="6:30" x14ac:dyDescent="0.25">
      <c r="F6443" s="85" t="str">
        <f t="shared" si="48"/>
        <v/>
      </c>
      <c r="AB6443" s="86"/>
      <c r="AD6443" s="100"/>
    </row>
    <row r="6444" spans="6:30" x14ac:dyDescent="0.25">
      <c r="F6444" s="85" t="str">
        <f t="shared" si="48"/>
        <v/>
      </c>
      <c r="AB6444" s="86"/>
      <c r="AD6444" s="100"/>
    </row>
    <row r="6445" spans="6:30" x14ac:dyDescent="0.25">
      <c r="F6445" s="85" t="str">
        <f t="shared" si="48"/>
        <v/>
      </c>
      <c r="AB6445" s="86"/>
      <c r="AD6445" s="100"/>
    </row>
    <row r="6446" spans="6:30" x14ac:dyDescent="0.25">
      <c r="F6446" s="85" t="str">
        <f t="shared" si="48"/>
        <v/>
      </c>
      <c r="AB6446" s="86"/>
      <c r="AD6446" s="100"/>
    </row>
    <row r="6447" spans="6:30" x14ac:dyDescent="0.25">
      <c r="F6447" s="85" t="str">
        <f t="shared" si="48"/>
        <v/>
      </c>
      <c r="AB6447" s="86"/>
      <c r="AD6447" s="100"/>
    </row>
    <row r="6448" spans="6:30" x14ac:dyDescent="0.25">
      <c r="F6448" s="85" t="str">
        <f t="shared" si="48"/>
        <v/>
      </c>
      <c r="AB6448" s="86"/>
      <c r="AD6448" s="100"/>
    </row>
    <row r="6449" spans="6:30" x14ac:dyDescent="0.25">
      <c r="F6449" s="85" t="str">
        <f t="shared" si="48"/>
        <v/>
      </c>
      <c r="AB6449" s="86"/>
      <c r="AD6449" s="100"/>
    </row>
    <row r="6450" spans="6:30" x14ac:dyDescent="0.25">
      <c r="F6450" s="85" t="str">
        <f t="shared" si="48"/>
        <v/>
      </c>
      <c r="AB6450" s="86"/>
      <c r="AD6450" s="100"/>
    </row>
    <row r="6451" spans="6:30" x14ac:dyDescent="0.25">
      <c r="F6451" s="85" t="str">
        <f t="shared" si="48"/>
        <v/>
      </c>
      <c r="AB6451" s="86"/>
      <c r="AD6451" s="100"/>
    </row>
    <row r="6452" spans="6:30" x14ac:dyDescent="0.25">
      <c r="F6452" s="85" t="str">
        <f t="shared" si="48"/>
        <v/>
      </c>
      <c r="AB6452" s="86"/>
      <c r="AD6452" s="100"/>
    </row>
    <row r="6453" spans="6:30" x14ac:dyDescent="0.25">
      <c r="F6453" s="85" t="str">
        <f t="shared" si="48"/>
        <v/>
      </c>
      <c r="AB6453" s="86"/>
      <c r="AD6453" s="100"/>
    </row>
    <row r="6454" spans="6:30" x14ac:dyDescent="0.25">
      <c r="F6454" s="85" t="str">
        <f t="shared" si="48"/>
        <v/>
      </c>
      <c r="AB6454" s="86"/>
      <c r="AD6454" s="100"/>
    </row>
    <row r="6455" spans="6:30" x14ac:dyDescent="0.25">
      <c r="F6455" s="85" t="str">
        <f t="shared" si="48"/>
        <v/>
      </c>
      <c r="AB6455" s="86"/>
      <c r="AD6455" s="100"/>
    </row>
    <row r="6456" spans="6:30" x14ac:dyDescent="0.25">
      <c r="F6456" s="85" t="str">
        <f t="shared" si="48"/>
        <v/>
      </c>
      <c r="AB6456" s="86"/>
      <c r="AD6456" s="100"/>
    </row>
    <row r="6457" spans="6:30" x14ac:dyDescent="0.25">
      <c r="F6457" s="85" t="str">
        <f t="shared" si="48"/>
        <v/>
      </c>
      <c r="AB6457" s="86"/>
      <c r="AD6457" s="100"/>
    </row>
    <row r="6458" spans="6:30" x14ac:dyDescent="0.25">
      <c r="F6458" s="85" t="str">
        <f t="shared" si="48"/>
        <v/>
      </c>
      <c r="AB6458" s="86"/>
      <c r="AD6458" s="100"/>
    </row>
    <row r="6459" spans="6:30" x14ac:dyDescent="0.25">
      <c r="F6459" s="85" t="str">
        <f t="shared" si="48"/>
        <v/>
      </c>
      <c r="AB6459" s="86"/>
      <c r="AD6459" s="100"/>
    </row>
    <row r="6460" spans="6:30" x14ac:dyDescent="0.25">
      <c r="F6460" s="85" t="str">
        <f t="shared" si="48"/>
        <v/>
      </c>
      <c r="AB6460" s="86"/>
      <c r="AD6460" s="100"/>
    </row>
    <row r="6461" spans="6:30" x14ac:dyDescent="0.25">
      <c r="F6461" s="85" t="str">
        <f t="shared" si="48"/>
        <v/>
      </c>
      <c r="AB6461" s="86"/>
      <c r="AD6461" s="100"/>
    </row>
    <row r="6462" spans="6:30" x14ac:dyDescent="0.25">
      <c r="F6462" s="85" t="str">
        <f t="shared" si="48"/>
        <v/>
      </c>
      <c r="AB6462" s="86"/>
      <c r="AD6462" s="100"/>
    </row>
    <row r="6463" spans="6:30" x14ac:dyDescent="0.25">
      <c r="F6463" s="85" t="str">
        <f t="shared" si="48"/>
        <v/>
      </c>
      <c r="AB6463" s="86"/>
      <c r="AD6463" s="100"/>
    </row>
    <row r="6464" spans="6:30" x14ac:dyDescent="0.25">
      <c r="F6464" s="85" t="str">
        <f t="shared" si="48"/>
        <v/>
      </c>
      <c r="AB6464" s="86"/>
      <c r="AD6464" s="100"/>
    </row>
    <row r="6465" spans="6:30" x14ac:dyDescent="0.25">
      <c r="F6465" s="85" t="str">
        <f t="shared" si="48"/>
        <v/>
      </c>
      <c r="AB6465" s="86"/>
      <c r="AD6465" s="100"/>
    </row>
    <row r="6466" spans="6:30" x14ac:dyDescent="0.25">
      <c r="F6466" s="85" t="str">
        <f t="shared" si="48"/>
        <v/>
      </c>
      <c r="AB6466" s="86"/>
      <c r="AD6466" s="100"/>
    </row>
    <row r="6467" spans="6:30" x14ac:dyDescent="0.25">
      <c r="F6467" s="85" t="str">
        <f t="shared" ref="F6467:F6530" si="49">IF($A6467="","",CONCATENATE($A6467,"_",$B6467,"_",$C6467))</f>
        <v/>
      </c>
      <c r="AB6467" s="86"/>
      <c r="AD6467" s="100"/>
    </row>
    <row r="6468" spans="6:30" x14ac:dyDescent="0.25">
      <c r="F6468" s="85" t="str">
        <f t="shared" si="49"/>
        <v/>
      </c>
      <c r="AB6468" s="86"/>
      <c r="AD6468" s="100"/>
    </row>
    <row r="6469" spans="6:30" x14ac:dyDescent="0.25">
      <c r="F6469" s="85" t="str">
        <f t="shared" si="49"/>
        <v/>
      </c>
      <c r="AB6469" s="86"/>
      <c r="AD6469" s="100"/>
    </row>
    <row r="6470" spans="6:30" x14ac:dyDescent="0.25">
      <c r="F6470" s="85" t="str">
        <f t="shared" si="49"/>
        <v/>
      </c>
      <c r="AB6470" s="86"/>
      <c r="AD6470" s="100"/>
    </row>
    <row r="6471" spans="6:30" x14ac:dyDescent="0.25">
      <c r="F6471" s="85" t="str">
        <f t="shared" si="49"/>
        <v/>
      </c>
      <c r="AB6471" s="86"/>
      <c r="AD6471" s="100"/>
    </row>
    <row r="6472" spans="6:30" x14ac:dyDescent="0.25">
      <c r="F6472" s="85" t="str">
        <f t="shared" si="49"/>
        <v/>
      </c>
      <c r="AB6472" s="86"/>
      <c r="AD6472" s="100"/>
    </row>
    <row r="6473" spans="6:30" x14ac:dyDescent="0.25">
      <c r="F6473" s="85" t="str">
        <f t="shared" si="49"/>
        <v/>
      </c>
      <c r="AB6473" s="86"/>
      <c r="AD6473" s="100"/>
    </row>
    <row r="6474" spans="6:30" x14ac:dyDescent="0.25">
      <c r="F6474" s="85" t="str">
        <f t="shared" si="49"/>
        <v/>
      </c>
      <c r="AB6474" s="86"/>
      <c r="AD6474" s="100"/>
    </row>
    <row r="6475" spans="6:30" x14ac:dyDescent="0.25">
      <c r="F6475" s="85" t="str">
        <f t="shared" si="49"/>
        <v/>
      </c>
      <c r="AB6475" s="86"/>
      <c r="AD6475" s="100"/>
    </row>
    <row r="6476" spans="6:30" x14ac:dyDescent="0.25">
      <c r="F6476" s="85" t="str">
        <f t="shared" si="49"/>
        <v/>
      </c>
      <c r="AB6476" s="86"/>
      <c r="AD6476" s="100"/>
    </row>
    <row r="6477" spans="6:30" x14ac:dyDescent="0.25">
      <c r="F6477" s="85" t="str">
        <f t="shared" si="49"/>
        <v/>
      </c>
      <c r="AB6477" s="86"/>
      <c r="AD6477" s="100"/>
    </row>
    <row r="6478" spans="6:30" x14ac:dyDescent="0.25">
      <c r="F6478" s="85" t="str">
        <f t="shared" si="49"/>
        <v/>
      </c>
      <c r="AB6478" s="86"/>
      <c r="AD6478" s="100"/>
    </row>
    <row r="6479" spans="6:30" x14ac:dyDescent="0.25">
      <c r="F6479" s="85" t="str">
        <f t="shared" si="49"/>
        <v/>
      </c>
      <c r="AB6479" s="86"/>
      <c r="AD6479" s="100"/>
    </row>
    <row r="6480" spans="6:30" x14ac:dyDescent="0.25">
      <c r="F6480" s="85" t="str">
        <f t="shared" si="49"/>
        <v/>
      </c>
      <c r="AB6480" s="86"/>
      <c r="AD6480" s="100"/>
    </row>
    <row r="6481" spans="6:30" x14ac:dyDescent="0.25">
      <c r="F6481" s="85" t="str">
        <f t="shared" si="49"/>
        <v/>
      </c>
      <c r="AB6481" s="86"/>
      <c r="AD6481" s="100"/>
    </row>
    <row r="6482" spans="6:30" x14ac:dyDescent="0.25">
      <c r="F6482" s="85" t="str">
        <f t="shared" si="49"/>
        <v/>
      </c>
      <c r="AB6482" s="86"/>
      <c r="AD6482" s="100"/>
    </row>
    <row r="6483" spans="6:30" x14ac:dyDescent="0.25">
      <c r="F6483" s="85" t="str">
        <f t="shared" si="49"/>
        <v/>
      </c>
      <c r="AB6483" s="86"/>
      <c r="AD6483" s="100"/>
    </row>
    <row r="6484" spans="6:30" x14ac:dyDescent="0.25">
      <c r="F6484" s="85" t="str">
        <f t="shared" si="49"/>
        <v/>
      </c>
      <c r="AB6484" s="86"/>
      <c r="AD6484" s="100"/>
    </row>
    <row r="6485" spans="6:30" x14ac:dyDescent="0.25">
      <c r="F6485" s="85" t="str">
        <f t="shared" si="49"/>
        <v/>
      </c>
      <c r="AB6485" s="86"/>
      <c r="AD6485" s="100"/>
    </row>
    <row r="6486" spans="6:30" x14ac:dyDescent="0.25">
      <c r="F6486" s="85" t="str">
        <f t="shared" si="49"/>
        <v/>
      </c>
      <c r="AB6486" s="86"/>
      <c r="AD6486" s="100"/>
    </row>
    <row r="6487" spans="6:30" x14ac:dyDescent="0.25">
      <c r="F6487" s="85" t="str">
        <f t="shared" si="49"/>
        <v/>
      </c>
      <c r="AB6487" s="86"/>
      <c r="AD6487" s="100"/>
    </row>
    <row r="6488" spans="6:30" x14ac:dyDescent="0.25">
      <c r="F6488" s="85" t="str">
        <f t="shared" si="49"/>
        <v/>
      </c>
      <c r="AB6488" s="86"/>
      <c r="AD6488" s="100"/>
    </row>
    <row r="6489" spans="6:30" x14ac:dyDescent="0.25">
      <c r="F6489" s="85" t="str">
        <f t="shared" si="49"/>
        <v/>
      </c>
      <c r="AB6489" s="86"/>
      <c r="AD6489" s="100"/>
    </row>
    <row r="6490" spans="6:30" x14ac:dyDescent="0.25">
      <c r="F6490" s="85" t="str">
        <f t="shared" si="49"/>
        <v/>
      </c>
      <c r="AB6490" s="86"/>
      <c r="AD6490" s="100"/>
    </row>
    <row r="6491" spans="6:30" x14ac:dyDescent="0.25">
      <c r="F6491" s="85" t="str">
        <f t="shared" si="49"/>
        <v/>
      </c>
      <c r="AB6491" s="86"/>
      <c r="AD6491" s="100"/>
    </row>
    <row r="6492" spans="6:30" x14ac:dyDescent="0.25">
      <c r="F6492" s="85" t="str">
        <f t="shared" si="49"/>
        <v/>
      </c>
      <c r="AB6492" s="86"/>
      <c r="AD6492" s="100"/>
    </row>
    <row r="6493" spans="6:30" x14ac:dyDescent="0.25">
      <c r="F6493" s="85" t="str">
        <f t="shared" si="49"/>
        <v/>
      </c>
      <c r="AB6493" s="86"/>
      <c r="AD6493" s="100"/>
    </row>
    <row r="6494" spans="6:30" x14ac:dyDescent="0.25">
      <c r="F6494" s="85" t="str">
        <f t="shared" si="49"/>
        <v/>
      </c>
      <c r="AB6494" s="86"/>
      <c r="AD6494" s="100"/>
    </row>
    <row r="6495" spans="6:30" x14ac:dyDescent="0.25">
      <c r="F6495" s="85" t="str">
        <f t="shared" si="49"/>
        <v/>
      </c>
      <c r="AB6495" s="86"/>
      <c r="AD6495" s="100"/>
    </row>
    <row r="6496" spans="6:30" x14ac:dyDescent="0.25">
      <c r="F6496" s="85" t="str">
        <f t="shared" si="49"/>
        <v/>
      </c>
      <c r="AB6496" s="86"/>
      <c r="AD6496" s="100"/>
    </row>
    <row r="6497" spans="6:30" x14ac:dyDescent="0.25">
      <c r="F6497" s="85" t="str">
        <f t="shared" si="49"/>
        <v/>
      </c>
      <c r="AB6497" s="86"/>
      <c r="AD6497" s="100"/>
    </row>
    <row r="6498" spans="6:30" x14ac:dyDescent="0.25">
      <c r="F6498" s="85" t="str">
        <f t="shared" si="49"/>
        <v/>
      </c>
      <c r="AB6498" s="86"/>
      <c r="AD6498" s="100"/>
    </row>
    <row r="6499" spans="6:30" x14ac:dyDescent="0.25">
      <c r="F6499" s="85" t="str">
        <f t="shared" si="49"/>
        <v/>
      </c>
      <c r="AB6499" s="86"/>
      <c r="AD6499" s="100"/>
    </row>
    <row r="6500" spans="6:30" x14ac:dyDescent="0.25">
      <c r="F6500" s="85" t="str">
        <f t="shared" si="49"/>
        <v/>
      </c>
      <c r="AB6500" s="86"/>
      <c r="AD6500" s="100"/>
    </row>
    <row r="6501" spans="6:30" x14ac:dyDescent="0.25">
      <c r="F6501" s="85" t="str">
        <f t="shared" si="49"/>
        <v/>
      </c>
      <c r="AB6501" s="86"/>
      <c r="AD6501" s="100"/>
    </row>
    <row r="6502" spans="6:30" x14ac:dyDescent="0.25">
      <c r="F6502" s="85" t="str">
        <f t="shared" si="49"/>
        <v/>
      </c>
      <c r="AB6502" s="86"/>
      <c r="AD6502" s="100"/>
    </row>
    <row r="6503" spans="6:30" x14ac:dyDescent="0.25">
      <c r="F6503" s="85" t="str">
        <f t="shared" si="49"/>
        <v/>
      </c>
      <c r="AB6503" s="86"/>
      <c r="AD6503" s="100"/>
    </row>
    <row r="6504" spans="6:30" x14ac:dyDescent="0.25">
      <c r="F6504" s="85" t="str">
        <f t="shared" si="49"/>
        <v/>
      </c>
      <c r="AB6504" s="86"/>
      <c r="AD6504" s="100"/>
    </row>
    <row r="6505" spans="6:30" x14ac:dyDescent="0.25">
      <c r="F6505" s="85" t="str">
        <f t="shared" si="49"/>
        <v/>
      </c>
      <c r="AB6505" s="86"/>
      <c r="AD6505" s="100"/>
    </row>
    <row r="6506" spans="6:30" x14ac:dyDescent="0.25">
      <c r="F6506" s="85" t="str">
        <f t="shared" si="49"/>
        <v/>
      </c>
      <c r="AB6506" s="86"/>
      <c r="AD6506" s="100"/>
    </row>
    <row r="6507" spans="6:30" x14ac:dyDescent="0.25">
      <c r="F6507" s="85" t="str">
        <f t="shared" si="49"/>
        <v/>
      </c>
      <c r="AB6507" s="86"/>
      <c r="AD6507" s="100"/>
    </row>
    <row r="6508" spans="6:30" x14ac:dyDescent="0.25">
      <c r="F6508" s="85" t="str">
        <f t="shared" si="49"/>
        <v/>
      </c>
      <c r="AB6508" s="86"/>
      <c r="AD6508" s="100"/>
    </row>
    <row r="6509" spans="6:30" x14ac:dyDescent="0.25">
      <c r="F6509" s="85" t="str">
        <f t="shared" si="49"/>
        <v/>
      </c>
      <c r="AB6509" s="86"/>
      <c r="AD6509" s="100"/>
    </row>
    <row r="6510" spans="6:30" x14ac:dyDescent="0.25">
      <c r="F6510" s="85" t="str">
        <f t="shared" si="49"/>
        <v/>
      </c>
      <c r="AB6510" s="86"/>
      <c r="AD6510" s="100"/>
    </row>
    <row r="6511" spans="6:30" x14ac:dyDescent="0.25">
      <c r="F6511" s="85" t="str">
        <f t="shared" si="49"/>
        <v/>
      </c>
      <c r="AB6511" s="86"/>
      <c r="AD6511" s="100"/>
    </row>
    <row r="6512" spans="6:30" x14ac:dyDescent="0.25">
      <c r="F6512" s="85" t="str">
        <f t="shared" si="49"/>
        <v/>
      </c>
      <c r="AB6512" s="86"/>
      <c r="AD6512" s="100"/>
    </row>
    <row r="6513" spans="6:30" x14ac:dyDescent="0.25">
      <c r="F6513" s="85" t="str">
        <f t="shared" si="49"/>
        <v/>
      </c>
      <c r="AB6513" s="86"/>
      <c r="AD6513" s="100"/>
    </row>
    <row r="6514" spans="6:30" x14ac:dyDescent="0.25">
      <c r="F6514" s="85" t="str">
        <f t="shared" si="49"/>
        <v/>
      </c>
      <c r="AB6514" s="86"/>
      <c r="AD6514" s="100"/>
    </row>
    <row r="6515" spans="6:30" x14ac:dyDescent="0.25">
      <c r="F6515" s="85" t="str">
        <f t="shared" si="49"/>
        <v/>
      </c>
      <c r="AB6515" s="86"/>
      <c r="AD6515" s="100"/>
    </row>
    <row r="6516" spans="6:30" x14ac:dyDescent="0.25">
      <c r="F6516" s="85" t="str">
        <f t="shared" si="49"/>
        <v/>
      </c>
      <c r="AB6516" s="86"/>
      <c r="AD6516" s="100"/>
    </row>
    <row r="6517" spans="6:30" x14ac:dyDescent="0.25">
      <c r="F6517" s="85" t="str">
        <f t="shared" si="49"/>
        <v/>
      </c>
      <c r="AB6517" s="86"/>
      <c r="AD6517" s="100"/>
    </row>
    <row r="6518" spans="6:30" x14ac:dyDescent="0.25">
      <c r="F6518" s="85" t="str">
        <f t="shared" si="49"/>
        <v/>
      </c>
      <c r="AB6518" s="86"/>
      <c r="AD6518" s="100"/>
    </row>
    <row r="6519" spans="6:30" x14ac:dyDescent="0.25">
      <c r="F6519" s="85" t="str">
        <f t="shared" si="49"/>
        <v/>
      </c>
      <c r="AB6519" s="86"/>
      <c r="AD6519" s="100"/>
    </row>
    <row r="6520" spans="6:30" x14ac:dyDescent="0.25">
      <c r="F6520" s="85" t="str">
        <f t="shared" si="49"/>
        <v/>
      </c>
      <c r="AB6520" s="86"/>
      <c r="AD6520" s="100"/>
    </row>
    <row r="6521" spans="6:30" x14ac:dyDescent="0.25">
      <c r="F6521" s="85" t="str">
        <f t="shared" si="49"/>
        <v/>
      </c>
      <c r="AB6521" s="86"/>
      <c r="AD6521" s="100"/>
    </row>
    <row r="6522" spans="6:30" x14ac:dyDescent="0.25">
      <c r="F6522" s="85" t="str">
        <f t="shared" si="49"/>
        <v/>
      </c>
      <c r="AB6522" s="86"/>
      <c r="AD6522" s="100"/>
    </row>
    <row r="6523" spans="6:30" x14ac:dyDescent="0.25">
      <c r="F6523" s="85" t="str">
        <f t="shared" si="49"/>
        <v/>
      </c>
      <c r="AB6523" s="86"/>
      <c r="AD6523" s="100"/>
    </row>
    <row r="6524" spans="6:30" x14ac:dyDescent="0.25">
      <c r="F6524" s="85" t="str">
        <f t="shared" si="49"/>
        <v/>
      </c>
      <c r="AB6524" s="86"/>
      <c r="AD6524" s="100"/>
    </row>
    <row r="6525" spans="6:30" x14ac:dyDescent="0.25">
      <c r="F6525" s="85" t="str">
        <f t="shared" si="49"/>
        <v/>
      </c>
      <c r="AB6525" s="86"/>
      <c r="AD6525" s="100"/>
    </row>
    <row r="6526" spans="6:30" x14ac:dyDescent="0.25">
      <c r="F6526" s="85" t="str">
        <f t="shared" si="49"/>
        <v/>
      </c>
      <c r="AB6526" s="86"/>
      <c r="AD6526" s="100"/>
    </row>
    <row r="6527" spans="6:30" x14ac:dyDescent="0.25">
      <c r="F6527" s="85" t="str">
        <f t="shared" si="49"/>
        <v/>
      </c>
      <c r="AB6527" s="86"/>
      <c r="AD6527" s="100"/>
    </row>
    <row r="6528" spans="6:30" x14ac:dyDescent="0.25">
      <c r="F6528" s="85" t="str">
        <f t="shared" si="49"/>
        <v/>
      </c>
      <c r="AB6528" s="86"/>
      <c r="AD6528" s="100"/>
    </row>
    <row r="6529" spans="6:30" x14ac:dyDescent="0.25">
      <c r="F6529" s="85" t="str">
        <f t="shared" si="49"/>
        <v/>
      </c>
      <c r="AB6529" s="86"/>
      <c r="AD6529" s="100"/>
    </row>
    <row r="6530" spans="6:30" x14ac:dyDescent="0.25">
      <c r="F6530" s="85" t="str">
        <f t="shared" si="49"/>
        <v/>
      </c>
      <c r="AB6530" s="86"/>
      <c r="AD6530" s="100"/>
    </row>
    <row r="6531" spans="6:30" x14ac:dyDescent="0.25">
      <c r="F6531" s="85" t="str">
        <f t="shared" ref="F6531:F6594" si="50">IF($A6531="","",CONCATENATE($A6531,"_",$B6531,"_",$C6531))</f>
        <v/>
      </c>
      <c r="AB6531" s="86"/>
      <c r="AD6531" s="100"/>
    </row>
    <row r="6532" spans="6:30" x14ac:dyDescent="0.25">
      <c r="F6532" s="85" t="str">
        <f t="shared" si="50"/>
        <v/>
      </c>
      <c r="AB6532" s="86"/>
      <c r="AD6532" s="100"/>
    </row>
    <row r="6533" spans="6:30" x14ac:dyDescent="0.25">
      <c r="F6533" s="85" t="str">
        <f t="shared" si="50"/>
        <v/>
      </c>
      <c r="AB6533" s="86"/>
      <c r="AD6533" s="100"/>
    </row>
    <row r="6534" spans="6:30" x14ac:dyDescent="0.25">
      <c r="F6534" s="85" t="str">
        <f t="shared" si="50"/>
        <v/>
      </c>
      <c r="AB6534" s="86"/>
      <c r="AD6534" s="100"/>
    </row>
    <row r="6535" spans="6:30" x14ac:dyDescent="0.25">
      <c r="F6535" s="85" t="str">
        <f t="shared" si="50"/>
        <v/>
      </c>
      <c r="AB6535" s="86"/>
      <c r="AD6535" s="100"/>
    </row>
    <row r="6536" spans="6:30" x14ac:dyDescent="0.25">
      <c r="F6536" s="85" t="str">
        <f t="shared" si="50"/>
        <v/>
      </c>
      <c r="AB6536" s="86"/>
      <c r="AD6536" s="100"/>
    </row>
    <row r="6537" spans="6:30" x14ac:dyDescent="0.25">
      <c r="F6537" s="85" t="str">
        <f t="shared" si="50"/>
        <v/>
      </c>
      <c r="AB6537" s="86"/>
      <c r="AD6537" s="100"/>
    </row>
    <row r="6538" spans="6:30" x14ac:dyDescent="0.25">
      <c r="F6538" s="85" t="str">
        <f t="shared" si="50"/>
        <v/>
      </c>
      <c r="AB6538" s="86"/>
      <c r="AD6538" s="100"/>
    </row>
    <row r="6539" spans="6:30" x14ac:dyDescent="0.25">
      <c r="F6539" s="85" t="str">
        <f t="shared" si="50"/>
        <v/>
      </c>
      <c r="AB6539" s="86"/>
      <c r="AD6539" s="100"/>
    </row>
    <row r="6540" spans="6:30" x14ac:dyDescent="0.25">
      <c r="F6540" s="85" t="str">
        <f t="shared" si="50"/>
        <v/>
      </c>
      <c r="AB6540" s="86"/>
      <c r="AD6540" s="100"/>
    </row>
    <row r="6541" spans="6:30" x14ac:dyDescent="0.25">
      <c r="F6541" s="85" t="str">
        <f t="shared" si="50"/>
        <v/>
      </c>
      <c r="AB6541" s="86"/>
      <c r="AD6541" s="100"/>
    </row>
    <row r="6542" spans="6:30" x14ac:dyDescent="0.25">
      <c r="F6542" s="85" t="str">
        <f t="shared" si="50"/>
        <v/>
      </c>
      <c r="AB6542" s="86"/>
      <c r="AD6542" s="100"/>
    </row>
    <row r="6543" spans="6:30" x14ac:dyDescent="0.25">
      <c r="F6543" s="85" t="str">
        <f t="shared" si="50"/>
        <v/>
      </c>
      <c r="AB6543" s="86"/>
      <c r="AD6543" s="100"/>
    </row>
    <row r="6544" spans="6:30" x14ac:dyDescent="0.25">
      <c r="F6544" s="85" t="str">
        <f t="shared" si="50"/>
        <v/>
      </c>
      <c r="AB6544" s="86"/>
    </row>
    <row r="6545" spans="6:30" x14ac:dyDescent="0.25">
      <c r="F6545" s="85" t="str">
        <f t="shared" si="50"/>
        <v/>
      </c>
      <c r="AB6545" s="86"/>
      <c r="AD6545" s="100"/>
    </row>
    <row r="6546" spans="6:30" x14ac:dyDescent="0.25">
      <c r="F6546" s="85" t="str">
        <f t="shared" si="50"/>
        <v/>
      </c>
      <c r="AB6546" s="86"/>
      <c r="AD6546" s="100"/>
    </row>
    <row r="6547" spans="6:30" x14ac:dyDescent="0.25">
      <c r="F6547" s="85" t="str">
        <f t="shared" si="50"/>
        <v/>
      </c>
      <c r="AB6547" s="86"/>
      <c r="AD6547" s="100"/>
    </row>
    <row r="6548" spans="6:30" x14ac:dyDescent="0.25">
      <c r="F6548" s="85" t="str">
        <f t="shared" si="50"/>
        <v/>
      </c>
      <c r="AB6548" s="86"/>
      <c r="AD6548" s="100"/>
    </row>
    <row r="6549" spans="6:30" x14ac:dyDescent="0.25">
      <c r="F6549" s="85" t="str">
        <f t="shared" si="50"/>
        <v/>
      </c>
      <c r="AB6549" s="86"/>
      <c r="AD6549" s="100"/>
    </row>
    <row r="6550" spans="6:30" x14ac:dyDescent="0.25">
      <c r="F6550" s="85" t="str">
        <f t="shared" si="50"/>
        <v/>
      </c>
      <c r="AB6550" s="86"/>
      <c r="AD6550" s="100"/>
    </row>
    <row r="6551" spans="6:30" x14ac:dyDescent="0.25">
      <c r="F6551" s="85" t="str">
        <f t="shared" si="50"/>
        <v/>
      </c>
      <c r="AB6551" s="86"/>
      <c r="AD6551" s="100"/>
    </row>
    <row r="6552" spans="6:30" x14ac:dyDescent="0.25">
      <c r="F6552" s="85" t="str">
        <f t="shared" si="50"/>
        <v/>
      </c>
      <c r="AB6552" s="86"/>
      <c r="AD6552" s="100"/>
    </row>
    <row r="6553" spans="6:30" x14ac:dyDescent="0.25">
      <c r="F6553" s="85" t="str">
        <f t="shared" si="50"/>
        <v/>
      </c>
      <c r="AB6553" s="86"/>
      <c r="AD6553" s="100"/>
    </row>
    <row r="6554" spans="6:30" x14ac:dyDescent="0.25">
      <c r="F6554" s="85" t="str">
        <f t="shared" si="50"/>
        <v/>
      </c>
      <c r="AB6554" s="86"/>
      <c r="AD6554" s="100"/>
    </row>
    <row r="6555" spans="6:30" x14ac:dyDescent="0.25">
      <c r="F6555" s="85" t="str">
        <f t="shared" si="50"/>
        <v/>
      </c>
      <c r="AB6555" s="86"/>
      <c r="AD6555" s="100"/>
    </row>
    <row r="6556" spans="6:30" x14ac:dyDescent="0.25">
      <c r="F6556" s="85" t="str">
        <f t="shared" si="50"/>
        <v/>
      </c>
      <c r="AB6556" s="86"/>
      <c r="AD6556" s="100"/>
    </row>
    <row r="6557" spans="6:30" x14ac:dyDescent="0.25">
      <c r="F6557" s="85" t="str">
        <f t="shared" si="50"/>
        <v/>
      </c>
      <c r="AB6557" s="86"/>
      <c r="AD6557" s="100"/>
    </row>
    <row r="6558" spans="6:30" x14ac:dyDescent="0.25">
      <c r="F6558" s="85" t="str">
        <f t="shared" si="50"/>
        <v/>
      </c>
      <c r="AB6558" s="86"/>
      <c r="AD6558" s="100"/>
    </row>
    <row r="6559" spans="6:30" x14ac:dyDescent="0.25">
      <c r="F6559" s="85" t="str">
        <f t="shared" si="50"/>
        <v/>
      </c>
      <c r="AB6559" s="86"/>
      <c r="AD6559" s="100"/>
    </row>
    <row r="6560" spans="6:30" x14ac:dyDescent="0.25">
      <c r="F6560" s="85" t="str">
        <f t="shared" si="50"/>
        <v/>
      </c>
      <c r="AB6560" s="86"/>
      <c r="AD6560" s="100"/>
    </row>
    <row r="6561" spans="6:30" x14ac:dyDescent="0.25">
      <c r="F6561" s="85" t="str">
        <f t="shared" si="50"/>
        <v/>
      </c>
      <c r="AB6561" s="86"/>
      <c r="AD6561" s="100"/>
    </row>
    <row r="6562" spans="6:30" x14ac:dyDescent="0.25">
      <c r="F6562" s="85" t="str">
        <f t="shared" si="50"/>
        <v/>
      </c>
      <c r="AB6562" s="86"/>
      <c r="AD6562" s="100"/>
    </row>
    <row r="6563" spans="6:30" x14ac:dyDescent="0.25">
      <c r="F6563" s="85" t="str">
        <f t="shared" si="50"/>
        <v/>
      </c>
      <c r="AB6563" s="86"/>
      <c r="AD6563" s="100"/>
    </row>
    <row r="6564" spans="6:30" x14ac:dyDescent="0.25">
      <c r="F6564" s="85" t="str">
        <f t="shared" si="50"/>
        <v/>
      </c>
      <c r="AB6564" s="86"/>
      <c r="AD6564" s="100"/>
    </row>
    <row r="6565" spans="6:30" x14ac:dyDescent="0.25">
      <c r="F6565" s="85" t="str">
        <f t="shared" si="50"/>
        <v/>
      </c>
      <c r="AB6565" s="86"/>
      <c r="AD6565" s="100"/>
    </row>
    <row r="6566" spans="6:30" x14ac:dyDescent="0.25">
      <c r="F6566" s="85" t="str">
        <f t="shared" si="50"/>
        <v/>
      </c>
      <c r="AB6566" s="86"/>
      <c r="AD6566" s="100"/>
    </row>
    <row r="6567" spans="6:30" x14ac:dyDescent="0.25">
      <c r="F6567" s="85" t="str">
        <f t="shared" si="50"/>
        <v/>
      </c>
      <c r="AB6567" s="86"/>
      <c r="AD6567" s="100"/>
    </row>
    <row r="6568" spans="6:30" x14ac:dyDescent="0.25">
      <c r="F6568" s="85" t="str">
        <f t="shared" si="50"/>
        <v/>
      </c>
      <c r="AB6568" s="86"/>
      <c r="AD6568" s="100"/>
    </row>
    <row r="6569" spans="6:30" x14ac:dyDescent="0.25">
      <c r="F6569" s="85" t="str">
        <f t="shared" si="50"/>
        <v/>
      </c>
      <c r="AB6569" s="86"/>
      <c r="AD6569" s="100"/>
    </row>
    <row r="6570" spans="6:30" x14ac:dyDescent="0.25">
      <c r="F6570" s="85" t="str">
        <f t="shared" si="50"/>
        <v/>
      </c>
      <c r="AB6570" s="86"/>
      <c r="AD6570" s="100"/>
    </row>
    <row r="6571" spans="6:30" x14ac:dyDescent="0.25">
      <c r="F6571" s="85" t="str">
        <f t="shared" si="50"/>
        <v/>
      </c>
      <c r="AB6571" s="86"/>
      <c r="AD6571" s="100"/>
    </row>
    <row r="6572" spans="6:30" x14ac:dyDescent="0.25">
      <c r="F6572" s="85" t="str">
        <f t="shared" si="50"/>
        <v/>
      </c>
      <c r="AB6572" s="86"/>
      <c r="AD6572" s="100"/>
    </row>
    <row r="6573" spans="6:30" x14ac:dyDescent="0.25">
      <c r="F6573" s="85" t="str">
        <f t="shared" si="50"/>
        <v/>
      </c>
      <c r="AB6573" s="86"/>
      <c r="AD6573" s="100"/>
    </row>
    <row r="6574" spans="6:30" x14ac:dyDescent="0.25">
      <c r="F6574" s="85" t="str">
        <f t="shared" si="50"/>
        <v/>
      </c>
      <c r="AB6574" s="86"/>
      <c r="AD6574" s="100"/>
    </row>
    <row r="6575" spans="6:30" x14ac:dyDescent="0.25">
      <c r="F6575" s="85" t="str">
        <f t="shared" si="50"/>
        <v/>
      </c>
      <c r="AB6575" s="86"/>
      <c r="AD6575" s="100"/>
    </row>
    <row r="6576" spans="6:30" x14ac:dyDescent="0.25">
      <c r="F6576" s="85" t="str">
        <f t="shared" si="50"/>
        <v/>
      </c>
      <c r="AB6576" s="86"/>
      <c r="AD6576" s="100"/>
    </row>
    <row r="6577" spans="6:30" x14ac:dyDescent="0.25">
      <c r="F6577" s="85" t="str">
        <f t="shared" si="50"/>
        <v/>
      </c>
      <c r="AB6577" s="86"/>
      <c r="AD6577" s="100"/>
    </row>
    <row r="6578" spans="6:30" x14ac:dyDescent="0.25">
      <c r="F6578" s="85" t="str">
        <f t="shared" si="50"/>
        <v/>
      </c>
      <c r="AB6578" s="86"/>
      <c r="AD6578" s="100"/>
    </row>
    <row r="6579" spans="6:30" x14ac:dyDescent="0.25">
      <c r="F6579" s="85" t="str">
        <f t="shared" si="50"/>
        <v/>
      </c>
      <c r="AB6579" s="86"/>
      <c r="AD6579" s="100"/>
    </row>
    <row r="6580" spans="6:30" x14ac:dyDescent="0.25">
      <c r="F6580" s="85" t="str">
        <f t="shared" si="50"/>
        <v/>
      </c>
      <c r="AB6580" s="86"/>
      <c r="AD6580" s="100"/>
    </row>
    <row r="6581" spans="6:30" x14ac:dyDescent="0.25">
      <c r="F6581" s="85" t="str">
        <f t="shared" si="50"/>
        <v/>
      </c>
      <c r="AB6581" s="86"/>
      <c r="AD6581" s="100"/>
    </row>
    <row r="6582" spans="6:30" x14ac:dyDescent="0.25">
      <c r="F6582" s="85" t="str">
        <f t="shared" si="50"/>
        <v/>
      </c>
      <c r="AB6582" s="86"/>
      <c r="AD6582" s="100"/>
    </row>
    <row r="6583" spans="6:30" x14ac:dyDescent="0.25">
      <c r="F6583" s="85" t="str">
        <f t="shared" si="50"/>
        <v/>
      </c>
      <c r="AB6583" s="86"/>
      <c r="AD6583" s="100"/>
    </row>
    <row r="6584" spans="6:30" x14ac:dyDescent="0.25">
      <c r="F6584" s="85" t="str">
        <f t="shared" si="50"/>
        <v/>
      </c>
      <c r="AB6584" s="86"/>
      <c r="AD6584" s="100"/>
    </row>
    <row r="6585" spans="6:30" x14ac:dyDescent="0.25">
      <c r="F6585" s="85" t="str">
        <f t="shared" si="50"/>
        <v/>
      </c>
      <c r="AB6585" s="86"/>
      <c r="AD6585" s="100"/>
    </row>
    <row r="6586" spans="6:30" x14ac:dyDescent="0.25">
      <c r="F6586" s="85" t="str">
        <f t="shared" si="50"/>
        <v/>
      </c>
      <c r="AB6586" s="86"/>
      <c r="AD6586" s="100"/>
    </row>
    <row r="6587" spans="6:30" x14ac:dyDescent="0.25">
      <c r="F6587" s="85" t="str">
        <f t="shared" si="50"/>
        <v/>
      </c>
      <c r="AB6587" s="86"/>
      <c r="AD6587" s="100"/>
    </row>
    <row r="6588" spans="6:30" x14ac:dyDescent="0.25">
      <c r="F6588" s="85" t="str">
        <f t="shared" si="50"/>
        <v/>
      </c>
      <c r="AB6588" s="86"/>
      <c r="AD6588" s="100"/>
    </row>
    <row r="6589" spans="6:30" x14ac:dyDescent="0.25">
      <c r="F6589" s="85" t="str">
        <f t="shared" si="50"/>
        <v/>
      </c>
      <c r="AB6589" s="86"/>
    </row>
    <row r="6590" spans="6:30" x14ac:dyDescent="0.25">
      <c r="F6590" s="85" t="str">
        <f t="shared" si="50"/>
        <v/>
      </c>
      <c r="AB6590" s="86"/>
      <c r="AD6590" s="100"/>
    </row>
    <row r="6591" spans="6:30" x14ac:dyDescent="0.25">
      <c r="F6591" s="85" t="str">
        <f t="shared" si="50"/>
        <v/>
      </c>
      <c r="AB6591" s="86"/>
      <c r="AD6591" s="100"/>
    </row>
    <row r="6592" spans="6:30" x14ac:dyDescent="0.25">
      <c r="F6592" s="85" t="str">
        <f t="shared" si="50"/>
        <v/>
      </c>
      <c r="AB6592" s="86"/>
      <c r="AD6592" s="100"/>
    </row>
    <row r="6593" spans="6:30" x14ac:dyDescent="0.25">
      <c r="F6593" s="85" t="str">
        <f t="shared" si="50"/>
        <v/>
      </c>
      <c r="AB6593" s="86"/>
      <c r="AD6593" s="100"/>
    </row>
    <row r="6594" spans="6:30" x14ac:dyDescent="0.25">
      <c r="F6594" s="85" t="str">
        <f t="shared" si="50"/>
        <v/>
      </c>
      <c r="AB6594" s="86"/>
      <c r="AD6594" s="100"/>
    </row>
    <row r="6595" spans="6:30" x14ac:dyDescent="0.25">
      <c r="F6595" s="85" t="str">
        <f t="shared" ref="F6595:F6658" si="51">IF($A6595="","",CONCATENATE($A6595,"_",$B6595,"_",$C6595))</f>
        <v/>
      </c>
      <c r="AB6595" s="86"/>
      <c r="AD6595" s="100"/>
    </row>
    <row r="6596" spans="6:30" x14ac:dyDescent="0.25">
      <c r="F6596" s="85" t="str">
        <f t="shared" si="51"/>
        <v/>
      </c>
      <c r="AB6596" s="86"/>
    </row>
    <row r="6597" spans="6:30" x14ac:dyDescent="0.25">
      <c r="F6597" s="85" t="str">
        <f t="shared" si="51"/>
        <v/>
      </c>
      <c r="AB6597" s="86"/>
    </row>
    <row r="6598" spans="6:30" x14ac:dyDescent="0.25">
      <c r="F6598" s="85" t="str">
        <f t="shared" si="51"/>
        <v/>
      </c>
      <c r="AB6598" s="86"/>
      <c r="AD6598" s="100"/>
    </row>
    <row r="6599" spans="6:30" x14ac:dyDescent="0.25">
      <c r="F6599" s="85" t="str">
        <f t="shared" si="51"/>
        <v/>
      </c>
      <c r="AB6599" s="86"/>
    </row>
    <row r="6600" spans="6:30" x14ac:dyDescent="0.25">
      <c r="F6600" s="85" t="str">
        <f t="shared" si="51"/>
        <v/>
      </c>
      <c r="AB6600" s="86"/>
      <c r="AD6600" s="100"/>
    </row>
    <row r="6601" spans="6:30" x14ac:dyDescent="0.25">
      <c r="F6601" s="85" t="str">
        <f t="shared" si="51"/>
        <v/>
      </c>
      <c r="AB6601" s="86"/>
    </row>
    <row r="6602" spans="6:30" x14ac:dyDescent="0.25">
      <c r="F6602" s="85" t="str">
        <f t="shared" si="51"/>
        <v/>
      </c>
      <c r="AB6602" s="86"/>
    </row>
    <row r="6603" spans="6:30" x14ac:dyDescent="0.25">
      <c r="F6603" s="85" t="str">
        <f t="shared" si="51"/>
        <v/>
      </c>
      <c r="AB6603" s="86"/>
      <c r="AD6603" s="100"/>
    </row>
    <row r="6604" spans="6:30" x14ac:dyDescent="0.25">
      <c r="F6604" s="85" t="str">
        <f t="shared" si="51"/>
        <v/>
      </c>
      <c r="AB6604" s="86"/>
      <c r="AD6604" s="100"/>
    </row>
    <row r="6605" spans="6:30" x14ac:dyDescent="0.25">
      <c r="F6605" s="85" t="str">
        <f t="shared" si="51"/>
        <v/>
      </c>
      <c r="AB6605" s="86"/>
      <c r="AD6605" s="100"/>
    </row>
    <row r="6606" spans="6:30" x14ac:dyDescent="0.25">
      <c r="F6606" s="85" t="str">
        <f t="shared" si="51"/>
        <v/>
      </c>
      <c r="AB6606" s="86"/>
      <c r="AD6606" s="100"/>
    </row>
    <row r="6607" spans="6:30" x14ac:dyDescent="0.25">
      <c r="F6607" s="85" t="str">
        <f t="shared" si="51"/>
        <v/>
      </c>
      <c r="AB6607" s="86"/>
      <c r="AD6607" s="100"/>
    </row>
    <row r="6608" spans="6:30" x14ac:dyDescent="0.25">
      <c r="F6608" s="85" t="str">
        <f t="shared" si="51"/>
        <v/>
      </c>
      <c r="AB6608" s="86"/>
      <c r="AD6608" s="100"/>
    </row>
    <row r="6609" spans="6:30" x14ac:dyDescent="0.25">
      <c r="F6609" s="85" t="str">
        <f t="shared" si="51"/>
        <v/>
      </c>
      <c r="AB6609" s="86"/>
    </row>
    <row r="6610" spans="6:30" x14ac:dyDescent="0.25">
      <c r="F6610" s="85" t="str">
        <f t="shared" si="51"/>
        <v/>
      </c>
      <c r="AB6610" s="86"/>
    </row>
    <row r="6611" spans="6:30" x14ac:dyDescent="0.25">
      <c r="F6611" s="85" t="str">
        <f t="shared" si="51"/>
        <v/>
      </c>
      <c r="AB6611" s="86"/>
      <c r="AD6611" s="100"/>
    </row>
    <row r="6612" spans="6:30" x14ac:dyDescent="0.25">
      <c r="F6612" s="85" t="str">
        <f t="shared" si="51"/>
        <v/>
      </c>
      <c r="AB6612" s="86"/>
      <c r="AD6612" s="100"/>
    </row>
    <row r="6613" spans="6:30" x14ac:dyDescent="0.25">
      <c r="F6613" s="85" t="str">
        <f t="shared" si="51"/>
        <v/>
      </c>
      <c r="AB6613" s="86"/>
      <c r="AD6613" s="100"/>
    </row>
    <row r="6614" spans="6:30" x14ac:dyDescent="0.25">
      <c r="F6614" s="85" t="str">
        <f t="shared" si="51"/>
        <v/>
      </c>
      <c r="AB6614" s="86"/>
    </row>
    <row r="6615" spans="6:30" x14ac:dyDescent="0.25">
      <c r="F6615" s="85" t="str">
        <f t="shared" si="51"/>
        <v/>
      </c>
      <c r="AB6615" s="86"/>
      <c r="AD6615" s="100"/>
    </row>
    <row r="6616" spans="6:30" x14ac:dyDescent="0.25">
      <c r="F6616" s="85" t="str">
        <f t="shared" si="51"/>
        <v/>
      </c>
      <c r="AB6616" s="86"/>
      <c r="AD6616" s="100"/>
    </row>
    <row r="6617" spans="6:30" x14ac:dyDescent="0.25">
      <c r="F6617" s="85" t="str">
        <f t="shared" si="51"/>
        <v/>
      </c>
      <c r="AB6617" s="86"/>
      <c r="AD6617" s="100"/>
    </row>
    <row r="6618" spans="6:30" x14ac:dyDescent="0.25">
      <c r="F6618" s="85" t="str">
        <f t="shared" si="51"/>
        <v/>
      </c>
      <c r="AB6618" s="86"/>
      <c r="AD6618" s="100"/>
    </row>
    <row r="6619" spans="6:30" x14ac:dyDescent="0.25">
      <c r="F6619" s="85" t="str">
        <f t="shared" si="51"/>
        <v/>
      </c>
      <c r="AB6619" s="86"/>
      <c r="AD6619" s="100"/>
    </row>
    <row r="6620" spans="6:30" x14ac:dyDescent="0.25">
      <c r="F6620" s="85" t="str">
        <f t="shared" si="51"/>
        <v/>
      </c>
      <c r="AB6620" s="86"/>
      <c r="AD6620" s="100"/>
    </row>
    <row r="6621" spans="6:30" x14ac:dyDescent="0.25">
      <c r="F6621" s="85" t="str">
        <f t="shared" si="51"/>
        <v/>
      </c>
      <c r="AB6621" s="86"/>
      <c r="AD6621" s="100"/>
    </row>
    <row r="6622" spans="6:30" x14ac:dyDescent="0.25">
      <c r="F6622" s="85" t="str">
        <f t="shared" si="51"/>
        <v/>
      </c>
      <c r="AB6622" s="86"/>
    </row>
    <row r="6623" spans="6:30" x14ac:dyDescent="0.25">
      <c r="F6623" s="85" t="str">
        <f t="shared" si="51"/>
        <v/>
      </c>
      <c r="AB6623" s="86"/>
    </row>
    <row r="6624" spans="6:30" x14ac:dyDescent="0.25">
      <c r="F6624" s="85" t="str">
        <f t="shared" si="51"/>
        <v/>
      </c>
      <c r="AB6624" s="86"/>
      <c r="AD6624" s="100"/>
    </row>
    <row r="6625" spans="6:30" x14ac:dyDescent="0.25">
      <c r="F6625" s="85" t="str">
        <f t="shared" si="51"/>
        <v/>
      </c>
      <c r="AB6625" s="86"/>
    </row>
    <row r="6626" spans="6:30" x14ac:dyDescent="0.25">
      <c r="F6626" s="85" t="str">
        <f t="shared" si="51"/>
        <v/>
      </c>
      <c r="AB6626" s="86"/>
    </row>
    <row r="6627" spans="6:30" x14ac:dyDescent="0.25">
      <c r="F6627" s="85" t="str">
        <f t="shared" si="51"/>
        <v/>
      </c>
      <c r="AB6627" s="86"/>
    </row>
    <row r="6628" spans="6:30" x14ac:dyDescent="0.25">
      <c r="F6628" s="85" t="str">
        <f t="shared" si="51"/>
        <v/>
      </c>
      <c r="AB6628" s="86"/>
      <c r="AD6628" s="100"/>
    </row>
    <row r="6629" spans="6:30" x14ac:dyDescent="0.25">
      <c r="F6629" s="85" t="str">
        <f t="shared" si="51"/>
        <v/>
      </c>
      <c r="AB6629" s="86"/>
      <c r="AD6629" s="100"/>
    </row>
    <row r="6630" spans="6:30" x14ac:dyDescent="0.25">
      <c r="F6630" s="85" t="str">
        <f t="shared" si="51"/>
        <v/>
      </c>
      <c r="AB6630" s="86"/>
      <c r="AD6630" s="100"/>
    </row>
    <row r="6631" spans="6:30" x14ac:dyDescent="0.25">
      <c r="F6631" s="85" t="str">
        <f t="shared" si="51"/>
        <v/>
      </c>
      <c r="AB6631" s="86"/>
      <c r="AD6631" s="100"/>
    </row>
    <row r="6632" spans="6:30" x14ac:dyDescent="0.25">
      <c r="F6632" s="85" t="str">
        <f t="shared" si="51"/>
        <v/>
      </c>
      <c r="AB6632" s="86"/>
    </row>
    <row r="6633" spans="6:30" x14ac:dyDescent="0.25">
      <c r="F6633" s="85" t="str">
        <f t="shared" si="51"/>
        <v/>
      </c>
      <c r="AB6633" s="86"/>
      <c r="AD6633" s="100"/>
    </row>
    <row r="6634" spans="6:30" x14ac:dyDescent="0.25">
      <c r="F6634" s="85" t="str">
        <f t="shared" si="51"/>
        <v/>
      </c>
      <c r="AB6634" s="86"/>
      <c r="AD6634" s="100"/>
    </row>
    <row r="6635" spans="6:30" x14ac:dyDescent="0.25">
      <c r="F6635" s="85" t="str">
        <f t="shared" si="51"/>
        <v/>
      </c>
      <c r="AB6635" s="86"/>
      <c r="AD6635" s="100"/>
    </row>
    <row r="6636" spans="6:30" x14ac:dyDescent="0.25">
      <c r="F6636" s="85" t="str">
        <f t="shared" si="51"/>
        <v/>
      </c>
      <c r="AB6636" s="86"/>
      <c r="AD6636" s="100"/>
    </row>
    <row r="6637" spans="6:30" x14ac:dyDescent="0.25">
      <c r="F6637" s="85" t="str">
        <f t="shared" si="51"/>
        <v/>
      </c>
      <c r="AB6637" s="86"/>
    </row>
    <row r="6638" spans="6:30" x14ac:dyDescent="0.25">
      <c r="F6638" s="85" t="str">
        <f t="shared" si="51"/>
        <v/>
      </c>
      <c r="AB6638" s="86"/>
    </row>
    <row r="6639" spans="6:30" x14ac:dyDescent="0.25">
      <c r="F6639" s="85" t="str">
        <f t="shared" si="51"/>
        <v/>
      </c>
      <c r="AB6639" s="86"/>
    </row>
    <row r="6640" spans="6:30" x14ac:dyDescent="0.25">
      <c r="F6640" s="85" t="str">
        <f t="shared" si="51"/>
        <v/>
      </c>
      <c r="AB6640" s="86"/>
      <c r="AD6640" s="100"/>
    </row>
    <row r="6641" spans="6:30" x14ac:dyDescent="0.25">
      <c r="F6641" s="85" t="str">
        <f t="shared" si="51"/>
        <v/>
      </c>
      <c r="AB6641" s="86"/>
      <c r="AD6641" s="100"/>
    </row>
    <row r="6642" spans="6:30" x14ac:dyDescent="0.25">
      <c r="F6642" s="85" t="str">
        <f t="shared" si="51"/>
        <v/>
      </c>
      <c r="AB6642" s="86"/>
      <c r="AD6642" s="100"/>
    </row>
    <row r="6643" spans="6:30" x14ac:dyDescent="0.25">
      <c r="F6643" s="85" t="str">
        <f t="shared" si="51"/>
        <v/>
      </c>
      <c r="AB6643" s="86"/>
      <c r="AD6643" s="100"/>
    </row>
    <row r="6644" spans="6:30" x14ac:dyDescent="0.25">
      <c r="F6644" s="85" t="str">
        <f t="shared" si="51"/>
        <v/>
      </c>
      <c r="AB6644" s="86"/>
    </row>
    <row r="6645" spans="6:30" x14ac:dyDescent="0.25">
      <c r="F6645" s="85" t="str">
        <f t="shared" si="51"/>
        <v/>
      </c>
      <c r="AB6645" s="86"/>
    </row>
    <row r="6646" spans="6:30" x14ac:dyDescent="0.25">
      <c r="F6646" s="85" t="str">
        <f t="shared" si="51"/>
        <v/>
      </c>
      <c r="AB6646" s="86"/>
      <c r="AD6646" s="100"/>
    </row>
    <row r="6647" spans="6:30" x14ac:dyDescent="0.25">
      <c r="F6647" s="85" t="str">
        <f t="shared" si="51"/>
        <v/>
      </c>
      <c r="AB6647" s="86"/>
      <c r="AD6647" s="100"/>
    </row>
    <row r="6648" spans="6:30" x14ac:dyDescent="0.25">
      <c r="F6648" s="85" t="str">
        <f t="shared" si="51"/>
        <v/>
      </c>
      <c r="AB6648" s="86"/>
      <c r="AD6648" s="100"/>
    </row>
    <row r="6649" spans="6:30" x14ac:dyDescent="0.25">
      <c r="F6649" s="85" t="str">
        <f t="shared" si="51"/>
        <v/>
      </c>
      <c r="AB6649" s="86"/>
      <c r="AD6649" s="100"/>
    </row>
    <row r="6650" spans="6:30" x14ac:dyDescent="0.25">
      <c r="F6650" s="85" t="str">
        <f t="shared" si="51"/>
        <v/>
      </c>
      <c r="AB6650" s="86"/>
      <c r="AD6650" s="100"/>
    </row>
    <row r="6651" spans="6:30" x14ac:dyDescent="0.25">
      <c r="F6651" s="85" t="str">
        <f t="shared" si="51"/>
        <v/>
      </c>
      <c r="AB6651" s="86"/>
      <c r="AD6651" s="100"/>
    </row>
    <row r="6652" spans="6:30" x14ac:dyDescent="0.25">
      <c r="F6652" s="85" t="str">
        <f t="shared" si="51"/>
        <v/>
      </c>
      <c r="AB6652" s="86"/>
      <c r="AD6652" s="100"/>
    </row>
    <row r="6653" spans="6:30" x14ac:dyDescent="0.25">
      <c r="F6653" s="85" t="str">
        <f t="shared" si="51"/>
        <v/>
      </c>
      <c r="AB6653" s="86"/>
      <c r="AD6653" s="100"/>
    </row>
    <row r="6654" spans="6:30" x14ac:dyDescent="0.25">
      <c r="F6654" s="85" t="str">
        <f t="shared" si="51"/>
        <v/>
      </c>
      <c r="AB6654" s="86"/>
      <c r="AD6654" s="100"/>
    </row>
    <row r="6655" spans="6:30" x14ac:dyDescent="0.25">
      <c r="F6655" s="85" t="str">
        <f t="shared" si="51"/>
        <v/>
      </c>
      <c r="AB6655" s="86"/>
      <c r="AD6655" s="100"/>
    </row>
    <row r="6656" spans="6:30" x14ac:dyDescent="0.25">
      <c r="F6656" s="85" t="str">
        <f t="shared" si="51"/>
        <v/>
      </c>
      <c r="AB6656" s="86"/>
    </row>
    <row r="6657" spans="6:30" x14ac:dyDescent="0.25">
      <c r="F6657" s="85" t="str">
        <f t="shared" si="51"/>
        <v/>
      </c>
      <c r="AB6657" s="86"/>
      <c r="AD6657" s="100"/>
    </row>
    <row r="6658" spans="6:30" x14ac:dyDescent="0.25">
      <c r="F6658" s="85" t="str">
        <f t="shared" si="51"/>
        <v/>
      </c>
      <c r="AB6658" s="86"/>
      <c r="AD6658" s="100"/>
    </row>
    <row r="6659" spans="6:30" x14ac:dyDescent="0.25">
      <c r="F6659" s="85" t="str">
        <f t="shared" ref="F6659:F6722" si="52">IF($A6659="","",CONCATENATE($A6659,"_",$B6659,"_",$C6659))</f>
        <v/>
      </c>
      <c r="AB6659" s="86"/>
      <c r="AD6659" s="100"/>
    </row>
    <row r="6660" spans="6:30" x14ac:dyDescent="0.25">
      <c r="F6660" s="85" t="str">
        <f t="shared" si="52"/>
        <v/>
      </c>
      <c r="AB6660" s="86"/>
      <c r="AD6660" s="100"/>
    </row>
    <row r="6661" spans="6:30" x14ac:dyDescent="0.25">
      <c r="F6661" s="85" t="str">
        <f t="shared" si="52"/>
        <v/>
      </c>
      <c r="AB6661" s="86"/>
    </row>
    <row r="6662" spans="6:30" x14ac:dyDescent="0.25">
      <c r="F6662" s="85" t="str">
        <f t="shared" si="52"/>
        <v/>
      </c>
      <c r="AB6662" s="86"/>
      <c r="AD6662" s="100"/>
    </row>
    <row r="6663" spans="6:30" x14ac:dyDescent="0.25">
      <c r="F6663" s="85" t="str">
        <f t="shared" si="52"/>
        <v/>
      </c>
      <c r="AB6663" s="86"/>
      <c r="AD6663" s="100"/>
    </row>
    <row r="6664" spans="6:30" x14ac:dyDescent="0.25">
      <c r="F6664" s="85" t="str">
        <f t="shared" si="52"/>
        <v/>
      </c>
      <c r="AB6664" s="86"/>
      <c r="AD6664" s="100"/>
    </row>
    <row r="6665" spans="6:30" x14ac:dyDescent="0.25">
      <c r="F6665" s="85" t="str">
        <f t="shared" si="52"/>
        <v/>
      </c>
      <c r="AB6665" s="86"/>
      <c r="AD6665" s="100"/>
    </row>
    <row r="6666" spans="6:30" x14ac:dyDescent="0.25">
      <c r="F6666" s="85" t="str">
        <f t="shared" si="52"/>
        <v/>
      </c>
      <c r="AB6666" s="86"/>
      <c r="AD6666" s="100"/>
    </row>
    <row r="6667" spans="6:30" x14ac:dyDescent="0.25">
      <c r="F6667" s="85" t="str">
        <f t="shared" si="52"/>
        <v/>
      </c>
      <c r="AB6667" s="86"/>
      <c r="AD6667" s="100"/>
    </row>
    <row r="6668" spans="6:30" x14ac:dyDescent="0.25">
      <c r="F6668" s="85" t="str">
        <f t="shared" si="52"/>
        <v/>
      </c>
      <c r="AB6668" s="86"/>
      <c r="AD6668" s="100"/>
    </row>
    <row r="6669" spans="6:30" x14ac:dyDescent="0.25">
      <c r="F6669" s="85" t="str">
        <f t="shared" si="52"/>
        <v/>
      </c>
      <c r="AB6669" s="86"/>
      <c r="AD6669" s="100"/>
    </row>
    <row r="6670" spans="6:30" x14ac:dyDescent="0.25">
      <c r="F6670" s="85" t="str">
        <f t="shared" si="52"/>
        <v/>
      </c>
      <c r="AB6670" s="86"/>
      <c r="AD6670" s="100"/>
    </row>
    <row r="6671" spans="6:30" x14ac:dyDescent="0.25">
      <c r="F6671" s="85" t="str">
        <f t="shared" si="52"/>
        <v/>
      </c>
      <c r="AB6671" s="86"/>
    </row>
    <row r="6672" spans="6:30" x14ac:dyDescent="0.25">
      <c r="F6672" s="85" t="str">
        <f t="shared" si="52"/>
        <v/>
      </c>
      <c r="AB6672" s="86"/>
    </row>
    <row r="6673" spans="6:30" x14ac:dyDescent="0.25">
      <c r="F6673" s="85" t="str">
        <f t="shared" si="52"/>
        <v/>
      </c>
      <c r="AB6673" s="86"/>
    </row>
    <row r="6674" spans="6:30" x14ac:dyDescent="0.25">
      <c r="F6674" s="85" t="str">
        <f t="shared" si="52"/>
        <v/>
      </c>
      <c r="AB6674" s="86"/>
      <c r="AD6674" s="100"/>
    </row>
    <row r="6675" spans="6:30" x14ac:dyDescent="0.25">
      <c r="F6675" s="85" t="str">
        <f t="shared" si="52"/>
        <v/>
      </c>
      <c r="AB6675" s="86"/>
    </row>
    <row r="6676" spans="6:30" x14ac:dyDescent="0.25">
      <c r="F6676" s="85" t="str">
        <f t="shared" si="52"/>
        <v/>
      </c>
      <c r="AB6676" s="86"/>
    </row>
    <row r="6677" spans="6:30" x14ac:dyDescent="0.25">
      <c r="F6677" s="85" t="str">
        <f t="shared" si="52"/>
        <v/>
      </c>
      <c r="AB6677" s="86"/>
    </row>
    <row r="6678" spans="6:30" x14ac:dyDescent="0.25">
      <c r="F6678" s="85" t="str">
        <f t="shared" si="52"/>
        <v/>
      </c>
      <c r="AB6678" s="86"/>
    </row>
    <row r="6679" spans="6:30" x14ac:dyDescent="0.25">
      <c r="F6679" s="85" t="str">
        <f t="shared" si="52"/>
        <v/>
      </c>
      <c r="AB6679" s="86"/>
    </row>
    <row r="6680" spans="6:30" x14ac:dyDescent="0.25">
      <c r="F6680" s="85" t="str">
        <f t="shared" si="52"/>
        <v/>
      </c>
      <c r="AB6680" s="86"/>
      <c r="AD6680" s="100"/>
    </row>
    <row r="6681" spans="6:30" x14ac:dyDescent="0.25">
      <c r="F6681" s="85" t="str">
        <f t="shared" si="52"/>
        <v/>
      </c>
      <c r="AB6681" s="86"/>
      <c r="AD6681" s="100"/>
    </row>
    <row r="6682" spans="6:30" x14ac:dyDescent="0.25">
      <c r="F6682" s="85" t="str">
        <f t="shared" si="52"/>
        <v/>
      </c>
      <c r="AB6682" s="86"/>
      <c r="AD6682" s="100"/>
    </row>
    <row r="6683" spans="6:30" x14ac:dyDescent="0.25">
      <c r="F6683" s="85" t="str">
        <f t="shared" si="52"/>
        <v/>
      </c>
      <c r="AB6683" s="86"/>
      <c r="AD6683" s="100"/>
    </row>
    <row r="6684" spans="6:30" x14ac:dyDescent="0.25">
      <c r="F6684" s="85" t="str">
        <f t="shared" si="52"/>
        <v/>
      </c>
      <c r="AB6684" s="86"/>
      <c r="AD6684" s="100"/>
    </row>
    <row r="6685" spans="6:30" x14ac:dyDescent="0.25">
      <c r="F6685" s="85" t="str">
        <f t="shared" si="52"/>
        <v/>
      </c>
      <c r="AB6685" s="86"/>
    </row>
    <row r="6686" spans="6:30" x14ac:dyDescent="0.25">
      <c r="F6686" s="85" t="str">
        <f t="shared" si="52"/>
        <v/>
      </c>
      <c r="AB6686" s="86"/>
    </row>
    <row r="6687" spans="6:30" x14ac:dyDescent="0.25">
      <c r="F6687" s="85" t="str">
        <f t="shared" si="52"/>
        <v/>
      </c>
      <c r="AB6687" s="86"/>
      <c r="AD6687" s="100"/>
    </row>
    <row r="6688" spans="6:30" x14ac:dyDescent="0.25">
      <c r="F6688" s="85" t="str">
        <f t="shared" si="52"/>
        <v/>
      </c>
      <c r="AB6688" s="86"/>
      <c r="AD6688" s="100"/>
    </row>
    <row r="6689" spans="6:30" x14ac:dyDescent="0.25">
      <c r="F6689" s="85" t="str">
        <f t="shared" si="52"/>
        <v/>
      </c>
      <c r="AB6689" s="86"/>
      <c r="AD6689" s="100"/>
    </row>
    <row r="6690" spans="6:30" x14ac:dyDescent="0.25">
      <c r="F6690" s="85" t="str">
        <f t="shared" si="52"/>
        <v/>
      </c>
      <c r="AB6690" s="86"/>
      <c r="AD6690" s="100"/>
    </row>
    <row r="6691" spans="6:30" x14ac:dyDescent="0.25">
      <c r="F6691" s="85" t="str">
        <f t="shared" si="52"/>
        <v/>
      </c>
      <c r="AB6691" s="86"/>
      <c r="AD6691" s="100"/>
    </row>
    <row r="6692" spans="6:30" x14ac:dyDescent="0.25">
      <c r="F6692" s="85" t="str">
        <f t="shared" si="52"/>
        <v/>
      </c>
      <c r="AB6692" s="86"/>
      <c r="AD6692" s="100"/>
    </row>
    <row r="6693" spans="6:30" x14ac:dyDescent="0.25">
      <c r="F6693" s="85" t="str">
        <f t="shared" si="52"/>
        <v/>
      </c>
      <c r="AB6693" s="86"/>
      <c r="AD6693" s="100"/>
    </row>
    <row r="6694" spans="6:30" x14ac:dyDescent="0.25">
      <c r="F6694" s="85" t="str">
        <f t="shared" si="52"/>
        <v/>
      </c>
      <c r="AB6694" s="86"/>
    </row>
    <row r="6695" spans="6:30" x14ac:dyDescent="0.25">
      <c r="F6695" s="85" t="str">
        <f t="shared" si="52"/>
        <v/>
      </c>
      <c r="AB6695" s="86"/>
      <c r="AD6695" s="100"/>
    </row>
    <row r="6696" spans="6:30" x14ac:dyDescent="0.25">
      <c r="F6696" s="85" t="str">
        <f t="shared" si="52"/>
        <v/>
      </c>
      <c r="AB6696" s="86"/>
    </row>
    <row r="6697" spans="6:30" x14ac:dyDescent="0.25">
      <c r="F6697" s="85" t="str">
        <f t="shared" si="52"/>
        <v/>
      </c>
      <c r="AB6697" s="86"/>
    </row>
    <row r="6698" spans="6:30" x14ac:dyDescent="0.25">
      <c r="F6698" s="85" t="str">
        <f t="shared" si="52"/>
        <v/>
      </c>
      <c r="AB6698" s="86"/>
      <c r="AD6698" s="100"/>
    </row>
    <row r="6699" spans="6:30" x14ac:dyDescent="0.25">
      <c r="F6699" s="85" t="str">
        <f t="shared" si="52"/>
        <v/>
      </c>
      <c r="AB6699" s="86"/>
      <c r="AD6699" s="100"/>
    </row>
    <row r="6700" spans="6:30" x14ac:dyDescent="0.25">
      <c r="F6700" s="85" t="str">
        <f t="shared" si="52"/>
        <v/>
      </c>
      <c r="AB6700" s="86"/>
    </row>
    <row r="6701" spans="6:30" x14ac:dyDescent="0.25">
      <c r="F6701" s="85" t="str">
        <f t="shared" si="52"/>
        <v/>
      </c>
      <c r="AB6701" s="86"/>
    </row>
    <row r="6702" spans="6:30" x14ac:dyDescent="0.25">
      <c r="F6702" s="85" t="str">
        <f t="shared" si="52"/>
        <v/>
      </c>
      <c r="AB6702" s="86"/>
    </row>
    <row r="6703" spans="6:30" x14ac:dyDescent="0.25">
      <c r="F6703" s="85" t="str">
        <f t="shared" si="52"/>
        <v/>
      </c>
      <c r="AB6703" s="86"/>
      <c r="AD6703" s="100"/>
    </row>
    <row r="6704" spans="6:30" x14ac:dyDescent="0.25">
      <c r="F6704" s="85" t="str">
        <f t="shared" si="52"/>
        <v/>
      </c>
      <c r="AB6704" s="86"/>
    </row>
    <row r="6705" spans="6:30" x14ac:dyDescent="0.25">
      <c r="F6705" s="85" t="str">
        <f t="shared" si="52"/>
        <v/>
      </c>
      <c r="AB6705" s="86"/>
    </row>
    <row r="6706" spans="6:30" x14ac:dyDescent="0.25">
      <c r="F6706" s="85" t="str">
        <f t="shared" si="52"/>
        <v/>
      </c>
      <c r="AB6706" s="86"/>
      <c r="AD6706" s="100"/>
    </row>
    <row r="6707" spans="6:30" x14ac:dyDescent="0.25">
      <c r="F6707" s="85" t="str">
        <f t="shared" si="52"/>
        <v/>
      </c>
      <c r="AB6707" s="86"/>
      <c r="AD6707" s="100"/>
    </row>
    <row r="6708" spans="6:30" x14ac:dyDescent="0.25">
      <c r="F6708" s="85" t="str">
        <f t="shared" si="52"/>
        <v/>
      </c>
      <c r="AB6708" s="86"/>
      <c r="AD6708" s="100"/>
    </row>
    <row r="6709" spans="6:30" x14ac:dyDescent="0.25">
      <c r="F6709" s="85" t="str">
        <f t="shared" si="52"/>
        <v/>
      </c>
      <c r="AB6709" s="86"/>
      <c r="AD6709" s="100"/>
    </row>
    <row r="6710" spans="6:30" x14ac:dyDescent="0.25">
      <c r="F6710" s="85" t="str">
        <f t="shared" si="52"/>
        <v/>
      </c>
      <c r="AB6710" s="86"/>
      <c r="AD6710" s="100"/>
    </row>
    <row r="6711" spans="6:30" x14ac:dyDescent="0.25">
      <c r="F6711" s="85" t="str">
        <f t="shared" si="52"/>
        <v/>
      </c>
      <c r="AB6711" s="86"/>
    </row>
    <row r="6712" spans="6:30" x14ac:dyDescent="0.25">
      <c r="F6712" s="85" t="str">
        <f t="shared" si="52"/>
        <v/>
      </c>
      <c r="AB6712" s="86"/>
    </row>
    <row r="6713" spans="6:30" x14ac:dyDescent="0.25">
      <c r="F6713" s="85" t="str">
        <f t="shared" si="52"/>
        <v/>
      </c>
      <c r="AB6713" s="86"/>
      <c r="AD6713" s="100"/>
    </row>
    <row r="6714" spans="6:30" x14ac:dyDescent="0.25">
      <c r="F6714" s="85" t="str">
        <f t="shared" si="52"/>
        <v/>
      </c>
      <c r="AB6714" s="86"/>
      <c r="AD6714" s="100"/>
    </row>
    <row r="6715" spans="6:30" x14ac:dyDescent="0.25">
      <c r="F6715" s="85" t="str">
        <f t="shared" si="52"/>
        <v/>
      </c>
      <c r="AB6715" s="86"/>
      <c r="AD6715" s="100"/>
    </row>
    <row r="6716" spans="6:30" x14ac:dyDescent="0.25">
      <c r="F6716" s="85" t="str">
        <f t="shared" si="52"/>
        <v/>
      </c>
      <c r="AB6716" s="86"/>
      <c r="AD6716" s="100"/>
    </row>
    <row r="6717" spans="6:30" x14ac:dyDescent="0.25">
      <c r="F6717" s="85" t="str">
        <f t="shared" si="52"/>
        <v/>
      </c>
      <c r="AB6717" s="86"/>
      <c r="AD6717" s="100"/>
    </row>
    <row r="6718" spans="6:30" x14ac:dyDescent="0.25">
      <c r="F6718" s="85" t="str">
        <f t="shared" si="52"/>
        <v/>
      </c>
      <c r="AB6718" s="86"/>
      <c r="AD6718" s="100"/>
    </row>
    <row r="6719" spans="6:30" x14ac:dyDescent="0.25">
      <c r="F6719" s="85" t="str">
        <f t="shared" si="52"/>
        <v/>
      </c>
      <c r="AB6719" s="86"/>
    </row>
    <row r="6720" spans="6:30" x14ac:dyDescent="0.25">
      <c r="F6720" s="85" t="str">
        <f t="shared" si="52"/>
        <v/>
      </c>
      <c r="AB6720" s="86"/>
    </row>
    <row r="6721" spans="6:30" x14ac:dyDescent="0.25">
      <c r="F6721" s="85" t="str">
        <f t="shared" si="52"/>
        <v/>
      </c>
      <c r="AB6721" s="86"/>
      <c r="AD6721" s="100"/>
    </row>
    <row r="6722" spans="6:30" x14ac:dyDescent="0.25">
      <c r="F6722" s="85" t="str">
        <f t="shared" si="52"/>
        <v/>
      </c>
      <c r="AB6722" s="86"/>
      <c r="AD6722" s="100"/>
    </row>
    <row r="6723" spans="6:30" x14ac:dyDescent="0.25">
      <c r="F6723" s="85" t="str">
        <f t="shared" ref="F6723:F6786" si="53">IF($A6723="","",CONCATENATE($A6723,"_",$B6723,"_",$C6723))</f>
        <v/>
      </c>
      <c r="AB6723" s="86"/>
      <c r="AD6723" s="100"/>
    </row>
    <row r="6724" spans="6:30" x14ac:dyDescent="0.25">
      <c r="F6724" s="85" t="str">
        <f t="shared" si="53"/>
        <v/>
      </c>
      <c r="AB6724" s="86"/>
      <c r="AD6724" s="100"/>
    </row>
    <row r="6725" spans="6:30" x14ac:dyDescent="0.25">
      <c r="F6725" s="85" t="str">
        <f t="shared" si="53"/>
        <v/>
      </c>
      <c r="AB6725" s="86"/>
      <c r="AD6725" s="100"/>
    </row>
    <row r="6726" spans="6:30" x14ac:dyDescent="0.25">
      <c r="F6726" s="85" t="str">
        <f t="shared" si="53"/>
        <v/>
      </c>
      <c r="AB6726" s="86"/>
      <c r="AD6726" s="100"/>
    </row>
    <row r="6727" spans="6:30" x14ac:dyDescent="0.25">
      <c r="F6727" s="85" t="str">
        <f t="shared" si="53"/>
        <v/>
      </c>
      <c r="AB6727" s="86"/>
      <c r="AD6727" s="100"/>
    </row>
    <row r="6728" spans="6:30" x14ac:dyDescent="0.25">
      <c r="F6728" s="85" t="str">
        <f t="shared" si="53"/>
        <v/>
      </c>
      <c r="AB6728" s="86"/>
      <c r="AD6728" s="100"/>
    </row>
    <row r="6729" spans="6:30" x14ac:dyDescent="0.25">
      <c r="F6729" s="85" t="str">
        <f t="shared" si="53"/>
        <v/>
      </c>
      <c r="AB6729" s="86"/>
      <c r="AD6729" s="100"/>
    </row>
    <row r="6730" spans="6:30" x14ac:dyDescent="0.25">
      <c r="F6730" s="85" t="str">
        <f t="shared" si="53"/>
        <v/>
      </c>
      <c r="AB6730" s="86"/>
      <c r="AD6730" s="100"/>
    </row>
    <row r="6731" spans="6:30" x14ac:dyDescent="0.25">
      <c r="F6731" s="85" t="str">
        <f t="shared" si="53"/>
        <v/>
      </c>
      <c r="AB6731" s="86"/>
      <c r="AD6731" s="100"/>
    </row>
    <row r="6732" spans="6:30" x14ac:dyDescent="0.25">
      <c r="F6732" s="85" t="str">
        <f t="shared" si="53"/>
        <v/>
      </c>
      <c r="AB6732" s="86"/>
      <c r="AD6732" s="100"/>
    </row>
    <row r="6733" spans="6:30" x14ac:dyDescent="0.25">
      <c r="F6733" s="85" t="str">
        <f t="shared" si="53"/>
        <v/>
      </c>
      <c r="AB6733" s="86"/>
      <c r="AD6733" s="100"/>
    </row>
    <row r="6734" spans="6:30" x14ac:dyDescent="0.25">
      <c r="F6734" s="85" t="str">
        <f t="shared" si="53"/>
        <v/>
      </c>
      <c r="AB6734" s="86"/>
      <c r="AD6734" s="100"/>
    </row>
    <row r="6735" spans="6:30" x14ac:dyDescent="0.25">
      <c r="F6735" s="85" t="str">
        <f t="shared" si="53"/>
        <v/>
      </c>
      <c r="AB6735" s="86"/>
      <c r="AD6735" s="100"/>
    </row>
    <row r="6736" spans="6:30" x14ac:dyDescent="0.25">
      <c r="F6736" s="85" t="str">
        <f t="shared" si="53"/>
        <v/>
      </c>
      <c r="AB6736" s="86"/>
      <c r="AD6736" s="100"/>
    </row>
    <row r="6737" spans="6:30" x14ac:dyDescent="0.25">
      <c r="F6737" s="85" t="str">
        <f t="shared" si="53"/>
        <v/>
      </c>
      <c r="AB6737" s="86"/>
      <c r="AD6737" s="100"/>
    </row>
    <row r="6738" spans="6:30" x14ac:dyDescent="0.25">
      <c r="F6738" s="85" t="str">
        <f t="shared" si="53"/>
        <v/>
      </c>
      <c r="AB6738" s="86"/>
      <c r="AD6738" s="100"/>
    </row>
    <row r="6739" spans="6:30" x14ac:dyDescent="0.25">
      <c r="F6739" s="85" t="str">
        <f t="shared" si="53"/>
        <v/>
      </c>
      <c r="AB6739" s="86"/>
      <c r="AD6739" s="100"/>
    </row>
    <row r="6740" spans="6:30" x14ac:dyDescent="0.25">
      <c r="F6740" s="85" t="str">
        <f t="shared" si="53"/>
        <v/>
      </c>
      <c r="AB6740" s="86"/>
      <c r="AD6740" s="100"/>
    </row>
    <row r="6741" spans="6:30" x14ac:dyDescent="0.25">
      <c r="F6741" s="85" t="str">
        <f t="shared" si="53"/>
        <v/>
      </c>
      <c r="AB6741" s="86"/>
      <c r="AD6741" s="100"/>
    </row>
    <row r="6742" spans="6:30" x14ac:dyDescent="0.25">
      <c r="F6742" s="85" t="str">
        <f t="shared" si="53"/>
        <v/>
      </c>
      <c r="AB6742" s="86"/>
    </row>
    <row r="6743" spans="6:30" x14ac:dyDescent="0.25">
      <c r="F6743" s="85" t="str">
        <f t="shared" si="53"/>
        <v/>
      </c>
      <c r="AB6743" s="86"/>
      <c r="AD6743" s="100"/>
    </row>
    <row r="6744" spans="6:30" x14ac:dyDescent="0.25">
      <c r="F6744" s="85" t="str">
        <f t="shared" si="53"/>
        <v/>
      </c>
      <c r="AB6744" s="86"/>
      <c r="AD6744" s="100"/>
    </row>
    <row r="6745" spans="6:30" x14ac:dyDescent="0.25">
      <c r="F6745" s="85" t="str">
        <f t="shared" si="53"/>
        <v/>
      </c>
      <c r="AB6745" s="86"/>
      <c r="AD6745" s="100"/>
    </row>
    <row r="6746" spans="6:30" x14ac:dyDescent="0.25">
      <c r="F6746" s="85" t="str">
        <f t="shared" si="53"/>
        <v/>
      </c>
      <c r="AB6746" s="86"/>
      <c r="AD6746" s="100"/>
    </row>
    <row r="6747" spans="6:30" x14ac:dyDescent="0.25">
      <c r="F6747" s="85" t="str">
        <f t="shared" si="53"/>
        <v/>
      </c>
      <c r="AB6747" s="86"/>
      <c r="AD6747" s="100"/>
    </row>
    <row r="6748" spans="6:30" x14ac:dyDescent="0.25">
      <c r="F6748" s="85" t="str">
        <f t="shared" si="53"/>
        <v/>
      </c>
      <c r="AB6748" s="86"/>
      <c r="AD6748" s="100"/>
    </row>
    <row r="6749" spans="6:30" x14ac:dyDescent="0.25">
      <c r="F6749" s="85" t="str">
        <f t="shared" si="53"/>
        <v/>
      </c>
      <c r="AB6749" s="86"/>
      <c r="AD6749" s="100"/>
    </row>
    <row r="6750" spans="6:30" x14ac:dyDescent="0.25">
      <c r="F6750" s="85" t="str">
        <f t="shared" si="53"/>
        <v/>
      </c>
      <c r="AB6750" s="86"/>
      <c r="AD6750" s="100"/>
    </row>
    <row r="6751" spans="6:30" x14ac:dyDescent="0.25">
      <c r="F6751" s="85" t="str">
        <f t="shared" si="53"/>
        <v/>
      </c>
      <c r="AB6751" s="86"/>
      <c r="AD6751" s="100"/>
    </row>
    <row r="6752" spans="6:30" x14ac:dyDescent="0.25">
      <c r="F6752" s="85" t="str">
        <f t="shared" si="53"/>
        <v/>
      </c>
      <c r="AB6752" s="86"/>
      <c r="AD6752" s="100"/>
    </row>
    <row r="6753" spans="6:30" x14ac:dyDescent="0.25">
      <c r="F6753" s="85" t="str">
        <f t="shared" si="53"/>
        <v/>
      </c>
      <c r="AB6753" s="86"/>
      <c r="AD6753" s="100"/>
    </row>
    <row r="6754" spans="6:30" x14ac:dyDescent="0.25">
      <c r="F6754" s="85" t="str">
        <f t="shared" si="53"/>
        <v/>
      </c>
      <c r="AB6754" s="86"/>
      <c r="AD6754" s="100"/>
    </row>
    <row r="6755" spans="6:30" x14ac:dyDescent="0.25">
      <c r="F6755" s="85" t="str">
        <f t="shared" si="53"/>
        <v/>
      </c>
      <c r="AB6755" s="86"/>
      <c r="AD6755" s="100"/>
    </row>
    <row r="6756" spans="6:30" x14ac:dyDescent="0.25">
      <c r="F6756" s="85" t="str">
        <f t="shared" si="53"/>
        <v/>
      </c>
      <c r="AB6756" s="86"/>
    </row>
    <row r="6757" spans="6:30" x14ac:dyDescent="0.25">
      <c r="F6757" s="85" t="str">
        <f t="shared" si="53"/>
        <v/>
      </c>
      <c r="AB6757" s="86"/>
      <c r="AD6757" s="100"/>
    </row>
    <row r="6758" spans="6:30" x14ac:dyDescent="0.25">
      <c r="F6758" s="85" t="str">
        <f t="shared" si="53"/>
        <v/>
      </c>
      <c r="AB6758" s="86"/>
      <c r="AD6758" s="100"/>
    </row>
    <row r="6759" spans="6:30" x14ac:dyDescent="0.25">
      <c r="F6759" s="85" t="str">
        <f t="shared" si="53"/>
        <v/>
      </c>
      <c r="AB6759" s="86"/>
      <c r="AD6759" s="100"/>
    </row>
    <row r="6760" spans="6:30" x14ac:dyDescent="0.25">
      <c r="F6760" s="85" t="str">
        <f t="shared" si="53"/>
        <v/>
      </c>
      <c r="AB6760" s="86"/>
      <c r="AD6760" s="100"/>
    </row>
    <row r="6761" spans="6:30" x14ac:dyDescent="0.25">
      <c r="F6761" s="85" t="str">
        <f t="shared" si="53"/>
        <v/>
      </c>
      <c r="AB6761" s="86"/>
    </row>
    <row r="6762" spans="6:30" x14ac:dyDescent="0.25">
      <c r="F6762" s="85" t="str">
        <f t="shared" si="53"/>
        <v/>
      </c>
      <c r="AB6762" s="86"/>
      <c r="AD6762" s="100"/>
    </row>
    <row r="6763" spans="6:30" x14ac:dyDescent="0.25">
      <c r="F6763" s="85" t="str">
        <f t="shared" si="53"/>
        <v/>
      </c>
      <c r="AB6763" s="86"/>
      <c r="AD6763" s="100"/>
    </row>
    <row r="6764" spans="6:30" x14ac:dyDescent="0.25">
      <c r="F6764" s="85" t="str">
        <f t="shared" si="53"/>
        <v/>
      </c>
      <c r="AB6764" s="86"/>
      <c r="AD6764" s="100"/>
    </row>
    <row r="6765" spans="6:30" x14ac:dyDescent="0.25">
      <c r="F6765" s="85" t="str">
        <f t="shared" si="53"/>
        <v/>
      </c>
      <c r="AB6765" s="86"/>
      <c r="AD6765" s="100"/>
    </row>
    <row r="6766" spans="6:30" x14ac:dyDescent="0.25">
      <c r="F6766" s="85" t="str">
        <f t="shared" si="53"/>
        <v/>
      </c>
      <c r="AB6766" s="86"/>
      <c r="AD6766" s="100"/>
    </row>
    <row r="6767" spans="6:30" x14ac:dyDescent="0.25">
      <c r="F6767" s="85" t="str">
        <f t="shared" si="53"/>
        <v/>
      </c>
      <c r="AB6767" s="86"/>
      <c r="AD6767" s="100"/>
    </row>
    <row r="6768" spans="6:30" x14ac:dyDescent="0.25">
      <c r="F6768" s="85" t="str">
        <f t="shared" si="53"/>
        <v/>
      </c>
      <c r="AB6768" s="86"/>
      <c r="AD6768" s="100"/>
    </row>
    <row r="6769" spans="6:30" x14ac:dyDescent="0.25">
      <c r="F6769" s="85" t="str">
        <f t="shared" si="53"/>
        <v/>
      </c>
      <c r="AB6769" s="86"/>
      <c r="AD6769" s="100"/>
    </row>
    <row r="6770" spans="6:30" x14ac:dyDescent="0.25">
      <c r="F6770" s="85" t="str">
        <f t="shared" si="53"/>
        <v/>
      </c>
      <c r="AB6770" s="86"/>
      <c r="AD6770" s="100"/>
    </row>
    <row r="6771" spans="6:30" x14ac:dyDescent="0.25">
      <c r="F6771" s="85" t="str">
        <f t="shared" si="53"/>
        <v/>
      </c>
      <c r="AB6771" s="86"/>
      <c r="AD6771" s="100"/>
    </row>
    <row r="6772" spans="6:30" x14ac:dyDescent="0.25">
      <c r="F6772" s="85" t="str">
        <f t="shared" si="53"/>
        <v/>
      </c>
      <c r="AB6772" s="86"/>
      <c r="AD6772" s="100"/>
    </row>
    <row r="6773" spans="6:30" x14ac:dyDescent="0.25">
      <c r="F6773" s="85" t="str">
        <f t="shared" si="53"/>
        <v/>
      </c>
      <c r="AB6773" s="86"/>
      <c r="AD6773" s="100"/>
    </row>
    <row r="6774" spans="6:30" x14ac:dyDescent="0.25">
      <c r="F6774" s="85" t="str">
        <f t="shared" si="53"/>
        <v/>
      </c>
      <c r="AB6774" s="86"/>
      <c r="AD6774" s="100"/>
    </row>
    <row r="6775" spans="6:30" x14ac:dyDescent="0.25">
      <c r="F6775" s="85" t="str">
        <f t="shared" si="53"/>
        <v/>
      </c>
      <c r="AB6775" s="86"/>
      <c r="AD6775" s="100"/>
    </row>
    <row r="6776" spans="6:30" x14ac:dyDescent="0.25">
      <c r="F6776" s="85" t="str">
        <f t="shared" si="53"/>
        <v/>
      </c>
      <c r="AB6776" s="86"/>
      <c r="AD6776" s="100"/>
    </row>
    <row r="6777" spans="6:30" x14ac:dyDescent="0.25">
      <c r="F6777" s="85" t="str">
        <f t="shared" si="53"/>
        <v/>
      </c>
      <c r="AB6777" s="86"/>
      <c r="AD6777" s="100"/>
    </row>
    <row r="6778" spans="6:30" x14ac:dyDescent="0.25">
      <c r="F6778" s="85" t="str">
        <f t="shared" si="53"/>
        <v/>
      </c>
      <c r="AB6778" s="86"/>
      <c r="AD6778" s="100"/>
    </row>
    <row r="6779" spans="6:30" x14ac:dyDescent="0.25">
      <c r="F6779" s="85" t="str">
        <f t="shared" si="53"/>
        <v/>
      </c>
      <c r="AB6779" s="86"/>
      <c r="AD6779" s="100"/>
    </row>
    <row r="6780" spans="6:30" x14ac:dyDescent="0.25">
      <c r="F6780" s="85" t="str">
        <f t="shared" si="53"/>
        <v/>
      </c>
      <c r="AB6780" s="86"/>
      <c r="AD6780" s="100"/>
    </row>
    <row r="6781" spans="6:30" x14ac:dyDescent="0.25">
      <c r="F6781" s="85" t="str">
        <f t="shared" si="53"/>
        <v/>
      </c>
      <c r="AB6781" s="86"/>
      <c r="AD6781" s="100"/>
    </row>
    <row r="6782" spans="6:30" x14ac:dyDescent="0.25">
      <c r="F6782" s="85" t="str">
        <f t="shared" si="53"/>
        <v/>
      </c>
      <c r="AB6782" s="86"/>
      <c r="AD6782" s="100"/>
    </row>
    <row r="6783" spans="6:30" x14ac:dyDescent="0.25">
      <c r="F6783" s="85" t="str">
        <f t="shared" si="53"/>
        <v/>
      </c>
      <c r="AB6783" s="86"/>
    </row>
    <row r="6784" spans="6:30" x14ac:dyDescent="0.25">
      <c r="F6784" s="85" t="str">
        <f t="shared" si="53"/>
        <v/>
      </c>
      <c r="AB6784" s="86"/>
    </row>
    <row r="6785" spans="6:30" x14ac:dyDescent="0.25">
      <c r="F6785" s="85" t="str">
        <f t="shared" si="53"/>
        <v/>
      </c>
      <c r="AB6785" s="86"/>
      <c r="AD6785" s="100"/>
    </row>
    <row r="6786" spans="6:30" x14ac:dyDescent="0.25">
      <c r="F6786" s="85" t="str">
        <f t="shared" si="53"/>
        <v/>
      </c>
      <c r="AB6786" s="86"/>
      <c r="AD6786" s="100"/>
    </row>
    <row r="6787" spans="6:30" x14ac:dyDescent="0.25">
      <c r="F6787" s="85" t="str">
        <f t="shared" ref="F6787:F6850" si="54">IF($A6787="","",CONCATENATE($A6787,"_",$B6787,"_",$C6787))</f>
        <v/>
      </c>
      <c r="AB6787" s="86"/>
      <c r="AD6787" s="100"/>
    </row>
    <row r="6788" spans="6:30" x14ac:dyDescent="0.25">
      <c r="F6788" s="85" t="str">
        <f t="shared" si="54"/>
        <v/>
      </c>
      <c r="AB6788" s="86"/>
      <c r="AD6788" s="100"/>
    </row>
    <row r="6789" spans="6:30" x14ac:dyDescent="0.25">
      <c r="F6789" s="85" t="str">
        <f t="shared" si="54"/>
        <v/>
      </c>
      <c r="AB6789" s="86"/>
    </row>
    <row r="6790" spans="6:30" x14ac:dyDescent="0.25">
      <c r="F6790" s="85" t="str">
        <f t="shared" si="54"/>
        <v/>
      </c>
      <c r="AB6790" s="86"/>
    </row>
    <row r="6791" spans="6:30" x14ac:dyDescent="0.25">
      <c r="F6791" s="85" t="str">
        <f t="shared" si="54"/>
        <v/>
      </c>
      <c r="AB6791" s="86"/>
      <c r="AD6791" s="100"/>
    </row>
    <row r="6792" spans="6:30" x14ac:dyDescent="0.25">
      <c r="F6792" s="85" t="str">
        <f t="shared" si="54"/>
        <v/>
      </c>
      <c r="AB6792" s="86"/>
      <c r="AD6792" s="100"/>
    </row>
    <row r="6793" spans="6:30" x14ac:dyDescent="0.25">
      <c r="F6793" s="85" t="str">
        <f t="shared" si="54"/>
        <v/>
      </c>
      <c r="AB6793" s="86"/>
    </row>
    <row r="6794" spans="6:30" x14ac:dyDescent="0.25">
      <c r="F6794" s="85" t="str">
        <f t="shared" si="54"/>
        <v/>
      </c>
      <c r="AB6794" s="86"/>
      <c r="AD6794" s="100"/>
    </row>
    <row r="6795" spans="6:30" x14ac:dyDescent="0.25">
      <c r="F6795" s="85" t="str">
        <f t="shared" si="54"/>
        <v/>
      </c>
      <c r="AB6795" s="86"/>
      <c r="AD6795" s="100"/>
    </row>
    <row r="6796" spans="6:30" x14ac:dyDescent="0.25">
      <c r="F6796" s="85" t="str">
        <f t="shared" si="54"/>
        <v/>
      </c>
      <c r="AB6796" s="86"/>
      <c r="AD6796" s="100"/>
    </row>
    <row r="6797" spans="6:30" x14ac:dyDescent="0.25">
      <c r="F6797" s="85" t="str">
        <f t="shared" si="54"/>
        <v/>
      </c>
      <c r="AB6797" s="86"/>
      <c r="AD6797" s="100"/>
    </row>
    <row r="6798" spans="6:30" x14ac:dyDescent="0.25">
      <c r="F6798" s="85" t="str">
        <f t="shared" si="54"/>
        <v/>
      </c>
      <c r="AB6798" s="86"/>
      <c r="AD6798" s="100"/>
    </row>
    <row r="6799" spans="6:30" x14ac:dyDescent="0.25">
      <c r="F6799" s="85" t="str">
        <f t="shared" si="54"/>
        <v/>
      </c>
      <c r="AB6799" s="86"/>
      <c r="AD6799" s="100"/>
    </row>
    <row r="6800" spans="6:30" x14ac:dyDescent="0.25">
      <c r="F6800" s="85" t="str">
        <f t="shared" si="54"/>
        <v/>
      </c>
      <c r="AB6800" s="86"/>
      <c r="AD6800" s="100"/>
    </row>
    <row r="6801" spans="6:30" x14ac:dyDescent="0.25">
      <c r="F6801" s="85" t="str">
        <f t="shared" si="54"/>
        <v/>
      </c>
      <c r="AB6801" s="86"/>
      <c r="AD6801" s="100"/>
    </row>
    <row r="6802" spans="6:30" x14ac:dyDescent="0.25">
      <c r="F6802" s="85" t="str">
        <f t="shared" si="54"/>
        <v/>
      </c>
      <c r="AB6802" s="86"/>
      <c r="AD6802" s="100"/>
    </row>
    <row r="6803" spans="6:30" x14ac:dyDescent="0.25">
      <c r="F6803" s="85" t="str">
        <f t="shared" si="54"/>
        <v/>
      </c>
      <c r="AB6803" s="86"/>
      <c r="AD6803" s="100"/>
    </row>
    <row r="6804" spans="6:30" x14ac:dyDescent="0.25">
      <c r="F6804" s="85" t="str">
        <f t="shared" si="54"/>
        <v/>
      </c>
      <c r="AB6804" s="86"/>
      <c r="AD6804" s="100"/>
    </row>
    <row r="6805" spans="6:30" x14ac:dyDescent="0.25">
      <c r="F6805" s="85" t="str">
        <f t="shared" si="54"/>
        <v/>
      </c>
      <c r="AB6805" s="86"/>
      <c r="AD6805" s="100"/>
    </row>
    <row r="6806" spans="6:30" x14ac:dyDescent="0.25">
      <c r="F6806" s="85" t="str">
        <f t="shared" si="54"/>
        <v/>
      </c>
      <c r="AB6806" s="86"/>
      <c r="AD6806" s="100"/>
    </row>
    <row r="6807" spans="6:30" x14ac:dyDescent="0.25">
      <c r="F6807" s="85" t="str">
        <f t="shared" si="54"/>
        <v/>
      </c>
      <c r="AB6807" s="86"/>
      <c r="AD6807" s="100"/>
    </row>
    <row r="6808" spans="6:30" x14ac:dyDescent="0.25">
      <c r="F6808" s="85" t="str">
        <f t="shared" si="54"/>
        <v/>
      </c>
      <c r="AB6808" s="86"/>
      <c r="AD6808" s="100"/>
    </row>
    <row r="6809" spans="6:30" x14ac:dyDescent="0.25">
      <c r="F6809" s="85" t="str">
        <f t="shared" si="54"/>
        <v/>
      </c>
      <c r="AB6809" s="86"/>
      <c r="AD6809" s="100"/>
    </row>
    <row r="6810" spans="6:30" x14ac:dyDescent="0.25">
      <c r="F6810" s="85" t="str">
        <f t="shared" si="54"/>
        <v/>
      </c>
      <c r="AB6810" s="86"/>
    </row>
    <row r="6811" spans="6:30" x14ac:dyDescent="0.25">
      <c r="F6811" s="85" t="str">
        <f t="shared" si="54"/>
        <v/>
      </c>
      <c r="AB6811" s="86"/>
      <c r="AD6811" s="100"/>
    </row>
    <row r="6812" spans="6:30" x14ac:dyDescent="0.25">
      <c r="F6812" s="85" t="str">
        <f t="shared" si="54"/>
        <v/>
      </c>
      <c r="AB6812" s="86"/>
      <c r="AD6812" s="100"/>
    </row>
    <row r="6813" spans="6:30" x14ac:dyDescent="0.25">
      <c r="F6813" s="85" t="str">
        <f t="shared" si="54"/>
        <v/>
      </c>
      <c r="AB6813" s="86"/>
      <c r="AD6813" s="100"/>
    </row>
    <row r="6814" spans="6:30" x14ac:dyDescent="0.25">
      <c r="F6814" s="85" t="str">
        <f t="shared" si="54"/>
        <v/>
      </c>
      <c r="AB6814" s="86"/>
      <c r="AD6814" s="100"/>
    </row>
    <row r="6815" spans="6:30" x14ac:dyDescent="0.25">
      <c r="F6815" s="85" t="str">
        <f t="shared" si="54"/>
        <v/>
      </c>
      <c r="AB6815" s="86"/>
      <c r="AD6815" s="100"/>
    </row>
    <row r="6816" spans="6:30" x14ac:dyDescent="0.25">
      <c r="F6816" s="85" t="str">
        <f t="shared" si="54"/>
        <v/>
      </c>
      <c r="AB6816" s="86"/>
      <c r="AD6816" s="100"/>
    </row>
    <row r="6817" spans="6:30" x14ac:dyDescent="0.25">
      <c r="F6817" s="85" t="str">
        <f t="shared" si="54"/>
        <v/>
      </c>
      <c r="AB6817" s="86"/>
      <c r="AD6817" s="100"/>
    </row>
    <row r="6818" spans="6:30" x14ac:dyDescent="0.25">
      <c r="F6818" s="85" t="str">
        <f t="shared" si="54"/>
        <v/>
      </c>
      <c r="AB6818" s="86"/>
      <c r="AD6818" s="100"/>
    </row>
    <row r="6819" spans="6:30" x14ac:dyDescent="0.25">
      <c r="F6819" s="85" t="str">
        <f t="shared" si="54"/>
        <v/>
      </c>
      <c r="AB6819" s="86"/>
      <c r="AD6819" s="100"/>
    </row>
    <row r="6820" spans="6:30" x14ac:dyDescent="0.25">
      <c r="F6820" s="85" t="str">
        <f t="shared" si="54"/>
        <v/>
      </c>
      <c r="AB6820" s="86"/>
    </row>
    <row r="6821" spans="6:30" x14ac:dyDescent="0.25">
      <c r="F6821" s="85" t="str">
        <f t="shared" si="54"/>
        <v/>
      </c>
      <c r="AB6821" s="86"/>
    </row>
    <row r="6822" spans="6:30" x14ac:dyDescent="0.25">
      <c r="F6822" s="85" t="str">
        <f t="shared" si="54"/>
        <v/>
      </c>
      <c r="AB6822" s="86"/>
      <c r="AD6822" s="100"/>
    </row>
    <row r="6823" spans="6:30" x14ac:dyDescent="0.25">
      <c r="F6823" s="85" t="str">
        <f t="shared" si="54"/>
        <v/>
      </c>
      <c r="AB6823" s="86"/>
      <c r="AD6823" s="100"/>
    </row>
    <row r="6824" spans="6:30" x14ac:dyDescent="0.25">
      <c r="F6824" s="85" t="str">
        <f t="shared" si="54"/>
        <v/>
      </c>
      <c r="AB6824" s="86"/>
    </row>
    <row r="6825" spans="6:30" x14ac:dyDescent="0.25">
      <c r="F6825" s="85" t="str">
        <f t="shared" si="54"/>
        <v/>
      </c>
      <c r="AB6825" s="86"/>
    </row>
    <row r="6826" spans="6:30" x14ac:dyDescent="0.25">
      <c r="F6826" s="85" t="str">
        <f t="shared" si="54"/>
        <v/>
      </c>
      <c r="AB6826" s="86"/>
    </row>
    <row r="6827" spans="6:30" x14ac:dyDescent="0.25">
      <c r="F6827" s="85" t="str">
        <f t="shared" si="54"/>
        <v/>
      </c>
      <c r="AB6827" s="86"/>
      <c r="AD6827" s="100"/>
    </row>
    <row r="6828" spans="6:30" x14ac:dyDescent="0.25">
      <c r="F6828" s="85" t="str">
        <f t="shared" si="54"/>
        <v/>
      </c>
      <c r="AB6828" s="86"/>
      <c r="AD6828" s="100"/>
    </row>
    <row r="6829" spans="6:30" x14ac:dyDescent="0.25">
      <c r="F6829" s="85" t="str">
        <f t="shared" si="54"/>
        <v/>
      </c>
      <c r="AB6829" s="86"/>
      <c r="AD6829" s="100"/>
    </row>
    <row r="6830" spans="6:30" x14ac:dyDescent="0.25">
      <c r="F6830" s="85" t="str">
        <f t="shared" si="54"/>
        <v/>
      </c>
      <c r="AB6830" s="86"/>
      <c r="AD6830" s="100"/>
    </row>
    <row r="6831" spans="6:30" x14ac:dyDescent="0.25">
      <c r="F6831" s="85" t="str">
        <f t="shared" si="54"/>
        <v/>
      </c>
      <c r="AB6831" s="86"/>
      <c r="AD6831" s="100"/>
    </row>
    <row r="6832" spans="6:30" x14ac:dyDescent="0.25">
      <c r="F6832" s="85" t="str">
        <f t="shared" si="54"/>
        <v/>
      </c>
      <c r="AB6832" s="86"/>
    </row>
    <row r="6833" spans="6:30" x14ac:dyDescent="0.25">
      <c r="F6833" s="85" t="str">
        <f t="shared" si="54"/>
        <v/>
      </c>
      <c r="AB6833" s="86"/>
    </row>
    <row r="6834" spans="6:30" x14ac:dyDescent="0.25">
      <c r="F6834" s="85" t="str">
        <f t="shared" si="54"/>
        <v/>
      </c>
      <c r="AB6834" s="86"/>
      <c r="AD6834" s="100"/>
    </row>
    <row r="6835" spans="6:30" x14ac:dyDescent="0.25">
      <c r="F6835" s="85" t="str">
        <f t="shared" si="54"/>
        <v/>
      </c>
      <c r="AB6835" s="86"/>
      <c r="AD6835" s="100"/>
    </row>
    <row r="6836" spans="6:30" x14ac:dyDescent="0.25">
      <c r="F6836" s="85" t="str">
        <f t="shared" si="54"/>
        <v/>
      </c>
      <c r="AB6836" s="86"/>
      <c r="AD6836" s="100"/>
    </row>
    <row r="6837" spans="6:30" x14ac:dyDescent="0.25">
      <c r="F6837" s="85" t="str">
        <f t="shared" si="54"/>
        <v/>
      </c>
      <c r="AB6837" s="86"/>
      <c r="AD6837" s="100"/>
    </row>
    <row r="6838" spans="6:30" x14ac:dyDescent="0.25">
      <c r="F6838" s="85" t="str">
        <f t="shared" si="54"/>
        <v/>
      </c>
      <c r="AB6838" s="86"/>
      <c r="AD6838" s="100"/>
    </row>
    <row r="6839" spans="6:30" x14ac:dyDescent="0.25">
      <c r="F6839" s="85" t="str">
        <f t="shared" si="54"/>
        <v/>
      </c>
      <c r="AB6839" s="86"/>
      <c r="AD6839" s="100"/>
    </row>
    <row r="6840" spans="6:30" x14ac:dyDescent="0.25">
      <c r="F6840" s="85" t="str">
        <f t="shared" si="54"/>
        <v/>
      </c>
      <c r="AB6840" s="86"/>
    </row>
    <row r="6841" spans="6:30" x14ac:dyDescent="0.25">
      <c r="F6841" s="85" t="str">
        <f t="shared" si="54"/>
        <v/>
      </c>
      <c r="AB6841" s="86"/>
      <c r="AD6841" s="100"/>
    </row>
    <row r="6842" spans="6:30" x14ac:dyDescent="0.25">
      <c r="F6842" s="85" t="str">
        <f t="shared" si="54"/>
        <v/>
      </c>
      <c r="AB6842" s="86"/>
      <c r="AD6842" s="100"/>
    </row>
    <row r="6843" spans="6:30" x14ac:dyDescent="0.25">
      <c r="F6843" s="85" t="str">
        <f t="shared" si="54"/>
        <v/>
      </c>
      <c r="AB6843" s="86"/>
      <c r="AD6843" s="100"/>
    </row>
    <row r="6844" spans="6:30" x14ac:dyDescent="0.25">
      <c r="F6844" s="85" t="str">
        <f t="shared" si="54"/>
        <v/>
      </c>
      <c r="AB6844" s="86"/>
      <c r="AD6844" s="100"/>
    </row>
    <row r="6845" spans="6:30" x14ac:dyDescent="0.25">
      <c r="F6845" s="85" t="str">
        <f t="shared" si="54"/>
        <v/>
      </c>
      <c r="AB6845" s="86"/>
      <c r="AD6845" s="100"/>
    </row>
    <row r="6846" spans="6:30" x14ac:dyDescent="0.25">
      <c r="F6846" s="85" t="str">
        <f t="shared" si="54"/>
        <v/>
      </c>
      <c r="AB6846" s="86"/>
    </row>
    <row r="6847" spans="6:30" x14ac:dyDescent="0.25">
      <c r="F6847" s="85" t="str">
        <f t="shared" si="54"/>
        <v/>
      </c>
      <c r="AB6847" s="86"/>
    </row>
    <row r="6848" spans="6:30" x14ac:dyDescent="0.25">
      <c r="F6848" s="85" t="str">
        <f t="shared" si="54"/>
        <v/>
      </c>
      <c r="AB6848" s="86"/>
    </row>
    <row r="6849" spans="6:30" x14ac:dyDescent="0.25">
      <c r="F6849" s="85" t="str">
        <f t="shared" si="54"/>
        <v/>
      </c>
      <c r="AB6849" s="86"/>
      <c r="AD6849" s="100"/>
    </row>
    <row r="6850" spans="6:30" x14ac:dyDescent="0.25">
      <c r="F6850" s="85" t="str">
        <f t="shared" si="54"/>
        <v/>
      </c>
      <c r="AB6850" s="86"/>
      <c r="AD6850" s="100"/>
    </row>
    <row r="6851" spans="6:30" x14ac:dyDescent="0.25">
      <c r="F6851" s="85" t="str">
        <f t="shared" ref="F6851:F6914" si="55">IF($A6851="","",CONCATENATE($A6851,"_",$B6851,"_",$C6851))</f>
        <v/>
      </c>
      <c r="AB6851" s="86"/>
    </row>
    <row r="6852" spans="6:30" x14ac:dyDescent="0.25">
      <c r="F6852" s="85" t="str">
        <f t="shared" si="55"/>
        <v/>
      </c>
      <c r="AB6852" s="86"/>
    </row>
    <row r="6853" spans="6:30" x14ac:dyDescent="0.25">
      <c r="F6853" s="85" t="str">
        <f t="shared" si="55"/>
        <v/>
      </c>
      <c r="AB6853" s="86"/>
    </row>
    <row r="6854" spans="6:30" x14ac:dyDescent="0.25">
      <c r="F6854" s="85" t="str">
        <f t="shared" si="55"/>
        <v/>
      </c>
      <c r="AB6854" s="86"/>
      <c r="AD6854" s="100"/>
    </row>
    <row r="6855" spans="6:30" x14ac:dyDescent="0.25">
      <c r="F6855" s="85" t="str">
        <f t="shared" si="55"/>
        <v/>
      </c>
      <c r="AB6855" s="86"/>
      <c r="AD6855" s="100"/>
    </row>
    <row r="6856" spans="6:30" x14ac:dyDescent="0.25">
      <c r="F6856" s="85" t="str">
        <f t="shared" si="55"/>
        <v/>
      </c>
      <c r="AB6856" s="86"/>
      <c r="AD6856" s="100"/>
    </row>
    <row r="6857" spans="6:30" x14ac:dyDescent="0.25">
      <c r="F6857" s="85" t="str">
        <f t="shared" si="55"/>
        <v/>
      </c>
      <c r="AB6857" s="86"/>
      <c r="AD6857" s="100"/>
    </row>
    <row r="6858" spans="6:30" x14ac:dyDescent="0.25">
      <c r="F6858" s="85" t="str">
        <f t="shared" si="55"/>
        <v/>
      </c>
      <c r="AB6858" s="86"/>
      <c r="AD6858" s="100"/>
    </row>
    <row r="6859" spans="6:30" x14ac:dyDescent="0.25">
      <c r="F6859" s="85" t="str">
        <f t="shared" si="55"/>
        <v/>
      </c>
      <c r="AB6859" s="86"/>
    </row>
    <row r="6860" spans="6:30" x14ac:dyDescent="0.25">
      <c r="F6860" s="85" t="str">
        <f t="shared" si="55"/>
        <v/>
      </c>
      <c r="AB6860" s="86"/>
    </row>
    <row r="6861" spans="6:30" x14ac:dyDescent="0.25">
      <c r="F6861" s="85" t="str">
        <f t="shared" si="55"/>
        <v/>
      </c>
      <c r="AB6861" s="86"/>
      <c r="AD6861" s="100"/>
    </row>
    <row r="6862" spans="6:30" x14ac:dyDescent="0.25">
      <c r="F6862" s="85" t="str">
        <f t="shared" si="55"/>
        <v/>
      </c>
      <c r="AB6862" s="86"/>
      <c r="AD6862" s="100"/>
    </row>
    <row r="6863" spans="6:30" x14ac:dyDescent="0.25">
      <c r="F6863" s="85" t="str">
        <f t="shared" si="55"/>
        <v/>
      </c>
      <c r="AB6863" s="86"/>
      <c r="AD6863" s="100"/>
    </row>
    <row r="6864" spans="6:30" x14ac:dyDescent="0.25">
      <c r="F6864" s="85" t="str">
        <f t="shared" si="55"/>
        <v/>
      </c>
      <c r="AB6864" s="86"/>
      <c r="AD6864" s="100"/>
    </row>
    <row r="6865" spans="6:30" x14ac:dyDescent="0.25">
      <c r="F6865" s="85" t="str">
        <f t="shared" si="55"/>
        <v/>
      </c>
      <c r="AB6865" s="86"/>
      <c r="AD6865" s="100"/>
    </row>
    <row r="6866" spans="6:30" x14ac:dyDescent="0.25">
      <c r="F6866" s="85" t="str">
        <f t="shared" si="55"/>
        <v/>
      </c>
      <c r="AB6866" s="86"/>
    </row>
    <row r="6867" spans="6:30" x14ac:dyDescent="0.25">
      <c r="F6867" s="85" t="str">
        <f t="shared" si="55"/>
        <v/>
      </c>
      <c r="AB6867" s="86"/>
    </row>
    <row r="6868" spans="6:30" x14ac:dyDescent="0.25">
      <c r="F6868" s="85" t="str">
        <f t="shared" si="55"/>
        <v/>
      </c>
      <c r="AB6868" s="86"/>
      <c r="AD6868" s="100"/>
    </row>
    <row r="6869" spans="6:30" x14ac:dyDescent="0.25">
      <c r="F6869" s="85" t="str">
        <f t="shared" si="55"/>
        <v/>
      </c>
      <c r="AB6869" s="86"/>
      <c r="AD6869" s="100"/>
    </row>
    <row r="6870" spans="6:30" x14ac:dyDescent="0.25">
      <c r="F6870" s="85" t="str">
        <f t="shared" si="55"/>
        <v/>
      </c>
      <c r="AB6870" s="86"/>
      <c r="AD6870" s="100"/>
    </row>
    <row r="6871" spans="6:30" x14ac:dyDescent="0.25">
      <c r="F6871" s="85" t="str">
        <f t="shared" si="55"/>
        <v/>
      </c>
      <c r="AB6871" s="86"/>
      <c r="AD6871" s="100"/>
    </row>
    <row r="6872" spans="6:30" x14ac:dyDescent="0.25">
      <c r="F6872" s="85" t="str">
        <f t="shared" si="55"/>
        <v/>
      </c>
      <c r="AB6872" s="86"/>
      <c r="AD6872" s="100"/>
    </row>
    <row r="6873" spans="6:30" x14ac:dyDescent="0.25">
      <c r="F6873" s="85" t="str">
        <f t="shared" si="55"/>
        <v/>
      </c>
      <c r="AB6873" s="86"/>
      <c r="AD6873" s="100"/>
    </row>
    <row r="6874" spans="6:30" x14ac:dyDescent="0.25">
      <c r="F6874" s="85" t="str">
        <f t="shared" si="55"/>
        <v/>
      </c>
      <c r="AB6874" s="86"/>
      <c r="AD6874" s="100"/>
    </row>
    <row r="6875" spans="6:30" x14ac:dyDescent="0.25">
      <c r="F6875" s="85" t="str">
        <f t="shared" si="55"/>
        <v/>
      </c>
      <c r="AB6875" s="86"/>
      <c r="AD6875" s="100"/>
    </row>
    <row r="6876" spans="6:30" x14ac:dyDescent="0.25">
      <c r="F6876" s="85" t="str">
        <f t="shared" si="55"/>
        <v/>
      </c>
      <c r="AB6876" s="86"/>
      <c r="AD6876" s="100"/>
    </row>
    <row r="6877" spans="6:30" x14ac:dyDescent="0.25">
      <c r="F6877" s="85" t="str">
        <f t="shared" si="55"/>
        <v/>
      </c>
      <c r="AB6877" s="86"/>
      <c r="AD6877" s="100"/>
    </row>
    <row r="6878" spans="6:30" x14ac:dyDescent="0.25">
      <c r="F6878" s="85" t="str">
        <f t="shared" si="55"/>
        <v/>
      </c>
      <c r="AB6878" s="86"/>
      <c r="AD6878" s="100"/>
    </row>
    <row r="6879" spans="6:30" x14ac:dyDescent="0.25">
      <c r="F6879" s="85" t="str">
        <f t="shared" si="55"/>
        <v/>
      </c>
      <c r="AB6879" s="86"/>
      <c r="AD6879" s="100"/>
    </row>
    <row r="6880" spans="6:30" x14ac:dyDescent="0.25">
      <c r="F6880" s="85" t="str">
        <f t="shared" si="55"/>
        <v/>
      </c>
      <c r="AB6880" s="86"/>
      <c r="AD6880" s="100"/>
    </row>
    <row r="6881" spans="6:30" x14ac:dyDescent="0.25">
      <c r="F6881" s="85" t="str">
        <f t="shared" si="55"/>
        <v/>
      </c>
      <c r="AB6881" s="86"/>
      <c r="AD6881" s="100"/>
    </row>
    <row r="6882" spans="6:30" x14ac:dyDescent="0.25">
      <c r="F6882" s="85" t="str">
        <f t="shared" si="55"/>
        <v/>
      </c>
      <c r="AB6882" s="86"/>
      <c r="AD6882" s="100"/>
    </row>
    <row r="6883" spans="6:30" x14ac:dyDescent="0.25">
      <c r="F6883" s="85" t="str">
        <f t="shared" si="55"/>
        <v/>
      </c>
      <c r="AB6883" s="86"/>
      <c r="AD6883" s="100"/>
    </row>
    <row r="6884" spans="6:30" x14ac:dyDescent="0.25">
      <c r="F6884" s="85" t="str">
        <f t="shared" si="55"/>
        <v/>
      </c>
      <c r="AB6884" s="86"/>
      <c r="AD6884" s="100"/>
    </row>
    <row r="6885" spans="6:30" x14ac:dyDescent="0.25">
      <c r="F6885" s="85" t="str">
        <f t="shared" si="55"/>
        <v/>
      </c>
      <c r="AB6885" s="86"/>
      <c r="AD6885" s="100"/>
    </row>
    <row r="6886" spans="6:30" x14ac:dyDescent="0.25">
      <c r="F6886" s="85" t="str">
        <f t="shared" si="55"/>
        <v/>
      </c>
      <c r="AB6886" s="86"/>
      <c r="AD6886" s="100"/>
    </row>
    <row r="6887" spans="6:30" x14ac:dyDescent="0.25">
      <c r="F6887" s="85" t="str">
        <f t="shared" si="55"/>
        <v/>
      </c>
      <c r="AB6887" s="86"/>
      <c r="AD6887" s="100"/>
    </row>
    <row r="6888" spans="6:30" x14ac:dyDescent="0.25">
      <c r="F6888" s="85" t="str">
        <f t="shared" si="55"/>
        <v/>
      </c>
      <c r="AB6888" s="86"/>
      <c r="AD6888" s="100"/>
    </row>
    <row r="6889" spans="6:30" x14ac:dyDescent="0.25">
      <c r="F6889" s="85" t="str">
        <f t="shared" si="55"/>
        <v/>
      </c>
      <c r="AB6889" s="86"/>
      <c r="AD6889" s="100"/>
    </row>
    <row r="6890" spans="6:30" x14ac:dyDescent="0.25">
      <c r="F6890" s="85" t="str">
        <f t="shared" si="55"/>
        <v/>
      </c>
      <c r="AB6890" s="86"/>
      <c r="AD6890" s="100"/>
    </row>
    <row r="6891" spans="6:30" x14ac:dyDescent="0.25">
      <c r="F6891" s="85" t="str">
        <f t="shared" si="55"/>
        <v/>
      </c>
      <c r="AB6891" s="86"/>
      <c r="AD6891" s="100"/>
    </row>
    <row r="6892" spans="6:30" x14ac:dyDescent="0.25">
      <c r="F6892" s="85" t="str">
        <f t="shared" si="55"/>
        <v/>
      </c>
      <c r="AB6892" s="86"/>
      <c r="AD6892" s="100"/>
    </row>
    <row r="6893" spans="6:30" x14ac:dyDescent="0.25">
      <c r="F6893" s="85" t="str">
        <f t="shared" si="55"/>
        <v/>
      </c>
      <c r="AB6893" s="86"/>
    </row>
    <row r="6894" spans="6:30" x14ac:dyDescent="0.25">
      <c r="F6894" s="85" t="str">
        <f t="shared" si="55"/>
        <v/>
      </c>
      <c r="AB6894" s="86"/>
      <c r="AD6894" s="100"/>
    </row>
    <row r="6895" spans="6:30" x14ac:dyDescent="0.25">
      <c r="F6895" s="85" t="str">
        <f t="shared" si="55"/>
        <v/>
      </c>
      <c r="AB6895" s="86"/>
      <c r="AD6895" s="100"/>
    </row>
    <row r="6896" spans="6:30" x14ac:dyDescent="0.25">
      <c r="F6896" s="85" t="str">
        <f t="shared" si="55"/>
        <v/>
      </c>
      <c r="AB6896" s="86"/>
      <c r="AD6896" s="100"/>
    </row>
    <row r="6897" spans="6:30" x14ac:dyDescent="0.25">
      <c r="F6897" s="85" t="str">
        <f t="shared" si="55"/>
        <v/>
      </c>
      <c r="AB6897" s="86"/>
      <c r="AD6897" s="100"/>
    </row>
    <row r="6898" spans="6:30" x14ac:dyDescent="0.25">
      <c r="F6898" s="85" t="str">
        <f t="shared" si="55"/>
        <v/>
      </c>
      <c r="AB6898" s="86"/>
      <c r="AD6898" s="100"/>
    </row>
    <row r="6899" spans="6:30" x14ac:dyDescent="0.25">
      <c r="F6899" s="85" t="str">
        <f t="shared" si="55"/>
        <v/>
      </c>
      <c r="AB6899" s="86"/>
      <c r="AD6899" s="100"/>
    </row>
    <row r="6900" spans="6:30" x14ac:dyDescent="0.25">
      <c r="F6900" s="85" t="str">
        <f t="shared" si="55"/>
        <v/>
      </c>
      <c r="AB6900" s="86"/>
      <c r="AD6900" s="100"/>
    </row>
    <row r="6901" spans="6:30" x14ac:dyDescent="0.25">
      <c r="F6901" s="85" t="str">
        <f t="shared" si="55"/>
        <v/>
      </c>
      <c r="AB6901" s="86"/>
      <c r="AD6901" s="100"/>
    </row>
    <row r="6902" spans="6:30" x14ac:dyDescent="0.25">
      <c r="F6902" s="85" t="str">
        <f t="shared" si="55"/>
        <v/>
      </c>
      <c r="AB6902" s="86"/>
      <c r="AD6902" s="100"/>
    </row>
    <row r="6903" spans="6:30" x14ac:dyDescent="0.25">
      <c r="F6903" s="85" t="str">
        <f t="shared" si="55"/>
        <v/>
      </c>
      <c r="AB6903" s="86"/>
      <c r="AD6903" s="100"/>
    </row>
    <row r="6904" spans="6:30" x14ac:dyDescent="0.25">
      <c r="F6904" s="85" t="str">
        <f t="shared" si="55"/>
        <v/>
      </c>
      <c r="AB6904" s="86"/>
      <c r="AD6904" s="100"/>
    </row>
    <row r="6905" spans="6:30" x14ac:dyDescent="0.25">
      <c r="F6905" s="85" t="str">
        <f t="shared" si="55"/>
        <v/>
      </c>
      <c r="AB6905" s="86"/>
      <c r="AD6905" s="100"/>
    </row>
    <row r="6906" spans="6:30" x14ac:dyDescent="0.25">
      <c r="F6906" s="85" t="str">
        <f t="shared" si="55"/>
        <v/>
      </c>
      <c r="AB6906" s="86"/>
      <c r="AD6906" s="100"/>
    </row>
    <row r="6907" spans="6:30" x14ac:dyDescent="0.25">
      <c r="F6907" s="85" t="str">
        <f t="shared" si="55"/>
        <v/>
      </c>
      <c r="AB6907" s="86"/>
      <c r="AD6907" s="100"/>
    </row>
    <row r="6908" spans="6:30" x14ac:dyDescent="0.25">
      <c r="F6908" s="85" t="str">
        <f t="shared" si="55"/>
        <v/>
      </c>
      <c r="AB6908" s="86"/>
      <c r="AD6908" s="100"/>
    </row>
    <row r="6909" spans="6:30" x14ac:dyDescent="0.25">
      <c r="F6909" s="85" t="str">
        <f t="shared" si="55"/>
        <v/>
      </c>
      <c r="AB6909" s="86"/>
      <c r="AD6909" s="100"/>
    </row>
    <row r="6910" spans="6:30" x14ac:dyDescent="0.25">
      <c r="F6910" s="85" t="str">
        <f t="shared" si="55"/>
        <v/>
      </c>
      <c r="AB6910" s="86"/>
      <c r="AD6910" s="100"/>
    </row>
    <row r="6911" spans="6:30" x14ac:dyDescent="0.25">
      <c r="F6911" s="85" t="str">
        <f t="shared" si="55"/>
        <v/>
      </c>
      <c r="AB6911" s="86"/>
      <c r="AD6911" s="100"/>
    </row>
    <row r="6912" spans="6:30" x14ac:dyDescent="0.25">
      <c r="F6912" s="85" t="str">
        <f t="shared" si="55"/>
        <v/>
      </c>
      <c r="AB6912" s="86"/>
      <c r="AD6912" s="100"/>
    </row>
    <row r="6913" spans="6:30" x14ac:dyDescent="0.25">
      <c r="F6913" s="85" t="str">
        <f t="shared" si="55"/>
        <v/>
      </c>
      <c r="AB6913" s="86"/>
      <c r="AD6913" s="100"/>
    </row>
    <row r="6914" spans="6:30" x14ac:dyDescent="0.25">
      <c r="F6914" s="85" t="str">
        <f t="shared" si="55"/>
        <v/>
      </c>
      <c r="AB6914" s="86"/>
      <c r="AD6914" s="100"/>
    </row>
    <row r="6915" spans="6:30" x14ac:dyDescent="0.25">
      <c r="F6915" s="85" t="str">
        <f t="shared" ref="F6915:F6978" si="56">IF($A6915="","",CONCATENATE($A6915,"_",$B6915,"_",$C6915))</f>
        <v/>
      </c>
      <c r="AB6915" s="86"/>
      <c r="AD6915" s="100"/>
    </row>
    <row r="6916" spans="6:30" x14ac:dyDescent="0.25">
      <c r="F6916" s="85" t="str">
        <f t="shared" si="56"/>
        <v/>
      </c>
      <c r="AB6916" s="86"/>
      <c r="AD6916" s="100"/>
    </row>
    <row r="6917" spans="6:30" x14ac:dyDescent="0.25">
      <c r="F6917" s="85" t="str">
        <f t="shared" si="56"/>
        <v/>
      </c>
      <c r="AB6917" s="86"/>
      <c r="AD6917" s="100"/>
    </row>
    <row r="6918" spans="6:30" x14ac:dyDescent="0.25">
      <c r="F6918" s="85" t="str">
        <f t="shared" si="56"/>
        <v/>
      </c>
      <c r="AB6918" s="86"/>
      <c r="AD6918" s="100"/>
    </row>
    <row r="6919" spans="6:30" x14ac:dyDescent="0.25">
      <c r="F6919" s="85" t="str">
        <f t="shared" si="56"/>
        <v/>
      </c>
      <c r="AB6919" s="86"/>
      <c r="AD6919" s="100"/>
    </row>
    <row r="6920" spans="6:30" x14ac:dyDescent="0.25">
      <c r="F6920" s="85" t="str">
        <f t="shared" si="56"/>
        <v/>
      </c>
      <c r="AB6920" s="86"/>
      <c r="AD6920" s="100"/>
    </row>
    <row r="6921" spans="6:30" x14ac:dyDescent="0.25">
      <c r="F6921" s="85" t="str">
        <f t="shared" si="56"/>
        <v/>
      </c>
      <c r="AB6921" s="86"/>
      <c r="AD6921" s="100"/>
    </row>
    <row r="6922" spans="6:30" x14ac:dyDescent="0.25">
      <c r="F6922" s="85" t="str">
        <f t="shared" si="56"/>
        <v/>
      </c>
      <c r="AB6922" s="86"/>
      <c r="AD6922" s="100"/>
    </row>
    <row r="6923" spans="6:30" x14ac:dyDescent="0.25">
      <c r="F6923" s="85" t="str">
        <f t="shared" si="56"/>
        <v/>
      </c>
      <c r="AB6923" s="86"/>
      <c r="AD6923" s="100"/>
    </row>
    <row r="6924" spans="6:30" x14ac:dyDescent="0.25">
      <c r="F6924" s="85" t="str">
        <f t="shared" si="56"/>
        <v/>
      </c>
      <c r="AB6924" s="86"/>
      <c r="AD6924" s="100"/>
    </row>
    <row r="6925" spans="6:30" x14ac:dyDescent="0.25">
      <c r="F6925" s="85" t="str">
        <f t="shared" si="56"/>
        <v/>
      </c>
      <c r="AB6925" s="86"/>
      <c r="AD6925" s="100"/>
    </row>
    <row r="6926" spans="6:30" x14ac:dyDescent="0.25">
      <c r="F6926" s="85" t="str">
        <f t="shared" si="56"/>
        <v/>
      </c>
      <c r="AB6926" s="86"/>
      <c r="AD6926" s="100"/>
    </row>
    <row r="6927" spans="6:30" x14ac:dyDescent="0.25">
      <c r="F6927" s="85" t="str">
        <f t="shared" si="56"/>
        <v/>
      </c>
      <c r="AB6927" s="86"/>
      <c r="AD6927" s="100"/>
    </row>
    <row r="6928" spans="6:30" x14ac:dyDescent="0.25">
      <c r="F6928" s="85" t="str">
        <f t="shared" si="56"/>
        <v/>
      </c>
      <c r="AB6928" s="86"/>
      <c r="AD6928" s="100"/>
    </row>
    <row r="6929" spans="6:30" x14ac:dyDescent="0.25">
      <c r="F6929" s="85" t="str">
        <f t="shared" si="56"/>
        <v/>
      </c>
      <c r="AB6929" s="86"/>
      <c r="AD6929" s="100"/>
    </row>
    <row r="6930" spans="6:30" x14ac:dyDescent="0.25">
      <c r="F6930" s="85" t="str">
        <f t="shared" si="56"/>
        <v/>
      </c>
      <c r="AB6930" s="86"/>
      <c r="AD6930" s="100"/>
    </row>
    <row r="6931" spans="6:30" x14ac:dyDescent="0.25">
      <c r="F6931" s="85" t="str">
        <f t="shared" si="56"/>
        <v/>
      </c>
      <c r="AB6931" s="86"/>
      <c r="AD6931" s="100"/>
    </row>
    <row r="6932" spans="6:30" x14ac:dyDescent="0.25">
      <c r="F6932" s="85" t="str">
        <f t="shared" si="56"/>
        <v/>
      </c>
      <c r="AB6932" s="86"/>
      <c r="AD6932" s="100"/>
    </row>
    <row r="6933" spans="6:30" x14ac:dyDescent="0.25">
      <c r="F6933" s="85" t="str">
        <f t="shared" si="56"/>
        <v/>
      </c>
      <c r="AB6933" s="86"/>
      <c r="AD6933" s="100"/>
    </row>
    <row r="6934" spans="6:30" x14ac:dyDescent="0.25">
      <c r="F6934" s="85" t="str">
        <f t="shared" si="56"/>
        <v/>
      </c>
      <c r="AB6934" s="86"/>
      <c r="AD6934" s="100"/>
    </row>
    <row r="6935" spans="6:30" x14ac:dyDescent="0.25">
      <c r="F6935" s="85" t="str">
        <f t="shared" si="56"/>
        <v/>
      </c>
      <c r="AB6935" s="86"/>
      <c r="AD6935" s="100"/>
    </row>
    <row r="6936" spans="6:30" x14ac:dyDescent="0.25">
      <c r="F6936" s="85" t="str">
        <f t="shared" si="56"/>
        <v/>
      </c>
      <c r="AB6936" s="86"/>
      <c r="AD6936" s="100"/>
    </row>
    <row r="6937" spans="6:30" x14ac:dyDescent="0.25">
      <c r="F6937" s="85" t="str">
        <f t="shared" si="56"/>
        <v/>
      </c>
      <c r="AB6937" s="86"/>
      <c r="AD6937" s="100"/>
    </row>
    <row r="6938" spans="6:30" x14ac:dyDescent="0.25">
      <c r="F6938" s="85" t="str">
        <f t="shared" si="56"/>
        <v/>
      </c>
      <c r="AB6938" s="86"/>
      <c r="AD6938" s="100"/>
    </row>
    <row r="6939" spans="6:30" x14ac:dyDescent="0.25">
      <c r="F6939" s="85" t="str">
        <f t="shared" si="56"/>
        <v/>
      </c>
      <c r="AB6939" s="86"/>
      <c r="AD6939" s="100"/>
    </row>
    <row r="6940" spans="6:30" x14ac:dyDescent="0.25">
      <c r="F6940" s="85" t="str">
        <f t="shared" si="56"/>
        <v/>
      </c>
      <c r="AB6940" s="86"/>
      <c r="AD6940" s="100"/>
    </row>
    <row r="6941" spans="6:30" x14ac:dyDescent="0.25">
      <c r="F6941" s="85" t="str">
        <f t="shared" si="56"/>
        <v/>
      </c>
      <c r="AB6941" s="86"/>
      <c r="AD6941" s="100"/>
    </row>
    <row r="6942" spans="6:30" x14ac:dyDescent="0.25">
      <c r="F6942" s="85" t="str">
        <f t="shared" si="56"/>
        <v/>
      </c>
      <c r="AB6942" s="86"/>
      <c r="AD6942" s="100"/>
    </row>
    <row r="6943" spans="6:30" x14ac:dyDescent="0.25">
      <c r="F6943" s="85" t="str">
        <f t="shared" si="56"/>
        <v/>
      </c>
      <c r="AB6943" s="86"/>
      <c r="AD6943" s="100"/>
    </row>
    <row r="6944" spans="6:30" x14ac:dyDescent="0.25">
      <c r="F6944" s="85" t="str">
        <f t="shared" si="56"/>
        <v/>
      </c>
      <c r="AB6944" s="86"/>
      <c r="AD6944" s="100"/>
    </row>
    <row r="6945" spans="6:30" x14ac:dyDescent="0.25">
      <c r="F6945" s="85" t="str">
        <f t="shared" si="56"/>
        <v/>
      </c>
      <c r="AB6945" s="86"/>
      <c r="AD6945" s="100"/>
    </row>
    <row r="6946" spans="6:30" x14ac:dyDescent="0.25">
      <c r="F6946" s="85" t="str">
        <f t="shared" si="56"/>
        <v/>
      </c>
      <c r="AB6946" s="86"/>
      <c r="AD6946" s="100"/>
    </row>
    <row r="6947" spans="6:30" x14ac:dyDescent="0.25">
      <c r="F6947" s="85" t="str">
        <f t="shared" si="56"/>
        <v/>
      </c>
      <c r="AB6947" s="86"/>
      <c r="AD6947" s="100"/>
    </row>
    <row r="6948" spans="6:30" x14ac:dyDescent="0.25">
      <c r="F6948" s="85" t="str">
        <f t="shared" si="56"/>
        <v/>
      </c>
      <c r="AB6948" s="86"/>
      <c r="AD6948" s="100"/>
    </row>
    <row r="6949" spans="6:30" x14ac:dyDescent="0.25">
      <c r="F6949" s="85" t="str">
        <f t="shared" si="56"/>
        <v/>
      </c>
      <c r="AB6949" s="86"/>
      <c r="AD6949" s="100"/>
    </row>
    <row r="6950" spans="6:30" x14ac:dyDescent="0.25">
      <c r="F6950" s="85" t="str">
        <f t="shared" si="56"/>
        <v/>
      </c>
      <c r="AB6950" s="86"/>
      <c r="AD6950" s="100"/>
    </row>
    <row r="6951" spans="6:30" x14ac:dyDescent="0.25">
      <c r="F6951" s="85" t="str">
        <f t="shared" si="56"/>
        <v/>
      </c>
      <c r="AB6951" s="86"/>
      <c r="AD6951" s="100"/>
    </row>
    <row r="6952" spans="6:30" x14ac:dyDescent="0.25">
      <c r="F6952" s="85" t="str">
        <f t="shared" si="56"/>
        <v/>
      </c>
      <c r="AB6952" s="86"/>
      <c r="AD6952" s="100"/>
    </row>
    <row r="6953" spans="6:30" x14ac:dyDescent="0.25">
      <c r="F6953" s="85" t="str">
        <f t="shared" si="56"/>
        <v/>
      </c>
      <c r="AB6953" s="86"/>
      <c r="AD6953" s="100"/>
    </row>
    <row r="6954" spans="6:30" x14ac:dyDescent="0.25">
      <c r="F6954" s="85" t="str">
        <f t="shared" si="56"/>
        <v/>
      </c>
      <c r="AB6954" s="86"/>
      <c r="AD6954" s="100"/>
    </row>
    <row r="6955" spans="6:30" x14ac:dyDescent="0.25">
      <c r="F6955" s="85" t="str">
        <f t="shared" si="56"/>
        <v/>
      </c>
      <c r="AB6955" s="86"/>
      <c r="AD6955" s="100"/>
    </row>
    <row r="6956" spans="6:30" x14ac:dyDescent="0.25">
      <c r="F6956" s="85" t="str">
        <f t="shared" si="56"/>
        <v/>
      </c>
      <c r="AB6956" s="86"/>
      <c r="AD6956" s="100"/>
    </row>
    <row r="6957" spans="6:30" x14ac:dyDescent="0.25">
      <c r="F6957" s="85" t="str">
        <f t="shared" si="56"/>
        <v/>
      </c>
      <c r="AB6957" s="86"/>
      <c r="AD6957" s="100"/>
    </row>
    <row r="6958" spans="6:30" x14ac:dyDescent="0.25">
      <c r="F6958" s="85" t="str">
        <f t="shared" si="56"/>
        <v/>
      </c>
      <c r="AB6958" s="86"/>
      <c r="AD6958" s="100"/>
    </row>
    <row r="6959" spans="6:30" x14ac:dyDescent="0.25">
      <c r="F6959" s="85" t="str">
        <f t="shared" si="56"/>
        <v/>
      </c>
      <c r="AB6959" s="86"/>
      <c r="AD6959" s="100"/>
    </row>
    <row r="6960" spans="6:30" x14ac:dyDescent="0.25">
      <c r="F6960" s="85" t="str">
        <f t="shared" si="56"/>
        <v/>
      </c>
      <c r="AB6960" s="86"/>
      <c r="AD6960" s="100"/>
    </row>
    <row r="6961" spans="6:30" x14ac:dyDescent="0.25">
      <c r="F6961" s="85" t="str">
        <f t="shared" si="56"/>
        <v/>
      </c>
      <c r="AB6961" s="86"/>
      <c r="AD6961" s="100"/>
    </row>
    <row r="6962" spans="6:30" x14ac:dyDescent="0.25">
      <c r="F6962" s="85" t="str">
        <f t="shared" si="56"/>
        <v/>
      </c>
      <c r="AB6962" s="86"/>
      <c r="AD6962" s="100"/>
    </row>
    <row r="6963" spans="6:30" x14ac:dyDescent="0.25">
      <c r="F6963" s="85" t="str">
        <f t="shared" si="56"/>
        <v/>
      </c>
      <c r="AB6963" s="86"/>
      <c r="AD6963" s="100"/>
    </row>
    <row r="6964" spans="6:30" x14ac:dyDescent="0.25">
      <c r="F6964" s="85" t="str">
        <f t="shared" si="56"/>
        <v/>
      </c>
      <c r="AB6964" s="86"/>
      <c r="AD6964" s="100"/>
    </row>
    <row r="6965" spans="6:30" x14ac:dyDescent="0.25">
      <c r="F6965" s="85" t="str">
        <f t="shared" si="56"/>
        <v/>
      </c>
      <c r="AB6965" s="86"/>
      <c r="AD6965" s="100"/>
    </row>
    <row r="6966" spans="6:30" x14ac:dyDescent="0.25">
      <c r="F6966" s="85" t="str">
        <f t="shared" si="56"/>
        <v/>
      </c>
      <c r="AB6966" s="86"/>
      <c r="AD6966" s="100"/>
    </row>
    <row r="6967" spans="6:30" x14ac:dyDescent="0.25">
      <c r="F6967" s="85" t="str">
        <f t="shared" si="56"/>
        <v/>
      </c>
      <c r="AB6967" s="86"/>
      <c r="AD6967" s="100"/>
    </row>
    <row r="6968" spans="6:30" x14ac:dyDescent="0.25">
      <c r="F6968" s="85" t="str">
        <f t="shared" si="56"/>
        <v/>
      </c>
      <c r="AB6968" s="86"/>
      <c r="AD6968" s="100"/>
    </row>
    <row r="6969" spans="6:30" x14ac:dyDescent="0.25">
      <c r="F6969" s="85" t="str">
        <f t="shared" si="56"/>
        <v/>
      </c>
      <c r="AB6969" s="86"/>
      <c r="AD6969" s="100"/>
    </row>
    <row r="6970" spans="6:30" x14ac:dyDescent="0.25">
      <c r="F6970" s="85" t="str">
        <f t="shared" si="56"/>
        <v/>
      </c>
      <c r="AB6970" s="86"/>
      <c r="AD6970" s="100"/>
    </row>
    <row r="6971" spans="6:30" x14ac:dyDescent="0.25">
      <c r="F6971" s="85" t="str">
        <f t="shared" si="56"/>
        <v/>
      </c>
      <c r="AB6971" s="86"/>
      <c r="AD6971" s="100"/>
    </row>
    <row r="6972" spans="6:30" x14ac:dyDescent="0.25">
      <c r="F6972" s="85" t="str">
        <f t="shared" si="56"/>
        <v/>
      </c>
      <c r="AB6972" s="86"/>
      <c r="AD6972" s="100"/>
    </row>
    <row r="6973" spans="6:30" x14ac:dyDescent="0.25">
      <c r="F6973" s="85" t="str">
        <f t="shared" si="56"/>
        <v/>
      </c>
      <c r="AB6973" s="86"/>
      <c r="AD6973" s="100"/>
    </row>
    <row r="6974" spans="6:30" x14ac:dyDescent="0.25">
      <c r="F6974" s="85" t="str">
        <f t="shared" si="56"/>
        <v/>
      </c>
      <c r="AB6974" s="86"/>
      <c r="AD6974" s="100"/>
    </row>
    <row r="6975" spans="6:30" x14ac:dyDescent="0.25">
      <c r="F6975" s="85" t="str">
        <f t="shared" si="56"/>
        <v/>
      </c>
      <c r="AB6975" s="86"/>
      <c r="AD6975" s="100"/>
    </row>
    <row r="6976" spans="6:30" x14ac:dyDescent="0.25">
      <c r="F6976" s="85" t="str">
        <f t="shared" si="56"/>
        <v/>
      </c>
      <c r="AB6976" s="86"/>
      <c r="AD6976" s="100"/>
    </row>
    <row r="6977" spans="6:30" x14ac:dyDescent="0.25">
      <c r="F6977" s="85" t="str">
        <f t="shared" si="56"/>
        <v/>
      </c>
      <c r="AB6977" s="86"/>
      <c r="AD6977" s="100"/>
    </row>
    <row r="6978" spans="6:30" x14ac:dyDescent="0.25">
      <c r="F6978" s="85" t="str">
        <f t="shared" si="56"/>
        <v/>
      </c>
      <c r="AB6978" s="86"/>
      <c r="AD6978" s="100"/>
    </row>
    <row r="6979" spans="6:30" x14ac:dyDescent="0.25">
      <c r="F6979" s="85" t="str">
        <f t="shared" ref="F6979:F7042" si="57">IF($A6979="","",CONCATENATE($A6979,"_",$B6979,"_",$C6979))</f>
        <v/>
      </c>
      <c r="AB6979" s="86"/>
      <c r="AD6979" s="100"/>
    </row>
    <row r="6980" spans="6:30" x14ac:dyDescent="0.25">
      <c r="F6980" s="85" t="str">
        <f t="shared" si="57"/>
        <v/>
      </c>
      <c r="AB6980" s="86"/>
      <c r="AD6980" s="100"/>
    </row>
    <row r="6981" spans="6:30" x14ac:dyDescent="0.25">
      <c r="F6981" s="85" t="str">
        <f t="shared" si="57"/>
        <v/>
      </c>
      <c r="AB6981" s="86"/>
      <c r="AD6981" s="100"/>
    </row>
    <row r="6982" spans="6:30" x14ac:dyDescent="0.25">
      <c r="F6982" s="85" t="str">
        <f t="shared" si="57"/>
        <v/>
      </c>
      <c r="AB6982" s="86"/>
      <c r="AD6982" s="100"/>
    </row>
    <row r="6983" spans="6:30" x14ac:dyDescent="0.25">
      <c r="F6983" s="85" t="str">
        <f t="shared" si="57"/>
        <v/>
      </c>
      <c r="AB6983" s="86"/>
      <c r="AD6983" s="100"/>
    </row>
    <row r="6984" spans="6:30" x14ac:dyDescent="0.25">
      <c r="F6984" s="85" t="str">
        <f t="shared" si="57"/>
        <v/>
      </c>
      <c r="AB6984" s="86"/>
      <c r="AD6984" s="100"/>
    </row>
    <row r="6985" spans="6:30" x14ac:dyDescent="0.25">
      <c r="F6985" s="85" t="str">
        <f t="shared" si="57"/>
        <v/>
      </c>
      <c r="AB6985" s="86"/>
      <c r="AD6985" s="100"/>
    </row>
    <row r="6986" spans="6:30" x14ac:dyDescent="0.25">
      <c r="F6986" s="85" t="str">
        <f t="shared" si="57"/>
        <v/>
      </c>
      <c r="AB6986" s="86"/>
      <c r="AD6986" s="100"/>
    </row>
    <row r="6987" spans="6:30" x14ac:dyDescent="0.25">
      <c r="F6987" s="85" t="str">
        <f t="shared" si="57"/>
        <v/>
      </c>
      <c r="AB6987" s="86"/>
      <c r="AD6987" s="100"/>
    </row>
    <row r="6988" spans="6:30" x14ac:dyDescent="0.25">
      <c r="F6988" s="85" t="str">
        <f t="shared" si="57"/>
        <v/>
      </c>
      <c r="AB6988" s="86"/>
      <c r="AD6988" s="100"/>
    </row>
    <row r="6989" spans="6:30" x14ac:dyDescent="0.25">
      <c r="F6989" s="85" t="str">
        <f t="shared" si="57"/>
        <v/>
      </c>
      <c r="AB6989" s="86"/>
      <c r="AD6989" s="100"/>
    </row>
    <row r="6990" spans="6:30" x14ac:dyDescent="0.25">
      <c r="F6990" s="85" t="str">
        <f t="shared" si="57"/>
        <v/>
      </c>
      <c r="AB6990" s="86"/>
      <c r="AD6990" s="100"/>
    </row>
    <row r="6991" spans="6:30" x14ac:dyDescent="0.25">
      <c r="F6991" s="85" t="str">
        <f t="shared" si="57"/>
        <v/>
      </c>
      <c r="AB6991" s="86"/>
      <c r="AD6991" s="100"/>
    </row>
    <row r="6992" spans="6:30" x14ac:dyDescent="0.25">
      <c r="F6992" s="85" t="str">
        <f t="shared" si="57"/>
        <v/>
      </c>
      <c r="AB6992" s="86"/>
      <c r="AD6992" s="100"/>
    </row>
    <row r="6993" spans="6:30" x14ac:dyDescent="0.25">
      <c r="F6993" s="85" t="str">
        <f t="shared" si="57"/>
        <v/>
      </c>
      <c r="AB6993" s="86"/>
      <c r="AD6993" s="100"/>
    </row>
    <row r="6994" spans="6:30" x14ac:dyDescent="0.25">
      <c r="F6994" s="85" t="str">
        <f t="shared" si="57"/>
        <v/>
      </c>
      <c r="AB6994" s="86"/>
      <c r="AD6994" s="100"/>
    </row>
    <row r="6995" spans="6:30" x14ac:dyDescent="0.25">
      <c r="F6995" s="85" t="str">
        <f t="shared" si="57"/>
        <v/>
      </c>
      <c r="AB6995" s="86"/>
      <c r="AD6995" s="100"/>
    </row>
    <row r="6996" spans="6:30" x14ac:dyDescent="0.25">
      <c r="F6996" s="85" t="str">
        <f t="shared" si="57"/>
        <v/>
      </c>
      <c r="AB6996" s="86"/>
      <c r="AD6996" s="100"/>
    </row>
    <row r="6997" spans="6:30" x14ac:dyDescent="0.25">
      <c r="F6997" s="85" t="str">
        <f t="shared" si="57"/>
        <v/>
      </c>
      <c r="AB6997" s="86"/>
      <c r="AD6997" s="100"/>
    </row>
    <row r="6998" spans="6:30" x14ac:dyDescent="0.25">
      <c r="F6998" s="85" t="str">
        <f t="shared" si="57"/>
        <v/>
      </c>
      <c r="AB6998" s="86"/>
      <c r="AD6998" s="100"/>
    </row>
    <row r="6999" spans="6:30" x14ac:dyDescent="0.25">
      <c r="F6999" s="85" t="str">
        <f t="shared" si="57"/>
        <v/>
      </c>
      <c r="AB6999" s="86"/>
      <c r="AD6999" s="100"/>
    </row>
    <row r="7000" spans="6:30" x14ac:dyDescent="0.25">
      <c r="F7000" s="85" t="str">
        <f t="shared" si="57"/>
        <v/>
      </c>
      <c r="AB7000" s="86"/>
      <c r="AD7000" s="100"/>
    </row>
    <row r="7001" spans="6:30" x14ac:dyDescent="0.25">
      <c r="F7001" s="85" t="str">
        <f t="shared" si="57"/>
        <v/>
      </c>
      <c r="AB7001" s="86"/>
      <c r="AD7001" s="100"/>
    </row>
    <row r="7002" spans="6:30" x14ac:dyDescent="0.25">
      <c r="F7002" s="85" t="str">
        <f t="shared" si="57"/>
        <v/>
      </c>
      <c r="AB7002" s="86"/>
      <c r="AD7002" s="100"/>
    </row>
    <row r="7003" spans="6:30" x14ac:dyDescent="0.25">
      <c r="F7003" s="85" t="str">
        <f t="shared" si="57"/>
        <v/>
      </c>
      <c r="AB7003" s="86"/>
      <c r="AD7003" s="100"/>
    </row>
    <row r="7004" spans="6:30" x14ac:dyDescent="0.25">
      <c r="F7004" s="85" t="str">
        <f t="shared" si="57"/>
        <v/>
      </c>
      <c r="AB7004" s="86"/>
      <c r="AD7004" s="100"/>
    </row>
    <row r="7005" spans="6:30" x14ac:dyDescent="0.25">
      <c r="F7005" s="85" t="str">
        <f t="shared" si="57"/>
        <v/>
      </c>
      <c r="AB7005" s="86"/>
      <c r="AD7005" s="100"/>
    </row>
    <row r="7006" spans="6:30" x14ac:dyDescent="0.25">
      <c r="F7006" s="85" t="str">
        <f t="shared" si="57"/>
        <v/>
      </c>
      <c r="AB7006" s="86"/>
      <c r="AD7006" s="100"/>
    </row>
    <row r="7007" spans="6:30" x14ac:dyDescent="0.25">
      <c r="F7007" s="85" t="str">
        <f t="shared" si="57"/>
        <v/>
      </c>
      <c r="AB7007" s="86"/>
      <c r="AD7007" s="100"/>
    </row>
    <row r="7008" spans="6:30" x14ac:dyDescent="0.25">
      <c r="F7008" s="85" t="str">
        <f t="shared" si="57"/>
        <v/>
      </c>
      <c r="AB7008" s="86"/>
      <c r="AD7008" s="100"/>
    </row>
    <row r="7009" spans="6:30" x14ac:dyDescent="0.25">
      <c r="F7009" s="85" t="str">
        <f t="shared" si="57"/>
        <v/>
      </c>
      <c r="AB7009" s="86"/>
      <c r="AD7009" s="100"/>
    </row>
    <row r="7010" spans="6:30" x14ac:dyDescent="0.25">
      <c r="F7010" s="85" t="str">
        <f t="shared" si="57"/>
        <v/>
      </c>
      <c r="AB7010" s="86"/>
      <c r="AD7010" s="100"/>
    </row>
    <row r="7011" spans="6:30" x14ac:dyDescent="0.25">
      <c r="F7011" s="85" t="str">
        <f t="shared" si="57"/>
        <v/>
      </c>
      <c r="AB7011" s="86"/>
      <c r="AD7011" s="100"/>
    </row>
    <row r="7012" spans="6:30" x14ac:dyDescent="0.25">
      <c r="F7012" s="85" t="str">
        <f t="shared" si="57"/>
        <v/>
      </c>
      <c r="AB7012" s="86"/>
      <c r="AD7012" s="100"/>
    </row>
    <row r="7013" spans="6:30" x14ac:dyDescent="0.25">
      <c r="F7013" s="85" t="str">
        <f t="shared" si="57"/>
        <v/>
      </c>
    </row>
    <row r="7014" spans="6:30" x14ac:dyDescent="0.25">
      <c r="F7014" s="85" t="str">
        <f t="shared" si="57"/>
        <v/>
      </c>
    </row>
    <row r="7015" spans="6:30" x14ac:dyDescent="0.25">
      <c r="F7015" s="85" t="str">
        <f t="shared" si="57"/>
        <v/>
      </c>
    </row>
    <row r="7016" spans="6:30" x14ac:dyDescent="0.25">
      <c r="F7016" s="85" t="str">
        <f t="shared" si="57"/>
        <v/>
      </c>
    </row>
    <row r="7017" spans="6:30" x14ac:dyDescent="0.25">
      <c r="F7017" s="85" t="str">
        <f t="shared" si="57"/>
        <v/>
      </c>
    </row>
    <row r="7018" spans="6:30" x14ac:dyDescent="0.25">
      <c r="F7018" s="85" t="str">
        <f t="shared" si="57"/>
        <v/>
      </c>
    </row>
    <row r="7019" spans="6:30" x14ac:dyDescent="0.25">
      <c r="F7019" s="85" t="str">
        <f t="shared" si="57"/>
        <v/>
      </c>
    </row>
    <row r="7020" spans="6:30" x14ac:dyDescent="0.25">
      <c r="F7020" s="85" t="str">
        <f t="shared" si="57"/>
        <v/>
      </c>
    </row>
    <row r="7021" spans="6:30" x14ac:dyDescent="0.25">
      <c r="F7021" s="85" t="str">
        <f t="shared" si="57"/>
        <v/>
      </c>
    </row>
    <row r="7022" spans="6:30" x14ac:dyDescent="0.25">
      <c r="F7022" s="85" t="str">
        <f t="shared" si="57"/>
        <v/>
      </c>
    </row>
    <row r="7023" spans="6:30" x14ac:dyDescent="0.25">
      <c r="F7023" s="85" t="str">
        <f t="shared" si="57"/>
        <v/>
      </c>
    </row>
    <row r="7024" spans="6:30" x14ac:dyDescent="0.25">
      <c r="F7024" s="85" t="str">
        <f t="shared" si="57"/>
        <v/>
      </c>
    </row>
    <row r="7025" spans="6:6" x14ac:dyDescent="0.25">
      <c r="F7025" s="85" t="str">
        <f t="shared" si="57"/>
        <v/>
      </c>
    </row>
    <row r="7026" spans="6:6" x14ac:dyDescent="0.25">
      <c r="F7026" s="85" t="str">
        <f t="shared" si="57"/>
        <v/>
      </c>
    </row>
    <row r="7027" spans="6:6" x14ac:dyDescent="0.25">
      <c r="F7027" s="85" t="str">
        <f t="shared" si="57"/>
        <v/>
      </c>
    </row>
    <row r="7028" spans="6:6" x14ac:dyDescent="0.25">
      <c r="F7028" s="85" t="str">
        <f t="shared" si="57"/>
        <v/>
      </c>
    </row>
    <row r="7029" spans="6:6" x14ac:dyDescent="0.25">
      <c r="F7029" s="85" t="str">
        <f t="shared" si="57"/>
        <v/>
      </c>
    </row>
    <row r="7030" spans="6:6" x14ac:dyDescent="0.25">
      <c r="F7030" s="85" t="str">
        <f t="shared" si="57"/>
        <v/>
      </c>
    </row>
    <row r="7031" spans="6:6" x14ac:dyDescent="0.25">
      <c r="F7031" s="85" t="str">
        <f t="shared" si="57"/>
        <v/>
      </c>
    </row>
    <row r="7032" spans="6:6" x14ac:dyDescent="0.25">
      <c r="F7032" s="85" t="str">
        <f t="shared" si="57"/>
        <v/>
      </c>
    </row>
    <row r="7033" spans="6:6" x14ac:dyDescent="0.25">
      <c r="F7033" s="85" t="str">
        <f t="shared" si="57"/>
        <v/>
      </c>
    </row>
    <row r="7034" spans="6:6" x14ac:dyDescent="0.25">
      <c r="F7034" s="85" t="str">
        <f t="shared" si="57"/>
        <v/>
      </c>
    </row>
    <row r="7035" spans="6:6" x14ac:dyDescent="0.25">
      <c r="F7035" s="85" t="str">
        <f t="shared" si="57"/>
        <v/>
      </c>
    </row>
    <row r="7036" spans="6:6" x14ac:dyDescent="0.25">
      <c r="F7036" s="85" t="str">
        <f t="shared" si="57"/>
        <v/>
      </c>
    </row>
    <row r="7037" spans="6:6" x14ac:dyDescent="0.25">
      <c r="F7037" s="85" t="str">
        <f t="shared" si="57"/>
        <v/>
      </c>
    </row>
    <row r="7038" spans="6:6" x14ac:dyDescent="0.25">
      <c r="F7038" s="85" t="str">
        <f t="shared" si="57"/>
        <v/>
      </c>
    </row>
    <row r="7039" spans="6:6" x14ac:dyDescent="0.25">
      <c r="F7039" s="85" t="str">
        <f t="shared" si="57"/>
        <v/>
      </c>
    </row>
    <row r="7040" spans="6:6" x14ac:dyDescent="0.25">
      <c r="F7040" s="85" t="str">
        <f t="shared" si="57"/>
        <v/>
      </c>
    </row>
    <row r="7041" spans="6:6" x14ac:dyDescent="0.25">
      <c r="F7041" s="85" t="str">
        <f t="shared" si="57"/>
        <v/>
      </c>
    </row>
    <row r="7042" spans="6:6" x14ac:dyDescent="0.25">
      <c r="F7042" s="85" t="str">
        <f t="shared" si="57"/>
        <v/>
      </c>
    </row>
    <row r="7043" spans="6:6" x14ac:dyDescent="0.25">
      <c r="F7043" s="85" t="str">
        <f t="shared" ref="F7043:F7106" si="58">IF($A7043="","",CONCATENATE($A7043,"_",$B7043,"_",$C7043))</f>
        <v/>
      </c>
    </row>
    <row r="7044" spans="6:6" x14ac:dyDescent="0.25">
      <c r="F7044" s="85" t="str">
        <f t="shared" si="58"/>
        <v/>
      </c>
    </row>
    <row r="7045" spans="6:6" x14ac:dyDescent="0.25">
      <c r="F7045" s="85" t="str">
        <f t="shared" si="58"/>
        <v/>
      </c>
    </row>
    <row r="7046" spans="6:6" x14ac:dyDescent="0.25">
      <c r="F7046" s="85" t="str">
        <f t="shared" si="58"/>
        <v/>
      </c>
    </row>
    <row r="7047" spans="6:6" x14ac:dyDescent="0.25">
      <c r="F7047" s="85" t="str">
        <f t="shared" si="58"/>
        <v/>
      </c>
    </row>
    <row r="7048" spans="6:6" x14ac:dyDescent="0.25">
      <c r="F7048" s="85" t="str">
        <f t="shared" si="58"/>
        <v/>
      </c>
    </row>
    <row r="7049" spans="6:6" x14ac:dyDescent="0.25">
      <c r="F7049" s="85" t="str">
        <f t="shared" si="58"/>
        <v/>
      </c>
    </row>
    <row r="7050" spans="6:6" x14ac:dyDescent="0.25">
      <c r="F7050" s="85" t="str">
        <f t="shared" si="58"/>
        <v/>
      </c>
    </row>
    <row r="7051" spans="6:6" x14ac:dyDescent="0.25">
      <c r="F7051" s="85" t="str">
        <f t="shared" si="58"/>
        <v/>
      </c>
    </row>
    <row r="7052" spans="6:6" x14ac:dyDescent="0.25">
      <c r="F7052" s="85" t="str">
        <f t="shared" si="58"/>
        <v/>
      </c>
    </row>
    <row r="7053" spans="6:6" x14ac:dyDescent="0.25">
      <c r="F7053" s="85" t="str">
        <f t="shared" si="58"/>
        <v/>
      </c>
    </row>
    <row r="7054" spans="6:6" x14ac:dyDescent="0.25">
      <c r="F7054" s="85" t="str">
        <f t="shared" si="58"/>
        <v/>
      </c>
    </row>
    <row r="7055" spans="6:6" x14ac:dyDescent="0.25">
      <c r="F7055" s="85" t="str">
        <f t="shared" si="58"/>
        <v/>
      </c>
    </row>
    <row r="7056" spans="6:6" x14ac:dyDescent="0.25">
      <c r="F7056" s="85" t="str">
        <f t="shared" si="58"/>
        <v/>
      </c>
    </row>
    <row r="7057" spans="6:6" x14ac:dyDescent="0.25">
      <c r="F7057" s="85" t="str">
        <f t="shared" si="58"/>
        <v/>
      </c>
    </row>
    <row r="7058" spans="6:6" x14ac:dyDescent="0.25">
      <c r="F7058" s="85" t="str">
        <f t="shared" si="58"/>
        <v/>
      </c>
    </row>
    <row r="7059" spans="6:6" x14ac:dyDescent="0.25">
      <c r="F7059" s="85" t="str">
        <f t="shared" si="58"/>
        <v/>
      </c>
    </row>
    <row r="7060" spans="6:6" x14ac:dyDescent="0.25">
      <c r="F7060" s="85" t="str">
        <f t="shared" si="58"/>
        <v/>
      </c>
    </row>
    <row r="7061" spans="6:6" x14ac:dyDescent="0.25">
      <c r="F7061" s="85" t="str">
        <f t="shared" si="58"/>
        <v/>
      </c>
    </row>
    <row r="7062" spans="6:6" x14ac:dyDescent="0.25">
      <c r="F7062" s="85" t="str">
        <f t="shared" si="58"/>
        <v/>
      </c>
    </row>
    <row r="7063" spans="6:6" x14ac:dyDescent="0.25">
      <c r="F7063" s="85" t="str">
        <f t="shared" si="58"/>
        <v/>
      </c>
    </row>
    <row r="7064" spans="6:6" x14ac:dyDescent="0.25">
      <c r="F7064" s="85" t="str">
        <f t="shared" si="58"/>
        <v/>
      </c>
    </row>
    <row r="7065" spans="6:6" x14ac:dyDescent="0.25">
      <c r="F7065" s="85" t="str">
        <f t="shared" si="58"/>
        <v/>
      </c>
    </row>
    <row r="7066" spans="6:6" x14ac:dyDescent="0.25">
      <c r="F7066" s="85" t="str">
        <f t="shared" si="58"/>
        <v/>
      </c>
    </row>
    <row r="7067" spans="6:6" x14ac:dyDescent="0.25">
      <c r="F7067" s="85" t="str">
        <f t="shared" si="58"/>
        <v/>
      </c>
    </row>
    <row r="7068" spans="6:6" x14ac:dyDescent="0.25">
      <c r="F7068" s="85" t="str">
        <f t="shared" si="58"/>
        <v/>
      </c>
    </row>
    <row r="7069" spans="6:6" x14ac:dyDescent="0.25">
      <c r="F7069" s="85" t="str">
        <f t="shared" si="58"/>
        <v/>
      </c>
    </row>
    <row r="7070" spans="6:6" x14ac:dyDescent="0.25">
      <c r="F7070" s="85" t="str">
        <f t="shared" si="58"/>
        <v/>
      </c>
    </row>
    <row r="7071" spans="6:6" x14ac:dyDescent="0.25">
      <c r="F7071" s="85" t="str">
        <f t="shared" si="58"/>
        <v/>
      </c>
    </row>
    <row r="7072" spans="6:6" x14ac:dyDescent="0.25">
      <c r="F7072" s="85" t="str">
        <f t="shared" si="58"/>
        <v/>
      </c>
    </row>
    <row r="7073" spans="6:6" x14ac:dyDescent="0.25">
      <c r="F7073" s="85" t="str">
        <f t="shared" si="58"/>
        <v/>
      </c>
    </row>
    <row r="7074" spans="6:6" x14ac:dyDescent="0.25">
      <c r="F7074" s="85" t="str">
        <f t="shared" si="58"/>
        <v/>
      </c>
    </row>
    <row r="7075" spans="6:6" x14ac:dyDescent="0.25">
      <c r="F7075" s="85" t="str">
        <f t="shared" si="58"/>
        <v/>
      </c>
    </row>
    <row r="7076" spans="6:6" x14ac:dyDescent="0.25">
      <c r="F7076" s="85" t="str">
        <f t="shared" si="58"/>
        <v/>
      </c>
    </row>
    <row r="7077" spans="6:6" x14ac:dyDescent="0.25">
      <c r="F7077" s="85" t="str">
        <f t="shared" si="58"/>
        <v/>
      </c>
    </row>
    <row r="7078" spans="6:6" x14ac:dyDescent="0.25">
      <c r="F7078" s="85" t="str">
        <f t="shared" si="58"/>
        <v/>
      </c>
    </row>
    <row r="7079" spans="6:6" x14ac:dyDescent="0.25">
      <c r="F7079" s="85" t="str">
        <f t="shared" si="58"/>
        <v/>
      </c>
    </row>
    <row r="7080" spans="6:6" x14ac:dyDescent="0.25">
      <c r="F7080" s="85" t="str">
        <f t="shared" si="58"/>
        <v/>
      </c>
    </row>
    <row r="7081" spans="6:6" x14ac:dyDescent="0.25">
      <c r="F7081" s="85" t="str">
        <f t="shared" si="58"/>
        <v/>
      </c>
    </row>
    <row r="7082" spans="6:6" x14ac:dyDescent="0.25">
      <c r="F7082" s="85" t="str">
        <f t="shared" si="58"/>
        <v/>
      </c>
    </row>
    <row r="7083" spans="6:6" x14ac:dyDescent="0.25">
      <c r="F7083" s="85" t="str">
        <f t="shared" si="58"/>
        <v/>
      </c>
    </row>
    <row r="7084" spans="6:6" x14ac:dyDescent="0.25">
      <c r="F7084" s="85" t="str">
        <f t="shared" si="58"/>
        <v/>
      </c>
    </row>
    <row r="7085" spans="6:6" x14ac:dyDescent="0.25">
      <c r="F7085" s="85" t="str">
        <f t="shared" si="58"/>
        <v/>
      </c>
    </row>
    <row r="7086" spans="6:6" x14ac:dyDescent="0.25">
      <c r="F7086" s="85" t="str">
        <f t="shared" si="58"/>
        <v/>
      </c>
    </row>
    <row r="7087" spans="6:6" x14ac:dyDescent="0.25">
      <c r="F7087" s="85" t="str">
        <f t="shared" si="58"/>
        <v/>
      </c>
    </row>
    <row r="7088" spans="6:6" x14ac:dyDescent="0.25">
      <c r="F7088" s="85" t="str">
        <f t="shared" si="58"/>
        <v/>
      </c>
    </row>
    <row r="7089" spans="6:6" x14ac:dyDescent="0.25">
      <c r="F7089" s="85" t="str">
        <f t="shared" si="58"/>
        <v/>
      </c>
    </row>
    <row r="7090" spans="6:6" x14ac:dyDescent="0.25">
      <c r="F7090" s="85" t="str">
        <f t="shared" si="58"/>
        <v/>
      </c>
    </row>
    <row r="7091" spans="6:6" x14ac:dyDescent="0.25">
      <c r="F7091" s="85" t="str">
        <f t="shared" si="58"/>
        <v/>
      </c>
    </row>
    <row r="7092" spans="6:6" x14ac:dyDescent="0.25">
      <c r="F7092" s="85" t="str">
        <f t="shared" si="58"/>
        <v/>
      </c>
    </row>
    <row r="7093" spans="6:6" x14ac:dyDescent="0.25">
      <c r="F7093" s="85" t="str">
        <f t="shared" si="58"/>
        <v/>
      </c>
    </row>
    <row r="7094" spans="6:6" x14ac:dyDescent="0.25">
      <c r="F7094" s="85" t="str">
        <f t="shared" si="58"/>
        <v/>
      </c>
    </row>
    <row r="7095" spans="6:6" x14ac:dyDescent="0.25">
      <c r="F7095" s="85" t="str">
        <f t="shared" si="58"/>
        <v/>
      </c>
    </row>
    <row r="7096" spans="6:6" x14ac:dyDescent="0.25">
      <c r="F7096" s="85" t="str">
        <f t="shared" si="58"/>
        <v/>
      </c>
    </row>
    <row r="7097" spans="6:6" x14ac:dyDescent="0.25">
      <c r="F7097" s="85" t="str">
        <f t="shared" si="58"/>
        <v/>
      </c>
    </row>
    <row r="7098" spans="6:6" x14ac:dyDescent="0.25">
      <c r="F7098" s="85" t="str">
        <f t="shared" si="58"/>
        <v/>
      </c>
    </row>
    <row r="7099" spans="6:6" x14ac:dyDescent="0.25">
      <c r="F7099" s="85" t="str">
        <f t="shared" si="58"/>
        <v/>
      </c>
    </row>
    <row r="7100" spans="6:6" x14ac:dyDescent="0.25">
      <c r="F7100" s="85" t="str">
        <f t="shared" si="58"/>
        <v/>
      </c>
    </row>
    <row r="7101" spans="6:6" x14ac:dyDescent="0.25">
      <c r="F7101" s="85" t="str">
        <f t="shared" si="58"/>
        <v/>
      </c>
    </row>
    <row r="7102" spans="6:6" x14ac:dyDescent="0.25">
      <c r="F7102" s="85" t="str">
        <f t="shared" si="58"/>
        <v/>
      </c>
    </row>
    <row r="7103" spans="6:6" x14ac:dyDescent="0.25">
      <c r="F7103" s="85" t="str">
        <f t="shared" si="58"/>
        <v/>
      </c>
    </row>
    <row r="7104" spans="6:6" x14ac:dyDescent="0.25">
      <c r="F7104" s="85" t="str">
        <f t="shared" si="58"/>
        <v/>
      </c>
    </row>
    <row r="7105" spans="6:6" x14ac:dyDescent="0.25">
      <c r="F7105" s="85" t="str">
        <f t="shared" si="58"/>
        <v/>
      </c>
    </row>
    <row r="7106" spans="6:6" x14ac:dyDescent="0.25">
      <c r="F7106" s="85" t="str">
        <f t="shared" si="58"/>
        <v/>
      </c>
    </row>
    <row r="7107" spans="6:6" x14ac:dyDescent="0.25">
      <c r="F7107" s="85" t="str">
        <f t="shared" ref="F7107:F7170" si="59">IF($A7107="","",CONCATENATE($A7107,"_",$B7107,"_",$C7107))</f>
        <v/>
      </c>
    </row>
    <row r="7108" spans="6:6" x14ac:dyDescent="0.25">
      <c r="F7108" s="85" t="str">
        <f t="shared" si="59"/>
        <v/>
      </c>
    </row>
    <row r="7109" spans="6:6" x14ac:dyDescent="0.25">
      <c r="F7109" s="85" t="str">
        <f t="shared" si="59"/>
        <v/>
      </c>
    </row>
    <row r="7110" spans="6:6" x14ac:dyDescent="0.25">
      <c r="F7110" s="85" t="str">
        <f t="shared" si="59"/>
        <v/>
      </c>
    </row>
    <row r="7111" spans="6:6" x14ac:dyDescent="0.25">
      <c r="F7111" s="85" t="str">
        <f t="shared" si="59"/>
        <v/>
      </c>
    </row>
    <row r="7112" spans="6:6" x14ac:dyDescent="0.25">
      <c r="F7112" s="85" t="str">
        <f t="shared" si="59"/>
        <v/>
      </c>
    </row>
    <row r="7113" spans="6:6" x14ac:dyDescent="0.25">
      <c r="F7113" s="85" t="str">
        <f t="shared" si="59"/>
        <v/>
      </c>
    </row>
    <row r="7114" spans="6:6" x14ac:dyDescent="0.25">
      <c r="F7114" s="85" t="str">
        <f t="shared" si="59"/>
        <v/>
      </c>
    </row>
    <row r="7115" spans="6:6" x14ac:dyDescent="0.25">
      <c r="F7115" s="85" t="str">
        <f t="shared" si="59"/>
        <v/>
      </c>
    </row>
    <row r="7116" spans="6:6" x14ac:dyDescent="0.25">
      <c r="F7116" s="85" t="str">
        <f t="shared" si="59"/>
        <v/>
      </c>
    </row>
    <row r="7117" spans="6:6" x14ac:dyDescent="0.25">
      <c r="F7117" s="85" t="str">
        <f t="shared" si="59"/>
        <v/>
      </c>
    </row>
    <row r="7118" spans="6:6" x14ac:dyDescent="0.25">
      <c r="F7118" s="85" t="str">
        <f t="shared" si="59"/>
        <v/>
      </c>
    </row>
    <row r="7119" spans="6:6" x14ac:dyDescent="0.25">
      <c r="F7119" s="85" t="str">
        <f t="shared" si="59"/>
        <v/>
      </c>
    </row>
    <row r="7120" spans="6:6" x14ac:dyDescent="0.25">
      <c r="F7120" s="85" t="str">
        <f t="shared" si="59"/>
        <v/>
      </c>
    </row>
    <row r="7121" spans="6:6" x14ac:dyDescent="0.25">
      <c r="F7121" s="85" t="str">
        <f t="shared" si="59"/>
        <v/>
      </c>
    </row>
    <row r="7122" spans="6:6" x14ac:dyDescent="0.25">
      <c r="F7122" s="85" t="str">
        <f t="shared" si="59"/>
        <v/>
      </c>
    </row>
    <row r="7123" spans="6:6" x14ac:dyDescent="0.25">
      <c r="F7123" s="85" t="str">
        <f t="shared" si="59"/>
        <v/>
      </c>
    </row>
    <row r="7124" spans="6:6" x14ac:dyDescent="0.25">
      <c r="F7124" s="85" t="str">
        <f t="shared" si="59"/>
        <v/>
      </c>
    </row>
    <row r="7125" spans="6:6" x14ac:dyDescent="0.25">
      <c r="F7125" s="85" t="str">
        <f t="shared" si="59"/>
        <v/>
      </c>
    </row>
    <row r="7126" spans="6:6" x14ac:dyDescent="0.25">
      <c r="F7126" s="85" t="str">
        <f t="shared" si="59"/>
        <v/>
      </c>
    </row>
    <row r="7127" spans="6:6" x14ac:dyDescent="0.25">
      <c r="F7127" s="85" t="str">
        <f t="shared" si="59"/>
        <v/>
      </c>
    </row>
    <row r="7128" spans="6:6" x14ac:dyDescent="0.25">
      <c r="F7128" s="85" t="str">
        <f t="shared" si="59"/>
        <v/>
      </c>
    </row>
    <row r="7129" spans="6:6" x14ac:dyDescent="0.25">
      <c r="F7129" s="85" t="str">
        <f t="shared" si="59"/>
        <v/>
      </c>
    </row>
    <row r="7130" spans="6:6" x14ac:dyDescent="0.25">
      <c r="F7130" s="85" t="str">
        <f t="shared" si="59"/>
        <v/>
      </c>
    </row>
    <row r="7131" spans="6:6" x14ac:dyDescent="0.25">
      <c r="F7131" s="85" t="str">
        <f t="shared" si="59"/>
        <v/>
      </c>
    </row>
    <row r="7132" spans="6:6" x14ac:dyDescent="0.25">
      <c r="F7132" s="85" t="str">
        <f t="shared" si="59"/>
        <v/>
      </c>
    </row>
    <row r="7133" spans="6:6" x14ac:dyDescent="0.25">
      <c r="F7133" s="85" t="str">
        <f t="shared" si="59"/>
        <v/>
      </c>
    </row>
    <row r="7134" spans="6:6" x14ac:dyDescent="0.25">
      <c r="F7134" s="85" t="str">
        <f t="shared" si="59"/>
        <v/>
      </c>
    </row>
    <row r="7135" spans="6:6" x14ac:dyDescent="0.25">
      <c r="F7135" s="85" t="str">
        <f t="shared" si="59"/>
        <v/>
      </c>
    </row>
    <row r="7136" spans="6:6" x14ac:dyDescent="0.25">
      <c r="F7136" s="85" t="str">
        <f t="shared" si="59"/>
        <v/>
      </c>
    </row>
    <row r="7137" spans="6:6" x14ac:dyDescent="0.25">
      <c r="F7137" s="85" t="str">
        <f t="shared" si="59"/>
        <v/>
      </c>
    </row>
    <row r="7138" spans="6:6" x14ac:dyDescent="0.25">
      <c r="F7138" s="85" t="str">
        <f t="shared" si="59"/>
        <v/>
      </c>
    </row>
    <row r="7139" spans="6:6" x14ac:dyDescent="0.25">
      <c r="F7139" s="85" t="str">
        <f t="shared" si="59"/>
        <v/>
      </c>
    </row>
    <row r="7140" spans="6:6" x14ac:dyDescent="0.25">
      <c r="F7140" s="85" t="str">
        <f t="shared" si="59"/>
        <v/>
      </c>
    </row>
    <row r="7141" spans="6:6" x14ac:dyDescent="0.25">
      <c r="F7141" s="85" t="str">
        <f t="shared" si="59"/>
        <v/>
      </c>
    </row>
    <row r="7142" spans="6:6" x14ac:dyDescent="0.25">
      <c r="F7142" s="85" t="str">
        <f t="shared" si="59"/>
        <v/>
      </c>
    </row>
    <row r="7143" spans="6:6" x14ac:dyDescent="0.25">
      <c r="F7143" s="85" t="str">
        <f t="shared" si="59"/>
        <v/>
      </c>
    </row>
    <row r="7144" spans="6:6" x14ac:dyDescent="0.25">
      <c r="F7144" s="85" t="str">
        <f t="shared" si="59"/>
        <v/>
      </c>
    </row>
    <row r="7145" spans="6:6" x14ac:dyDescent="0.25">
      <c r="F7145" s="85" t="str">
        <f t="shared" si="59"/>
        <v/>
      </c>
    </row>
    <row r="7146" spans="6:6" x14ac:dyDescent="0.25">
      <c r="F7146" s="85" t="str">
        <f t="shared" si="59"/>
        <v/>
      </c>
    </row>
    <row r="7147" spans="6:6" x14ac:dyDescent="0.25">
      <c r="F7147" s="85" t="str">
        <f t="shared" si="59"/>
        <v/>
      </c>
    </row>
    <row r="7148" spans="6:6" x14ac:dyDescent="0.25">
      <c r="F7148" s="85" t="str">
        <f t="shared" si="59"/>
        <v/>
      </c>
    </row>
    <row r="7149" spans="6:6" x14ac:dyDescent="0.25">
      <c r="F7149" s="85" t="str">
        <f t="shared" si="59"/>
        <v/>
      </c>
    </row>
    <row r="7150" spans="6:6" x14ac:dyDescent="0.25">
      <c r="F7150" s="85" t="str">
        <f t="shared" si="59"/>
        <v/>
      </c>
    </row>
    <row r="7151" spans="6:6" x14ac:dyDescent="0.25">
      <c r="F7151" s="85" t="str">
        <f t="shared" si="59"/>
        <v/>
      </c>
    </row>
    <row r="7152" spans="6:6" x14ac:dyDescent="0.25">
      <c r="F7152" s="85" t="str">
        <f t="shared" si="59"/>
        <v/>
      </c>
    </row>
    <row r="7153" spans="6:6" x14ac:dyDescent="0.25">
      <c r="F7153" s="85" t="str">
        <f t="shared" si="59"/>
        <v/>
      </c>
    </row>
    <row r="7154" spans="6:6" x14ac:dyDescent="0.25">
      <c r="F7154" s="85" t="str">
        <f t="shared" si="59"/>
        <v/>
      </c>
    </row>
    <row r="7155" spans="6:6" x14ac:dyDescent="0.25">
      <c r="F7155" s="85" t="str">
        <f t="shared" si="59"/>
        <v/>
      </c>
    </row>
    <row r="7156" spans="6:6" x14ac:dyDescent="0.25">
      <c r="F7156" s="85" t="str">
        <f t="shared" si="59"/>
        <v/>
      </c>
    </row>
    <row r="7157" spans="6:6" x14ac:dyDescent="0.25">
      <c r="F7157" s="85" t="str">
        <f t="shared" si="59"/>
        <v/>
      </c>
    </row>
    <row r="7158" spans="6:6" x14ac:dyDescent="0.25">
      <c r="F7158" s="85" t="str">
        <f t="shared" si="59"/>
        <v/>
      </c>
    </row>
    <row r="7159" spans="6:6" x14ac:dyDescent="0.25">
      <c r="F7159" s="85" t="str">
        <f t="shared" si="59"/>
        <v/>
      </c>
    </row>
    <row r="7160" spans="6:6" x14ac:dyDescent="0.25">
      <c r="F7160" s="85" t="str">
        <f t="shared" si="59"/>
        <v/>
      </c>
    </row>
    <row r="7161" spans="6:6" x14ac:dyDescent="0.25">
      <c r="F7161" s="85" t="str">
        <f t="shared" si="59"/>
        <v/>
      </c>
    </row>
    <row r="7162" spans="6:6" x14ac:dyDescent="0.25">
      <c r="F7162" s="85" t="str">
        <f t="shared" si="59"/>
        <v/>
      </c>
    </row>
    <row r="7163" spans="6:6" x14ac:dyDescent="0.25">
      <c r="F7163" s="85" t="str">
        <f t="shared" si="59"/>
        <v/>
      </c>
    </row>
    <row r="7164" spans="6:6" x14ac:dyDescent="0.25">
      <c r="F7164" s="85" t="str">
        <f t="shared" si="59"/>
        <v/>
      </c>
    </row>
    <row r="7165" spans="6:6" x14ac:dyDescent="0.25">
      <c r="F7165" s="85" t="str">
        <f t="shared" si="59"/>
        <v/>
      </c>
    </row>
    <row r="7166" spans="6:6" x14ac:dyDescent="0.25">
      <c r="F7166" s="85" t="str">
        <f t="shared" si="59"/>
        <v/>
      </c>
    </row>
    <row r="7167" spans="6:6" x14ac:dyDescent="0.25">
      <c r="F7167" s="85" t="str">
        <f t="shared" si="59"/>
        <v/>
      </c>
    </row>
    <row r="7168" spans="6:6" x14ac:dyDescent="0.25">
      <c r="F7168" s="85" t="str">
        <f t="shared" si="59"/>
        <v/>
      </c>
    </row>
    <row r="7169" spans="6:6" x14ac:dyDescent="0.25">
      <c r="F7169" s="85" t="str">
        <f t="shared" si="59"/>
        <v/>
      </c>
    </row>
    <row r="7170" spans="6:6" x14ac:dyDescent="0.25">
      <c r="F7170" s="85" t="str">
        <f t="shared" si="59"/>
        <v/>
      </c>
    </row>
    <row r="7171" spans="6:6" x14ac:dyDescent="0.25">
      <c r="F7171" s="85" t="str">
        <f t="shared" ref="F7171:F7234" si="60">IF($A7171="","",CONCATENATE($A7171,"_",$B7171,"_",$C7171))</f>
        <v/>
      </c>
    </row>
    <row r="7172" spans="6:6" x14ac:dyDescent="0.25">
      <c r="F7172" s="85" t="str">
        <f t="shared" si="60"/>
        <v/>
      </c>
    </row>
    <row r="7173" spans="6:6" x14ac:dyDescent="0.25">
      <c r="F7173" s="85" t="str">
        <f t="shared" si="60"/>
        <v/>
      </c>
    </row>
    <row r="7174" spans="6:6" x14ac:dyDescent="0.25">
      <c r="F7174" s="85" t="str">
        <f t="shared" si="60"/>
        <v/>
      </c>
    </row>
    <row r="7175" spans="6:6" x14ac:dyDescent="0.25">
      <c r="F7175" s="85" t="str">
        <f t="shared" si="60"/>
        <v/>
      </c>
    </row>
    <row r="7176" spans="6:6" x14ac:dyDescent="0.25">
      <c r="F7176" s="85" t="str">
        <f t="shared" si="60"/>
        <v/>
      </c>
    </row>
    <row r="7177" spans="6:6" x14ac:dyDescent="0.25">
      <c r="F7177" s="85" t="str">
        <f t="shared" si="60"/>
        <v/>
      </c>
    </row>
    <row r="7178" spans="6:6" x14ac:dyDescent="0.25">
      <c r="F7178" s="85" t="str">
        <f t="shared" si="60"/>
        <v/>
      </c>
    </row>
    <row r="7179" spans="6:6" x14ac:dyDescent="0.25">
      <c r="F7179" s="85" t="str">
        <f t="shared" si="60"/>
        <v/>
      </c>
    </row>
    <row r="7180" spans="6:6" x14ac:dyDescent="0.25">
      <c r="F7180" s="85" t="str">
        <f t="shared" si="60"/>
        <v/>
      </c>
    </row>
    <row r="7181" spans="6:6" x14ac:dyDescent="0.25">
      <c r="F7181" s="85" t="str">
        <f t="shared" si="60"/>
        <v/>
      </c>
    </row>
    <row r="7182" spans="6:6" x14ac:dyDescent="0.25">
      <c r="F7182" s="85" t="str">
        <f t="shared" si="60"/>
        <v/>
      </c>
    </row>
    <row r="7183" spans="6:6" x14ac:dyDescent="0.25">
      <c r="F7183" s="85" t="str">
        <f t="shared" si="60"/>
        <v/>
      </c>
    </row>
    <row r="7184" spans="6:6" x14ac:dyDescent="0.25">
      <c r="F7184" s="85" t="str">
        <f t="shared" si="60"/>
        <v/>
      </c>
    </row>
    <row r="7185" spans="6:6" x14ac:dyDescent="0.25">
      <c r="F7185" s="85" t="str">
        <f t="shared" si="60"/>
        <v/>
      </c>
    </row>
    <row r="7186" spans="6:6" x14ac:dyDescent="0.25">
      <c r="F7186" s="85" t="str">
        <f t="shared" si="60"/>
        <v/>
      </c>
    </row>
    <row r="7187" spans="6:6" x14ac:dyDescent="0.25">
      <c r="F7187" s="85" t="str">
        <f t="shared" si="60"/>
        <v/>
      </c>
    </row>
    <row r="7188" spans="6:6" x14ac:dyDescent="0.25">
      <c r="F7188" s="85" t="str">
        <f t="shared" si="60"/>
        <v/>
      </c>
    </row>
    <row r="7189" spans="6:6" x14ac:dyDescent="0.25">
      <c r="F7189" s="85" t="str">
        <f t="shared" si="60"/>
        <v/>
      </c>
    </row>
    <row r="7190" spans="6:6" x14ac:dyDescent="0.25">
      <c r="F7190" s="85" t="str">
        <f t="shared" si="60"/>
        <v/>
      </c>
    </row>
    <row r="7191" spans="6:6" x14ac:dyDescent="0.25">
      <c r="F7191" s="85" t="str">
        <f t="shared" si="60"/>
        <v/>
      </c>
    </row>
    <row r="7192" spans="6:6" x14ac:dyDescent="0.25">
      <c r="F7192" s="85" t="str">
        <f t="shared" si="60"/>
        <v/>
      </c>
    </row>
    <row r="7193" spans="6:6" x14ac:dyDescent="0.25">
      <c r="F7193" s="85" t="str">
        <f t="shared" si="60"/>
        <v/>
      </c>
    </row>
    <row r="7194" spans="6:6" x14ac:dyDescent="0.25">
      <c r="F7194" s="85" t="str">
        <f t="shared" si="60"/>
        <v/>
      </c>
    </row>
    <row r="7195" spans="6:6" x14ac:dyDescent="0.25">
      <c r="F7195" s="85" t="str">
        <f t="shared" si="60"/>
        <v/>
      </c>
    </row>
    <row r="7196" spans="6:6" x14ac:dyDescent="0.25">
      <c r="F7196" s="85" t="str">
        <f t="shared" si="60"/>
        <v/>
      </c>
    </row>
    <row r="7197" spans="6:6" x14ac:dyDescent="0.25">
      <c r="F7197" s="85" t="str">
        <f t="shared" si="60"/>
        <v/>
      </c>
    </row>
    <row r="7198" spans="6:6" x14ac:dyDescent="0.25">
      <c r="F7198" s="85" t="str">
        <f t="shared" si="60"/>
        <v/>
      </c>
    </row>
    <row r="7199" spans="6:6" x14ac:dyDescent="0.25">
      <c r="F7199" s="85" t="str">
        <f t="shared" si="60"/>
        <v/>
      </c>
    </row>
    <row r="7200" spans="6:6" x14ac:dyDescent="0.25">
      <c r="F7200" s="85" t="str">
        <f t="shared" si="60"/>
        <v/>
      </c>
    </row>
    <row r="7201" spans="6:6" x14ac:dyDescent="0.25">
      <c r="F7201" s="85" t="str">
        <f t="shared" si="60"/>
        <v/>
      </c>
    </row>
    <row r="7202" spans="6:6" x14ac:dyDescent="0.25">
      <c r="F7202" s="85" t="str">
        <f t="shared" si="60"/>
        <v/>
      </c>
    </row>
    <row r="7203" spans="6:6" x14ac:dyDescent="0.25">
      <c r="F7203" s="85" t="str">
        <f t="shared" si="60"/>
        <v/>
      </c>
    </row>
    <row r="7204" spans="6:6" x14ac:dyDescent="0.25">
      <c r="F7204" s="85" t="str">
        <f t="shared" si="60"/>
        <v/>
      </c>
    </row>
    <row r="7205" spans="6:6" x14ac:dyDescent="0.25">
      <c r="F7205" s="85" t="str">
        <f t="shared" si="60"/>
        <v/>
      </c>
    </row>
    <row r="7206" spans="6:6" x14ac:dyDescent="0.25">
      <c r="F7206" s="85" t="str">
        <f t="shared" si="60"/>
        <v/>
      </c>
    </row>
    <row r="7207" spans="6:6" x14ac:dyDescent="0.25">
      <c r="F7207" s="85" t="str">
        <f t="shared" si="60"/>
        <v/>
      </c>
    </row>
    <row r="7208" spans="6:6" x14ac:dyDescent="0.25">
      <c r="F7208" s="85" t="str">
        <f t="shared" si="60"/>
        <v/>
      </c>
    </row>
    <row r="7209" spans="6:6" x14ac:dyDescent="0.25">
      <c r="F7209" s="85" t="str">
        <f t="shared" si="60"/>
        <v/>
      </c>
    </row>
    <row r="7210" spans="6:6" x14ac:dyDescent="0.25">
      <c r="F7210" s="85" t="str">
        <f t="shared" si="60"/>
        <v/>
      </c>
    </row>
    <row r="7211" spans="6:6" x14ac:dyDescent="0.25">
      <c r="F7211" s="85" t="str">
        <f t="shared" si="60"/>
        <v/>
      </c>
    </row>
    <row r="7212" spans="6:6" x14ac:dyDescent="0.25">
      <c r="F7212" s="85" t="str">
        <f t="shared" si="60"/>
        <v/>
      </c>
    </row>
    <row r="7213" spans="6:6" x14ac:dyDescent="0.25">
      <c r="F7213" s="85" t="str">
        <f t="shared" si="60"/>
        <v/>
      </c>
    </row>
    <row r="7214" spans="6:6" x14ac:dyDescent="0.25">
      <c r="F7214" s="85" t="str">
        <f t="shared" si="60"/>
        <v/>
      </c>
    </row>
    <row r="7215" spans="6:6" x14ac:dyDescent="0.25">
      <c r="F7215" s="85" t="str">
        <f t="shared" si="60"/>
        <v/>
      </c>
    </row>
    <row r="7216" spans="6:6" x14ac:dyDescent="0.25">
      <c r="F7216" s="85" t="str">
        <f t="shared" si="60"/>
        <v/>
      </c>
    </row>
    <row r="7217" spans="6:6" x14ac:dyDescent="0.25">
      <c r="F7217" s="85" t="str">
        <f t="shared" si="60"/>
        <v/>
      </c>
    </row>
    <row r="7218" spans="6:6" x14ac:dyDescent="0.25">
      <c r="F7218" s="85" t="str">
        <f t="shared" si="60"/>
        <v/>
      </c>
    </row>
    <row r="7219" spans="6:6" x14ac:dyDescent="0.25">
      <c r="F7219" s="85" t="str">
        <f t="shared" si="60"/>
        <v/>
      </c>
    </row>
    <row r="7220" spans="6:6" x14ac:dyDescent="0.25">
      <c r="F7220" s="85" t="str">
        <f t="shared" si="60"/>
        <v/>
      </c>
    </row>
    <row r="7221" spans="6:6" x14ac:dyDescent="0.25">
      <c r="F7221" s="85" t="str">
        <f t="shared" si="60"/>
        <v/>
      </c>
    </row>
    <row r="7222" spans="6:6" x14ac:dyDescent="0.25">
      <c r="F7222" s="85" t="str">
        <f t="shared" si="60"/>
        <v/>
      </c>
    </row>
    <row r="7223" spans="6:6" x14ac:dyDescent="0.25">
      <c r="F7223" s="85" t="str">
        <f t="shared" si="60"/>
        <v/>
      </c>
    </row>
    <row r="7224" spans="6:6" x14ac:dyDescent="0.25">
      <c r="F7224" s="85" t="str">
        <f t="shared" si="60"/>
        <v/>
      </c>
    </row>
    <row r="7225" spans="6:6" x14ac:dyDescent="0.25">
      <c r="F7225" s="85" t="str">
        <f t="shared" si="60"/>
        <v/>
      </c>
    </row>
    <row r="7226" spans="6:6" x14ac:dyDescent="0.25">
      <c r="F7226" s="85" t="str">
        <f t="shared" si="60"/>
        <v/>
      </c>
    </row>
    <row r="7227" spans="6:6" x14ac:dyDescent="0.25">
      <c r="F7227" s="85" t="str">
        <f t="shared" si="60"/>
        <v/>
      </c>
    </row>
    <row r="7228" spans="6:6" x14ac:dyDescent="0.25">
      <c r="F7228" s="85" t="str">
        <f t="shared" si="60"/>
        <v/>
      </c>
    </row>
    <row r="7229" spans="6:6" x14ac:dyDescent="0.25">
      <c r="F7229" s="85" t="str">
        <f t="shared" si="60"/>
        <v/>
      </c>
    </row>
    <row r="7230" spans="6:6" x14ac:dyDescent="0.25">
      <c r="F7230" s="85" t="str">
        <f t="shared" si="60"/>
        <v/>
      </c>
    </row>
    <row r="7231" spans="6:6" x14ac:dyDescent="0.25">
      <c r="F7231" s="85" t="str">
        <f t="shared" si="60"/>
        <v/>
      </c>
    </row>
    <row r="7232" spans="6:6" x14ac:dyDescent="0.25">
      <c r="F7232" s="85" t="str">
        <f t="shared" si="60"/>
        <v/>
      </c>
    </row>
    <row r="7233" spans="6:6" x14ac:dyDescent="0.25">
      <c r="F7233" s="85" t="str">
        <f t="shared" si="60"/>
        <v/>
      </c>
    </row>
    <row r="7234" spans="6:6" x14ac:dyDescent="0.25">
      <c r="F7234" s="85" t="str">
        <f t="shared" si="60"/>
        <v/>
      </c>
    </row>
    <row r="7235" spans="6:6" x14ac:dyDescent="0.25">
      <c r="F7235" s="85" t="str">
        <f t="shared" ref="F7235:F7298" si="61">IF($A7235="","",CONCATENATE($A7235,"_",$B7235,"_",$C7235))</f>
        <v/>
      </c>
    </row>
    <row r="7236" spans="6:6" x14ac:dyDescent="0.25">
      <c r="F7236" s="85" t="str">
        <f t="shared" si="61"/>
        <v/>
      </c>
    </row>
    <row r="7237" spans="6:6" x14ac:dyDescent="0.25">
      <c r="F7237" s="85" t="str">
        <f t="shared" si="61"/>
        <v/>
      </c>
    </row>
    <row r="7238" spans="6:6" x14ac:dyDescent="0.25">
      <c r="F7238" s="85" t="str">
        <f t="shared" si="61"/>
        <v/>
      </c>
    </row>
    <row r="7239" spans="6:6" x14ac:dyDescent="0.25">
      <c r="F7239" s="85" t="str">
        <f t="shared" si="61"/>
        <v/>
      </c>
    </row>
    <row r="7240" spans="6:6" x14ac:dyDescent="0.25">
      <c r="F7240" s="85" t="str">
        <f t="shared" si="61"/>
        <v/>
      </c>
    </row>
    <row r="7241" spans="6:6" x14ac:dyDescent="0.25">
      <c r="F7241" s="85" t="str">
        <f t="shared" si="61"/>
        <v/>
      </c>
    </row>
    <row r="7242" spans="6:6" x14ac:dyDescent="0.25">
      <c r="F7242" s="85" t="str">
        <f t="shared" si="61"/>
        <v/>
      </c>
    </row>
    <row r="7243" spans="6:6" x14ac:dyDescent="0.25">
      <c r="F7243" s="85" t="str">
        <f t="shared" si="61"/>
        <v/>
      </c>
    </row>
    <row r="7244" spans="6:6" x14ac:dyDescent="0.25">
      <c r="F7244" s="85" t="str">
        <f t="shared" si="61"/>
        <v/>
      </c>
    </row>
    <row r="7245" spans="6:6" x14ac:dyDescent="0.25">
      <c r="F7245" s="85" t="str">
        <f t="shared" si="61"/>
        <v/>
      </c>
    </row>
    <row r="7246" spans="6:6" x14ac:dyDescent="0.25">
      <c r="F7246" s="85" t="str">
        <f t="shared" si="61"/>
        <v/>
      </c>
    </row>
    <row r="7247" spans="6:6" x14ac:dyDescent="0.25">
      <c r="F7247" s="85" t="str">
        <f t="shared" si="61"/>
        <v/>
      </c>
    </row>
    <row r="7248" spans="6:6" x14ac:dyDescent="0.25">
      <c r="F7248" s="85" t="str">
        <f t="shared" si="61"/>
        <v/>
      </c>
    </row>
    <row r="7249" spans="6:6" x14ac:dyDescent="0.25">
      <c r="F7249" s="85" t="str">
        <f t="shared" si="61"/>
        <v/>
      </c>
    </row>
    <row r="7250" spans="6:6" x14ac:dyDescent="0.25">
      <c r="F7250" s="85" t="str">
        <f t="shared" si="61"/>
        <v/>
      </c>
    </row>
    <row r="7251" spans="6:6" x14ac:dyDescent="0.25">
      <c r="F7251" s="85" t="str">
        <f t="shared" si="61"/>
        <v/>
      </c>
    </row>
    <row r="7252" spans="6:6" x14ac:dyDescent="0.25">
      <c r="F7252" s="85" t="str">
        <f t="shared" si="61"/>
        <v/>
      </c>
    </row>
    <row r="7253" spans="6:6" x14ac:dyDescent="0.25">
      <c r="F7253" s="85" t="str">
        <f t="shared" si="61"/>
        <v/>
      </c>
    </row>
    <row r="7254" spans="6:6" x14ac:dyDescent="0.25">
      <c r="F7254" s="85" t="str">
        <f t="shared" si="61"/>
        <v/>
      </c>
    </row>
    <row r="7255" spans="6:6" x14ac:dyDescent="0.25">
      <c r="F7255" s="85" t="str">
        <f t="shared" si="61"/>
        <v/>
      </c>
    </row>
    <row r="7256" spans="6:6" x14ac:dyDescent="0.25">
      <c r="F7256" s="85" t="str">
        <f t="shared" si="61"/>
        <v/>
      </c>
    </row>
    <row r="7257" spans="6:6" x14ac:dyDescent="0.25">
      <c r="F7257" s="85" t="str">
        <f t="shared" si="61"/>
        <v/>
      </c>
    </row>
    <row r="7258" spans="6:6" x14ac:dyDescent="0.25">
      <c r="F7258" s="85" t="str">
        <f t="shared" si="61"/>
        <v/>
      </c>
    </row>
    <row r="7259" spans="6:6" x14ac:dyDescent="0.25">
      <c r="F7259" s="85" t="str">
        <f t="shared" si="61"/>
        <v/>
      </c>
    </row>
    <row r="7260" spans="6:6" x14ac:dyDescent="0.25">
      <c r="F7260" s="85" t="str">
        <f t="shared" si="61"/>
        <v/>
      </c>
    </row>
    <row r="7261" spans="6:6" x14ac:dyDescent="0.25">
      <c r="F7261" s="85" t="str">
        <f t="shared" si="61"/>
        <v/>
      </c>
    </row>
    <row r="7262" spans="6:6" x14ac:dyDescent="0.25">
      <c r="F7262" s="85" t="str">
        <f t="shared" si="61"/>
        <v/>
      </c>
    </row>
    <row r="7263" spans="6:6" x14ac:dyDescent="0.25">
      <c r="F7263" s="85" t="str">
        <f t="shared" si="61"/>
        <v/>
      </c>
    </row>
    <row r="7264" spans="6:6" x14ac:dyDescent="0.25">
      <c r="F7264" s="85" t="str">
        <f t="shared" si="61"/>
        <v/>
      </c>
    </row>
    <row r="7265" spans="6:6" x14ac:dyDescent="0.25">
      <c r="F7265" s="85" t="str">
        <f t="shared" si="61"/>
        <v/>
      </c>
    </row>
    <row r="7266" spans="6:6" x14ac:dyDescent="0.25">
      <c r="F7266" s="85" t="str">
        <f t="shared" si="61"/>
        <v/>
      </c>
    </row>
    <row r="7267" spans="6:6" x14ac:dyDescent="0.25">
      <c r="F7267" s="85" t="str">
        <f t="shared" si="61"/>
        <v/>
      </c>
    </row>
    <row r="7268" spans="6:6" x14ac:dyDescent="0.25">
      <c r="F7268" s="85" t="str">
        <f t="shared" si="61"/>
        <v/>
      </c>
    </row>
    <row r="7269" spans="6:6" x14ac:dyDescent="0.25">
      <c r="F7269" s="85" t="str">
        <f t="shared" si="61"/>
        <v/>
      </c>
    </row>
    <row r="7270" spans="6:6" x14ac:dyDescent="0.25">
      <c r="F7270" s="85" t="str">
        <f t="shared" si="61"/>
        <v/>
      </c>
    </row>
    <row r="7271" spans="6:6" x14ac:dyDescent="0.25">
      <c r="F7271" s="85" t="str">
        <f t="shared" si="61"/>
        <v/>
      </c>
    </row>
    <row r="7272" spans="6:6" x14ac:dyDescent="0.25">
      <c r="F7272" s="85" t="str">
        <f t="shared" si="61"/>
        <v/>
      </c>
    </row>
    <row r="7273" spans="6:6" x14ac:dyDescent="0.25">
      <c r="F7273" s="85" t="str">
        <f t="shared" si="61"/>
        <v/>
      </c>
    </row>
    <row r="7274" spans="6:6" x14ac:dyDescent="0.25">
      <c r="F7274" s="85" t="str">
        <f t="shared" si="61"/>
        <v/>
      </c>
    </row>
    <row r="7275" spans="6:6" x14ac:dyDescent="0.25">
      <c r="F7275" s="85" t="str">
        <f t="shared" si="61"/>
        <v/>
      </c>
    </row>
    <row r="7276" spans="6:6" x14ac:dyDescent="0.25">
      <c r="F7276" s="85" t="str">
        <f t="shared" si="61"/>
        <v/>
      </c>
    </row>
    <row r="7277" spans="6:6" x14ac:dyDescent="0.25">
      <c r="F7277" s="85" t="str">
        <f t="shared" si="61"/>
        <v/>
      </c>
    </row>
    <row r="7278" spans="6:6" x14ac:dyDescent="0.25">
      <c r="F7278" s="85" t="str">
        <f t="shared" si="61"/>
        <v/>
      </c>
    </row>
    <row r="7279" spans="6:6" x14ac:dyDescent="0.25">
      <c r="F7279" s="85" t="str">
        <f t="shared" si="61"/>
        <v/>
      </c>
    </row>
    <row r="7280" spans="6:6" x14ac:dyDescent="0.25">
      <c r="F7280" s="85" t="str">
        <f t="shared" si="61"/>
        <v/>
      </c>
    </row>
    <row r="7281" spans="6:6" x14ac:dyDescent="0.25">
      <c r="F7281" s="85" t="str">
        <f t="shared" si="61"/>
        <v/>
      </c>
    </row>
    <row r="7282" spans="6:6" x14ac:dyDescent="0.25">
      <c r="F7282" s="85" t="str">
        <f t="shared" si="61"/>
        <v/>
      </c>
    </row>
    <row r="7283" spans="6:6" x14ac:dyDescent="0.25">
      <c r="F7283" s="85" t="str">
        <f t="shared" si="61"/>
        <v/>
      </c>
    </row>
    <row r="7284" spans="6:6" x14ac:dyDescent="0.25">
      <c r="F7284" s="85" t="str">
        <f t="shared" si="61"/>
        <v/>
      </c>
    </row>
    <row r="7285" spans="6:6" x14ac:dyDescent="0.25">
      <c r="F7285" s="85" t="str">
        <f t="shared" si="61"/>
        <v/>
      </c>
    </row>
    <row r="7286" spans="6:6" x14ac:dyDescent="0.25">
      <c r="F7286" s="85" t="str">
        <f t="shared" si="61"/>
        <v/>
      </c>
    </row>
    <row r="7287" spans="6:6" x14ac:dyDescent="0.25">
      <c r="F7287" s="85" t="str">
        <f t="shared" si="61"/>
        <v/>
      </c>
    </row>
    <row r="7288" spans="6:6" x14ac:dyDescent="0.25">
      <c r="F7288" s="85" t="str">
        <f t="shared" si="61"/>
        <v/>
      </c>
    </row>
    <row r="7289" spans="6:6" x14ac:dyDescent="0.25">
      <c r="F7289" s="85" t="str">
        <f t="shared" si="61"/>
        <v/>
      </c>
    </row>
    <row r="7290" spans="6:6" x14ac:dyDescent="0.25">
      <c r="F7290" s="85" t="str">
        <f t="shared" si="61"/>
        <v/>
      </c>
    </row>
    <row r="7291" spans="6:6" x14ac:dyDescent="0.25">
      <c r="F7291" s="85" t="str">
        <f t="shared" si="61"/>
        <v/>
      </c>
    </row>
    <row r="7292" spans="6:6" x14ac:dyDescent="0.25">
      <c r="F7292" s="85" t="str">
        <f t="shared" si="61"/>
        <v/>
      </c>
    </row>
    <row r="7293" spans="6:6" x14ac:dyDescent="0.25">
      <c r="F7293" s="85" t="str">
        <f t="shared" si="61"/>
        <v/>
      </c>
    </row>
    <row r="7294" spans="6:6" x14ac:dyDescent="0.25">
      <c r="F7294" s="85" t="str">
        <f t="shared" si="61"/>
        <v/>
      </c>
    </row>
    <row r="7295" spans="6:6" x14ac:dyDescent="0.25">
      <c r="F7295" s="85" t="str">
        <f t="shared" si="61"/>
        <v/>
      </c>
    </row>
    <row r="7296" spans="6:6" x14ac:dyDescent="0.25">
      <c r="F7296" s="85" t="str">
        <f t="shared" si="61"/>
        <v/>
      </c>
    </row>
    <row r="7297" spans="6:6" x14ac:dyDescent="0.25">
      <c r="F7297" s="85" t="str">
        <f t="shared" si="61"/>
        <v/>
      </c>
    </row>
    <row r="7298" spans="6:6" x14ac:dyDescent="0.25">
      <c r="F7298" s="85" t="str">
        <f t="shared" si="61"/>
        <v/>
      </c>
    </row>
    <row r="7299" spans="6:6" x14ac:dyDescent="0.25">
      <c r="F7299" s="85" t="str">
        <f t="shared" ref="F7299:F7362" si="62">IF($A7299="","",CONCATENATE($A7299,"_",$B7299,"_",$C7299))</f>
        <v/>
      </c>
    </row>
    <row r="7300" spans="6:6" x14ac:dyDescent="0.25">
      <c r="F7300" s="85" t="str">
        <f t="shared" si="62"/>
        <v/>
      </c>
    </row>
    <row r="7301" spans="6:6" x14ac:dyDescent="0.25">
      <c r="F7301" s="85" t="str">
        <f t="shared" si="62"/>
        <v/>
      </c>
    </row>
    <row r="7302" spans="6:6" x14ac:dyDescent="0.25">
      <c r="F7302" s="85" t="str">
        <f t="shared" si="62"/>
        <v/>
      </c>
    </row>
    <row r="7303" spans="6:6" x14ac:dyDescent="0.25">
      <c r="F7303" s="85" t="str">
        <f t="shared" si="62"/>
        <v/>
      </c>
    </row>
    <row r="7304" spans="6:6" x14ac:dyDescent="0.25">
      <c r="F7304" s="85" t="str">
        <f t="shared" si="62"/>
        <v/>
      </c>
    </row>
    <row r="7305" spans="6:6" x14ac:dyDescent="0.25">
      <c r="F7305" s="85" t="str">
        <f t="shared" si="62"/>
        <v/>
      </c>
    </row>
    <row r="7306" spans="6:6" x14ac:dyDescent="0.25">
      <c r="F7306" s="85" t="str">
        <f t="shared" si="62"/>
        <v/>
      </c>
    </row>
    <row r="7307" spans="6:6" x14ac:dyDescent="0.25">
      <c r="F7307" s="85" t="str">
        <f t="shared" si="62"/>
        <v/>
      </c>
    </row>
    <row r="7308" spans="6:6" x14ac:dyDescent="0.25">
      <c r="F7308" s="85" t="str">
        <f t="shared" si="62"/>
        <v/>
      </c>
    </row>
    <row r="7309" spans="6:6" x14ac:dyDescent="0.25">
      <c r="F7309" s="85" t="str">
        <f t="shared" si="62"/>
        <v/>
      </c>
    </row>
    <row r="7310" spans="6:6" x14ac:dyDescent="0.25">
      <c r="F7310" s="85" t="str">
        <f t="shared" si="62"/>
        <v/>
      </c>
    </row>
    <row r="7311" spans="6:6" x14ac:dyDescent="0.25">
      <c r="F7311" s="85" t="str">
        <f t="shared" si="62"/>
        <v/>
      </c>
    </row>
    <row r="7312" spans="6:6" x14ac:dyDescent="0.25">
      <c r="F7312" s="85" t="str">
        <f t="shared" si="62"/>
        <v/>
      </c>
    </row>
    <row r="7313" spans="6:6" x14ac:dyDescent="0.25">
      <c r="F7313" s="85" t="str">
        <f t="shared" si="62"/>
        <v/>
      </c>
    </row>
    <row r="7314" spans="6:6" x14ac:dyDescent="0.25">
      <c r="F7314" s="85" t="str">
        <f t="shared" si="62"/>
        <v/>
      </c>
    </row>
    <row r="7315" spans="6:6" x14ac:dyDescent="0.25">
      <c r="F7315" s="85" t="str">
        <f t="shared" si="62"/>
        <v/>
      </c>
    </row>
    <row r="7316" spans="6:6" x14ac:dyDescent="0.25">
      <c r="F7316" s="85" t="str">
        <f t="shared" si="62"/>
        <v/>
      </c>
    </row>
    <row r="7317" spans="6:6" x14ac:dyDescent="0.25">
      <c r="F7317" s="85" t="str">
        <f t="shared" si="62"/>
        <v/>
      </c>
    </row>
    <row r="7318" spans="6:6" x14ac:dyDescent="0.25">
      <c r="F7318" s="85" t="str">
        <f t="shared" si="62"/>
        <v/>
      </c>
    </row>
    <row r="7319" spans="6:6" x14ac:dyDescent="0.25">
      <c r="F7319" s="85" t="str">
        <f t="shared" si="62"/>
        <v/>
      </c>
    </row>
    <row r="7320" spans="6:6" x14ac:dyDescent="0.25">
      <c r="F7320" s="85" t="str">
        <f t="shared" si="62"/>
        <v/>
      </c>
    </row>
    <row r="7321" spans="6:6" x14ac:dyDescent="0.25">
      <c r="F7321" s="85" t="str">
        <f t="shared" si="62"/>
        <v/>
      </c>
    </row>
    <row r="7322" spans="6:6" x14ac:dyDescent="0.25">
      <c r="F7322" s="85" t="str">
        <f t="shared" si="62"/>
        <v/>
      </c>
    </row>
    <row r="7323" spans="6:6" x14ac:dyDescent="0.25">
      <c r="F7323" s="85" t="str">
        <f t="shared" si="62"/>
        <v/>
      </c>
    </row>
    <row r="7324" spans="6:6" x14ac:dyDescent="0.25">
      <c r="F7324" s="85" t="str">
        <f t="shared" si="62"/>
        <v/>
      </c>
    </row>
    <row r="7325" spans="6:6" x14ac:dyDescent="0.25">
      <c r="F7325" s="85" t="str">
        <f t="shared" si="62"/>
        <v/>
      </c>
    </row>
    <row r="7326" spans="6:6" x14ac:dyDescent="0.25">
      <c r="F7326" s="85" t="str">
        <f t="shared" si="62"/>
        <v/>
      </c>
    </row>
    <row r="7327" spans="6:6" x14ac:dyDescent="0.25">
      <c r="F7327" s="85" t="str">
        <f t="shared" si="62"/>
        <v/>
      </c>
    </row>
    <row r="7328" spans="6:6" x14ac:dyDescent="0.25">
      <c r="F7328" s="85" t="str">
        <f t="shared" si="62"/>
        <v/>
      </c>
    </row>
    <row r="7329" spans="6:6" x14ac:dyDescent="0.25">
      <c r="F7329" s="85" t="str">
        <f t="shared" si="62"/>
        <v/>
      </c>
    </row>
    <row r="7330" spans="6:6" x14ac:dyDescent="0.25">
      <c r="F7330" s="85" t="str">
        <f t="shared" si="62"/>
        <v/>
      </c>
    </row>
    <row r="7331" spans="6:6" x14ac:dyDescent="0.25">
      <c r="F7331" s="85" t="str">
        <f t="shared" si="62"/>
        <v/>
      </c>
    </row>
    <row r="7332" spans="6:6" x14ac:dyDescent="0.25">
      <c r="F7332" s="85" t="str">
        <f t="shared" si="62"/>
        <v/>
      </c>
    </row>
    <row r="7333" spans="6:6" x14ac:dyDescent="0.25">
      <c r="F7333" s="85" t="str">
        <f t="shared" si="62"/>
        <v/>
      </c>
    </row>
    <row r="7334" spans="6:6" x14ac:dyDescent="0.25">
      <c r="F7334" s="85" t="str">
        <f t="shared" si="62"/>
        <v/>
      </c>
    </row>
    <row r="7335" spans="6:6" x14ac:dyDescent="0.25">
      <c r="F7335" s="85" t="str">
        <f t="shared" si="62"/>
        <v/>
      </c>
    </row>
    <row r="7336" spans="6:6" x14ac:dyDescent="0.25">
      <c r="F7336" s="85" t="str">
        <f t="shared" si="62"/>
        <v/>
      </c>
    </row>
    <row r="7337" spans="6:6" x14ac:dyDescent="0.25">
      <c r="F7337" s="85" t="str">
        <f t="shared" si="62"/>
        <v/>
      </c>
    </row>
    <row r="7338" spans="6:6" x14ac:dyDescent="0.25">
      <c r="F7338" s="85" t="str">
        <f t="shared" si="62"/>
        <v/>
      </c>
    </row>
    <row r="7339" spans="6:6" x14ac:dyDescent="0.25">
      <c r="F7339" s="85" t="str">
        <f t="shared" si="62"/>
        <v/>
      </c>
    </row>
    <row r="7340" spans="6:6" x14ac:dyDescent="0.25">
      <c r="F7340" s="85" t="str">
        <f t="shared" si="62"/>
        <v/>
      </c>
    </row>
    <row r="7341" spans="6:6" x14ac:dyDescent="0.25">
      <c r="F7341" s="85" t="str">
        <f t="shared" si="62"/>
        <v/>
      </c>
    </row>
    <row r="7342" spans="6:6" x14ac:dyDescent="0.25">
      <c r="F7342" s="85" t="str">
        <f t="shared" si="62"/>
        <v/>
      </c>
    </row>
    <row r="7343" spans="6:6" x14ac:dyDescent="0.25">
      <c r="F7343" s="85" t="str">
        <f t="shared" si="62"/>
        <v/>
      </c>
    </row>
    <row r="7344" spans="6:6" x14ac:dyDescent="0.25">
      <c r="F7344" s="85" t="str">
        <f t="shared" si="62"/>
        <v/>
      </c>
    </row>
    <row r="7345" spans="6:6" x14ac:dyDescent="0.25">
      <c r="F7345" s="85" t="str">
        <f t="shared" si="62"/>
        <v/>
      </c>
    </row>
    <row r="7346" spans="6:6" x14ac:dyDescent="0.25">
      <c r="F7346" s="85" t="str">
        <f t="shared" si="62"/>
        <v/>
      </c>
    </row>
    <row r="7347" spans="6:6" x14ac:dyDescent="0.25">
      <c r="F7347" s="85" t="str">
        <f t="shared" si="62"/>
        <v/>
      </c>
    </row>
    <row r="7348" spans="6:6" x14ac:dyDescent="0.25">
      <c r="F7348" s="85" t="str">
        <f t="shared" si="62"/>
        <v/>
      </c>
    </row>
    <row r="7349" spans="6:6" x14ac:dyDescent="0.25">
      <c r="F7349" s="85" t="str">
        <f t="shared" si="62"/>
        <v/>
      </c>
    </row>
    <row r="7350" spans="6:6" x14ac:dyDescent="0.25">
      <c r="F7350" s="85" t="str">
        <f t="shared" si="62"/>
        <v/>
      </c>
    </row>
    <row r="7351" spans="6:6" x14ac:dyDescent="0.25">
      <c r="F7351" s="85" t="str">
        <f t="shared" si="62"/>
        <v/>
      </c>
    </row>
    <row r="7352" spans="6:6" x14ac:dyDescent="0.25">
      <c r="F7352" s="85" t="str">
        <f t="shared" si="62"/>
        <v/>
      </c>
    </row>
    <row r="7353" spans="6:6" x14ac:dyDescent="0.25">
      <c r="F7353" s="85" t="str">
        <f t="shared" si="62"/>
        <v/>
      </c>
    </row>
    <row r="7354" spans="6:6" x14ac:dyDescent="0.25">
      <c r="F7354" s="85" t="str">
        <f t="shared" si="62"/>
        <v/>
      </c>
    </row>
    <row r="7355" spans="6:6" x14ac:dyDescent="0.25">
      <c r="F7355" s="85" t="str">
        <f t="shared" si="62"/>
        <v/>
      </c>
    </row>
    <row r="7356" spans="6:6" x14ac:dyDescent="0.25">
      <c r="F7356" s="85" t="str">
        <f t="shared" si="62"/>
        <v/>
      </c>
    </row>
    <row r="7357" spans="6:6" x14ac:dyDescent="0.25">
      <c r="F7357" s="85" t="str">
        <f t="shared" si="62"/>
        <v/>
      </c>
    </row>
    <row r="7358" spans="6:6" x14ac:dyDescent="0.25">
      <c r="F7358" s="85" t="str">
        <f t="shared" si="62"/>
        <v/>
      </c>
    </row>
    <row r="7359" spans="6:6" x14ac:dyDescent="0.25">
      <c r="F7359" s="85" t="str">
        <f t="shared" si="62"/>
        <v/>
      </c>
    </row>
    <row r="7360" spans="6:6" x14ac:dyDescent="0.25">
      <c r="F7360" s="85" t="str">
        <f t="shared" si="62"/>
        <v/>
      </c>
    </row>
    <row r="7361" spans="6:6" x14ac:dyDescent="0.25">
      <c r="F7361" s="85" t="str">
        <f t="shared" si="62"/>
        <v/>
      </c>
    </row>
    <row r="7362" spans="6:6" x14ac:dyDescent="0.25">
      <c r="F7362" s="85" t="str">
        <f t="shared" si="62"/>
        <v/>
      </c>
    </row>
    <row r="7363" spans="6:6" x14ac:dyDescent="0.25">
      <c r="F7363" s="85" t="str">
        <f t="shared" ref="F7363:F7426" si="63">IF($A7363="","",CONCATENATE($A7363,"_",$B7363,"_",$C7363))</f>
        <v/>
      </c>
    </row>
    <row r="7364" spans="6:6" x14ac:dyDescent="0.25">
      <c r="F7364" s="85" t="str">
        <f t="shared" si="63"/>
        <v/>
      </c>
    </row>
    <row r="7365" spans="6:6" x14ac:dyDescent="0.25">
      <c r="F7365" s="85" t="str">
        <f t="shared" si="63"/>
        <v/>
      </c>
    </row>
    <row r="7366" spans="6:6" x14ac:dyDescent="0.25">
      <c r="F7366" s="85" t="str">
        <f t="shared" si="63"/>
        <v/>
      </c>
    </row>
    <row r="7367" spans="6:6" x14ac:dyDescent="0.25">
      <c r="F7367" s="85" t="str">
        <f t="shared" si="63"/>
        <v/>
      </c>
    </row>
    <row r="7368" spans="6:6" x14ac:dyDescent="0.25">
      <c r="F7368" s="85" t="str">
        <f t="shared" si="63"/>
        <v/>
      </c>
    </row>
    <row r="7369" spans="6:6" x14ac:dyDescent="0.25">
      <c r="F7369" s="85" t="str">
        <f t="shared" si="63"/>
        <v/>
      </c>
    </row>
    <row r="7370" spans="6:6" x14ac:dyDescent="0.25">
      <c r="F7370" s="85" t="str">
        <f t="shared" si="63"/>
        <v/>
      </c>
    </row>
    <row r="7371" spans="6:6" x14ac:dyDescent="0.25">
      <c r="F7371" s="85" t="str">
        <f t="shared" si="63"/>
        <v/>
      </c>
    </row>
    <row r="7372" spans="6:6" x14ac:dyDescent="0.25">
      <c r="F7372" s="85" t="str">
        <f t="shared" si="63"/>
        <v/>
      </c>
    </row>
    <row r="7373" spans="6:6" x14ac:dyDescent="0.25">
      <c r="F7373" s="85" t="str">
        <f t="shared" si="63"/>
        <v/>
      </c>
    </row>
    <row r="7374" spans="6:6" x14ac:dyDescent="0.25">
      <c r="F7374" s="85" t="str">
        <f t="shared" si="63"/>
        <v/>
      </c>
    </row>
    <row r="7375" spans="6:6" x14ac:dyDescent="0.25">
      <c r="F7375" s="85" t="str">
        <f t="shared" si="63"/>
        <v/>
      </c>
    </row>
    <row r="7376" spans="6:6" x14ac:dyDescent="0.25">
      <c r="F7376" s="85" t="str">
        <f t="shared" si="63"/>
        <v/>
      </c>
    </row>
    <row r="7377" spans="6:6" x14ac:dyDescent="0.25">
      <c r="F7377" s="85" t="str">
        <f t="shared" si="63"/>
        <v/>
      </c>
    </row>
    <row r="7378" spans="6:6" x14ac:dyDescent="0.25">
      <c r="F7378" s="85" t="str">
        <f t="shared" si="63"/>
        <v/>
      </c>
    </row>
    <row r="7379" spans="6:6" x14ac:dyDescent="0.25">
      <c r="F7379" s="85" t="str">
        <f t="shared" si="63"/>
        <v/>
      </c>
    </row>
    <row r="7380" spans="6:6" x14ac:dyDescent="0.25">
      <c r="F7380" s="85" t="str">
        <f t="shared" si="63"/>
        <v/>
      </c>
    </row>
    <row r="7381" spans="6:6" x14ac:dyDescent="0.25">
      <c r="F7381" s="85" t="str">
        <f t="shared" si="63"/>
        <v/>
      </c>
    </row>
    <row r="7382" spans="6:6" x14ac:dyDescent="0.25">
      <c r="F7382" s="85" t="str">
        <f t="shared" si="63"/>
        <v/>
      </c>
    </row>
    <row r="7383" spans="6:6" x14ac:dyDescent="0.25">
      <c r="F7383" s="85" t="str">
        <f t="shared" si="63"/>
        <v/>
      </c>
    </row>
    <row r="7384" spans="6:6" x14ac:dyDescent="0.25">
      <c r="F7384" s="85" t="str">
        <f t="shared" si="63"/>
        <v/>
      </c>
    </row>
    <row r="7385" spans="6:6" x14ac:dyDescent="0.25">
      <c r="F7385" s="85" t="str">
        <f t="shared" si="63"/>
        <v/>
      </c>
    </row>
    <row r="7386" spans="6:6" x14ac:dyDescent="0.25">
      <c r="F7386" s="85" t="str">
        <f t="shared" si="63"/>
        <v/>
      </c>
    </row>
    <row r="7387" spans="6:6" x14ac:dyDescent="0.25">
      <c r="F7387" s="85" t="str">
        <f t="shared" si="63"/>
        <v/>
      </c>
    </row>
    <row r="7388" spans="6:6" x14ac:dyDescent="0.25">
      <c r="F7388" s="85" t="str">
        <f t="shared" si="63"/>
        <v/>
      </c>
    </row>
    <row r="7389" spans="6:6" x14ac:dyDescent="0.25">
      <c r="F7389" s="85" t="str">
        <f t="shared" si="63"/>
        <v/>
      </c>
    </row>
    <row r="7390" spans="6:6" x14ac:dyDescent="0.25">
      <c r="F7390" s="85" t="str">
        <f t="shared" si="63"/>
        <v/>
      </c>
    </row>
    <row r="7391" spans="6:6" x14ac:dyDescent="0.25">
      <c r="F7391" s="85" t="str">
        <f t="shared" si="63"/>
        <v/>
      </c>
    </row>
    <row r="7392" spans="6:6" x14ac:dyDescent="0.25">
      <c r="F7392" s="85" t="str">
        <f t="shared" si="63"/>
        <v/>
      </c>
    </row>
    <row r="7393" spans="6:6" x14ac:dyDescent="0.25">
      <c r="F7393" s="85" t="str">
        <f t="shared" si="63"/>
        <v/>
      </c>
    </row>
    <row r="7394" spans="6:6" x14ac:dyDescent="0.25">
      <c r="F7394" s="85" t="str">
        <f t="shared" si="63"/>
        <v/>
      </c>
    </row>
    <row r="7395" spans="6:6" x14ac:dyDescent="0.25">
      <c r="F7395" s="85" t="str">
        <f t="shared" si="63"/>
        <v/>
      </c>
    </row>
    <row r="7396" spans="6:6" x14ac:dyDescent="0.25">
      <c r="F7396" s="85" t="str">
        <f t="shared" si="63"/>
        <v/>
      </c>
    </row>
    <row r="7397" spans="6:6" x14ac:dyDescent="0.25">
      <c r="F7397" s="85" t="str">
        <f t="shared" si="63"/>
        <v/>
      </c>
    </row>
    <row r="7398" spans="6:6" x14ac:dyDescent="0.25">
      <c r="F7398" s="85" t="str">
        <f t="shared" si="63"/>
        <v/>
      </c>
    </row>
    <row r="7399" spans="6:6" x14ac:dyDescent="0.25">
      <c r="F7399" s="85" t="str">
        <f t="shared" si="63"/>
        <v/>
      </c>
    </row>
    <row r="7400" spans="6:6" x14ac:dyDescent="0.25">
      <c r="F7400" s="85" t="str">
        <f t="shared" si="63"/>
        <v/>
      </c>
    </row>
    <row r="7401" spans="6:6" x14ac:dyDescent="0.25">
      <c r="F7401" s="85" t="str">
        <f t="shared" si="63"/>
        <v/>
      </c>
    </row>
    <row r="7402" spans="6:6" x14ac:dyDescent="0.25">
      <c r="F7402" s="85" t="str">
        <f t="shared" si="63"/>
        <v/>
      </c>
    </row>
    <row r="7403" spans="6:6" x14ac:dyDescent="0.25">
      <c r="F7403" s="85" t="str">
        <f t="shared" si="63"/>
        <v/>
      </c>
    </row>
    <row r="7404" spans="6:6" x14ac:dyDescent="0.25">
      <c r="F7404" s="85" t="str">
        <f t="shared" si="63"/>
        <v/>
      </c>
    </row>
    <row r="7405" spans="6:6" x14ac:dyDescent="0.25">
      <c r="F7405" s="85" t="str">
        <f t="shared" si="63"/>
        <v/>
      </c>
    </row>
    <row r="7406" spans="6:6" x14ac:dyDescent="0.25">
      <c r="F7406" s="85" t="str">
        <f t="shared" si="63"/>
        <v/>
      </c>
    </row>
    <row r="7407" spans="6:6" x14ac:dyDescent="0.25">
      <c r="F7407" s="85" t="str">
        <f t="shared" si="63"/>
        <v/>
      </c>
    </row>
    <row r="7408" spans="6:6" x14ac:dyDescent="0.25">
      <c r="F7408" s="85" t="str">
        <f t="shared" si="63"/>
        <v/>
      </c>
    </row>
    <row r="7409" spans="6:6" x14ac:dyDescent="0.25">
      <c r="F7409" s="85" t="str">
        <f t="shared" si="63"/>
        <v/>
      </c>
    </row>
    <row r="7410" spans="6:6" x14ac:dyDescent="0.25">
      <c r="F7410" s="85" t="str">
        <f t="shared" si="63"/>
        <v/>
      </c>
    </row>
    <row r="7411" spans="6:6" x14ac:dyDescent="0.25">
      <c r="F7411" s="85" t="str">
        <f t="shared" si="63"/>
        <v/>
      </c>
    </row>
    <row r="7412" spans="6:6" x14ac:dyDescent="0.25">
      <c r="F7412" s="85" t="str">
        <f t="shared" si="63"/>
        <v/>
      </c>
    </row>
    <row r="7413" spans="6:6" x14ac:dyDescent="0.25">
      <c r="F7413" s="85" t="str">
        <f t="shared" si="63"/>
        <v/>
      </c>
    </row>
    <row r="7414" spans="6:6" x14ac:dyDescent="0.25">
      <c r="F7414" s="85" t="str">
        <f t="shared" si="63"/>
        <v/>
      </c>
    </row>
    <row r="7415" spans="6:6" x14ac:dyDescent="0.25">
      <c r="F7415" s="85" t="str">
        <f t="shared" si="63"/>
        <v/>
      </c>
    </row>
    <row r="7416" spans="6:6" x14ac:dyDescent="0.25">
      <c r="F7416" s="85" t="str">
        <f t="shared" si="63"/>
        <v/>
      </c>
    </row>
    <row r="7417" spans="6:6" x14ac:dyDescent="0.25">
      <c r="F7417" s="85" t="str">
        <f t="shared" si="63"/>
        <v/>
      </c>
    </row>
    <row r="7418" spans="6:6" x14ac:dyDescent="0.25">
      <c r="F7418" s="85" t="str">
        <f t="shared" si="63"/>
        <v/>
      </c>
    </row>
    <row r="7419" spans="6:6" x14ac:dyDescent="0.25">
      <c r="F7419" s="85" t="str">
        <f t="shared" si="63"/>
        <v/>
      </c>
    </row>
    <row r="7420" spans="6:6" x14ac:dyDescent="0.25">
      <c r="F7420" s="85" t="str">
        <f t="shared" si="63"/>
        <v/>
      </c>
    </row>
    <row r="7421" spans="6:6" x14ac:dyDescent="0.25">
      <c r="F7421" s="85" t="str">
        <f t="shared" si="63"/>
        <v/>
      </c>
    </row>
    <row r="7422" spans="6:6" x14ac:dyDescent="0.25">
      <c r="F7422" s="85" t="str">
        <f t="shared" si="63"/>
        <v/>
      </c>
    </row>
    <row r="7423" spans="6:6" x14ac:dyDescent="0.25">
      <c r="F7423" s="85" t="str">
        <f t="shared" si="63"/>
        <v/>
      </c>
    </row>
    <row r="7424" spans="6:6" x14ac:dyDescent="0.25">
      <c r="F7424" s="85" t="str">
        <f t="shared" si="63"/>
        <v/>
      </c>
    </row>
    <row r="7425" spans="6:6" x14ac:dyDescent="0.25">
      <c r="F7425" s="85" t="str">
        <f t="shared" si="63"/>
        <v/>
      </c>
    </row>
    <row r="7426" spans="6:6" x14ac:dyDescent="0.25">
      <c r="F7426" s="85" t="str">
        <f t="shared" si="63"/>
        <v/>
      </c>
    </row>
    <row r="7427" spans="6:6" x14ac:dyDescent="0.25">
      <c r="F7427" s="85" t="str">
        <f t="shared" ref="F7427:F7490" si="64">IF($A7427="","",CONCATENATE($A7427,"_",$B7427,"_",$C7427))</f>
        <v/>
      </c>
    </row>
    <row r="7428" spans="6:6" x14ac:dyDescent="0.25">
      <c r="F7428" s="85" t="str">
        <f t="shared" si="64"/>
        <v/>
      </c>
    </row>
    <row r="7429" spans="6:6" x14ac:dyDescent="0.25">
      <c r="F7429" s="85" t="str">
        <f t="shared" si="64"/>
        <v/>
      </c>
    </row>
    <row r="7430" spans="6:6" x14ac:dyDescent="0.25">
      <c r="F7430" s="85" t="str">
        <f t="shared" si="64"/>
        <v/>
      </c>
    </row>
    <row r="7431" spans="6:6" x14ac:dyDescent="0.25">
      <c r="F7431" s="85" t="str">
        <f t="shared" si="64"/>
        <v/>
      </c>
    </row>
    <row r="7432" spans="6:6" x14ac:dyDescent="0.25">
      <c r="F7432" s="85" t="str">
        <f t="shared" si="64"/>
        <v/>
      </c>
    </row>
    <row r="7433" spans="6:6" x14ac:dyDescent="0.25">
      <c r="F7433" s="85" t="str">
        <f t="shared" si="64"/>
        <v/>
      </c>
    </row>
    <row r="7434" spans="6:6" x14ac:dyDescent="0.25">
      <c r="F7434" s="85" t="str">
        <f t="shared" si="64"/>
        <v/>
      </c>
    </row>
    <row r="7435" spans="6:6" x14ac:dyDescent="0.25">
      <c r="F7435" s="85" t="str">
        <f t="shared" si="64"/>
        <v/>
      </c>
    </row>
    <row r="7436" spans="6:6" x14ac:dyDescent="0.25">
      <c r="F7436" s="85" t="str">
        <f t="shared" si="64"/>
        <v/>
      </c>
    </row>
    <row r="7437" spans="6:6" x14ac:dyDescent="0.25">
      <c r="F7437" s="85" t="str">
        <f t="shared" si="64"/>
        <v/>
      </c>
    </row>
    <row r="7438" spans="6:6" x14ac:dyDescent="0.25">
      <c r="F7438" s="85" t="str">
        <f t="shared" si="64"/>
        <v/>
      </c>
    </row>
    <row r="7439" spans="6:6" x14ac:dyDescent="0.25">
      <c r="F7439" s="85" t="str">
        <f t="shared" si="64"/>
        <v/>
      </c>
    </row>
    <row r="7440" spans="6:6" x14ac:dyDescent="0.25">
      <c r="F7440" s="85" t="str">
        <f t="shared" si="64"/>
        <v/>
      </c>
    </row>
    <row r="7441" spans="6:6" x14ac:dyDescent="0.25">
      <c r="F7441" s="85" t="str">
        <f t="shared" si="64"/>
        <v/>
      </c>
    </row>
    <row r="7442" spans="6:6" x14ac:dyDescent="0.25">
      <c r="F7442" s="85" t="str">
        <f t="shared" si="64"/>
        <v/>
      </c>
    </row>
    <row r="7443" spans="6:6" x14ac:dyDescent="0.25">
      <c r="F7443" s="85" t="str">
        <f t="shared" si="64"/>
        <v/>
      </c>
    </row>
    <row r="7444" spans="6:6" x14ac:dyDescent="0.25">
      <c r="F7444" s="85" t="str">
        <f t="shared" si="64"/>
        <v/>
      </c>
    </row>
    <row r="7445" spans="6:6" x14ac:dyDescent="0.25">
      <c r="F7445" s="85" t="str">
        <f t="shared" si="64"/>
        <v/>
      </c>
    </row>
    <row r="7446" spans="6:6" x14ac:dyDescent="0.25">
      <c r="F7446" s="85" t="str">
        <f t="shared" si="64"/>
        <v/>
      </c>
    </row>
    <row r="7447" spans="6:6" x14ac:dyDescent="0.25">
      <c r="F7447" s="85" t="str">
        <f t="shared" si="64"/>
        <v/>
      </c>
    </row>
    <row r="7448" spans="6:6" x14ac:dyDescent="0.25">
      <c r="F7448" s="85" t="str">
        <f t="shared" si="64"/>
        <v/>
      </c>
    </row>
    <row r="7449" spans="6:6" x14ac:dyDescent="0.25">
      <c r="F7449" s="85" t="str">
        <f t="shared" si="64"/>
        <v/>
      </c>
    </row>
    <row r="7450" spans="6:6" x14ac:dyDescent="0.25">
      <c r="F7450" s="85" t="str">
        <f t="shared" si="64"/>
        <v/>
      </c>
    </row>
    <row r="7451" spans="6:6" x14ac:dyDescent="0.25">
      <c r="F7451" s="85" t="str">
        <f t="shared" si="64"/>
        <v/>
      </c>
    </row>
    <row r="7452" spans="6:6" x14ac:dyDescent="0.25">
      <c r="F7452" s="85" t="str">
        <f t="shared" si="64"/>
        <v/>
      </c>
    </row>
    <row r="7453" spans="6:6" x14ac:dyDescent="0.25">
      <c r="F7453" s="85" t="str">
        <f t="shared" si="64"/>
        <v/>
      </c>
    </row>
    <row r="7454" spans="6:6" x14ac:dyDescent="0.25">
      <c r="F7454" s="85" t="str">
        <f t="shared" si="64"/>
        <v/>
      </c>
    </row>
    <row r="7455" spans="6:6" x14ac:dyDescent="0.25">
      <c r="F7455" s="85" t="str">
        <f t="shared" si="64"/>
        <v/>
      </c>
    </row>
    <row r="7456" spans="6:6" x14ac:dyDescent="0.25">
      <c r="F7456" s="85" t="str">
        <f t="shared" si="64"/>
        <v/>
      </c>
    </row>
    <row r="7457" spans="6:6" x14ac:dyDescent="0.25">
      <c r="F7457" s="85" t="str">
        <f t="shared" si="64"/>
        <v/>
      </c>
    </row>
    <row r="7458" spans="6:6" x14ac:dyDescent="0.25">
      <c r="F7458" s="85" t="str">
        <f t="shared" si="64"/>
        <v/>
      </c>
    </row>
    <row r="7459" spans="6:6" x14ac:dyDescent="0.25">
      <c r="F7459" s="85" t="str">
        <f t="shared" si="64"/>
        <v/>
      </c>
    </row>
    <row r="7460" spans="6:6" x14ac:dyDescent="0.25">
      <c r="F7460" s="85" t="str">
        <f t="shared" si="64"/>
        <v/>
      </c>
    </row>
    <row r="7461" spans="6:6" x14ac:dyDescent="0.25">
      <c r="F7461" s="85" t="str">
        <f t="shared" si="64"/>
        <v/>
      </c>
    </row>
    <row r="7462" spans="6:6" x14ac:dyDescent="0.25">
      <c r="F7462" s="85" t="str">
        <f t="shared" si="64"/>
        <v/>
      </c>
    </row>
    <row r="7463" spans="6:6" x14ac:dyDescent="0.25">
      <c r="F7463" s="85" t="str">
        <f t="shared" si="64"/>
        <v/>
      </c>
    </row>
    <row r="7464" spans="6:6" x14ac:dyDescent="0.25">
      <c r="F7464" s="85" t="str">
        <f t="shared" si="64"/>
        <v/>
      </c>
    </row>
    <row r="7465" spans="6:6" x14ac:dyDescent="0.25">
      <c r="F7465" s="85" t="str">
        <f t="shared" si="64"/>
        <v/>
      </c>
    </row>
    <row r="7466" spans="6:6" x14ac:dyDescent="0.25">
      <c r="F7466" s="85" t="str">
        <f t="shared" si="64"/>
        <v/>
      </c>
    </row>
    <row r="7467" spans="6:6" x14ac:dyDescent="0.25">
      <c r="F7467" s="85" t="str">
        <f t="shared" si="64"/>
        <v/>
      </c>
    </row>
    <row r="7468" spans="6:6" x14ac:dyDescent="0.25">
      <c r="F7468" s="85" t="str">
        <f t="shared" si="64"/>
        <v/>
      </c>
    </row>
    <row r="7469" spans="6:6" x14ac:dyDescent="0.25">
      <c r="F7469" s="85" t="str">
        <f t="shared" si="64"/>
        <v/>
      </c>
    </row>
    <row r="7470" spans="6:6" x14ac:dyDescent="0.25">
      <c r="F7470" s="85" t="str">
        <f t="shared" si="64"/>
        <v/>
      </c>
    </row>
    <row r="7471" spans="6:6" x14ac:dyDescent="0.25">
      <c r="F7471" s="85" t="str">
        <f t="shared" si="64"/>
        <v/>
      </c>
    </row>
    <row r="7472" spans="6:6" x14ac:dyDescent="0.25">
      <c r="F7472" s="85" t="str">
        <f t="shared" si="64"/>
        <v/>
      </c>
    </row>
    <row r="7473" spans="6:6" x14ac:dyDescent="0.25">
      <c r="F7473" s="85" t="str">
        <f t="shared" si="64"/>
        <v/>
      </c>
    </row>
    <row r="7474" spans="6:6" x14ac:dyDescent="0.25">
      <c r="F7474" s="85" t="str">
        <f t="shared" si="64"/>
        <v/>
      </c>
    </row>
    <row r="7475" spans="6:6" x14ac:dyDescent="0.25">
      <c r="F7475" s="85" t="str">
        <f t="shared" si="64"/>
        <v/>
      </c>
    </row>
    <row r="7476" spans="6:6" x14ac:dyDescent="0.25">
      <c r="F7476" s="85" t="str">
        <f t="shared" si="64"/>
        <v/>
      </c>
    </row>
    <row r="7477" spans="6:6" x14ac:dyDescent="0.25">
      <c r="F7477" s="85" t="str">
        <f t="shared" si="64"/>
        <v/>
      </c>
    </row>
    <row r="7478" spans="6:6" x14ac:dyDescent="0.25">
      <c r="F7478" s="85" t="str">
        <f t="shared" si="64"/>
        <v/>
      </c>
    </row>
    <row r="7479" spans="6:6" x14ac:dyDescent="0.25">
      <c r="F7479" s="85" t="str">
        <f t="shared" si="64"/>
        <v/>
      </c>
    </row>
    <row r="7480" spans="6:6" x14ac:dyDescent="0.25">
      <c r="F7480" s="85" t="str">
        <f t="shared" si="64"/>
        <v/>
      </c>
    </row>
    <row r="7481" spans="6:6" x14ac:dyDescent="0.25">
      <c r="F7481" s="85" t="str">
        <f t="shared" si="64"/>
        <v/>
      </c>
    </row>
    <row r="7482" spans="6:6" x14ac:dyDescent="0.25">
      <c r="F7482" s="85" t="str">
        <f t="shared" si="64"/>
        <v/>
      </c>
    </row>
    <row r="7483" spans="6:6" x14ac:dyDescent="0.25">
      <c r="F7483" s="85" t="str">
        <f t="shared" si="64"/>
        <v/>
      </c>
    </row>
    <row r="7484" spans="6:6" x14ac:dyDescent="0.25">
      <c r="F7484" s="85" t="str">
        <f t="shared" si="64"/>
        <v/>
      </c>
    </row>
    <row r="7485" spans="6:6" x14ac:dyDescent="0.25">
      <c r="F7485" s="85" t="str">
        <f t="shared" si="64"/>
        <v/>
      </c>
    </row>
    <row r="7486" spans="6:6" x14ac:dyDescent="0.25">
      <c r="F7486" s="85" t="str">
        <f t="shared" si="64"/>
        <v/>
      </c>
    </row>
    <row r="7487" spans="6:6" x14ac:dyDescent="0.25">
      <c r="F7487" s="85" t="str">
        <f t="shared" si="64"/>
        <v/>
      </c>
    </row>
    <row r="7488" spans="6:6" x14ac:dyDescent="0.25">
      <c r="F7488" s="85" t="str">
        <f t="shared" si="64"/>
        <v/>
      </c>
    </row>
    <row r="7489" spans="6:6" x14ac:dyDescent="0.25">
      <c r="F7489" s="85" t="str">
        <f t="shared" si="64"/>
        <v/>
      </c>
    </row>
    <row r="7490" spans="6:6" x14ac:dyDescent="0.25">
      <c r="F7490" s="85" t="str">
        <f t="shared" si="64"/>
        <v/>
      </c>
    </row>
    <row r="7491" spans="6:6" x14ac:dyDescent="0.25">
      <c r="F7491" s="85" t="str">
        <f t="shared" ref="F7491:F7554" si="65">IF($A7491="","",CONCATENATE($A7491,"_",$B7491,"_",$C7491))</f>
        <v/>
      </c>
    </row>
    <row r="7492" spans="6:6" x14ac:dyDescent="0.25">
      <c r="F7492" s="85" t="str">
        <f t="shared" si="65"/>
        <v/>
      </c>
    </row>
    <row r="7493" spans="6:6" x14ac:dyDescent="0.25">
      <c r="F7493" s="85" t="str">
        <f t="shared" si="65"/>
        <v/>
      </c>
    </row>
    <row r="7494" spans="6:6" x14ac:dyDescent="0.25">
      <c r="F7494" s="85" t="str">
        <f t="shared" si="65"/>
        <v/>
      </c>
    </row>
    <row r="7495" spans="6:6" x14ac:dyDescent="0.25">
      <c r="F7495" s="85" t="str">
        <f t="shared" si="65"/>
        <v/>
      </c>
    </row>
    <row r="7496" spans="6:6" x14ac:dyDescent="0.25">
      <c r="F7496" s="85" t="str">
        <f t="shared" si="65"/>
        <v/>
      </c>
    </row>
    <row r="7497" spans="6:6" x14ac:dyDescent="0.25">
      <c r="F7497" s="85" t="str">
        <f t="shared" si="65"/>
        <v/>
      </c>
    </row>
    <row r="7498" spans="6:6" x14ac:dyDescent="0.25">
      <c r="F7498" s="85" t="str">
        <f t="shared" si="65"/>
        <v/>
      </c>
    </row>
    <row r="7499" spans="6:6" x14ac:dyDescent="0.25">
      <c r="F7499" s="85" t="str">
        <f t="shared" si="65"/>
        <v/>
      </c>
    </row>
    <row r="7500" spans="6:6" x14ac:dyDescent="0.25">
      <c r="F7500" s="85" t="str">
        <f t="shared" si="65"/>
        <v/>
      </c>
    </row>
    <row r="7501" spans="6:6" x14ac:dyDescent="0.25">
      <c r="F7501" s="85" t="str">
        <f t="shared" si="65"/>
        <v/>
      </c>
    </row>
    <row r="7502" spans="6:6" x14ac:dyDescent="0.25">
      <c r="F7502" s="85" t="str">
        <f t="shared" si="65"/>
        <v/>
      </c>
    </row>
    <row r="7503" spans="6:6" x14ac:dyDescent="0.25">
      <c r="F7503" s="85" t="str">
        <f t="shared" si="65"/>
        <v/>
      </c>
    </row>
    <row r="7504" spans="6:6" x14ac:dyDescent="0.25">
      <c r="F7504" s="85" t="str">
        <f t="shared" si="65"/>
        <v/>
      </c>
    </row>
    <row r="7505" spans="6:6" x14ac:dyDescent="0.25">
      <c r="F7505" s="85" t="str">
        <f t="shared" si="65"/>
        <v/>
      </c>
    </row>
    <row r="7506" spans="6:6" x14ac:dyDescent="0.25">
      <c r="F7506" s="85" t="str">
        <f t="shared" si="65"/>
        <v/>
      </c>
    </row>
    <row r="7507" spans="6:6" x14ac:dyDescent="0.25">
      <c r="F7507" s="85" t="str">
        <f t="shared" si="65"/>
        <v/>
      </c>
    </row>
    <row r="7508" spans="6:6" x14ac:dyDescent="0.25">
      <c r="F7508" s="85" t="str">
        <f t="shared" si="65"/>
        <v/>
      </c>
    </row>
    <row r="7509" spans="6:6" x14ac:dyDescent="0.25">
      <c r="F7509" s="85" t="str">
        <f t="shared" si="65"/>
        <v/>
      </c>
    </row>
    <row r="7510" spans="6:6" x14ac:dyDescent="0.25">
      <c r="F7510" s="85" t="str">
        <f t="shared" si="65"/>
        <v/>
      </c>
    </row>
    <row r="7511" spans="6:6" x14ac:dyDescent="0.25">
      <c r="F7511" s="85" t="str">
        <f t="shared" si="65"/>
        <v/>
      </c>
    </row>
    <row r="7512" spans="6:6" x14ac:dyDescent="0.25">
      <c r="F7512" s="85" t="str">
        <f t="shared" si="65"/>
        <v/>
      </c>
    </row>
    <row r="7513" spans="6:6" x14ac:dyDescent="0.25">
      <c r="F7513" s="85" t="str">
        <f t="shared" si="65"/>
        <v/>
      </c>
    </row>
    <row r="7514" spans="6:6" x14ac:dyDescent="0.25">
      <c r="F7514" s="85" t="str">
        <f t="shared" si="65"/>
        <v/>
      </c>
    </row>
    <row r="7515" spans="6:6" x14ac:dyDescent="0.25">
      <c r="F7515" s="85" t="str">
        <f t="shared" si="65"/>
        <v/>
      </c>
    </row>
    <row r="7516" spans="6:6" x14ac:dyDescent="0.25">
      <c r="F7516" s="85" t="str">
        <f t="shared" si="65"/>
        <v/>
      </c>
    </row>
    <row r="7517" spans="6:6" x14ac:dyDescent="0.25">
      <c r="F7517" s="85" t="str">
        <f t="shared" si="65"/>
        <v/>
      </c>
    </row>
    <row r="7518" spans="6:6" x14ac:dyDescent="0.25">
      <c r="F7518" s="85" t="str">
        <f t="shared" si="65"/>
        <v/>
      </c>
    </row>
    <row r="7519" spans="6:6" x14ac:dyDescent="0.25">
      <c r="F7519" s="85" t="str">
        <f t="shared" si="65"/>
        <v/>
      </c>
    </row>
    <row r="7520" spans="6:6" x14ac:dyDescent="0.25">
      <c r="F7520" s="85" t="str">
        <f t="shared" si="65"/>
        <v/>
      </c>
    </row>
    <row r="7521" spans="6:6" x14ac:dyDescent="0.25">
      <c r="F7521" s="85" t="str">
        <f t="shared" si="65"/>
        <v/>
      </c>
    </row>
    <row r="7522" spans="6:6" x14ac:dyDescent="0.25">
      <c r="F7522" s="85" t="str">
        <f t="shared" si="65"/>
        <v/>
      </c>
    </row>
    <row r="7523" spans="6:6" x14ac:dyDescent="0.25">
      <c r="F7523" s="85" t="str">
        <f t="shared" si="65"/>
        <v/>
      </c>
    </row>
    <row r="7524" spans="6:6" x14ac:dyDescent="0.25">
      <c r="F7524" s="85" t="str">
        <f t="shared" si="65"/>
        <v/>
      </c>
    </row>
    <row r="7525" spans="6:6" x14ac:dyDescent="0.25">
      <c r="F7525" s="85" t="str">
        <f t="shared" si="65"/>
        <v/>
      </c>
    </row>
    <row r="7526" spans="6:6" x14ac:dyDescent="0.25">
      <c r="F7526" s="85" t="str">
        <f t="shared" si="65"/>
        <v/>
      </c>
    </row>
    <row r="7527" spans="6:6" x14ac:dyDescent="0.25">
      <c r="F7527" s="85" t="str">
        <f t="shared" si="65"/>
        <v/>
      </c>
    </row>
    <row r="7528" spans="6:6" x14ac:dyDescent="0.25">
      <c r="F7528" s="85" t="str">
        <f t="shared" si="65"/>
        <v/>
      </c>
    </row>
    <row r="7529" spans="6:6" x14ac:dyDescent="0.25">
      <c r="F7529" s="85" t="str">
        <f t="shared" si="65"/>
        <v/>
      </c>
    </row>
    <row r="7530" spans="6:6" x14ac:dyDescent="0.25">
      <c r="F7530" s="85" t="str">
        <f t="shared" si="65"/>
        <v/>
      </c>
    </row>
    <row r="7531" spans="6:6" x14ac:dyDescent="0.25">
      <c r="F7531" s="85" t="str">
        <f t="shared" si="65"/>
        <v/>
      </c>
    </row>
    <row r="7532" spans="6:6" x14ac:dyDescent="0.25">
      <c r="F7532" s="85" t="str">
        <f t="shared" si="65"/>
        <v/>
      </c>
    </row>
    <row r="7533" spans="6:6" x14ac:dyDescent="0.25">
      <c r="F7533" s="85" t="str">
        <f t="shared" si="65"/>
        <v/>
      </c>
    </row>
    <row r="7534" spans="6:6" x14ac:dyDescent="0.25">
      <c r="F7534" s="85" t="str">
        <f t="shared" si="65"/>
        <v/>
      </c>
    </row>
    <row r="7535" spans="6:6" x14ac:dyDescent="0.25">
      <c r="F7535" s="85" t="str">
        <f t="shared" si="65"/>
        <v/>
      </c>
    </row>
    <row r="7536" spans="6:6" x14ac:dyDescent="0.25">
      <c r="F7536" s="85" t="str">
        <f t="shared" si="65"/>
        <v/>
      </c>
    </row>
    <row r="7537" spans="6:6" x14ac:dyDescent="0.25">
      <c r="F7537" s="85" t="str">
        <f t="shared" si="65"/>
        <v/>
      </c>
    </row>
    <row r="7538" spans="6:6" x14ac:dyDescent="0.25">
      <c r="F7538" s="85" t="str">
        <f t="shared" si="65"/>
        <v/>
      </c>
    </row>
    <row r="7539" spans="6:6" x14ac:dyDescent="0.25">
      <c r="F7539" s="85" t="str">
        <f t="shared" si="65"/>
        <v/>
      </c>
    </row>
    <row r="7540" spans="6:6" x14ac:dyDescent="0.25">
      <c r="F7540" s="85" t="str">
        <f t="shared" si="65"/>
        <v/>
      </c>
    </row>
    <row r="7541" spans="6:6" x14ac:dyDescent="0.25">
      <c r="F7541" s="85" t="str">
        <f t="shared" si="65"/>
        <v/>
      </c>
    </row>
    <row r="7542" spans="6:6" x14ac:dyDescent="0.25">
      <c r="F7542" s="85" t="str">
        <f t="shared" si="65"/>
        <v/>
      </c>
    </row>
    <row r="7543" spans="6:6" x14ac:dyDescent="0.25">
      <c r="F7543" s="85" t="str">
        <f t="shared" si="65"/>
        <v/>
      </c>
    </row>
    <row r="7544" spans="6:6" x14ac:dyDescent="0.25">
      <c r="F7544" s="85" t="str">
        <f t="shared" si="65"/>
        <v/>
      </c>
    </row>
    <row r="7545" spans="6:6" x14ac:dyDescent="0.25">
      <c r="F7545" s="85" t="str">
        <f t="shared" si="65"/>
        <v/>
      </c>
    </row>
    <row r="7546" spans="6:6" x14ac:dyDescent="0.25">
      <c r="F7546" s="85" t="str">
        <f t="shared" si="65"/>
        <v/>
      </c>
    </row>
    <row r="7547" spans="6:6" x14ac:dyDescent="0.25">
      <c r="F7547" s="85" t="str">
        <f t="shared" si="65"/>
        <v/>
      </c>
    </row>
    <row r="7548" spans="6:6" x14ac:dyDescent="0.25">
      <c r="F7548" s="85" t="str">
        <f t="shared" si="65"/>
        <v/>
      </c>
    </row>
    <row r="7549" spans="6:6" x14ac:dyDescent="0.25">
      <c r="F7549" s="85" t="str">
        <f t="shared" si="65"/>
        <v/>
      </c>
    </row>
    <row r="7550" spans="6:6" x14ac:dyDescent="0.25">
      <c r="F7550" s="85" t="str">
        <f t="shared" si="65"/>
        <v/>
      </c>
    </row>
    <row r="7551" spans="6:6" x14ac:dyDescent="0.25">
      <c r="F7551" s="85" t="str">
        <f t="shared" si="65"/>
        <v/>
      </c>
    </row>
    <row r="7552" spans="6:6" x14ac:dyDescent="0.25">
      <c r="F7552" s="85" t="str">
        <f t="shared" si="65"/>
        <v/>
      </c>
    </row>
    <row r="7553" spans="6:6" x14ac:dyDescent="0.25">
      <c r="F7553" s="85" t="str">
        <f t="shared" si="65"/>
        <v/>
      </c>
    </row>
    <row r="7554" spans="6:6" x14ac:dyDescent="0.25">
      <c r="F7554" s="85" t="str">
        <f t="shared" si="65"/>
        <v/>
      </c>
    </row>
    <row r="7555" spans="6:6" x14ac:dyDescent="0.25">
      <c r="F7555" s="85" t="str">
        <f t="shared" ref="F7555:F7618" si="66">IF($A7555="","",CONCATENATE($A7555,"_",$B7555,"_",$C7555))</f>
        <v/>
      </c>
    </row>
    <row r="7556" spans="6:6" x14ac:dyDescent="0.25">
      <c r="F7556" s="85" t="str">
        <f t="shared" si="66"/>
        <v/>
      </c>
    </row>
    <row r="7557" spans="6:6" x14ac:dyDescent="0.25">
      <c r="F7557" s="85" t="str">
        <f t="shared" si="66"/>
        <v/>
      </c>
    </row>
    <row r="7558" spans="6:6" x14ac:dyDescent="0.25">
      <c r="F7558" s="85" t="str">
        <f t="shared" si="66"/>
        <v/>
      </c>
    </row>
    <row r="7559" spans="6:6" x14ac:dyDescent="0.25">
      <c r="F7559" s="85" t="str">
        <f t="shared" si="66"/>
        <v/>
      </c>
    </row>
    <row r="7560" spans="6:6" x14ac:dyDescent="0.25">
      <c r="F7560" s="85" t="str">
        <f t="shared" si="66"/>
        <v/>
      </c>
    </row>
    <row r="7561" spans="6:6" x14ac:dyDescent="0.25">
      <c r="F7561" s="85" t="str">
        <f t="shared" si="66"/>
        <v/>
      </c>
    </row>
    <row r="7562" spans="6:6" x14ac:dyDescent="0.25">
      <c r="F7562" s="85" t="str">
        <f t="shared" si="66"/>
        <v/>
      </c>
    </row>
    <row r="7563" spans="6:6" x14ac:dyDescent="0.25">
      <c r="F7563" s="85" t="str">
        <f t="shared" si="66"/>
        <v/>
      </c>
    </row>
    <row r="7564" spans="6:6" x14ac:dyDescent="0.25">
      <c r="F7564" s="85" t="str">
        <f t="shared" si="66"/>
        <v/>
      </c>
    </row>
    <row r="7565" spans="6:6" x14ac:dyDescent="0.25">
      <c r="F7565" s="85" t="str">
        <f t="shared" si="66"/>
        <v/>
      </c>
    </row>
    <row r="7566" spans="6:6" x14ac:dyDescent="0.25">
      <c r="F7566" s="85" t="str">
        <f t="shared" si="66"/>
        <v/>
      </c>
    </row>
    <row r="7567" spans="6:6" x14ac:dyDescent="0.25">
      <c r="F7567" s="85" t="str">
        <f t="shared" si="66"/>
        <v/>
      </c>
    </row>
    <row r="7568" spans="6:6" x14ac:dyDescent="0.25">
      <c r="F7568" s="85" t="str">
        <f t="shared" si="66"/>
        <v/>
      </c>
    </row>
    <row r="7569" spans="6:6" x14ac:dyDescent="0.25">
      <c r="F7569" s="85" t="str">
        <f t="shared" si="66"/>
        <v/>
      </c>
    </row>
    <row r="7570" spans="6:6" x14ac:dyDescent="0.25">
      <c r="F7570" s="85" t="str">
        <f t="shared" si="66"/>
        <v/>
      </c>
    </row>
    <row r="7571" spans="6:6" x14ac:dyDescent="0.25">
      <c r="F7571" s="85" t="str">
        <f t="shared" si="66"/>
        <v/>
      </c>
    </row>
    <row r="7572" spans="6:6" x14ac:dyDescent="0.25">
      <c r="F7572" s="85" t="str">
        <f t="shared" si="66"/>
        <v/>
      </c>
    </row>
    <row r="7573" spans="6:6" x14ac:dyDescent="0.25">
      <c r="F7573" s="85" t="str">
        <f t="shared" si="66"/>
        <v/>
      </c>
    </row>
    <row r="7574" spans="6:6" x14ac:dyDescent="0.25">
      <c r="F7574" s="85" t="str">
        <f t="shared" si="66"/>
        <v/>
      </c>
    </row>
    <row r="7575" spans="6:6" x14ac:dyDescent="0.25">
      <c r="F7575" s="85" t="str">
        <f t="shared" si="66"/>
        <v/>
      </c>
    </row>
    <row r="7576" spans="6:6" x14ac:dyDescent="0.25">
      <c r="F7576" s="85" t="str">
        <f t="shared" si="66"/>
        <v/>
      </c>
    </row>
    <row r="7577" spans="6:6" x14ac:dyDescent="0.25">
      <c r="F7577" s="85" t="str">
        <f t="shared" si="66"/>
        <v/>
      </c>
    </row>
    <row r="7578" spans="6:6" x14ac:dyDescent="0.25">
      <c r="F7578" s="85" t="str">
        <f t="shared" si="66"/>
        <v/>
      </c>
    </row>
    <row r="7579" spans="6:6" x14ac:dyDescent="0.25">
      <c r="F7579" s="85" t="str">
        <f t="shared" si="66"/>
        <v/>
      </c>
    </row>
    <row r="7580" spans="6:6" x14ac:dyDescent="0.25">
      <c r="F7580" s="85" t="str">
        <f t="shared" si="66"/>
        <v/>
      </c>
    </row>
    <row r="7581" spans="6:6" x14ac:dyDescent="0.25">
      <c r="F7581" s="85" t="str">
        <f t="shared" si="66"/>
        <v/>
      </c>
    </row>
    <row r="7582" spans="6:6" x14ac:dyDescent="0.25">
      <c r="F7582" s="85" t="str">
        <f t="shared" si="66"/>
        <v/>
      </c>
    </row>
    <row r="7583" spans="6:6" x14ac:dyDescent="0.25">
      <c r="F7583" s="85" t="str">
        <f t="shared" si="66"/>
        <v/>
      </c>
    </row>
    <row r="7584" spans="6:6" x14ac:dyDescent="0.25">
      <c r="F7584" s="85" t="str">
        <f t="shared" si="66"/>
        <v/>
      </c>
    </row>
    <row r="7585" spans="6:6" x14ac:dyDescent="0.25">
      <c r="F7585" s="85" t="str">
        <f t="shared" si="66"/>
        <v/>
      </c>
    </row>
    <row r="7586" spans="6:6" x14ac:dyDescent="0.25">
      <c r="F7586" s="85" t="str">
        <f t="shared" si="66"/>
        <v/>
      </c>
    </row>
    <row r="7587" spans="6:6" x14ac:dyDescent="0.25">
      <c r="F7587" s="85" t="str">
        <f t="shared" si="66"/>
        <v/>
      </c>
    </row>
    <row r="7588" spans="6:6" x14ac:dyDescent="0.25">
      <c r="F7588" s="85" t="str">
        <f t="shared" si="66"/>
        <v/>
      </c>
    </row>
    <row r="7589" spans="6:6" x14ac:dyDescent="0.25">
      <c r="F7589" s="85" t="str">
        <f t="shared" si="66"/>
        <v/>
      </c>
    </row>
    <row r="7590" spans="6:6" x14ac:dyDescent="0.25">
      <c r="F7590" s="85" t="str">
        <f t="shared" si="66"/>
        <v/>
      </c>
    </row>
    <row r="7591" spans="6:6" x14ac:dyDescent="0.25">
      <c r="F7591" s="85" t="str">
        <f t="shared" si="66"/>
        <v/>
      </c>
    </row>
    <row r="7592" spans="6:6" x14ac:dyDescent="0.25">
      <c r="F7592" s="85" t="str">
        <f t="shared" si="66"/>
        <v/>
      </c>
    </row>
    <row r="7593" spans="6:6" x14ac:dyDescent="0.25">
      <c r="F7593" s="85" t="str">
        <f t="shared" si="66"/>
        <v/>
      </c>
    </row>
    <row r="7594" spans="6:6" x14ac:dyDescent="0.25">
      <c r="F7594" s="85" t="str">
        <f t="shared" si="66"/>
        <v/>
      </c>
    </row>
    <row r="7595" spans="6:6" x14ac:dyDescent="0.25">
      <c r="F7595" s="85" t="str">
        <f t="shared" si="66"/>
        <v/>
      </c>
    </row>
    <row r="7596" spans="6:6" x14ac:dyDescent="0.25">
      <c r="F7596" s="85" t="str">
        <f t="shared" si="66"/>
        <v/>
      </c>
    </row>
    <row r="7597" spans="6:6" x14ac:dyDescent="0.25">
      <c r="F7597" s="85" t="str">
        <f t="shared" si="66"/>
        <v/>
      </c>
    </row>
    <row r="7598" spans="6:6" x14ac:dyDescent="0.25">
      <c r="F7598" s="85" t="str">
        <f t="shared" si="66"/>
        <v/>
      </c>
    </row>
    <row r="7599" spans="6:6" x14ac:dyDescent="0.25">
      <c r="F7599" s="85" t="str">
        <f t="shared" si="66"/>
        <v/>
      </c>
    </row>
    <row r="7600" spans="6:6" x14ac:dyDescent="0.25">
      <c r="F7600" s="85" t="str">
        <f t="shared" si="66"/>
        <v/>
      </c>
    </row>
    <row r="7601" spans="6:6" x14ac:dyDescent="0.25">
      <c r="F7601" s="85" t="str">
        <f t="shared" si="66"/>
        <v/>
      </c>
    </row>
    <row r="7602" spans="6:6" x14ac:dyDescent="0.25">
      <c r="F7602" s="85" t="str">
        <f t="shared" si="66"/>
        <v/>
      </c>
    </row>
    <row r="7603" spans="6:6" x14ac:dyDescent="0.25">
      <c r="F7603" s="85" t="str">
        <f t="shared" si="66"/>
        <v/>
      </c>
    </row>
    <row r="7604" spans="6:6" x14ac:dyDescent="0.25">
      <c r="F7604" s="85" t="str">
        <f t="shared" si="66"/>
        <v/>
      </c>
    </row>
    <row r="7605" spans="6:6" x14ac:dyDescent="0.25">
      <c r="F7605" s="85" t="str">
        <f t="shared" si="66"/>
        <v/>
      </c>
    </row>
    <row r="7606" spans="6:6" x14ac:dyDescent="0.25">
      <c r="F7606" s="85" t="str">
        <f t="shared" si="66"/>
        <v/>
      </c>
    </row>
    <row r="7607" spans="6:6" x14ac:dyDescent="0.25">
      <c r="F7607" s="85" t="str">
        <f t="shared" si="66"/>
        <v/>
      </c>
    </row>
    <row r="7608" spans="6:6" x14ac:dyDescent="0.25">
      <c r="F7608" s="85" t="str">
        <f t="shared" si="66"/>
        <v/>
      </c>
    </row>
    <row r="7609" spans="6:6" x14ac:dyDescent="0.25">
      <c r="F7609" s="85" t="str">
        <f t="shared" si="66"/>
        <v/>
      </c>
    </row>
    <row r="7610" spans="6:6" x14ac:dyDescent="0.25">
      <c r="F7610" s="85" t="str">
        <f t="shared" si="66"/>
        <v/>
      </c>
    </row>
    <row r="7611" spans="6:6" x14ac:dyDescent="0.25">
      <c r="F7611" s="85" t="str">
        <f t="shared" si="66"/>
        <v/>
      </c>
    </row>
    <row r="7612" spans="6:6" x14ac:dyDescent="0.25">
      <c r="F7612" s="85" t="str">
        <f t="shared" si="66"/>
        <v/>
      </c>
    </row>
    <row r="7613" spans="6:6" x14ac:dyDescent="0.25">
      <c r="F7613" s="85" t="str">
        <f t="shared" si="66"/>
        <v/>
      </c>
    </row>
    <row r="7614" spans="6:6" x14ac:dyDescent="0.25">
      <c r="F7614" s="85" t="str">
        <f t="shared" si="66"/>
        <v/>
      </c>
    </row>
    <row r="7615" spans="6:6" x14ac:dyDescent="0.25">
      <c r="F7615" s="85" t="str">
        <f t="shared" si="66"/>
        <v/>
      </c>
    </row>
    <row r="7616" spans="6:6" x14ac:dyDescent="0.25">
      <c r="F7616" s="85" t="str">
        <f t="shared" si="66"/>
        <v/>
      </c>
    </row>
    <row r="7617" spans="6:6" x14ac:dyDescent="0.25">
      <c r="F7617" s="85" t="str">
        <f t="shared" si="66"/>
        <v/>
      </c>
    </row>
    <row r="7618" spans="6:6" x14ac:dyDescent="0.25">
      <c r="F7618" s="85" t="str">
        <f t="shared" si="66"/>
        <v/>
      </c>
    </row>
    <row r="7619" spans="6:6" x14ac:dyDescent="0.25">
      <c r="F7619" s="85" t="str">
        <f t="shared" ref="F7619:F7682" si="67">IF($A7619="","",CONCATENATE($A7619,"_",$B7619,"_",$C7619))</f>
        <v/>
      </c>
    </row>
    <row r="7620" spans="6:6" x14ac:dyDescent="0.25">
      <c r="F7620" s="85" t="str">
        <f t="shared" si="67"/>
        <v/>
      </c>
    </row>
    <row r="7621" spans="6:6" x14ac:dyDescent="0.25">
      <c r="F7621" s="85" t="str">
        <f t="shared" si="67"/>
        <v/>
      </c>
    </row>
    <row r="7622" spans="6:6" x14ac:dyDescent="0.25">
      <c r="F7622" s="85" t="str">
        <f t="shared" si="67"/>
        <v/>
      </c>
    </row>
    <row r="7623" spans="6:6" x14ac:dyDescent="0.25">
      <c r="F7623" s="85" t="str">
        <f t="shared" si="67"/>
        <v/>
      </c>
    </row>
    <row r="7624" spans="6:6" x14ac:dyDescent="0.25">
      <c r="F7624" s="85" t="str">
        <f t="shared" si="67"/>
        <v/>
      </c>
    </row>
    <row r="7625" spans="6:6" x14ac:dyDescent="0.25">
      <c r="F7625" s="85" t="str">
        <f t="shared" si="67"/>
        <v/>
      </c>
    </row>
    <row r="7626" spans="6:6" x14ac:dyDescent="0.25">
      <c r="F7626" s="85" t="str">
        <f t="shared" si="67"/>
        <v/>
      </c>
    </row>
    <row r="7627" spans="6:6" x14ac:dyDescent="0.25">
      <c r="F7627" s="85" t="str">
        <f t="shared" si="67"/>
        <v/>
      </c>
    </row>
    <row r="7628" spans="6:6" x14ac:dyDescent="0.25">
      <c r="F7628" s="85" t="str">
        <f t="shared" si="67"/>
        <v/>
      </c>
    </row>
    <row r="7629" spans="6:6" x14ac:dyDescent="0.25">
      <c r="F7629" s="85" t="str">
        <f t="shared" si="67"/>
        <v/>
      </c>
    </row>
    <row r="7630" spans="6:6" x14ac:dyDescent="0.25">
      <c r="F7630" s="85" t="str">
        <f t="shared" si="67"/>
        <v/>
      </c>
    </row>
    <row r="7631" spans="6:6" x14ac:dyDescent="0.25">
      <c r="F7631" s="85" t="str">
        <f t="shared" si="67"/>
        <v/>
      </c>
    </row>
    <row r="7632" spans="6:6" x14ac:dyDescent="0.25">
      <c r="F7632" s="85" t="str">
        <f t="shared" si="67"/>
        <v/>
      </c>
    </row>
    <row r="7633" spans="6:6" x14ac:dyDescent="0.25">
      <c r="F7633" s="85" t="str">
        <f t="shared" si="67"/>
        <v/>
      </c>
    </row>
    <row r="7634" spans="6:6" x14ac:dyDescent="0.25">
      <c r="F7634" s="85" t="str">
        <f t="shared" si="67"/>
        <v/>
      </c>
    </row>
    <row r="7635" spans="6:6" x14ac:dyDescent="0.25">
      <c r="F7635" s="85" t="str">
        <f t="shared" si="67"/>
        <v/>
      </c>
    </row>
    <row r="7636" spans="6:6" x14ac:dyDescent="0.25">
      <c r="F7636" s="85" t="str">
        <f t="shared" si="67"/>
        <v/>
      </c>
    </row>
    <row r="7637" spans="6:6" x14ac:dyDescent="0.25">
      <c r="F7637" s="85" t="str">
        <f t="shared" si="67"/>
        <v/>
      </c>
    </row>
    <row r="7638" spans="6:6" x14ac:dyDescent="0.25">
      <c r="F7638" s="85" t="str">
        <f t="shared" si="67"/>
        <v/>
      </c>
    </row>
    <row r="7639" spans="6:6" x14ac:dyDescent="0.25">
      <c r="F7639" s="85" t="str">
        <f t="shared" si="67"/>
        <v/>
      </c>
    </row>
    <row r="7640" spans="6:6" x14ac:dyDescent="0.25">
      <c r="F7640" s="85" t="str">
        <f t="shared" si="67"/>
        <v/>
      </c>
    </row>
    <row r="7641" spans="6:6" x14ac:dyDescent="0.25">
      <c r="F7641" s="85" t="str">
        <f t="shared" si="67"/>
        <v/>
      </c>
    </row>
    <row r="7642" spans="6:6" x14ac:dyDescent="0.25">
      <c r="F7642" s="85" t="str">
        <f t="shared" si="67"/>
        <v/>
      </c>
    </row>
    <row r="7643" spans="6:6" x14ac:dyDescent="0.25">
      <c r="F7643" s="85" t="str">
        <f t="shared" si="67"/>
        <v/>
      </c>
    </row>
    <row r="7644" spans="6:6" x14ac:dyDescent="0.25">
      <c r="F7644" s="85" t="str">
        <f t="shared" si="67"/>
        <v/>
      </c>
    </row>
    <row r="7645" spans="6:6" x14ac:dyDescent="0.25">
      <c r="F7645" s="85" t="str">
        <f t="shared" si="67"/>
        <v/>
      </c>
    </row>
    <row r="7646" spans="6:6" x14ac:dyDescent="0.25">
      <c r="F7646" s="85" t="str">
        <f t="shared" si="67"/>
        <v/>
      </c>
    </row>
    <row r="7647" spans="6:6" x14ac:dyDescent="0.25">
      <c r="F7647" s="85" t="str">
        <f t="shared" si="67"/>
        <v/>
      </c>
    </row>
    <row r="7648" spans="6:6" x14ac:dyDescent="0.25">
      <c r="F7648" s="85" t="str">
        <f t="shared" si="67"/>
        <v/>
      </c>
    </row>
    <row r="7649" spans="6:6" x14ac:dyDescent="0.25">
      <c r="F7649" s="85" t="str">
        <f t="shared" si="67"/>
        <v/>
      </c>
    </row>
    <row r="7650" spans="6:6" x14ac:dyDescent="0.25">
      <c r="F7650" s="85" t="str">
        <f t="shared" si="67"/>
        <v/>
      </c>
    </row>
    <row r="7651" spans="6:6" x14ac:dyDescent="0.25">
      <c r="F7651" s="85" t="str">
        <f t="shared" si="67"/>
        <v/>
      </c>
    </row>
    <row r="7652" spans="6:6" x14ac:dyDescent="0.25">
      <c r="F7652" s="85" t="str">
        <f t="shared" si="67"/>
        <v/>
      </c>
    </row>
    <row r="7653" spans="6:6" x14ac:dyDescent="0.25">
      <c r="F7653" s="85" t="str">
        <f t="shared" si="67"/>
        <v/>
      </c>
    </row>
    <row r="7654" spans="6:6" x14ac:dyDescent="0.25">
      <c r="F7654" s="85" t="str">
        <f t="shared" si="67"/>
        <v/>
      </c>
    </row>
    <row r="7655" spans="6:6" x14ac:dyDescent="0.25">
      <c r="F7655" s="85" t="str">
        <f t="shared" si="67"/>
        <v/>
      </c>
    </row>
    <row r="7656" spans="6:6" x14ac:dyDescent="0.25">
      <c r="F7656" s="85" t="str">
        <f t="shared" si="67"/>
        <v/>
      </c>
    </row>
    <row r="7657" spans="6:6" x14ac:dyDescent="0.25">
      <c r="F7657" s="85" t="str">
        <f t="shared" si="67"/>
        <v/>
      </c>
    </row>
    <row r="7658" spans="6:6" x14ac:dyDescent="0.25">
      <c r="F7658" s="85" t="str">
        <f t="shared" si="67"/>
        <v/>
      </c>
    </row>
    <row r="7659" spans="6:6" x14ac:dyDescent="0.25">
      <c r="F7659" s="85" t="str">
        <f t="shared" si="67"/>
        <v/>
      </c>
    </row>
    <row r="7660" spans="6:6" x14ac:dyDescent="0.25">
      <c r="F7660" s="85" t="str">
        <f t="shared" si="67"/>
        <v/>
      </c>
    </row>
    <row r="7661" spans="6:6" x14ac:dyDescent="0.25">
      <c r="F7661" s="85" t="str">
        <f t="shared" si="67"/>
        <v/>
      </c>
    </row>
    <row r="7662" spans="6:6" x14ac:dyDescent="0.25">
      <c r="F7662" s="85" t="str">
        <f t="shared" si="67"/>
        <v/>
      </c>
    </row>
    <row r="7663" spans="6:6" x14ac:dyDescent="0.25">
      <c r="F7663" s="85" t="str">
        <f t="shared" si="67"/>
        <v/>
      </c>
    </row>
    <row r="7664" spans="6:6" x14ac:dyDescent="0.25">
      <c r="F7664" s="85" t="str">
        <f t="shared" si="67"/>
        <v/>
      </c>
    </row>
    <row r="7665" spans="6:6" x14ac:dyDescent="0.25">
      <c r="F7665" s="85" t="str">
        <f t="shared" si="67"/>
        <v/>
      </c>
    </row>
    <row r="7666" spans="6:6" x14ac:dyDescent="0.25">
      <c r="F7666" s="85" t="str">
        <f t="shared" si="67"/>
        <v/>
      </c>
    </row>
    <row r="7667" spans="6:6" x14ac:dyDescent="0.25">
      <c r="F7667" s="85" t="str">
        <f t="shared" si="67"/>
        <v/>
      </c>
    </row>
    <row r="7668" spans="6:6" x14ac:dyDescent="0.25">
      <c r="F7668" s="85" t="str">
        <f t="shared" si="67"/>
        <v/>
      </c>
    </row>
    <row r="7669" spans="6:6" x14ac:dyDescent="0.25">
      <c r="F7669" s="85" t="str">
        <f t="shared" si="67"/>
        <v/>
      </c>
    </row>
    <row r="7670" spans="6:6" x14ac:dyDescent="0.25">
      <c r="F7670" s="85" t="str">
        <f t="shared" si="67"/>
        <v/>
      </c>
    </row>
    <row r="7671" spans="6:6" x14ac:dyDescent="0.25">
      <c r="F7671" s="85" t="str">
        <f t="shared" si="67"/>
        <v/>
      </c>
    </row>
    <row r="7672" spans="6:6" x14ac:dyDescent="0.25">
      <c r="F7672" s="85" t="str">
        <f t="shared" si="67"/>
        <v/>
      </c>
    </row>
    <row r="7673" spans="6:6" x14ac:dyDescent="0.25">
      <c r="F7673" s="85" t="str">
        <f t="shared" si="67"/>
        <v/>
      </c>
    </row>
    <row r="7674" spans="6:6" x14ac:dyDescent="0.25">
      <c r="F7674" s="85" t="str">
        <f t="shared" si="67"/>
        <v/>
      </c>
    </row>
    <row r="7675" spans="6:6" x14ac:dyDescent="0.25">
      <c r="F7675" s="85" t="str">
        <f t="shared" si="67"/>
        <v/>
      </c>
    </row>
    <row r="7676" spans="6:6" x14ac:dyDescent="0.25">
      <c r="F7676" s="85" t="str">
        <f t="shared" si="67"/>
        <v/>
      </c>
    </row>
    <row r="7677" spans="6:6" x14ac:dyDescent="0.25">
      <c r="F7677" s="85" t="str">
        <f t="shared" si="67"/>
        <v/>
      </c>
    </row>
    <row r="7678" spans="6:6" x14ac:dyDescent="0.25">
      <c r="F7678" s="85" t="str">
        <f t="shared" si="67"/>
        <v/>
      </c>
    </row>
    <row r="7679" spans="6:6" x14ac:dyDescent="0.25">
      <c r="F7679" s="85" t="str">
        <f t="shared" si="67"/>
        <v/>
      </c>
    </row>
    <row r="7680" spans="6:6" x14ac:dyDescent="0.25">
      <c r="F7680" s="85" t="str">
        <f t="shared" si="67"/>
        <v/>
      </c>
    </row>
    <row r="7681" spans="6:6" x14ac:dyDescent="0.25">
      <c r="F7681" s="85" t="str">
        <f t="shared" si="67"/>
        <v/>
      </c>
    </row>
    <row r="7682" spans="6:6" x14ac:dyDescent="0.25">
      <c r="F7682" s="85" t="str">
        <f t="shared" si="67"/>
        <v/>
      </c>
    </row>
    <row r="7683" spans="6:6" x14ac:dyDescent="0.25">
      <c r="F7683" s="85" t="str">
        <f t="shared" ref="F7683:F7746" si="68">IF($A7683="","",CONCATENATE($A7683,"_",$B7683,"_",$C7683))</f>
        <v/>
      </c>
    </row>
    <row r="7684" spans="6:6" x14ac:dyDescent="0.25">
      <c r="F7684" s="85" t="str">
        <f t="shared" si="68"/>
        <v/>
      </c>
    </row>
    <row r="7685" spans="6:6" x14ac:dyDescent="0.25">
      <c r="F7685" s="85" t="str">
        <f t="shared" si="68"/>
        <v/>
      </c>
    </row>
    <row r="7686" spans="6:6" x14ac:dyDescent="0.25">
      <c r="F7686" s="85" t="str">
        <f t="shared" si="68"/>
        <v/>
      </c>
    </row>
    <row r="7687" spans="6:6" x14ac:dyDescent="0.25">
      <c r="F7687" s="85" t="str">
        <f t="shared" si="68"/>
        <v/>
      </c>
    </row>
    <row r="7688" spans="6:6" x14ac:dyDescent="0.25">
      <c r="F7688" s="85" t="str">
        <f t="shared" si="68"/>
        <v/>
      </c>
    </row>
    <row r="7689" spans="6:6" x14ac:dyDescent="0.25">
      <c r="F7689" s="85" t="str">
        <f t="shared" si="68"/>
        <v/>
      </c>
    </row>
    <row r="7690" spans="6:6" x14ac:dyDescent="0.25">
      <c r="F7690" s="85" t="str">
        <f t="shared" si="68"/>
        <v/>
      </c>
    </row>
    <row r="7691" spans="6:6" x14ac:dyDescent="0.25">
      <c r="F7691" s="85" t="str">
        <f t="shared" si="68"/>
        <v/>
      </c>
    </row>
    <row r="7692" spans="6:6" x14ac:dyDescent="0.25">
      <c r="F7692" s="85" t="str">
        <f t="shared" si="68"/>
        <v/>
      </c>
    </row>
    <row r="7693" spans="6:6" x14ac:dyDescent="0.25">
      <c r="F7693" s="85" t="str">
        <f t="shared" si="68"/>
        <v/>
      </c>
    </row>
    <row r="7694" spans="6:6" x14ac:dyDescent="0.25">
      <c r="F7694" s="85" t="str">
        <f t="shared" si="68"/>
        <v/>
      </c>
    </row>
    <row r="7695" spans="6:6" x14ac:dyDescent="0.25">
      <c r="F7695" s="85" t="str">
        <f t="shared" si="68"/>
        <v/>
      </c>
    </row>
    <row r="7696" spans="6:6" x14ac:dyDescent="0.25">
      <c r="F7696" s="85" t="str">
        <f t="shared" si="68"/>
        <v/>
      </c>
    </row>
    <row r="7697" spans="6:6" x14ac:dyDescent="0.25">
      <c r="F7697" s="85" t="str">
        <f t="shared" si="68"/>
        <v/>
      </c>
    </row>
    <row r="7698" spans="6:6" x14ac:dyDescent="0.25">
      <c r="F7698" s="85" t="str">
        <f t="shared" si="68"/>
        <v/>
      </c>
    </row>
    <row r="7699" spans="6:6" x14ac:dyDescent="0.25">
      <c r="F7699" s="85" t="str">
        <f t="shared" si="68"/>
        <v/>
      </c>
    </row>
    <row r="7700" spans="6:6" x14ac:dyDescent="0.25">
      <c r="F7700" s="85" t="str">
        <f t="shared" si="68"/>
        <v/>
      </c>
    </row>
    <row r="7701" spans="6:6" x14ac:dyDescent="0.25">
      <c r="F7701" s="85" t="str">
        <f t="shared" si="68"/>
        <v/>
      </c>
    </row>
    <row r="7702" spans="6:6" x14ac:dyDescent="0.25">
      <c r="F7702" s="85" t="str">
        <f t="shared" si="68"/>
        <v/>
      </c>
    </row>
    <row r="7703" spans="6:6" x14ac:dyDescent="0.25">
      <c r="F7703" s="85" t="str">
        <f t="shared" si="68"/>
        <v/>
      </c>
    </row>
    <row r="7704" spans="6:6" x14ac:dyDescent="0.25">
      <c r="F7704" s="85" t="str">
        <f t="shared" si="68"/>
        <v/>
      </c>
    </row>
    <row r="7705" spans="6:6" x14ac:dyDescent="0.25">
      <c r="F7705" s="85" t="str">
        <f t="shared" si="68"/>
        <v/>
      </c>
    </row>
    <row r="7706" spans="6:6" x14ac:dyDescent="0.25">
      <c r="F7706" s="85" t="str">
        <f t="shared" si="68"/>
        <v/>
      </c>
    </row>
    <row r="7707" spans="6:6" x14ac:dyDescent="0.25">
      <c r="F7707" s="85" t="str">
        <f t="shared" si="68"/>
        <v/>
      </c>
    </row>
    <row r="7708" spans="6:6" x14ac:dyDescent="0.25">
      <c r="F7708" s="85" t="str">
        <f t="shared" si="68"/>
        <v/>
      </c>
    </row>
    <row r="7709" spans="6:6" x14ac:dyDescent="0.25">
      <c r="F7709" s="85" t="str">
        <f t="shared" si="68"/>
        <v/>
      </c>
    </row>
    <row r="7710" spans="6:6" x14ac:dyDescent="0.25">
      <c r="F7710" s="85" t="str">
        <f t="shared" si="68"/>
        <v/>
      </c>
    </row>
    <row r="7711" spans="6:6" x14ac:dyDescent="0.25">
      <c r="F7711" s="85" t="str">
        <f t="shared" si="68"/>
        <v/>
      </c>
    </row>
    <row r="7712" spans="6:6" x14ac:dyDescent="0.25">
      <c r="F7712" s="85" t="str">
        <f t="shared" si="68"/>
        <v/>
      </c>
    </row>
    <row r="7713" spans="6:6" x14ac:dyDescent="0.25">
      <c r="F7713" s="85" t="str">
        <f t="shared" si="68"/>
        <v/>
      </c>
    </row>
    <row r="7714" spans="6:6" x14ac:dyDescent="0.25">
      <c r="F7714" s="85" t="str">
        <f t="shared" si="68"/>
        <v/>
      </c>
    </row>
    <row r="7715" spans="6:6" x14ac:dyDescent="0.25">
      <c r="F7715" s="85" t="str">
        <f t="shared" si="68"/>
        <v/>
      </c>
    </row>
    <row r="7716" spans="6:6" x14ac:dyDescent="0.25">
      <c r="F7716" s="85" t="str">
        <f t="shared" si="68"/>
        <v/>
      </c>
    </row>
    <row r="7717" spans="6:6" x14ac:dyDescent="0.25">
      <c r="F7717" s="85" t="str">
        <f t="shared" si="68"/>
        <v/>
      </c>
    </row>
    <row r="7718" spans="6:6" x14ac:dyDescent="0.25">
      <c r="F7718" s="85" t="str">
        <f t="shared" si="68"/>
        <v/>
      </c>
    </row>
    <row r="7719" spans="6:6" x14ac:dyDescent="0.25">
      <c r="F7719" s="85" t="str">
        <f t="shared" si="68"/>
        <v/>
      </c>
    </row>
    <row r="7720" spans="6:6" x14ac:dyDescent="0.25">
      <c r="F7720" s="85" t="str">
        <f t="shared" si="68"/>
        <v/>
      </c>
    </row>
    <row r="7721" spans="6:6" x14ac:dyDescent="0.25">
      <c r="F7721" s="85" t="str">
        <f t="shared" si="68"/>
        <v/>
      </c>
    </row>
    <row r="7722" spans="6:6" x14ac:dyDescent="0.25">
      <c r="F7722" s="85" t="str">
        <f t="shared" si="68"/>
        <v/>
      </c>
    </row>
    <row r="7723" spans="6:6" x14ac:dyDescent="0.25">
      <c r="F7723" s="85" t="str">
        <f t="shared" si="68"/>
        <v/>
      </c>
    </row>
    <row r="7724" spans="6:6" x14ac:dyDescent="0.25">
      <c r="F7724" s="85" t="str">
        <f t="shared" si="68"/>
        <v/>
      </c>
    </row>
    <row r="7725" spans="6:6" x14ac:dyDescent="0.25">
      <c r="F7725" s="85" t="str">
        <f t="shared" si="68"/>
        <v/>
      </c>
    </row>
    <row r="7726" spans="6:6" x14ac:dyDescent="0.25">
      <c r="F7726" s="85" t="str">
        <f t="shared" si="68"/>
        <v/>
      </c>
    </row>
    <row r="7727" spans="6:6" x14ac:dyDescent="0.25">
      <c r="F7727" s="85" t="str">
        <f t="shared" si="68"/>
        <v/>
      </c>
    </row>
    <row r="7728" spans="6:6" x14ac:dyDescent="0.25">
      <c r="F7728" s="85" t="str">
        <f t="shared" si="68"/>
        <v/>
      </c>
    </row>
    <row r="7729" spans="6:6" x14ac:dyDescent="0.25">
      <c r="F7729" s="85" t="str">
        <f t="shared" si="68"/>
        <v/>
      </c>
    </row>
    <row r="7730" spans="6:6" x14ac:dyDescent="0.25">
      <c r="F7730" s="85" t="str">
        <f t="shared" si="68"/>
        <v/>
      </c>
    </row>
    <row r="7731" spans="6:6" x14ac:dyDescent="0.25">
      <c r="F7731" s="85" t="str">
        <f t="shared" si="68"/>
        <v/>
      </c>
    </row>
    <row r="7732" spans="6:6" x14ac:dyDescent="0.25">
      <c r="F7732" s="85" t="str">
        <f t="shared" si="68"/>
        <v/>
      </c>
    </row>
    <row r="7733" spans="6:6" x14ac:dyDescent="0.25">
      <c r="F7733" s="85" t="str">
        <f t="shared" si="68"/>
        <v/>
      </c>
    </row>
    <row r="7734" spans="6:6" x14ac:dyDescent="0.25">
      <c r="F7734" s="85" t="str">
        <f t="shared" si="68"/>
        <v/>
      </c>
    </row>
    <row r="7735" spans="6:6" x14ac:dyDescent="0.25">
      <c r="F7735" s="85" t="str">
        <f t="shared" si="68"/>
        <v/>
      </c>
    </row>
    <row r="7736" spans="6:6" x14ac:dyDescent="0.25">
      <c r="F7736" s="85" t="str">
        <f t="shared" si="68"/>
        <v/>
      </c>
    </row>
    <row r="7737" spans="6:6" x14ac:dyDescent="0.25">
      <c r="F7737" s="85" t="str">
        <f t="shared" si="68"/>
        <v/>
      </c>
    </row>
    <row r="7738" spans="6:6" x14ac:dyDescent="0.25">
      <c r="F7738" s="85" t="str">
        <f t="shared" si="68"/>
        <v/>
      </c>
    </row>
    <row r="7739" spans="6:6" x14ac:dyDescent="0.25">
      <c r="F7739" s="85" t="str">
        <f t="shared" si="68"/>
        <v/>
      </c>
    </row>
    <row r="7740" spans="6:6" x14ac:dyDescent="0.25">
      <c r="F7740" s="85" t="str">
        <f t="shared" si="68"/>
        <v/>
      </c>
    </row>
    <row r="7741" spans="6:6" x14ac:dyDescent="0.25">
      <c r="F7741" s="85" t="str">
        <f t="shared" si="68"/>
        <v/>
      </c>
    </row>
    <row r="7742" spans="6:6" x14ac:dyDescent="0.25">
      <c r="F7742" s="85" t="str">
        <f t="shared" si="68"/>
        <v/>
      </c>
    </row>
    <row r="7743" spans="6:6" x14ac:dyDescent="0.25">
      <c r="F7743" s="85" t="str">
        <f t="shared" si="68"/>
        <v/>
      </c>
    </row>
    <row r="7744" spans="6:6" x14ac:dyDescent="0.25">
      <c r="F7744" s="85" t="str">
        <f t="shared" si="68"/>
        <v/>
      </c>
    </row>
    <row r="7745" spans="6:6" x14ac:dyDescent="0.25">
      <c r="F7745" s="85" t="str">
        <f t="shared" si="68"/>
        <v/>
      </c>
    </row>
    <row r="7746" spans="6:6" x14ac:dyDescent="0.25">
      <c r="F7746" s="85" t="str">
        <f t="shared" si="68"/>
        <v/>
      </c>
    </row>
    <row r="7747" spans="6:6" x14ac:dyDescent="0.25">
      <c r="F7747" s="85" t="str">
        <f t="shared" ref="F7747:F7810" si="69">IF($A7747="","",CONCATENATE($A7747,"_",$B7747,"_",$C7747))</f>
        <v/>
      </c>
    </row>
    <row r="7748" spans="6:6" x14ac:dyDescent="0.25">
      <c r="F7748" s="85" t="str">
        <f t="shared" si="69"/>
        <v/>
      </c>
    </row>
    <row r="7749" spans="6:6" x14ac:dyDescent="0.25">
      <c r="F7749" s="85" t="str">
        <f t="shared" si="69"/>
        <v/>
      </c>
    </row>
    <row r="7750" spans="6:6" x14ac:dyDescent="0.25">
      <c r="F7750" s="85" t="str">
        <f t="shared" si="69"/>
        <v/>
      </c>
    </row>
    <row r="7751" spans="6:6" x14ac:dyDescent="0.25">
      <c r="F7751" s="85" t="str">
        <f t="shared" si="69"/>
        <v/>
      </c>
    </row>
    <row r="7752" spans="6:6" x14ac:dyDescent="0.25">
      <c r="F7752" s="85" t="str">
        <f t="shared" si="69"/>
        <v/>
      </c>
    </row>
    <row r="7753" spans="6:6" x14ac:dyDescent="0.25">
      <c r="F7753" s="85" t="str">
        <f t="shared" si="69"/>
        <v/>
      </c>
    </row>
    <row r="7754" spans="6:6" x14ac:dyDescent="0.25">
      <c r="F7754" s="85" t="str">
        <f t="shared" si="69"/>
        <v/>
      </c>
    </row>
    <row r="7755" spans="6:6" x14ac:dyDescent="0.25">
      <c r="F7755" s="85" t="str">
        <f t="shared" si="69"/>
        <v/>
      </c>
    </row>
    <row r="7756" spans="6:6" x14ac:dyDescent="0.25">
      <c r="F7756" s="85" t="str">
        <f t="shared" si="69"/>
        <v/>
      </c>
    </row>
    <row r="7757" spans="6:6" x14ac:dyDescent="0.25">
      <c r="F7757" s="85" t="str">
        <f t="shared" si="69"/>
        <v/>
      </c>
    </row>
    <row r="7758" spans="6:6" x14ac:dyDescent="0.25">
      <c r="F7758" s="85" t="str">
        <f t="shared" si="69"/>
        <v/>
      </c>
    </row>
    <row r="7759" spans="6:6" x14ac:dyDescent="0.25">
      <c r="F7759" s="85" t="str">
        <f t="shared" si="69"/>
        <v/>
      </c>
    </row>
    <row r="7760" spans="6:6" x14ac:dyDescent="0.25">
      <c r="F7760" s="85" t="str">
        <f t="shared" si="69"/>
        <v/>
      </c>
    </row>
    <row r="7761" spans="6:6" x14ac:dyDescent="0.25">
      <c r="F7761" s="85" t="str">
        <f t="shared" si="69"/>
        <v/>
      </c>
    </row>
    <row r="7762" spans="6:6" x14ac:dyDescent="0.25">
      <c r="F7762" s="85" t="str">
        <f t="shared" si="69"/>
        <v/>
      </c>
    </row>
    <row r="7763" spans="6:6" x14ac:dyDescent="0.25">
      <c r="F7763" s="85" t="str">
        <f t="shared" si="69"/>
        <v/>
      </c>
    </row>
    <row r="7764" spans="6:6" x14ac:dyDescent="0.25">
      <c r="F7764" s="85" t="str">
        <f t="shared" si="69"/>
        <v/>
      </c>
    </row>
    <row r="7765" spans="6:6" x14ac:dyDescent="0.25">
      <c r="F7765" s="85" t="str">
        <f t="shared" si="69"/>
        <v/>
      </c>
    </row>
    <row r="7766" spans="6:6" x14ac:dyDescent="0.25">
      <c r="F7766" s="85" t="str">
        <f t="shared" si="69"/>
        <v/>
      </c>
    </row>
    <row r="7767" spans="6:6" x14ac:dyDescent="0.25">
      <c r="F7767" s="85" t="str">
        <f t="shared" si="69"/>
        <v/>
      </c>
    </row>
    <row r="7768" spans="6:6" x14ac:dyDescent="0.25">
      <c r="F7768" s="85" t="str">
        <f t="shared" si="69"/>
        <v/>
      </c>
    </row>
    <row r="7769" spans="6:6" x14ac:dyDescent="0.25">
      <c r="F7769" s="85" t="str">
        <f t="shared" si="69"/>
        <v/>
      </c>
    </row>
    <row r="7770" spans="6:6" x14ac:dyDescent="0.25">
      <c r="F7770" s="85" t="str">
        <f t="shared" si="69"/>
        <v/>
      </c>
    </row>
    <row r="7771" spans="6:6" x14ac:dyDescent="0.25">
      <c r="F7771" s="85" t="str">
        <f t="shared" si="69"/>
        <v/>
      </c>
    </row>
    <row r="7772" spans="6:6" x14ac:dyDescent="0.25">
      <c r="F7772" s="85" t="str">
        <f t="shared" si="69"/>
        <v/>
      </c>
    </row>
    <row r="7773" spans="6:6" x14ac:dyDescent="0.25">
      <c r="F7773" s="85" t="str">
        <f t="shared" si="69"/>
        <v/>
      </c>
    </row>
    <row r="7774" spans="6:6" x14ac:dyDescent="0.25">
      <c r="F7774" s="85" t="str">
        <f t="shared" si="69"/>
        <v/>
      </c>
    </row>
    <row r="7775" spans="6:6" x14ac:dyDescent="0.25">
      <c r="F7775" s="85" t="str">
        <f t="shared" si="69"/>
        <v/>
      </c>
    </row>
    <row r="7776" spans="6:6" x14ac:dyDescent="0.25">
      <c r="F7776" s="85" t="str">
        <f t="shared" si="69"/>
        <v/>
      </c>
    </row>
    <row r="7777" spans="6:6" x14ac:dyDescent="0.25">
      <c r="F7777" s="85" t="str">
        <f t="shared" si="69"/>
        <v/>
      </c>
    </row>
    <row r="7778" spans="6:6" x14ac:dyDescent="0.25">
      <c r="F7778" s="85" t="str">
        <f t="shared" si="69"/>
        <v/>
      </c>
    </row>
    <row r="7779" spans="6:6" x14ac:dyDescent="0.25">
      <c r="F7779" s="85" t="str">
        <f t="shared" si="69"/>
        <v/>
      </c>
    </row>
    <row r="7780" spans="6:6" x14ac:dyDescent="0.25">
      <c r="F7780" s="85" t="str">
        <f t="shared" si="69"/>
        <v/>
      </c>
    </row>
    <row r="7781" spans="6:6" x14ac:dyDescent="0.25">
      <c r="F7781" s="85" t="str">
        <f t="shared" si="69"/>
        <v/>
      </c>
    </row>
    <row r="7782" spans="6:6" x14ac:dyDescent="0.25">
      <c r="F7782" s="85" t="str">
        <f t="shared" si="69"/>
        <v/>
      </c>
    </row>
    <row r="7783" spans="6:6" x14ac:dyDescent="0.25">
      <c r="F7783" s="85" t="str">
        <f t="shared" si="69"/>
        <v/>
      </c>
    </row>
    <row r="7784" spans="6:6" x14ac:dyDescent="0.25">
      <c r="F7784" s="85" t="str">
        <f t="shared" si="69"/>
        <v/>
      </c>
    </row>
    <row r="7785" spans="6:6" x14ac:dyDescent="0.25">
      <c r="F7785" s="85" t="str">
        <f t="shared" si="69"/>
        <v/>
      </c>
    </row>
    <row r="7786" spans="6:6" x14ac:dyDescent="0.25">
      <c r="F7786" s="85" t="str">
        <f t="shared" si="69"/>
        <v/>
      </c>
    </row>
    <row r="7787" spans="6:6" x14ac:dyDescent="0.25">
      <c r="F7787" s="85" t="str">
        <f t="shared" si="69"/>
        <v/>
      </c>
    </row>
    <row r="7788" spans="6:6" x14ac:dyDescent="0.25">
      <c r="F7788" s="85" t="str">
        <f t="shared" si="69"/>
        <v/>
      </c>
    </row>
    <row r="7789" spans="6:6" x14ac:dyDescent="0.25">
      <c r="F7789" s="85" t="str">
        <f t="shared" si="69"/>
        <v/>
      </c>
    </row>
    <row r="7790" spans="6:6" x14ac:dyDescent="0.25">
      <c r="F7790" s="85" t="str">
        <f t="shared" si="69"/>
        <v/>
      </c>
    </row>
    <row r="7791" spans="6:6" x14ac:dyDescent="0.25">
      <c r="F7791" s="85" t="str">
        <f t="shared" si="69"/>
        <v/>
      </c>
    </row>
    <row r="7792" spans="6:6" x14ac:dyDescent="0.25">
      <c r="F7792" s="85" t="str">
        <f t="shared" si="69"/>
        <v/>
      </c>
    </row>
    <row r="7793" spans="6:6" x14ac:dyDescent="0.25">
      <c r="F7793" s="85" t="str">
        <f t="shared" si="69"/>
        <v/>
      </c>
    </row>
    <row r="7794" spans="6:6" x14ac:dyDescent="0.25">
      <c r="F7794" s="85" t="str">
        <f t="shared" si="69"/>
        <v/>
      </c>
    </row>
    <row r="7795" spans="6:6" x14ac:dyDescent="0.25">
      <c r="F7795" s="85" t="str">
        <f t="shared" si="69"/>
        <v/>
      </c>
    </row>
    <row r="7796" spans="6:6" x14ac:dyDescent="0.25">
      <c r="F7796" s="85" t="str">
        <f t="shared" si="69"/>
        <v/>
      </c>
    </row>
    <row r="7797" spans="6:6" x14ac:dyDescent="0.25">
      <c r="F7797" s="85" t="str">
        <f t="shared" si="69"/>
        <v/>
      </c>
    </row>
    <row r="7798" spans="6:6" x14ac:dyDescent="0.25">
      <c r="F7798" s="85" t="str">
        <f t="shared" si="69"/>
        <v/>
      </c>
    </row>
    <row r="7799" spans="6:6" x14ac:dyDescent="0.25">
      <c r="F7799" s="85" t="str">
        <f t="shared" si="69"/>
        <v/>
      </c>
    </row>
    <row r="7800" spans="6:6" x14ac:dyDescent="0.25">
      <c r="F7800" s="85" t="str">
        <f t="shared" si="69"/>
        <v/>
      </c>
    </row>
    <row r="7801" spans="6:6" x14ac:dyDescent="0.25">
      <c r="F7801" s="85" t="str">
        <f t="shared" si="69"/>
        <v/>
      </c>
    </row>
    <row r="7802" spans="6:6" x14ac:dyDescent="0.25">
      <c r="F7802" s="85" t="str">
        <f t="shared" si="69"/>
        <v/>
      </c>
    </row>
    <row r="7803" spans="6:6" x14ac:dyDescent="0.25">
      <c r="F7803" s="85" t="str">
        <f t="shared" si="69"/>
        <v/>
      </c>
    </row>
    <row r="7804" spans="6:6" x14ac:dyDescent="0.25">
      <c r="F7804" s="85" t="str">
        <f t="shared" si="69"/>
        <v/>
      </c>
    </row>
    <row r="7805" spans="6:6" x14ac:dyDescent="0.25">
      <c r="F7805" s="85" t="str">
        <f t="shared" si="69"/>
        <v/>
      </c>
    </row>
    <row r="7806" spans="6:6" x14ac:dyDescent="0.25">
      <c r="F7806" s="85" t="str">
        <f t="shared" si="69"/>
        <v/>
      </c>
    </row>
    <row r="7807" spans="6:6" x14ac:dyDescent="0.25">
      <c r="F7807" s="85" t="str">
        <f t="shared" si="69"/>
        <v/>
      </c>
    </row>
    <row r="7808" spans="6:6" x14ac:dyDescent="0.25">
      <c r="F7808" s="85" t="str">
        <f t="shared" si="69"/>
        <v/>
      </c>
    </row>
    <row r="7809" spans="6:6" x14ac:dyDescent="0.25">
      <c r="F7809" s="85" t="str">
        <f t="shared" si="69"/>
        <v/>
      </c>
    </row>
    <row r="7810" spans="6:6" x14ac:dyDescent="0.25">
      <c r="F7810" s="85" t="str">
        <f t="shared" si="69"/>
        <v/>
      </c>
    </row>
    <row r="7811" spans="6:6" x14ac:dyDescent="0.25">
      <c r="F7811" s="85" t="str">
        <f t="shared" ref="F7811:F7874" si="70">IF($A7811="","",CONCATENATE($A7811,"_",$B7811,"_",$C7811))</f>
        <v/>
      </c>
    </row>
    <row r="7812" spans="6:6" x14ac:dyDescent="0.25">
      <c r="F7812" s="85" t="str">
        <f t="shared" si="70"/>
        <v/>
      </c>
    </row>
    <row r="7813" spans="6:6" x14ac:dyDescent="0.25">
      <c r="F7813" s="85" t="str">
        <f t="shared" si="70"/>
        <v/>
      </c>
    </row>
    <row r="7814" spans="6:6" x14ac:dyDescent="0.25">
      <c r="F7814" s="85" t="str">
        <f t="shared" si="70"/>
        <v/>
      </c>
    </row>
    <row r="7815" spans="6:6" x14ac:dyDescent="0.25">
      <c r="F7815" s="85" t="str">
        <f t="shared" si="70"/>
        <v/>
      </c>
    </row>
    <row r="7816" spans="6:6" x14ac:dyDescent="0.25">
      <c r="F7816" s="85" t="str">
        <f t="shared" si="70"/>
        <v/>
      </c>
    </row>
    <row r="7817" spans="6:6" x14ac:dyDescent="0.25">
      <c r="F7817" s="85" t="str">
        <f t="shared" si="70"/>
        <v/>
      </c>
    </row>
    <row r="7818" spans="6:6" x14ac:dyDescent="0.25">
      <c r="F7818" s="85" t="str">
        <f t="shared" si="70"/>
        <v/>
      </c>
    </row>
    <row r="7819" spans="6:6" x14ac:dyDescent="0.25">
      <c r="F7819" s="85" t="str">
        <f t="shared" si="70"/>
        <v/>
      </c>
    </row>
    <row r="7820" spans="6:6" x14ac:dyDescent="0.25">
      <c r="F7820" s="85" t="str">
        <f t="shared" si="70"/>
        <v/>
      </c>
    </row>
    <row r="7821" spans="6:6" x14ac:dyDescent="0.25">
      <c r="F7821" s="85" t="str">
        <f t="shared" si="70"/>
        <v/>
      </c>
    </row>
    <row r="7822" spans="6:6" x14ac:dyDescent="0.25">
      <c r="F7822" s="85" t="str">
        <f t="shared" si="70"/>
        <v/>
      </c>
    </row>
    <row r="7823" spans="6:6" x14ac:dyDescent="0.25">
      <c r="F7823" s="85" t="str">
        <f t="shared" si="70"/>
        <v/>
      </c>
    </row>
    <row r="7824" spans="6:6" x14ac:dyDescent="0.25">
      <c r="F7824" s="85" t="str">
        <f t="shared" si="70"/>
        <v/>
      </c>
    </row>
    <row r="7825" spans="6:6" x14ac:dyDescent="0.25">
      <c r="F7825" s="85" t="str">
        <f t="shared" si="70"/>
        <v/>
      </c>
    </row>
    <row r="7826" spans="6:6" x14ac:dyDescent="0.25">
      <c r="F7826" s="85" t="str">
        <f t="shared" si="70"/>
        <v/>
      </c>
    </row>
    <row r="7827" spans="6:6" x14ac:dyDescent="0.25">
      <c r="F7827" s="85" t="str">
        <f t="shared" si="70"/>
        <v/>
      </c>
    </row>
    <row r="7828" spans="6:6" x14ac:dyDescent="0.25">
      <c r="F7828" s="85" t="str">
        <f t="shared" si="70"/>
        <v/>
      </c>
    </row>
    <row r="7829" spans="6:6" x14ac:dyDescent="0.25">
      <c r="F7829" s="85" t="str">
        <f t="shared" si="70"/>
        <v/>
      </c>
    </row>
    <row r="7830" spans="6:6" x14ac:dyDescent="0.25">
      <c r="F7830" s="85" t="str">
        <f t="shared" si="70"/>
        <v/>
      </c>
    </row>
    <row r="7831" spans="6:6" x14ac:dyDescent="0.25">
      <c r="F7831" s="85" t="str">
        <f t="shared" si="70"/>
        <v/>
      </c>
    </row>
    <row r="7832" spans="6:6" x14ac:dyDescent="0.25">
      <c r="F7832" s="85" t="str">
        <f t="shared" si="70"/>
        <v/>
      </c>
    </row>
    <row r="7833" spans="6:6" x14ac:dyDescent="0.25">
      <c r="F7833" s="85" t="str">
        <f t="shared" si="70"/>
        <v/>
      </c>
    </row>
    <row r="7834" spans="6:6" x14ac:dyDescent="0.25">
      <c r="F7834" s="85" t="str">
        <f t="shared" si="70"/>
        <v/>
      </c>
    </row>
    <row r="7835" spans="6:6" x14ac:dyDescent="0.25">
      <c r="F7835" s="85" t="str">
        <f t="shared" si="70"/>
        <v/>
      </c>
    </row>
    <row r="7836" spans="6:6" x14ac:dyDescent="0.25">
      <c r="F7836" s="85" t="str">
        <f t="shared" si="70"/>
        <v/>
      </c>
    </row>
    <row r="7837" spans="6:6" x14ac:dyDescent="0.25">
      <c r="F7837" s="85" t="str">
        <f t="shared" si="70"/>
        <v/>
      </c>
    </row>
    <row r="7838" spans="6:6" x14ac:dyDescent="0.25">
      <c r="F7838" s="85" t="str">
        <f t="shared" si="70"/>
        <v/>
      </c>
    </row>
    <row r="7839" spans="6:6" x14ac:dyDescent="0.25">
      <c r="F7839" s="85" t="str">
        <f t="shared" si="70"/>
        <v/>
      </c>
    </row>
    <row r="7840" spans="6:6" x14ac:dyDescent="0.25">
      <c r="F7840" s="85" t="str">
        <f t="shared" si="70"/>
        <v/>
      </c>
    </row>
    <row r="7841" spans="6:6" x14ac:dyDescent="0.25">
      <c r="F7841" s="85" t="str">
        <f t="shared" si="70"/>
        <v/>
      </c>
    </row>
    <row r="7842" spans="6:6" x14ac:dyDescent="0.25">
      <c r="F7842" s="85" t="str">
        <f t="shared" si="70"/>
        <v/>
      </c>
    </row>
    <row r="7843" spans="6:6" x14ac:dyDescent="0.25">
      <c r="F7843" s="85" t="str">
        <f t="shared" si="70"/>
        <v/>
      </c>
    </row>
    <row r="7844" spans="6:6" x14ac:dyDescent="0.25">
      <c r="F7844" s="85" t="str">
        <f t="shared" si="70"/>
        <v/>
      </c>
    </row>
    <row r="7845" spans="6:6" x14ac:dyDescent="0.25">
      <c r="F7845" s="85" t="str">
        <f t="shared" si="70"/>
        <v/>
      </c>
    </row>
    <row r="7846" spans="6:6" x14ac:dyDescent="0.25">
      <c r="F7846" s="85" t="str">
        <f t="shared" si="70"/>
        <v/>
      </c>
    </row>
    <row r="7847" spans="6:6" x14ac:dyDescent="0.25">
      <c r="F7847" s="85" t="str">
        <f t="shared" si="70"/>
        <v/>
      </c>
    </row>
    <row r="7848" spans="6:6" x14ac:dyDescent="0.25">
      <c r="F7848" s="85" t="str">
        <f t="shared" si="70"/>
        <v/>
      </c>
    </row>
    <row r="7849" spans="6:6" x14ac:dyDescent="0.25">
      <c r="F7849" s="85" t="str">
        <f t="shared" si="70"/>
        <v/>
      </c>
    </row>
    <row r="7850" spans="6:6" x14ac:dyDescent="0.25">
      <c r="F7850" s="85" t="str">
        <f t="shared" si="70"/>
        <v/>
      </c>
    </row>
    <row r="7851" spans="6:6" x14ac:dyDescent="0.25">
      <c r="F7851" s="85" t="str">
        <f t="shared" si="70"/>
        <v/>
      </c>
    </row>
    <row r="7852" spans="6:6" x14ac:dyDescent="0.25">
      <c r="F7852" s="85" t="str">
        <f t="shared" si="70"/>
        <v/>
      </c>
    </row>
    <row r="7853" spans="6:6" x14ac:dyDescent="0.25">
      <c r="F7853" s="85" t="str">
        <f t="shared" si="70"/>
        <v/>
      </c>
    </row>
    <row r="7854" spans="6:6" x14ac:dyDescent="0.25">
      <c r="F7854" s="85" t="str">
        <f t="shared" si="70"/>
        <v/>
      </c>
    </row>
    <row r="7855" spans="6:6" x14ac:dyDescent="0.25">
      <c r="F7855" s="85" t="str">
        <f t="shared" si="70"/>
        <v/>
      </c>
    </row>
    <row r="7856" spans="6:6" x14ac:dyDescent="0.25">
      <c r="F7856" s="85" t="str">
        <f t="shared" si="70"/>
        <v/>
      </c>
    </row>
    <row r="7857" spans="6:6" x14ac:dyDescent="0.25">
      <c r="F7857" s="85" t="str">
        <f t="shared" si="70"/>
        <v/>
      </c>
    </row>
    <row r="7858" spans="6:6" x14ac:dyDescent="0.25">
      <c r="F7858" s="85" t="str">
        <f t="shared" si="70"/>
        <v/>
      </c>
    </row>
    <row r="7859" spans="6:6" x14ac:dyDescent="0.25">
      <c r="F7859" s="85" t="str">
        <f t="shared" si="70"/>
        <v/>
      </c>
    </row>
    <row r="7860" spans="6:6" x14ac:dyDescent="0.25">
      <c r="F7860" s="85" t="str">
        <f t="shared" si="70"/>
        <v/>
      </c>
    </row>
    <row r="7861" spans="6:6" x14ac:dyDescent="0.25">
      <c r="F7861" s="85" t="str">
        <f t="shared" si="70"/>
        <v/>
      </c>
    </row>
    <row r="7862" spans="6:6" x14ac:dyDescent="0.25">
      <c r="F7862" s="85" t="str">
        <f t="shared" si="70"/>
        <v/>
      </c>
    </row>
    <row r="7863" spans="6:6" x14ac:dyDescent="0.25">
      <c r="F7863" s="85" t="str">
        <f t="shared" si="70"/>
        <v/>
      </c>
    </row>
    <row r="7864" spans="6:6" x14ac:dyDescent="0.25">
      <c r="F7864" s="85" t="str">
        <f t="shared" si="70"/>
        <v/>
      </c>
    </row>
    <row r="7865" spans="6:6" x14ac:dyDescent="0.25">
      <c r="F7865" s="85" t="str">
        <f t="shared" si="70"/>
        <v/>
      </c>
    </row>
    <row r="7866" spans="6:6" x14ac:dyDescent="0.25">
      <c r="F7866" s="85" t="str">
        <f t="shared" si="70"/>
        <v/>
      </c>
    </row>
    <row r="7867" spans="6:6" x14ac:dyDescent="0.25">
      <c r="F7867" s="85" t="str">
        <f t="shared" si="70"/>
        <v/>
      </c>
    </row>
    <row r="7868" spans="6:6" x14ac:dyDescent="0.25">
      <c r="F7868" s="85" t="str">
        <f t="shared" si="70"/>
        <v/>
      </c>
    </row>
    <row r="7869" spans="6:6" x14ac:dyDescent="0.25">
      <c r="F7869" s="85" t="str">
        <f t="shared" si="70"/>
        <v/>
      </c>
    </row>
    <row r="7870" spans="6:6" x14ac:dyDescent="0.25">
      <c r="F7870" s="85" t="str">
        <f t="shared" si="70"/>
        <v/>
      </c>
    </row>
    <row r="7871" spans="6:6" x14ac:dyDescent="0.25">
      <c r="F7871" s="85" t="str">
        <f t="shared" si="70"/>
        <v/>
      </c>
    </row>
    <row r="7872" spans="6:6" x14ac:dyDescent="0.25">
      <c r="F7872" s="85" t="str">
        <f t="shared" si="70"/>
        <v/>
      </c>
    </row>
    <row r="7873" spans="6:6" x14ac:dyDescent="0.25">
      <c r="F7873" s="85" t="str">
        <f t="shared" si="70"/>
        <v/>
      </c>
    </row>
    <row r="7874" spans="6:6" x14ac:dyDescent="0.25">
      <c r="F7874" s="85" t="str">
        <f t="shared" si="70"/>
        <v/>
      </c>
    </row>
    <row r="7875" spans="6:6" x14ac:dyDescent="0.25">
      <c r="F7875" s="85" t="str">
        <f t="shared" ref="F7875:F7938" si="71">IF($A7875="","",CONCATENATE($A7875,"_",$B7875,"_",$C7875))</f>
        <v/>
      </c>
    </row>
    <row r="7876" spans="6:6" x14ac:dyDescent="0.25">
      <c r="F7876" s="85" t="str">
        <f t="shared" si="71"/>
        <v/>
      </c>
    </row>
    <row r="7877" spans="6:6" x14ac:dyDescent="0.25">
      <c r="F7877" s="85" t="str">
        <f t="shared" si="71"/>
        <v/>
      </c>
    </row>
    <row r="7878" spans="6:6" x14ac:dyDescent="0.25">
      <c r="F7878" s="85" t="str">
        <f t="shared" si="71"/>
        <v/>
      </c>
    </row>
    <row r="7879" spans="6:6" x14ac:dyDescent="0.25">
      <c r="F7879" s="85" t="str">
        <f t="shared" si="71"/>
        <v/>
      </c>
    </row>
    <row r="7880" spans="6:6" x14ac:dyDescent="0.25">
      <c r="F7880" s="85" t="str">
        <f t="shared" si="71"/>
        <v/>
      </c>
    </row>
    <row r="7881" spans="6:6" x14ac:dyDescent="0.25">
      <c r="F7881" s="85" t="str">
        <f t="shared" si="71"/>
        <v/>
      </c>
    </row>
    <row r="7882" spans="6:6" x14ac:dyDescent="0.25">
      <c r="F7882" s="85" t="str">
        <f t="shared" si="71"/>
        <v/>
      </c>
    </row>
    <row r="7883" spans="6:6" x14ac:dyDescent="0.25">
      <c r="F7883" s="85" t="str">
        <f t="shared" si="71"/>
        <v/>
      </c>
    </row>
    <row r="7884" spans="6:6" x14ac:dyDescent="0.25">
      <c r="F7884" s="85" t="str">
        <f t="shared" si="71"/>
        <v/>
      </c>
    </row>
    <row r="7885" spans="6:6" x14ac:dyDescent="0.25">
      <c r="F7885" s="85" t="str">
        <f t="shared" si="71"/>
        <v/>
      </c>
    </row>
    <row r="7886" spans="6:6" x14ac:dyDescent="0.25">
      <c r="F7886" s="85" t="str">
        <f t="shared" si="71"/>
        <v/>
      </c>
    </row>
    <row r="7887" spans="6:6" x14ac:dyDescent="0.25">
      <c r="F7887" s="85" t="str">
        <f t="shared" si="71"/>
        <v/>
      </c>
    </row>
    <row r="7888" spans="6:6" x14ac:dyDescent="0.25">
      <c r="F7888" s="85" t="str">
        <f t="shared" si="71"/>
        <v/>
      </c>
    </row>
    <row r="7889" spans="6:6" x14ac:dyDescent="0.25">
      <c r="F7889" s="85" t="str">
        <f t="shared" si="71"/>
        <v/>
      </c>
    </row>
    <row r="7890" spans="6:6" x14ac:dyDescent="0.25">
      <c r="F7890" s="85" t="str">
        <f t="shared" si="71"/>
        <v/>
      </c>
    </row>
    <row r="7891" spans="6:6" x14ac:dyDescent="0.25">
      <c r="F7891" s="85" t="str">
        <f t="shared" si="71"/>
        <v/>
      </c>
    </row>
    <row r="7892" spans="6:6" x14ac:dyDescent="0.25">
      <c r="F7892" s="85" t="str">
        <f t="shared" si="71"/>
        <v/>
      </c>
    </row>
    <row r="7893" spans="6:6" x14ac:dyDescent="0.25">
      <c r="F7893" s="85" t="str">
        <f t="shared" si="71"/>
        <v/>
      </c>
    </row>
    <row r="7894" spans="6:6" x14ac:dyDescent="0.25">
      <c r="F7894" s="85" t="str">
        <f t="shared" si="71"/>
        <v/>
      </c>
    </row>
    <row r="7895" spans="6:6" x14ac:dyDescent="0.25">
      <c r="F7895" s="85" t="str">
        <f t="shared" si="71"/>
        <v/>
      </c>
    </row>
    <row r="7896" spans="6:6" x14ac:dyDescent="0.25">
      <c r="F7896" s="85" t="str">
        <f t="shared" si="71"/>
        <v/>
      </c>
    </row>
    <row r="7897" spans="6:6" x14ac:dyDescent="0.25">
      <c r="F7897" s="85" t="str">
        <f t="shared" si="71"/>
        <v/>
      </c>
    </row>
    <row r="7898" spans="6:6" x14ac:dyDescent="0.25">
      <c r="F7898" s="85" t="str">
        <f t="shared" si="71"/>
        <v/>
      </c>
    </row>
    <row r="7899" spans="6:6" x14ac:dyDescent="0.25">
      <c r="F7899" s="85" t="str">
        <f t="shared" si="71"/>
        <v/>
      </c>
    </row>
    <row r="7900" spans="6:6" x14ac:dyDescent="0.25">
      <c r="F7900" s="85" t="str">
        <f t="shared" si="71"/>
        <v/>
      </c>
    </row>
    <row r="7901" spans="6:6" x14ac:dyDescent="0.25">
      <c r="F7901" s="85" t="str">
        <f t="shared" si="71"/>
        <v/>
      </c>
    </row>
    <row r="7902" spans="6:6" x14ac:dyDescent="0.25">
      <c r="F7902" s="85" t="str">
        <f t="shared" si="71"/>
        <v/>
      </c>
    </row>
    <row r="7903" spans="6:6" x14ac:dyDescent="0.25">
      <c r="F7903" s="85" t="str">
        <f t="shared" si="71"/>
        <v/>
      </c>
    </row>
    <row r="7904" spans="6:6" x14ac:dyDescent="0.25">
      <c r="F7904" s="85" t="str">
        <f t="shared" si="71"/>
        <v/>
      </c>
    </row>
    <row r="7905" spans="6:6" x14ac:dyDescent="0.25">
      <c r="F7905" s="85" t="str">
        <f t="shared" si="71"/>
        <v/>
      </c>
    </row>
    <row r="7906" spans="6:6" x14ac:dyDescent="0.25">
      <c r="F7906" s="85" t="str">
        <f t="shared" si="71"/>
        <v/>
      </c>
    </row>
    <row r="7907" spans="6:6" x14ac:dyDescent="0.25">
      <c r="F7907" s="85" t="str">
        <f t="shared" si="71"/>
        <v/>
      </c>
    </row>
    <row r="7908" spans="6:6" x14ac:dyDescent="0.25">
      <c r="F7908" s="85" t="str">
        <f t="shared" si="71"/>
        <v/>
      </c>
    </row>
    <row r="7909" spans="6:6" x14ac:dyDescent="0.25">
      <c r="F7909" s="85" t="str">
        <f t="shared" si="71"/>
        <v/>
      </c>
    </row>
    <row r="7910" spans="6:6" x14ac:dyDescent="0.25">
      <c r="F7910" s="85" t="str">
        <f t="shared" si="71"/>
        <v/>
      </c>
    </row>
    <row r="7911" spans="6:6" x14ac:dyDescent="0.25">
      <c r="F7911" s="85" t="str">
        <f t="shared" si="71"/>
        <v/>
      </c>
    </row>
    <row r="7912" spans="6:6" x14ac:dyDescent="0.25">
      <c r="F7912" s="85" t="str">
        <f t="shared" si="71"/>
        <v/>
      </c>
    </row>
    <row r="7913" spans="6:6" x14ac:dyDescent="0.25">
      <c r="F7913" s="85" t="str">
        <f t="shared" si="71"/>
        <v/>
      </c>
    </row>
    <row r="7914" spans="6:6" x14ac:dyDescent="0.25">
      <c r="F7914" s="85" t="str">
        <f t="shared" si="71"/>
        <v/>
      </c>
    </row>
    <row r="7915" spans="6:6" x14ac:dyDescent="0.25">
      <c r="F7915" s="85" t="str">
        <f t="shared" si="71"/>
        <v/>
      </c>
    </row>
    <row r="7916" spans="6:6" x14ac:dyDescent="0.25">
      <c r="F7916" s="85" t="str">
        <f t="shared" si="71"/>
        <v/>
      </c>
    </row>
    <row r="7917" spans="6:6" x14ac:dyDescent="0.25">
      <c r="F7917" s="85" t="str">
        <f t="shared" si="71"/>
        <v/>
      </c>
    </row>
    <row r="7918" spans="6:6" x14ac:dyDescent="0.25">
      <c r="F7918" s="85" t="str">
        <f t="shared" si="71"/>
        <v/>
      </c>
    </row>
    <row r="7919" spans="6:6" x14ac:dyDescent="0.25">
      <c r="F7919" s="85" t="str">
        <f t="shared" si="71"/>
        <v/>
      </c>
    </row>
    <row r="7920" spans="6:6" x14ac:dyDescent="0.25">
      <c r="F7920" s="85" t="str">
        <f t="shared" si="71"/>
        <v/>
      </c>
    </row>
    <row r="7921" spans="6:6" x14ac:dyDescent="0.25">
      <c r="F7921" s="85" t="str">
        <f t="shared" si="71"/>
        <v/>
      </c>
    </row>
    <row r="7922" spans="6:6" x14ac:dyDescent="0.25">
      <c r="F7922" s="85" t="str">
        <f t="shared" si="71"/>
        <v/>
      </c>
    </row>
    <row r="7923" spans="6:6" x14ac:dyDescent="0.25">
      <c r="F7923" s="85" t="str">
        <f t="shared" si="71"/>
        <v/>
      </c>
    </row>
    <row r="7924" spans="6:6" x14ac:dyDescent="0.25">
      <c r="F7924" s="85" t="str">
        <f t="shared" si="71"/>
        <v/>
      </c>
    </row>
    <row r="7925" spans="6:6" x14ac:dyDescent="0.25">
      <c r="F7925" s="85" t="str">
        <f t="shared" si="71"/>
        <v/>
      </c>
    </row>
    <row r="7926" spans="6:6" x14ac:dyDescent="0.25">
      <c r="F7926" s="85" t="str">
        <f t="shared" si="71"/>
        <v/>
      </c>
    </row>
    <row r="7927" spans="6:6" x14ac:dyDescent="0.25">
      <c r="F7927" s="85" t="str">
        <f t="shared" si="71"/>
        <v/>
      </c>
    </row>
    <row r="7928" spans="6:6" x14ac:dyDescent="0.25">
      <c r="F7928" s="85" t="str">
        <f t="shared" si="71"/>
        <v/>
      </c>
    </row>
    <row r="7929" spans="6:6" x14ac:dyDescent="0.25">
      <c r="F7929" s="85" t="str">
        <f t="shared" si="71"/>
        <v/>
      </c>
    </row>
    <row r="7930" spans="6:6" x14ac:dyDescent="0.25">
      <c r="F7930" s="85" t="str">
        <f t="shared" si="71"/>
        <v/>
      </c>
    </row>
    <row r="7931" spans="6:6" x14ac:dyDescent="0.25">
      <c r="F7931" s="85" t="str">
        <f t="shared" si="71"/>
        <v/>
      </c>
    </row>
    <row r="7932" spans="6:6" x14ac:dyDescent="0.25">
      <c r="F7932" s="85" t="str">
        <f t="shared" si="71"/>
        <v/>
      </c>
    </row>
    <row r="7933" spans="6:6" x14ac:dyDescent="0.25">
      <c r="F7933" s="85" t="str">
        <f t="shared" si="71"/>
        <v/>
      </c>
    </row>
    <row r="7934" spans="6:6" x14ac:dyDescent="0.25">
      <c r="F7934" s="85" t="str">
        <f t="shared" si="71"/>
        <v/>
      </c>
    </row>
    <row r="7935" spans="6:6" x14ac:dyDescent="0.25">
      <c r="F7935" s="85" t="str">
        <f t="shared" si="71"/>
        <v/>
      </c>
    </row>
    <row r="7936" spans="6:6" x14ac:dyDescent="0.25">
      <c r="F7936" s="85" t="str">
        <f t="shared" si="71"/>
        <v/>
      </c>
    </row>
    <row r="7937" spans="6:6" x14ac:dyDescent="0.25">
      <c r="F7937" s="85" t="str">
        <f t="shared" si="71"/>
        <v/>
      </c>
    </row>
    <row r="7938" spans="6:6" x14ac:dyDescent="0.25">
      <c r="F7938" s="85" t="str">
        <f t="shared" si="71"/>
        <v/>
      </c>
    </row>
    <row r="7939" spans="6:6" x14ac:dyDescent="0.25">
      <c r="F7939" s="85" t="str">
        <f t="shared" ref="F7939:F8002" si="72">IF($A7939="","",CONCATENATE($A7939,"_",$B7939,"_",$C7939))</f>
        <v/>
      </c>
    </row>
    <row r="7940" spans="6:6" x14ac:dyDescent="0.25">
      <c r="F7940" s="85" t="str">
        <f t="shared" si="72"/>
        <v/>
      </c>
    </row>
    <row r="7941" spans="6:6" x14ac:dyDescent="0.25">
      <c r="F7941" s="85" t="str">
        <f t="shared" si="72"/>
        <v/>
      </c>
    </row>
    <row r="7942" spans="6:6" x14ac:dyDescent="0.25">
      <c r="F7942" s="85" t="str">
        <f t="shared" si="72"/>
        <v/>
      </c>
    </row>
    <row r="7943" spans="6:6" x14ac:dyDescent="0.25">
      <c r="F7943" s="85" t="str">
        <f t="shared" si="72"/>
        <v/>
      </c>
    </row>
    <row r="7944" spans="6:6" x14ac:dyDescent="0.25">
      <c r="F7944" s="85" t="str">
        <f t="shared" si="72"/>
        <v/>
      </c>
    </row>
    <row r="7945" spans="6:6" x14ac:dyDescent="0.25">
      <c r="F7945" s="85" t="str">
        <f t="shared" si="72"/>
        <v/>
      </c>
    </row>
    <row r="7946" spans="6:6" x14ac:dyDescent="0.25">
      <c r="F7946" s="85" t="str">
        <f t="shared" si="72"/>
        <v/>
      </c>
    </row>
    <row r="7947" spans="6:6" x14ac:dyDescent="0.25">
      <c r="F7947" s="85" t="str">
        <f t="shared" si="72"/>
        <v/>
      </c>
    </row>
    <row r="7948" spans="6:6" x14ac:dyDescent="0.25">
      <c r="F7948" s="85" t="str">
        <f t="shared" si="72"/>
        <v/>
      </c>
    </row>
    <row r="7949" spans="6:6" x14ac:dyDescent="0.25">
      <c r="F7949" s="85" t="str">
        <f t="shared" si="72"/>
        <v/>
      </c>
    </row>
    <row r="7950" spans="6:6" x14ac:dyDescent="0.25">
      <c r="F7950" s="85" t="str">
        <f t="shared" si="72"/>
        <v/>
      </c>
    </row>
    <row r="7951" spans="6:6" x14ac:dyDescent="0.25">
      <c r="F7951" s="85" t="str">
        <f t="shared" si="72"/>
        <v/>
      </c>
    </row>
    <row r="7952" spans="6:6" x14ac:dyDescent="0.25">
      <c r="F7952" s="85" t="str">
        <f t="shared" si="72"/>
        <v/>
      </c>
    </row>
    <row r="7953" spans="6:6" x14ac:dyDescent="0.25">
      <c r="F7953" s="85" t="str">
        <f t="shared" si="72"/>
        <v/>
      </c>
    </row>
    <row r="7954" spans="6:6" x14ac:dyDescent="0.25">
      <c r="F7954" s="85" t="str">
        <f t="shared" si="72"/>
        <v/>
      </c>
    </row>
    <row r="7955" spans="6:6" x14ac:dyDescent="0.25">
      <c r="F7955" s="85" t="str">
        <f t="shared" si="72"/>
        <v/>
      </c>
    </row>
    <row r="7956" spans="6:6" x14ac:dyDescent="0.25">
      <c r="F7956" s="85" t="str">
        <f t="shared" si="72"/>
        <v/>
      </c>
    </row>
    <row r="7957" spans="6:6" x14ac:dyDescent="0.25">
      <c r="F7957" s="85" t="str">
        <f t="shared" si="72"/>
        <v/>
      </c>
    </row>
    <row r="7958" spans="6:6" x14ac:dyDescent="0.25">
      <c r="F7958" s="85" t="str">
        <f t="shared" si="72"/>
        <v/>
      </c>
    </row>
    <row r="7959" spans="6:6" x14ac:dyDescent="0.25">
      <c r="F7959" s="85" t="str">
        <f t="shared" si="72"/>
        <v/>
      </c>
    </row>
    <row r="7960" spans="6:6" x14ac:dyDescent="0.25">
      <c r="F7960" s="85" t="str">
        <f t="shared" si="72"/>
        <v/>
      </c>
    </row>
    <row r="7961" spans="6:6" x14ac:dyDescent="0.25">
      <c r="F7961" s="85" t="str">
        <f t="shared" si="72"/>
        <v/>
      </c>
    </row>
    <row r="7962" spans="6:6" x14ac:dyDescent="0.25">
      <c r="F7962" s="85" t="str">
        <f t="shared" si="72"/>
        <v/>
      </c>
    </row>
    <row r="7963" spans="6:6" x14ac:dyDescent="0.25">
      <c r="F7963" s="85" t="str">
        <f t="shared" si="72"/>
        <v/>
      </c>
    </row>
    <row r="7964" spans="6:6" x14ac:dyDescent="0.25">
      <c r="F7964" s="85" t="str">
        <f t="shared" si="72"/>
        <v/>
      </c>
    </row>
    <row r="7965" spans="6:6" x14ac:dyDescent="0.25">
      <c r="F7965" s="85" t="str">
        <f t="shared" si="72"/>
        <v/>
      </c>
    </row>
    <row r="7966" spans="6:6" x14ac:dyDescent="0.25">
      <c r="F7966" s="85" t="str">
        <f t="shared" si="72"/>
        <v/>
      </c>
    </row>
    <row r="7967" spans="6:6" x14ac:dyDescent="0.25">
      <c r="F7967" s="85" t="str">
        <f t="shared" si="72"/>
        <v/>
      </c>
    </row>
    <row r="7968" spans="6:6" x14ac:dyDescent="0.25">
      <c r="F7968" s="85" t="str">
        <f t="shared" si="72"/>
        <v/>
      </c>
    </row>
    <row r="7969" spans="6:6" x14ac:dyDescent="0.25">
      <c r="F7969" s="85" t="str">
        <f t="shared" si="72"/>
        <v/>
      </c>
    </row>
    <row r="7970" spans="6:6" x14ac:dyDescent="0.25">
      <c r="F7970" s="85" t="str">
        <f t="shared" si="72"/>
        <v/>
      </c>
    </row>
    <row r="7971" spans="6:6" x14ac:dyDescent="0.25">
      <c r="F7971" s="85" t="str">
        <f t="shared" si="72"/>
        <v/>
      </c>
    </row>
    <row r="7972" spans="6:6" x14ac:dyDescent="0.25">
      <c r="F7972" s="85" t="str">
        <f t="shared" si="72"/>
        <v/>
      </c>
    </row>
    <row r="7973" spans="6:6" x14ac:dyDescent="0.25">
      <c r="F7973" s="85" t="str">
        <f t="shared" si="72"/>
        <v/>
      </c>
    </row>
    <row r="7974" spans="6:6" x14ac:dyDescent="0.25">
      <c r="F7974" s="85" t="str">
        <f t="shared" si="72"/>
        <v/>
      </c>
    </row>
    <row r="7975" spans="6:6" x14ac:dyDescent="0.25">
      <c r="F7975" s="85" t="str">
        <f t="shared" si="72"/>
        <v/>
      </c>
    </row>
    <row r="7976" spans="6:6" x14ac:dyDescent="0.25">
      <c r="F7976" s="85" t="str">
        <f t="shared" si="72"/>
        <v/>
      </c>
    </row>
    <row r="7977" spans="6:6" x14ac:dyDescent="0.25">
      <c r="F7977" s="85" t="str">
        <f t="shared" si="72"/>
        <v/>
      </c>
    </row>
    <row r="7978" spans="6:6" x14ac:dyDescent="0.25">
      <c r="F7978" s="85" t="str">
        <f t="shared" si="72"/>
        <v/>
      </c>
    </row>
    <row r="7979" spans="6:6" x14ac:dyDescent="0.25">
      <c r="F7979" s="85" t="str">
        <f t="shared" si="72"/>
        <v/>
      </c>
    </row>
    <row r="7980" spans="6:6" x14ac:dyDescent="0.25">
      <c r="F7980" s="85" t="str">
        <f t="shared" si="72"/>
        <v/>
      </c>
    </row>
    <row r="7981" spans="6:6" x14ac:dyDescent="0.25">
      <c r="F7981" s="85" t="str">
        <f t="shared" si="72"/>
        <v/>
      </c>
    </row>
    <row r="7982" spans="6:6" x14ac:dyDescent="0.25">
      <c r="F7982" s="85" t="str">
        <f t="shared" si="72"/>
        <v/>
      </c>
    </row>
    <row r="7983" spans="6:6" x14ac:dyDescent="0.25">
      <c r="F7983" s="85" t="str">
        <f t="shared" si="72"/>
        <v/>
      </c>
    </row>
    <row r="7984" spans="6:6" x14ac:dyDescent="0.25">
      <c r="F7984" s="85" t="str">
        <f t="shared" si="72"/>
        <v/>
      </c>
    </row>
    <row r="7985" spans="6:6" x14ac:dyDescent="0.25">
      <c r="F7985" s="85" t="str">
        <f t="shared" si="72"/>
        <v/>
      </c>
    </row>
    <row r="7986" spans="6:6" x14ac:dyDescent="0.25">
      <c r="F7986" s="85" t="str">
        <f t="shared" si="72"/>
        <v/>
      </c>
    </row>
    <row r="7987" spans="6:6" x14ac:dyDescent="0.25">
      <c r="F7987" s="85" t="str">
        <f t="shared" si="72"/>
        <v/>
      </c>
    </row>
    <row r="7988" spans="6:6" x14ac:dyDescent="0.25">
      <c r="F7988" s="85" t="str">
        <f t="shared" si="72"/>
        <v/>
      </c>
    </row>
    <row r="7989" spans="6:6" x14ac:dyDescent="0.25">
      <c r="F7989" s="85" t="str">
        <f t="shared" si="72"/>
        <v/>
      </c>
    </row>
    <row r="7990" spans="6:6" x14ac:dyDescent="0.25">
      <c r="F7990" s="85" t="str">
        <f t="shared" si="72"/>
        <v/>
      </c>
    </row>
    <row r="7991" spans="6:6" x14ac:dyDescent="0.25">
      <c r="F7991" s="85" t="str">
        <f t="shared" si="72"/>
        <v/>
      </c>
    </row>
    <row r="7992" spans="6:6" x14ac:dyDescent="0.25">
      <c r="F7992" s="85" t="str">
        <f t="shared" si="72"/>
        <v/>
      </c>
    </row>
    <row r="7993" spans="6:6" x14ac:dyDescent="0.25">
      <c r="F7993" s="85" t="str">
        <f t="shared" si="72"/>
        <v/>
      </c>
    </row>
    <row r="7994" spans="6:6" x14ac:dyDescent="0.25">
      <c r="F7994" s="85" t="str">
        <f t="shared" si="72"/>
        <v/>
      </c>
    </row>
    <row r="7995" spans="6:6" x14ac:dyDescent="0.25">
      <c r="F7995" s="85" t="str">
        <f t="shared" si="72"/>
        <v/>
      </c>
    </row>
    <row r="7996" spans="6:6" x14ac:dyDescent="0.25">
      <c r="F7996" s="85" t="str">
        <f t="shared" si="72"/>
        <v/>
      </c>
    </row>
    <row r="7997" spans="6:6" x14ac:dyDescent="0.25">
      <c r="F7997" s="85" t="str">
        <f t="shared" si="72"/>
        <v/>
      </c>
    </row>
    <row r="7998" spans="6:6" x14ac:dyDescent="0.25">
      <c r="F7998" s="85" t="str">
        <f t="shared" si="72"/>
        <v/>
      </c>
    </row>
    <row r="7999" spans="6:6" x14ac:dyDescent="0.25">
      <c r="F7999" s="85" t="str">
        <f t="shared" si="72"/>
        <v/>
      </c>
    </row>
    <row r="8000" spans="6:6" x14ac:dyDescent="0.25">
      <c r="F8000" s="85" t="str">
        <f t="shared" si="72"/>
        <v/>
      </c>
    </row>
    <row r="8001" spans="6:6" x14ac:dyDescent="0.25">
      <c r="F8001" s="85" t="str">
        <f t="shared" si="72"/>
        <v/>
      </c>
    </row>
    <row r="8002" spans="6:6" x14ac:dyDescent="0.25">
      <c r="F8002" s="85" t="str">
        <f t="shared" si="72"/>
        <v/>
      </c>
    </row>
    <row r="8003" spans="6:6" x14ac:dyDescent="0.25">
      <c r="F8003" s="85" t="str">
        <f t="shared" ref="F8003:F8066" si="73">IF($A8003="","",CONCATENATE($A8003,"_",$B8003,"_",$C8003))</f>
        <v/>
      </c>
    </row>
    <row r="8004" spans="6:6" x14ac:dyDescent="0.25">
      <c r="F8004" s="85" t="str">
        <f t="shared" si="73"/>
        <v/>
      </c>
    </row>
    <row r="8005" spans="6:6" x14ac:dyDescent="0.25">
      <c r="F8005" s="85" t="str">
        <f t="shared" si="73"/>
        <v/>
      </c>
    </row>
    <row r="8006" spans="6:6" x14ac:dyDescent="0.25">
      <c r="F8006" s="85" t="str">
        <f t="shared" si="73"/>
        <v/>
      </c>
    </row>
    <row r="8007" spans="6:6" x14ac:dyDescent="0.25">
      <c r="F8007" s="85" t="str">
        <f t="shared" si="73"/>
        <v/>
      </c>
    </row>
    <row r="8008" spans="6:6" x14ac:dyDescent="0.25">
      <c r="F8008" s="85" t="str">
        <f t="shared" si="73"/>
        <v/>
      </c>
    </row>
    <row r="8009" spans="6:6" x14ac:dyDescent="0.25">
      <c r="F8009" s="85" t="str">
        <f t="shared" si="73"/>
        <v/>
      </c>
    </row>
    <row r="8010" spans="6:6" x14ac:dyDescent="0.25">
      <c r="F8010" s="85" t="str">
        <f t="shared" si="73"/>
        <v/>
      </c>
    </row>
    <row r="8011" spans="6:6" x14ac:dyDescent="0.25">
      <c r="F8011" s="85" t="str">
        <f t="shared" si="73"/>
        <v/>
      </c>
    </row>
    <row r="8012" spans="6:6" x14ac:dyDescent="0.25">
      <c r="F8012" s="85" t="str">
        <f t="shared" si="73"/>
        <v/>
      </c>
    </row>
    <row r="8013" spans="6:6" x14ac:dyDescent="0.25">
      <c r="F8013" s="85" t="str">
        <f t="shared" si="73"/>
        <v/>
      </c>
    </row>
    <row r="8014" spans="6:6" x14ac:dyDescent="0.25">
      <c r="F8014" s="85" t="str">
        <f t="shared" si="73"/>
        <v/>
      </c>
    </row>
    <row r="8015" spans="6:6" x14ac:dyDescent="0.25">
      <c r="F8015" s="85" t="str">
        <f t="shared" si="73"/>
        <v/>
      </c>
    </row>
    <row r="8016" spans="6:6" x14ac:dyDescent="0.25">
      <c r="F8016" s="85" t="str">
        <f t="shared" si="73"/>
        <v/>
      </c>
    </row>
    <row r="8017" spans="6:6" x14ac:dyDescent="0.25">
      <c r="F8017" s="85" t="str">
        <f t="shared" si="73"/>
        <v/>
      </c>
    </row>
    <row r="8018" spans="6:6" x14ac:dyDescent="0.25">
      <c r="F8018" s="85" t="str">
        <f t="shared" si="73"/>
        <v/>
      </c>
    </row>
    <row r="8019" spans="6:6" x14ac:dyDescent="0.25">
      <c r="F8019" s="85" t="str">
        <f t="shared" si="73"/>
        <v/>
      </c>
    </row>
    <row r="8020" spans="6:6" x14ac:dyDescent="0.25">
      <c r="F8020" s="85" t="str">
        <f t="shared" si="73"/>
        <v/>
      </c>
    </row>
    <row r="8021" spans="6:6" x14ac:dyDescent="0.25">
      <c r="F8021" s="85" t="str">
        <f t="shared" si="73"/>
        <v/>
      </c>
    </row>
    <row r="8022" spans="6:6" x14ac:dyDescent="0.25">
      <c r="F8022" s="85" t="str">
        <f t="shared" si="73"/>
        <v/>
      </c>
    </row>
    <row r="8023" spans="6:6" x14ac:dyDescent="0.25">
      <c r="F8023" s="85" t="str">
        <f t="shared" si="73"/>
        <v/>
      </c>
    </row>
    <row r="8024" spans="6:6" x14ac:dyDescent="0.25">
      <c r="F8024" s="85" t="str">
        <f t="shared" si="73"/>
        <v/>
      </c>
    </row>
    <row r="8025" spans="6:6" x14ac:dyDescent="0.25">
      <c r="F8025" s="85" t="str">
        <f t="shared" si="73"/>
        <v/>
      </c>
    </row>
    <row r="8026" spans="6:6" x14ac:dyDescent="0.25">
      <c r="F8026" s="85" t="str">
        <f t="shared" si="73"/>
        <v/>
      </c>
    </row>
    <row r="8027" spans="6:6" x14ac:dyDescent="0.25">
      <c r="F8027" s="85" t="str">
        <f t="shared" si="73"/>
        <v/>
      </c>
    </row>
    <row r="8028" spans="6:6" x14ac:dyDescent="0.25">
      <c r="F8028" s="85" t="str">
        <f t="shared" si="73"/>
        <v/>
      </c>
    </row>
    <row r="8029" spans="6:6" x14ac:dyDescent="0.25">
      <c r="F8029" s="85" t="str">
        <f t="shared" si="73"/>
        <v/>
      </c>
    </row>
    <row r="8030" spans="6:6" x14ac:dyDescent="0.25">
      <c r="F8030" s="85" t="str">
        <f t="shared" si="73"/>
        <v/>
      </c>
    </row>
    <row r="8031" spans="6:6" x14ac:dyDescent="0.25">
      <c r="F8031" s="85" t="str">
        <f t="shared" si="73"/>
        <v/>
      </c>
    </row>
    <row r="8032" spans="6:6" x14ac:dyDescent="0.25">
      <c r="F8032" s="85" t="str">
        <f t="shared" si="73"/>
        <v/>
      </c>
    </row>
    <row r="8033" spans="6:6" x14ac:dyDescent="0.25">
      <c r="F8033" s="85" t="str">
        <f t="shared" si="73"/>
        <v/>
      </c>
    </row>
    <row r="8034" spans="6:6" x14ac:dyDescent="0.25">
      <c r="F8034" s="85" t="str">
        <f t="shared" si="73"/>
        <v/>
      </c>
    </row>
    <row r="8035" spans="6:6" x14ac:dyDescent="0.25">
      <c r="F8035" s="85" t="str">
        <f t="shared" si="73"/>
        <v/>
      </c>
    </row>
    <row r="8036" spans="6:6" x14ac:dyDescent="0.25">
      <c r="F8036" s="85" t="str">
        <f t="shared" si="73"/>
        <v/>
      </c>
    </row>
    <row r="8037" spans="6:6" x14ac:dyDescent="0.25">
      <c r="F8037" s="85" t="str">
        <f t="shared" si="73"/>
        <v/>
      </c>
    </row>
    <row r="8038" spans="6:6" x14ac:dyDescent="0.25">
      <c r="F8038" s="85" t="str">
        <f t="shared" si="73"/>
        <v/>
      </c>
    </row>
    <row r="8039" spans="6:6" x14ac:dyDescent="0.25">
      <c r="F8039" s="85" t="str">
        <f t="shared" si="73"/>
        <v/>
      </c>
    </row>
    <row r="8040" spans="6:6" x14ac:dyDescent="0.25">
      <c r="F8040" s="85" t="str">
        <f t="shared" si="73"/>
        <v/>
      </c>
    </row>
    <row r="8041" spans="6:6" x14ac:dyDescent="0.25">
      <c r="F8041" s="85" t="str">
        <f t="shared" si="73"/>
        <v/>
      </c>
    </row>
    <row r="8042" spans="6:6" x14ac:dyDescent="0.25">
      <c r="F8042" s="85" t="str">
        <f t="shared" si="73"/>
        <v/>
      </c>
    </row>
    <row r="8043" spans="6:6" x14ac:dyDescent="0.25">
      <c r="F8043" s="85" t="str">
        <f t="shared" si="73"/>
        <v/>
      </c>
    </row>
    <row r="8044" spans="6:6" x14ac:dyDescent="0.25">
      <c r="F8044" s="85" t="str">
        <f t="shared" si="73"/>
        <v/>
      </c>
    </row>
    <row r="8045" spans="6:6" x14ac:dyDescent="0.25">
      <c r="F8045" s="85" t="str">
        <f t="shared" si="73"/>
        <v/>
      </c>
    </row>
    <row r="8046" spans="6:6" x14ac:dyDescent="0.25">
      <c r="F8046" s="85" t="str">
        <f t="shared" si="73"/>
        <v/>
      </c>
    </row>
    <row r="8047" spans="6:6" x14ac:dyDescent="0.25">
      <c r="F8047" s="85" t="str">
        <f t="shared" si="73"/>
        <v/>
      </c>
    </row>
    <row r="8048" spans="6:6" x14ac:dyDescent="0.25">
      <c r="F8048" s="85" t="str">
        <f t="shared" si="73"/>
        <v/>
      </c>
    </row>
    <row r="8049" spans="6:6" x14ac:dyDescent="0.25">
      <c r="F8049" s="85" t="str">
        <f t="shared" si="73"/>
        <v/>
      </c>
    </row>
    <row r="8050" spans="6:6" x14ac:dyDescent="0.25">
      <c r="F8050" s="85" t="str">
        <f t="shared" si="73"/>
        <v/>
      </c>
    </row>
    <row r="8051" spans="6:6" x14ac:dyDescent="0.25">
      <c r="F8051" s="85" t="str">
        <f t="shared" si="73"/>
        <v/>
      </c>
    </row>
    <row r="8052" spans="6:6" x14ac:dyDescent="0.25">
      <c r="F8052" s="85" t="str">
        <f t="shared" si="73"/>
        <v/>
      </c>
    </row>
    <row r="8053" spans="6:6" x14ac:dyDescent="0.25">
      <c r="F8053" s="85" t="str">
        <f t="shared" si="73"/>
        <v/>
      </c>
    </row>
    <row r="8054" spans="6:6" x14ac:dyDescent="0.25">
      <c r="F8054" s="85" t="str">
        <f t="shared" si="73"/>
        <v/>
      </c>
    </row>
    <row r="8055" spans="6:6" x14ac:dyDescent="0.25">
      <c r="F8055" s="85" t="str">
        <f t="shared" si="73"/>
        <v/>
      </c>
    </row>
    <row r="8056" spans="6:6" x14ac:dyDescent="0.25">
      <c r="F8056" s="85" t="str">
        <f t="shared" si="73"/>
        <v/>
      </c>
    </row>
    <row r="8057" spans="6:6" x14ac:dyDescent="0.25">
      <c r="F8057" s="85" t="str">
        <f t="shared" si="73"/>
        <v/>
      </c>
    </row>
    <row r="8058" spans="6:6" x14ac:dyDescent="0.25">
      <c r="F8058" s="85" t="str">
        <f t="shared" si="73"/>
        <v/>
      </c>
    </row>
    <row r="8059" spans="6:6" x14ac:dyDescent="0.25">
      <c r="F8059" s="85" t="str">
        <f t="shared" si="73"/>
        <v/>
      </c>
    </row>
    <row r="8060" spans="6:6" x14ac:dyDescent="0.25">
      <c r="F8060" s="85" t="str">
        <f t="shared" si="73"/>
        <v/>
      </c>
    </row>
    <row r="8061" spans="6:6" x14ac:dyDescent="0.25">
      <c r="F8061" s="85" t="str">
        <f t="shared" si="73"/>
        <v/>
      </c>
    </row>
    <row r="8062" spans="6:6" x14ac:dyDescent="0.25">
      <c r="F8062" s="85" t="str">
        <f t="shared" si="73"/>
        <v/>
      </c>
    </row>
    <row r="8063" spans="6:6" x14ac:dyDescent="0.25">
      <c r="F8063" s="85" t="str">
        <f t="shared" si="73"/>
        <v/>
      </c>
    </row>
    <row r="8064" spans="6:6" x14ac:dyDescent="0.25">
      <c r="F8064" s="85" t="str">
        <f t="shared" si="73"/>
        <v/>
      </c>
    </row>
    <row r="8065" spans="6:6" x14ac:dyDescent="0.25">
      <c r="F8065" s="85" t="str">
        <f t="shared" si="73"/>
        <v/>
      </c>
    </row>
    <row r="8066" spans="6:6" x14ac:dyDescent="0.25">
      <c r="F8066" s="85" t="str">
        <f t="shared" si="73"/>
        <v/>
      </c>
    </row>
    <row r="8067" spans="6:6" x14ac:dyDescent="0.25">
      <c r="F8067" s="85" t="str">
        <f t="shared" ref="F8067:F8130" si="74">IF($A8067="","",CONCATENATE($A8067,"_",$B8067,"_",$C8067))</f>
        <v/>
      </c>
    </row>
    <row r="8068" spans="6:6" x14ac:dyDescent="0.25">
      <c r="F8068" s="85" t="str">
        <f t="shared" si="74"/>
        <v/>
      </c>
    </row>
    <row r="8069" spans="6:6" x14ac:dyDescent="0.25">
      <c r="F8069" s="85" t="str">
        <f t="shared" si="74"/>
        <v/>
      </c>
    </row>
    <row r="8070" spans="6:6" x14ac:dyDescent="0.25">
      <c r="F8070" s="85" t="str">
        <f t="shared" si="74"/>
        <v/>
      </c>
    </row>
    <row r="8071" spans="6:6" x14ac:dyDescent="0.25">
      <c r="F8071" s="85" t="str">
        <f t="shared" si="74"/>
        <v/>
      </c>
    </row>
    <row r="8072" spans="6:6" x14ac:dyDescent="0.25">
      <c r="F8072" s="85" t="str">
        <f t="shared" si="74"/>
        <v/>
      </c>
    </row>
    <row r="8073" spans="6:6" x14ac:dyDescent="0.25">
      <c r="F8073" s="85" t="str">
        <f t="shared" si="74"/>
        <v/>
      </c>
    </row>
    <row r="8074" spans="6:6" x14ac:dyDescent="0.25">
      <c r="F8074" s="85" t="str">
        <f t="shared" si="74"/>
        <v/>
      </c>
    </row>
    <row r="8075" spans="6:6" x14ac:dyDescent="0.25">
      <c r="F8075" s="85" t="str">
        <f t="shared" si="74"/>
        <v/>
      </c>
    </row>
    <row r="8076" spans="6:6" x14ac:dyDescent="0.25">
      <c r="F8076" s="85" t="str">
        <f t="shared" si="74"/>
        <v/>
      </c>
    </row>
    <row r="8077" spans="6:6" x14ac:dyDescent="0.25">
      <c r="F8077" s="85" t="str">
        <f t="shared" si="74"/>
        <v/>
      </c>
    </row>
    <row r="8078" spans="6:6" x14ac:dyDescent="0.25">
      <c r="F8078" s="85" t="str">
        <f t="shared" si="74"/>
        <v/>
      </c>
    </row>
    <row r="8079" spans="6:6" x14ac:dyDescent="0.25">
      <c r="F8079" s="85" t="str">
        <f t="shared" si="74"/>
        <v/>
      </c>
    </row>
    <row r="8080" spans="6:6" x14ac:dyDescent="0.25">
      <c r="F8080" s="85" t="str">
        <f t="shared" si="74"/>
        <v/>
      </c>
    </row>
    <row r="8081" spans="6:6" x14ac:dyDescent="0.25">
      <c r="F8081" s="85" t="str">
        <f t="shared" si="74"/>
        <v/>
      </c>
    </row>
    <row r="8082" spans="6:6" x14ac:dyDescent="0.25">
      <c r="F8082" s="85" t="str">
        <f t="shared" si="74"/>
        <v/>
      </c>
    </row>
    <row r="8083" spans="6:6" x14ac:dyDescent="0.25">
      <c r="F8083" s="85" t="str">
        <f t="shared" si="74"/>
        <v/>
      </c>
    </row>
    <row r="8084" spans="6:6" x14ac:dyDescent="0.25">
      <c r="F8084" s="85" t="str">
        <f t="shared" si="74"/>
        <v/>
      </c>
    </row>
    <row r="8085" spans="6:6" x14ac:dyDescent="0.25">
      <c r="F8085" s="85" t="str">
        <f t="shared" si="74"/>
        <v/>
      </c>
    </row>
    <row r="8086" spans="6:6" x14ac:dyDescent="0.25">
      <c r="F8086" s="85" t="str">
        <f t="shared" si="74"/>
        <v/>
      </c>
    </row>
    <row r="8087" spans="6:6" x14ac:dyDescent="0.25">
      <c r="F8087" s="85" t="str">
        <f t="shared" si="74"/>
        <v/>
      </c>
    </row>
    <row r="8088" spans="6:6" x14ac:dyDescent="0.25">
      <c r="F8088" s="85" t="str">
        <f t="shared" si="74"/>
        <v/>
      </c>
    </row>
    <row r="8089" spans="6:6" x14ac:dyDescent="0.25">
      <c r="F8089" s="85" t="str">
        <f t="shared" si="74"/>
        <v/>
      </c>
    </row>
    <row r="8090" spans="6:6" x14ac:dyDescent="0.25">
      <c r="F8090" s="85" t="str">
        <f t="shared" si="74"/>
        <v/>
      </c>
    </row>
    <row r="8091" spans="6:6" x14ac:dyDescent="0.25">
      <c r="F8091" s="85" t="str">
        <f t="shared" si="74"/>
        <v/>
      </c>
    </row>
    <row r="8092" spans="6:6" x14ac:dyDescent="0.25">
      <c r="F8092" s="85" t="str">
        <f t="shared" si="74"/>
        <v/>
      </c>
    </row>
    <row r="8093" spans="6:6" x14ac:dyDescent="0.25">
      <c r="F8093" s="85" t="str">
        <f t="shared" si="74"/>
        <v/>
      </c>
    </row>
    <row r="8094" spans="6:6" x14ac:dyDescent="0.25">
      <c r="F8094" s="85" t="str">
        <f t="shared" si="74"/>
        <v/>
      </c>
    </row>
    <row r="8095" spans="6:6" x14ac:dyDescent="0.25">
      <c r="F8095" s="85" t="str">
        <f t="shared" si="74"/>
        <v/>
      </c>
    </row>
    <row r="8096" spans="6:6" x14ac:dyDescent="0.25">
      <c r="F8096" s="85" t="str">
        <f t="shared" si="74"/>
        <v/>
      </c>
    </row>
    <row r="8097" spans="6:6" x14ac:dyDescent="0.25">
      <c r="F8097" s="85" t="str">
        <f t="shared" si="74"/>
        <v/>
      </c>
    </row>
    <row r="8098" spans="6:6" x14ac:dyDescent="0.25">
      <c r="F8098" s="85" t="str">
        <f t="shared" si="74"/>
        <v/>
      </c>
    </row>
    <row r="8099" spans="6:6" x14ac:dyDescent="0.25">
      <c r="F8099" s="85" t="str">
        <f t="shared" si="74"/>
        <v/>
      </c>
    </row>
    <row r="8100" spans="6:6" x14ac:dyDescent="0.25">
      <c r="F8100" s="85" t="str">
        <f t="shared" si="74"/>
        <v/>
      </c>
    </row>
    <row r="8101" spans="6:6" x14ac:dyDescent="0.25">
      <c r="F8101" s="85" t="str">
        <f t="shared" si="74"/>
        <v/>
      </c>
    </row>
    <row r="8102" spans="6:6" x14ac:dyDescent="0.25">
      <c r="F8102" s="85" t="str">
        <f t="shared" si="74"/>
        <v/>
      </c>
    </row>
    <row r="8103" spans="6:6" x14ac:dyDescent="0.25">
      <c r="F8103" s="85" t="str">
        <f t="shared" si="74"/>
        <v/>
      </c>
    </row>
    <row r="8104" spans="6:6" x14ac:dyDescent="0.25">
      <c r="F8104" s="85" t="str">
        <f t="shared" si="74"/>
        <v/>
      </c>
    </row>
    <row r="8105" spans="6:6" x14ac:dyDescent="0.25">
      <c r="F8105" s="85" t="str">
        <f t="shared" si="74"/>
        <v/>
      </c>
    </row>
    <row r="8106" spans="6:6" x14ac:dyDescent="0.25">
      <c r="F8106" s="85" t="str">
        <f t="shared" si="74"/>
        <v/>
      </c>
    </row>
    <row r="8107" spans="6:6" x14ac:dyDescent="0.25">
      <c r="F8107" s="85" t="str">
        <f t="shared" si="74"/>
        <v/>
      </c>
    </row>
    <row r="8108" spans="6:6" x14ac:dyDescent="0.25">
      <c r="F8108" s="85" t="str">
        <f t="shared" si="74"/>
        <v/>
      </c>
    </row>
    <row r="8109" spans="6:6" x14ac:dyDescent="0.25">
      <c r="F8109" s="85" t="str">
        <f t="shared" si="74"/>
        <v/>
      </c>
    </row>
    <row r="8110" spans="6:6" x14ac:dyDescent="0.25">
      <c r="F8110" s="85" t="str">
        <f t="shared" si="74"/>
        <v/>
      </c>
    </row>
    <row r="8111" spans="6:6" x14ac:dyDescent="0.25">
      <c r="F8111" s="85" t="str">
        <f t="shared" si="74"/>
        <v/>
      </c>
    </row>
    <row r="8112" spans="6:6" x14ac:dyDescent="0.25">
      <c r="F8112" s="85" t="str">
        <f t="shared" si="74"/>
        <v/>
      </c>
    </row>
    <row r="8113" spans="6:6" x14ac:dyDescent="0.25">
      <c r="F8113" s="85" t="str">
        <f t="shared" si="74"/>
        <v/>
      </c>
    </row>
    <row r="8114" spans="6:6" x14ac:dyDescent="0.25">
      <c r="F8114" s="85" t="str">
        <f t="shared" si="74"/>
        <v/>
      </c>
    </row>
    <row r="8115" spans="6:6" x14ac:dyDescent="0.25">
      <c r="F8115" s="85" t="str">
        <f t="shared" si="74"/>
        <v/>
      </c>
    </row>
    <row r="8116" spans="6:6" x14ac:dyDescent="0.25">
      <c r="F8116" s="85" t="str">
        <f t="shared" si="74"/>
        <v/>
      </c>
    </row>
    <row r="8117" spans="6:6" x14ac:dyDescent="0.25">
      <c r="F8117" s="85" t="str">
        <f t="shared" si="74"/>
        <v/>
      </c>
    </row>
    <row r="8118" spans="6:6" x14ac:dyDescent="0.25">
      <c r="F8118" s="85" t="str">
        <f t="shared" si="74"/>
        <v/>
      </c>
    </row>
    <row r="8119" spans="6:6" x14ac:dyDescent="0.25">
      <c r="F8119" s="85" t="str">
        <f t="shared" si="74"/>
        <v/>
      </c>
    </row>
    <row r="8120" spans="6:6" x14ac:dyDescent="0.25">
      <c r="F8120" s="85" t="str">
        <f t="shared" si="74"/>
        <v/>
      </c>
    </row>
    <row r="8121" spans="6:6" x14ac:dyDescent="0.25">
      <c r="F8121" s="85" t="str">
        <f t="shared" si="74"/>
        <v/>
      </c>
    </row>
    <row r="8122" spans="6:6" x14ac:dyDescent="0.25">
      <c r="F8122" s="85" t="str">
        <f t="shared" si="74"/>
        <v/>
      </c>
    </row>
    <row r="8123" spans="6:6" x14ac:dyDescent="0.25">
      <c r="F8123" s="85" t="str">
        <f t="shared" si="74"/>
        <v/>
      </c>
    </row>
    <row r="8124" spans="6:6" x14ac:dyDescent="0.25">
      <c r="F8124" s="85" t="str">
        <f t="shared" si="74"/>
        <v/>
      </c>
    </row>
    <row r="8125" spans="6:6" x14ac:dyDescent="0.25">
      <c r="F8125" s="85" t="str">
        <f t="shared" si="74"/>
        <v/>
      </c>
    </row>
    <row r="8126" spans="6:6" x14ac:dyDescent="0.25">
      <c r="F8126" s="85" t="str">
        <f t="shared" si="74"/>
        <v/>
      </c>
    </row>
    <row r="8127" spans="6:6" x14ac:dyDescent="0.25">
      <c r="F8127" s="85" t="str">
        <f t="shared" si="74"/>
        <v/>
      </c>
    </row>
    <row r="8128" spans="6:6" x14ac:dyDescent="0.25">
      <c r="F8128" s="85" t="str">
        <f t="shared" si="74"/>
        <v/>
      </c>
    </row>
    <row r="8129" spans="6:6" x14ac:dyDescent="0.25">
      <c r="F8129" s="85" t="str">
        <f t="shared" si="74"/>
        <v/>
      </c>
    </row>
    <row r="8130" spans="6:6" x14ac:dyDescent="0.25">
      <c r="F8130" s="85" t="str">
        <f t="shared" si="74"/>
        <v/>
      </c>
    </row>
    <row r="8131" spans="6:6" x14ac:dyDescent="0.25">
      <c r="F8131" s="85" t="str">
        <f t="shared" ref="F8131:F8194" si="75">IF($A8131="","",CONCATENATE($A8131,"_",$B8131,"_",$C8131))</f>
        <v/>
      </c>
    </row>
    <row r="8132" spans="6:6" x14ac:dyDescent="0.25">
      <c r="F8132" s="85" t="str">
        <f t="shared" si="75"/>
        <v/>
      </c>
    </row>
    <row r="8133" spans="6:6" x14ac:dyDescent="0.25">
      <c r="F8133" s="85" t="str">
        <f t="shared" si="75"/>
        <v/>
      </c>
    </row>
    <row r="8134" spans="6:6" x14ac:dyDescent="0.25">
      <c r="F8134" s="85" t="str">
        <f t="shared" si="75"/>
        <v/>
      </c>
    </row>
    <row r="8135" spans="6:6" x14ac:dyDescent="0.25">
      <c r="F8135" s="85" t="str">
        <f t="shared" si="75"/>
        <v/>
      </c>
    </row>
    <row r="8136" spans="6:6" x14ac:dyDescent="0.25">
      <c r="F8136" s="85" t="str">
        <f t="shared" si="75"/>
        <v/>
      </c>
    </row>
    <row r="8137" spans="6:6" x14ac:dyDescent="0.25">
      <c r="F8137" s="85" t="str">
        <f t="shared" si="75"/>
        <v/>
      </c>
    </row>
    <row r="8138" spans="6:6" x14ac:dyDescent="0.25">
      <c r="F8138" s="85" t="str">
        <f t="shared" si="75"/>
        <v/>
      </c>
    </row>
    <row r="8139" spans="6:6" x14ac:dyDescent="0.25">
      <c r="F8139" s="85" t="str">
        <f t="shared" si="75"/>
        <v/>
      </c>
    </row>
    <row r="8140" spans="6:6" x14ac:dyDescent="0.25">
      <c r="F8140" s="85" t="str">
        <f t="shared" si="75"/>
        <v/>
      </c>
    </row>
    <row r="8141" spans="6:6" x14ac:dyDescent="0.25">
      <c r="F8141" s="85" t="str">
        <f t="shared" si="75"/>
        <v/>
      </c>
    </row>
    <row r="8142" spans="6:6" x14ac:dyDescent="0.25">
      <c r="F8142" s="85" t="str">
        <f t="shared" si="75"/>
        <v/>
      </c>
    </row>
    <row r="8143" spans="6:6" x14ac:dyDescent="0.25">
      <c r="F8143" s="85" t="str">
        <f t="shared" si="75"/>
        <v/>
      </c>
    </row>
    <row r="8144" spans="6:6" x14ac:dyDescent="0.25">
      <c r="F8144" s="85" t="str">
        <f t="shared" si="75"/>
        <v/>
      </c>
    </row>
    <row r="8145" spans="6:6" x14ac:dyDescent="0.25">
      <c r="F8145" s="85" t="str">
        <f t="shared" si="75"/>
        <v/>
      </c>
    </row>
    <row r="8146" spans="6:6" x14ac:dyDescent="0.25">
      <c r="F8146" s="85" t="str">
        <f t="shared" si="75"/>
        <v/>
      </c>
    </row>
    <row r="8147" spans="6:6" x14ac:dyDescent="0.25">
      <c r="F8147" s="85" t="str">
        <f t="shared" si="75"/>
        <v/>
      </c>
    </row>
    <row r="8148" spans="6:6" x14ac:dyDescent="0.25">
      <c r="F8148" s="85" t="str">
        <f t="shared" si="75"/>
        <v/>
      </c>
    </row>
    <row r="8149" spans="6:6" x14ac:dyDescent="0.25">
      <c r="F8149" s="85" t="str">
        <f t="shared" si="75"/>
        <v/>
      </c>
    </row>
    <row r="8150" spans="6:6" x14ac:dyDescent="0.25">
      <c r="F8150" s="85" t="str">
        <f t="shared" si="75"/>
        <v/>
      </c>
    </row>
    <row r="8151" spans="6:6" x14ac:dyDescent="0.25">
      <c r="F8151" s="85" t="str">
        <f t="shared" si="75"/>
        <v/>
      </c>
    </row>
    <row r="8152" spans="6:6" x14ac:dyDescent="0.25">
      <c r="F8152" s="85" t="str">
        <f t="shared" si="75"/>
        <v/>
      </c>
    </row>
    <row r="8153" spans="6:6" x14ac:dyDescent="0.25">
      <c r="F8153" s="85" t="str">
        <f t="shared" si="75"/>
        <v/>
      </c>
    </row>
    <row r="8154" spans="6:6" x14ac:dyDescent="0.25">
      <c r="F8154" s="85" t="str">
        <f t="shared" si="75"/>
        <v/>
      </c>
    </row>
    <row r="8155" spans="6:6" x14ac:dyDescent="0.25">
      <c r="F8155" s="85" t="str">
        <f t="shared" si="75"/>
        <v/>
      </c>
    </row>
    <row r="8156" spans="6:6" x14ac:dyDescent="0.25">
      <c r="F8156" s="85" t="str">
        <f t="shared" si="75"/>
        <v/>
      </c>
    </row>
    <row r="8157" spans="6:6" x14ac:dyDescent="0.25">
      <c r="F8157" s="85" t="str">
        <f t="shared" si="75"/>
        <v/>
      </c>
    </row>
    <row r="8158" spans="6:6" x14ac:dyDescent="0.25">
      <c r="F8158" s="85" t="str">
        <f t="shared" si="75"/>
        <v/>
      </c>
    </row>
    <row r="8159" spans="6:6" x14ac:dyDescent="0.25">
      <c r="F8159" s="85" t="str">
        <f t="shared" si="75"/>
        <v/>
      </c>
    </row>
    <row r="8160" spans="6:6" x14ac:dyDescent="0.25">
      <c r="F8160" s="85" t="str">
        <f t="shared" si="75"/>
        <v/>
      </c>
    </row>
    <row r="8161" spans="6:6" x14ac:dyDescent="0.25">
      <c r="F8161" s="85" t="str">
        <f t="shared" si="75"/>
        <v/>
      </c>
    </row>
    <row r="8162" spans="6:6" x14ac:dyDescent="0.25">
      <c r="F8162" s="85" t="str">
        <f t="shared" si="75"/>
        <v/>
      </c>
    </row>
    <row r="8163" spans="6:6" x14ac:dyDescent="0.25">
      <c r="F8163" s="85" t="str">
        <f t="shared" si="75"/>
        <v/>
      </c>
    </row>
    <row r="8164" spans="6:6" x14ac:dyDescent="0.25">
      <c r="F8164" s="85" t="str">
        <f t="shared" si="75"/>
        <v/>
      </c>
    </row>
    <row r="8165" spans="6:6" x14ac:dyDescent="0.25">
      <c r="F8165" s="85" t="str">
        <f t="shared" si="75"/>
        <v/>
      </c>
    </row>
    <row r="8166" spans="6:6" x14ac:dyDescent="0.25">
      <c r="F8166" s="85" t="str">
        <f t="shared" si="75"/>
        <v/>
      </c>
    </row>
    <row r="8167" spans="6:6" x14ac:dyDescent="0.25">
      <c r="F8167" s="85" t="str">
        <f t="shared" si="75"/>
        <v/>
      </c>
    </row>
    <row r="8168" spans="6:6" x14ac:dyDescent="0.25">
      <c r="F8168" s="85" t="str">
        <f t="shared" si="75"/>
        <v/>
      </c>
    </row>
    <row r="8169" spans="6:6" x14ac:dyDescent="0.25">
      <c r="F8169" s="85" t="str">
        <f t="shared" si="75"/>
        <v/>
      </c>
    </row>
    <row r="8170" spans="6:6" x14ac:dyDescent="0.25">
      <c r="F8170" s="85" t="str">
        <f t="shared" si="75"/>
        <v/>
      </c>
    </row>
    <row r="8171" spans="6:6" x14ac:dyDescent="0.25">
      <c r="F8171" s="85" t="str">
        <f t="shared" si="75"/>
        <v/>
      </c>
    </row>
    <row r="8172" spans="6:6" x14ac:dyDescent="0.25">
      <c r="F8172" s="85" t="str">
        <f t="shared" si="75"/>
        <v/>
      </c>
    </row>
    <row r="8173" spans="6:6" x14ac:dyDescent="0.25">
      <c r="F8173" s="85" t="str">
        <f t="shared" si="75"/>
        <v/>
      </c>
    </row>
    <row r="8174" spans="6:6" x14ac:dyDescent="0.25">
      <c r="F8174" s="85" t="str">
        <f t="shared" si="75"/>
        <v/>
      </c>
    </row>
    <row r="8175" spans="6:6" x14ac:dyDescent="0.25">
      <c r="F8175" s="85" t="str">
        <f t="shared" si="75"/>
        <v/>
      </c>
    </row>
    <row r="8176" spans="6:6" x14ac:dyDescent="0.25">
      <c r="F8176" s="85" t="str">
        <f t="shared" si="75"/>
        <v/>
      </c>
    </row>
    <row r="8177" spans="6:6" x14ac:dyDescent="0.25">
      <c r="F8177" s="85" t="str">
        <f t="shared" si="75"/>
        <v/>
      </c>
    </row>
    <row r="8178" spans="6:6" x14ac:dyDescent="0.25">
      <c r="F8178" s="85" t="str">
        <f t="shared" si="75"/>
        <v/>
      </c>
    </row>
    <row r="8179" spans="6:6" x14ac:dyDescent="0.25">
      <c r="F8179" s="85" t="str">
        <f t="shared" si="75"/>
        <v/>
      </c>
    </row>
    <row r="8180" spans="6:6" x14ac:dyDescent="0.25">
      <c r="F8180" s="85" t="str">
        <f t="shared" si="75"/>
        <v/>
      </c>
    </row>
    <row r="8181" spans="6:6" x14ac:dyDescent="0.25">
      <c r="F8181" s="85" t="str">
        <f t="shared" si="75"/>
        <v/>
      </c>
    </row>
    <row r="8182" spans="6:6" x14ac:dyDescent="0.25">
      <c r="F8182" s="85" t="str">
        <f t="shared" si="75"/>
        <v/>
      </c>
    </row>
    <row r="8183" spans="6:6" x14ac:dyDescent="0.25">
      <c r="F8183" s="85" t="str">
        <f t="shared" si="75"/>
        <v/>
      </c>
    </row>
    <row r="8184" spans="6:6" x14ac:dyDescent="0.25">
      <c r="F8184" s="85" t="str">
        <f t="shared" si="75"/>
        <v/>
      </c>
    </row>
    <row r="8185" spans="6:6" x14ac:dyDescent="0.25">
      <c r="F8185" s="85" t="str">
        <f t="shared" si="75"/>
        <v/>
      </c>
    </row>
    <row r="8186" spans="6:6" x14ac:dyDescent="0.25">
      <c r="F8186" s="85" t="str">
        <f t="shared" si="75"/>
        <v/>
      </c>
    </row>
    <row r="8187" spans="6:6" x14ac:dyDescent="0.25">
      <c r="F8187" s="85" t="str">
        <f t="shared" si="75"/>
        <v/>
      </c>
    </row>
    <row r="8188" spans="6:6" x14ac:dyDescent="0.25">
      <c r="F8188" s="85" t="str">
        <f t="shared" si="75"/>
        <v/>
      </c>
    </row>
    <row r="8189" spans="6:6" x14ac:dyDescent="0.25">
      <c r="F8189" s="85" t="str">
        <f t="shared" si="75"/>
        <v/>
      </c>
    </row>
    <row r="8190" spans="6:6" x14ac:dyDescent="0.25">
      <c r="F8190" s="85" t="str">
        <f t="shared" si="75"/>
        <v/>
      </c>
    </row>
    <row r="8191" spans="6:6" x14ac:dyDescent="0.25">
      <c r="F8191" s="85" t="str">
        <f t="shared" si="75"/>
        <v/>
      </c>
    </row>
    <row r="8192" spans="6:6" x14ac:dyDescent="0.25">
      <c r="F8192" s="85" t="str">
        <f t="shared" si="75"/>
        <v/>
      </c>
    </row>
    <row r="8193" spans="6:6" x14ac:dyDescent="0.25">
      <c r="F8193" s="85" t="str">
        <f t="shared" si="75"/>
        <v/>
      </c>
    </row>
    <row r="8194" spans="6:6" x14ac:dyDescent="0.25">
      <c r="F8194" s="85" t="str">
        <f t="shared" si="75"/>
        <v/>
      </c>
    </row>
    <row r="8195" spans="6:6" x14ac:dyDescent="0.25">
      <c r="F8195" s="85" t="str">
        <f t="shared" ref="F8195:F8258" si="76">IF($A8195="","",CONCATENATE($A8195,"_",$B8195,"_",$C8195))</f>
        <v/>
      </c>
    </row>
    <row r="8196" spans="6:6" x14ac:dyDescent="0.25">
      <c r="F8196" s="85" t="str">
        <f t="shared" si="76"/>
        <v/>
      </c>
    </row>
    <row r="8197" spans="6:6" x14ac:dyDescent="0.25">
      <c r="F8197" s="85" t="str">
        <f t="shared" si="76"/>
        <v/>
      </c>
    </row>
    <row r="8198" spans="6:6" x14ac:dyDescent="0.25">
      <c r="F8198" s="85" t="str">
        <f t="shared" si="76"/>
        <v/>
      </c>
    </row>
    <row r="8199" spans="6:6" x14ac:dyDescent="0.25">
      <c r="F8199" s="85" t="str">
        <f t="shared" si="76"/>
        <v/>
      </c>
    </row>
    <row r="8200" spans="6:6" x14ac:dyDescent="0.25">
      <c r="F8200" s="85" t="str">
        <f t="shared" si="76"/>
        <v/>
      </c>
    </row>
    <row r="8201" spans="6:6" x14ac:dyDescent="0.25">
      <c r="F8201" s="85" t="str">
        <f t="shared" si="76"/>
        <v/>
      </c>
    </row>
    <row r="8202" spans="6:6" x14ac:dyDescent="0.25">
      <c r="F8202" s="85" t="str">
        <f t="shared" si="76"/>
        <v/>
      </c>
    </row>
    <row r="8203" spans="6:6" x14ac:dyDescent="0.25">
      <c r="F8203" s="85" t="str">
        <f t="shared" si="76"/>
        <v/>
      </c>
    </row>
    <row r="8204" spans="6:6" x14ac:dyDescent="0.25">
      <c r="F8204" s="85" t="str">
        <f t="shared" si="76"/>
        <v/>
      </c>
    </row>
    <row r="8205" spans="6:6" x14ac:dyDescent="0.25">
      <c r="F8205" s="85" t="str">
        <f t="shared" si="76"/>
        <v/>
      </c>
    </row>
    <row r="8206" spans="6:6" x14ac:dyDescent="0.25">
      <c r="F8206" s="85" t="str">
        <f t="shared" si="76"/>
        <v/>
      </c>
    </row>
    <row r="8207" spans="6:6" x14ac:dyDescent="0.25">
      <c r="F8207" s="85" t="str">
        <f t="shared" si="76"/>
        <v/>
      </c>
    </row>
    <row r="8208" spans="6:6" x14ac:dyDescent="0.25">
      <c r="F8208" s="85" t="str">
        <f t="shared" si="76"/>
        <v/>
      </c>
    </row>
    <row r="8209" spans="6:6" x14ac:dyDescent="0.25">
      <c r="F8209" s="85" t="str">
        <f t="shared" si="76"/>
        <v/>
      </c>
    </row>
    <row r="8210" spans="6:6" x14ac:dyDescent="0.25">
      <c r="F8210" s="85" t="str">
        <f t="shared" si="76"/>
        <v/>
      </c>
    </row>
    <row r="8211" spans="6:6" x14ac:dyDescent="0.25">
      <c r="F8211" s="85" t="str">
        <f t="shared" si="76"/>
        <v/>
      </c>
    </row>
    <row r="8212" spans="6:6" x14ac:dyDescent="0.25">
      <c r="F8212" s="85" t="str">
        <f t="shared" si="76"/>
        <v/>
      </c>
    </row>
    <row r="8213" spans="6:6" x14ac:dyDescent="0.25">
      <c r="F8213" s="85" t="str">
        <f t="shared" si="76"/>
        <v/>
      </c>
    </row>
    <row r="8214" spans="6:6" x14ac:dyDescent="0.25">
      <c r="F8214" s="85" t="str">
        <f t="shared" si="76"/>
        <v/>
      </c>
    </row>
    <row r="8215" spans="6:6" x14ac:dyDescent="0.25">
      <c r="F8215" s="85" t="str">
        <f t="shared" si="76"/>
        <v/>
      </c>
    </row>
    <row r="8216" spans="6:6" x14ac:dyDescent="0.25">
      <c r="F8216" s="85" t="str">
        <f t="shared" si="76"/>
        <v/>
      </c>
    </row>
    <row r="8217" spans="6:6" x14ac:dyDescent="0.25">
      <c r="F8217" s="85" t="str">
        <f t="shared" si="76"/>
        <v/>
      </c>
    </row>
    <row r="8218" spans="6:6" x14ac:dyDescent="0.25">
      <c r="F8218" s="85" t="str">
        <f t="shared" si="76"/>
        <v/>
      </c>
    </row>
    <row r="8219" spans="6:6" x14ac:dyDescent="0.25">
      <c r="F8219" s="85" t="str">
        <f t="shared" si="76"/>
        <v/>
      </c>
    </row>
    <row r="8220" spans="6:6" x14ac:dyDescent="0.25">
      <c r="F8220" s="85" t="str">
        <f t="shared" si="76"/>
        <v/>
      </c>
    </row>
    <row r="8221" spans="6:6" x14ac:dyDescent="0.25">
      <c r="F8221" s="85" t="str">
        <f t="shared" si="76"/>
        <v/>
      </c>
    </row>
    <row r="8222" spans="6:6" x14ac:dyDescent="0.25">
      <c r="F8222" s="85" t="str">
        <f t="shared" si="76"/>
        <v/>
      </c>
    </row>
    <row r="8223" spans="6:6" x14ac:dyDescent="0.25">
      <c r="F8223" s="85" t="str">
        <f t="shared" si="76"/>
        <v/>
      </c>
    </row>
    <row r="8224" spans="6:6" x14ac:dyDescent="0.25">
      <c r="F8224" s="85" t="str">
        <f t="shared" si="76"/>
        <v/>
      </c>
    </row>
    <row r="8225" spans="6:6" x14ac:dyDescent="0.25">
      <c r="F8225" s="85" t="str">
        <f t="shared" si="76"/>
        <v/>
      </c>
    </row>
    <row r="8226" spans="6:6" x14ac:dyDescent="0.25">
      <c r="F8226" s="85" t="str">
        <f t="shared" si="76"/>
        <v/>
      </c>
    </row>
    <row r="8227" spans="6:6" x14ac:dyDescent="0.25">
      <c r="F8227" s="85" t="str">
        <f t="shared" si="76"/>
        <v/>
      </c>
    </row>
    <row r="8228" spans="6:6" x14ac:dyDescent="0.25">
      <c r="F8228" s="85" t="str">
        <f t="shared" si="76"/>
        <v/>
      </c>
    </row>
    <row r="8229" spans="6:6" x14ac:dyDescent="0.25">
      <c r="F8229" s="85" t="str">
        <f t="shared" si="76"/>
        <v/>
      </c>
    </row>
    <row r="8230" spans="6:6" x14ac:dyDescent="0.25">
      <c r="F8230" s="85" t="str">
        <f t="shared" si="76"/>
        <v/>
      </c>
    </row>
    <row r="8231" spans="6:6" x14ac:dyDescent="0.25">
      <c r="F8231" s="85" t="str">
        <f t="shared" si="76"/>
        <v/>
      </c>
    </row>
    <row r="8232" spans="6:6" x14ac:dyDescent="0.25">
      <c r="F8232" s="85" t="str">
        <f t="shared" si="76"/>
        <v/>
      </c>
    </row>
    <row r="8233" spans="6:6" x14ac:dyDescent="0.25">
      <c r="F8233" s="85" t="str">
        <f t="shared" si="76"/>
        <v/>
      </c>
    </row>
    <row r="8234" spans="6:6" x14ac:dyDescent="0.25">
      <c r="F8234" s="85" t="str">
        <f t="shared" si="76"/>
        <v/>
      </c>
    </row>
    <row r="8235" spans="6:6" x14ac:dyDescent="0.25">
      <c r="F8235" s="85" t="str">
        <f t="shared" si="76"/>
        <v/>
      </c>
    </row>
    <row r="8236" spans="6:6" x14ac:dyDescent="0.25">
      <c r="F8236" s="85" t="str">
        <f t="shared" si="76"/>
        <v/>
      </c>
    </row>
    <row r="8237" spans="6:6" x14ac:dyDescent="0.25">
      <c r="F8237" s="85" t="str">
        <f t="shared" si="76"/>
        <v/>
      </c>
    </row>
    <row r="8238" spans="6:6" x14ac:dyDescent="0.25">
      <c r="F8238" s="85" t="str">
        <f t="shared" si="76"/>
        <v/>
      </c>
    </row>
    <row r="8239" spans="6:6" x14ac:dyDescent="0.25">
      <c r="F8239" s="85" t="str">
        <f t="shared" si="76"/>
        <v/>
      </c>
    </row>
    <row r="8240" spans="6:6" x14ac:dyDescent="0.25">
      <c r="F8240" s="85" t="str">
        <f t="shared" si="76"/>
        <v/>
      </c>
    </row>
    <row r="8241" spans="6:6" x14ac:dyDescent="0.25">
      <c r="F8241" s="85" t="str">
        <f t="shared" si="76"/>
        <v/>
      </c>
    </row>
    <row r="8242" spans="6:6" x14ac:dyDescent="0.25">
      <c r="F8242" s="85" t="str">
        <f t="shared" si="76"/>
        <v/>
      </c>
    </row>
    <row r="8243" spans="6:6" x14ac:dyDescent="0.25">
      <c r="F8243" s="85" t="str">
        <f t="shared" si="76"/>
        <v/>
      </c>
    </row>
    <row r="8244" spans="6:6" x14ac:dyDescent="0.25">
      <c r="F8244" s="85" t="str">
        <f t="shared" si="76"/>
        <v/>
      </c>
    </row>
    <row r="8245" spans="6:6" x14ac:dyDescent="0.25">
      <c r="F8245" s="85" t="str">
        <f t="shared" si="76"/>
        <v/>
      </c>
    </row>
    <row r="8246" spans="6:6" x14ac:dyDescent="0.25">
      <c r="F8246" s="85" t="str">
        <f t="shared" si="76"/>
        <v/>
      </c>
    </row>
    <row r="8247" spans="6:6" x14ac:dyDescent="0.25">
      <c r="F8247" s="85" t="str">
        <f t="shared" si="76"/>
        <v/>
      </c>
    </row>
    <row r="8248" spans="6:6" x14ac:dyDescent="0.25">
      <c r="F8248" s="85" t="str">
        <f t="shared" si="76"/>
        <v/>
      </c>
    </row>
    <row r="8249" spans="6:6" x14ac:dyDescent="0.25">
      <c r="F8249" s="85" t="str">
        <f t="shared" si="76"/>
        <v/>
      </c>
    </row>
    <row r="8250" spans="6:6" x14ac:dyDescent="0.25">
      <c r="F8250" s="85" t="str">
        <f t="shared" si="76"/>
        <v/>
      </c>
    </row>
    <row r="8251" spans="6:6" x14ac:dyDescent="0.25">
      <c r="F8251" s="85" t="str">
        <f t="shared" si="76"/>
        <v/>
      </c>
    </row>
    <row r="8252" spans="6:6" x14ac:dyDescent="0.25">
      <c r="F8252" s="85" t="str">
        <f t="shared" si="76"/>
        <v/>
      </c>
    </row>
    <row r="8253" spans="6:6" x14ac:dyDescent="0.25">
      <c r="F8253" s="85" t="str">
        <f t="shared" si="76"/>
        <v/>
      </c>
    </row>
    <row r="8254" spans="6:6" x14ac:dyDescent="0.25">
      <c r="F8254" s="85" t="str">
        <f t="shared" si="76"/>
        <v/>
      </c>
    </row>
    <row r="8255" spans="6:6" x14ac:dyDescent="0.25">
      <c r="F8255" s="85" t="str">
        <f t="shared" si="76"/>
        <v/>
      </c>
    </row>
    <row r="8256" spans="6:6" x14ac:dyDescent="0.25">
      <c r="F8256" s="85" t="str">
        <f t="shared" si="76"/>
        <v/>
      </c>
    </row>
    <row r="8257" spans="6:6" x14ac:dyDescent="0.25">
      <c r="F8257" s="85" t="str">
        <f t="shared" si="76"/>
        <v/>
      </c>
    </row>
    <row r="8258" spans="6:6" x14ac:dyDescent="0.25">
      <c r="F8258" s="85" t="str">
        <f t="shared" si="76"/>
        <v/>
      </c>
    </row>
    <row r="8259" spans="6:6" x14ac:dyDescent="0.25">
      <c r="F8259" s="85" t="str">
        <f t="shared" ref="F8259:F8322" si="77">IF($A8259="","",CONCATENATE($A8259,"_",$B8259,"_",$C8259))</f>
        <v/>
      </c>
    </row>
    <row r="8260" spans="6:6" x14ac:dyDescent="0.25">
      <c r="F8260" s="85" t="str">
        <f t="shared" si="77"/>
        <v/>
      </c>
    </row>
    <row r="8261" spans="6:6" x14ac:dyDescent="0.25">
      <c r="F8261" s="85" t="str">
        <f t="shared" si="77"/>
        <v/>
      </c>
    </row>
    <row r="8262" spans="6:6" x14ac:dyDescent="0.25">
      <c r="F8262" s="85" t="str">
        <f t="shared" si="77"/>
        <v/>
      </c>
    </row>
    <row r="8263" spans="6:6" x14ac:dyDescent="0.25">
      <c r="F8263" s="85" t="str">
        <f t="shared" si="77"/>
        <v/>
      </c>
    </row>
    <row r="8264" spans="6:6" x14ac:dyDescent="0.25">
      <c r="F8264" s="85" t="str">
        <f t="shared" si="77"/>
        <v/>
      </c>
    </row>
    <row r="8265" spans="6:6" x14ac:dyDescent="0.25">
      <c r="F8265" s="85" t="str">
        <f t="shared" si="77"/>
        <v/>
      </c>
    </row>
    <row r="8266" spans="6:6" x14ac:dyDescent="0.25">
      <c r="F8266" s="85" t="str">
        <f t="shared" si="77"/>
        <v/>
      </c>
    </row>
    <row r="8267" spans="6:6" x14ac:dyDescent="0.25">
      <c r="F8267" s="85" t="str">
        <f t="shared" si="77"/>
        <v/>
      </c>
    </row>
    <row r="8268" spans="6:6" x14ac:dyDescent="0.25">
      <c r="F8268" s="85" t="str">
        <f t="shared" si="77"/>
        <v/>
      </c>
    </row>
    <row r="8269" spans="6:6" x14ac:dyDescent="0.25">
      <c r="F8269" s="85" t="str">
        <f t="shared" si="77"/>
        <v/>
      </c>
    </row>
    <row r="8270" spans="6:6" x14ac:dyDescent="0.25">
      <c r="F8270" s="85" t="str">
        <f t="shared" si="77"/>
        <v/>
      </c>
    </row>
    <row r="8271" spans="6:6" x14ac:dyDescent="0.25">
      <c r="F8271" s="85" t="str">
        <f t="shared" si="77"/>
        <v/>
      </c>
    </row>
    <row r="8272" spans="6:6" x14ac:dyDescent="0.25">
      <c r="F8272" s="85" t="str">
        <f t="shared" si="77"/>
        <v/>
      </c>
    </row>
    <row r="8273" spans="6:6" x14ac:dyDescent="0.25">
      <c r="F8273" s="85" t="str">
        <f t="shared" si="77"/>
        <v/>
      </c>
    </row>
    <row r="8274" spans="6:6" x14ac:dyDescent="0.25">
      <c r="F8274" s="85" t="str">
        <f t="shared" si="77"/>
        <v/>
      </c>
    </row>
    <row r="8275" spans="6:6" x14ac:dyDescent="0.25">
      <c r="F8275" s="85" t="str">
        <f t="shared" si="77"/>
        <v/>
      </c>
    </row>
    <row r="8276" spans="6:6" x14ac:dyDescent="0.25">
      <c r="F8276" s="85" t="str">
        <f t="shared" si="77"/>
        <v/>
      </c>
    </row>
    <row r="8277" spans="6:6" x14ac:dyDescent="0.25">
      <c r="F8277" s="85" t="str">
        <f t="shared" si="77"/>
        <v/>
      </c>
    </row>
    <row r="8278" spans="6:6" x14ac:dyDescent="0.25">
      <c r="F8278" s="85" t="str">
        <f t="shared" si="77"/>
        <v/>
      </c>
    </row>
    <row r="8279" spans="6:6" x14ac:dyDescent="0.25">
      <c r="F8279" s="85" t="str">
        <f t="shared" si="77"/>
        <v/>
      </c>
    </row>
    <row r="8280" spans="6:6" x14ac:dyDescent="0.25">
      <c r="F8280" s="85" t="str">
        <f t="shared" si="77"/>
        <v/>
      </c>
    </row>
    <row r="8281" spans="6:6" x14ac:dyDescent="0.25">
      <c r="F8281" s="85" t="str">
        <f t="shared" si="77"/>
        <v/>
      </c>
    </row>
    <row r="8282" spans="6:6" x14ac:dyDescent="0.25">
      <c r="F8282" s="85" t="str">
        <f t="shared" si="77"/>
        <v/>
      </c>
    </row>
    <row r="8283" spans="6:6" x14ac:dyDescent="0.25">
      <c r="F8283" s="85" t="str">
        <f t="shared" si="77"/>
        <v/>
      </c>
    </row>
    <row r="8284" spans="6:6" x14ac:dyDescent="0.25">
      <c r="F8284" s="85" t="str">
        <f t="shared" si="77"/>
        <v/>
      </c>
    </row>
    <row r="8285" spans="6:6" x14ac:dyDescent="0.25">
      <c r="F8285" s="85" t="str">
        <f t="shared" si="77"/>
        <v/>
      </c>
    </row>
    <row r="8286" spans="6:6" x14ac:dyDescent="0.25">
      <c r="F8286" s="85" t="str">
        <f t="shared" si="77"/>
        <v/>
      </c>
    </row>
    <row r="8287" spans="6:6" x14ac:dyDescent="0.25">
      <c r="F8287" s="85" t="str">
        <f t="shared" si="77"/>
        <v/>
      </c>
    </row>
    <row r="8288" spans="6:6" x14ac:dyDescent="0.25">
      <c r="F8288" s="85" t="str">
        <f t="shared" si="77"/>
        <v/>
      </c>
    </row>
    <row r="8289" spans="6:6" x14ac:dyDescent="0.25">
      <c r="F8289" s="85" t="str">
        <f t="shared" si="77"/>
        <v/>
      </c>
    </row>
    <row r="8290" spans="6:6" x14ac:dyDescent="0.25">
      <c r="F8290" s="85" t="str">
        <f t="shared" si="77"/>
        <v/>
      </c>
    </row>
    <row r="8291" spans="6:6" x14ac:dyDescent="0.25">
      <c r="F8291" s="85" t="str">
        <f t="shared" si="77"/>
        <v/>
      </c>
    </row>
    <row r="8292" spans="6:6" x14ac:dyDescent="0.25">
      <c r="F8292" s="85" t="str">
        <f t="shared" si="77"/>
        <v/>
      </c>
    </row>
    <row r="8293" spans="6:6" x14ac:dyDescent="0.25">
      <c r="F8293" s="85" t="str">
        <f t="shared" si="77"/>
        <v/>
      </c>
    </row>
    <row r="8294" spans="6:6" x14ac:dyDescent="0.25">
      <c r="F8294" s="85" t="str">
        <f t="shared" si="77"/>
        <v/>
      </c>
    </row>
    <row r="8295" spans="6:6" x14ac:dyDescent="0.25">
      <c r="F8295" s="85" t="str">
        <f t="shared" si="77"/>
        <v/>
      </c>
    </row>
    <row r="8296" spans="6:6" x14ac:dyDescent="0.25">
      <c r="F8296" s="85" t="str">
        <f t="shared" si="77"/>
        <v/>
      </c>
    </row>
    <row r="8297" spans="6:6" x14ac:dyDescent="0.25">
      <c r="F8297" s="85" t="str">
        <f t="shared" si="77"/>
        <v/>
      </c>
    </row>
    <row r="8298" spans="6:6" x14ac:dyDescent="0.25">
      <c r="F8298" s="85" t="str">
        <f t="shared" si="77"/>
        <v/>
      </c>
    </row>
    <row r="8299" spans="6:6" x14ac:dyDescent="0.25">
      <c r="F8299" s="85" t="str">
        <f t="shared" si="77"/>
        <v/>
      </c>
    </row>
    <row r="8300" spans="6:6" x14ac:dyDescent="0.25">
      <c r="F8300" s="85" t="str">
        <f t="shared" si="77"/>
        <v/>
      </c>
    </row>
    <row r="8301" spans="6:6" x14ac:dyDescent="0.25">
      <c r="F8301" s="85" t="str">
        <f t="shared" si="77"/>
        <v/>
      </c>
    </row>
    <row r="8302" spans="6:6" x14ac:dyDescent="0.25">
      <c r="F8302" s="85" t="str">
        <f t="shared" si="77"/>
        <v/>
      </c>
    </row>
    <row r="8303" spans="6:6" x14ac:dyDescent="0.25">
      <c r="F8303" s="85" t="str">
        <f t="shared" si="77"/>
        <v/>
      </c>
    </row>
    <row r="8304" spans="6:6" x14ac:dyDescent="0.25">
      <c r="F8304" s="85" t="str">
        <f t="shared" si="77"/>
        <v/>
      </c>
    </row>
    <row r="8305" spans="6:6" x14ac:dyDescent="0.25">
      <c r="F8305" s="85" t="str">
        <f t="shared" si="77"/>
        <v/>
      </c>
    </row>
    <row r="8306" spans="6:6" x14ac:dyDescent="0.25">
      <c r="F8306" s="85" t="str">
        <f t="shared" si="77"/>
        <v/>
      </c>
    </row>
    <row r="8307" spans="6:6" x14ac:dyDescent="0.25">
      <c r="F8307" s="85" t="str">
        <f t="shared" si="77"/>
        <v/>
      </c>
    </row>
    <row r="8308" spans="6:6" x14ac:dyDescent="0.25">
      <c r="F8308" s="85" t="str">
        <f t="shared" si="77"/>
        <v/>
      </c>
    </row>
    <row r="8309" spans="6:6" x14ac:dyDescent="0.25">
      <c r="F8309" s="85" t="str">
        <f t="shared" si="77"/>
        <v/>
      </c>
    </row>
    <row r="8310" spans="6:6" x14ac:dyDescent="0.25">
      <c r="F8310" s="85" t="str">
        <f t="shared" si="77"/>
        <v/>
      </c>
    </row>
    <row r="8311" spans="6:6" x14ac:dyDescent="0.25">
      <c r="F8311" s="85" t="str">
        <f t="shared" si="77"/>
        <v/>
      </c>
    </row>
    <row r="8312" spans="6:6" x14ac:dyDescent="0.25">
      <c r="F8312" s="85" t="str">
        <f t="shared" si="77"/>
        <v/>
      </c>
    </row>
    <row r="8313" spans="6:6" x14ac:dyDescent="0.25">
      <c r="F8313" s="85" t="str">
        <f t="shared" si="77"/>
        <v/>
      </c>
    </row>
    <row r="8314" spans="6:6" x14ac:dyDescent="0.25">
      <c r="F8314" s="85" t="str">
        <f t="shared" si="77"/>
        <v/>
      </c>
    </row>
    <row r="8315" spans="6:6" x14ac:dyDescent="0.25">
      <c r="F8315" s="85" t="str">
        <f t="shared" si="77"/>
        <v/>
      </c>
    </row>
    <row r="8316" spans="6:6" x14ac:dyDescent="0.25">
      <c r="F8316" s="85" t="str">
        <f t="shared" si="77"/>
        <v/>
      </c>
    </row>
    <row r="8317" spans="6:6" x14ac:dyDescent="0.25">
      <c r="F8317" s="85" t="str">
        <f t="shared" si="77"/>
        <v/>
      </c>
    </row>
    <row r="8318" spans="6:6" x14ac:dyDescent="0.25">
      <c r="F8318" s="85" t="str">
        <f t="shared" si="77"/>
        <v/>
      </c>
    </row>
    <row r="8319" spans="6:6" x14ac:dyDescent="0.25">
      <c r="F8319" s="85" t="str">
        <f t="shared" si="77"/>
        <v/>
      </c>
    </row>
    <row r="8320" spans="6:6" x14ac:dyDescent="0.25">
      <c r="F8320" s="85" t="str">
        <f t="shared" si="77"/>
        <v/>
      </c>
    </row>
    <row r="8321" spans="6:6" x14ac:dyDescent="0.25">
      <c r="F8321" s="85" t="str">
        <f t="shared" si="77"/>
        <v/>
      </c>
    </row>
    <row r="8322" spans="6:6" x14ac:dyDescent="0.25">
      <c r="F8322" s="85" t="str">
        <f t="shared" si="77"/>
        <v/>
      </c>
    </row>
    <row r="8323" spans="6:6" x14ac:dyDescent="0.25">
      <c r="F8323" s="85" t="str">
        <f t="shared" ref="F8323:F8386" si="78">IF($A8323="","",CONCATENATE($A8323,"_",$B8323,"_",$C8323))</f>
        <v/>
      </c>
    </row>
    <row r="8324" spans="6:6" x14ac:dyDescent="0.25">
      <c r="F8324" s="85" t="str">
        <f t="shared" si="78"/>
        <v/>
      </c>
    </row>
    <row r="8325" spans="6:6" x14ac:dyDescent="0.25">
      <c r="F8325" s="85" t="str">
        <f t="shared" si="78"/>
        <v/>
      </c>
    </row>
    <row r="8326" spans="6:6" x14ac:dyDescent="0.25">
      <c r="F8326" s="85" t="str">
        <f t="shared" si="78"/>
        <v/>
      </c>
    </row>
    <row r="8327" spans="6:6" x14ac:dyDescent="0.25">
      <c r="F8327" s="85" t="str">
        <f t="shared" si="78"/>
        <v/>
      </c>
    </row>
    <row r="8328" spans="6:6" x14ac:dyDescent="0.25">
      <c r="F8328" s="85" t="str">
        <f t="shared" si="78"/>
        <v/>
      </c>
    </row>
    <row r="8329" spans="6:6" x14ac:dyDescent="0.25">
      <c r="F8329" s="85" t="str">
        <f t="shared" si="78"/>
        <v/>
      </c>
    </row>
    <row r="8330" spans="6:6" x14ac:dyDescent="0.25">
      <c r="F8330" s="85" t="str">
        <f t="shared" si="78"/>
        <v/>
      </c>
    </row>
    <row r="8331" spans="6:6" x14ac:dyDescent="0.25">
      <c r="F8331" s="85" t="str">
        <f t="shared" si="78"/>
        <v/>
      </c>
    </row>
    <row r="8332" spans="6:6" x14ac:dyDescent="0.25">
      <c r="F8332" s="85" t="str">
        <f t="shared" si="78"/>
        <v/>
      </c>
    </row>
    <row r="8333" spans="6:6" x14ac:dyDescent="0.25">
      <c r="F8333" s="85" t="str">
        <f t="shared" si="78"/>
        <v/>
      </c>
    </row>
    <row r="8334" spans="6:6" x14ac:dyDescent="0.25">
      <c r="F8334" s="85" t="str">
        <f t="shared" si="78"/>
        <v/>
      </c>
    </row>
    <row r="8335" spans="6:6" x14ac:dyDescent="0.25">
      <c r="F8335" s="85" t="str">
        <f t="shared" si="78"/>
        <v/>
      </c>
    </row>
    <row r="8336" spans="6:6" x14ac:dyDescent="0.25">
      <c r="F8336" s="85" t="str">
        <f t="shared" si="78"/>
        <v/>
      </c>
    </row>
    <row r="8337" spans="6:6" x14ac:dyDescent="0.25">
      <c r="F8337" s="85" t="str">
        <f t="shared" si="78"/>
        <v/>
      </c>
    </row>
    <row r="8338" spans="6:6" x14ac:dyDescent="0.25">
      <c r="F8338" s="85" t="str">
        <f t="shared" si="78"/>
        <v/>
      </c>
    </row>
    <row r="8339" spans="6:6" x14ac:dyDescent="0.25">
      <c r="F8339" s="85" t="str">
        <f t="shared" si="78"/>
        <v/>
      </c>
    </row>
    <row r="8340" spans="6:6" x14ac:dyDescent="0.25">
      <c r="F8340" s="85" t="str">
        <f t="shared" si="78"/>
        <v/>
      </c>
    </row>
    <row r="8341" spans="6:6" x14ac:dyDescent="0.25">
      <c r="F8341" s="85" t="str">
        <f t="shared" si="78"/>
        <v/>
      </c>
    </row>
    <row r="8342" spans="6:6" x14ac:dyDescent="0.25">
      <c r="F8342" s="85" t="str">
        <f t="shared" si="78"/>
        <v/>
      </c>
    </row>
    <row r="8343" spans="6:6" x14ac:dyDescent="0.25">
      <c r="F8343" s="85" t="str">
        <f t="shared" si="78"/>
        <v/>
      </c>
    </row>
    <row r="8344" spans="6:6" x14ac:dyDescent="0.25">
      <c r="F8344" s="85" t="str">
        <f t="shared" si="78"/>
        <v/>
      </c>
    </row>
    <row r="8345" spans="6:6" x14ac:dyDescent="0.25">
      <c r="F8345" s="85" t="str">
        <f t="shared" si="78"/>
        <v/>
      </c>
    </row>
    <row r="8346" spans="6:6" x14ac:dyDescent="0.25">
      <c r="F8346" s="85" t="str">
        <f t="shared" si="78"/>
        <v/>
      </c>
    </row>
    <row r="8347" spans="6:6" x14ac:dyDescent="0.25">
      <c r="F8347" s="85" t="str">
        <f t="shared" si="78"/>
        <v/>
      </c>
    </row>
    <row r="8348" spans="6:6" x14ac:dyDescent="0.25">
      <c r="F8348" s="85" t="str">
        <f t="shared" si="78"/>
        <v/>
      </c>
    </row>
    <row r="8349" spans="6:6" x14ac:dyDescent="0.25">
      <c r="F8349" s="85" t="str">
        <f t="shared" si="78"/>
        <v/>
      </c>
    </row>
    <row r="8350" spans="6:6" x14ac:dyDescent="0.25">
      <c r="F8350" s="85" t="str">
        <f t="shared" si="78"/>
        <v/>
      </c>
    </row>
    <row r="8351" spans="6:6" x14ac:dyDescent="0.25">
      <c r="F8351" s="85" t="str">
        <f t="shared" si="78"/>
        <v/>
      </c>
    </row>
    <row r="8352" spans="6:6" x14ac:dyDescent="0.25">
      <c r="F8352" s="85" t="str">
        <f t="shared" si="78"/>
        <v/>
      </c>
    </row>
    <row r="8353" spans="6:6" x14ac:dyDescent="0.25">
      <c r="F8353" s="85" t="str">
        <f t="shared" si="78"/>
        <v/>
      </c>
    </row>
    <row r="8354" spans="6:6" x14ac:dyDescent="0.25">
      <c r="F8354" s="85" t="str">
        <f t="shared" si="78"/>
        <v/>
      </c>
    </row>
    <row r="8355" spans="6:6" x14ac:dyDescent="0.25">
      <c r="F8355" s="85" t="str">
        <f t="shared" si="78"/>
        <v/>
      </c>
    </row>
    <row r="8356" spans="6:6" x14ac:dyDescent="0.25">
      <c r="F8356" s="85" t="str">
        <f t="shared" si="78"/>
        <v/>
      </c>
    </row>
    <row r="8357" spans="6:6" x14ac:dyDescent="0.25">
      <c r="F8357" s="85" t="str">
        <f t="shared" si="78"/>
        <v/>
      </c>
    </row>
    <row r="8358" spans="6:6" x14ac:dyDescent="0.25">
      <c r="F8358" s="85" t="str">
        <f t="shared" si="78"/>
        <v/>
      </c>
    </row>
    <row r="8359" spans="6:6" x14ac:dyDescent="0.25">
      <c r="F8359" s="85" t="str">
        <f t="shared" si="78"/>
        <v/>
      </c>
    </row>
    <row r="8360" spans="6:6" x14ac:dyDescent="0.25">
      <c r="F8360" s="85" t="str">
        <f t="shared" si="78"/>
        <v/>
      </c>
    </row>
    <row r="8361" spans="6:6" x14ac:dyDescent="0.25">
      <c r="F8361" s="85" t="str">
        <f t="shared" si="78"/>
        <v/>
      </c>
    </row>
    <row r="8362" spans="6:6" x14ac:dyDescent="0.25">
      <c r="F8362" s="85" t="str">
        <f t="shared" si="78"/>
        <v/>
      </c>
    </row>
    <row r="8363" spans="6:6" x14ac:dyDescent="0.25">
      <c r="F8363" s="85" t="str">
        <f t="shared" si="78"/>
        <v/>
      </c>
    </row>
    <row r="8364" spans="6:6" x14ac:dyDescent="0.25">
      <c r="F8364" s="85" t="str">
        <f t="shared" si="78"/>
        <v/>
      </c>
    </row>
    <row r="8365" spans="6:6" x14ac:dyDescent="0.25">
      <c r="F8365" s="85" t="str">
        <f t="shared" si="78"/>
        <v/>
      </c>
    </row>
    <row r="8366" spans="6:6" x14ac:dyDescent="0.25">
      <c r="F8366" s="85" t="str">
        <f t="shared" si="78"/>
        <v/>
      </c>
    </row>
    <row r="8367" spans="6:6" x14ac:dyDescent="0.25">
      <c r="F8367" s="85" t="str">
        <f t="shared" si="78"/>
        <v/>
      </c>
    </row>
    <row r="8368" spans="6:6" x14ac:dyDescent="0.25">
      <c r="F8368" s="85" t="str">
        <f t="shared" si="78"/>
        <v/>
      </c>
    </row>
    <row r="8369" spans="6:6" x14ac:dyDescent="0.25">
      <c r="F8369" s="85" t="str">
        <f t="shared" si="78"/>
        <v/>
      </c>
    </row>
    <row r="8370" spans="6:6" x14ac:dyDescent="0.25">
      <c r="F8370" s="85" t="str">
        <f t="shared" si="78"/>
        <v/>
      </c>
    </row>
    <row r="8371" spans="6:6" x14ac:dyDescent="0.25">
      <c r="F8371" s="85" t="str">
        <f t="shared" si="78"/>
        <v/>
      </c>
    </row>
    <row r="8372" spans="6:6" x14ac:dyDescent="0.25">
      <c r="F8372" s="85" t="str">
        <f t="shared" si="78"/>
        <v/>
      </c>
    </row>
    <row r="8373" spans="6:6" x14ac:dyDescent="0.25">
      <c r="F8373" s="85" t="str">
        <f t="shared" si="78"/>
        <v/>
      </c>
    </row>
    <row r="8374" spans="6:6" x14ac:dyDescent="0.25">
      <c r="F8374" s="85" t="str">
        <f t="shared" si="78"/>
        <v/>
      </c>
    </row>
    <row r="8375" spans="6:6" x14ac:dyDescent="0.25">
      <c r="F8375" s="85" t="str">
        <f t="shared" si="78"/>
        <v/>
      </c>
    </row>
    <row r="8376" spans="6:6" x14ac:dyDescent="0.25">
      <c r="F8376" s="85" t="str">
        <f t="shared" si="78"/>
        <v/>
      </c>
    </row>
    <row r="8377" spans="6:6" x14ac:dyDescent="0.25">
      <c r="F8377" s="85" t="str">
        <f t="shared" si="78"/>
        <v/>
      </c>
    </row>
    <row r="8378" spans="6:6" x14ac:dyDescent="0.25">
      <c r="F8378" s="85" t="str">
        <f t="shared" si="78"/>
        <v/>
      </c>
    </row>
    <row r="8379" spans="6:6" x14ac:dyDescent="0.25">
      <c r="F8379" s="85" t="str">
        <f t="shared" si="78"/>
        <v/>
      </c>
    </row>
    <row r="8380" spans="6:6" x14ac:dyDescent="0.25">
      <c r="F8380" s="85" t="str">
        <f t="shared" si="78"/>
        <v/>
      </c>
    </row>
    <row r="8381" spans="6:6" x14ac:dyDescent="0.25">
      <c r="F8381" s="85" t="str">
        <f t="shared" si="78"/>
        <v/>
      </c>
    </row>
    <row r="8382" spans="6:6" x14ac:dyDescent="0.25">
      <c r="F8382" s="85" t="str">
        <f t="shared" si="78"/>
        <v/>
      </c>
    </row>
    <row r="8383" spans="6:6" x14ac:dyDescent="0.25">
      <c r="F8383" s="85" t="str">
        <f t="shared" si="78"/>
        <v/>
      </c>
    </row>
    <row r="8384" spans="6:6" x14ac:dyDescent="0.25">
      <c r="F8384" s="85" t="str">
        <f t="shared" si="78"/>
        <v/>
      </c>
    </row>
    <row r="8385" spans="6:6" x14ac:dyDescent="0.25">
      <c r="F8385" s="85" t="str">
        <f t="shared" si="78"/>
        <v/>
      </c>
    </row>
    <row r="8386" spans="6:6" x14ac:dyDescent="0.25">
      <c r="F8386" s="85" t="str">
        <f t="shared" si="78"/>
        <v/>
      </c>
    </row>
    <row r="8387" spans="6:6" x14ac:dyDescent="0.25">
      <c r="F8387" s="85" t="str">
        <f t="shared" ref="F8387:F8450" si="79">IF($A8387="","",CONCATENATE($A8387,"_",$B8387,"_",$C8387))</f>
        <v/>
      </c>
    </row>
    <row r="8388" spans="6:6" x14ac:dyDescent="0.25">
      <c r="F8388" s="85" t="str">
        <f t="shared" si="79"/>
        <v/>
      </c>
    </row>
    <row r="8389" spans="6:6" x14ac:dyDescent="0.25">
      <c r="F8389" s="85" t="str">
        <f t="shared" si="79"/>
        <v/>
      </c>
    </row>
    <row r="8390" spans="6:6" x14ac:dyDescent="0.25">
      <c r="F8390" s="85" t="str">
        <f t="shared" si="79"/>
        <v/>
      </c>
    </row>
    <row r="8391" spans="6:6" x14ac:dyDescent="0.25">
      <c r="F8391" s="85" t="str">
        <f t="shared" si="79"/>
        <v/>
      </c>
    </row>
    <row r="8392" spans="6:6" x14ac:dyDescent="0.25">
      <c r="F8392" s="85" t="str">
        <f t="shared" si="79"/>
        <v/>
      </c>
    </row>
    <row r="8393" spans="6:6" x14ac:dyDescent="0.25">
      <c r="F8393" s="85" t="str">
        <f t="shared" si="79"/>
        <v/>
      </c>
    </row>
    <row r="8394" spans="6:6" x14ac:dyDescent="0.25">
      <c r="F8394" s="85" t="str">
        <f t="shared" si="79"/>
        <v/>
      </c>
    </row>
    <row r="8395" spans="6:6" x14ac:dyDescent="0.25">
      <c r="F8395" s="85" t="str">
        <f t="shared" si="79"/>
        <v/>
      </c>
    </row>
    <row r="8396" spans="6:6" x14ac:dyDescent="0.25">
      <c r="F8396" s="85" t="str">
        <f t="shared" si="79"/>
        <v/>
      </c>
    </row>
    <row r="8397" spans="6:6" x14ac:dyDescent="0.25">
      <c r="F8397" s="85" t="str">
        <f t="shared" si="79"/>
        <v/>
      </c>
    </row>
    <row r="8398" spans="6:6" x14ac:dyDescent="0.25">
      <c r="F8398" s="85" t="str">
        <f t="shared" si="79"/>
        <v/>
      </c>
    </row>
    <row r="8399" spans="6:6" x14ac:dyDescent="0.25">
      <c r="F8399" s="85" t="str">
        <f t="shared" si="79"/>
        <v/>
      </c>
    </row>
    <row r="8400" spans="6:6" x14ac:dyDescent="0.25">
      <c r="F8400" s="85" t="str">
        <f t="shared" si="79"/>
        <v/>
      </c>
    </row>
    <row r="8401" spans="6:6" x14ac:dyDescent="0.25">
      <c r="F8401" s="85" t="str">
        <f t="shared" si="79"/>
        <v/>
      </c>
    </row>
    <row r="8402" spans="6:6" x14ac:dyDescent="0.25">
      <c r="F8402" s="85" t="str">
        <f t="shared" si="79"/>
        <v/>
      </c>
    </row>
    <row r="8403" spans="6:6" x14ac:dyDescent="0.25">
      <c r="F8403" s="85" t="str">
        <f t="shared" si="79"/>
        <v/>
      </c>
    </row>
    <row r="8404" spans="6:6" x14ac:dyDescent="0.25">
      <c r="F8404" s="85" t="str">
        <f t="shared" si="79"/>
        <v/>
      </c>
    </row>
    <row r="8405" spans="6:6" x14ac:dyDescent="0.25">
      <c r="F8405" s="85" t="str">
        <f t="shared" si="79"/>
        <v/>
      </c>
    </row>
    <row r="8406" spans="6:6" x14ac:dyDescent="0.25">
      <c r="F8406" s="85" t="str">
        <f t="shared" si="79"/>
        <v/>
      </c>
    </row>
    <row r="8407" spans="6:6" x14ac:dyDescent="0.25">
      <c r="F8407" s="85" t="str">
        <f t="shared" si="79"/>
        <v/>
      </c>
    </row>
    <row r="8408" spans="6:6" x14ac:dyDescent="0.25">
      <c r="F8408" s="85" t="str">
        <f t="shared" si="79"/>
        <v/>
      </c>
    </row>
    <row r="8409" spans="6:6" x14ac:dyDescent="0.25">
      <c r="F8409" s="85" t="str">
        <f t="shared" si="79"/>
        <v/>
      </c>
    </row>
    <row r="8410" spans="6:6" x14ac:dyDescent="0.25">
      <c r="F8410" s="85" t="str">
        <f t="shared" si="79"/>
        <v/>
      </c>
    </row>
    <row r="8411" spans="6:6" x14ac:dyDescent="0.25">
      <c r="F8411" s="85" t="str">
        <f t="shared" si="79"/>
        <v/>
      </c>
    </row>
    <row r="8412" spans="6:6" x14ac:dyDescent="0.25">
      <c r="F8412" s="85" t="str">
        <f t="shared" si="79"/>
        <v/>
      </c>
    </row>
    <row r="8413" spans="6:6" x14ac:dyDescent="0.25">
      <c r="F8413" s="85" t="str">
        <f t="shared" si="79"/>
        <v/>
      </c>
    </row>
    <row r="8414" spans="6:6" x14ac:dyDescent="0.25">
      <c r="F8414" s="85" t="str">
        <f t="shared" si="79"/>
        <v/>
      </c>
    </row>
    <row r="8415" spans="6:6" x14ac:dyDescent="0.25">
      <c r="F8415" s="85" t="str">
        <f t="shared" si="79"/>
        <v/>
      </c>
    </row>
    <row r="8416" spans="6:6" x14ac:dyDescent="0.25">
      <c r="F8416" s="85" t="str">
        <f t="shared" si="79"/>
        <v/>
      </c>
    </row>
    <row r="8417" spans="6:6" x14ac:dyDescent="0.25">
      <c r="F8417" s="85" t="str">
        <f t="shared" si="79"/>
        <v/>
      </c>
    </row>
    <row r="8418" spans="6:6" x14ac:dyDescent="0.25">
      <c r="F8418" s="85" t="str">
        <f t="shared" si="79"/>
        <v/>
      </c>
    </row>
    <row r="8419" spans="6:6" x14ac:dyDescent="0.25">
      <c r="F8419" s="85" t="str">
        <f t="shared" si="79"/>
        <v/>
      </c>
    </row>
    <row r="8420" spans="6:6" x14ac:dyDescent="0.25">
      <c r="F8420" s="85" t="str">
        <f t="shared" si="79"/>
        <v/>
      </c>
    </row>
    <row r="8421" spans="6:6" x14ac:dyDescent="0.25">
      <c r="F8421" s="85" t="str">
        <f t="shared" si="79"/>
        <v/>
      </c>
    </row>
    <row r="8422" spans="6:6" x14ac:dyDescent="0.25">
      <c r="F8422" s="85" t="str">
        <f t="shared" si="79"/>
        <v/>
      </c>
    </row>
    <row r="8423" spans="6:6" x14ac:dyDescent="0.25">
      <c r="F8423" s="85" t="str">
        <f t="shared" si="79"/>
        <v/>
      </c>
    </row>
    <row r="8424" spans="6:6" x14ac:dyDescent="0.25">
      <c r="F8424" s="85" t="str">
        <f t="shared" si="79"/>
        <v/>
      </c>
    </row>
    <row r="8425" spans="6:6" x14ac:dyDescent="0.25">
      <c r="F8425" s="85" t="str">
        <f t="shared" si="79"/>
        <v/>
      </c>
    </row>
    <row r="8426" spans="6:6" x14ac:dyDescent="0.25">
      <c r="F8426" s="85" t="str">
        <f t="shared" si="79"/>
        <v/>
      </c>
    </row>
    <row r="8427" spans="6:6" x14ac:dyDescent="0.25">
      <c r="F8427" s="85" t="str">
        <f t="shared" si="79"/>
        <v/>
      </c>
    </row>
    <row r="8428" spans="6:6" x14ac:dyDescent="0.25">
      <c r="F8428" s="85" t="str">
        <f t="shared" si="79"/>
        <v/>
      </c>
    </row>
    <row r="8429" spans="6:6" x14ac:dyDescent="0.25">
      <c r="F8429" s="85" t="str">
        <f t="shared" si="79"/>
        <v/>
      </c>
    </row>
    <row r="8430" spans="6:6" x14ac:dyDescent="0.25">
      <c r="F8430" s="85" t="str">
        <f t="shared" si="79"/>
        <v/>
      </c>
    </row>
    <row r="8431" spans="6:6" x14ac:dyDescent="0.25">
      <c r="F8431" s="85" t="str">
        <f t="shared" si="79"/>
        <v/>
      </c>
    </row>
    <row r="8432" spans="6:6" x14ac:dyDescent="0.25">
      <c r="F8432" s="85" t="str">
        <f t="shared" si="79"/>
        <v/>
      </c>
    </row>
    <row r="8433" spans="6:6" x14ac:dyDescent="0.25">
      <c r="F8433" s="85" t="str">
        <f t="shared" si="79"/>
        <v/>
      </c>
    </row>
    <row r="8434" spans="6:6" x14ac:dyDescent="0.25">
      <c r="F8434" s="85" t="str">
        <f t="shared" si="79"/>
        <v/>
      </c>
    </row>
    <row r="8435" spans="6:6" x14ac:dyDescent="0.25">
      <c r="F8435" s="85" t="str">
        <f t="shared" si="79"/>
        <v/>
      </c>
    </row>
    <row r="8436" spans="6:6" x14ac:dyDescent="0.25">
      <c r="F8436" s="85" t="str">
        <f t="shared" si="79"/>
        <v/>
      </c>
    </row>
    <row r="8437" spans="6:6" x14ac:dyDescent="0.25">
      <c r="F8437" s="85" t="str">
        <f t="shared" si="79"/>
        <v/>
      </c>
    </row>
    <row r="8438" spans="6:6" x14ac:dyDescent="0.25">
      <c r="F8438" s="85" t="str">
        <f t="shared" si="79"/>
        <v/>
      </c>
    </row>
    <row r="8439" spans="6:6" x14ac:dyDescent="0.25">
      <c r="F8439" s="85" t="str">
        <f t="shared" si="79"/>
        <v/>
      </c>
    </row>
    <row r="8440" spans="6:6" x14ac:dyDescent="0.25">
      <c r="F8440" s="85" t="str">
        <f t="shared" si="79"/>
        <v/>
      </c>
    </row>
    <row r="8441" spans="6:6" x14ac:dyDescent="0.25">
      <c r="F8441" s="85" t="str">
        <f t="shared" si="79"/>
        <v/>
      </c>
    </row>
    <row r="8442" spans="6:6" x14ac:dyDescent="0.25">
      <c r="F8442" s="85" t="str">
        <f t="shared" si="79"/>
        <v/>
      </c>
    </row>
    <row r="8443" spans="6:6" x14ac:dyDescent="0.25">
      <c r="F8443" s="85" t="str">
        <f t="shared" si="79"/>
        <v/>
      </c>
    </row>
    <row r="8444" spans="6:6" x14ac:dyDescent="0.25">
      <c r="F8444" s="85" t="str">
        <f t="shared" si="79"/>
        <v/>
      </c>
    </row>
    <row r="8445" spans="6:6" x14ac:dyDescent="0.25">
      <c r="F8445" s="85" t="str">
        <f t="shared" si="79"/>
        <v/>
      </c>
    </row>
    <row r="8446" spans="6:6" x14ac:dyDescent="0.25">
      <c r="F8446" s="85" t="str">
        <f t="shared" si="79"/>
        <v/>
      </c>
    </row>
    <row r="8447" spans="6:6" x14ac:dyDescent="0.25">
      <c r="F8447" s="85" t="str">
        <f t="shared" si="79"/>
        <v/>
      </c>
    </row>
    <row r="8448" spans="6:6" x14ac:dyDescent="0.25">
      <c r="F8448" s="85" t="str">
        <f t="shared" si="79"/>
        <v/>
      </c>
    </row>
    <row r="8449" spans="6:6" x14ac:dyDescent="0.25">
      <c r="F8449" s="85" t="str">
        <f t="shared" si="79"/>
        <v/>
      </c>
    </row>
    <row r="8450" spans="6:6" x14ac:dyDescent="0.25">
      <c r="F8450" s="85" t="str">
        <f t="shared" si="79"/>
        <v/>
      </c>
    </row>
    <row r="8451" spans="6:6" x14ac:dyDescent="0.25">
      <c r="F8451" s="85" t="str">
        <f t="shared" ref="F8451:F8514" si="80">IF($A8451="","",CONCATENATE($A8451,"_",$B8451,"_",$C8451))</f>
        <v/>
      </c>
    </row>
    <row r="8452" spans="6:6" x14ac:dyDescent="0.25">
      <c r="F8452" s="85" t="str">
        <f t="shared" si="80"/>
        <v/>
      </c>
    </row>
    <row r="8453" spans="6:6" x14ac:dyDescent="0.25">
      <c r="F8453" s="85" t="str">
        <f t="shared" si="80"/>
        <v/>
      </c>
    </row>
    <row r="8454" spans="6:6" x14ac:dyDescent="0.25">
      <c r="F8454" s="85" t="str">
        <f t="shared" si="80"/>
        <v/>
      </c>
    </row>
    <row r="8455" spans="6:6" x14ac:dyDescent="0.25">
      <c r="F8455" s="85" t="str">
        <f t="shared" si="80"/>
        <v/>
      </c>
    </row>
    <row r="8456" spans="6:6" x14ac:dyDescent="0.25">
      <c r="F8456" s="85" t="str">
        <f t="shared" si="80"/>
        <v/>
      </c>
    </row>
    <row r="8457" spans="6:6" x14ac:dyDescent="0.25">
      <c r="F8457" s="85" t="str">
        <f t="shared" si="80"/>
        <v/>
      </c>
    </row>
    <row r="8458" spans="6:6" x14ac:dyDescent="0.25">
      <c r="F8458" s="85" t="str">
        <f t="shared" si="80"/>
        <v/>
      </c>
    </row>
    <row r="8459" spans="6:6" x14ac:dyDescent="0.25">
      <c r="F8459" s="85" t="str">
        <f t="shared" si="80"/>
        <v/>
      </c>
    </row>
    <row r="8460" spans="6:6" x14ac:dyDescent="0.25">
      <c r="F8460" s="85" t="str">
        <f t="shared" si="80"/>
        <v/>
      </c>
    </row>
    <row r="8461" spans="6:6" x14ac:dyDescent="0.25">
      <c r="F8461" s="85" t="str">
        <f t="shared" si="80"/>
        <v/>
      </c>
    </row>
    <row r="8462" spans="6:6" x14ac:dyDescent="0.25">
      <c r="F8462" s="85" t="str">
        <f t="shared" si="80"/>
        <v/>
      </c>
    </row>
    <row r="8463" spans="6:6" x14ac:dyDescent="0.25">
      <c r="F8463" s="85" t="str">
        <f t="shared" si="80"/>
        <v/>
      </c>
    </row>
    <row r="8464" spans="6:6" x14ac:dyDescent="0.25">
      <c r="F8464" s="85" t="str">
        <f t="shared" si="80"/>
        <v/>
      </c>
    </row>
    <row r="8465" spans="6:6" x14ac:dyDescent="0.25">
      <c r="F8465" s="85" t="str">
        <f t="shared" si="80"/>
        <v/>
      </c>
    </row>
    <row r="8466" spans="6:6" x14ac:dyDescent="0.25">
      <c r="F8466" s="85" t="str">
        <f t="shared" si="80"/>
        <v/>
      </c>
    </row>
    <row r="8467" spans="6:6" x14ac:dyDescent="0.25">
      <c r="F8467" s="85" t="str">
        <f t="shared" si="80"/>
        <v/>
      </c>
    </row>
    <row r="8468" spans="6:6" x14ac:dyDescent="0.25">
      <c r="F8468" s="85" t="str">
        <f t="shared" si="80"/>
        <v/>
      </c>
    </row>
    <row r="8469" spans="6:6" x14ac:dyDescent="0.25">
      <c r="F8469" s="85" t="str">
        <f t="shared" si="80"/>
        <v/>
      </c>
    </row>
    <row r="8470" spans="6:6" x14ac:dyDescent="0.25">
      <c r="F8470" s="85" t="str">
        <f t="shared" si="80"/>
        <v/>
      </c>
    </row>
    <row r="8471" spans="6:6" x14ac:dyDescent="0.25">
      <c r="F8471" s="85" t="str">
        <f t="shared" si="80"/>
        <v/>
      </c>
    </row>
    <row r="8472" spans="6:6" x14ac:dyDescent="0.25">
      <c r="F8472" s="85" t="str">
        <f t="shared" si="80"/>
        <v/>
      </c>
    </row>
    <row r="8473" spans="6:6" x14ac:dyDescent="0.25">
      <c r="F8473" s="85" t="str">
        <f t="shared" si="80"/>
        <v/>
      </c>
    </row>
    <row r="8474" spans="6:6" x14ac:dyDescent="0.25">
      <c r="F8474" s="85" t="str">
        <f t="shared" si="80"/>
        <v/>
      </c>
    </row>
    <row r="8475" spans="6:6" x14ac:dyDescent="0.25">
      <c r="F8475" s="85" t="str">
        <f t="shared" si="80"/>
        <v/>
      </c>
    </row>
    <row r="8476" spans="6:6" x14ac:dyDescent="0.25">
      <c r="F8476" s="85" t="str">
        <f t="shared" si="80"/>
        <v/>
      </c>
    </row>
    <row r="8477" spans="6:6" x14ac:dyDescent="0.25">
      <c r="F8477" s="85" t="str">
        <f t="shared" si="80"/>
        <v/>
      </c>
    </row>
    <row r="8478" spans="6:6" x14ac:dyDescent="0.25">
      <c r="F8478" s="85" t="str">
        <f t="shared" si="80"/>
        <v/>
      </c>
    </row>
    <row r="8479" spans="6:6" x14ac:dyDescent="0.25">
      <c r="F8479" s="85" t="str">
        <f t="shared" si="80"/>
        <v/>
      </c>
    </row>
    <row r="8480" spans="6:6" x14ac:dyDescent="0.25">
      <c r="F8480" s="85" t="str">
        <f t="shared" si="80"/>
        <v/>
      </c>
    </row>
    <row r="8481" spans="6:6" x14ac:dyDescent="0.25">
      <c r="F8481" s="85" t="str">
        <f t="shared" si="80"/>
        <v/>
      </c>
    </row>
    <row r="8482" spans="6:6" x14ac:dyDescent="0.25">
      <c r="F8482" s="85" t="str">
        <f t="shared" si="80"/>
        <v/>
      </c>
    </row>
    <row r="8483" spans="6:6" x14ac:dyDescent="0.25">
      <c r="F8483" s="85" t="str">
        <f t="shared" si="80"/>
        <v/>
      </c>
    </row>
    <row r="8484" spans="6:6" x14ac:dyDescent="0.25">
      <c r="F8484" s="85" t="str">
        <f t="shared" si="80"/>
        <v/>
      </c>
    </row>
    <row r="8485" spans="6:6" x14ac:dyDescent="0.25">
      <c r="F8485" s="85" t="str">
        <f t="shared" si="80"/>
        <v/>
      </c>
    </row>
    <row r="8486" spans="6:6" x14ac:dyDescent="0.25">
      <c r="F8486" s="85" t="str">
        <f t="shared" si="80"/>
        <v/>
      </c>
    </row>
    <row r="8487" spans="6:6" x14ac:dyDescent="0.25">
      <c r="F8487" s="85" t="str">
        <f t="shared" si="80"/>
        <v/>
      </c>
    </row>
    <row r="8488" spans="6:6" x14ac:dyDescent="0.25">
      <c r="F8488" s="85" t="str">
        <f t="shared" si="80"/>
        <v/>
      </c>
    </row>
    <row r="8489" spans="6:6" x14ac:dyDescent="0.25">
      <c r="F8489" s="85" t="str">
        <f t="shared" si="80"/>
        <v/>
      </c>
    </row>
    <row r="8490" spans="6:6" x14ac:dyDescent="0.25">
      <c r="F8490" s="85" t="str">
        <f t="shared" si="80"/>
        <v/>
      </c>
    </row>
    <row r="8491" spans="6:6" x14ac:dyDescent="0.25">
      <c r="F8491" s="85" t="str">
        <f t="shared" si="80"/>
        <v/>
      </c>
    </row>
    <row r="8492" spans="6:6" x14ac:dyDescent="0.25">
      <c r="F8492" s="85" t="str">
        <f t="shared" si="80"/>
        <v/>
      </c>
    </row>
    <row r="8493" spans="6:6" x14ac:dyDescent="0.25">
      <c r="F8493" s="85" t="str">
        <f t="shared" si="80"/>
        <v/>
      </c>
    </row>
    <row r="8494" spans="6:6" x14ac:dyDescent="0.25">
      <c r="F8494" s="85" t="str">
        <f t="shared" si="80"/>
        <v/>
      </c>
    </row>
    <row r="8495" spans="6:6" x14ac:dyDescent="0.25">
      <c r="F8495" s="85" t="str">
        <f t="shared" si="80"/>
        <v/>
      </c>
    </row>
    <row r="8496" spans="6:6" x14ac:dyDescent="0.25">
      <c r="F8496" s="85" t="str">
        <f t="shared" si="80"/>
        <v/>
      </c>
    </row>
    <row r="8497" spans="6:6" x14ac:dyDescent="0.25">
      <c r="F8497" s="85" t="str">
        <f t="shared" si="80"/>
        <v/>
      </c>
    </row>
    <row r="8498" spans="6:6" x14ac:dyDescent="0.25">
      <c r="F8498" s="85" t="str">
        <f t="shared" si="80"/>
        <v/>
      </c>
    </row>
    <row r="8499" spans="6:6" x14ac:dyDescent="0.25">
      <c r="F8499" s="85" t="str">
        <f t="shared" si="80"/>
        <v/>
      </c>
    </row>
    <row r="8500" spans="6:6" x14ac:dyDescent="0.25">
      <c r="F8500" s="85" t="str">
        <f t="shared" si="80"/>
        <v/>
      </c>
    </row>
    <row r="8501" spans="6:6" x14ac:dyDescent="0.25">
      <c r="F8501" s="85" t="str">
        <f t="shared" si="80"/>
        <v/>
      </c>
    </row>
    <row r="8502" spans="6:6" x14ac:dyDescent="0.25">
      <c r="F8502" s="85" t="str">
        <f t="shared" si="80"/>
        <v/>
      </c>
    </row>
    <row r="8503" spans="6:6" x14ac:dyDescent="0.25">
      <c r="F8503" s="85" t="str">
        <f t="shared" si="80"/>
        <v/>
      </c>
    </row>
    <row r="8504" spans="6:6" x14ac:dyDescent="0.25">
      <c r="F8504" s="85" t="str">
        <f t="shared" si="80"/>
        <v/>
      </c>
    </row>
    <row r="8505" spans="6:6" x14ac:dyDescent="0.25">
      <c r="F8505" s="85" t="str">
        <f t="shared" si="80"/>
        <v/>
      </c>
    </row>
    <row r="8506" spans="6:6" x14ac:dyDescent="0.25">
      <c r="F8506" s="85" t="str">
        <f t="shared" si="80"/>
        <v/>
      </c>
    </row>
    <row r="8507" spans="6:6" x14ac:dyDescent="0.25">
      <c r="F8507" s="85" t="str">
        <f t="shared" si="80"/>
        <v/>
      </c>
    </row>
    <row r="8508" spans="6:6" x14ac:dyDescent="0.25">
      <c r="F8508" s="85" t="str">
        <f t="shared" si="80"/>
        <v/>
      </c>
    </row>
    <row r="8509" spans="6:6" x14ac:dyDescent="0.25">
      <c r="F8509" s="85" t="str">
        <f t="shared" si="80"/>
        <v/>
      </c>
    </row>
    <row r="8510" spans="6:6" x14ac:dyDescent="0.25">
      <c r="F8510" s="85" t="str">
        <f t="shared" si="80"/>
        <v/>
      </c>
    </row>
    <row r="8511" spans="6:6" x14ac:dyDescent="0.25">
      <c r="F8511" s="85" t="str">
        <f t="shared" si="80"/>
        <v/>
      </c>
    </row>
    <row r="8512" spans="6:6" x14ac:dyDescent="0.25">
      <c r="F8512" s="85" t="str">
        <f t="shared" si="80"/>
        <v/>
      </c>
    </row>
    <row r="8513" spans="6:6" x14ac:dyDescent="0.25">
      <c r="F8513" s="85" t="str">
        <f t="shared" si="80"/>
        <v/>
      </c>
    </row>
    <row r="8514" spans="6:6" x14ac:dyDescent="0.25">
      <c r="F8514" s="85" t="str">
        <f t="shared" si="80"/>
        <v/>
      </c>
    </row>
    <row r="8515" spans="6:6" x14ac:dyDescent="0.25">
      <c r="F8515" s="85" t="str">
        <f t="shared" ref="F8515:F8578" si="81">IF($A8515="","",CONCATENATE($A8515,"_",$B8515,"_",$C8515))</f>
        <v/>
      </c>
    </row>
    <row r="8516" spans="6:6" x14ac:dyDescent="0.25">
      <c r="F8516" s="85" t="str">
        <f t="shared" si="81"/>
        <v/>
      </c>
    </row>
    <row r="8517" spans="6:6" x14ac:dyDescent="0.25">
      <c r="F8517" s="85" t="str">
        <f t="shared" si="81"/>
        <v/>
      </c>
    </row>
    <row r="8518" spans="6:6" x14ac:dyDescent="0.25">
      <c r="F8518" s="85" t="str">
        <f t="shared" si="81"/>
        <v/>
      </c>
    </row>
    <row r="8519" spans="6:6" x14ac:dyDescent="0.25">
      <c r="F8519" s="85" t="str">
        <f t="shared" si="81"/>
        <v/>
      </c>
    </row>
    <row r="8520" spans="6:6" x14ac:dyDescent="0.25">
      <c r="F8520" s="85" t="str">
        <f t="shared" si="81"/>
        <v/>
      </c>
    </row>
    <row r="8521" spans="6:6" x14ac:dyDescent="0.25">
      <c r="F8521" s="85" t="str">
        <f t="shared" si="81"/>
        <v/>
      </c>
    </row>
    <row r="8522" spans="6:6" x14ac:dyDescent="0.25">
      <c r="F8522" s="85" t="str">
        <f t="shared" si="81"/>
        <v/>
      </c>
    </row>
    <row r="8523" spans="6:6" x14ac:dyDescent="0.25">
      <c r="F8523" s="85" t="str">
        <f t="shared" si="81"/>
        <v/>
      </c>
    </row>
    <row r="8524" spans="6:6" x14ac:dyDescent="0.25">
      <c r="F8524" s="85" t="str">
        <f t="shared" si="81"/>
        <v/>
      </c>
    </row>
    <row r="8525" spans="6:6" x14ac:dyDescent="0.25">
      <c r="F8525" s="85" t="str">
        <f t="shared" si="81"/>
        <v/>
      </c>
    </row>
    <row r="8526" spans="6:6" x14ac:dyDescent="0.25">
      <c r="F8526" s="85" t="str">
        <f t="shared" si="81"/>
        <v/>
      </c>
    </row>
    <row r="8527" spans="6:6" x14ac:dyDescent="0.25">
      <c r="F8527" s="85" t="str">
        <f t="shared" si="81"/>
        <v/>
      </c>
    </row>
    <row r="8528" spans="6:6" x14ac:dyDescent="0.25">
      <c r="F8528" s="85" t="str">
        <f t="shared" si="81"/>
        <v/>
      </c>
    </row>
    <row r="8529" spans="6:6" x14ac:dyDescent="0.25">
      <c r="F8529" s="85" t="str">
        <f t="shared" si="81"/>
        <v/>
      </c>
    </row>
    <row r="8530" spans="6:6" x14ac:dyDescent="0.25">
      <c r="F8530" s="85" t="str">
        <f t="shared" si="81"/>
        <v/>
      </c>
    </row>
    <row r="8531" spans="6:6" x14ac:dyDescent="0.25">
      <c r="F8531" s="85" t="str">
        <f t="shared" si="81"/>
        <v/>
      </c>
    </row>
    <row r="8532" spans="6:6" x14ac:dyDescent="0.25">
      <c r="F8532" s="85" t="str">
        <f t="shared" si="81"/>
        <v/>
      </c>
    </row>
    <row r="8533" spans="6:6" x14ac:dyDescent="0.25">
      <c r="F8533" s="85" t="str">
        <f t="shared" si="81"/>
        <v/>
      </c>
    </row>
    <row r="8534" spans="6:6" x14ac:dyDescent="0.25">
      <c r="F8534" s="85" t="str">
        <f t="shared" si="81"/>
        <v/>
      </c>
    </row>
    <row r="8535" spans="6:6" x14ac:dyDescent="0.25">
      <c r="F8535" s="85" t="str">
        <f t="shared" si="81"/>
        <v/>
      </c>
    </row>
    <row r="8536" spans="6:6" x14ac:dyDescent="0.25">
      <c r="F8536" s="85" t="str">
        <f t="shared" si="81"/>
        <v/>
      </c>
    </row>
    <row r="8537" spans="6:6" x14ac:dyDescent="0.25">
      <c r="F8537" s="85" t="str">
        <f t="shared" si="81"/>
        <v/>
      </c>
    </row>
    <row r="8538" spans="6:6" x14ac:dyDescent="0.25">
      <c r="F8538" s="85" t="str">
        <f t="shared" si="81"/>
        <v/>
      </c>
    </row>
    <row r="8539" spans="6:6" x14ac:dyDescent="0.25">
      <c r="F8539" s="85" t="str">
        <f t="shared" si="81"/>
        <v/>
      </c>
    </row>
    <row r="8540" spans="6:6" x14ac:dyDescent="0.25">
      <c r="F8540" s="85" t="str">
        <f t="shared" si="81"/>
        <v/>
      </c>
    </row>
    <row r="8541" spans="6:6" x14ac:dyDescent="0.25">
      <c r="F8541" s="85" t="str">
        <f t="shared" si="81"/>
        <v/>
      </c>
    </row>
    <row r="8542" spans="6:6" x14ac:dyDescent="0.25">
      <c r="F8542" s="85" t="str">
        <f t="shared" si="81"/>
        <v/>
      </c>
    </row>
    <row r="8543" spans="6:6" x14ac:dyDescent="0.25">
      <c r="F8543" s="85" t="str">
        <f t="shared" si="81"/>
        <v/>
      </c>
    </row>
    <row r="8544" spans="6:6" x14ac:dyDescent="0.25">
      <c r="F8544" s="85" t="str">
        <f t="shared" si="81"/>
        <v/>
      </c>
    </row>
    <row r="8545" spans="6:6" x14ac:dyDescent="0.25">
      <c r="F8545" s="85" t="str">
        <f t="shared" si="81"/>
        <v/>
      </c>
    </row>
    <row r="8546" spans="6:6" x14ac:dyDescent="0.25">
      <c r="F8546" s="85" t="str">
        <f t="shared" si="81"/>
        <v/>
      </c>
    </row>
    <row r="8547" spans="6:6" x14ac:dyDescent="0.25">
      <c r="F8547" s="85" t="str">
        <f t="shared" si="81"/>
        <v/>
      </c>
    </row>
    <row r="8548" spans="6:6" x14ac:dyDescent="0.25">
      <c r="F8548" s="85" t="str">
        <f t="shared" si="81"/>
        <v/>
      </c>
    </row>
    <row r="8549" spans="6:6" x14ac:dyDescent="0.25">
      <c r="F8549" s="85" t="str">
        <f t="shared" si="81"/>
        <v/>
      </c>
    </row>
    <row r="8550" spans="6:6" x14ac:dyDescent="0.25">
      <c r="F8550" s="85" t="str">
        <f t="shared" si="81"/>
        <v/>
      </c>
    </row>
    <row r="8551" spans="6:6" x14ac:dyDescent="0.25">
      <c r="F8551" s="85" t="str">
        <f t="shared" si="81"/>
        <v/>
      </c>
    </row>
    <row r="8552" spans="6:6" x14ac:dyDescent="0.25">
      <c r="F8552" s="85" t="str">
        <f t="shared" si="81"/>
        <v/>
      </c>
    </row>
    <row r="8553" spans="6:6" x14ac:dyDescent="0.25">
      <c r="F8553" s="85" t="str">
        <f t="shared" si="81"/>
        <v/>
      </c>
    </row>
    <row r="8554" spans="6:6" x14ac:dyDescent="0.25">
      <c r="F8554" s="85" t="str">
        <f t="shared" si="81"/>
        <v/>
      </c>
    </row>
    <row r="8555" spans="6:6" x14ac:dyDescent="0.25">
      <c r="F8555" s="85" t="str">
        <f t="shared" si="81"/>
        <v/>
      </c>
    </row>
    <row r="8556" spans="6:6" x14ac:dyDescent="0.25">
      <c r="F8556" s="85" t="str">
        <f t="shared" si="81"/>
        <v/>
      </c>
    </row>
    <row r="8557" spans="6:6" x14ac:dyDescent="0.25">
      <c r="F8557" s="85" t="str">
        <f t="shared" si="81"/>
        <v/>
      </c>
    </row>
    <row r="8558" spans="6:6" x14ac:dyDescent="0.25">
      <c r="F8558" s="85" t="str">
        <f t="shared" si="81"/>
        <v/>
      </c>
    </row>
    <row r="8559" spans="6:6" x14ac:dyDescent="0.25">
      <c r="F8559" s="85" t="str">
        <f t="shared" si="81"/>
        <v/>
      </c>
    </row>
    <row r="8560" spans="6:6" x14ac:dyDescent="0.25">
      <c r="F8560" s="85" t="str">
        <f t="shared" si="81"/>
        <v/>
      </c>
    </row>
    <row r="8561" spans="6:6" x14ac:dyDescent="0.25">
      <c r="F8561" s="85" t="str">
        <f t="shared" si="81"/>
        <v/>
      </c>
    </row>
    <row r="8562" spans="6:6" x14ac:dyDescent="0.25">
      <c r="F8562" s="85" t="str">
        <f t="shared" si="81"/>
        <v/>
      </c>
    </row>
    <row r="8563" spans="6:6" x14ac:dyDescent="0.25">
      <c r="F8563" s="85" t="str">
        <f t="shared" si="81"/>
        <v/>
      </c>
    </row>
    <row r="8564" spans="6:6" x14ac:dyDescent="0.25">
      <c r="F8564" s="85" t="str">
        <f t="shared" si="81"/>
        <v/>
      </c>
    </row>
    <row r="8565" spans="6:6" x14ac:dyDescent="0.25">
      <c r="F8565" s="85" t="str">
        <f t="shared" si="81"/>
        <v/>
      </c>
    </row>
    <row r="8566" spans="6:6" x14ac:dyDescent="0.25">
      <c r="F8566" s="85" t="str">
        <f t="shared" si="81"/>
        <v/>
      </c>
    </row>
    <row r="8567" spans="6:6" x14ac:dyDescent="0.25">
      <c r="F8567" s="85" t="str">
        <f t="shared" si="81"/>
        <v/>
      </c>
    </row>
    <row r="8568" spans="6:6" x14ac:dyDescent="0.25">
      <c r="F8568" s="85" t="str">
        <f t="shared" si="81"/>
        <v/>
      </c>
    </row>
    <row r="8569" spans="6:6" x14ac:dyDescent="0.25">
      <c r="F8569" s="85" t="str">
        <f t="shared" si="81"/>
        <v/>
      </c>
    </row>
    <row r="8570" spans="6:6" x14ac:dyDescent="0.25">
      <c r="F8570" s="85" t="str">
        <f t="shared" si="81"/>
        <v/>
      </c>
    </row>
    <row r="8571" spans="6:6" x14ac:dyDescent="0.25">
      <c r="F8571" s="85" t="str">
        <f t="shared" si="81"/>
        <v/>
      </c>
    </row>
    <row r="8572" spans="6:6" x14ac:dyDescent="0.25">
      <c r="F8572" s="85" t="str">
        <f t="shared" si="81"/>
        <v/>
      </c>
    </row>
    <row r="8573" spans="6:6" x14ac:dyDescent="0.25">
      <c r="F8573" s="85" t="str">
        <f t="shared" si="81"/>
        <v/>
      </c>
    </row>
    <row r="8574" spans="6:6" x14ac:dyDescent="0.25">
      <c r="F8574" s="85" t="str">
        <f t="shared" si="81"/>
        <v/>
      </c>
    </row>
    <row r="8575" spans="6:6" x14ac:dyDescent="0.25">
      <c r="F8575" s="85" t="str">
        <f t="shared" si="81"/>
        <v/>
      </c>
    </row>
    <row r="8576" spans="6:6" x14ac:dyDescent="0.25">
      <c r="F8576" s="85" t="str">
        <f t="shared" si="81"/>
        <v/>
      </c>
    </row>
    <row r="8577" spans="6:6" x14ac:dyDescent="0.25">
      <c r="F8577" s="85" t="str">
        <f t="shared" si="81"/>
        <v/>
      </c>
    </row>
    <row r="8578" spans="6:6" x14ac:dyDescent="0.25">
      <c r="F8578" s="85" t="str">
        <f t="shared" si="81"/>
        <v/>
      </c>
    </row>
    <row r="8579" spans="6:6" x14ac:dyDescent="0.25">
      <c r="F8579" s="85" t="str">
        <f t="shared" ref="F8579:F8642" si="82">IF($A8579="","",CONCATENATE($A8579,"_",$B8579,"_",$C8579))</f>
        <v/>
      </c>
    </row>
    <row r="8580" spans="6:6" x14ac:dyDescent="0.25">
      <c r="F8580" s="85" t="str">
        <f t="shared" si="82"/>
        <v/>
      </c>
    </row>
    <row r="8581" spans="6:6" x14ac:dyDescent="0.25">
      <c r="F8581" s="85" t="str">
        <f t="shared" si="82"/>
        <v/>
      </c>
    </row>
    <row r="8582" spans="6:6" x14ac:dyDescent="0.25">
      <c r="F8582" s="85" t="str">
        <f t="shared" si="82"/>
        <v/>
      </c>
    </row>
    <row r="8583" spans="6:6" x14ac:dyDescent="0.25">
      <c r="F8583" s="85" t="str">
        <f t="shared" si="82"/>
        <v/>
      </c>
    </row>
    <row r="8584" spans="6:6" x14ac:dyDescent="0.25">
      <c r="F8584" s="85" t="str">
        <f t="shared" si="82"/>
        <v/>
      </c>
    </row>
    <row r="8585" spans="6:6" x14ac:dyDescent="0.25">
      <c r="F8585" s="85" t="str">
        <f t="shared" si="82"/>
        <v/>
      </c>
    </row>
    <row r="8586" spans="6:6" x14ac:dyDescent="0.25">
      <c r="F8586" s="85" t="str">
        <f t="shared" si="82"/>
        <v/>
      </c>
    </row>
    <row r="8587" spans="6:6" x14ac:dyDescent="0.25">
      <c r="F8587" s="85" t="str">
        <f t="shared" si="82"/>
        <v/>
      </c>
    </row>
    <row r="8588" spans="6:6" x14ac:dyDescent="0.25">
      <c r="F8588" s="85" t="str">
        <f t="shared" si="82"/>
        <v/>
      </c>
    </row>
    <row r="8589" spans="6:6" x14ac:dyDescent="0.25">
      <c r="F8589" s="85" t="str">
        <f t="shared" si="82"/>
        <v/>
      </c>
    </row>
    <row r="8590" spans="6:6" x14ac:dyDescent="0.25">
      <c r="F8590" s="85" t="str">
        <f t="shared" si="82"/>
        <v/>
      </c>
    </row>
    <row r="8591" spans="6:6" x14ac:dyDescent="0.25">
      <c r="F8591" s="85" t="str">
        <f t="shared" si="82"/>
        <v/>
      </c>
    </row>
    <row r="8592" spans="6:6" x14ac:dyDescent="0.25">
      <c r="F8592" s="85" t="str">
        <f t="shared" si="82"/>
        <v/>
      </c>
    </row>
    <row r="8593" spans="6:6" x14ac:dyDescent="0.25">
      <c r="F8593" s="85" t="str">
        <f t="shared" si="82"/>
        <v/>
      </c>
    </row>
    <row r="8594" spans="6:6" x14ac:dyDescent="0.25">
      <c r="F8594" s="85" t="str">
        <f t="shared" si="82"/>
        <v/>
      </c>
    </row>
    <row r="8595" spans="6:6" x14ac:dyDescent="0.25">
      <c r="F8595" s="85" t="str">
        <f t="shared" si="82"/>
        <v/>
      </c>
    </row>
    <row r="8596" spans="6:6" x14ac:dyDescent="0.25">
      <c r="F8596" s="85" t="str">
        <f t="shared" si="82"/>
        <v/>
      </c>
    </row>
    <row r="8597" spans="6:6" x14ac:dyDescent="0.25">
      <c r="F8597" s="85" t="str">
        <f t="shared" si="82"/>
        <v/>
      </c>
    </row>
    <row r="8598" spans="6:6" x14ac:dyDescent="0.25">
      <c r="F8598" s="85" t="str">
        <f t="shared" si="82"/>
        <v/>
      </c>
    </row>
    <row r="8599" spans="6:6" x14ac:dyDescent="0.25">
      <c r="F8599" s="85" t="str">
        <f t="shared" si="82"/>
        <v/>
      </c>
    </row>
    <row r="8600" spans="6:6" x14ac:dyDescent="0.25">
      <c r="F8600" s="85" t="str">
        <f t="shared" si="82"/>
        <v/>
      </c>
    </row>
    <row r="8601" spans="6:6" x14ac:dyDescent="0.25">
      <c r="F8601" s="85" t="str">
        <f t="shared" si="82"/>
        <v/>
      </c>
    </row>
    <row r="8602" spans="6:6" x14ac:dyDescent="0.25">
      <c r="F8602" s="85" t="str">
        <f t="shared" si="82"/>
        <v/>
      </c>
    </row>
    <row r="8603" spans="6:6" x14ac:dyDescent="0.25">
      <c r="F8603" s="85" t="str">
        <f t="shared" si="82"/>
        <v/>
      </c>
    </row>
    <row r="8604" spans="6:6" x14ac:dyDescent="0.25">
      <c r="F8604" s="85" t="str">
        <f t="shared" si="82"/>
        <v/>
      </c>
    </row>
    <row r="8605" spans="6:6" x14ac:dyDescent="0.25">
      <c r="F8605" s="85" t="str">
        <f t="shared" si="82"/>
        <v/>
      </c>
    </row>
    <row r="8606" spans="6:6" x14ac:dyDescent="0.25">
      <c r="F8606" s="85" t="str">
        <f t="shared" si="82"/>
        <v/>
      </c>
    </row>
    <row r="8607" spans="6:6" x14ac:dyDescent="0.25">
      <c r="F8607" s="85" t="str">
        <f t="shared" si="82"/>
        <v/>
      </c>
    </row>
    <row r="8608" spans="6:6" x14ac:dyDescent="0.25">
      <c r="F8608" s="85" t="str">
        <f t="shared" si="82"/>
        <v/>
      </c>
    </row>
    <row r="8609" spans="6:6" x14ac:dyDescent="0.25">
      <c r="F8609" s="85" t="str">
        <f t="shared" si="82"/>
        <v/>
      </c>
    </row>
    <row r="8610" spans="6:6" x14ac:dyDescent="0.25">
      <c r="F8610" s="85" t="str">
        <f t="shared" si="82"/>
        <v/>
      </c>
    </row>
    <row r="8611" spans="6:6" x14ac:dyDescent="0.25">
      <c r="F8611" s="85" t="str">
        <f t="shared" si="82"/>
        <v/>
      </c>
    </row>
    <row r="8612" spans="6:6" x14ac:dyDescent="0.25">
      <c r="F8612" s="85" t="str">
        <f t="shared" si="82"/>
        <v/>
      </c>
    </row>
    <row r="8613" spans="6:6" x14ac:dyDescent="0.25">
      <c r="F8613" s="85" t="str">
        <f t="shared" si="82"/>
        <v/>
      </c>
    </row>
    <row r="8614" spans="6:6" x14ac:dyDescent="0.25">
      <c r="F8614" s="85" t="str">
        <f t="shared" si="82"/>
        <v/>
      </c>
    </row>
    <row r="8615" spans="6:6" x14ac:dyDescent="0.25">
      <c r="F8615" s="85" t="str">
        <f t="shared" si="82"/>
        <v/>
      </c>
    </row>
    <row r="8616" spans="6:6" x14ac:dyDescent="0.25">
      <c r="F8616" s="85" t="str">
        <f t="shared" si="82"/>
        <v/>
      </c>
    </row>
    <row r="8617" spans="6:6" x14ac:dyDescent="0.25">
      <c r="F8617" s="85" t="str">
        <f t="shared" si="82"/>
        <v/>
      </c>
    </row>
    <row r="8618" spans="6:6" x14ac:dyDescent="0.25">
      <c r="F8618" s="85" t="str">
        <f t="shared" si="82"/>
        <v/>
      </c>
    </row>
    <row r="8619" spans="6:6" x14ac:dyDescent="0.25">
      <c r="F8619" s="85" t="str">
        <f t="shared" si="82"/>
        <v/>
      </c>
    </row>
    <row r="8620" spans="6:6" x14ac:dyDescent="0.25">
      <c r="F8620" s="85" t="str">
        <f t="shared" si="82"/>
        <v/>
      </c>
    </row>
    <row r="8621" spans="6:6" x14ac:dyDescent="0.25">
      <c r="F8621" s="85" t="str">
        <f t="shared" si="82"/>
        <v/>
      </c>
    </row>
    <row r="8622" spans="6:6" x14ac:dyDescent="0.25">
      <c r="F8622" s="85" t="str">
        <f t="shared" si="82"/>
        <v/>
      </c>
    </row>
    <row r="8623" spans="6:6" x14ac:dyDescent="0.25">
      <c r="F8623" s="85" t="str">
        <f t="shared" si="82"/>
        <v/>
      </c>
    </row>
    <row r="8624" spans="6:6" x14ac:dyDescent="0.25">
      <c r="F8624" s="85" t="str">
        <f t="shared" si="82"/>
        <v/>
      </c>
    </row>
    <row r="8625" spans="6:6" x14ac:dyDescent="0.25">
      <c r="F8625" s="85" t="str">
        <f t="shared" si="82"/>
        <v/>
      </c>
    </row>
    <row r="8626" spans="6:6" x14ac:dyDescent="0.25">
      <c r="F8626" s="85" t="str">
        <f t="shared" si="82"/>
        <v/>
      </c>
    </row>
    <row r="8627" spans="6:6" x14ac:dyDescent="0.25">
      <c r="F8627" s="85" t="str">
        <f t="shared" si="82"/>
        <v/>
      </c>
    </row>
    <row r="8628" spans="6:6" x14ac:dyDescent="0.25">
      <c r="F8628" s="85" t="str">
        <f t="shared" si="82"/>
        <v/>
      </c>
    </row>
    <row r="8629" spans="6:6" x14ac:dyDescent="0.25">
      <c r="F8629" s="85" t="str">
        <f t="shared" si="82"/>
        <v/>
      </c>
    </row>
    <row r="8630" spans="6:6" x14ac:dyDescent="0.25">
      <c r="F8630" s="85" t="str">
        <f t="shared" si="82"/>
        <v/>
      </c>
    </row>
    <row r="8631" spans="6:6" x14ac:dyDescent="0.25">
      <c r="F8631" s="85" t="str">
        <f t="shared" si="82"/>
        <v/>
      </c>
    </row>
    <row r="8632" spans="6:6" x14ac:dyDescent="0.25">
      <c r="F8632" s="85" t="str">
        <f t="shared" si="82"/>
        <v/>
      </c>
    </row>
    <row r="8633" spans="6:6" x14ac:dyDescent="0.25">
      <c r="F8633" s="85" t="str">
        <f t="shared" si="82"/>
        <v/>
      </c>
    </row>
    <row r="8634" spans="6:6" x14ac:dyDescent="0.25">
      <c r="F8634" s="85" t="str">
        <f t="shared" si="82"/>
        <v/>
      </c>
    </row>
    <row r="8635" spans="6:6" x14ac:dyDescent="0.25">
      <c r="F8635" s="85" t="str">
        <f t="shared" si="82"/>
        <v/>
      </c>
    </row>
    <row r="8636" spans="6:6" x14ac:dyDescent="0.25">
      <c r="F8636" s="85" t="str">
        <f t="shared" si="82"/>
        <v/>
      </c>
    </row>
    <row r="8637" spans="6:6" x14ac:dyDescent="0.25">
      <c r="F8637" s="85" t="str">
        <f t="shared" si="82"/>
        <v/>
      </c>
    </row>
    <row r="8638" spans="6:6" x14ac:dyDescent="0.25">
      <c r="F8638" s="85" t="str">
        <f t="shared" si="82"/>
        <v/>
      </c>
    </row>
    <row r="8639" spans="6:6" x14ac:dyDescent="0.25">
      <c r="F8639" s="85" t="str">
        <f t="shared" si="82"/>
        <v/>
      </c>
    </row>
    <row r="8640" spans="6:6" x14ac:dyDescent="0.25">
      <c r="F8640" s="85" t="str">
        <f t="shared" si="82"/>
        <v/>
      </c>
    </row>
    <row r="8641" spans="6:6" x14ac:dyDescent="0.25">
      <c r="F8641" s="85" t="str">
        <f t="shared" si="82"/>
        <v/>
      </c>
    </row>
    <row r="8642" spans="6:6" x14ac:dyDescent="0.25">
      <c r="F8642" s="85" t="str">
        <f t="shared" si="82"/>
        <v/>
      </c>
    </row>
    <row r="8643" spans="6:6" x14ac:dyDescent="0.25">
      <c r="F8643" s="85" t="str">
        <f t="shared" ref="F8643:F8706" si="83">IF($A8643="","",CONCATENATE($A8643,"_",$B8643,"_",$C8643))</f>
        <v/>
      </c>
    </row>
    <row r="8644" spans="6:6" x14ac:dyDescent="0.25">
      <c r="F8644" s="85" t="str">
        <f t="shared" si="83"/>
        <v/>
      </c>
    </row>
    <row r="8645" spans="6:6" x14ac:dyDescent="0.25">
      <c r="F8645" s="85" t="str">
        <f t="shared" si="83"/>
        <v/>
      </c>
    </row>
    <row r="8646" spans="6:6" x14ac:dyDescent="0.25">
      <c r="F8646" s="85" t="str">
        <f t="shared" si="83"/>
        <v/>
      </c>
    </row>
    <row r="8647" spans="6:6" x14ac:dyDescent="0.25">
      <c r="F8647" s="85" t="str">
        <f t="shared" si="83"/>
        <v/>
      </c>
    </row>
    <row r="8648" spans="6:6" x14ac:dyDescent="0.25">
      <c r="F8648" s="85" t="str">
        <f t="shared" si="83"/>
        <v/>
      </c>
    </row>
    <row r="8649" spans="6:6" x14ac:dyDescent="0.25">
      <c r="F8649" s="85" t="str">
        <f t="shared" si="83"/>
        <v/>
      </c>
    </row>
    <row r="8650" spans="6:6" x14ac:dyDescent="0.25">
      <c r="F8650" s="85" t="str">
        <f t="shared" si="83"/>
        <v/>
      </c>
    </row>
    <row r="8651" spans="6:6" x14ac:dyDescent="0.25">
      <c r="F8651" s="85" t="str">
        <f t="shared" si="83"/>
        <v/>
      </c>
    </row>
    <row r="8652" spans="6:6" x14ac:dyDescent="0.25">
      <c r="F8652" s="85" t="str">
        <f t="shared" si="83"/>
        <v/>
      </c>
    </row>
    <row r="8653" spans="6:6" x14ac:dyDescent="0.25">
      <c r="F8653" s="85" t="str">
        <f t="shared" si="83"/>
        <v/>
      </c>
    </row>
    <row r="8654" spans="6:6" x14ac:dyDescent="0.25">
      <c r="F8654" s="85" t="str">
        <f t="shared" si="83"/>
        <v/>
      </c>
    </row>
    <row r="8655" spans="6:6" x14ac:dyDescent="0.25">
      <c r="F8655" s="85" t="str">
        <f t="shared" si="83"/>
        <v/>
      </c>
    </row>
    <row r="8656" spans="6:6" x14ac:dyDescent="0.25">
      <c r="F8656" s="85" t="str">
        <f t="shared" si="83"/>
        <v/>
      </c>
    </row>
    <row r="8657" spans="6:6" x14ac:dyDescent="0.25">
      <c r="F8657" s="85" t="str">
        <f t="shared" si="83"/>
        <v/>
      </c>
    </row>
    <row r="8658" spans="6:6" x14ac:dyDescent="0.25">
      <c r="F8658" s="85" t="str">
        <f t="shared" si="83"/>
        <v/>
      </c>
    </row>
    <row r="8659" spans="6:6" x14ac:dyDescent="0.25">
      <c r="F8659" s="85" t="str">
        <f t="shared" si="83"/>
        <v/>
      </c>
    </row>
    <row r="8660" spans="6:6" x14ac:dyDescent="0.25">
      <c r="F8660" s="85" t="str">
        <f t="shared" si="83"/>
        <v/>
      </c>
    </row>
    <row r="8661" spans="6:6" x14ac:dyDescent="0.25">
      <c r="F8661" s="85" t="str">
        <f t="shared" si="83"/>
        <v/>
      </c>
    </row>
    <row r="8662" spans="6:6" x14ac:dyDescent="0.25">
      <c r="F8662" s="85" t="str">
        <f t="shared" si="83"/>
        <v/>
      </c>
    </row>
    <row r="8663" spans="6:6" x14ac:dyDescent="0.25">
      <c r="F8663" s="85" t="str">
        <f t="shared" si="83"/>
        <v/>
      </c>
    </row>
    <row r="8664" spans="6:6" x14ac:dyDescent="0.25">
      <c r="F8664" s="85" t="str">
        <f t="shared" si="83"/>
        <v/>
      </c>
    </row>
    <row r="8665" spans="6:6" x14ac:dyDescent="0.25">
      <c r="F8665" s="85" t="str">
        <f t="shared" si="83"/>
        <v/>
      </c>
    </row>
    <row r="8666" spans="6:6" x14ac:dyDescent="0.25">
      <c r="F8666" s="85" t="str">
        <f t="shared" si="83"/>
        <v/>
      </c>
    </row>
    <row r="8667" spans="6:6" x14ac:dyDescent="0.25">
      <c r="F8667" s="85" t="str">
        <f t="shared" si="83"/>
        <v/>
      </c>
    </row>
    <row r="8668" spans="6:6" x14ac:dyDescent="0.25">
      <c r="F8668" s="85" t="str">
        <f t="shared" si="83"/>
        <v/>
      </c>
    </row>
    <row r="8669" spans="6:6" x14ac:dyDescent="0.25">
      <c r="F8669" s="85" t="str">
        <f t="shared" si="83"/>
        <v/>
      </c>
    </row>
    <row r="8670" spans="6:6" x14ac:dyDescent="0.25">
      <c r="F8670" s="85" t="str">
        <f t="shared" si="83"/>
        <v/>
      </c>
    </row>
    <row r="8671" spans="6:6" x14ac:dyDescent="0.25">
      <c r="F8671" s="85" t="str">
        <f t="shared" si="83"/>
        <v/>
      </c>
    </row>
    <row r="8672" spans="6:6" x14ac:dyDescent="0.25">
      <c r="F8672" s="85" t="str">
        <f t="shared" si="83"/>
        <v/>
      </c>
    </row>
    <row r="8673" spans="6:6" x14ac:dyDescent="0.25">
      <c r="F8673" s="85" t="str">
        <f t="shared" si="83"/>
        <v/>
      </c>
    </row>
    <row r="8674" spans="6:6" x14ac:dyDescent="0.25">
      <c r="F8674" s="85" t="str">
        <f t="shared" si="83"/>
        <v/>
      </c>
    </row>
    <row r="8675" spans="6:6" x14ac:dyDescent="0.25">
      <c r="F8675" s="85" t="str">
        <f t="shared" si="83"/>
        <v/>
      </c>
    </row>
    <row r="8676" spans="6:6" x14ac:dyDescent="0.25">
      <c r="F8676" s="85" t="str">
        <f t="shared" si="83"/>
        <v/>
      </c>
    </row>
    <row r="8677" spans="6:6" x14ac:dyDescent="0.25">
      <c r="F8677" s="85" t="str">
        <f t="shared" si="83"/>
        <v/>
      </c>
    </row>
    <row r="8678" spans="6:6" x14ac:dyDescent="0.25">
      <c r="F8678" s="85" t="str">
        <f t="shared" si="83"/>
        <v/>
      </c>
    </row>
    <row r="8679" spans="6:6" x14ac:dyDescent="0.25">
      <c r="F8679" s="85" t="str">
        <f t="shared" si="83"/>
        <v/>
      </c>
    </row>
    <row r="8680" spans="6:6" x14ac:dyDescent="0.25">
      <c r="F8680" s="85" t="str">
        <f t="shared" si="83"/>
        <v/>
      </c>
    </row>
    <row r="8681" spans="6:6" x14ac:dyDescent="0.25">
      <c r="F8681" s="85" t="str">
        <f t="shared" si="83"/>
        <v/>
      </c>
    </row>
    <row r="8682" spans="6:6" x14ac:dyDescent="0.25">
      <c r="F8682" s="85" t="str">
        <f t="shared" si="83"/>
        <v/>
      </c>
    </row>
    <row r="8683" spans="6:6" x14ac:dyDescent="0.25">
      <c r="F8683" s="85" t="str">
        <f t="shared" si="83"/>
        <v/>
      </c>
    </row>
    <row r="8684" spans="6:6" x14ac:dyDescent="0.25">
      <c r="F8684" s="85" t="str">
        <f t="shared" si="83"/>
        <v/>
      </c>
    </row>
    <row r="8685" spans="6:6" x14ac:dyDescent="0.25">
      <c r="F8685" s="85" t="str">
        <f t="shared" si="83"/>
        <v/>
      </c>
    </row>
    <row r="8686" spans="6:6" x14ac:dyDescent="0.25">
      <c r="F8686" s="85" t="str">
        <f t="shared" si="83"/>
        <v/>
      </c>
    </row>
    <row r="8687" spans="6:6" x14ac:dyDescent="0.25">
      <c r="F8687" s="85" t="str">
        <f t="shared" si="83"/>
        <v/>
      </c>
    </row>
    <row r="8688" spans="6:6" x14ac:dyDescent="0.25">
      <c r="F8688" s="85" t="str">
        <f t="shared" si="83"/>
        <v/>
      </c>
    </row>
    <row r="8689" spans="6:6" x14ac:dyDescent="0.25">
      <c r="F8689" s="85" t="str">
        <f t="shared" si="83"/>
        <v/>
      </c>
    </row>
    <row r="8690" spans="6:6" x14ac:dyDescent="0.25">
      <c r="F8690" s="85" t="str">
        <f t="shared" si="83"/>
        <v/>
      </c>
    </row>
    <row r="8691" spans="6:6" x14ac:dyDescent="0.25">
      <c r="F8691" s="85" t="str">
        <f t="shared" si="83"/>
        <v/>
      </c>
    </row>
    <row r="8692" spans="6:6" x14ac:dyDescent="0.25">
      <c r="F8692" s="85" t="str">
        <f t="shared" si="83"/>
        <v/>
      </c>
    </row>
    <row r="8693" spans="6:6" x14ac:dyDescent="0.25">
      <c r="F8693" s="85" t="str">
        <f t="shared" si="83"/>
        <v/>
      </c>
    </row>
    <row r="8694" spans="6:6" x14ac:dyDescent="0.25">
      <c r="F8694" s="85" t="str">
        <f t="shared" si="83"/>
        <v/>
      </c>
    </row>
    <row r="8695" spans="6:6" x14ac:dyDescent="0.25">
      <c r="F8695" s="85" t="str">
        <f t="shared" si="83"/>
        <v/>
      </c>
    </row>
    <row r="8696" spans="6:6" x14ac:dyDescent="0.25">
      <c r="F8696" s="85" t="str">
        <f t="shared" si="83"/>
        <v/>
      </c>
    </row>
    <row r="8697" spans="6:6" x14ac:dyDescent="0.25">
      <c r="F8697" s="85" t="str">
        <f t="shared" si="83"/>
        <v/>
      </c>
    </row>
    <row r="8698" spans="6:6" x14ac:dyDescent="0.25">
      <c r="F8698" s="85" t="str">
        <f t="shared" si="83"/>
        <v/>
      </c>
    </row>
    <row r="8699" spans="6:6" x14ac:dyDescent="0.25">
      <c r="F8699" s="85" t="str">
        <f t="shared" si="83"/>
        <v/>
      </c>
    </row>
    <row r="8700" spans="6:6" x14ac:dyDescent="0.25">
      <c r="F8700" s="85" t="str">
        <f t="shared" si="83"/>
        <v/>
      </c>
    </row>
    <row r="8701" spans="6:6" x14ac:dyDescent="0.25">
      <c r="F8701" s="85" t="str">
        <f t="shared" si="83"/>
        <v/>
      </c>
    </row>
    <row r="8702" spans="6:6" x14ac:dyDescent="0.25">
      <c r="F8702" s="85" t="str">
        <f t="shared" si="83"/>
        <v/>
      </c>
    </row>
    <row r="8703" spans="6:6" x14ac:dyDescent="0.25">
      <c r="F8703" s="85" t="str">
        <f t="shared" si="83"/>
        <v/>
      </c>
    </row>
    <row r="8704" spans="6:6" x14ac:dyDescent="0.25">
      <c r="F8704" s="85" t="str">
        <f t="shared" si="83"/>
        <v/>
      </c>
    </row>
    <row r="8705" spans="6:6" x14ac:dyDescent="0.25">
      <c r="F8705" s="85" t="str">
        <f t="shared" si="83"/>
        <v/>
      </c>
    </row>
    <row r="8706" spans="6:6" x14ac:dyDescent="0.25">
      <c r="F8706" s="85" t="str">
        <f t="shared" si="83"/>
        <v/>
      </c>
    </row>
    <row r="8707" spans="6:6" x14ac:dyDescent="0.25">
      <c r="F8707" s="85" t="str">
        <f t="shared" ref="F8707:F8770" si="84">IF($A8707="","",CONCATENATE($A8707,"_",$B8707,"_",$C8707))</f>
        <v/>
      </c>
    </row>
    <row r="8708" spans="6:6" x14ac:dyDescent="0.25">
      <c r="F8708" s="85" t="str">
        <f t="shared" si="84"/>
        <v/>
      </c>
    </row>
    <row r="8709" spans="6:6" x14ac:dyDescent="0.25">
      <c r="F8709" s="85" t="str">
        <f t="shared" si="84"/>
        <v/>
      </c>
    </row>
    <row r="8710" spans="6:6" x14ac:dyDescent="0.25">
      <c r="F8710" s="85" t="str">
        <f t="shared" si="84"/>
        <v/>
      </c>
    </row>
    <row r="8711" spans="6:6" x14ac:dyDescent="0.25">
      <c r="F8711" s="85" t="str">
        <f t="shared" si="84"/>
        <v/>
      </c>
    </row>
    <row r="8712" spans="6:6" x14ac:dyDescent="0.25">
      <c r="F8712" s="85" t="str">
        <f t="shared" si="84"/>
        <v/>
      </c>
    </row>
    <row r="8713" spans="6:6" x14ac:dyDescent="0.25">
      <c r="F8713" s="85" t="str">
        <f t="shared" si="84"/>
        <v/>
      </c>
    </row>
    <row r="8714" spans="6:6" x14ac:dyDescent="0.25">
      <c r="F8714" s="85" t="str">
        <f t="shared" si="84"/>
        <v/>
      </c>
    </row>
    <row r="8715" spans="6:6" x14ac:dyDescent="0.25">
      <c r="F8715" s="85" t="str">
        <f t="shared" si="84"/>
        <v/>
      </c>
    </row>
    <row r="8716" spans="6:6" x14ac:dyDescent="0.25">
      <c r="F8716" s="85" t="str">
        <f t="shared" si="84"/>
        <v/>
      </c>
    </row>
    <row r="8717" spans="6:6" x14ac:dyDescent="0.25">
      <c r="F8717" s="85" t="str">
        <f t="shared" si="84"/>
        <v/>
      </c>
    </row>
    <row r="8718" spans="6:6" x14ac:dyDescent="0.25">
      <c r="F8718" s="85" t="str">
        <f t="shared" si="84"/>
        <v/>
      </c>
    </row>
    <row r="8719" spans="6:6" x14ac:dyDescent="0.25">
      <c r="F8719" s="85" t="str">
        <f t="shared" si="84"/>
        <v/>
      </c>
    </row>
    <row r="8720" spans="6:6" x14ac:dyDescent="0.25">
      <c r="F8720" s="85" t="str">
        <f t="shared" si="84"/>
        <v/>
      </c>
    </row>
    <row r="8721" spans="6:6" x14ac:dyDescent="0.25">
      <c r="F8721" s="85" t="str">
        <f t="shared" si="84"/>
        <v/>
      </c>
    </row>
    <row r="8722" spans="6:6" x14ac:dyDescent="0.25">
      <c r="F8722" s="85" t="str">
        <f t="shared" si="84"/>
        <v/>
      </c>
    </row>
    <row r="8723" spans="6:6" x14ac:dyDescent="0.25">
      <c r="F8723" s="85" t="str">
        <f t="shared" si="84"/>
        <v/>
      </c>
    </row>
    <row r="8724" spans="6:6" x14ac:dyDescent="0.25">
      <c r="F8724" s="85" t="str">
        <f t="shared" si="84"/>
        <v/>
      </c>
    </row>
    <row r="8725" spans="6:6" x14ac:dyDescent="0.25">
      <c r="F8725" s="85" t="str">
        <f t="shared" si="84"/>
        <v/>
      </c>
    </row>
    <row r="8726" spans="6:6" x14ac:dyDescent="0.25">
      <c r="F8726" s="85" t="str">
        <f t="shared" si="84"/>
        <v/>
      </c>
    </row>
    <row r="8727" spans="6:6" x14ac:dyDescent="0.25">
      <c r="F8727" s="85" t="str">
        <f t="shared" si="84"/>
        <v/>
      </c>
    </row>
    <row r="8728" spans="6:6" x14ac:dyDescent="0.25">
      <c r="F8728" s="85" t="str">
        <f t="shared" si="84"/>
        <v/>
      </c>
    </row>
    <row r="8729" spans="6:6" x14ac:dyDescent="0.25">
      <c r="F8729" s="85" t="str">
        <f t="shared" si="84"/>
        <v/>
      </c>
    </row>
    <row r="8730" spans="6:6" x14ac:dyDescent="0.25">
      <c r="F8730" s="85" t="str">
        <f t="shared" si="84"/>
        <v/>
      </c>
    </row>
    <row r="8731" spans="6:6" x14ac:dyDescent="0.25">
      <c r="F8731" s="85" t="str">
        <f t="shared" si="84"/>
        <v/>
      </c>
    </row>
    <row r="8732" spans="6:6" x14ac:dyDescent="0.25">
      <c r="F8732" s="85" t="str">
        <f t="shared" si="84"/>
        <v/>
      </c>
    </row>
    <row r="8733" spans="6:6" x14ac:dyDescent="0.25">
      <c r="F8733" s="85" t="str">
        <f t="shared" si="84"/>
        <v/>
      </c>
    </row>
    <row r="8734" spans="6:6" x14ac:dyDescent="0.25">
      <c r="F8734" s="85" t="str">
        <f t="shared" si="84"/>
        <v/>
      </c>
    </row>
    <row r="8735" spans="6:6" x14ac:dyDescent="0.25">
      <c r="F8735" s="85" t="str">
        <f t="shared" si="84"/>
        <v/>
      </c>
    </row>
    <row r="8736" spans="6:6" x14ac:dyDescent="0.25">
      <c r="F8736" s="85" t="str">
        <f t="shared" si="84"/>
        <v/>
      </c>
    </row>
    <row r="8737" spans="6:6" x14ac:dyDescent="0.25">
      <c r="F8737" s="85" t="str">
        <f t="shared" si="84"/>
        <v/>
      </c>
    </row>
    <row r="8738" spans="6:6" x14ac:dyDescent="0.25">
      <c r="F8738" s="85" t="str">
        <f t="shared" si="84"/>
        <v/>
      </c>
    </row>
    <row r="8739" spans="6:6" x14ac:dyDescent="0.25">
      <c r="F8739" s="85" t="str">
        <f t="shared" si="84"/>
        <v/>
      </c>
    </row>
    <row r="8740" spans="6:6" x14ac:dyDescent="0.25">
      <c r="F8740" s="85" t="str">
        <f t="shared" si="84"/>
        <v/>
      </c>
    </row>
    <row r="8741" spans="6:6" x14ac:dyDescent="0.25">
      <c r="F8741" s="85" t="str">
        <f t="shared" si="84"/>
        <v/>
      </c>
    </row>
    <row r="8742" spans="6:6" x14ac:dyDescent="0.25">
      <c r="F8742" s="85" t="str">
        <f t="shared" si="84"/>
        <v/>
      </c>
    </row>
    <row r="8743" spans="6:6" x14ac:dyDescent="0.25">
      <c r="F8743" s="85" t="str">
        <f t="shared" si="84"/>
        <v/>
      </c>
    </row>
    <row r="8744" spans="6:6" x14ac:dyDescent="0.25">
      <c r="F8744" s="85" t="str">
        <f t="shared" si="84"/>
        <v/>
      </c>
    </row>
    <row r="8745" spans="6:6" x14ac:dyDescent="0.25">
      <c r="F8745" s="85" t="str">
        <f t="shared" si="84"/>
        <v/>
      </c>
    </row>
    <row r="8746" spans="6:6" x14ac:dyDescent="0.25">
      <c r="F8746" s="85" t="str">
        <f t="shared" si="84"/>
        <v/>
      </c>
    </row>
    <row r="8747" spans="6:6" x14ac:dyDescent="0.25">
      <c r="F8747" s="85" t="str">
        <f t="shared" si="84"/>
        <v/>
      </c>
    </row>
    <row r="8748" spans="6:6" x14ac:dyDescent="0.25">
      <c r="F8748" s="85" t="str">
        <f t="shared" si="84"/>
        <v/>
      </c>
    </row>
    <row r="8749" spans="6:6" x14ac:dyDescent="0.25">
      <c r="F8749" s="85" t="str">
        <f t="shared" si="84"/>
        <v/>
      </c>
    </row>
    <row r="8750" spans="6:6" x14ac:dyDescent="0.25">
      <c r="F8750" s="85" t="str">
        <f t="shared" si="84"/>
        <v/>
      </c>
    </row>
    <row r="8751" spans="6:6" x14ac:dyDescent="0.25">
      <c r="F8751" s="85" t="str">
        <f t="shared" si="84"/>
        <v/>
      </c>
    </row>
    <row r="8752" spans="6:6" x14ac:dyDescent="0.25">
      <c r="F8752" s="85" t="str">
        <f t="shared" si="84"/>
        <v/>
      </c>
    </row>
    <row r="8753" spans="6:6" x14ac:dyDescent="0.25">
      <c r="F8753" s="85" t="str">
        <f t="shared" si="84"/>
        <v/>
      </c>
    </row>
    <row r="8754" spans="6:6" x14ac:dyDescent="0.25">
      <c r="F8754" s="85" t="str">
        <f t="shared" si="84"/>
        <v/>
      </c>
    </row>
    <row r="8755" spans="6:6" x14ac:dyDescent="0.25">
      <c r="F8755" s="85" t="str">
        <f t="shared" si="84"/>
        <v/>
      </c>
    </row>
    <row r="8756" spans="6:6" x14ac:dyDescent="0.25">
      <c r="F8756" s="85" t="str">
        <f t="shared" si="84"/>
        <v/>
      </c>
    </row>
    <row r="8757" spans="6:6" x14ac:dyDescent="0.25">
      <c r="F8757" s="85" t="str">
        <f t="shared" si="84"/>
        <v/>
      </c>
    </row>
    <row r="8758" spans="6:6" x14ac:dyDescent="0.25">
      <c r="F8758" s="85" t="str">
        <f t="shared" si="84"/>
        <v/>
      </c>
    </row>
    <row r="8759" spans="6:6" x14ac:dyDescent="0.25">
      <c r="F8759" s="85" t="str">
        <f t="shared" si="84"/>
        <v/>
      </c>
    </row>
    <row r="8760" spans="6:6" x14ac:dyDescent="0.25">
      <c r="F8760" s="85" t="str">
        <f t="shared" si="84"/>
        <v/>
      </c>
    </row>
    <row r="8761" spans="6:6" x14ac:dyDescent="0.25">
      <c r="F8761" s="85" t="str">
        <f t="shared" si="84"/>
        <v/>
      </c>
    </row>
    <row r="8762" spans="6:6" x14ac:dyDescent="0.25">
      <c r="F8762" s="85" t="str">
        <f t="shared" si="84"/>
        <v/>
      </c>
    </row>
    <row r="8763" spans="6:6" x14ac:dyDescent="0.25">
      <c r="F8763" s="85" t="str">
        <f t="shared" si="84"/>
        <v/>
      </c>
    </row>
    <row r="8764" spans="6:6" x14ac:dyDescent="0.25">
      <c r="F8764" s="85" t="str">
        <f t="shared" si="84"/>
        <v/>
      </c>
    </row>
    <row r="8765" spans="6:6" x14ac:dyDescent="0.25">
      <c r="F8765" s="85" t="str">
        <f t="shared" si="84"/>
        <v/>
      </c>
    </row>
    <row r="8766" spans="6:6" x14ac:dyDescent="0.25">
      <c r="F8766" s="85" t="str">
        <f t="shared" si="84"/>
        <v/>
      </c>
    </row>
    <row r="8767" spans="6:6" x14ac:dyDescent="0.25">
      <c r="F8767" s="85" t="str">
        <f t="shared" si="84"/>
        <v/>
      </c>
    </row>
    <row r="8768" spans="6:6" x14ac:dyDescent="0.25">
      <c r="F8768" s="85" t="str">
        <f t="shared" si="84"/>
        <v/>
      </c>
    </row>
    <row r="8769" spans="6:6" x14ac:dyDescent="0.25">
      <c r="F8769" s="85" t="str">
        <f t="shared" si="84"/>
        <v/>
      </c>
    </row>
    <row r="8770" spans="6:6" x14ac:dyDescent="0.25">
      <c r="F8770" s="85" t="str">
        <f t="shared" si="84"/>
        <v/>
      </c>
    </row>
    <row r="8771" spans="6:6" x14ac:dyDescent="0.25">
      <c r="F8771" s="85" t="str">
        <f t="shared" ref="F8771:F8834" si="85">IF($A8771="","",CONCATENATE($A8771,"_",$B8771,"_",$C8771))</f>
        <v/>
      </c>
    </row>
    <row r="8772" spans="6:6" x14ac:dyDescent="0.25">
      <c r="F8772" s="85" t="str">
        <f t="shared" si="85"/>
        <v/>
      </c>
    </row>
    <row r="8773" spans="6:6" x14ac:dyDescent="0.25">
      <c r="F8773" s="85" t="str">
        <f t="shared" si="85"/>
        <v/>
      </c>
    </row>
    <row r="8774" spans="6:6" x14ac:dyDescent="0.25">
      <c r="F8774" s="85" t="str">
        <f t="shared" si="85"/>
        <v/>
      </c>
    </row>
    <row r="8775" spans="6:6" x14ac:dyDescent="0.25">
      <c r="F8775" s="85" t="str">
        <f t="shared" si="85"/>
        <v/>
      </c>
    </row>
    <row r="8776" spans="6:6" x14ac:dyDescent="0.25">
      <c r="F8776" s="85" t="str">
        <f t="shared" si="85"/>
        <v/>
      </c>
    </row>
    <row r="8777" spans="6:6" x14ac:dyDescent="0.25">
      <c r="F8777" s="85" t="str">
        <f t="shared" si="85"/>
        <v/>
      </c>
    </row>
    <row r="8778" spans="6:6" x14ac:dyDescent="0.25">
      <c r="F8778" s="85" t="str">
        <f t="shared" si="85"/>
        <v/>
      </c>
    </row>
    <row r="8779" spans="6:6" x14ac:dyDescent="0.25">
      <c r="F8779" s="85" t="str">
        <f t="shared" si="85"/>
        <v/>
      </c>
    </row>
    <row r="8780" spans="6:6" x14ac:dyDescent="0.25">
      <c r="F8780" s="85" t="str">
        <f t="shared" si="85"/>
        <v/>
      </c>
    </row>
    <row r="8781" spans="6:6" x14ac:dyDescent="0.25">
      <c r="F8781" s="85" t="str">
        <f t="shared" si="85"/>
        <v/>
      </c>
    </row>
    <row r="8782" spans="6:6" x14ac:dyDescent="0.25">
      <c r="F8782" s="85" t="str">
        <f t="shared" si="85"/>
        <v/>
      </c>
    </row>
    <row r="8783" spans="6:6" x14ac:dyDescent="0.25">
      <c r="F8783" s="85" t="str">
        <f t="shared" si="85"/>
        <v/>
      </c>
    </row>
    <row r="8784" spans="6:6" x14ac:dyDescent="0.25">
      <c r="F8784" s="85" t="str">
        <f t="shared" si="85"/>
        <v/>
      </c>
    </row>
    <row r="8785" spans="6:6" x14ac:dyDescent="0.25">
      <c r="F8785" s="85" t="str">
        <f t="shared" si="85"/>
        <v/>
      </c>
    </row>
    <row r="8786" spans="6:6" x14ac:dyDescent="0.25">
      <c r="F8786" s="85" t="str">
        <f t="shared" si="85"/>
        <v/>
      </c>
    </row>
    <row r="8787" spans="6:6" x14ac:dyDescent="0.25">
      <c r="F8787" s="85" t="str">
        <f t="shared" si="85"/>
        <v/>
      </c>
    </row>
    <row r="8788" spans="6:6" x14ac:dyDescent="0.25">
      <c r="F8788" s="85" t="str">
        <f t="shared" si="85"/>
        <v/>
      </c>
    </row>
    <row r="8789" spans="6:6" x14ac:dyDescent="0.25">
      <c r="F8789" s="85" t="str">
        <f t="shared" si="85"/>
        <v/>
      </c>
    </row>
    <row r="8790" spans="6:6" x14ac:dyDescent="0.25">
      <c r="F8790" s="85" t="str">
        <f t="shared" si="85"/>
        <v/>
      </c>
    </row>
    <row r="8791" spans="6:6" x14ac:dyDescent="0.25">
      <c r="F8791" s="85" t="str">
        <f t="shared" si="85"/>
        <v/>
      </c>
    </row>
    <row r="8792" spans="6:6" x14ac:dyDescent="0.25">
      <c r="F8792" s="85" t="str">
        <f t="shared" si="85"/>
        <v/>
      </c>
    </row>
    <row r="8793" spans="6:6" x14ac:dyDescent="0.25">
      <c r="F8793" s="85" t="str">
        <f t="shared" si="85"/>
        <v/>
      </c>
    </row>
    <row r="8794" spans="6:6" x14ac:dyDescent="0.25">
      <c r="F8794" s="85" t="str">
        <f t="shared" si="85"/>
        <v/>
      </c>
    </row>
    <row r="8795" spans="6:6" x14ac:dyDescent="0.25">
      <c r="F8795" s="85" t="str">
        <f t="shared" si="85"/>
        <v/>
      </c>
    </row>
    <row r="8796" spans="6:6" x14ac:dyDescent="0.25">
      <c r="F8796" s="85" t="str">
        <f t="shared" si="85"/>
        <v/>
      </c>
    </row>
    <row r="8797" spans="6:6" x14ac:dyDescent="0.25">
      <c r="F8797" s="85" t="str">
        <f t="shared" si="85"/>
        <v/>
      </c>
    </row>
    <row r="8798" spans="6:6" x14ac:dyDescent="0.25">
      <c r="F8798" s="85" t="str">
        <f t="shared" si="85"/>
        <v/>
      </c>
    </row>
    <row r="8799" spans="6:6" x14ac:dyDescent="0.25">
      <c r="F8799" s="85" t="str">
        <f t="shared" si="85"/>
        <v/>
      </c>
    </row>
    <row r="8800" spans="6:6" x14ac:dyDescent="0.25">
      <c r="F8800" s="85" t="str">
        <f t="shared" si="85"/>
        <v/>
      </c>
    </row>
    <row r="8801" spans="6:6" x14ac:dyDescent="0.25">
      <c r="F8801" s="85" t="str">
        <f t="shared" si="85"/>
        <v/>
      </c>
    </row>
    <row r="8802" spans="6:6" x14ac:dyDescent="0.25">
      <c r="F8802" s="85" t="str">
        <f t="shared" si="85"/>
        <v/>
      </c>
    </row>
    <row r="8803" spans="6:6" x14ac:dyDescent="0.25">
      <c r="F8803" s="85" t="str">
        <f t="shared" si="85"/>
        <v/>
      </c>
    </row>
    <row r="8804" spans="6:6" x14ac:dyDescent="0.25">
      <c r="F8804" s="85" t="str">
        <f t="shared" si="85"/>
        <v/>
      </c>
    </row>
    <row r="8805" spans="6:6" x14ac:dyDescent="0.25">
      <c r="F8805" s="85" t="str">
        <f t="shared" si="85"/>
        <v/>
      </c>
    </row>
    <row r="8806" spans="6:6" x14ac:dyDescent="0.25">
      <c r="F8806" s="85" t="str">
        <f t="shared" si="85"/>
        <v/>
      </c>
    </row>
    <row r="8807" spans="6:6" x14ac:dyDescent="0.25">
      <c r="F8807" s="85" t="str">
        <f t="shared" si="85"/>
        <v/>
      </c>
    </row>
    <row r="8808" spans="6:6" x14ac:dyDescent="0.25">
      <c r="F8808" s="85" t="str">
        <f t="shared" si="85"/>
        <v/>
      </c>
    </row>
    <row r="8809" spans="6:6" x14ac:dyDescent="0.25">
      <c r="F8809" s="85" t="str">
        <f t="shared" si="85"/>
        <v/>
      </c>
    </row>
    <row r="8810" spans="6:6" x14ac:dyDescent="0.25">
      <c r="F8810" s="85" t="str">
        <f t="shared" si="85"/>
        <v/>
      </c>
    </row>
    <row r="8811" spans="6:6" x14ac:dyDescent="0.25">
      <c r="F8811" s="85" t="str">
        <f t="shared" si="85"/>
        <v/>
      </c>
    </row>
    <row r="8812" spans="6:6" x14ac:dyDescent="0.25">
      <c r="F8812" s="85" t="str">
        <f t="shared" si="85"/>
        <v/>
      </c>
    </row>
    <row r="8813" spans="6:6" x14ac:dyDescent="0.25">
      <c r="F8813" s="85" t="str">
        <f t="shared" si="85"/>
        <v/>
      </c>
    </row>
    <row r="8814" spans="6:6" x14ac:dyDescent="0.25">
      <c r="F8814" s="85" t="str">
        <f t="shared" si="85"/>
        <v/>
      </c>
    </row>
    <row r="8815" spans="6:6" x14ac:dyDescent="0.25">
      <c r="F8815" s="85" t="str">
        <f t="shared" si="85"/>
        <v/>
      </c>
    </row>
    <row r="8816" spans="6:6" x14ac:dyDescent="0.25">
      <c r="F8816" s="85" t="str">
        <f t="shared" si="85"/>
        <v/>
      </c>
    </row>
    <row r="8817" spans="6:6" x14ac:dyDescent="0.25">
      <c r="F8817" s="85" t="str">
        <f t="shared" si="85"/>
        <v/>
      </c>
    </row>
    <row r="8818" spans="6:6" x14ac:dyDescent="0.25">
      <c r="F8818" s="85" t="str">
        <f t="shared" si="85"/>
        <v/>
      </c>
    </row>
    <row r="8819" spans="6:6" x14ac:dyDescent="0.25">
      <c r="F8819" s="85" t="str">
        <f t="shared" si="85"/>
        <v/>
      </c>
    </row>
    <row r="8820" spans="6:6" x14ac:dyDescent="0.25">
      <c r="F8820" s="85" t="str">
        <f t="shared" si="85"/>
        <v/>
      </c>
    </row>
    <row r="8821" spans="6:6" x14ac:dyDescent="0.25">
      <c r="F8821" s="85" t="str">
        <f t="shared" si="85"/>
        <v/>
      </c>
    </row>
    <row r="8822" spans="6:6" x14ac:dyDescent="0.25">
      <c r="F8822" s="85" t="str">
        <f t="shared" si="85"/>
        <v/>
      </c>
    </row>
    <row r="8823" spans="6:6" x14ac:dyDescent="0.25">
      <c r="F8823" s="85" t="str">
        <f t="shared" si="85"/>
        <v/>
      </c>
    </row>
    <row r="8824" spans="6:6" x14ac:dyDescent="0.25">
      <c r="F8824" s="85" t="str">
        <f t="shared" si="85"/>
        <v/>
      </c>
    </row>
    <row r="8825" spans="6:6" x14ac:dyDescent="0.25">
      <c r="F8825" s="85" t="str">
        <f t="shared" si="85"/>
        <v/>
      </c>
    </row>
    <row r="8826" spans="6:6" x14ac:dyDescent="0.25">
      <c r="F8826" s="85" t="str">
        <f t="shared" si="85"/>
        <v/>
      </c>
    </row>
    <row r="8827" spans="6:6" x14ac:dyDescent="0.25">
      <c r="F8827" s="85" t="str">
        <f t="shared" si="85"/>
        <v/>
      </c>
    </row>
    <row r="8828" spans="6:6" x14ac:dyDescent="0.25">
      <c r="F8828" s="85" t="str">
        <f t="shared" si="85"/>
        <v/>
      </c>
    </row>
    <row r="8829" spans="6:6" x14ac:dyDescent="0.25">
      <c r="F8829" s="85" t="str">
        <f t="shared" si="85"/>
        <v/>
      </c>
    </row>
    <row r="8830" spans="6:6" x14ac:dyDescent="0.25">
      <c r="F8830" s="85" t="str">
        <f t="shared" si="85"/>
        <v/>
      </c>
    </row>
    <row r="8831" spans="6:6" x14ac:dyDescent="0.25">
      <c r="F8831" s="85" t="str">
        <f t="shared" si="85"/>
        <v/>
      </c>
    </row>
    <row r="8832" spans="6:6" x14ac:dyDescent="0.25">
      <c r="F8832" s="85" t="str">
        <f t="shared" si="85"/>
        <v/>
      </c>
    </row>
    <row r="8833" spans="6:6" x14ac:dyDescent="0.25">
      <c r="F8833" s="85" t="str">
        <f t="shared" si="85"/>
        <v/>
      </c>
    </row>
    <row r="8834" spans="6:6" x14ac:dyDescent="0.25">
      <c r="F8834" s="85" t="str">
        <f t="shared" si="85"/>
        <v/>
      </c>
    </row>
    <row r="8835" spans="6:6" x14ac:dyDescent="0.25">
      <c r="F8835" s="85" t="str">
        <f t="shared" ref="F8835:F8898" si="86">IF($A8835="","",CONCATENATE($A8835,"_",$B8835,"_",$C8835))</f>
        <v/>
      </c>
    </row>
    <row r="8836" spans="6:6" x14ac:dyDescent="0.25">
      <c r="F8836" s="85" t="str">
        <f t="shared" si="86"/>
        <v/>
      </c>
    </row>
    <row r="8837" spans="6:6" x14ac:dyDescent="0.25">
      <c r="F8837" s="85" t="str">
        <f t="shared" si="86"/>
        <v/>
      </c>
    </row>
    <row r="8838" spans="6:6" x14ac:dyDescent="0.25">
      <c r="F8838" s="85" t="str">
        <f t="shared" si="86"/>
        <v/>
      </c>
    </row>
    <row r="8839" spans="6:6" x14ac:dyDescent="0.25">
      <c r="F8839" s="85" t="str">
        <f t="shared" si="86"/>
        <v/>
      </c>
    </row>
    <row r="8840" spans="6:6" x14ac:dyDescent="0.25">
      <c r="F8840" s="85" t="str">
        <f t="shared" si="86"/>
        <v/>
      </c>
    </row>
    <row r="8841" spans="6:6" x14ac:dyDescent="0.25">
      <c r="F8841" s="85" t="str">
        <f t="shared" si="86"/>
        <v/>
      </c>
    </row>
    <row r="8842" spans="6:6" x14ac:dyDescent="0.25">
      <c r="F8842" s="85" t="str">
        <f t="shared" si="86"/>
        <v/>
      </c>
    </row>
    <row r="8843" spans="6:6" x14ac:dyDescent="0.25">
      <c r="F8843" s="85" t="str">
        <f t="shared" si="86"/>
        <v/>
      </c>
    </row>
    <row r="8844" spans="6:6" x14ac:dyDescent="0.25">
      <c r="F8844" s="85" t="str">
        <f t="shared" si="86"/>
        <v/>
      </c>
    </row>
    <row r="8845" spans="6:6" x14ac:dyDescent="0.25">
      <c r="F8845" s="85" t="str">
        <f t="shared" si="86"/>
        <v/>
      </c>
    </row>
    <row r="8846" spans="6:6" x14ac:dyDescent="0.25">
      <c r="F8846" s="85" t="str">
        <f t="shared" si="86"/>
        <v/>
      </c>
    </row>
    <row r="8847" spans="6:6" x14ac:dyDescent="0.25">
      <c r="F8847" s="85" t="str">
        <f t="shared" si="86"/>
        <v/>
      </c>
    </row>
    <row r="8848" spans="6:6" x14ac:dyDescent="0.25">
      <c r="F8848" s="85" t="str">
        <f t="shared" si="86"/>
        <v/>
      </c>
    </row>
    <row r="8849" spans="6:6" x14ac:dyDescent="0.25">
      <c r="F8849" s="85" t="str">
        <f t="shared" si="86"/>
        <v/>
      </c>
    </row>
    <row r="8850" spans="6:6" x14ac:dyDescent="0.25">
      <c r="F8850" s="85" t="str">
        <f t="shared" si="86"/>
        <v/>
      </c>
    </row>
    <row r="8851" spans="6:6" x14ac:dyDescent="0.25">
      <c r="F8851" s="85" t="str">
        <f t="shared" si="86"/>
        <v/>
      </c>
    </row>
    <row r="8852" spans="6:6" x14ac:dyDescent="0.25">
      <c r="F8852" s="85" t="str">
        <f t="shared" si="86"/>
        <v/>
      </c>
    </row>
    <row r="8853" spans="6:6" x14ac:dyDescent="0.25">
      <c r="F8853" s="85" t="str">
        <f t="shared" si="86"/>
        <v/>
      </c>
    </row>
    <row r="8854" spans="6:6" x14ac:dyDescent="0.25">
      <c r="F8854" s="85" t="str">
        <f t="shared" si="86"/>
        <v/>
      </c>
    </row>
    <row r="8855" spans="6:6" x14ac:dyDescent="0.25">
      <c r="F8855" s="85" t="str">
        <f t="shared" si="86"/>
        <v/>
      </c>
    </row>
    <row r="8856" spans="6:6" x14ac:dyDescent="0.25">
      <c r="F8856" s="85" t="str">
        <f t="shared" si="86"/>
        <v/>
      </c>
    </row>
    <row r="8857" spans="6:6" x14ac:dyDescent="0.25">
      <c r="F8857" s="85" t="str">
        <f t="shared" si="86"/>
        <v/>
      </c>
    </row>
    <row r="8858" spans="6:6" x14ac:dyDescent="0.25">
      <c r="F8858" s="85" t="str">
        <f t="shared" si="86"/>
        <v/>
      </c>
    </row>
    <row r="8859" spans="6:6" x14ac:dyDescent="0.25">
      <c r="F8859" s="85" t="str">
        <f t="shared" si="86"/>
        <v/>
      </c>
    </row>
    <row r="8860" spans="6:6" x14ac:dyDescent="0.25">
      <c r="F8860" s="85" t="str">
        <f t="shared" si="86"/>
        <v/>
      </c>
    </row>
    <row r="8861" spans="6:6" x14ac:dyDescent="0.25">
      <c r="F8861" s="85" t="str">
        <f t="shared" si="86"/>
        <v/>
      </c>
    </row>
    <row r="8862" spans="6:6" x14ac:dyDescent="0.25">
      <c r="F8862" s="85" t="str">
        <f t="shared" si="86"/>
        <v/>
      </c>
    </row>
    <row r="8863" spans="6:6" x14ac:dyDescent="0.25">
      <c r="F8863" s="85" t="str">
        <f t="shared" si="86"/>
        <v/>
      </c>
    </row>
    <row r="8864" spans="6:6" x14ac:dyDescent="0.25">
      <c r="F8864" s="85" t="str">
        <f t="shared" si="86"/>
        <v/>
      </c>
    </row>
    <row r="8865" spans="6:6" x14ac:dyDescent="0.25">
      <c r="F8865" s="85" t="str">
        <f t="shared" si="86"/>
        <v/>
      </c>
    </row>
    <row r="8866" spans="6:6" x14ac:dyDescent="0.25">
      <c r="F8866" s="85" t="str">
        <f t="shared" si="86"/>
        <v/>
      </c>
    </row>
    <row r="8867" spans="6:6" x14ac:dyDescent="0.25">
      <c r="F8867" s="85" t="str">
        <f t="shared" si="86"/>
        <v/>
      </c>
    </row>
    <row r="8868" spans="6:6" x14ac:dyDescent="0.25">
      <c r="F8868" s="85" t="str">
        <f t="shared" si="86"/>
        <v/>
      </c>
    </row>
    <row r="8869" spans="6:6" x14ac:dyDescent="0.25">
      <c r="F8869" s="85" t="str">
        <f t="shared" si="86"/>
        <v/>
      </c>
    </row>
    <row r="8870" spans="6:6" x14ac:dyDescent="0.25">
      <c r="F8870" s="85" t="str">
        <f t="shared" si="86"/>
        <v/>
      </c>
    </row>
    <row r="8871" spans="6:6" x14ac:dyDescent="0.25">
      <c r="F8871" s="85" t="str">
        <f t="shared" si="86"/>
        <v/>
      </c>
    </row>
    <row r="8872" spans="6:6" x14ac:dyDescent="0.25">
      <c r="F8872" s="85" t="str">
        <f t="shared" si="86"/>
        <v/>
      </c>
    </row>
    <row r="8873" spans="6:6" x14ac:dyDescent="0.25">
      <c r="F8873" s="85" t="str">
        <f t="shared" si="86"/>
        <v/>
      </c>
    </row>
    <row r="8874" spans="6:6" x14ac:dyDescent="0.25">
      <c r="F8874" s="85" t="str">
        <f t="shared" si="86"/>
        <v/>
      </c>
    </row>
    <row r="8875" spans="6:6" x14ac:dyDescent="0.25">
      <c r="F8875" s="85" t="str">
        <f t="shared" si="86"/>
        <v/>
      </c>
    </row>
    <row r="8876" spans="6:6" x14ac:dyDescent="0.25">
      <c r="F8876" s="85" t="str">
        <f t="shared" si="86"/>
        <v/>
      </c>
    </row>
    <row r="8877" spans="6:6" x14ac:dyDescent="0.25">
      <c r="F8877" s="85" t="str">
        <f t="shared" si="86"/>
        <v/>
      </c>
    </row>
    <row r="8878" spans="6:6" x14ac:dyDescent="0.25">
      <c r="F8878" s="85" t="str">
        <f t="shared" si="86"/>
        <v/>
      </c>
    </row>
    <row r="8879" spans="6:6" x14ac:dyDescent="0.25">
      <c r="F8879" s="85" t="str">
        <f t="shared" si="86"/>
        <v/>
      </c>
    </row>
    <row r="8880" spans="6:6" x14ac:dyDescent="0.25">
      <c r="F8880" s="85" t="str">
        <f t="shared" si="86"/>
        <v/>
      </c>
    </row>
    <row r="8881" spans="6:6" x14ac:dyDescent="0.25">
      <c r="F8881" s="85" t="str">
        <f t="shared" si="86"/>
        <v/>
      </c>
    </row>
    <row r="8882" spans="6:6" x14ac:dyDescent="0.25">
      <c r="F8882" s="85" t="str">
        <f t="shared" si="86"/>
        <v/>
      </c>
    </row>
    <row r="8883" spans="6:6" x14ac:dyDescent="0.25">
      <c r="F8883" s="85" t="str">
        <f t="shared" si="86"/>
        <v/>
      </c>
    </row>
    <row r="8884" spans="6:6" x14ac:dyDescent="0.25">
      <c r="F8884" s="85" t="str">
        <f t="shared" si="86"/>
        <v/>
      </c>
    </row>
    <row r="8885" spans="6:6" x14ac:dyDescent="0.25">
      <c r="F8885" s="85" t="str">
        <f t="shared" si="86"/>
        <v/>
      </c>
    </row>
    <row r="8886" spans="6:6" x14ac:dyDescent="0.25">
      <c r="F8886" s="85" t="str">
        <f t="shared" si="86"/>
        <v/>
      </c>
    </row>
    <row r="8887" spans="6:6" x14ac:dyDescent="0.25">
      <c r="F8887" s="85" t="str">
        <f t="shared" si="86"/>
        <v/>
      </c>
    </row>
    <row r="8888" spans="6:6" x14ac:dyDescent="0.25">
      <c r="F8888" s="85" t="str">
        <f t="shared" si="86"/>
        <v/>
      </c>
    </row>
    <row r="8889" spans="6:6" x14ac:dyDescent="0.25">
      <c r="F8889" s="85" t="str">
        <f t="shared" si="86"/>
        <v/>
      </c>
    </row>
    <row r="8890" spans="6:6" x14ac:dyDescent="0.25">
      <c r="F8890" s="85" t="str">
        <f t="shared" si="86"/>
        <v/>
      </c>
    </row>
    <row r="8891" spans="6:6" x14ac:dyDescent="0.25">
      <c r="F8891" s="85" t="str">
        <f t="shared" si="86"/>
        <v/>
      </c>
    </row>
    <row r="8892" spans="6:6" x14ac:dyDescent="0.25">
      <c r="F8892" s="85" t="str">
        <f t="shared" si="86"/>
        <v/>
      </c>
    </row>
    <row r="8893" spans="6:6" x14ac:dyDescent="0.25">
      <c r="F8893" s="85" t="str">
        <f t="shared" si="86"/>
        <v/>
      </c>
    </row>
    <row r="8894" spans="6:6" x14ac:dyDescent="0.25">
      <c r="F8894" s="85" t="str">
        <f t="shared" si="86"/>
        <v/>
      </c>
    </row>
    <row r="8895" spans="6:6" x14ac:dyDescent="0.25">
      <c r="F8895" s="85" t="str">
        <f t="shared" si="86"/>
        <v/>
      </c>
    </row>
    <row r="8896" spans="6:6" x14ac:dyDescent="0.25">
      <c r="F8896" s="85" t="str">
        <f t="shared" si="86"/>
        <v/>
      </c>
    </row>
    <row r="8897" spans="6:6" x14ac:dyDescent="0.25">
      <c r="F8897" s="85" t="str">
        <f t="shared" si="86"/>
        <v/>
      </c>
    </row>
    <row r="8898" spans="6:6" x14ac:dyDescent="0.25">
      <c r="F8898" s="85" t="str">
        <f t="shared" si="86"/>
        <v/>
      </c>
    </row>
    <row r="8899" spans="6:6" x14ac:dyDescent="0.25">
      <c r="F8899" s="85" t="str">
        <f t="shared" ref="F8899:F8962" si="87">IF($A8899="","",CONCATENATE($A8899,"_",$B8899,"_",$C8899))</f>
        <v/>
      </c>
    </row>
    <row r="8900" spans="6:6" x14ac:dyDescent="0.25">
      <c r="F8900" s="85" t="str">
        <f t="shared" si="87"/>
        <v/>
      </c>
    </row>
    <row r="8901" spans="6:6" x14ac:dyDescent="0.25">
      <c r="F8901" s="85" t="str">
        <f t="shared" si="87"/>
        <v/>
      </c>
    </row>
    <row r="8902" spans="6:6" x14ac:dyDescent="0.25">
      <c r="F8902" s="85" t="str">
        <f t="shared" si="87"/>
        <v/>
      </c>
    </row>
    <row r="8903" spans="6:6" x14ac:dyDescent="0.25">
      <c r="F8903" s="85" t="str">
        <f t="shared" si="87"/>
        <v/>
      </c>
    </row>
    <row r="8904" spans="6:6" x14ac:dyDescent="0.25">
      <c r="F8904" s="85" t="str">
        <f t="shared" si="87"/>
        <v/>
      </c>
    </row>
    <row r="8905" spans="6:6" x14ac:dyDescent="0.25">
      <c r="F8905" s="85" t="str">
        <f t="shared" si="87"/>
        <v/>
      </c>
    </row>
    <row r="8906" spans="6:6" x14ac:dyDescent="0.25">
      <c r="F8906" s="85" t="str">
        <f t="shared" si="87"/>
        <v/>
      </c>
    </row>
    <row r="8907" spans="6:6" x14ac:dyDescent="0.25">
      <c r="F8907" s="85" t="str">
        <f t="shared" si="87"/>
        <v/>
      </c>
    </row>
    <row r="8908" spans="6:6" x14ac:dyDescent="0.25">
      <c r="F8908" s="85" t="str">
        <f t="shared" si="87"/>
        <v/>
      </c>
    </row>
    <row r="8909" spans="6:6" x14ac:dyDescent="0.25">
      <c r="F8909" s="85" t="str">
        <f t="shared" si="87"/>
        <v/>
      </c>
    </row>
    <row r="8910" spans="6:6" x14ac:dyDescent="0.25">
      <c r="F8910" s="85" t="str">
        <f t="shared" si="87"/>
        <v/>
      </c>
    </row>
    <row r="8911" spans="6:6" x14ac:dyDescent="0.25">
      <c r="F8911" s="85" t="str">
        <f t="shared" si="87"/>
        <v/>
      </c>
    </row>
    <row r="8912" spans="6:6" x14ac:dyDescent="0.25">
      <c r="F8912" s="85" t="str">
        <f t="shared" si="87"/>
        <v/>
      </c>
    </row>
    <row r="8913" spans="6:6" x14ac:dyDescent="0.25">
      <c r="F8913" s="85" t="str">
        <f t="shared" si="87"/>
        <v/>
      </c>
    </row>
    <row r="8914" spans="6:6" x14ac:dyDescent="0.25">
      <c r="F8914" s="85" t="str">
        <f t="shared" si="87"/>
        <v/>
      </c>
    </row>
    <row r="8915" spans="6:6" x14ac:dyDescent="0.25">
      <c r="F8915" s="85" t="str">
        <f t="shared" si="87"/>
        <v/>
      </c>
    </row>
    <row r="8916" spans="6:6" x14ac:dyDescent="0.25">
      <c r="F8916" s="85" t="str">
        <f t="shared" si="87"/>
        <v/>
      </c>
    </row>
    <row r="8917" spans="6:6" x14ac:dyDescent="0.25">
      <c r="F8917" s="85" t="str">
        <f t="shared" si="87"/>
        <v/>
      </c>
    </row>
    <row r="8918" spans="6:6" x14ac:dyDescent="0.25">
      <c r="F8918" s="85" t="str">
        <f t="shared" si="87"/>
        <v/>
      </c>
    </row>
    <row r="8919" spans="6:6" x14ac:dyDescent="0.25">
      <c r="F8919" s="85" t="str">
        <f t="shared" si="87"/>
        <v/>
      </c>
    </row>
    <row r="8920" spans="6:6" x14ac:dyDescent="0.25">
      <c r="F8920" s="85" t="str">
        <f t="shared" si="87"/>
        <v/>
      </c>
    </row>
    <row r="8921" spans="6:6" x14ac:dyDescent="0.25">
      <c r="F8921" s="85" t="str">
        <f t="shared" si="87"/>
        <v/>
      </c>
    </row>
    <row r="8922" spans="6:6" x14ac:dyDescent="0.25">
      <c r="F8922" s="85" t="str">
        <f t="shared" si="87"/>
        <v/>
      </c>
    </row>
    <row r="8923" spans="6:6" x14ac:dyDescent="0.25">
      <c r="F8923" s="85" t="str">
        <f t="shared" si="87"/>
        <v/>
      </c>
    </row>
    <row r="8924" spans="6:6" x14ac:dyDescent="0.25">
      <c r="F8924" s="85" t="str">
        <f t="shared" si="87"/>
        <v/>
      </c>
    </row>
    <row r="8925" spans="6:6" x14ac:dyDescent="0.25">
      <c r="F8925" s="85" t="str">
        <f t="shared" si="87"/>
        <v/>
      </c>
    </row>
    <row r="8926" spans="6:6" x14ac:dyDescent="0.25">
      <c r="F8926" s="85" t="str">
        <f t="shared" si="87"/>
        <v/>
      </c>
    </row>
    <row r="8927" spans="6:6" x14ac:dyDescent="0.25">
      <c r="F8927" s="85" t="str">
        <f t="shared" si="87"/>
        <v/>
      </c>
    </row>
    <row r="8928" spans="6:6" x14ac:dyDescent="0.25">
      <c r="F8928" s="85" t="str">
        <f t="shared" si="87"/>
        <v/>
      </c>
    </row>
    <row r="8929" spans="6:6" x14ac:dyDescent="0.25">
      <c r="F8929" s="85" t="str">
        <f t="shared" si="87"/>
        <v/>
      </c>
    </row>
    <row r="8930" spans="6:6" x14ac:dyDescent="0.25">
      <c r="F8930" s="85" t="str">
        <f t="shared" si="87"/>
        <v/>
      </c>
    </row>
    <row r="8931" spans="6:6" x14ac:dyDescent="0.25">
      <c r="F8931" s="85" t="str">
        <f t="shared" si="87"/>
        <v/>
      </c>
    </row>
    <row r="8932" spans="6:6" x14ac:dyDescent="0.25">
      <c r="F8932" s="85" t="str">
        <f t="shared" si="87"/>
        <v/>
      </c>
    </row>
    <row r="8933" spans="6:6" x14ac:dyDescent="0.25">
      <c r="F8933" s="85" t="str">
        <f t="shared" si="87"/>
        <v/>
      </c>
    </row>
    <row r="8934" spans="6:6" x14ac:dyDescent="0.25">
      <c r="F8934" s="85" t="str">
        <f t="shared" si="87"/>
        <v/>
      </c>
    </row>
    <row r="8935" spans="6:6" x14ac:dyDescent="0.25">
      <c r="F8935" s="85" t="str">
        <f t="shared" si="87"/>
        <v/>
      </c>
    </row>
    <row r="8936" spans="6:6" x14ac:dyDescent="0.25">
      <c r="F8936" s="85" t="str">
        <f t="shared" si="87"/>
        <v/>
      </c>
    </row>
    <row r="8937" spans="6:6" x14ac:dyDescent="0.25">
      <c r="F8937" s="85" t="str">
        <f t="shared" si="87"/>
        <v/>
      </c>
    </row>
    <row r="8938" spans="6:6" x14ac:dyDescent="0.25">
      <c r="F8938" s="85" t="str">
        <f t="shared" si="87"/>
        <v/>
      </c>
    </row>
    <row r="8939" spans="6:6" x14ac:dyDescent="0.25">
      <c r="F8939" s="85" t="str">
        <f t="shared" si="87"/>
        <v/>
      </c>
    </row>
    <row r="8940" spans="6:6" x14ac:dyDescent="0.25">
      <c r="F8940" s="85" t="str">
        <f t="shared" si="87"/>
        <v/>
      </c>
    </row>
    <row r="8941" spans="6:6" x14ac:dyDescent="0.25">
      <c r="F8941" s="85" t="str">
        <f t="shared" si="87"/>
        <v/>
      </c>
    </row>
    <row r="8942" spans="6:6" x14ac:dyDescent="0.25">
      <c r="F8942" s="85" t="str">
        <f t="shared" si="87"/>
        <v/>
      </c>
    </row>
    <row r="8943" spans="6:6" x14ac:dyDescent="0.25">
      <c r="F8943" s="85" t="str">
        <f t="shared" si="87"/>
        <v/>
      </c>
    </row>
    <row r="8944" spans="6:6" x14ac:dyDescent="0.25">
      <c r="F8944" s="85" t="str">
        <f t="shared" si="87"/>
        <v/>
      </c>
    </row>
    <row r="8945" spans="6:6" x14ac:dyDescent="0.25">
      <c r="F8945" s="85" t="str">
        <f t="shared" si="87"/>
        <v/>
      </c>
    </row>
    <row r="8946" spans="6:6" x14ac:dyDescent="0.25">
      <c r="F8946" s="85" t="str">
        <f t="shared" si="87"/>
        <v/>
      </c>
    </row>
    <row r="8947" spans="6:6" x14ac:dyDescent="0.25">
      <c r="F8947" s="85" t="str">
        <f t="shared" si="87"/>
        <v/>
      </c>
    </row>
    <row r="8948" spans="6:6" x14ac:dyDescent="0.25">
      <c r="F8948" s="85" t="str">
        <f t="shared" si="87"/>
        <v/>
      </c>
    </row>
    <row r="8949" spans="6:6" x14ac:dyDescent="0.25">
      <c r="F8949" s="85" t="str">
        <f t="shared" si="87"/>
        <v/>
      </c>
    </row>
    <row r="8950" spans="6:6" x14ac:dyDescent="0.25">
      <c r="F8950" s="85" t="str">
        <f t="shared" si="87"/>
        <v/>
      </c>
    </row>
    <row r="8951" spans="6:6" x14ac:dyDescent="0.25">
      <c r="F8951" s="85" t="str">
        <f t="shared" si="87"/>
        <v/>
      </c>
    </row>
    <row r="8952" spans="6:6" x14ac:dyDescent="0.25">
      <c r="F8952" s="85" t="str">
        <f t="shared" si="87"/>
        <v/>
      </c>
    </row>
    <row r="8953" spans="6:6" x14ac:dyDescent="0.25">
      <c r="F8953" s="85" t="str">
        <f t="shared" si="87"/>
        <v/>
      </c>
    </row>
    <row r="8954" spans="6:6" x14ac:dyDescent="0.25">
      <c r="F8954" s="85" t="str">
        <f t="shared" si="87"/>
        <v/>
      </c>
    </row>
    <row r="8955" spans="6:6" x14ac:dyDescent="0.25">
      <c r="F8955" s="85" t="str">
        <f t="shared" si="87"/>
        <v/>
      </c>
    </row>
    <row r="8956" spans="6:6" x14ac:dyDescent="0.25">
      <c r="F8956" s="85" t="str">
        <f t="shared" si="87"/>
        <v/>
      </c>
    </row>
    <row r="8957" spans="6:6" x14ac:dyDescent="0.25">
      <c r="F8957" s="85" t="str">
        <f t="shared" si="87"/>
        <v/>
      </c>
    </row>
    <row r="8958" spans="6:6" x14ac:dyDescent="0.25">
      <c r="F8958" s="85" t="str">
        <f t="shared" si="87"/>
        <v/>
      </c>
    </row>
    <row r="8959" spans="6:6" x14ac:dyDescent="0.25">
      <c r="F8959" s="85" t="str">
        <f t="shared" si="87"/>
        <v/>
      </c>
    </row>
    <row r="8960" spans="6:6" x14ac:dyDescent="0.25">
      <c r="F8960" s="85" t="str">
        <f t="shared" si="87"/>
        <v/>
      </c>
    </row>
    <row r="8961" spans="6:6" x14ac:dyDescent="0.25">
      <c r="F8961" s="85" t="str">
        <f t="shared" si="87"/>
        <v/>
      </c>
    </row>
    <row r="8962" spans="6:6" x14ac:dyDescent="0.25">
      <c r="F8962" s="85" t="str">
        <f t="shared" si="87"/>
        <v/>
      </c>
    </row>
    <row r="8963" spans="6:6" x14ac:dyDescent="0.25">
      <c r="F8963" s="85" t="str">
        <f t="shared" ref="F8963:F9026" si="88">IF($A8963="","",CONCATENATE($A8963,"_",$B8963,"_",$C8963))</f>
        <v/>
      </c>
    </row>
    <row r="8964" spans="6:6" x14ac:dyDescent="0.25">
      <c r="F8964" s="85" t="str">
        <f t="shared" si="88"/>
        <v/>
      </c>
    </row>
    <row r="8965" spans="6:6" x14ac:dyDescent="0.25">
      <c r="F8965" s="85" t="str">
        <f t="shared" si="88"/>
        <v/>
      </c>
    </row>
    <row r="8966" spans="6:6" x14ac:dyDescent="0.25">
      <c r="F8966" s="85" t="str">
        <f t="shared" si="88"/>
        <v/>
      </c>
    </row>
    <row r="8967" spans="6:6" x14ac:dyDescent="0.25">
      <c r="F8967" s="85" t="str">
        <f t="shared" si="88"/>
        <v/>
      </c>
    </row>
    <row r="8968" spans="6:6" x14ac:dyDescent="0.25">
      <c r="F8968" s="85" t="str">
        <f t="shared" si="88"/>
        <v/>
      </c>
    </row>
    <row r="8969" spans="6:6" x14ac:dyDescent="0.25">
      <c r="F8969" s="85" t="str">
        <f t="shared" si="88"/>
        <v/>
      </c>
    </row>
    <row r="8970" spans="6:6" x14ac:dyDescent="0.25">
      <c r="F8970" s="85" t="str">
        <f t="shared" si="88"/>
        <v/>
      </c>
    </row>
    <row r="8971" spans="6:6" x14ac:dyDescent="0.25">
      <c r="F8971" s="85" t="str">
        <f t="shared" si="88"/>
        <v/>
      </c>
    </row>
    <row r="8972" spans="6:6" x14ac:dyDescent="0.25">
      <c r="F8972" s="85" t="str">
        <f t="shared" si="88"/>
        <v/>
      </c>
    </row>
    <row r="8973" spans="6:6" x14ac:dyDescent="0.25">
      <c r="F8973" s="85" t="str">
        <f t="shared" si="88"/>
        <v/>
      </c>
    </row>
    <row r="8974" spans="6:6" x14ac:dyDescent="0.25">
      <c r="F8974" s="85" t="str">
        <f t="shared" si="88"/>
        <v/>
      </c>
    </row>
    <row r="8975" spans="6:6" x14ac:dyDescent="0.25">
      <c r="F8975" s="85" t="str">
        <f t="shared" si="88"/>
        <v/>
      </c>
    </row>
    <row r="8976" spans="6:6" x14ac:dyDescent="0.25">
      <c r="F8976" s="85" t="str">
        <f t="shared" si="88"/>
        <v/>
      </c>
    </row>
    <row r="8977" spans="6:6" x14ac:dyDescent="0.25">
      <c r="F8977" s="85" t="str">
        <f t="shared" si="88"/>
        <v/>
      </c>
    </row>
    <row r="8978" spans="6:6" x14ac:dyDescent="0.25">
      <c r="F8978" s="85" t="str">
        <f t="shared" si="88"/>
        <v/>
      </c>
    </row>
    <row r="8979" spans="6:6" x14ac:dyDescent="0.25">
      <c r="F8979" s="85" t="str">
        <f t="shared" si="88"/>
        <v/>
      </c>
    </row>
    <row r="8980" spans="6:6" x14ac:dyDescent="0.25">
      <c r="F8980" s="85" t="str">
        <f t="shared" si="88"/>
        <v/>
      </c>
    </row>
    <row r="8981" spans="6:6" x14ac:dyDescent="0.25">
      <c r="F8981" s="85" t="str">
        <f t="shared" si="88"/>
        <v/>
      </c>
    </row>
    <row r="8982" spans="6:6" x14ac:dyDescent="0.25">
      <c r="F8982" s="85" t="str">
        <f t="shared" si="88"/>
        <v/>
      </c>
    </row>
    <row r="8983" spans="6:6" x14ac:dyDescent="0.25">
      <c r="F8983" s="85" t="str">
        <f t="shared" si="88"/>
        <v/>
      </c>
    </row>
    <row r="8984" spans="6:6" x14ac:dyDescent="0.25">
      <c r="F8984" s="85" t="str">
        <f t="shared" si="88"/>
        <v/>
      </c>
    </row>
    <row r="8985" spans="6:6" x14ac:dyDescent="0.25">
      <c r="F8985" s="85" t="str">
        <f t="shared" si="88"/>
        <v/>
      </c>
    </row>
    <row r="8986" spans="6:6" x14ac:dyDescent="0.25">
      <c r="F8986" s="85" t="str">
        <f t="shared" si="88"/>
        <v/>
      </c>
    </row>
    <row r="8987" spans="6:6" x14ac:dyDescent="0.25">
      <c r="F8987" s="85" t="str">
        <f t="shared" si="88"/>
        <v/>
      </c>
    </row>
    <row r="8988" spans="6:6" x14ac:dyDescent="0.25">
      <c r="F8988" s="85" t="str">
        <f t="shared" si="88"/>
        <v/>
      </c>
    </row>
    <row r="8989" spans="6:6" x14ac:dyDescent="0.25">
      <c r="F8989" s="85" t="str">
        <f t="shared" si="88"/>
        <v/>
      </c>
    </row>
    <row r="8990" spans="6:6" x14ac:dyDescent="0.25">
      <c r="F8990" s="85" t="str">
        <f t="shared" si="88"/>
        <v/>
      </c>
    </row>
    <row r="8991" spans="6:6" x14ac:dyDescent="0.25">
      <c r="F8991" s="85" t="str">
        <f t="shared" si="88"/>
        <v/>
      </c>
    </row>
    <row r="8992" spans="6:6" x14ac:dyDescent="0.25">
      <c r="F8992" s="85" t="str">
        <f t="shared" si="88"/>
        <v/>
      </c>
    </row>
    <row r="8993" spans="6:6" x14ac:dyDescent="0.25">
      <c r="F8993" s="85" t="str">
        <f t="shared" si="88"/>
        <v/>
      </c>
    </row>
    <row r="8994" spans="6:6" x14ac:dyDescent="0.25">
      <c r="F8994" s="85" t="str">
        <f t="shared" si="88"/>
        <v/>
      </c>
    </row>
    <row r="8995" spans="6:6" x14ac:dyDescent="0.25">
      <c r="F8995" s="85" t="str">
        <f t="shared" si="88"/>
        <v/>
      </c>
    </row>
    <row r="8996" spans="6:6" x14ac:dyDescent="0.25">
      <c r="F8996" s="85" t="str">
        <f t="shared" si="88"/>
        <v/>
      </c>
    </row>
    <row r="8997" spans="6:6" x14ac:dyDescent="0.25">
      <c r="F8997" s="85" t="str">
        <f t="shared" si="88"/>
        <v/>
      </c>
    </row>
    <row r="8998" spans="6:6" x14ac:dyDescent="0.25">
      <c r="F8998" s="85" t="str">
        <f t="shared" si="88"/>
        <v/>
      </c>
    </row>
    <row r="8999" spans="6:6" x14ac:dyDescent="0.25">
      <c r="F8999" s="85" t="str">
        <f t="shared" si="88"/>
        <v/>
      </c>
    </row>
    <row r="9000" spans="6:6" x14ac:dyDescent="0.25">
      <c r="F9000" s="85" t="str">
        <f t="shared" si="88"/>
        <v/>
      </c>
    </row>
    <row r="9001" spans="6:6" x14ac:dyDescent="0.25">
      <c r="F9001" s="85" t="str">
        <f t="shared" si="88"/>
        <v/>
      </c>
    </row>
    <row r="9002" spans="6:6" x14ac:dyDescent="0.25">
      <c r="F9002" s="85" t="str">
        <f t="shared" si="88"/>
        <v/>
      </c>
    </row>
    <row r="9003" spans="6:6" x14ac:dyDescent="0.25">
      <c r="F9003" s="85" t="str">
        <f t="shared" si="88"/>
        <v/>
      </c>
    </row>
    <row r="9004" spans="6:6" x14ac:dyDescent="0.25">
      <c r="F9004" s="85" t="str">
        <f t="shared" si="88"/>
        <v/>
      </c>
    </row>
    <row r="9005" spans="6:6" x14ac:dyDescent="0.25">
      <c r="F9005" s="85" t="str">
        <f t="shared" si="88"/>
        <v/>
      </c>
    </row>
    <row r="9006" spans="6:6" x14ac:dyDescent="0.25">
      <c r="F9006" s="85" t="str">
        <f t="shared" si="88"/>
        <v/>
      </c>
    </row>
    <row r="9007" spans="6:6" x14ac:dyDescent="0.25">
      <c r="F9007" s="85" t="str">
        <f t="shared" si="88"/>
        <v/>
      </c>
    </row>
    <row r="9008" spans="6:6" x14ac:dyDescent="0.25">
      <c r="F9008" s="85" t="str">
        <f t="shared" si="88"/>
        <v/>
      </c>
    </row>
    <row r="9009" spans="6:6" x14ac:dyDescent="0.25">
      <c r="F9009" s="85" t="str">
        <f t="shared" si="88"/>
        <v/>
      </c>
    </row>
    <row r="9010" spans="6:6" x14ac:dyDescent="0.25">
      <c r="F9010" s="85" t="str">
        <f t="shared" si="88"/>
        <v/>
      </c>
    </row>
    <row r="9011" spans="6:6" x14ac:dyDescent="0.25">
      <c r="F9011" s="85" t="str">
        <f t="shared" si="88"/>
        <v/>
      </c>
    </row>
    <row r="9012" spans="6:6" x14ac:dyDescent="0.25">
      <c r="F9012" s="85" t="str">
        <f t="shared" si="88"/>
        <v/>
      </c>
    </row>
    <row r="9013" spans="6:6" x14ac:dyDescent="0.25">
      <c r="F9013" s="85" t="str">
        <f t="shared" si="88"/>
        <v/>
      </c>
    </row>
    <row r="9014" spans="6:6" x14ac:dyDescent="0.25">
      <c r="F9014" s="85" t="str">
        <f t="shared" si="88"/>
        <v/>
      </c>
    </row>
    <row r="9015" spans="6:6" x14ac:dyDescent="0.25">
      <c r="F9015" s="85" t="str">
        <f t="shared" si="88"/>
        <v/>
      </c>
    </row>
    <row r="9016" spans="6:6" x14ac:dyDescent="0.25">
      <c r="F9016" s="85" t="str">
        <f t="shared" si="88"/>
        <v/>
      </c>
    </row>
    <row r="9017" spans="6:6" x14ac:dyDescent="0.25">
      <c r="F9017" s="85" t="str">
        <f t="shared" si="88"/>
        <v/>
      </c>
    </row>
    <row r="9018" spans="6:6" x14ac:dyDescent="0.25">
      <c r="F9018" s="85" t="str">
        <f t="shared" si="88"/>
        <v/>
      </c>
    </row>
    <row r="9019" spans="6:6" x14ac:dyDescent="0.25">
      <c r="F9019" s="85" t="str">
        <f t="shared" si="88"/>
        <v/>
      </c>
    </row>
    <row r="9020" spans="6:6" x14ac:dyDescent="0.25">
      <c r="F9020" s="85" t="str">
        <f t="shared" si="88"/>
        <v/>
      </c>
    </row>
    <row r="9021" spans="6:6" x14ac:dyDescent="0.25">
      <c r="F9021" s="85" t="str">
        <f t="shared" si="88"/>
        <v/>
      </c>
    </row>
    <row r="9022" spans="6:6" x14ac:dyDescent="0.25">
      <c r="F9022" s="85" t="str">
        <f t="shared" si="88"/>
        <v/>
      </c>
    </row>
    <row r="9023" spans="6:6" x14ac:dyDescent="0.25">
      <c r="F9023" s="85" t="str">
        <f t="shared" si="88"/>
        <v/>
      </c>
    </row>
    <row r="9024" spans="6:6" x14ac:dyDescent="0.25">
      <c r="F9024" s="85" t="str">
        <f t="shared" si="88"/>
        <v/>
      </c>
    </row>
    <row r="9025" spans="6:6" x14ac:dyDescent="0.25">
      <c r="F9025" s="85" t="str">
        <f t="shared" si="88"/>
        <v/>
      </c>
    </row>
    <row r="9026" spans="6:6" x14ac:dyDescent="0.25">
      <c r="F9026" s="85" t="str">
        <f t="shared" si="88"/>
        <v/>
      </c>
    </row>
    <row r="9027" spans="6:6" x14ac:dyDescent="0.25">
      <c r="F9027" s="85" t="str">
        <f t="shared" ref="F9027:F9090" si="89">IF($A9027="","",CONCATENATE($A9027,"_",$B9027,"_",$C9027))</f>
        <v/>
      </c>
    </row>
    <row r="9028" spans="6:6" x14ac:dyDescent="0.25">
      <c r="F9028" s="85" t="str">
        <f t="shared" si="89"/>
        <v/>
      </c>
    </row>
    <row r="9029" spans="6:6" x14ac:dyDescent="0.25">
      <c r="F9029" s="85" t="str">
        <f t="shared" si="89"/>
        <v/>
      </c>
    </row>
    <row r="9030" spans="6:6" x14ac:dyDescent="0.25">
      <c r="F9030" s="85" t="str">
        <f t="shared" si="89"/>
        <v/>
      </c>
    </row>
    <row r="9031" spans="6:6" x14ac:dyDescent="0.25">
      <c r="F9031" s="85" t="str">
        <f t="shared" si="89"/>
        <v/>
      </c>
    </row>
    <row r="9032" spans="6:6" x14ac:dyDescent="0.25">
      <c r="F9032" s="85" t="str">
        <f t="shared" si="89"/>
        <v/>
      </c>
    </row>
    <row r="9033" spans="6:6" x14ac:dyDescent="0.25">
      <c r="F9033" s="85" t="str">
        <f t="shared" si="89"/>
        <v/>
      </c>
    </row>
    <row r="9034" spans="6:6" x14ac:dyDescent="0.25">
      <c r="F9034" s="85" t="str">
        <f t="shared" si="89"/>
        <v/>
      </c>
    </row>
    <row r="9035" spans="6:6" x14ac:dyDescent="0.25">
      <c r="F9035" s="85" t="str">
        <f t="shared" si="89"/>
        <v/>
      </c>
    </row>
    <row r="9036" spans="6:6" x14ac:dyDescent="0.25">
      <c r="F9036" s="85" t="str">
        <f t="shared" si="89"/>
        <v/>
      </c>
    </row>
    <row r="9037" spans="6:6" x14ac:dyDescent="0.25">
      <c r="F9037" s="85" t="str">
        <f t="shared" si="89"/>
        <v/>
      </c>
    </row>
    <row r="9038" spans="6:6" x14ac:dyDescent="0.25">
      <c r="F9038" s="85" t="str">
        <f t="shared" si="89"/>
        <v/>
      </c>
    </row>
    <row r="9039" spans="6:6" x14ac:dyDescent="0.25">
      <c r="F9039" s="85" t="str">
        <f t="shared" si="89"/>
        <v/>
      </c>
    </row>
    <row r="9040" spans="6:6" x14ac:dyDescent="0.25">
      <c r="F9040" s="85" t="str">
        <f t="shared" si="89"/>
        <v/>
      </c>
    </row>
    <row r="9041" spans="6:6" x14ac:dyDescent="0.25">
      <c r="F9041" s="85" t="str">
        <f t="shared" si="89"/>
        <v/>
      </c>
    </row>
    <row r="9042" spans="6:6" x14ac:dyDescent="0.25">
      <c r="F9042" s="85" t="str">
        <f t="shared" si="89"/>
        <v/>
      </c>
    </row>
    <row r="9043" spans="6:6" x14ac:dyDescent="0.25">
      <c r="F9043" s="85" t="str">
        <f t="shared" si="89"/>
        <v/>
      </c>
    </row>
    <row r="9044" spans="6:6" x14ac:dyDescent="0.25">
      <c r="F9044" s="85" t="str">
        <f t="shared" si="89"/>
        <v/>
      </c>
    </row>
    <row r="9045" spans="6:6" x14ac:dyDescent="0.25">
      <c r="F9045" s="85" t="str">
        <f t="shared" si="89"/>
        <v/>
      </c>
    </row>
    <row r="9046" spans="6:6" x14ac:dyDescent="0.25">
      <c r="F9046" s="85" t="str">
        <f t="shared" si="89"/>
        <v/>
      </c>
    </row>
    <row r="9047" spans="6:6" x14ac:dyDescent="0.25">
      <c r="F9047" s="85" t="str">
        <f t="shared" si="89"/>
        <v/>
      </c>
    </row>
    <row r="9048" spans="6:6" x14ac:dyDescent="0.25">
      <c r="F9048" s="85" t="str">
        <f t="shared" si="89"/>
        <v/>
      </c>
    </row>
    <row r="9049" spans="6:6" x14ac:dyDescent="0.25">
      <c r="F9049" s="85" t="str">
        <f t="shared" si="89"/>
        <v/>
      </c>
    </row>
    <row r="9050" spans="6:6" x14ac:dyDescent="0.25">
      <c r="F9050" s="85" t="str">
        <f t="shared" si="89"/>
        <v/>
      </c>
    </row>
    <row r="9051" spans="6:6" x14ac:dyDescent="0.25">
      <c r="F9051" s="85" t="str">
        <f t="shared" si="89"/>
        <v/>
      </c>
    </row>
    <row r="9052" spans="6:6" x14ac:dyDescent="0.25">
      <c r="F9052" s="85" t="str">
        <f t="shared" si="89"/>
        <v/>
      </c>
    </row>
    <row r="9053" spans="6:6" x14ac:dyDescent="0.25">
      <c r="F9053" s="85" t="str">
        <f t="shared" si="89"/>
        <v/>
      </c>
    </row>
    <row r="9054" spans="6:6" x14ac:dyDescent="0.25">
      <c r="F9054" s="85" t="str">
        <f t="shared" si="89"/>
        <v/>
      </c>
    </row>
    <row r="9055" spans="6:6" x14ac:dyDescent="0.25">
      <c r="F9055" s="85" t="str">
        <f t="shared" si="89"/>
        <v/>
      </c>
    </row>
    <row r="9056" spans="6:6" x14ac:dyDescent="0.25">
      <c r="F9056" s="85" t="str">
        <f t="shared" si="89"/>
        <v/>
      </c>
    </row>
    <row r="9057" spans="6:6" x14ac:dyDescent="0.25">
      <c r="F9057" s="85" t="str">
        <f t="shared" si="89"/>
        <v/>
      </c>
    </row>
    <row r="9058" spans="6:6" x14ac:dyDescent="0.25">
      <c r="F9058" s="85" t="str">
        <f t="shared" si="89"/>
        <v/>
      </c>
    </row>
    <row r="9059" spans="6:6" x14ac:dyDescent="0.25">
      <c r="F9059" s="85" t="str">
        <f t="shared" si="89"/>
        <v/>
      </c>
    </row>
    <row r="9060" spans="6:6" x14ac:dyDescent="0.25">
      <c r="F9060" s="85" t="str">
        <f t="shared" si="89"/>
        <v/>
      </c>
    </row>
    <row r="9061" spans="6:6" x14ac:dyDescent="0.25">
      <c r="F9061" s="85" t="str">
        <f t="shared" si="89"/>
        <v/>
      </c>
    </row>
    <row r="9062" spans="6:6" x14ac:dyDescent="0.25">
      <c r="F9062" s="85" t="str">
        <f t="shared" si="89"/>
        <v/>
      </c>
    </row>
    <row r="9063" spans="6:6" x14ac:dyDescent="0.25">
      <c r="F9063" s="85" t="str">
        <f t="shared" si="89"/>
        <v/>
      </c>
    </row>
    <row r="9064" spans="6:6" x14ac:dyDescent="0.25">
      <c r="F9064" s="85" t="str">
        <f t="shared" si="89"/>
        <v/>
      </c>
    </row>
    <row r="9065" spans="6:6" x14ac:dyDescent="0.25">
      <c r="F9065" s="85" t="str">
        <f t="shared" si="89"/>
        <v/>
      </c>
    </row>
    <row r="9066" spans="6:6" x14ac:dyDescent="0.25">
      <c r="F9066" s="85" t="str">
        <f t="shared" si="89"/>
        <v/>
      </c>
    </row>
    <row r="9067" spans="6:6" x14ac:dyDescent="0.25">
      <c r="F9067" s="85" t="str">
        <f t="shared" si="89"/>
        <v/>
      </c>
    </row>
    <row r="9068" spans="6:6" x14ac:dyDescent="0.25">
      <c r="F9068" s="85" t="str">
        <f t="shared" si="89"/>
        <v/>
      </c>
    </row>
    <row r="9069" spans="6:6" x14ac:dyDescent="0.25">
      <c r="F9069" s="85" t="str">
        <f t="shared" si="89"/>
        <v/>
      </c>
    </row>
    <row r="9070" spans="6:6" x14ac:dyDescent="0.25">
      <c r="F9070" s="85" t="str">
        <f t="shared" si="89"/>
        <v/>
      </c>
    </row>
    <row r="9071" spans="6:6" x14ac:dyDescent="0.25">
      <c r="F9071" s="85" t="str">
        <f t="shared" si="89"/>
        <v/>
      </c>
    </row>
    <row r="9072" spans="6:6" x14ac:dyDescent="0.25">
      <c r="F9072" s="85" t="str">
        <f t="shared" si="89"/>
        <v/>
      </c>
    </row>
    <row r="9073" spans="6:6" x14ac:dyDescent="0.25">
      <c r="F9073" s="85" t="str">
        <f t="shared" si="89"/>
        <v/>
      </c>
    </row>
    <row r="9074" spans="6:6" x14ac:dyDescent="0.25">
      <c r="F9074" s="85" t="str">
        <f t="shared" si="89"/>
        <v/>
      </c>
    </row>
    <row r="9075" spans="6:6" x14ac:dyDescent="0.25">
      <c r="F9075" s="85" t="str">
        <f t="shared" si="89"/>
        <v/>
      </c>
    </row>
    <row r="9076" spans="6:6" x14ac:dyDescent="0.25">
      <c r="F9076" s="85" t="str">
        <f t="shared" si="89"/>
        <v/>
      </c>
    </row>
    <row r="9077" spans="6:6" x14ac:dyDescent="0.25">
      <c r="F9077" s="85" t="str">
        <f t="shared" si="89"/>
        <v/>
      </c>
    </row>
    <row r="9078" spans="6:6" x14ac:dyDescent="0.25">
      <c r="F9078" s="85" t="str">
        <f t="shared" si="89"/>
        <v/>
      </c>
    </row>
    <row r="9079" spans="6:6" x14ac:dyDescent="0.25">
      <c r="F9079" s="85" t="str">
        <f t="shared" si="89"/>
        <v/>
      </c>
    </row>
    <row r="9080" spans="6:6" x14ac:dyDescent="0.25">
      <c r="F9080" s="85" t="str">
        <f t="shared" si="89"/>
        <v/>
      </c>
    </row>
    <row r="9081" spans="6:6" x14ac:dyDescent="0.25">
      <c r="F9081" s="85" t="str">
        <f t="shared" si="89"/>
        <v/>
      </c>
    </row>
    <row r="9082" spans="6:6" x14ac:dyDescent="0.25">
      <c r="F9082" s="85" t="str">
        <f t="shared" si="89"/>
        <v/>
      </c>
    </row>
    <row r="9083" spans="6:6" x14ac:dyDescent="0.25">
      <c r="F9083" s="85" t="str">
        <f t="shared" si="89"/>
        <v/>
      </c>
    </row>
    <row r="9084" spans="6:6" x14ac:dyDescent="0.25">
      <c r="F9084" s="85" t="str">
        <f t="shared" si="89"/>
        <v/>
      </c>
    </row>
    <row r="9085" spans="6:6" x14ac:dyDescent="0.25">
      <c r="F9085" s="85" t="str">
        <f t="shared" si="89"/>
        <v/>
      </c>
    </row>
    <row r="9086" spans="6:6" x14ac:dyDescent="0.25">
      <c r="F9086" s="85" t="str">
        <f t="shared" si="89"/>
        <v/>
      </c>
    </row>
    <row r="9087" spans="6:6" x14ac:dyDescent="0.25">
      <c r="F9087" s="85" t="str">
        <f t="shared" si="89"/>
        <v/>
      </c>
    </row>
    <row r="9088" spans="6:6" x14ac:dyDescent="0.25">
      <c r="F9088" s="85" t="str">
        <f t="shared" si="89"/>
        <v/>
      </c>
    </row>
    <row r="9089" spans="6:6" x14ac:dyDescent="0.25">
      <c r="F9089" s="85" t="str">
        <f t="shared" si="89"/>
        <v/>
      </c>
    </row>
    <row r="9090" spans="6:6" x14ac:dyDescent="0.25">
      <c r="F9090" s="85" t="str">
        <f t="shared" si="89"/>
        <v/>
      </c>
    </row>
    <row r="9091" spans="6:6" x14ac:dyDescent="0.25">
      <c r="F9091" s="85" t="str">
        <f t="shared" ref="F9091:F9154" si="90">IF($A9091="","",CONCATENATE($A9091,"_",$B9091,"_",$C9091))</f>
        <v/>
      </c>
    </row>
    <row r="9092" spans="6:6" x14ac:dyDescent="0.25">
      <c r="F9092" s="85" t="str">
        <f t="shared" si="90"/>
        <v/>
      </c>
    </row>
    <row r="9093" spans="6:6" x14ac:dyDescent="0.25">
      <c r="F9093" s="85" t="str">
        <f t="shared" si="90"/>
        <v/>
      </c>
    </row>
    <row r="9094" spans="6:6" x14ac:dyDescent="0.25">
      <c r="F9094" s="85" t="str">
        <f t="shared" si="90"/>
        <v/>
      </c>
    </row>
    <row r="9095" spans="6:6" x14ac:dyDescent="0.25">
      <c r="F9095" s="85" t="str">
        <f t="shared" si="90"/>
        <v/>
      </c>
    </row>
    <row r="9096" spans="6:6" x14ac:dyDescent="0.25">
      <c r="F9096" s="85" t="str">
        <f t="shared" si="90"/>
        <v/>
      </c>
    </row>
    <row r="9097" spans="6:6" x14ac:dyDescent="0.25">
      <c r="F9097" s="85" t="str">
        <f t="shared" si="90"/>
        <v/>
      </c>
    </row>
    <row r="9098" spans="6:6" x14ac:dyDescent="0.25">
      <c r="F9098" s="85" t="str">
        <f t="shared" si="90"/>
        <v/>
      </c>
    </row>
    <row r="9099" spans="6:6" x14ac:dyDescent="0.25">
      <c r="F9099" s="85" t="str">
        <f t="shared" si="90"/>
        <v/>
      </c>
    </row>
    <row r="9100" spans="6:6" x14ac:dyDescent="0.25">
      <c r="F9100" s="85" t="str">
        <f t="shared" si="90"/>
        <v/>
      </c>
    </row>
    <row r="9101" spans="6:6" x14ac:dyDescent="0.25">
      <c r="F9101" s="85" t="str">
        <f t="shared" si="90"/>
        <v/>
      </c>
    </row>
    <row r="9102" spans="6:6" x14ac:dyDescent="0.25">
      <c r="F9102" s="85" t="str">
        <f t="shared" si="90"/>
        <v/>
      </c>
    </row>
    <row r="9103" spans="6:6" x14ac:dyDescent="0.25">
      <c r="F9103" s="85" t="str">
        <f t="shared" si="90"/>
        <v/>
      </c>
    </row>
    <row r="9104" spans="6:6" x14ac:dyDescent="0.25">
      <c r="F9104" s="85" t="str">
        <f t="shared" si="90"/>
        <v/>
      </c>
    </row>
    <row r="9105" spans="6:6" x14ac:dyDescent="0.25">
      <c r="F9105" s="85" t="str">
        <f t="shared" si="90"/>
        <v/>
      </c>
    </row>
    <row r="9106" spans="6:6" x14ac:dyDescent="0.25">
      <c r="F9106" s="85" t="str">
        <f t="shared" si="90"/>
        <v/>
      </c>
    </row>
    <row r="9107" spans="6:6" x14ac:dyDescent="0.25">
      <c r="F9107" s="85" t="str">
        <f t="shared" si="90"/>
        <v/>
      </c>
    </row>
    <row r="9108" spans="6:6" x14ac:dyDescent="0.25">
      <c r="F9108" s="85" t="str">
        <f t="shared" si="90"/>
        <v/>
      </c>
    </row>
    <row r="9109" spans="6:6" x14ac:dyDescent="0.25">
      <c r="F9109" s="85" t="str">
        <f t="shared" si="90"/>
        <v/>
      </c>
    </row>
    <row r="9110" spans="6:6" x14ac:dyDescent="0.25">
      <c r="F9110" s="85" t="str">
        <f t="shared" si="90"/>
        <v/>
      </c>
    </row>
    <row r="9111" spans="6:6" x14ac:dyDescent="0.25">
      <c r="F9111" s="85" t="str">
        <f t="shared" si="90"/>
        <v/>
      </c>
    </row>
    <row r="9112" spans="6:6" x14ac:dyDescent="0.25">
      <c r="F9112" s="85" t="str">
        <f t="shared" si="90"/>
        <v/>
      </c>
    </row>
    <row r="9113" spans="6:6" x14ac:dyDescent="0.25">
      <c r="F9113" s="85" t="str">
        <f t="shared" si="90"/>
        <v/>
      </c>
    </row>
    <row r="9114" spans="6:6" x14ac:dyDescent="0.25">
      <c r="F9114" s="85" t="str">
        <f t="shared" si="90"/>
        <v/>
      </c>
    </row>
    <row r="9115" spans="6:6" x14ac:dyDescent="0.25">
      <c r="F9115" s="85" t="str">
        <f t="shared" si="90"/>
        <v/>
      </c>
    </row>
    <row r="9116" spans="6:6" x14ac:dyDescent="0.25">
      <c r="F9116" s="85" t="str">
        <f t="shared" si="90"/>
        <v/>
      </c>
    </row>
    <row r="9117" spans="6:6" x14ac:dyDescent="0.25">
      <c r="F9117" s="85" t="str">
        <f t="shared" si="90"/>
        <v/>
      </c>
    </row>
    <row r="9118" spans="6:6" x14ac:dyDescent="0.25">
      <c r="F9118" s="85" t="str">
        <f t="shared" si="90"/>
        <v/>
      </c>
    </row>
    <row r="9119" spans="6:6" x14ac:dyDescent="0.25">
      <c r="F9119" s="85" t="str">
        <f t="shared" si="90"/>
        <v/>
      </c>
    </row>
    <row r="9120" spans="6:6" x14ac:dyDescent="0.25">
      <c r="F9120" s="85" t="str">
        <f t="shared" si="90"/>
        <v/>
      </c>
    </row>
    <row r="9121" spans="6:6" x14ac:dyDescent="0.25">
      <c r="F9121" s="85" t="str">
        <f t="shared" si="90"/>
        <v/>
      </c>
    </row>
    <row r="9122" spans="6:6" x14ac:dyDescent="0.25">
      <c r="F9122" s="85" t="str">
        <f t="shared" si="90"/>
        <v/>
      </c>
    </row>
    <row r="9123" spans="6:6" x14ac:dyDescent="0.25">
      <c r="F9123" s="85" t="str">
        <f t="shared" si="90"/>
        <v/>
      </c>
    </row>
    <row r="9124" spans="6:6" x14ac:dyDescent="0.25">
      <c r="F9124" s="85" t="str">
        <f t="shared" si="90"/>
        <v/>
      </c>
    </row>
    <row r="9125" spans="6:6" x14ac:dyDescent="0.25">
      <c r="F9125" s="85" t="str">
        <f t="shared" si="90"/>
        <v/>
      </c>
    </row>
    <row r="9126" spans="6:6" x14ac:dyDescent="0.25">
      <c r="F9126" s="85" t="str">
        <f t="shared" si="90"/>
        <v/>
      </c>
    </row>
    <row r="9127" spans="6:6" x14ac:dyDescent="0.25">
      <c r="F9127" s="85" t="str">
        <f t="shared" si="90"/>
        <v/>
      </c>
    </row>
    <row r="9128" spans="6:6" x14ac:dyDescent="0.25">
      <c r="F9128" s="85" t="str">
        <f t="shared" si="90"/>
        <v/>
      </c>
    </row>
    <row r="9129" spans="6:6" x14ac:dyDescent="0.25">
      <c r="F9129" s="85" t="str">
        <f t="shared" si="90"/>
        <v/>
      </c>
    </row>
    <row r="9130" spans="6:6" x14ac:dyDescent="0.25">
      <c r="F9130" s="85" t="str">
        <f t="shared" si="90"/>
        <v/>
      </c>
    </row>
    <row r="9131" spans="6:6" x14ac:dyDescent="0.25">
      <c r="F9131" s="85" t="str">
        <f t="shared" si="90"/>
        <v/>
      </c>
    </row>
    <row r="9132" spans="6:6" x14ac:dyDescent="0.25">
      <c r="F9132" s="85" t="str">
        <f t="shared" si="90"/>
        <v/>
      </c>
    </row>
    <row r="9133" spans="6:6" x14ac:dyDescent="0.25">
      <c r="F9133" s="85" t="str">
        <f t="shared" si="90"/>
        <v/>
      </c>
    </row>
    <row r="9134" spans="6:6" x14ac:dyDescent="0.25">
      <c r="F9134" s="85" t="str">
        <f t="shared" si="90"/>
        <v/>
      </c>
    </row>
    <row r="9135" spans="6:6" x14ac:dyDescent="0.25">
      <c r="F9135" s="85" t="str">
        <f t="shared" si="90"/>
        <v/>
      </c>
    </row>
    <row r="9136" spans="6:6" x14ac:dyDescent="0.25">
      <c r="F9136" s="85" t="str">
        <f t="shared" si="90"/>
        <v/>
      </c>
    </row>
    <row r="9137" spans="6:6" x14ac:dyDescent="0.25">
      <c r="F9137" s="85" t="str">
        <f t="shared" si="90"/>
        <v/>
      </c>
    </row>
    <row r="9138" spans="6:6" x14ac:dyDescent="0.25">
      <c r="F9138" s="85" t="str">
        <f t="shared" si="90"/>
        <v/>
      </c>
    </row>
    <row r="9139" spans="6:6" x14ac:dyDescent="0.25">
      <c r="F9139" s="85" t="str">
        <f t="shared" si="90"/>
        <v/>
      </c>
    </row>
    <row r="9140" spans="6:6" x14ac:dyDescent="0.25">
      <c r="F9140" s="85" t="str">
        <f t="shared" si="90"/>
        <v/>
      </c>
    </row>
    <row r="9141" spans="6:6" x14ac:dyDescent="0.25">
      <c r="F9141" s="85" t="str">
        <f t="shared" si="90"/>
        <v/>
      </c>
    </row>
    <row r="9142" spans="6:6" x14ac:dyDescent="0.25">
      <c r="F9142" s="85" t="str">
        <f t="shared" si="90"/>
        <v/>
      </c>
    </row>
    <row r="9143" spans="6:6" x14ac:dyDescent="0.25">
      <c r="F9143" s="85" t="str">
        <f t="shared" si="90"/>
        <v/>
      </c>
    </row>
    <row r="9144" spans="6:6" x14ac:dyDescent="0.25">
      <c r="F9144" s="85" t="str">
        <f t="shared" si="90"/>
        <v/>
      </c>
    </row>
    <row r="9145" spans="6:6" x14ac:dyDescent="0.25">
      <c r="F9145" s="85" t="str">
        <f t="shared" si="90"/>
        <v/>
      </c>
    </row>
    <row r="9146" spans="6:6" x14ac:dyDescent="0.25">
      <c r="F9146" s="85" t="str">
        <f t="shared" si="90"/>
        <v/>
      </c>
    </row>
    <row r="9147" spans="6:6" x14ac:dyDescent="0.25">
      <c r="F9147" s="85" t="str">
        <f t="shared" si="90"/>
        <v/>
      </c>
    </row>
    <row r="9148" spans="6:6" x14ac:dyDescent="0.25">
      <c r="F9148" s="85" t="str">
        <f t="shared" si="90"/>
        <v/>
      </c>
    </row>
    <row r="9149" spans="6:6" x14ac:dyDescent="0.25">
      <c r="F9149" s="85" t="str">
        <f t="shared" si="90"/>
        <v/>
      </c>
    </row>
    <row r="9150" spans="6:6" x14ac:dyDescent="0.25">
      <c r="F9150" s="85" t="str">
        <f t="shared" si="90"/>
        <v/>
      </c>
    </row>
    <row r="9151" spans="6:6" x14ac:dyDescent="0.25">
      <c r="F9151" s="85" t="str">
        <f t="shared" si="90"/>
        <v/>
      </c>
    </row>
    <row r="9152" spans="6:6" x14ac:dyDescent="0.25">
      <c r="F9152" s="85" t="str">
        <f t="shared" si="90"/>
        <v/>
      </c>
    </row>
    <row r="9153" spans="6:6" x14ac:dyDescent="0.25">
      <c r="F9153" s="85" t="str">
        <f t="shared" si="90"/>
        <v/>
      </c>
    </row>
    <row r="9154" spans="6:6" x14ac:dyDescent="0.25">
      <c r="F9154" s="85" t="str">
        <f t="shared" si="90"/>
        <v/>
      </c>
    </row>
    <row r="9155" spans="6:6" x14ac:dyDescent="0.25">
      <c r="F9155" s="85" t="str">
        <f t="shared" ref="F9155:F9218" si="91">IF($A9155="","",CONCATENATE($A9155,"_",$B9155,"_",$C9155))</f>
        <v/>
      </c>
    </row>
    <row r="9156" spans="6:6" x14ac:dyDescent="0.25">
      <c r="F9156" s="85" t="str">
        <f t="shared" si="91"/>
        <v/>
      </c>
    </row>
    <row r="9157" spans="6:6" x14ac:dyDescent="0.25">
      <c r="F9157" s="85" t="str">
        <f t="shared" si="91"/>
        <v/>
      </c>
    </row>
    <row r="9158" spans="6:6" x14ac:dyDescent="0.25">
      <c r="F9158" s="85" t="str">
        <f t="shared" si="91"/>
        <v/>
      </c>
    </row>
    <row r="9159" spans="6:6" x14ac:dyDescent="0.25">
      <c r="F9159" s="85" t="str">
        <f t="shared" si="91"/>
        <v/>
      </c>
    </row>
    <row r="9160" spans="6:6" x14ac:dyDescent="0.25">
      <c r="F9160" s="85" t="str">
        <f t="shared" si="91"/>
        <v/>
      </c>
    </row>
    <row r="9161" spans="6:6" x14ac:dyDescent="0.25">
      <c r="F9161" s="85" t="str">
        <f t="shared" si="91"/>
        <v/>
      </c>
    </row>
    <row r="9162" spans="6:6" x14ac:dyDescent="0.25">
      <c r="F9162" s="85" t="str">
        <f t="shared" si="91"/>
        <v/>
      </c>
    </row>
    <row r="9163" spans="6:6" x14ac:dyDescent="0.25">
      <c r="F9163" s="85" t="str">
        <f t="shared" si="91"/>
        <v/>
      </c>
    </row>
    <row r="9164" spans="6:6" x14ac:dyDescent="0.25">
      <c r="F9164" s="85" t="str">
        <f t="shared" si="91"/>
        <v/>
      </c>
    </row>
    <row r="9165" spans="6:6" x14ac:dyDescent="0.25">
      <c r="F9165" s="85" t="str">
        <f t="shared" si="91"/>
        <v/>
      </c>
    </row>
    <row r="9166" spans="6:6" x14ac:dyDescent="0.25">
      <c r="F9166" s="85" t="str">
        <f t="shared" si="91"/>
        <v/>
      </c>
    </row>
    <row r="9167" spans="6:6" x14ac:dyDescent="0.25">
      <c r="F9167" s="85" t="str">
        <f t="shared" si="91"/>
        <v/>
      </c>
    </row>
    <row r="9168" spans="6:6" x14ac:dyDescent="0.25">
      <c r="F9168" s="85" t="str">
        <f t="shared" si="91"/>
        <v/>
      </c>
    </row>
    <row r="9169" spans="6:6" x14ac:dyDescent="0.25">
      <c r="F9169" s="85" t="str">
        <f t="shared" si="91"/>
        <v/>
      </c>
    </row>
    <row r="9170" spans="6:6" x14ac:dyDescent="0.25">
      <c r="F9170" s="85" t="str">
        <f t="shared" si="91"/>
        <v/>
      </c>
    </row>
    <row r="9171" spans="6:6" x14ac:dyDescent="0.25">
      <c r="F9171" s="85" t="str">
        <f t="shared" si="91"/>
        <v/>
      </c>
    </row>
    <row r="9172" spans="6:6" x14ac:dyDescent="0.25">
      <c r="F9172" s="85" t="str">
        <f t="shared" si="91"/>
        <v/>
      </c>
    </row>
    <row r="9173" spans="6:6" x14ac:dyDescent="0.25">
      <c r="F9173" s="85" t="str">
        <f t="shared" si="91"/>
        <v/>
      </c>
    </row>
    <row r="9174" spans="6:6" x14ac:dyDescent="0.25">
      <c r="F9174" s="85" t="str">
        <f t="shared" si="91"/>
        <v/>
      </c>
    </row>
    <row r="9175" spans="6:6" x14ac:dyDescent="0.25">
      <c r="F9175" s="85" t="str">
        <f t="shared" si="91"/>
        <v/>
      </c>
    </row>
    <row r="9176" spans="6:6" x14ac:dyDescent="0.25">
      <c r="F9176" s="85" t="str">
        <f t="shared" si="91"/>
        <v/>
      </c>
    </row>
    <row r="9177" spans="6:6" x14ac:dyDescent="0.25">
      <c r="F9177" s="85" t="str">
        <f t="shared" si="91"/>
        <v/>
      </c>
    </row>
    <row r="9178" spans="6:6" x14ac:dyDescent="0.25">
      <c r="F9178" s="85" t="str">
        <f t="shared" si="91"/>
        <v/>
      </c>
    </row>
    <row r="9179" spans="6:6" x14ac:dyDescent="0.25">
      <c r="F9179" s="85" t="str">
        <f t="shared" si="91"/>
        <v/>
      </c>
    </row>
    <row r="9180" spans="6:6" x14ac:dyDescent="0.25">
      <c r="F9180" s="85" t="str">
        <f t="shared" si="91"/>
        <v/>
      </c>
    </row>
    <row r="9181" spans="6:6" x14ac:dyDescent="0.25">
      <c r="F9181" s="85" t="str">
        <f t="shared" si="91"/>
        <v/>
      </c>
    </row>
    <row r="9182" spans="6:6" x14ac:dyDescent="0.25">
      <c r="F9182" s="85" t="str">
        <f t="shared" si="91"/>
        <v/>
      </c>
    </row>
    <row r="9183" spans="6:6" x14ac:dyDescent="0.25">
      <c r="F9183" s="85" t="str">
        <f t="shared" si="91"/>
        <v/>
      </c>
    </row>
    <row r="9184" spans="6:6" x14ac:dyDescent="0.25">
      <c r="F9184" s="85" t="str">
        <f t="shared" si="91"/>
        <v/>
      </c>
    </row>
    <row r="9185" spans="6:6" x14ac:dyDescent="0.25">
      <c r="F9185" s="85" t="str">
        <f t="shared" si="91"/>
        <v/>
      </c>
    </row>
    <row r="9186" spans="6:6" x14ac:dyDescent="0.25">
      <c r="F9186" s="85" t="str">
        <f t="shared" si="91"/>
        <v/>
      </c>
    </row>
    <row r="9187" spans="6:6" x14ac:dyDescent="0.25">
      <c r="F9187" s="85" t="str">
        <f t="shared" si="91"/>
        <v/>
      </c>
    </row>
    <row r="9188" spans="6:6" x14ac:dyDescent="0.25">
      <c r="F9188" s="85" t="str">
        <f t="shared" si="91"/>
        <v/>
      </c>
    </row>
    <row r="9189" spans="6:6" x14ac:dyDescent="0.25">
      <c r="F9189" s="85" t="str">
        <f t="shared" si="91"/>
        <v/>
      </c>
    </row>
    <row r="9190" spans="6:6" x14ac:dyDescent="0.25">
      <c r="F9190" s="85" t="str">
        <f t="shared" si="91"/>
        <v/>
      </c>
    </row>
    <row r="9191" spans="6:6" x14ac:dyDescent="0.25">
      <c r="F9191" s="85" t="str">
        <f t="shared" si="91"/>
        <v/>
      </c>
    </row>
    <row r="9192" spans="6:6" x14ac:dyDescent="0.25">
      <c r="F9192" s="85" t="str">
        <f t="shared" si="91"/>
        <v/>
      </c>
    </row>
    <row r="9193" spans="6:6" x14ac:dyDescent="0.25">
      <c r="F9193" s="85" t="str">
        <f t="shared" si="91"/>
        <v/>
      </c>
    </row>
    <row r="9194" spans="6:6" x14ac:dyDescent="0.25">
      <c r="F9194" s="85" t="str">
        <f t="shared" si="91"/>
        <v/>
      </c>
    </row>
    <row r="9195" spans="6:6" x14ac:dyDescent="0.25">
      <c r="F9195" s="85" t="str">
        <f t="shared" si="91"/>
        <v/>
      </c>
    </row>
    <row r="9196" spans="6:6" x14ac:dyDescent="0.25">
      <c r="F9196" s="85" t="str">
        <f t="shared" si="91"/>
        <v/>
      </c>
    </row>
    <row r="9197" spans="6:6" x14ac:dyDescent="0.25">
      <c r="F9197" s="85" t="str">
        <f t="shared" si="91"/>
        <v/>
      </c>
    </row>
    <row r="9198" spans="6:6" x14ac:dyDescent="0.25">
      <c r="F9198" s="85" t="str">
        <f t="shared" si="91"/>
        <v/>
      </c>
    </row>
    <row r="9199" spans="6:6" x14ac:dyDescent="0.25">
      <c r="F9199" s="85" t="str">
        <f t="shared" si="91"/>
        <v/>
      </c>
    </row>
    <row r="9200" spans="6:6" x14ac:dyDescent="0.25">
      <c r="F9200" s="85" t="str">
        <f t="shared" si="91"/>
        <v/>
      </c>
    </row>
    <row r="9201" spans="6:6" x14ac:dyDescent="0.25">
      <c r="F9201" s="85" t="str">
        <f t="shared" si="91"/>
        <v/>
      </c>
    </row>
    <row r="9202" spans="6:6" x14ac:dyDescent="0.25">
      <c r="F9202" s="85" t="str">
        <f t="shared" si="91"/>
        <v/>
      </c>
    </row>
    <row r="9203" spans="6:6" x14ac:dyDescent="0.25">
      <c r="F9203" s="85" t="str">
        <f t="shared" si="91"/>
        <v/>
      </c>
    </row>
    <row r="9204" spans="6:6" x14ac:dyDescent="0.25">
      <c r="F9204" s="85" t="str">
        <f t="shared" si="91"/>
        <v/>
      </c>
    </row>
    <row r="9205" spans="6:6" x14ac:dyDescent="0.25">
      <c r="F9205" s="85" t="str">
        <f t="shared" si="91"/>
        <v/>
      </c>
    </row>
    <row r="9206" spans="6:6" x14ac:dyDescent="0.25">
      <c r="F9206" s="85" t="str">
        <f t="shared" si="91"/>
        <v/>
      </c>
    </row>
    <row r="9207" spans="6:6" x14ac:dyDescent="0.25">
      <c r="F9207" s="85" t="str">
        <f t="shared" si="91"/>
        <v/>
      </c>
    </row>
    <row r="9208" spans="6:6" x14ac:dyDescent="0.25">
      <c r="F9208" s="85" t="str">
        <f t="shared" si="91"/>
        <v/>
      </c>
    </row>
    <row r="9209" spans="6:6" x14ac:dyDescent="0.25">
      <c r="F9209" s="85" t="str">
        <f t="shared" si="91"/>
        <v/>
      </c>
    </row>
    <row r="9210" spans="6:6" x14ac:dyDescent="0.25">
      <c r="F9210" s="85" t="str">
        <f t="shared" si="91"/>
        <v/>
      </c>
    </row>
    <row r="9211" spans="6:6" x14ac:dyDescent="0.25">
      <c r="F9211" s="85" t="str">
        <f t="shared" si="91"/>
        <v/>
      </c>
    </row>
    <row r="9212" spans="6:6" x14ac:dyDescent="0.25">
      <c r="F9212" s="85" t="str">
        <f t="shared" si="91"/>
        <v/>
      </c>
    </row>
    <row r="9213" spans="6:6" x14ac:dyDescent="0.25">
      <c r="F9213" s="85" t="str">
        <f t="shared" si="91"/>
        <v/>
      </c>
    </row>
    <row r="9214" spans="6:6" x14ac:dyDescent="0.25">
      <c r="F9214" s="85" t="str">
        <f t="shared" si="91"/>
        <v/>
      </c>
    </row>
    <row r="9215" spans="6:6" x14ac:dyDescent="0.25">
      <c r="F9215" s="85" t="str">
        <f t="shared" si="91"/>
        <v/>
      </c>
    </row>
    <row r="9216" spans="6:6" x14ac:dyDescent="0.25">
      <c r="F9216" s="85" t="str">
        <f t="shared" si="91"/>
        <v/>
      </c>
    </row>
    <row r="9217" spans="6:6" x14ac:dyDescent="0.25">
      <c r="F9217" s="85" t="str">
        <f t="shared" si="91"/>
        <v/>
      </c>
    </row>
    <row r="9218" spans="6:6" x14ac:dyDescent="0.25">
      <c r="F9218" s="85" t="str">
        <f t="shared" si="91"/>
        <v/>
      </c>
    </row>
    <row r="9219" spans="6:6" x14ac:dyDescent="0.25">
      <c r="F9219" s="85" t="str">
        <f t="shared" ref="F9219:F9282" si="92">IF($A9219="","",CONCATENATE($A9219,"_",$B9219,"_",$C9219))</f>
        <v/>
      </c>
    </row>
    <row r="9220" spans="6:6" x14ac:dyDescent="0.25">
      <c r="F9220" s="85" t="str">
        <f t="shared" si="92"/>
        <v/>
      </c>
    </row>
    <row r="9221" spans="6:6" x14ac:dyDescent="0.25">
      <c r="F9221" s="85" t="str">
        <f t="shared" si="92"/>
        <v/>
      </c>
    </row>
    <row r="9222" spans="6:6" x14ac:dyDescent="0.25">
      <c r="F9222" s="85" t="str">
        <f t="shared" si="92"/>
        <v/>
      </c>
    </row>
    <row r="9223" spans="6:6" x14ac:dyDescent="0.25">
      <c r="F9223" s="85" t="str">
        <f t="shared" si="92"/>
        <v/>
      </c>
    </row>
    <row r="9224" spans="6:6" x14ac:dyDescent="0.25">
      <c r="F9224" s="85" t="str">
        <f t="shared" si="92"/>
        <v/>
      </c>
    </row>
    <row r="9225" spans="6:6" x14ac:dyDescent="0.25">
      <c r="F9225" s="85" t="str">
        <f t="shared" si="92"/>
        <v/>
      </c>
    </row>
    <row r="9226" spans="6:6" x14ac:dyDescent="0.25">
      <c r="F9226" s="85" t="str">
        <f t="shared" si="92"/>
        <v/>
      </c>
    </row>
    <row r="9227" spans="6:6" x14ac:dyDescent="0.25">
      <c r="F9227" s="85" t="str">
        <f t="shared" si="92"/>
        <v/>
      </c>
    </row>
    <row r="9228" spans="6:6" x14ac:dyDescent="0.25">
      <c r="F9228" s="85" t="str">
        <f t="shared" si="92"/>
        <v/>
      </c>
    </row>
    <row r="9229" spans="6:6" x14ac:dyDescent="0.25">
      <c r="F9229" s="85" t="str">
        <f t="shared" si="92"/>
        <v/>
      </c>
    </row>
    <row r="9230" spans="6:6" x14ac:dyDescent="0.25">
      <c r="F9230" s="85" t="str">
        <f t="shared" si="92"/>
        <v/>
      </c>
    </row>
    <row r="9231" spans="6:6" x14ac:dyDescent="0.25">
      <c r="F9231" s="85" t="str">
        <f t="shared" si="92"/>
        <v/>
      </c>
    </row>
    <row r="9232" spans="6:6" x14ac:dyDescent="0.25">
      <c r="F9232" s="85" t="str">
        <f t="shared" si="92"/>
        <v/>
      </c>
    </row>
    <row r="9233" spans="6:6" x14ac:dyDescent="0.25">
      <c r="F9233" s="85" t="str">
        <f t="shared" si="92"/>
        <v/>
      </c>
    </row>
    <row r="9234" spans="6:6" x14ac:dyDescent="0.25">
      <c r="F9234" s="85" t="str">
        <f t="shared" si="92"/>
        <v/>
      </c>
    </row>
    <row r="9235" spans="6:6" x14ac:dyDescent="0.25">
      <c r="F9235" s="85" t="str">
        <f t="shared" si="92"/>
        <v/>
      </c>
    </row>
    <row r="9236" spans="6:6" x14ac:dyDescent="0.25">
      <c r="F9236" s="85" t="str">
        <f t="shared" si="92"/>
        <v/>
      </c>
    </row>
    <row r="9237" spans="6:6" x14ac:dyDescent="0.25">
      <c r="F9237" s="85" t="str">
        <f t="shared" si="92"/>
        <v/>
      </c>
    </row>
    <row r="9238" spans="6:6" x14ac:dyDescent="0.25">
      <c r="F9238" s="85" t="str">
        <f t="shared" si="92"/>
        <v/>
      </c>
    </row>
    <row r="9239" spans="6:6" x14ac:dyDescent="0.25">
      <c r="F9239" s="85" t="str">
        <f t="shared" si="92"/>
        <v/>
      </c>
    </row>
    <row r="9240" spans="6:6" x14ac:dyDescent="0.25">
      <c r="F9240" s="85" t="str">
        <f t="shared" si="92"/>
        <v/>
      </c>
    </row>
    <row r="9241" spans="6:6" x14ac:dyDescent="0.25">
      <c r="F9241" s="85" t="str">
        <f t="shared" si="92"/>
        <v/>
      </c>
    </row>
    <row r="9242" spans="6:6" x14ac:dyDescent="0.25">
      <c r="F9242" s="85" t="str">
        <f t="shared" si="92"/>
        <v/>
      </c>
    </row>
    <row r="9243" spans="6:6" x14ac:dyDescent="0.25">
      <c r="F9243" s="85" t="str">
        <f t="shared" si="92"/>
        <v/>
      </c>
    </row>
    <row r="9244" spans="6:6" x14ac:dyDescent="0.25">
      <c r="F9244" s="85" t="str">
        <f t="shared" si="92"/>
        <v/>
      </c>
    </row>
    <row r="9245" spans="6:6" x14ac:dyDescent="0.25">
      <c r="F9245" s="85" t="str">
        <f t="shared" si="92"/>
        <v/>
      </c>
    </row>
    <row r="9246" spans="6:6" x14ac:dyDescent="0.25">
      <c r="F9246" s="85" t="str">
        <f t="shared" si="92"/>
        <v/>
      </c>
    </row>
    <row r="9247" spans="6:6" x14ac:dyDescent="0.25">
      <c r="F9247" s="85" t="str">
        <f t="shared" si="92"/>
        <v/>
      </c>
    </row>
    <row r="9248" spans="6:6" x14ac:dyDescent="0.25">
      <c r="F9248" s="85" t="str">
        <f t="shared" si="92"/>
        <v/>
      </c>
    </row>
    <row r="9249" spans="6:6" x14ac:dyDescent="0.25">
      <c r="F9249" s="85" t="str">
        <f t="shared" si="92"/>
        <v/>
      </c>
    </row>
    <row r="9250" spans="6:6" x14ac:dyDescent="0.25">
      <c r="F9250" s="85" t="str">
        <f t="shared" si="92"/>
        <v/>
      </c>
    </row>
    <row r="9251" spans="6:6" x14ac:dyDescent="0.25">
      <c r="F9251" s="85" t="str">
        <f t="shared" si="92"/>
        <v/>
      </c>
    </row>
    <row r="9252" spans="6:6" x14ac:dyDescent="0.25">
      <c r="F9252" s="85" t="str">
        <f t="shared" si="92"/>
        <v/>
      </c>
    </row>
    <row r="9253" spans="6:6" x14ac:dyDescent="0.25">
      <c r="F9253" s="85" t="str">
        <f t="shared" si="92"/>
        <v/>
      </c>
    </row>
    <row r="9254" spans="6:6" x14ac:dyDescent="0.25">
      <c r="F9254" s="85" t="str">
        <f t="shared" si="92"/>
        <v/>
      </c>
    </row>
    <row r="9255" spans="6:6" x14ac:dyDescent="0.25">
      <c r="F9255" s="85" t="str">
        <f t="shared" si="92"/>
        <v/>
      </c>
    </row>
    <row r="9256" spans="6:6" x14ac:dyDescent="0.25">
      <c r="F9256" s="85" t="str">
        <f t="shared" si="92"/>
        <v/>
      </c>
    </row>
    <row r="9257" spans="6:6" x14ac:dyDescent="0.25">
      <c r="F9257" s="85" t="str">
        <f t="shared" si="92"/>
        <v/>
      </c>
    </row>
    <row r="9258" spans="6:6" x14ac:dyDescent="0.25">
      <c r="F9258" s="85" t="str">
        <f t="shared" si="92"/>
        <v/>
      </c>
    </row>
    <row r="9259" spans="6:6" x14ac:dyDescent="0.25">
      <c r="F9259" s="85" t="str">
        <f t="shared" si="92"/>
        <v/>
      </c>
    </row>
    <row r="9260" spans="6:6" x14ac:dyDescent="0.25">
      <c r="F9260" s="85" t="str">
        <f t="shared" si="92"/>
        <v/>
      </c>
    </row>
    <row r="9261" spans="6:6" x14ac:dyDescent="0.25">
      <c r="F9261" s="85" t="str">
        <f t="shared" si="92"/>
        <v/>
      </c>
    </row>
    <row r="9262" spans="6:6" x14ac:dyDescent="0.25">
      <c r="F9262" s="85" t="str">
        <f t="shared" si="92"/>
        <v/>
      </c>
    </row>
    <row r="9263" spans="6:6" x14ac:dyDescent="0.25">
      <c r="F9263" s="85" t="str">
        <f t="shared" si="92"/>
        <v/>
      </c>
    </row>
    <row r="9264" spans="6:6" x14ac:dyDescent="0.25">
      <c r="F9264" s="85" t="str">
        <f t="shared" si="92"/>
        <v/>
      </c>
    </row>
    <row r="9265" spans="6:6" x14ac:dyDescent="0.25">
      <c r="F9265" s="85" t="str">
        <f t="shared" si="92"/>
        <v/>
      </c>
    </row>
    <row r="9266" spans="6:6" x14ac:dyDescent="0.25">
      <c r="F9266" s="85" t="str">
        <f t="shared" si="92"/>
        <v/>
      </c>
    </row>
    <row r="9267" spans="6:6" x14ac:dyDescent="0.25">
      <c r="F9267" s="85" t="str">
        <f t="shared" si="92"/>
        <v/>
      </c>
    </row>
    <row r="9268" spans="6:6" x14ac:dyDescent="0.25">
      <c r="F9268" s="85" t="str">
        <f t="shared" si="92"/>
        <v/>
      </c>
    </row>
    <row r="9269" spans="6:6" x14ac:dyDescent="0.25">
      <c r="F9269" s="85" t="str">
        <f t="shared" si="92"/>
        <v/>
      </c>
    </row>
    <row r="9270" spans="6:6" x14ac:dyDescent="0.25">
      <c r="F9270" s="85" t="str">
        <f t="shared" si="92"/>
        <v/>
      </c>
    </row>
    <row r="9271" spans="6:6" x14ac:dyDescent="0.25">
      <c r="F9271" s="85" t="str">
        <f t="shared" si="92"/>
        <v/>
      </c>
    </row>
    <row r="9272" spans="6:6" x14ac:dyDescent="0.25">
      <c r="F9272" s="85" t="str">
        <f t="shared" si="92"/>
        <v/>
      </c>
    </row>
    <row r="9273" spans="6:6" x14ac:dyDescent="0.25">
      <c r="F9273" s="85" t="str">
        <f t="shared" si="92"/>
        <v/>
      </c>
    </row>
    <row r="9274" spans="6:6" x14ac:dyDescent="0.25">
      <c r="F9274" s="85" t="str">
        <f t="shared" si="92"/>
        <v/>
      </c>
    </row>
    <row r="9275" spans="6:6" x14ac:dyDescent="0.25">
      <c r="F9275" s="85" t="str">
        <f t="shared" si="92"/>
        <v/>
      </c>
    </row>
    <row r="9276" spans="6:6" x14ac:dyDescent="0.25">
      <c r="F9276" s="85" t="str">
        <f t="shared" si="92"/>
        <v/>
      </c>
    </row>
    <row r="9277" spans="6:6" x14ac:dyDescent="0.25">
      <c r="F9277" s="85" t="str">
        <f t="shared" si="92"/>
        <v/>
      </c>
    </row>
    <row r="9278" spans="6:6" x14ac:dyDescent="0.25">
      <c r="F9278" s="85" t="str">
        <f t="shared" si="92"/>
        <v/>
      </c>
    </row>
    <row r="9279" spans="6:6" x14ac:dyDescent="0.25">
      <c r="F9279" s="85" t="str">
        <f t="shared" si="92"/>
        <v/>
      </c>
    </row>
    <row r="9280" spans="6:6" x14ac:dyDescent="0.25">
      <c r="F9280" s="85" t="str">
        <f t="shared" si="92"/>
        <v/>
      </c>
    </row>
    <row r="9281" spans="6:6" x14ac:dyDescent="0.25">
      <c r="F9281" s="85" t="str">
        <f t="shared" si="92"/>
        <v/>
      </c>
    </row>
    <row r="9282" spans="6:6" x14ac:dyDescent="0.25">
      <c r="F9282" s="85" t="str">
        <f t="shared" si="92"/>
        <v/>
      </c>
    </row>
    <row r="9283" spans="6:6" x14ac:dyDescent="0.25">
      <c r="F9283" s="85" t="str">
        <f t="shared" ref="F9283:F9346" si="93">IF($A9283="","",CONCATENATE($A9283,"_",$B9283,"_",$C9283))</f>
        <v/>
      </c>
    </row>
    <row r="9284" spans="6:6" x14ac:dyDescent="0.25">
      <c r="F9284" s="85" t="str">
        <f t="shared" si="93"/>
        <v/>
      </c>
    </row>
    <row r="9285" spans="6:6" x14ac:dyDescent="0.25">
      <c r="F9285" s="85" t="str">
        <f t="shared" si="93"/>
        <v/>
      </c>
    </row>
    <row r="9286" spans="6:6" x14ac:dyDescent="0.25">
      <c r="F9286" s="85" t="str">
        <f t="shared" si="93"/>
        <v/>
      </c>
    </row>
    <row r="9287" spans="6:6" x14ac:dyDescent="0.25">
      <c r="F9287" s="85" t="str">
        <f t="shared" si="93"/>
        <v/>
      </c>
    </row>
    <row r="9288" spans="6:6" x14ac:dyDescent="0.25">
      <c r="F9288" s="85" t="str">
        <f t="shared" si="93"/>
        <v/>
      </c>
    </row>
    <row r="9289" spans="6:6" x14ac:dyDescent="0.25">
      <c r="F9289" s="85" t="str">
        <f t="shared" si="93"/>
        <v/>
      </c>
    </row>
    <row r="9290" spans="6:6" x14ac:dyDescent="0.25">
      <c r="F9290" s="85" t="str">
        <f t="shared" si="93"/>
        <v/>
      </c>
    </row>
    <row r="9291" spans="6:6" x14ac:dyDescent="0.25">
      <c r="F9291" s="85" t="str">
        <f t="shared" si="93"/>
        <v/>
      </c>
    </row>
    <row r="9292" spans="6:6" x14ac:dyDescent="0.25">
      <c r="F9292" s="85" t="str">
        <f t="shared" si="93"/>
        <v/>
      </c>
    </row>
    <row r="9293" spans="6:6" x14ac:dyDescent="0.25">
      <c r="F9293" s="85" t="str">
        <f t="shared" si="93"/>
        <v/>
      </c>
    </row>
    <row r="9294" spans="6:6" x14ac:dyDescent="0.25">
      <c r="F9294" s="85" t="str">
        <f t="shared" si="93"/>
        <v/>
      </c>
    </row>
    <row r="9295" spans="6:6" x14ac:dyDescent="0.25">
      <c r="F9295" s="85" t="str">
        <f t="shared" si="93"/>
        <v/>
      </c>
    </row>
    <row r="9296" spans="6:6" x14ac:dyDescent="0.25">
      <c r="F9296" s="85" t="str">
        <f t="shared" si="93"/>
        <v/>
      </c>
    </row>
    <row r="9297" spans="6:6" x14ac:dyDescent="0.25">
      <c r="F9297" s="85" t="str">
        <f t="shared" si="93"/>
        <v/>
      </c>
    </row>
    <row r="9298" spans="6:6" x14ac:dyDescent="0.25">
      <c r="F9298" s="85" t="str">
        <f t="shared" si="93"/>
        <v/>
      </c>
    </row>
    <row r="9299" spans="6:6" x14ac:dyDescent="0.25">
      <c r="F9299" s="85" t="str">
        <f t="shared" si="93"/>
        <v/>
      </c>
    </row>
    <row r="9300" spans="6:6" x14ac:dyDescent="0.25">
      <c r="F9300" s="85" t="str">
        <f t="shared" si="93"/>
        <v/>
      </c>
    </row>
    <row r="9301" spans="6:6" x14ac:dyDescent="0.25">
      <c r="F9301" s="85" t="str">
        <f t="shared" si="93"/>
        <v/>
      </c>
    </row>
    <row r="9302" spans="6:6" x14ac:dyDescent="0.25">
      <c r="F9302" s="85" t="str">
        <f t="shared" si="93"/>
        <v/>
      </c>
    </row>
    <row r="9303" spans="6:6" x14ac:dyDescent="0.25">
      <c r="F9303" s="85" t="str">
        <f t="shared" si="93"/>
        <v/>
      </c>
    </row>
    <row r="9304" spans="6:6" x14ac:dyDescent="0.25">
      <c r="F9304" s="85" t="str">
        <f t="shared" si="93"/>
        <v/>
      </c>
    </row>
    <row r="9305" spans="6:6" x14ac:dyDescent="0.25">
      <c r="F9305" s="85" t="str">
        <f t="shared" si="93"/>
        <v/>
      </c>
    </row>
    <row r="9306" spans="6:6" x14ac:dyDescent="0.25">
      <c r="F9306" s="85" t="str">
        <f t="shared" si="93"/>
        <v/>
      </c>
    </row>
    <row r="9307" spans="6:6" x14ac:dyDescent="0.25">
      <c r="F9307" s="85" t="str">
        <f t="shared" si="93"/>
        <v/>
      </c>
    </row>
    <row r="9308" spans="6:6" x14ac:dyDescent="0.25">
      <c r="F9308" s="85" t="str">
        <f t="shared" si="93"/>
        <v/>
      </c>
    </row>
    <row r="9309" spans="6:6" x14ac:dyDescent="0.25">
      <c r="F9309" s="85" t="str">
        <f t="shared" si="93"/>
        <v/>
      </c>
    </row>
    <row r="9310" spans="6:6" x14ac:dyDescent="0.25">
      <c r="F9310" s="85" t="str">
        <f t="shared" si="93"/>
        <v/>
      </c>
    </row>
    <row r="9311" spans="6:6" x14ac:dyDescent="0.25">
      <c r="F9311" s="85" t="str">
        <f t="shared" si="93"/>
        <v/>
      </c>
    </row>
    <row r="9312" spans="6:6" x14ac:dyDescent="0.25">
      <c r="F9312" s="85" t="str">
        <f t="shared" si="93"/>
        <v/>
      </c>
    </row>
    <row r="9313" spans="6:6" x14ac:dyDescent="0.25">
      <c r="F9313" s="85" t="str">
        <f t="shared" si="93"/>
        <v/>
      </c>
    </row>
    <row r="9314" spans="6:6" x14ac:dyDescent="0.25">
      <c r="F9314" s="85" t="str">
        <f t="shared" si="93"/>
        <v/>
      </c>
    </row>
    <row r="9315" spans="6:6" x14ac:dyDescent="0.25">
      <c r="F9315" s="85" t="str">
        <f t="shared" si="93"/>
        <v/>
      </c>
    </row>
    <row r="9316" spans="6:6" x14ac:dyDescent="0.25">
      <c r="F9316" s="85" t="str">
        <f t="shared" si="93"/>
        <v/>
      </c>
    </row>
    <row r="9317" spans="6:6" x14ac:dyDescent="0.25">
      <c r="F9317" s="85" t="str">
        <f t="shared" si="93"/>
        <v/>
      </c>
    </row>
    <row r="9318" spans="6:6" x14ac:dyDescent="0.25">
      <c r="F9318" s="85" t="str">
        <f t="shared" si="93"/>
        <v/>
      </c>
    </row>
    <row r="9319" spans="6:6" x14ac:dyDescent="0.25">
      <c r="F9319" s="85" t="str">
        <f t="shared" si="93"/>
        <v/>
      </c>
    </row>
    <row r="9320" spans="6:6" x14ac:dyDescent="0.25">
      <c r="F9320" s="85" t="str">
        <f t="shared" si="93"/>
        <v/>
      </c>
    </row>
    <row r="9321" spans="6:6" x14ac:dyDescent="0.25">
      <c r="F9321" s="85" t="str">
        <f t="shared" si="93"/>
        <v/>
      </c>
    </row>
    <row r="9322" spans="6:6" x14ac:dyDescent="0.25">
      <c r="F9322" s="85" t="str">
        <f t="shared" si="93"/>
        <v/>
      </c>
    </row>
    <row r="9323" spans="6:6" x14ac:dyDescent="0.25">
      <c r="F9323" s="85" t="str">
        <f t="shared" si="93"/>
        <v/>
      </c>
    </row>
    <row r="9324" spans="6:6" x14ac:dyDescent="0.25">
      <c r="F9324" s="85" t="str">
        <f t="shared" si="93"/>
        <v/>
      </c>
    </row>
    <row r="9325" spans="6:6" x14ac:dyDescent="0.25">
      <c r="F9325" s="85" t="str">
        <f t="shared" si="93"/>
        <v/>
      </c>
    </row>
    <row r="9326" spans="6:6" x14ac:dyDescent="0.25">
      <c r="F9326" s="85" t="str">
        <f t="shared" si="93"/>
        <v/>
      </c>
    </row>
    <row r="9327" spans="6:6" x14ac:dyDescent="0.25">
      <c r="F9327" s="85" t="str">
        <f t="shared" si="93"/>
        <v/>
      </c>
    </row>
    <row r="9328" spans="6:6" x14ac:dyDescent="0.25">
      <c r="F9328" s="85" t="str">
        <f t="shared" si="93"/>
        <v/>
      </c>
    </row>
    <row r="9329" spans="6:6" x14ac:dyDescent="0.25">
      <c r="F9329" s="85" t="str">
        <f t="shared" si="93"/>
        <v/>
      </c>
    </row>
    <row r="9330" spans="6:6" x14ac:dyDescent="0.25">
      <c r="F9330" s="85" t="str">
        <f t="shared" si="93"/>
        <v/>
      </c>
    </row>
    <row r="9331" spans="6:6" x14ac:dyDescent="0.25">
      <c r="F9331" s="85" t="str">
        <f t="shared" si="93"/>
        <v/>
      </c>
    </row>
    <row r="9332" spans="6:6" x14ac:dyDescent="0.25">
      <c r="F9332" s="85" t="str">
        <f t="shared" si="93"/>
        <v/>
      </c>
    </row>
    <row r="9333" spans="6:6" x14ac:dyDescent="0.25">
      <c r="F9333" s="85" t="str">
        <f t="shared" si="93"/>
        <v/>
      </c>
    </row>
    <row r="9334" spans="6:6" x14ac:dyDescent="0.25">
      <c r="F9334" s="85" t="str">
        <f t="shared" si="93"/>
        <v/>
      </c>
    </row>
    <row r="9335" spans="6:6" x14ac:dyDescent="0.25">
      <c r="F9335" s="85" t="str">
        <f t="shared" si="93"/>
        <v/>
      </c>
    </row>
    <row r="9336" spans="6:6" x14ac:dyDescent="0.25">
      <c r="F9336" s="85" t="str">
        <f t="shared" si="93"/>
        <v/>
      </c>
    </row>
    <row r="9337" spans="6:6" x14ac:dyDescent="0.25">
      <c r="F9337" s="85" t="str">
        <f t="shared" si="93"/>
        <v/>
      </c>
    </row>
    <row r="9338" spans="6:6" x14ac:dyDescent="0.25">
      <c r="F9338" s="85" t="str">
        <f t="shared" si="93"/>
        <v/>
      </c>
    </row>
    <row r="9339" spans="6:6" x14ac:dyDescent="0.25">
      <c r="F9339" s="85" t="str">
        <f t="shared" si="93"/>
        <v/>
      </c>
    </row>
    <row r="9340" spans="6:6" x14ac:dyDescent="0.25">
      <c r="F9340" s="85" t="str">
        <f t="shared" si="93"/>
        <v/>
      </c>
    </row>
    <row r="9341" spans="6:6" x14ac:dyDescent="0.25">
      <c r="F9341" s="85" t="str">
        <f t="shared" si="93"/>
        <v/>
      </c>
    </row>
    <row r="9342" spans="6:6" x14ac:dyDescent="0.25">
      <c r="F9342" s="85" t="str">
        <f t="shared" si="93"/>
        <v/>
      </c>
    </row>
    <row r="9343" spans="6:6" x14ac:dyDescent="0.25">
      <c r="F9343" s="85" t="str">
        <f t="shared" si="93"/>
        <v/>
      </c>
    </row>
    <row r="9344" spans="6:6" x14ac:dyDescent="0.25">
      <c r="F9344" s="85" t="str">
        <f t="shared" si="93"/>
        <v/>
      </c>
    </row>
    <row r="9345" spans="6:6" x14ac:dyDescent="0.25">
      <c r="F9345" s="85" t="str">
        <f t="shared" si="93"/>
        <v/>
      </c>
    </row>
    <row r="9346" spans="6:6" x14ac:dyDescent="0.25">
      <c r="F9346" s="85" t="str">
        <f t="shared" si="93"/>
        <v/>
      </c>
    </row>
    <row r="9347" spans="6:6" x14ac:dyDescent="0.25">
      <c r="F9347" s="85" t="str">
        <f t="shared" ref="F9347:F9410" si="94">IF($A9347="","",CONCATENATE($A9347,"_",$B9347,"_",$C9347))</f>
        <v/>
      </c>
    </row>
    <row r="9348" spans="6:6" x14ac:dyDescent="0.25">
      <c r="F9348" s="85" t="str">
        <f t="shared" si="94"/>
        <v/>
      </c>
    </row>
    <row r="9349" spans="6:6" x14ac:dyDescent="0.25">
      <c r="F9349" s="85" t="str">
        <f t="shared" si="94"/>
        <v/>
      </c>
    </row>
    <row r="9350" spans="6:6" x14ac:dyDescent="0.25">
      <c r="F9350" s="85" t="str">
        <f t="shared" si="94"/>
        <v/>
      </c>
    </row>
    <row r="9351" spans="6:6" x14ac:dyDescent="0.25">
      <c r="F9351" s="85" t="str">
        <f t="shared" si="94"/>
        <v/>
      </c>
    </row>
    <row r="9352" spans="6:6" x14ac:dyDescent="0.25">
      <c r="F9352" s="85" t="str">
        <f t="shared" si="94"/>
        <v/>
      </c>
    </row>
    <row r="9353" spans="6:6" x14ac:dyDescent="0.25">
      <c r="F9353" s="85" t="str">
        <f t="shared" si="94"/>
        <v/>
      </c>
    </row>
    <row r="9354" spans="6:6" x14ac:dyDescent="0.25">
      <c r="F9354" s="85" t="str">
        <f t="shared" si="94"/>
        <v/>
      </c>
    </row>
    <row r="9355" spans="6:6" x14ac:dyDescent="0.25">
      <c r="F9355" s="85" t="str">
        <f t="shared" si="94"/>
        <v/>
      </c>
    </row>
    <row r="9356" spans="6:6" x14ac:dyDescent="0.25">
      <c r="F9356" s="85" t="str">
        <f t="shared" si="94"/>
        <v/>
      </c>
    </row>
    <row r="9357" spans="6:6" x14ac:dyDescent="0.25">
      <c r="F9357" s="85" t="str">
        <f t="shared" si="94"/>
        <v/>
      </c>
    </row>
    <row r="9358" spans="6:6" x14ac:dyDescent="0.25">
      <c r="F9358" s="85" t="str">
        <f t="shared" si="94"/>
        <v/>
      </c>
    </row>
    <row r="9359" spans="6:6" x14ac:dyDescent="0.25">
      <c r="F9359" s="85" t="str">
        <f t="shared" si="94"/>
        <v/>
      </c>
    </row>
    <row r="9360" spans="6:6" x14ac:dyDescent="0.25">
      <c r="F9360" s="85" t="str">
        <f t="shared" si="94"/>
        <v/>
      </c>
    </row>
    <row r="9361" spans="6:6" x14ac:dyDescent="0.25">
      <c r="F9361" s="85" t="str">
        <f t="shared" si="94"/>
        <v/>
      </c>
    </row>
    <row r="9362" spans="6:6" x14ac:dyDescent="0.25">
      <c r="F9362" s="85" t="str">
        <f t="shared" si="94"/>
        <v/>
      </c>
    </row>
    <row r="9363" spans="6:6" x14ac:dyDescent="0.25">
      <c r="F9363" s="85" t="str">
        <f t="shared" si="94"/>
        <v/>
      </c>
    </row>
    <row r="9364" spans="6:6" x14ac:dyDescent="0.25">
      <c r="F9364" s="85" t="str">
        <f t="shared" si="94"/>
        <v/>
      </c>
    </row>
    <row r="9365" spans="6:6" x14ac:dyDescent="0.25">
      <c r="F9365" s="85" t="str">
        <f t="shared" si="94"/>
        <v/>
      </c>
    </row>
    <row r="9366" spans="6:6" x14ac:dyDescent="0.25">
      <c r="F9366" s="85" t="str">
        <f t="shared" si="94"/>
        <v/>
      </c>
    </row>
    <row r="9367" spans="6:6" x14ac:dyDescent="0.25">
      <c r="F9367" s="85" t="str">
        <f t="shared" si="94"/>
        <v/>
      </c>
    </row>
    <row r="9368" spans="6:6" x14ac:dyDescent="0.25">
      <c r="F9368" s="85" t="str">
        <f t="shared" si="94"/>
        <v/>
      </c>
    </row>
    <row r="9369" spans="6:6" x14ac:dyDescent="0.25">
      <c r="F9369" s="85" t="str">
        <f t="shared" si="94"/>
        <v/>
      </c>
    </row>
    <row r="9370" spans="6:6" x14ac:dyDescent="0.25">
      <c r="F9370" s="85" t="str">
        <f t="shared" si="94"/>
        <v/>
      </c>
    </row>
    <row r="9371" spans="6:6" x14ac:dyDescent="0.25">
      <c r="F9371" s="85" t="str">
        <f t="shared" si="94"/>
        <v/>
      </c>
    </row>
    <row r="9372" spans="6:6" x14ac:dyDescent="0.25">
      <c r="F9372" s="85" t="str">
        <f t="shared" si="94"/>
        <v/>
      </c>
    </row>
    <row r="9373" spans="6:6" x14ac:dyDescent="0.25">
      <c r="F9373" s="85" t="str">
        <f t="shared" si="94"/>
        <v/>
      </c>
    </row>
    <row r="9374" spans="6:6" x14ac:dyDescent="0.25">
      <c r="F9374" s="85" t="str">
        <f t="shared" si="94"/>
        <v/>
      </c>
    </row>
    <row r="9375" spans="6:6" x14ac:dyDescent="0.25">
      <c r="F9375" s="85" t="str">
        <f t="shared" si="94"/>
        <v/>
      </c>
    </row>
    <row r="9376" spans="6:6" x14ac:dyDescent="0.25">
      <c r="F9376" s="85" t="str">
        <f t="shared" si="94"/>
        <v/>
      </c>
    </row>
    <row r="9377" spans="6:6" x14ac:dyDescent="0.25">
      <c r="F9377" s="85" t="str">
        <f t="shared" si="94"/>
        <v/>
      </c>
    </row>
    <row r="9378" spans="6:6" x14ac:dyDescent="0.25">
      <c r="F9378" s="85" t="str">
        <f t="shared" si="94"/>
        <v/>
      </c>
    </row>
    <row r="9379" spans="6:6" x14ac:dyDescent="0.25">
      <c r="F9379" s="85" t="str">
        <f t="shared" si="94"/>
        <v/>
      </c>
    </row>
    <row r="9380" spans="6:6" x14ac:dyDescent="0.25">
      <c r="F9380" s="85" t="str">
        <f t="shared" si="94"/>
        <v/>
      </c>
    </row>
    <row r="9381" spans="6:6" x14ac:dyDescent="0.25">
      <c r="F9381" s="85" t="str">
        <f t="shared" si="94"/>
        <v/>
      </c>
    </row>
    <row r="9382" spans="6:6" x14ac:dyDescent="0.25">
      <c r="F9382" s="85" t="str">
        <f t="shared" si="94"/>
        <v/>
      </c>
    </row>
    <row r="9383" spans="6:6" x14ac:dyDescent="0.25">
      <c r="F9383" s="85" t="str">
        <f t="shared" si="94"/>
        <v/>
      </c>
    </row>
    <row r="9384" spans="6:6" x14ac:dyDescent="0.25">
      <c r="F9384" s="85" t="str">
        <f t="shared" si="94"/>
        <v/>
      </c>
    </row>
    <row r="9385" spans="6:6" x14ac:dyDescent="0.25">
      <c r="F9385" s="85" t="str">
        <f t="shared" si="94"/>
        <v/>
      </c>
    </row>
    <row r="9386" spans="6:6" x14ac:dyDescent="0.25">
      <c r="F9386" s="85" t="str">
        <f t="shared" si="94"/>
        <v/>
      </c>
    </row>
    <row r="9387" spans="6:6" x14ac:dyDescent="0.25">
      <c r="F9387" s="85" t="str">
        <f t="shared" si="94"/>
        <v/>
      </c>
    </row>
    <row r="9388" spans="6:6" x14ac:dyDescent="0.25">
      <c r="F9388" s="85" t="str">
        <f t="shared" si="94"/>
        <v/>
      </c>
    </row>
    <row r="9389" spans="6:6" x14ac:dyDescent="0.25">
      <c r="F9389" s="85" t="str">
        <f t="shared" si="94"/>
        <v/>
      </c>
    </row>
    <row r="9390" spans="6:6" x14ac:dyDescent="0.25">
      <c r="F9390" s="85" t="str">
        <f t="shared" si="94"/>
        <v/>
      </c>
    </row>
    <row r="9391" spans="6:6" x14ac:dyDescent="0.25">
      <c r="F9391" s="85" t="str">
        <f t="shared" si="94"/>
        <v/>
      </c>
    </row>
    <row r="9392" spans="6:6" x14ac:dyDescent="0.25">
      <c r="F9392" s="85" t="str">
        <f t="shared" si="94"/>
        <v/>
      </c>
    </row>
    <row r="9393" spans="6:6" x14ac:dyDescent="0.25">
      <c r="F9393" s="85" t="str">
        <f t="shared" si="94"/>
        <v/>
      </c>
    </row>
    <row r="9394" spans="6:6" x14ac:dyDescent="0.25">
      <c r="F9394" s="85" t="str">
        <f t="shared" si="94"/>
        <v/>
      </c>
    </row>
    <row r="9395" spans="6:6" x14ac:dyDescent="0.25">
      <c r="F9395" s="85" t="str">
        <f t="shared" si="94"/>
        <v/>
      </c>
    </row>
    <row r="9396" spans="6:6" x14ac:dyDescent="0.25">
      <c r="F9396" s="85" t="str">
        <f t="shared" si="94"/>
        <v/>
      </c>
    </row>
    <row r="9397" spans="6:6" x14ac:dyDescent="0.25">
      <c r="F9397" s="85" t="str">
        <f t="shared" si="94"/>
        <v/>
      </c>
    </row>
    <row r="9398" spans="6:6" x14ac:dyDescent="0.25">
      <c r="F9398" s="85" t="str">
        <f t="shared" si="94"/>
        <v/>
      </c>
    </row>
    <row r="9399" spans="6:6" x14ac:dyDescent="0.25">
      <c r="F9399" s="85" t="str">
        <f t="shared" si="94"/>
        <v/>
      </c>
    </row>
    <row r="9400" spans="6:6" x14ac:dyDescent="0.25">
      <c r="F9400" s="85" t="str">
        <f t="shared" si="94"/>
        <v/>
      </c>
    </row>
    <row r="9401" spans="6:6" x14ac:dyDescent="0.25">
      <c r="F9401" s="85" t="str">
        <f t="shared" si="94"/>
        <v/>
      </c>
    </row>
    <row r="9402" spans="6:6" x14ac:dyDescent="0.25">
      <c r="F9402" s="85" t="str">
        <f t="shared" si="94"/>
        <v/>
      </c>
    </row>
    <row r="9403" spans="6:6" x14ac:dyDescent="0.25">
      <c r="F9403" s="85" t="str">
        <f t="shared" si="94"/>
        <v/>
      </c>
    </row>
    <row r="9404" spans="6:6" x14ac:dyDescent="0.25">
      <c r="F9404" s="85" t="str">
        <f t="shared" si="94"/>
        <v/>
      </c>
    </row>
    <row r="9405" spans="6:6" x14ac:dyDescent="0.25">
      <c r="F9405" s="85" t="str">
        <f t="shared" si="94"/>
        <v/>
      </c>
    </row>
    <row r="9406" spans="6:6" x14ac:dyDescent="0.25">
      <c r="F9406" s="85" t="str">
        <f t="shared" si="94"/>
        <v/>
      </c>
    </row>
    <row r="9407" spans="6:6" x14ac:dyDescent="0.25">
      <c r="F9407" s="85" t="str">
        <f t="shared" si="94"/>
        <v/>
      </c>
    </row>
    <row r="9408" spans="6:6" x14ac:dyDescent="0.25">
      <c r="F9408" s="85" t="str">
        <f t="shared" si="94"/>
        <v/>
      </c>
    </row>
    <row r="9409" spans="6:6" x14ac:dyDescent="0.25">
      <c r="F9409" s="85" t="str">
        <f t="shared" si="94"/>
        <v/>
      </c>
    </row>
    <row r="9410" spans="6:6" x14ac:dyDescent="0.25">
      <c r="F9410" s="85" t="str">
        <f t="shared" si="94"/>
        <v/>
      </c>
    </row>
    <row r="9411" spans="6:6" x14ac:dyDescent="0.25">
      <c r="F9411" s="85" t="str">
        <f t="shared" ref="F9411:F9474" si="95">IF($A9411="","",CONCATENATE($A9411,"_",$B9411,"_",$C9411))</f>
        <v/>
      </c>
    </row>
    <row r="9412" spans="6:6" x14ac:dyDescent="0.25">
      <c r="F9412" s="85" t="str">
        <f t="shared" si="95"/>
        <v/>
      </c>
    </row>
    <row r="9413" spans="6:6" x14ac:dyDescent="0.25">
      <c r="F9413" s="85" t="str">
        <f t="shared" si="95"/>
        <v/>
      </c>
    </row>
    <row r="9414" spans="6:6" x14ac:dyDescent="0.25">
      <c r="F9414" s="85" t="str">
        <f t="shared" si="95"/>
        <v/>
      </c>
    </row>
    <row r="9415" spans="6:6" x14ac:dyDescent="0.25">
      <c r="F9415" s="85" t="str">
        <f t="shared" si="95"/>
        <v/>
      </c>
    </row>
    <row r="9416" spans="6:6" x14ac:dyDescent="0.25">
      <c r="F9416" s="85" t="str">
        <f t="shared" si="95"/>
        <v/>
      </c>
    </row>
    <row r="9417" spans="6:6" x14ac:dyDescent="0.25">
      <c r="F9417" s="85" t="str">
        <f t="shared" si="95"/>
        <v/>
      </c>
    </row>
    <row r="9418" spans="6:6" x14ac:dyDescent="0.25">
      <c r="F9418" s="85" t="str">
        <f t="shared" si="95"/>
        <v/>
      </c>
    </row>
    <row r="9419" spans="6:6" x14ac:dyDescent="0.25">
      <c r="F9419" s="85" t="str">
        <f t="shared" si="95"/>
        <v/>
      </c>
    </row>
    <row r="9420" spans="6:6" x14ac:dyDescent="0.25">
      <c r="F9420" s="85" t="str">
        <f t="shared" si="95"/>
        <v/>
      </c>
    </row>
    <row r="9421" spans="6:6" x14ac:dyDescent="0.25">
      <c r="F9421" s="85" t="str">
        <f t="shared" si="95"/>
        <v/>
      </c>
    </row>
    <row r="9422" spans="6:6" x14ac:dyDescent="0.25">
      <c r="F9422" s="85" t="str">
        <f t="shared" si="95"/>
        <v/>
      </c>
    </row>
    <row r="9423" spans="6:6" x14ac:dyDescent="0.25">
      <c r="F9423" s="85" t="str">
        <f t="shared" si="95"/>
        <v/>
      </c>
    </row>
    <row r="9424" spans="6:6" x14ac:dyDescent="0.25">
      <c r="F9424" s="85" t="str">
        <f t="shared" si="95"/>
        <v/>
      </c>
    </row>
    <row r="9425" spans="6:6" x14ac:dyDescent="0.25">
      <c r="F9425" s="85" t="str">
        <f t="shared" si="95"/>
        <v/>
      </c>
    </row>
    <row r="9426" spans="6:6" x14ac:dyDescent="0.25">
      <c r="F9426" s="85" t="str">
        <f t="shared" si="95"/>
        <v/>
      </c>
    </row>
    <row r="9427" spans="6:6" x14ac:dyDescent="0.25">
      <c r="F9427" s="85" t="str">
        <f t="shared" si="95"/>
        <v/>
      </c>
    </row>
    <row r="9428" spans="6:6" x14ac:dyDescent="0.25">
      <c r="F9428" s="85" t="str">
        <f t="shared" si="95"/>
        <v/>
      </c>
    </row>
    <row r="9429" spans="6:6" x14ac:dyDescent="0.25">
      <c r="F9429" s="85" t="str">
        <f t="shared" si="95"/>
        <v/>
      </c>
    </row>
    <row r="9430" spans="6:6" x14ac:dyDescent="0.25">
      <c r="F9430" s="85" t="str">
        <f t="shared" si="95"/>
        <v/>
      </c>
    </row>
    <row r="9431" spans="6:6" x14ac:dyDescent="0.25">
      <c r="F9431" s="85" t="str">
        <f t="shared" si="95"/>
        <v/>
      </c>
    </row>
    <row r="9432" spans="6:6" x14ac:dyDescent="0.25">
      <c r="F9432" s="85" t="str">
        <f t="shared" si="95"/>
        <v/>
      </c>
    </row>
    <row r="9433" spans="6:6" x14ac:dyDescent="0.25">
      <c r="F9433" s="85" t="str">
        <f t="shared" si="95"/>
        <v/>
      </c>
    </row>
    <row r="9434" spans="6:6" x14ac:dyDescent="0.25">
      <c r="F9434" s="85" t="str">
        <f t="shared" si="95"/>
        <v/>
      </c>
    </row>
    <row r="9435" spans="6:6" x14ac:dyDescent="0.25">
      <c r="F9435" s="85" t="str">
        <f t="shared" si="95"/>
        <v/>
      </c>
    </row>
    <row r="9436" spans="6:6" x14ac:dyDescent="0.25">
      <c r="F9436" s="85" t="str">
        <f t="shared" si="95"/>
        <v/>
      </c>
    </row>
    <row r="9437" spans="6:6" x14ac:dyDescent="0.25">
      <c r="F9437" s="85" t="str">
        <f t="shared" si="95"/>
        <v/>
      </c>
    </row>
    <row r="9438" spans="6:6" x14ac:dyDescent="0.25">
      <c r="F9438" s="85" t="str">
        <f t="shared" si="95"/>
        <v/>
      </c>
    </row>
    <row r="9439" spans="6:6" x14ac:dyDescent="0.25">
      <c r="F9439" s="85" t="str">
        <f t="shared" si="95"/>
        <v/>
      </c>
    </row>
    <row r="9440" spans="6:6" x14ac:dyDescent="0.25">
      <c r="F9440" s="85" t="str">
        <f t="shared" si="95"/>
        <v/>
      </c>
    </row>
    <row r="9441" spans="6:6" x14ac:dyDescent="0.25">
      <c r="F9441" s="85" t="str">
        <f t="shared" si="95"/>
        <v/>
      </c>
    </row>
    <row r="9442" spans="6:6" x14ac:dyDescent="0.25">
      <c r="F9442" s="85" t="str">
        <f t="shared" si="95"/>
        <v/>
      </c>
    </row>
    <row r="9443" spans="6:6" x14ac:dyDescent="0.25">
      <c r="F9443" s="85" t="str">
        <f t="shared" si="95"/>
        <v/>
      </c>
    </row>
    <row r="9444" spans="6:6" x14ac:dyDescent="0.25">
      <c r="F9444" s="85" t="str">
        <f t="shared" si="95"/>
        <v/>
      </c>
    </row>
    <row r="9445" spans="6:6" x14ac:dyDescent="0.25">
      <c r="F9445" s="85" t="str">
        <f t="shared" si="95"/>
        <v/>
      </c>
    </row>
    <row r="9446" spans="6:6" x14ac:dyDescent="0.25">
      <c r="F9446" s="85" t="str">
        <f t="shared" si="95"/>
        <v/>
      </c>
    </row>
    <row r="9447" spans="6:6" x14ac:dyDescent="0.25">
      <c r="F9447" s="85" t="str">
        <f t="shared" si="95"/>
        <v/>
      </c>
    </row>
    <row r="9448" spans="6:6" x14ac:dyDescent="0.25">
      <c r="F9448" s="85" t="str">
        <f t="shared" si="95"/>
        <v/>
      </c>
    </row>
    <row r="9449" spans="6:6" x14ac:dyDescent="0.25">
      <c r="F9449" s="85" t="str">
        <f t="shared" si="95"/>
        <v/>
      </c>
    </row>
    <row r="9450" spans="6:6" x14ac:dyDescent="0.25">
      <c r="F9450" s="85" t="str">
        <f t="shared" si="95"/>
        <v/>
      </c>
    </row>
    <row r="9451" spans="6:6" x14ac:dyDescent="0.25">
      <c r="F9451" s="85" t="str">
        <f t="shared" si="95"/>
        <v/>
      </c>
    </row>
    <row r="9452" spans="6:6" x14ac:dyDescent="0.25">
      <c r="F9452" s="85" t="str">
        <f t="shared" si="95"/>
        <v/>
      </c>
    </row>
    <row r="9453" spans="6:6" x14ac:dyDescent="0.25">
      <c r="F9453" s="85" t="str">
        <f t="shared" si="95"/>
        <v/>
      </c>
    </row>
    <row r="9454" spans="6:6" x14ac:dyDescent="0.25">
      <c r="F9454" s="85" t="str">
        <f t="shared" si="95"/>
        <v/>
      </c>
    </row>
    <row r="9455" spans="6:6" x14ac:dyDescent="0.25">
      <c r="F9455" s="85" t="str">
        <f t="shared" si="95"/>
        <v/>
      </c>
    </row>
    <row r="9456" spans="6:6" x14ac:dyDescent="0.25">
      <c r="F9456" s="85" t="str">
        <f t="shared" si="95"/>
        <v/>
      </c>
    </row>
    <row r="9457" spans="6:6" x14ac:dyDescent="0.25">
      <c r="F9457" s="85" t="str">
        <f t="shared" si="95"/>
        <v/>
      </c>
    </row>
    <row r="9458" spans="6:6" x14ac:dyDescent="0.25">
      <c r="F9458" s="85" t="str">
        <f t="shared" si="95"/>
        <v/>
      </c>
    </row>
    <row r="9459" spans="6:6" x14ac:dyDescent="0.25">
      <c r="F9459" s="85" t="str">
        <f t="shared" si="95"/>
        <v/>
      </c>
    </row>
    <row r="9460" spans="6:6" x14ac:dyDescent="0.25">
      <c r="F9460" s="85" t="str">
        <f t="shared" si="95"/>
        <v/>
      </c>
    </row>
    <row r="9461" spans="6:6" x14ac:dyDescent="0.25">
      <c r="F9461" s="85" t="str">
        <f t="shared" si="95"/>
        <v/>
      </c>
    </row>
    <row r="9462" spans="6:6" x14ac:dyDescent="0.25">
      <c r="F9462" s="85" t="str">
        <f t="shared" si="95"/>
        <v/>
      </c>
    </row>
    <row r="9463" spans="6:6" x14ac:dyDescent="0.25">
      <c r="F9463" s="85" t="str">
        <f t="shared" si="95"/>
        <v/>
      </c>
    </row>
    <row r="9464" spans="6:6" x14ac:dyDescent="0.25">
      <c r="F9464" s="85" t="str">
        <f t="shared" si="95"/>
        <v/>
      </c>
    </row>
    <row r="9465" spans="6:6" x14ac:dyDescent="0.25">
      <c r="F9465" s="85" t="str">
        <f t="shared" si="95"/>
        <v/>
      </c>
    </row>
    <row r="9466" spans="6:6" x14ac:dyDescent="0.25">
      <c r="F9466" s="85" t="str">
        <f t="shared" si="95"/>
        <v/>
      </c>
    </row>
    <row r="9467" spans="6:6" x14ac:dyDescent="0.25">
      <c r="F9467" s="85" t="str">
        <f t="shared" si="95"/>
        <v/>
      </c>
    </row>
    <row r="9468" spans="6:6" x14ac:dyDescent="0.25">
      <c r="F9468" s="85" t="str">
        <f t="shared" si="95"/>
        <v/>
      </c>
    </row>
    <row r="9469" spans="6:6" x14ac:dyDescent="0.25">
      <c r="F9469" s="85" t="str">
        <f t="shared" si="95"/>
        <v/>
      </c>
    </row>
    <row r="9470" spans="6:6" x14ac:dyDescent="0.25">
      <c r="F9470" s="85" t="str">
        <f t="shared" si="95"/>
        <v/>
      </c>
    </row>
    <row r="9471" spans="6:6" x14ac:dyDescent="0.25">
      <c r="F9471" s="85" t="str">
        <f t="shared" si="95"/>
        <v/>
      </c>
    </row>
    <row r="9472" spans="6:6" x14ac:dyDescent="0.25">
      <c r="F9472" s="85" t="str">
        <f t="shared" si="95"/>
        <v/>
      </c>
    </row>
    <row r="9473" spans="6:6" x14ac:dyDescent="0.25">
      <c r="F9473" s="85" t="str">
        <f t="shared" si="95"/>
        <v/>
      </c>
    </row>
    <row r="9474" spans="6:6" x14ac:dyDescent="0.25">
      <c r="F9474" s="85" t="str">
        <f t="shared" si="95"/>
        <v/>
      </c>
    </row>
    <row r="9475" spans="6:6" x14ac:dyDescent="0.25">
      <c r="F9475" s="85" t="str">
        <f t="shared" ref="F9475:F9538" si="96">IF($A9475="","",CONCATENATE($A9475,"_",$B9475,"_",$C9475))</f>
        <v/>
      </c>
    </row>
    <row r="9476" spans="6:6" x14ac:dyDescent="0.25">
      <c r="F9476" s="85" t="str">
        <f t="shared" si="96"/>
        <v/>
      </c>
    </row>
    <row r="9477" spans="6:6" x14ac:dyDescent="0.25">
      <c r="F9477" s="85" t="str">
        <f t="shared" si="96"/>
        <v/>
      </c>
    </row>
    <row r="9478" spans="6:6" x14ac:dyDescent="0.25">
      <c r="F9478" s="85" t="str">
        <f t="shared" si="96"/>
        <v/>
      </c>
    </row>
    <row r="9479" spans="6:6" x14ac:dyDescent="0.25">
      <c r="F9479" s="85" t="str">
        <f t="shared" si="96"/>
        <v/>
      </c>
    </row>
    <row r="9480" spans="6:6" x14ac:dyDescent="0.25">
      <c r="F9480" s="85" t="str">
        <f t="shared" si="96"/>
        <v/>
      </c>
    </row>
    <row r="9481" spans="6:6" x14ac:dyDescent="0.25">
      <c r="F9481" s="85" t="str">
        <f t="shared" si="96"/>
        <v/>
      </c>
    </row>
    <row r="9482" spans="6:6" x14ac:dyDescent="0.25">
      <c r="F9482" s="85" t="str">
        <f t="shared" si="96"/>
        <v/>
      </c>
    </row>
    <row r="9483" spans="6:6" x14ac:dyDescent="0.25">
      <c r="F9483" s="85" t="str">
        <f t="shared" si="96"/>
        <v/>
      </c>
    </row>
    <row r="9484" spans="6:6" x14ac:dyDescent="0.25">
      <c r="F9484" s="85" t="str">
        <f t="shared" si="96"/>
        <v/>
      </c>
    </row>
    <row r="9485" spans="6:6" x14ac:dyDescent="0.25">
      <c r="F9485" s="85" t="str">
        <f t="shared" si="96"/>
        <v/>
      </c>
    </row>
    <row r="9486" spans="6:6" x14ac:dyDescent="0.25">
      <c r="F9486" s="85" t="str">
        <f t="shared" si="96"/>
        <v/>
      </c>
    </row>
    <row r="9487" spans="6:6" x14ac:dyDescent="0.25">
      <c r="F9487" s="85" t="str">
        <f t="shared" si="96"/>
        <v/>
      </c>
    </row>
    <row r="9488" spans="6:6" x14ac:dyDescent="0.25">
      <c r="F9488" s="85" t="str">
        <f t="shared" si="96"/>
        <v/>
      </c>
    </row>
    <row r="9489" spans="6:6" x14ac:dyDescent="0.25">
      <c r="F9489" s="85" t="str">
        <f t="shared" si="96"/>
        <v/>
      </c>
    </row>
    <row r="9490" spans="6:6" x14ac:dyDescent="0.25">
      <c r="F9490" s="85" t="str">
        <f t="shared" si="96"/>
        <v/>
      </c>
    </row>
    <row r="9491" spans="6:6" x14ac:dyDescent="0.25">
      <c r="F9491" s="85" t="str">
        <f t="shared" si="96"/>
        <v/>
      </c>
    </row>
    <row r="9492" spans="6:6" x14ac:dyDescent="0.25">
      <c r="F9492" s="85" t="str">
        <f t="shared" si="96"/>
        <v/>
      </c>
    </row>
    <row r="9493" spans="6:6" x14ac:dyDescent="0.25">
      <c r="F9493" s="85" t="str">
        <f t="shared" si="96"/>
        <v/>
      </c>
    </row>
    <row r="9494" spans="6:6" x14ac:dyDescent="0.25">
      <c r="F9494" s="85" t="str">
        <f t="shared" si="96"/>
        <v/>
      </c>
    </row>
    <row r="9495" spans="6:6" x14ac:dyDescent="0.25">
      <c r="F9495" s="85" t="str">
        <f t="shared" si="96"/>
        <v/>
      </c>
    </row>
    <row r="9496" spans="6:6" x14ac:dyDescent="0.25">
      <c r="F9496" s="85" t="str">
        <f t="shared" si="96"/>
        <v/>
      </c>
    </row>
    <row r="9497" spans="6:6" x14ac:dyDescent="0.25">
      <c r="F9497" s="85" t="str">
        <f t="shared" si="96"/>
        <v/>
      </c>
    </row>
    <row r="9498" spans="6:6" x14ac:dyDescent="0.25">
      <c r="F9498" s="85" t="str">
        <f t="shared" si="96"/>
        <v/>
      </c>
    </row>
    <row r="9499" spans="6:6" x14ac:dyDescent="0.25">
      <c r="F9499" s="85" t="str">
        <f t="shared" si="96"/>
        <v/>
      </c>
    </row>
    <row r="9500" spans="6:6" x14ac:dyDescent="0.25">
      <c r="F9500" s="85" t="str">
        <f t="shared" si="96"/>
        <v/>
      </c>
    </row>
    <row r="9501" spans="6:6" x14ac:dyDescent="0.25">
      <c r="F9501" s="85" t="str">
        <f t="shared" si="96"/>
        <v/>
      </c>
    </row>
    <row r="9502" spans="6:6" x14ac:dyDescent="0.25">
      <c r="F9502" s="85" t="str">
        <f t="shared" si="96"/>
        <v/>
      </c>
    </row>
    <row r="9503" spans="6:6" x14ac:dyDescent="0.25">
      <c r="F9503" s="85" t="str">
        <f t="shared" si="96"/>
        <v/>
      </c>
    </row>
    <row r="9504" spans="6:6" x14ac:dyDescent="0.25">
      <c r="F9504" s="85" t="str">
        <f t="shared" si="96"/>
        <v/>
      </c>
    </row>
    <row r="9505" spans="6:6" x14ac:dyDescent="0.25">
      <c r="F9505" s="85" t="str">
        <f t="shared" si="96"/>
        <v/>
      </c>
    </row>
    <row r="9506" spans="6:6" x14ac:dyDescent="0.25">
      <c r="F9506" s="85" t="str">
        <f t="shared" si="96"/>
        <v/>
      </c>
    </row>
    <row r="9507" spans="6:6" x14ac:dyDescent="0.25">
      <c r="F9507" s="85" t="str">
        <f t="shared" si="96"/>
        <v/>
      </c>
    </row>
    <row r="9508" spans="6:6" x14ac:dyDescent="0.25">
      <c r="F9508" s="85" t="str">
        <f t="shared" si="96"/>
        <v/>
      </c>
    </row>
    <row r="9509" spans="6:6" x14ac:dyDescent="0.25">
      <c r="F9509" s="85" t="str">
        <f t="shared" si="96"/>
        <v/>
      </c>
    </row>
    <row r="9510" spans="6:6" x14ac:dyDescent="0.25">
      <c r="F9510" s="85" t="str">
        <f t="shared" si="96"/>
        <v/>
      </c>
    </row>
    <row r="9511" spans="6:6" x14ac:dyDescent="0.25">
      <c r="F9511" s="85" t="str">
        <f t="shared" si="96"/>
        <v/>
      </c>
    </row>
    <row r="9512" spans="6:6" x14ac:dyDescent="0.25">
      <c r="F9512" s="85" t="str">
        <f t="shared" si="96"/>
        <v/>
      </c>
    </row>
    <row r="9513" spans="6:6" x14ac:dyDescent="0.25">
      <c r="F9513" s="85" t="str">
        <f t="shared" si="96"/>
        <v/>
      </c>
    </row>
    <row r="9514" spans="6:6" x14ac:dyDescent="0.25">
      <c r="F9514" s="85" t="str">
        <f t="shared" si="96"/>
        <v/>
      </c>
    </row>
    <row r="9515" spans="6:6" x14ac:dyDescent="0.25">
      <c r="F9515" s="85" t="str">
        <f t="shared" si="96"/>
        <v/>
      </c>
    </row>
    <row r="9516" spans="6:6" x14ac:dyDescent="0.25">
      <c r="F9516" s="85" t="str">
        <f t="shared" si="96"/>
        <v/>
      </c>
    </row>
    <row r="9517" spans="6:6" x14ac:dyDescent="0.25">
      <c r="F9517" s="85" t="str">
        <f t="shared" si="96"/>
        <v/>
      </c>
    </row>
    <row r="9518" spans="6:6" x14ac:dyDescent="0.25">
      <c r="F9518" s="85" t="str">
        <f t="shared" si="96"/>
        <v/>
      </c>
    </row>
    <row r="9519" spans="6:6" x14ac:dyDescent="0.25">
      <c r="F9519" s="85" t="str">
        <f t="shared" si="96"/>
        <v/>
      </c>
    </row>
    <row r="9520" spans="6:6" x14ac:dyDescent="0.25">
      <c r="F9520" s="85" t="str">
        <f t="shared" si="96"/>
        <v/>
      </c>
    </row>
    <row r="9521" spans="6:6" x14ac:dyDescent="0.25">
      <c r="F9521" s="85" t="str">
        <f t="shared" si="96"/>
        <v/>
      </c>
    </row>
    <row r="9522" spans="6:6" x14ac:dyDescent="0.25">
      <c r="F9522" s="85" t="str">
        <f t="shared" si="96"/>
        <v/>
      </c>
    </row>
    <row r="9523" spans="6:6" x14ac:dyDescent="0.25">
      <c r="F9523" s="85" t="str">
        <f t="shared" si="96"/>
        <v/>
      </c>
    </row>
    <row r="9524" spans="6:6" x14ac:dyDescent="0.25">
      <c r="F9524" s="85" t="str">
        <f t="shared" si="96"/>
        <v/>
      </c>
    </row>
    <row r="9525" spans="6:6" x14ac:dyDescent="0.25">
      <c r="F9525" s="85" t="str">
        <f t="shared" si="96"/>
        <v/>
      </c>
    </row>
    <row r="9526" spans="6:6" x14ac:dyDescent="0.25">
      <c r="F9526" s="85" t="str">
        <f t="shared" si="96"/>
        <v/>
      </c>
    </row>
    <row r="9527" spans="6:6" x14ac:dyDescent="0.25">
      <c r="F9527" s="85" t="str">
        <f t="shared" si="96"/>
        <v/>
      </c>
    </row>
    <row r="9528" spans="6:6" x14ac:dyDescent="0.25">
      <c r="F9528" s="85" t="str">
        <f t="shared" si="96"/>
        <v/>
      </c>
    </row>
    <row r="9529" spans="6:6" x14ac:dyDescent="0.25">
      <c r="F9529" s="85" t="str">
        <f t="shared" si="96"/>
        <v/>
      </c>
    </row>
    <row r="9530" spans="6:6" x14ac:dyDescent="0.25">
      <c r="F9530" s="85" t="str">
        <f t="shared" si="96"/>
        <v/>
      </c>
    </row>
    <row r="9531" spans="6:6" x14ac:dyDescent="0.25">
      <c r="F9531" s="85" t="str">
        <f t="shared" si="96"/>
        <v/>
      </c>
    </row>
    <row r="9532" spans="6:6" x14ac:dyDescent="0.25">
      <c r="F9532" s="85" t="str">
        <f t="shared" si="96"/>
        <v/>
      </c>
    </row>
    <row r="9533" spans="6:6" x14ac:dyDescent="0.25">
      <c r="F9533" s="85" t="str">
        <f t="shared" si="96"/>
        <v/>
      </c>
    </row>
    <row r="9534" spans="6:6" x14ac:dyDescent="0.25">
      <c r="F9534" s="85" t="str">
        <f t="shared" si="96"/>
        <v/>
      </c>
    </row>
    <row r="9535" spans="6:6" x14ac:dyDescent="0.25">
      <c r="F9535" s="85" t="str">
        <f t="shared" si="96"/>
        <v/>
      </c>
    </row>
    <row r="9536" spans="6:6" x14ac:dyDescent="0.25">
      <c r="F9536" s="85" t="str">
        <f t="shared" si="96"/>
        <v/>
      </c>
    </row>
    <row r="9537" spans="6:6" x14ac:dyDescent="0.25">
      <c r="F9537" s="85" t="str">
        <f t="shared" si="96"/>
        <v/>
      </c>
    </row>
    <row r="9538" spans="6:6" x14ac:dyDescent="0.25">
      <c r="F9538" s="85" t="str">
        <f t="shared" si="96"/>
        <v/>
      </c>
    </row>
    <row r="9539" spans="6:6" x14ac:dyDescent="0.25">
      <c r="F9539" s="85" t="str">
        <f t="shared" ref="F9539:F9602" si="97">IF($A9539="","",CONCATENATE($A9539,"_",$B9539,"_",$C9539))</f>
        <v/>
      </c>
    </row>
    <row r="9540" spans="6:6" x14ac:dyDescent="0.25">
      <c r="F9540" s="85" t="str">
        <f t="shared" si="97"/>
        <v/>
      </c>
    </row>
    <row r="9541" spans="6:6" x14ac:dyDescent="0.25">
      <c r="F9541" s="85" t="str">
        <f t="shared" si="97"/>
        <v/>
      </c>
    </row>
    <row r="9542" spans="6:6" x14ac:dyDescent="0.25">
      <c r="F9542" s="85" t="str">
        <f t="shared" si="97"/>
        <v/>
      </c>
    </row>
    <row r="9543" spans="6:6" x14ac:dyDescent="0.25">
      <c r="F9543" s="85" t="str">
        <f t="shared" si="97"/>
        <v/>
      </c>
    </row>
    <row r="9544" spans="6:6" x14ac:dyDescent="0.25">
      <c r="F9544" s="85" t="str">
        <f t="shared" si="97"/>
        <v/>
      </c>
    </row>
    <row r="9545" spans="6:6" x14ac:dyDescent="0.25">
      <c r="F9545" s="85" t="str">
        <f t="shared" si="97"/>
        <v/>
      </c>
    </row>
    <row r="9546" spans="6:6" x14ac:dyDescent="0.25">
      <c r="F9546" s="85" t="str">
        <f t="shared" si="97"/>
        <v/>
      </c>
    </row>
    <row r="9547" spans="6:6" x14ac:dyDescent="0.25">
      <c r="F9547" s="85" t="str">
        <f t="shared" si="97"/>
        <v/>
      </c>
    </row>
    <row r="9548" spans="6:6" x14ac:dyDescent="0.25">
      <c r="F9548" s="85" t="str">
        <f t="shared" si="97"/>
        <v/>
      </c>
    </row>
    <row r="9549" spans="6:6" x14ac:dyDescent="0.25">
      <c r="F9549" s="85" t="str">
        <f t="shared" si="97"/>
        <v/>
      </c>
    </row>
    <row r="9550" spans="6:6" x14ac:dyDescent="0.25">
      <c r="F9550" s="85" t="str">
        <f t="shared" si="97"/>
        <v/>
      </c>
    </row>
    <row r="9551" spans="6:6" x14ac:dyDescent="0.25">
      <c r="F9551" s="85" t="str">
        <f t="shared" si="97"/>
        <v/>
      </c>
    </row>
    <row r="9552" spans="6:6" x14ac:dyDescent="0.25">
      <c r="F9552" s="85" t="str">
        <f t="shared" si="97"/>
        <v/>
      </c>
    </row>
    <row r="9553" spans="6:6" x14ac:dyDescent="0.25">
      <c r="F9553" s="85" t="str">
        <f t="shared" si="97"/>
        <v/>
      </c>
    </row>
    <row r="9554" spans="6:6" x14ac:dyDescent="0.25">
      <c r="F9554" s="85" t="str">
        <f t="shared" si="97"/>
        <v/>
      </c>
    </row>
    <row r="9555" spans="6:6" x14ac:dyDescent="0.25">
      <c r="F9555" s="85" t="str">
        <f t="shared" si="97"/>
        <v/>
      </c>
    </row>
    <row r="9556" spans="6:6" x14ac:dyDescent="0.25">
      <c r="F9556" s="85" t="str">
        <f t="shared" si="97"/>
        <v/>
      </c>
    </row>
    <row r="9557" spans="6:6" x14ac:dyDescent="0.25">
      <c r="F9557" s="85" t="str">
        <f t="shared" si="97"/>
        <v/>
      </c>
    </row>
    <row r="9558" spans="6:6" x14ac:dyDescent="0.25">
      <c r="F9558" s="85" t="str">
        <f t="shared" si="97"/>
        <v/>
      </c>
    </row>
    <row r="9559" spans="6:6" x14ac:dyDescent="0.25">
      <c r="F9559" s="85" t="str">
        <f t="shared" si="97"/>
        <v/>
      </c>
    </row>
    <row r="9560" spans="6:6" x14ac:dyDescent="0.25">
      <c r="F9560" s="85" t="str">
        <f t="shared" si="97"/>
        <v/>
      </c>
    </row>
    <row r="9561" spans="6:6" x14ac:dyDescent="0.25">
      <c r="F9561" s="85" t="str">
        <f t="shared" si="97"/>
        <v/>
      </c>
    </row>
    <row r="9562" spans="6:6" x14ac:dyDescent="0.25">
      <c r="F9562" s="85" t="str">
        <f t="shared" si="97"/>
        <v/>
      </c>
    </row>
    <row r="9563" spans="6:6" x14ac:dyDescent="0.25">
      <c r="F9563" s="85" t="str">
        <f t="shared" si="97"/>
        <v/>
      </c>
    </row>
    <row r="9564" spans="6:6" x14ac:dyDescent="0.25">
      <c r="F9564" s="85" t="str">
        <f t="shared" si="97"/>
        <v/>
      </c>
    </row>
    <row r="9565" spans="6:6" x14ac:dyDescent="0.25">
      <c r="F9565" s="85" t="str">
        <f t="shared" si="97"/>
        <v/>
      </c>
    </row>
    <row r="9566" spans="6:6" x14ac:dyDescent="0.25">
      <c r="F9566" s="85" t="str">
        <f t="shared" si="97"/>
        <v/>
      </c>
    </row>
    <row r="9567" spans="6:6" x14ac:dyDescent="0.25">
      <c r="F9567" s="85" t="str">
        <f t="shared" si="97"/>
        <v/>
      </c>
    </row>
    <row r="9568" spans="6:6" x14ac:dyDescent="0.25">
      <c r="F9568" s="85" t="str">
        <f t="shared" si="97"/>
        <v/>
      </c>
    </row>
    <row r="9569" spans="6:6" x14ac:dyDescent="0.25">
      <c r="F9569" s="85" t="str">
        <f t="shared" si="97"/>
        <v/>
      </c>
    </row>
    <row r="9570" spans="6:6" x14ac:dyDescent="0.25">
      <c r="F9570" s="85" t="str">
        <f t="shared" si="97"/>
        <v/>
      </c>
    </row>
    <row r="9571" spans="6:6" x14ac:dyDescent="0.25">
      <c r="F9571" s="85" t="str">
        <f t="shared" si="97"/>
        <v/>
      </c>
    </row>
    <row r="9572" spans="6:6" x14ac:dyDescent="0.25">
      <c r="F9572" s="85" t="str">
        <f t="shared" si="97"/>
        <v/>
      </c>
    </row>
    <row r="9573" spans="6:6" x14ac:dyDescent="0.25">
      <c r="F9573" s="85" t="str">
        <f t="shared" si="97"/>
        <v/>
      </c>
    </row>
    <row r="9574" spans="6:6" x14ac:dyDescent="0.25">
      <c r="F9574" s="85" t="str">
        <f t="shared" si="97"/>
        <v/>
      </c>
    </row>
    <row r="9575" spans="6:6" x14ac:dyDescent="0.25">
      <c r="F9575" s="85" t="str">
        <f t="shared" si="97"/>
        <v/>
      </c>
    </row>
    <row r="9576" spans="6:6" x14ac:dyDescent="0.25">
      <c r="F9576" s="85" t="str">
        <f t="shared" si="97"/>
        <v/>
      </c>
    </row>
    <row r="9577" spans="6:6" x14ac:dyDescent="0.25">
      <c r="F9577" s="85" t="str">
        <f t="shared" si="97"/>
        <v/>
      </c>
    </row>
    <row r="9578" spans="6:6" x14ac:dyDescent="0.25">
      <c r="F9578" s="85" t="str">
        <f t="shared" si="97"/>
        <v/>
      </c>
    </row>
    <row r="9579" spans="6:6" x14ac:dyDescent="0.25">
      <c r="F9579" s="85" t="str">
        <f t="shared" si="97"/>
        <v/>
      </c>
    </row>
    <row r="9580" spans="6:6" x14ac:dyDescent="0.25">
      <c r="F9580" s="85" t="str">
        <f t="shared" si="97"/>
        <v/>
      </c>
    </row>
    <row r="9581" spans="6:6" x14ac:dyDescent="0.25">
      <c r="F9581" s="85" t="str">
        <f t="shared" si="97"/>
        <v/>
      </c>
    </row>
    <row r="9582" spans="6:6" x14ac:dyDescent="0.25">
      <c r="F9582" s="85" t="str">
        <f t="shared" si="97"/>
        <v/>
      </c>
    </row>
    <row r="9583" spans="6:6" x14ac:dyDescent="0.25">
      <c r="F9583" s="85" t="str">
        <f t="shared" si="97"/>
        <v/>
      </c>
    </row>
    <row r="9584" spans="6:6" x14ac:dyDescent="0.25">
      <c r="F9584" s="85" t="str">
        <f t="shared" si="97"/>
        <v/>
      </c>
    </row>
    <row r="9585" spans="6:6" x14ac:dyDescent="0.25">
      <c r="F9585" s="85" t="str">
        <f t="shared" si="97"/>
        <v/>
      </c>
    </row>
    <row r="9586" spans="6:6" x14ac:dyDescent="0.25">
      <c r="F9586" s="85" t="str">
        <f t="shared" si="97"/>
        <v/>
      </c>
    </row>
    <row r="9587" spans="6:6" x14ac:dyDescent="0.25">
      <c r="F9587" s="85" t="str">
        <f t="shared" si="97"/>
        <v/>
      </c>
    </row>
    <row r="9588" spans="6:6" x14ac:dyDescent="0.25">
      <c r="F9588" s="85" t="str">
        <f t="shared" si="97"/>
        <v/>
      </c>
    </row>
    <row r="9589" spans="6:6" x14ac:dyDescent="0.25">
      <c r="F9589" s="85" t="str">
        <f t="shared" si="97"/>
        <v/>
      </c>
    </row>
    <row r="9590" spans="6:6" x14ac:dyDescent="0.25">
      <c r="F9590" s="85" t="str">
        <f t="shared" si="97"/>
        <v/>
      </c>
    </row>
    <row r="9591" spans="6:6" x14ac:dyDescent="0.25">
      <c r="F9591" s="85" t="str">
        <f t="shared" si="97"/>
        <v/>
      </c>
    </row>
    <row r="9592" spans="6:6" x14ac:dyDescent="0.25">
      <c r="F9592" s="85" t="str">
        <f t="shared" si="97"/>
        <v/>
      </c>
    </row>
    <row r="9593" spans="6:6" x14ac:dyDescent="0.25">
      <c r="F9593" s="85" t="str">
        <f t="shared" si="97"/>
        <v/>
      </c>
    </row>
    <row r="9594" spans="6:6" x14ac:dyDescent="0.25">
      <c r="F9594" s="85" t="str">
        <f t="shared" si="97"/>
        <v/>
      </c>
    </row>
    <row r="9595" spans="6:6" x14ac:dyDescent="0.25">
      <c r="F9595" s="85" t="str">
        <f t="shared" si="97"/>
        <v/>
      </c>
    </row>
    <row r="9596" spans="6:6" x14ac:dyDescent="0.25">
      <c r="F9596" s="85" t="str">
        <f t="shared" si="97"/>
        <v/>
      </c>
    </row>
    <row r="9597" spans="6:6" x14ac:dyDescent="0.25">
      <c r="F9597" s="85" t="str">
        <f t="shared" si="97"/>
        <v/>
      </c>
    </row>
    <row r="9598" spans="6:6" x14ac:dyDescent="0.25">
      <c r="F9598" s="85" t="str">
        <f t="shared" si="97"/>
        <v/>
      </c>
    </row>
    <row r="9599" spans="6:6" x14ac:dyDescent="0.25">
      <c r="F9599" s="85" t="str">
        <f t="shared" si="97"/>
        <v/>
      </c>
    </row>
    <row r="9600" spans="6:6" x14ac:dyDescent="0.25">
      <c r="F9600" s="85" t="str">
        <f t="shared" si="97"/>
        <v/>
      </c>
    </row>
    <row r="9601" spans="6:6" x14ac:dyDescent="0.25">
      <c r="F9601" s="85" t="str">
        <f t="shared" si="97"/>
        <v/>
      </c>
    </row>
    <row r="9602" spans="6:6" x14ac:dyDescent="0.25">
      <c r="F9602" s="85" t="str">
        <f t="shared" si="97"/>
        <v/>
      </c>
    </row>
    <row r="9603" spans="6:6" x14ac:dyDescent="0.25">
      <c r="F9603" s="85" t="str">
        <f t="shared" ref="F9603:F9666" si="98">IF($A9603="","",CONCATENATE($A9603,"_",$B9603,"_",$C9603))</f>
        <v/>
      </c>
    </row>
    <row r="9604" spans="6:6" x14ac:dyDescent="0.25">
      <c r="F9604" s="85" t="str">
        <f t="shared" si="98"/>
        <v/>
      </c>
    </row>
    <row r="9605" spans="6:6" x14ac:dyDescent="0.25">
      <c r="F9605" s="85" t="str">
        <f t="shared" si="98"/>
        <v/>
      </c>
    </row>
    <row r="9606" spans="6:6" x14ac:dyDescent="0.25">
      <c r="F9606" s="85" t="str">
        <f t="shared" si="98"/>
        <v/>
      </c>
    </row>
    <row r="9607" spans="6:6" x14ac:dyDescent="0.25">
      <c r="F9607" s="85" t="str">
        <f t="shared" si="98"/>
        <v/>
      </c>
    </row>
    <row r="9608" spans="6:6" x14ac:dyDescent="0.25">
      <c r="F9608" s="85" t="str">
        <f t="shared" si="98"/>
        <v/>
      </c>
    </row>
    <row r="9609" spans="6:6" x14ac:dyDescent="0.25">
      <c r="F9609" s="85" t="str">
        <f t="shared" si="98"/>
        <v/>
      </c>
    </row>
    <row r="9610" spans="6:6" x14ac:dyDescent="0.25">
      <c r="F9610" s="85" t="str">
        <f t="shared" si="98"/>
        <v/>
      </c>
    </row>
    <row r="9611" spans="6:6" x14ac:dyDescent="0.25">
      <c r="F9611" s="85" t="str">
        <f t="shared" si="98"/>
        <v/>
      </c>
    </row>
    <row r="9612" spans="6:6" x14ac:dyDescent="0.25">
      <c r="F9612" s="85" t="str">
        <f t="shared" si="98"/>
        <v/>
      </c>
    </row>
    <row r="9613" spans="6:6" x14ac:dyDescent="0.25">
      <c r="F9613" s="85" t="str">
        <f t="shared" si="98"/>
        <v/>
      </c>
    </row>
    <row r="9614" spans="6:6" x14ac:dyDescent="0.25">
      <c r="F9614" s="85" t="str">
        <f t="shared" si="98"/>
        <v/>
      </c>
    </row>
    <row r="9615" spans="6:6" x14ac:dyDescent="0.25">
      <c r="F9615" s="85" t="str">
        <f t="shared" si="98"/>
        <v/>
      </c>
    </row>
    <row r="9616" spans="6:6" x14ac:dyDescent="0.25">
      <c r="F9616" s="85" t="str">
        <f t="shared" si="98"/>
        <v/>
      </c>
    </row>
    <row r="9617" spans="6:6" x14ac:dyDescent="0.25">
      <c r="F9617" s="85" t="str">
        <f t="shared" si="98"/>
        <v/>
      </c>
    </row>
    <row r="9618" spans="6:6" x14ac:dyDescent="0.25">
      <c r="F9618" s="85" t="str">
        <f t="shared" si="98"/>
        <v/>
      </c>
    </row>
    <row r="9619" spans="6:6" x14ac:dyDescent="0.25">
      <c r="F9619" s="85" t="str">
        <f t="shared" si="98"/>
        <v/>
      </c>
    </row>
    <row r="9620" spans="6:6" x14ac:dyDescent="0.25">
      <c r="F9620" s="85" t="str">
        <f t="shared" si="98"/>
        <v/>
      </c>
    </row>
    <row r="9621" spans="6:6" x14ac:dyDescent="0.25">
      <c r="F9621" s="85" t="str">
        <f t="shared" si="98"/>
        <v/>
      </c>
    </row>
    <row r="9622" spans="6:6" x14ac:dyDescent="0.25">
      <c r="F9622" s="85" t="str">
        <f t="shared" si="98"/>
        <v/>
      </c>
    </row>
    <row r="9623" spans="6:6" x14ac:dyDescent="0.25">
      <c r="F9623" s="85" t="str">
        <f t="shared" si="98"/>
        <v/>
      </c>
    </row>
    <row r="9624" spans="6:6" x14ac:dyDescent="0.25">
      <c r="F9624" s="85" t="str">
        <f t="shared" si="98"/>
        <v/>
      </c>
    </row>
    <row r="9625" spans="6:6" x14ac:dyDescent="0.25">
      <c r="F9625" s="85" t="str">
        <f t="shared" si="98"/>
        <v/>
      </c>
    </row>
    <row r="9626" spans="6:6" x14ac:dyDescent="0.25">
      <c r="F9626" s="85" t="str">
        <f t="shared" si="98"/>
        <v/>
      </c>
    </row>
    <row r="9627" spans="6:6" x14ac:dyDescent="0.25">
      <c r="F9627" s="85" t="str">
        <f t="shared" si="98"/>
        <v/>
      </c>
    </row>
    <row r="9628" spans="6:6" x14ac:dyDescent="0.25">
      <c r="F9628" s="85" t="str">
        <f t="shared" si="98"/>
        <v/>
      </c>
    </row>
    <row r="9629" spans="6:6" x14ac:dyDescent="0.25">
      <c r="F9629" s="85" t="str">
        <f t="shared" si="98"/>
        <v/>
      </c>
    </row>
    <row r="9630" spans="6:6" x14ac:dyDescent="0.25">
      <c r="F9630" s="85" t="str">
        <f t="shared" si="98"/>
        <v/>
      </c>
    </row>
    <row r="9631" spans="6:6" x14ac:dyDescent="0.25">
      <c r="F9631" s="85" t="str">
        <f t="shared" si="98"/>
        <v/>
      </c>
    </row>
    <row r="9632" spans="6:6" x14ac:dyDescent="0.25">
      <c r="F9632" s="85" t="str">
        <f t="shared" si="98"/>
        <v/>
      </c>
    </row>
    <row r="9633" spans="6:6" x14ac:dyDescent="0.25">
      <c r="F9633" s="85" t="str">
        <f t="shared" si="98"/>
        <v/>
      </c>
    </row>
    <row r="9634" spans="6:6" x14ac:dyDescent="0.25">
      <c r="F9634" s="85" t="str">
        <f t="shared" si="98"/>
        <v/>
      </c>
    </row>
    <row r="9635" spans="6:6" x14ac:dyDescent="0.25">
      <c r="F9635" s="85" t="str">
        <f t="shared" si="98"/>
        <v/>
      </c>
    </row>
    <row r="9636" spans="6:6" x14ac:dyDescent="0.25">
      <c r="F9636" s="85" t="str">
        <f t="shared" si="98"/>
        <v/>
      </c>
    </row>
    <row r="9637" spans="6:6" x14ac:dyDescent="0.25">
      <c r="F9637" s="85" t="str">
        <f t="shared" si="98"/>
        <v/>
      </c>
    </row>
    <row r="9638" spans="6:6" x14ac:dyDescent="0.25">
      <c r="F9638" s="85" t="str">
        <f t="shared" si="98"/>
        <v/>
      </c>
    </row>
    <row r="9639" spans="6:6" x14ac:dyDescent="0.25">
      <c r="F9639" s="85" t="str">
        <f t="shared" si="98"/>
        <v/>
      </c>
    </row>
    <row r="9640" spans="6:6" x14ac:dyDescent="0.25">
      <c r="F9640" s="85" t="str">
        <f t="shared" si="98"/>
        <v/>
      </c>
    </row>
    <row r="9641" spans="6:6" x14ac:dyDescent="0.25">
      <c r="F9641" s="85" t="str">
        <f t="shared" si="98"/>
        <v/>
      </c>
    </row>
    <row r="9642" spans="6:6" x14ac:dyDescent="0.25">
      <c r="F9642" s="85" t="str">
        <f t="shared" si="98"/>
        <v/>
      </c>
    </row>
    <row r="9643" spans="6:6" x14ac:dyDescent="0.25">
      <c r="F9643" s="85" t="str">
        <f t="shared" si="98"/>
        <v/>
      </c>
    </row>
    <row r="9644" spans="6:6" x14ac:dyDescent="0.25">
      <c r="F9644" s="85" t="str">
        <f t="shared" si="98"/>
        <v/>
      </c>
    </row>
    <row r="9645" spans="6:6" x14ac:dyDescent="0.25">
      <c r="F9645" s="85" t="str">
        <f t="shared" si="98"/>
        <v/>
      </c>
    </row>
    <row r="9646" spans="6:6" x14ac:dyDescent="0.25">
      <c r="F9646" s="85" t="str">
        <f t="shared" si="98"/>
        <v/>
      </c>
    </row>
    <row r="9647" spans="6:6" x14ac:dyDescent="0.25">
      <c r="F9647" s="85" t="str">
        <f t="shared" si="98"/>
        <v/>
      </c>
    </row>
    <row r="9648" spans="6:6" x14ac:dyDescent="0.25">
      <c r="F9648" s="85" t="str">
        <f t="shared" si="98"/>
        <v/>
      </c>
    </row>
    <row r="9649" spans="6:6" x14ac:dyDescent="0.25">
      <c r="F9649" s="85" t="str">
        <f t="shared" si="98"/>
        <v/>
      </c>
    </row>
    <row r="9650" spans="6:6" x14ac:dyDescent="0.25">
      <c r="F9650" s="85" t="str">
        <f t="shared" si="98"/>
        <v/>
      </c>
    </row>
    <row r="9651" spans="6:6" x14ac:dyDescent="0.25">
      <c r="F9651" s="85" t="str">
        <f t="shared" si="98"/>
        <v/>
      </c>
    </row>
    <row r="9652" spans="6:6" x14ac:dyDescent="0.25">
      <c r="F9652" s="85" t="str">
        <f t="shared" si="98"/>
        <v/>
      </c>
    </row>
    <row r="9653" spans="6:6" x14ac:dyDescent="0.25">
      <c r="F9653" s="85" t="str">
        <f t="shared" si="98"/>
        <v/>
      </c>
    </row>
    <row r="9654" spans="6:6" x14ac:dyDescent="0.25">
      <c r="F9654" s="85" t="str">
        <f t="shared" si="98"/>
        <v/>
      </c>
    </row>
    <row r="9655" spans="6:6" x14ac:dyDescent="0.25">
      <c r="F9655" s="85" t="str">
        <f t="shared" si="98"/>
        <v/>
      </c>
    </row>
    <row r="9656" spans="6:6" x14ac:dyDescent="0.25">
      <c r="F9656" s="85" t="str">
        <f t="shared" si="98"/>
        <v/>
      </c>
    </row>
    <row r="9657" spans="6:6" x14ac:dyDescent="0.25">
      <c r="F9657" s="85" t="str">
        <f t="shared" si="98"/>
        <v/>
      </c>
    </row>
    <row r="9658" spans="6:6" x14ac:dyDescent="0.25">
      <c r="F9658" s="85" t="str">
        <f t="shared" si="98"/>
        <v/>
      </c>
    </row>
    <row r="9659" spans="6:6" x14ac:dyDescent="0.25">
      <c r="F9659" s="85" t="str">
        <f t="shared" si="98"/>
        <v/>
      </c>
    </row>
    <row r="9660" spans="6:6" x14ac:dyDescent="0.25">
      <c r="F9660" s="85" t="str">
        <f t="shared" si="98"/>
        <v/>
      </c>
    </row>
    <row r="9661" spans="6:6" x14ac:dyDescent="0.25">
      <c r="F9661" s="85" t="str">
        <f t="shared" si="98"/>
        <v/>
      </c>
    </row>
    <row r="9662" spans="6:6" x14ac:dyDescent="0.25">
      <c r="F9662" s="85" t="str">
        <f t="shared" si="98"/>
        <v/>
      </c>
    </row>
    <row r="9663" spans="6:6" x14ac:dyDescent="0.25">
      <c r="F9663" s="85" t="str">
        <f t="shared" si="98"/>
        <v/>
      </c>
    </row>
    <row r="9664" spans="6:6" x14ac:dyDescent="0.25">
      <c r="F9664" s="85" t="str">
        <f t="shared" si="98"/>
        <v/>
      </c>
    </row>
    <row r="9665" spans="6:6" x14ac:dyDescent="0.25">
      <c r="F9665" s="85" t="str">
        <f t="shared" si="98"/>
        <v/>
      </c>
    </row>
    <row r="9666" spans="6:6" x14ac:dyDescent="0.25">
      <c r="F9666" s="85" t="str">
        <f t="shared" si="98"/>
        <v/>
      </c>
    </row>
    <row r="9667" spans="6:6" x14ac:dyDescent="0.25">
      <c r="F9667" s="85" t="str">
        <f t="shared" ref="F9667:F9730" si="99">IF($A9667="","",CONCATENATE($A9667,"_",$B9667,"_",$C9667))</f>
        <v/>
      </c>
    </row>
    <row r="9668" spans="6:6" x14ac:dyDescent="0.25">
      <c r="F9668" s="85" t="str">
        <f t="shared" si="99"/>
        <v/>
      </c>
    </row>
    <row r="9669" spans="6:6" x14ac:dyDescent="0.25">
      <c r="F9669" s="85" t="str">
        <f t="shared" si="99"/>
        <v/>
      </c>
    </row>
    <row r="9670" spans="6:6" x14ac:dyDescent="0.25">
      <c r="F9670" s="85" t="str">
        <f t="shared" si="99"/>
        <v/>
      </c>
    </row>
    <row r="9671" spans="6:6" x14ac:dyDescent="0.25">
      <c r="F9671" s="85" t="str">
        <f t="shared" si="99"/>
        <v/>
      </c>
    </row>
    <row r="9672" spans="6:6" x14ac:dyDescent="0.25">
      <c r="F9672" s="85" t="str">
        <f t="shared" si="99"/>
        <v/>
      </c>
    </row>
    <row r="9673" spans="6:6" x14ac:dyDescent="0.25">
      <c r="F9673" s="85" t="str">
        <f t="shared" si="99"/>
        <v/>
      </c>
    </row>
    <row r="9674" spans="6:6" x14ac:dyDescent="0.25">
      <c r="F9674" s="85" t="str">
        <f t="shared" si="99"/>
        <v/>
      </c>
    </row>
    <row r="9675" spans="6:6" x14ac:dyDescent="0.25">
      <c r="F9675" s="85" t="str">
        <f t="shared" si="99"/>
        <v/>
      </c>
    </row>
    <row r="9676" spans="6:6" x14ac:dyDescent="0.25">
      <c r="F9676" s="85" t="str">
        <f t="shared" si="99"/>
        <v/>
      </c>
    </row>
    <row r="9677" spans="6:6" x14ac:dyDescent="0.25">
      <c r="F9677" s="85" t="str">
        <f t="shared" si="99"/>
        <v/>
      </c>
    </row>
    <row r="9678" spans="6:6" x14ac:dyDescent="0.25">
      <c r="F9678" s="85" t="str">
        <f t="shared" si="99"/>
        <v/>
      </c>
    </row>
    <row r="9679" spans="6:6" x14ac:dyDescent="0.25">
      <c r="F9679" s="85" t="str">
        <f t="shared" si="99"/>
        <v/>
      </c>
    </row>
    <row r="9680" spans="6:6" x14ac:dyDescent="0.25">
      <c r="F9680" s="85" t="str">
        <f t="shared" si="99"/>
        <v/>
      </c>
    </row>
    <row r="9681" spans="6:6" x14ac:dyDescent="0.25">
      <c r="F9681" s="85" t="str">
        <f t="shared" si="99"/>
        <v/>
      </c>
    </row>
    <row r="9682" spans="6:6" x14ac:dyDescent="0.25">
      <c r="F9682" s="85" t="str">
        <f t="shared" si="99"/>
        <v/>
      </c>
    </row>
    <row r="9683" spans="6:6" x14ac:dyDescent="0.25">
      <c r="F9683" s="85" t="str">
        <f t="shared" si="99"/>
        <v/>
      </c>
    </row>
    <row r="9684" spans="6:6" x14ac:dyDescent="0.25">
      <c r="F9684" s="85" t="str">
        <f t="shared" si="99"/>
        <v/>
      </c>
    </row>
    <row r="9685" spans="6:6" x14ac:dyDescent="0.25">
      <c r="F9685" s="85" t="str">
        <f t="shared" si="99"/>
        <v/>
      </c>
    </row>
    <row r="9686" spans="6:6" x14ac:dyDescent="0.25">
      <c r="F9686" s="85" t="str">
        <f t="shared" si="99"/>
        <v/>
      </c>
    </row>
    <row r="9687" spans="6:6" x14ac:dyDescent="0.25">
      <c r="F9687" s="85" t="str">
        <f t="shared" si="99"/>
        <v/>
      </c>
    </row>
    <row r="9688" spans="6:6" x14ac:dyDescent="0.25">
      <c r="F9688" s="85" t="str">
        <f t="shared" si="99"/>
        <v/>
      </c>
    </row>
    <row r="9689" spans="6:6" x14ac:dyDescent="0.25">
      <c r="F9689" s="85" t="str">
        <f t="shared" si="99"/>
        <v/>
      </c>
    </row>
    <row r="9690" spans="6:6" x14ac:dyDescent="0.25">
      <c r="F9690" s="85" t="str">
        <f t="shared" si="99"/>
        <v/>
      </c>
    </row>
    <row r="9691" spans="6:6" x14ac:dyDescent="0.25">
      <c r="F9691" s="85" t="str">
        <f t="shared" si="99"/>
        <v/>
      </c>
    </row>
    <row r="9692" spans="6:6" x14ac:dyDescent="0.25">
      <c r="F9692" s="85" t="str">
        <f t="shared" si="99"/>
        <v/>
      </c>
    </row>
    <row r="9693" spans="6:6" x14ac:dyDescent="0.25">
      <c r="F9693" s="85" t="str">
        <f t="shared" si="99"/>
        <v/>
      </c>
    </row>
    <row r="9694" spans="6:6" x14ac:dyDescent="0.25">
      <c r="F9694" s="85" t="str">
        <f t="shared" si="99"/>
        <v/>
      </c>
    </row>
    <row r="9695" spans="6:6" x14ac:dyDescent="0.25">
      <c r="F9695" s="85" t="str">
        <f t="shared" si="99"/>
        <v/>
      </c>
    </row>
    <row r="9696" spans="6:6" x14ac:dyDescent="0.25">
      <c r="F9696" s="85" t="str">
        <f t="shared" si="99"/>
        <v/>
      </c>
    </row>
    <row r="9697" spans="6:6" x14ac:dyDescent="0.25">
      <c r="F9697" s="85" t="str">
        <f t="shared" si="99"/>
        <v/>
      </c>
    </row>
    <row r="9698" spans="6:6" x14ac:dyDescent="0.25">
      <c r="F9698" s="85" t="str">
        <f t="shared" si="99"/>
        <v/>
      </c>
    </row>
    <row r="9699" spans="6:6" x14ac:dyDescent="0.25">
      <c r="F9699" s="85" t="str">
        <f t="shared" si="99"/>
        <v/>
      </c>
    </row>
    <row r="9700" spans="6:6" x14ac:dyDescent="0.25">
      <c r="F9700" s="85" t="str">
        <f t="shared" si="99"/>
        <v/>
      </c>
    </row>
    <row r="9701" spans="6:6" x14ac:dyDescent="0.25">
      <c r="F9701" s="85" t="str">
        <f t="shared" si="99"/>
        <v/>
      </c>
    </row>
    <row r="9702" spans="6:6" x14ac:dyDescent="0.25">
      <c r="F9702" s="85" t="str">
        <f t="shared" si="99"/>
        <v/>
      </c>
    </row>
    <row r="9703" spans="6:6" x14ac:dyDescent="0.25">
      <c r="F9703" s="85" t="str">
        <f t="shared" si="99"/>
        <v/>
      </c>
    </row>
    <row r="9704" spans="6:6" x14ac:dyDescent="0.25">
      <c r="F9704" s="85" t="str">
        <f t="shared" si="99"/>
        <v/>
      </c>
    </row>
    <row r="9705" spans="6:6" x14ac:dyDescent="0.25">
      <c r="F9705" s="85" t="str">
        <f t="shared" si="99"/>
        <v/>
      </c>
    </row>
    <row r="9706" spans="6:6" x14ac:dyDescent="0.25">
      <c r="F9706" s="85" t="str">
        <f t="shared" si="99"/>
        <v/>
      </c>
    </row>
    <row r="9707" spans="6:6" x14ac:dyDescent="0.25">
      <c r="F9707" s="85" t="str">
        <f t="shared" si="99"/>
        <v/>
      </c>
    </row>
    <row r="9708" spans="6:6" x14ac:dyDescent="0.25">
      <c r="F9708" s="85" t="str">
        <f t="shared" si="99"/>
        <v/>
      </c>
    </row>
    <row r="9709" spans="6:6" x14ac:dyDescent="0.25">
      <c r="F9709" s="85" t="str">
        <f t="shared" si="99"/>
        <v/>
      </c>
    </row>
    <row r="9710" spans="6:6" x14ac:dyDescent="0.25">
      <c r="F9710" s="85" t="str">
        <f t="shared" si="99"/>
        <v/>
      </c>
    </row>
    <row r="9711" spans="6:6" x14ac:dyDescent="0.25">
      <c r="F9711" s="85" t="str">
        <f t="shared" si="99"/>
        <v/>
      </c>
    </row>
    <row r="9712" spans="6:6" x14ac:dyDescent="0.25">
      <c r="F9712" s="85" t="str">
        <f t="shared" si="99"/>
        <v/>
      </c>
    </row>
    <row r="9713" spans="6:6" x14ac:dyDescent="0.25">
      <c r="F9713" s="85" t="str">
        <f t="shared" si="99"/>
        <v/>
      </c>
    </row>
    <row r="9714" spans="6:6" x14ac:dyDescent="0.25">
      <c r="F9714" s="85" t="str">
        <f t="shared" si="99"/>
        <v/>
      </c>
    </row>
    <row r="9715" spans="6:6" x14ac:dyDescent="0.25">
      <c r="F9715" s="85" t="str">
        <f t="shared" si="99"/>
        <v/>
      </c>
    </row>
    <row r="9716" spans="6:6" x14ac:dyDescent="0.25">
      <c r="F9716" s="85" t="str">
        <f t="shared" si="99"/>
        <v/>
      </c>
    </row>
    <row r="9717" spans="6:6" x14ac:dyDescent="0.25">
      <c r="F9717" s="85" t="str">
        <f t="shared" si="99"/>
        <v/>
      </c>
    </row>
    <row r="9718" spans="6:6" x14ac:dyDescent="0.25">
      <c r="F9718" s="85" t="str">
        <f t="shared" si="99"/>
        <v/>
      </c>
    </row>
    <row r="9719" spans="6:6" x14ac:dyDescent="0.25">
      <c r="F9719" s="85" t="str">
        <f t="shared" si="99"/>
        <v/>
      </c>
    </row>
    <row r="9720" spans="6:6" x14ac:dyDescent="0.25">
      <c r="F9720" s="85" t="str">
        <f t="shared" si="99"/>
        <v/>
      </c>
    </row>
    <row r="9721" spans="6:6" x14ac:dyDescent="0.25">
      <c r="F9721" s="85" t="str">
        <f t="shared" si="99"/>
        <v/>
      </c>
    </row>
    <row r="9722" spans="6:6" x14ac:dyDescent="0.25">
      <c r="F9722" s="85" t="str">
        <f t="shared" si="99"/>
        <v/>
      </c>
    </row>
    <row r="9723" spans="6:6" x14ac:dyDescent="0.25">
      <c r="F9723" s="85" t="str">
        <f t="shared" si="99"/>
        <v/>
      </c>
    </row>
    <row r="9724" spans="6:6" x14ac:dyDescent="0.25">
      <c r="F9724" s="85" t="str">
        <f t="shared" si="99"/>
        <v/>
      </c>
    </row>
    <row r="9725" spans="6:6" x14ac:dyDescent="0.25">
      <c r="F9725" s="85" t="str">
        <f t="shared" si="99"/>
        <v/>
      </c>
    </row>
    <row r="9726" spans="6:6" x14ac:dyDescent="0.25">
      <c r="F9726" s="85" t="str">
        <f t="shared" si="99"/>
        <v/>
      </c>
    </row>
    <row r="9727" spans="6:6" x14ac:dyDescent="0.25">
      <c r="F9727" s="85" t="str">
        <f t="shared" si="99"/>
        <v/>
      </c>
    </row>
    <row r="9728" spans="6:6" x14ac:dyDescent="0.25">
      <c r="F9728" s="85" t="str">
        <f t="shared" si="99"/>
        <v/>
      </c>
    </row>
    <row r="9729" spans="6:6" x14ac:dyDescent="0.25">
      <c r="F9729" s="85" t="str">
        <f t="shared" si="99"/>
        <v/>
      </c>
    </row>
    <row r="9730" spans="6:6" x14ac:dyDescent="0.25">
      <c r="F9730" s="85" t="str">
        <f t="shared" si="99"/>
        <v/>
      </c>
    </row>
    <row r="9731" spans="6:6" x14ac:dyDescent="0.25">
      <c r="F9731" s="85" t="str">
        <f t="shared" ref="F9731:F9794" si="100">IF($A9731="","",CONCATENATE($A9731,"_",$B9731,"_",$C9731))</f>
        <v/>
      </c>
    </row>
    <row r="9732" spans="6:6" x14ac:dyDescent="0.25">
      <c r="F9732" s="85" t="str">
        <f t="shared" si="100"/>
        <v/>
      </c>
    </row>
    <row r="9733" spans="6:6" x14ac:dyDescent="0.25">
      <c r="F9733" s="85" t="str">
        <f t="shared" si="100"/>
        <v/>
      </c>
    </row>
    <row r="9734" spans="6:6" x14ac:dyDescent="0.25">
      <c r="F9734" s="85" t="str">
        <f t="shared" si="100"/>
        <v/>
      </c>
    </row>
    <row r="9735" spans="6:6" x14ac:dyDescent="0.25">
      <c r="F9735" s="85" t="str">
        <f t="shared" si="100"/>
        <v/>
      </c>
    </row>
    <row r="9736" spans="6:6" x14ac:dyDescent="0.25">
      <c r="F9736" s="85" t="str">
        <f t="shared" si="100"/>
        <v/>
      </c>
    </row>
    <row r="9737" spans="6:6" x14ac:dyDescent="0.25">
      <c r="F9737" s="85" t="str">
        <f t="shared" si="100"/>
        <v/>
      </c>
    </row>
    <row r="9738" spans="6:6" x14ac:dyDescent="0.25">
      <c r="F9738" s="85" t="str">
        <f t="shared" si="100"/>
        <v/>
      </c>
    </row>
    <row r="9739" spans="6:6" x14ac:dyDescent="0.25">
      <c r="F9739" s="85" t="str">
        <f t="shared" si="100"/>
        <v/>
      </c>
    </row>
    <row r="9740" spans="6:6" x14ac:dyDescent="0.25">
      <c r="F9740" s="85" t="str">
        <f t="shared" si="100"/>
        <v/>
      </c>
    </row>
    <row r="9741" spans="6:6" x14ac:dyDescent="0.25">
      <c r="F9741" s="85" t="str">
        <f t="shared" si="100"/>
        <v/>
      </c>
    </row>
    <row r="9742" spans="6:6" x14ac:dyDescent="0.25">
      <c r="F9742" s="85" t="str">
        <f t="shared" si="100"/>
        <v/>
      </c>
    </row>
    <row r="9743" spans="6:6" x14ac:dyDescent="0.25">
      <c r="F9743" s="85" t="str">
        <f t="shared" si="100"/>
        <v/>
      </c>
    </row>
    <row r="9744" spans="6:6" x14ac:dyDescent="0.25">
      <c r="F9744" s="85" t="str">
        <f t="shared" si="100"/>
        <v/>
      </c>
    </row>
    <row r="9745" spans="6:6" x14ac:dyDescent="0.25">
      <c r="F9745" s="85" t="str">
        <f t="shared" si="100"/>
        <v/>
      </c>
    </row>
    <row r="9746" spans="6:6" x14ac:dyDescent="0.25">
      <c r="F9746" s="85" t="str">
        <f t="shared" si="100"/>
        <v/>
      </c>
    </row>
    <row r="9747" spans="6:6" x14ac:dyDescent="0.25">
      <c r="F9747" s="85" t="str">
        <f t="shared" si="100"/>
        <v/>
      </c>
    </row>
    <row r="9748" spans="6:6" x14ac:dyDescent="0.25">
      <c r="F9748" s="85" t="str">
        <f t="shared" si="100"/>
        <v/>
      </c>
    </row>
    <row r="9749" spans="6:6" x14ac:dyDescent="0.25">
      <c r="F9749" s="85" t="str">
        <f t="shared" si="100"/>
        <v/>
      </c>
    </row>
    <row r="9750" spans="6:6" x14ac:dyDescent="0.25">
      <c r="F9750" s="85" t="str">
        <f t="shared" si="100"/>
        <v/>
      </c>
    </row>
    <row r="9751" spans="6:6" x14ac:dyDescent="0.25">
      <c r="F9751" s="85" t="str">
        <f t="shared" si="100"/>
        <v/>
      </c>
    </row>
    <row r="9752" spans="6:6" x14ac:dyDescent="0.25">
      <c r="F9752" s="85" t="str">
        <f t="shared" si="100"/>
        <v/>
      </c>
    </row>
    <row r="9753" spans="6:6" x14ac:dyDescent="0.25">
      <c r="F9753" s="85" t="str">
        <f t="shared" si="100"/>
        <v/>
      </c>
    </row>
    <row r="9754" spans="6:6" x14ac:dyDescent="0.25">
      <c r="F9754" s="85" t="str">
        <f t="shared" si="100"/>
        <v/>
      </c>
    </row>
    <row r="9755" spans="6:6" x14ac:dyDescent="0.25">
      <c r="F9755" s="85" t="str">
        <f t="shared" si="100"/>
        <v/>
      </c>
    </row>
    <row r="9756" spans="6:6" x14ac:dyDescent="0.25">
      <c r="F9756" s="85" t="str">
        <f t="shared" si="100"/>
        <v/>
      </c>
    </row>
    <row r="9757" spans="6:6" x14ac:dyDescent="0.25">
      <c r="F9757" s="85" t="str">
        <f t="shared" si="100"/>
        <v/>
      </c>
    </row>
    <row r="9758" spans="6:6" x14ac:dyDescent="0.25">
      <c r="F9758" s="85" t="str">
        <f t="shared" si="100"/>
        <v/>
      </c>
    </row>
    <row r="9759" spans="6:6" x14ac:dyDescent="0.25">
      <c r="F9759" s="85" t="str">
        <f t="shared" si="100"/>
        <v/>
      </c>
    </row>
    <row r="9760" spans="6:6" x14ac:dyDescent="0.25">
      <c r="F9760" s="85" t="str">
        <f t="shared" si="100"/>
        <v/>
      </c>
    </row>
    <row r="9761" spans="6:6" x14ac:dyDescent="0.25">
      <c r="F9761" s="85" t="str">
        <f t="shared" si="100"/>
        <v/>
      </c>
    </row>
    <row r="9762" spans="6:6" x14ac:dyDescent="0.25">
      <c r="F9762" s="85" t="str">
        <f t="shared" si="100"/>
        <v/>
      </c>
    </row>
    <row r="9763" spans="6:6" x14ac:dyDescent="0.25">
      <c r="F9763" s="85" t="str">
        <f t="shared" si="100"/>
        <v/>
      </c>
    </row>
    <row r="9764" spans="6:6" x14ac:dyDescent="0.25">
      <c r="F9764" s="85" t="str">
        <f t="shared" si="100"/>
        <v/>
      </c>
    </row>
    <row r="9765" spans="6:6" x14ac:dyDescent="0.25">
      <c r="F9765" s="85" t="str">
        <f t="shared" si="100"/>
        <v/>
      </c>
    </row>
    <row r="9766" spans="6:6" x14ac:dyDescent="0.25">
      <c r="F9766" s="85" t="str">
        <f t="shared" si="100"/>
        <v/>
      </c>
    </row>
    <row r="9767" spans="6:6" x14ac:dyDescent="0.25">
      <c r="F9767" s="85" t="str">
        <f t="shared" si="100"/>
        <v/>
      </c>
    </row>
    <row r="9768" spans="6:6" x14ac:dyDescent="0.25">
      <c r="F9768" s="85" t="str">
        <f t="shared" si="100"/>
        <v/>
      </c>
    </row>
    <row r="9769" spans="6:6" x14ac:dyDescent="0.25">
      <c r="F9769" s="85" t="str">
        <f t="shared" si="100"/>
        <v/>
      </c>
    </row>
    <row r="9770" spans="6:6" x14ac:dyDescent="0.25">
      <c r="F9770" s="85" t="str">
        <f t="shared" si="100"/>
        <v/>
      </c>
    </row>
    <row r="9771" spans="6:6" x14ac:dyDescent="0.25">
      <c r="F9771" s="85" t="str">
        <f t="shared" si="100"/>
        <v/>
      </c>
    </row>
    <row r="9772" spans="6:6" x14ac:dyDescent="0.25">
      <c r="F9772" s="85" t="str">
        <f t="shared" si="100"/>
        <v/>
      </c>
    </row>
    <row r="9773" spans="6:6" x14ac:dyDescent="0.25">
      <c r="F9773" s="85" t="str">
        <f t="shared" si="100"/>
        <v/>
      </c>
    </row>
    <row r="9774" spans="6:6" x14ac:dyDescent="0.25">
      <c r="F9774" s="85" t="str">
        <f t="shared" si="100"/>
        <v/>
      </c>
    </row>
    <row r="9775" spans="6:6" x14ac:dyDescent="0.25">
      <c r="F9775" s="85" t="str">
        <f t="shared" si="100"/>
        <v/>
      </c>
    </row>
    <row r="9776" spans="6:6" x14ac:dyDescent="0.25">
      <c r="F9776" s="85" t="str">
        <f t="shared" si="100"/>
        <v/>
      </c>
    </row>
    <row r="9777" spans="6:6" x14ac:dyDescent="0.25">
      <c r="F9777" s="85" t="str">
        <f t="shared" si="100"/>
        <v/>
      </c>
    </row>
    <row r="9778" spans="6:6" x14ac:dyDescent="0.25">
      <c r="F9778" s="85" t="str">
        <f t="shared" si="100"/>
        <v/>
      </c>
    </row>
    <row r="9779" spans="6:6" x14ac:dyDescent="0.25">
      <c r="F9779" s="85" t="str">
        <f t="shared" si="100"/>
        <v/>
      </c>
    </row>
    <row r="9780" spans="6:6" x14ac:dyDescent="0.25">
      <c r="F9780" s="85" t="str">
        <f t="shared" si="100"/>
        <v/>
      </c>
    </row>
    <row r="9781" spans="6:6" x14ac:dyDescent="0.25">
      <c r="F9781" s="85" t="str">
        <f t="shared" si="100"/>
        <v/>
      </c>
    </row>
    <row r="9782" spans="6:6" x14ac:dyDescent="0.25">
      <c r="F9782" s="85" t="str">
        <f t="shared" si="100"/>
        <v/>
      </c>
    </row>
    <row r="9783" spans="6:6" x14ac:dyDescent="0.25">
      <c r="F9783" s="85" t="str">
        <f t="shared" si="100"/>
        <v/>
      </c>
    </row>
    <row r="9784" spans="6:6" x14ac:dyDescent="0.25">
      <c r="F9784" s="85" t="str">
        <f t="shared" si="100"/>
        <v/>
      </c>
    </row>
    <row r="9785" spans="6:6" x14ac:dyDescent="0.25">
      <c r="F9785" s="85" t="str">
        <f t="shared" si="100"/>
        <v/>
      </c>
    </row>
    <row r="9786" spans="6:6" x14ac:dyDescent="0.25">
      <c r="F9786" s="85" t="str">
        <f t="shared" si="100"/>
        <v/>
      </c>
    </row>
    <row r="9787" spans="6:6" x14ac:dyDescent="0.25">
      <c r="F9787" s="85" t="str">
        <f t="shared" si="100"/>
        <v/>
      </c>
    </row>
    <row r="9788" spans="6:6" x14ac:dyDescent="0.25">
      <c r="F9788" s="85" t="str">
        <f t="shared" si="100"/>
        <v/>
      </c>
    </row>
    <row r="9789" spans="6:6" x14ac:dyDescent="0.25">
      <c r="F9789" s="85" t="str">
        <f t="shared" si="100"/>
        <v/>
      </c>
    </row>
    <row r="9790" spans="6:6" x14ac:dyDescent="0.25">
      <c r="F9790" s="85" t="str">
        <f t="shared" si="100"/>
        <v/>
      </c>
    </row>
    <row r="9791" spans="6:6" x14ac:dyDescent="0.25">
      <c r="F9791" s="85" t="str">
        <f t="shared" si="100"/>
        <v/>
      </c>
    </row>
    <row r="9792" spans="6:6" x14ac:dyDescent="0.25">
      <c r="F9792" s="85" t="str">
        <f t="shared" si="100"/>
        <v/>
      </c>
    </row>
    <row r="9793" spans="6:6" x14ac:dyDescent="0.25">
      <c r="F9793" s="85" t="str">
        <f t="shared" si="100"/>
        <v/>
      </c>
    </row>
    <row r="9794" spans="6:6" x14ac:dyDescent="0.25">
      <c r="F9794" s="85" t="str">
        <f t="shared" si="100"/>
        <v/>
      </c>
    </row>
    <row r="9795" spans="6:6" x14ac:dyDescent="0.25">
      <c r="F9795" s="85" t="str">
        <f t="shared" ref="F9795:F9858" si="101">IF($A9795="","",CONCATENATE($A9795,"_",$B9795,"_",$C9795))</f>
        <v/>
      </c>
    </row>
    <row r="9796" spans="6:6" x14ac:dyDescent="0.25">
      <c r="F9796" s="85" t="str">
        <f t="shared" si="101"/>
        <v/>
      </c>
    </row>
    <row r="9797" spans="6:6" x14ac:dyDescent="0.25">
      <c r="F9797" s="85" t="str">
        <f t="shared" si="101"/>
        <v/>
      </c>
    </row>
    <row r="9798" spans="6:6" x14ac:dyDescent="0.25">
      <c r="F9798" s="85" t="str">
        <f t="shared" si="101"/>
        <v/>
      </c>
    </row>
    <row r="9799" spans="6:6" x14ac:dyDescent="0.25">
      <c r="F9799" s="85" t="str">
        <f t="shared" si="101"/>
        <v/>
      </c>
    </row>
    <row r="9800" spans="6:6" x14ac:dyDescent="0.25">
      <c r="F9800" s="85" t="str">
        <f t="shared" si="101"/>
        <v/>
      </c>
    </row>
    <row r="9801" spans="6:6" x14ac:dyDescent="0.25">
      <c r="F9801" s="85" t="str">
        <f t="shared" si="101"/>
        <v/>
      </c>
    </row>
    <row r="9802" spans="6:6" x14ac:dyDescent="0.25">
      <c r="F9802" s="85" t="str">
        <f t="shared" si="101"/>
        <v/>
      </c>
    </row>
    <row r="9803" spans="6:6" x14ac:dyDescent="0.25">
      <c r="F9803" s="85" t="str">
        <f t="shared" si="101"/>
        <v/>
      </c>
    </row>
    <row r="9804" spans="6:6" x14ac:dyDescent="0.25">
      <c r="F9804" s="85" t="str">
        <f t="shared" si="101"/>
        <v/>
      </c>
    </row>
    <row r="9805" spans="6:6" x14ac:dyDescent="0.25">
      <c r="F9805" s="85" t="str">
        <f t="shared" si="101"/>
        <v/>
      </c>
    </row>
    <row r="9806" spans="6:6" x14ac:dyDescent="0.25">
      <c r="F9806" s="85" t="str">
        <f t="shared" si="101"/>
        <v/>
      </c>
    </row>
    <row r="9807" spans="6:6" x14ac:dyDescent="0.25">
      <c r="F9807" s="85" t="str">
        <f t="shared" si="101"/>
        <v/>
      </c>
    </row>
    <row r="9808" spans="6:6" x14ac:dyDescent="0.25">
      <c r="F9808" s="85" t="str">
        <f t="shared" si="101"/>
        <v/>
      </c>
    </row>
    <row r="9809" spans="6:6" x14ac:dyDescent="0.25">
      <c r="F9809" s="85" t="str">
        <f t="shared" si="101"/>
        <v/>
      </c>
    </row>
    <row r="9810" spans="6:6" x14ac:dyDescent="0.25">
      <c r="F9810" s="85" t="str">
        <f t="shared" si="101"/>
        <v/>
      </c>
    </row>
    <row r="9811" spans="6:6" x14ac:dyDescent="0.25">
      <c r="F9811" s="85" t="str">
        <f t="shared" si="101"/>
        <v/>
      </c>
    </row>
    <row r="9812" spans="6:6" x14ac:dyDescent="0.25">
      <c r="F9812" s="85" t="str">
        <f t="shared" si="101"/>
        <v/>
      </c>
    </row>
    <row r="9813" spans="6:6" x14ac:dyDescent="0.25">
      <c r="F9813" s="85" t="str">
        <f t="shared" si="101"/>
        <v/>
      </c>
    </row>
    <row r="9814" spans="6:6" x14ac:dyDescent="0.25">
      <c r="F9814" s="85" t="str">
        <f t="shared" si="101"/>
        <v/>
      </c>
    </row>
    <row r="9815" spans="6:6" x14ac:dyDescent="0.25">
      <c r="F9815" s="85" t="str">
        <f t="shared" si="101"/>
        <v/>
      </c>
    </row>
    <row r="9816" spans="6:6" x14ac:dyDescent="0.25">
      <c r="F9816" s="85" t="str">
        <f t="shared" si="101"/>
        <v/>
      </c>
    </row>
    <row r="9817" spans="6:6" x14ac:dyDescent="0.25">
      <c r="F9817" s="85" t="str">
        <f t="shared" si="101"/>
        <v/>
      </c>
    </row>
    <row r="9818" spans="6:6" x14ac:dyDescent="0.25">
      <c r="F9818" s="85" t="str">
        <f t="shared" si="101"/>
        <v/>
      </c>
    </row>
    <row r="9819" spans="6:6" x14ac:dyDescent="0.25">
      <c r="F9819" s="85" t="str">
        <f t="shared" si="101"/>
        <v/>
      </c>
    </row>
    <row r="9820" spans="6:6" x14ac:dyDescent="0.25">
      <c r="F9820" s="85" t="str">
        <f t="shared" si="101"/>
        <v/>
      </c>
    </row>
    <row r="9821" spans="6:6" x14ac:dyDescent="0.25">
      <c r="F9821" s="85" t="str">
        <f t="shared" si="101"/>
        <v/>
      </c>
    </row>
    <row r="9822" spans="6:6" x14ac:dyDescent="0.25">
      <c r="F9822" s="85" t="str">
        <f t="shared" si="101"/>
        <v/>
      </c>
    </row>
    <row r="9823" spans="6:6" x14ac:dyDescent="0.25">
      <c r="F9823" s="85" t="str">
        <f t="shared" si="101"/>
        <v/>
      </c>
    </row>
    <row r="9824" spans="6:6" x14ac:dyDescent="0.25">
      <c r="F9824" s="85" t="str">
        <f t="shared" si="101"/>
        <v/>
      </c>
    </row>
    <row r="9825" spans="6:6" x14ac:dyDescent="0.25">
      <c r="F9825" s="85" t="str">
        <f t="shared" si="101"/>
        <v/>
      </c>
    </row>
    <row r="9826" spans="6:6" x14ac:dyDescent="0.25">
      <c r="F9826" s="85" t="str">
        <f t="shared" si="101"/>
        <v/>
      </c>
    </row>
    <row r="9827" spans="6:6" x14ac:dyDescent="0.25">
      <c r="F9827" s="85" t="str">
        <f t="shared" si="101"/>
        <v/>
      </c>
    </row>
    <row r="9828" spans="6:6" x14ac:dyDescent="0.25">
      <c r="F9828" s="85" t="str">
        <f t="shared" si="101"/>
        <v/>
      </c>
    </row>
    <row r="9829" spans="6:6" x14ac:dyDescent="0.25">
      <c r="F9829" s="85" t="str">
        <f t="shared" si="101"/>
        <v/>
      </c>
    </row>
    <row r="9830" spans="6:6" x14ac:dyDescent="0.25">
      <c r="F9830" s="85" t="str">
        <f t="shared" si="101"/>
        <v/>
      </c>
    </row>
    <row r="9831" spans="6:6" x14ac:dyDescent="0.25">
      <c r="F9831" s="85" t="str">
        <f t="shared" si="101"/>
        <v/>
      </c>
    </row>
    <row r="9832" spans="6:6" x14ac:dyDescent="0.25">
      <c r="F9832" s="85" t="str">
        <f t="shared" si="101"/>
        <v/>
      </c>
    </row>
    <row r="9833" spans="6:6" x14ac:dyDescent="0.25">
      <c r="F9833" s="85" t="str">
        <f t="shared" si="101"/>
        <v/>
      </c>
    </row>
    <row r="9834" spans="6:6" x14ac:dyDescent="0.25">
      <c r="F9834" s="85" t="str">
        <f t="shared" si="101"/>
        <v/>
      </c>
    </row>
    <row r="9835" spans="6:6" x14ac:dyDescent="0.25">
      <c r="F9835" s="85" t="str">
        <f t="shared" si="101"/>
        <v/>
      </c>
    </row>
    <row r="9836" spans="6:6" x14ac:dyDescent="0.25">
      <c r="F9836" s="85" t="str">
        <f t="shared" si="101"/>
        <v/>
      </c>
    </row>
    <row r="9837" spans="6:6" x14ac:dyDescent="0.25">
      <c r="F9837" s="85" t="str">
        <f t="shared" si="101"/>
        <v/>
      </c>
    </row>
    <row r="9838" spans="6:6" x14ac:dyDescent="0.25">
      <c r="F9838" s="85" t="str">
        <f t="shared" si="101"/>
        <v/>
      </c>
    </row>
    <row r="9839" spans="6:6" x14ac:dyDescent="0.25">
      <c r="F9839" s="85" t="str">
        <f t="shared" si="101"/>
        <v/>
      </c>
    </row>
    <row r="9840" spans="6:6" x14ac:dyDescent="0.25">
      <c r="F9840" s="85" t="str">
        <f t="shared" si="101"/>
        <v/>
      </c>
    </row>
    <row r="9841" spans="6:6" x14ac:dyDescent="0.25">
      <c r="F9841" s="85" t="str">
        <f t="shared" si="101"/>
        <v/>
      </c>
    </row>
    <row r="9842" spans="6:6" x14ac:dyDescent="0.25">
      <c r="F9842" s="85" t="str">
        <f t="shared" si="101"/>
        <v/>
      </c>
    </row>
    <row r="9843" spans="6:6" x14ac:dyDescent="0.25">
      <c r="F9843" s="85" t="str">
        <f t="shared" si="101"/>
        <v/>
      </c>
    </row>
    <row r="9844" spans="6:6" x14ac:dyDescent="0.25">
      <c r="F9844" s="85" t="str">
        <f t="shared" si="101"/>
        <v/>
      </c>
    </row>
    <row r="9845" spans="6:6" x14ac:dyDescent="0.25">
      <c r="F9845" s="85" t="str">
        <f t="shared" si="101"/>
        <v/>
      </c>
    </row>
    <row r="9846" spans="6:6" x14ac:dyDescent="0.25">
      <c r="F9846" s="85" t="str">
        <f t="shared" si="101"/>
        <v/>
      </c>
    </row>
    <row r="9847" spans="6:6" x14ac:dyDescent="0.25">
      <c r="F9847" s="85" t="str">
        <f t="shared" si="101"/>
        <v/>
      </c>
    </row>
    <row r="9848" spans="6:6" x14ac:dyDescent="0.25">
      <c r="F9848" s="85" t="str">
        <f t="shared" si="101"/>
        <v/>
      </c>
    </row>
    <row r="9849" spans="6:6" x14ac:dyDescent="0.25">
      <c r="F9849" s="85" t="str">
        <f t="shared" si="101"/>
        <v/>
      </c>
    </row>
    <row r="9850" spans="6:6" x14ac:dyDescent="0.25">
      <c r="F9850" s="85" t="str">
        <f t="shared" si="101"/>
        <v/>
      </c>
    </row>
    <row r="9851" spans="6:6" x14ac:dyDescent="0.25">
      <c r="F9851" s="85" t="str">
        <f t="shared" si="101"/>
        <v/>
      </c>
    </row>
    <row r="9852" spans="6:6" x14ac:dyDescent="0.25">
      <c r="F9852" s="85" t="str">
        <f t="shared" si="101"/>
        <v/>
      </c>
    </row>
    <row r="9853" spans="6:6" x14ac:dyDescent="0.25">
      <c r="F9853" s="85" t="str">
        <f t="shared" si="101"/>
        <v/>
      </c>
    </row>
    <row r="9854" spans="6:6" x14ac:dyDescent="0.25">
      <c r="F9854" s="85" t="str">
        <f t="shared" si="101"/>
        <v/>
      </c>
    </row>
    <row r="9855" spans="6:6" x14ac:dyDescent="0.25">
      <c r="F9855" s="85" t="str">
        <f t="shared" si="101"/>
        <v/>
      </c>
    </row>
    <row r="9856" spans="6:6" x14ac:dyDescent="0.25">
      <c r="F9856" s="85" t="str">
        <f t="shared" si="101"/>
        <v/>
      </c>
    </row>
    <row r="9857" spans="6:6" x14ac:dyDescent="0.25">
      <c r="F9857" s="85" t="str">
        <f t="shared" si="101"/>
        <v/>
      </c>
    </row>
    <row r="9858" spans="6:6" x14ac:dyDescent="0.25">
      <c r="F9858" s="85" t="str">
        <f t="shared" si="101"/>
        <v/>
      </c>
    </row>
    <row r="9859" spans="6:6" x14ac:dyDescent="0.25">
      <c r="F9859" s="85" t="str">
        <f t="shared" ref="F9859:F9922" si="102">IF($A9859="","",CONCATENATE($A9859,"_",$B9859,"_",$C9859))</f>
        <v/>
      </c>
    </row>
    <row r="9860" spans="6:6" x14ac:dyDescent="0.25">
      <c r="F9860" s="85" t="str">
        <f t="shared" si="102"/>
        <v/>
      </c>
    </row>
    <row r="9861" spans="6:6" x14ac:dyDescent="0.25">
      <c r="F9861" s="85" t="str">
        <f t="shared" si="102"/>
        <v/>
      </c>
    </row>
    <row r="9862" spans="6:6" x14ac:dyDescent="0.25">
      <c r="F9862" s="85" t="str">
        <f t="shared" si="102"/>
        <v/>
      </c>
    </row>
    <row r="9863" spans="6:6" x14ac:dyDescent="0.25">
      <c r="F9863" s="85" t="str">
        <f t="shared" si="102"/>
        <v/>
      </c>
    </row>
    <row r="9864" spans="6:6" x14ac:dyDescent="0.25">
      <c r="F9864" s="85" t="str">
        <f t="shared" si="102"/>
        <v/>
      </c>
    </row>
    <row r="9865" spans="6:6" x14ac:dyDescent="0.25">
      <c r="F9865" s="85" t="str">
        <f t="shared" si="102"/>
        <v/>
      </c>
    </row>
    <row r="9866" spans="6:6" x14ac:dyDescent="0.25">
      <c r="F9866" s="85" t="str">
        <f t="shared" si="102"/>
        <v/>
      </c>
    </row>
    <row r="9867" spans="6:6" x14ac:dyDescent="0.25">
      <c r="F9867" s="85" t="str">
        <f t="shared" si="102"/>
        <v/>
      </c>
    </row>
    <row r="9868" spans="6:6" x14ac:dyDescent="0.25">
      <c r="F9868" s="85" t="str">
        <f t="shared" si="102"/>
        <v/>
      </c>
    </row>
    <row r="9869" spans="6:6" x14ac:dyDescent="0.25">
      <c r="F9869" s="85" t="str">
        <f t="shared" si="102"/>
        <v/>
      </c>
    </row>
    <row r="9870" spans="6:6" x14ac:dyDescent="0.25">
      <c r="F9870" s="85" t="str">
        <f t="shared" si="102"/>
        <v/>
      </c>
    </row>
    <row r="9871" spans="6:6" x14ac:dyDescent="0.25">
      <c r="F9871" s="85" t="str">
        <f t="shared" si="102"/>
        <v/>
      </c>
    </row>
    <row r="9872" spans="6:6" x14ac:dyDescent="0.25">
      <c r="F9872" s="85" t="str">
        <f t="shared" si="102"/>
        <v/>
      </c>
    </row>
    <row r="9873" spans="6:6" x14ac:dyDescent="0.25">
      <c r="F9873" s="85" t="str">
        <f t="shared" si="102"/>
        <v/>
      </c>
    </row>
    <row r="9874" spans="6:6" x14ac:dyDescent="0.25">
      <c r="F9874" s="85" t="str">
        <f t="shared" si="102"/>
        <v/>
      </c>
    </row>
    <row r="9875" spans="6:6" x14ac:dyDescent="0.25">
      <c r="F9875" s="85" t="str">
        <f t="shared" si="102"/>
        <v/>
      </c>
    </row>
    <row r="9876" spans="6:6" x14ac:dyDescent="0.25">
      <c r="F9876" s="85" t="str">
        <f t="shared" si="102"/>
        <v/>
      </c>
    </row>
    <row r="9877" spans="6:6" x14ac:dyDescent="0.25">
      <c r="F9877" s="85" t="str">
        <f t="shared" si="102"/>
        <v/>
      </c>
    </row>
    <row r="9878" spans="6:6" x14ac:dyDescent="0.25">
      <c r="F9878" s="85" t="str">
        <f t="shared" si="102"/>
        <v/>
      </c>
    </row>
    <row r="9879" spans="6:6" x14ac:dyDescent="0.25">
      <c r="F9879" s="85" t="str">
        <f t="shared" si="102"/>
        <v/>
      </c>
    </row>
    <row r="9880" spans="6:6" x14ac:dyDescent="0.25">
      <c r="F9880" s="85" t="str">
        <f t="shared" si="102"/>
        <v/>
      </c>
    </row>
    <row r="9881" spans="6:6" x14ac:dyDescent="0.25">
      <c r="F9881" s="85" t="str">
        <f t="shared" si="102"/>
        <v/>
      </c>
    </row>
    <row r="9882" spans="6:6" x14ac:dyDescent="0.25">
      <c r="F9882" s="85" t="str">
        <f t="shared" si="102"/>
        <v/>
      </c>
    </row>
    <row r="9883" spans="6:6" x14ac:dyDescent="0.25">
      <c r="F9883" s="85" t="str">
        <f t="shared" si="102"/>
        <v/>
      </c>
    </row>
    <row r="9884" spans="6:6" x14ac:dyDescent="0.25">
      <c r="F9884" s="85" t="str">
        <f t="shared" si="102"/>
        <v/>
      </c>
    </row>
    <row r="9885" spans="6:6" x14ac:dyDescent="0.25">
      <c r="F9885" s="85" t="str">
        <f t="shared" si="102"/>
        <v/>
      </c>
    </row>
    <row r="9886" spans="6:6" x14ac:dyDescent="0.25">
      <c r="F9886" s="85" t="str">
        <f t="shared" si="102"/>
        <v/>
      </c>
    </row>
    <row r="9887" spans="6:6" x14ac:dyDescent="0.25">
      <c r="F9887" s="85" t="str">
        <f t="shared" si="102"/>
        <v/>
      </c>
    </row>
    <row r="9888" spans="6:6" x14ac:dyDescent="0.25">
      <c r="F9888" s="85" t="str">
        <f t="shared" si="102"/>
        <v/>
      </c>
    </row>
    <row r="9889" spans="6:6" x14ac:dyDescent="0.25">
      <c r="F9889" s="85" t="str">
        <f t="shared" si="102"/>
        <v/>
      </c>
    </row>
    <row r="9890" spans="6:6" x14ac:dyDescent="0.25">
      <c r="F9890" s="85" t="str">
        <f t="shared" si="102"/>
        <v/>
      </c>
    </row>
    <row r="9891" spans="6:6" x14ac:dyDescent="0.25">
      <c r="F9891" s="85" t="str">
        <f t="shared" si="102"/>
        <v/>
      </c>
    </row>
    <row r="9892" spans="6:6" x14ac:dyDescent="0.25">
      <c r="F9892" s="85" t="str">
        <f t="shared" si="102"/>
        <v/>
      </c>
    </row>
    <row r="9893" spans="6:6" x14ac:dyDescent="0.25">
      <c r="F9893" s="85" t="str">
        <f t="shared" si="102"/>
        <v/>
      </c>
    </row>
    <row r="9894" spans="6:6" x14ac:dyDescent="0.25">
      <c r="F9894" s="85" t="str">
        <f t="shared" si="102"/>
        <v/>
      </c>
    </row>
    <row r="9895" spans="6:6" x14ac:dyDescent="0.25">
      <c r="F9895" s="85" t="str">
        <f t="shared" si="102"/>
        <v/>
      </c>
    </row>
    <row r="9896" spans="6:6" x14ac:dyDescent="0.25">
      <c r="F9896" s="85" t="str">
        <f t="shared" si="102"/>
        <v/>
      </c>
    </row>
    <row r="9897" spans="6:6" x14ac:dyDescent="0.25">
      <c r="F9897" s="85" t="str">
        <f t="shared" si="102"/>
        <v/>
      </c>
    </row>
    <row r="9898" spans="6:6" x14ac:dyDescent="0.25">
      <c r="F9898" s="85" t="str">
        <f t="shared" si="102"/>
        <v/>
      </c>
    </row>
    <row r="9899" spans="6:6" x14ac:dyDescent="0.25">
      <c r="F9899" s="85" t="str">
        <f t="shared" si="102"/>
        <v/>
      </c>
    </row>
    <row r="9900" spans="6:6" x14ac:dyDescent="0.25">
      <c r="F9900" s="85" t="str">
        <f t="shared" si="102"/>
        <v/>
      </c>
    </row>
    <row r="9901" spans="6:6" x14ac:dyDescent="0.25">
      <c r="F9901" s="85" t="str">
        <f t="shared" si="102"/>
        <v/>
      </c>
    </row>
    <row r="9902" spans="6:6" x14ac:dyDescent="0.25">
      <c r="F9902" s="85" t="str">
        <f t="shared" si="102"/>
        <v/>
      </c>
    </row>
    <row r="9903" spans="6:6" x14ac:dyDescent="0.25">
      <c r="F9903" s="85" t="str">
        <f t="shared" si="102"/>
        <v/>
      </c>
    </row>
    <row r="9904" spans="6:6" x14ac:dyDescent="0.25">
      <c r="F9904" s="85" t="str">
        <f t="shared" si="102"/>
        <v/>
      </c>
    </row>
    <row r="9905" spans="6:6" x14ac:dyDescent="0.25">
      <c r="F9905" s="85" t="str">
        <f t="shared" si="102"/>
        <v/>
      </c>
    </row>
    <row r="9906" spans="6:6" x14ac:dyDescent="0.25">
      <c r="F9906" s="85" t="str">
        <f t="shared" si="102"/>
        <v/>
      </c>
    </row>
    <row r="9907" spans="6:6" x14ac:dyDescent="0.25">
      <c r="F9907" s="85" t="str">
        <f t="shared" si="102"/>
        <v/>
      </c>
    </row>
    <row r="9908" spans="6:6" x14ac:dyDescent="0.25">
      <c r="F9908" s="85" t="str">
        <f t="shared" si="102"/>
        <v/>
      </c>
    </row>
    <row r="9909" spans="6:6" x14ac:dyDescent="0.25">
      <c r="F9909" s="85" t="str">
        <f t="shared" si="102"/>
        <v/>
      </c>
    </row>
    <row r="9910" spans="6:6" x14ac:dyDescent="0.25">
      <c r="F9910" s="85" t="str">
        <f t="shared" si="102"/>
        <v/>
      </c>
    </row>
    <row r="9911" spans="6:6" x14ac:dyDescent="0.25">
      <c r="F9911" s="85" t="str">
        <f t="shared" si="102"/>
        <v/>
      </c>
    </row>
    <row r="9912" spans="6:6" x14ac:dyDescent="0.25">
      <c r="F9912" s="85" t="str">
        <f t="shared" si="102"/>
        <v/>
      </c>
    </row>
    <row r="9913" spans="6:6" x14ac:dyDescent="0.25">
      <c r="F9913" s="85" t="str">
        <f t="shared" si="102"/>
        <v/>
      </c>
    </row>
    <row r="9914" spans="6:6" x14ac:dyDescent="0.25">
      <c r="F9914" s="85" t="str">
        <f t="shared" si="102"/>
        <v/>
      </c>
    </row>
    <row r="9915" spans="6:6" x14ac:dyDescent="0.25">
      <c r="F9915" s="85" t="str">
        <f t="shared" si="102"/>
        <v/>
      </c>
    </row>
    <row r="9916" spans="6:6" x14ac:dyDescent="0.25">
      <c r="F9916" s="85" t="str">
        <f t="shared" si="102"/>
        <v/>
      </c>
    </row>
    <row r="9917" spans="6:6" x14ac:dyDescent="0.25">
      <c r="F9917" s="85" t="str">
        <f t="shared" si="102"/>
        <v/>
      </c>
    </row>
    <row r="9918" spans="6:6" x14ac:dyDescent="0.25">
      <c r="F9918" s="85" t="str">
        <f t="shared" si="102"/>
        <v/>
      </c>
    </row>
    <row r="9919" spans="6:6" x14ac:dyDescent="0.25">
      <c r="F9919" s="85" t="str">
        <f t="shared" si="102"/>
        <v/>
      </c>
    </row>
    <row r="9920" spans="6:6" x14ac:dyDescent="0.25">
      <c r="F9920" s="85" t="str">
        <f t="shared" si="102"/>
        <v/>
      </c>
    </row>
    <row r="9921" spans="6:6" x14ac:dyDescent="0.25">
      <c r="F9921" s="85" t="str">
        <f t="shared" si="102"/>
        <v/>
      </c>
    </row>
    <row r="9922" spans="6:6" x14ac:dyDescent="0.25">
      <c r="F9922" s="85" t="str">
        <f t="shared" si="102"/>
        <v/>
      </c>
    </row>
    <row r="9923" spans="6:6" x14ac:dyDescent="0.25">
      <c r="F9923" s="85" t="str">
        <f t="shared" ref="F9923:F9986" si="103">IF($A9923="","",CONCATENATE($A9923,"_",$B9923,"_",$C9923))</f>
        <v/>
      </c>
    </row>
    <row r="9924" spans="6:6" x14ac:dyDescent="0.25">
      <c r="F9924" s="85" t="str">
        <f t="shared" si="103"/>
        <v/>
      </c>
    </row>
    <row r="9925" spans="6:6" x14ac:dyDescent="0.25">
      <c r="F9925" s="85" t="str">
        <f t="shared" si="103"/>
        <v/>
      </c>
    </row>
    <row r="9926" spans="6:6" x14ac:dyDescent="0.25">
      <c r="F9926" s="85" t="str">
        <f t="shared" si="103"/>
        <v/>
      </c>
    </row>
    <row r="9927" spans="6:6" x14ac:dyDescent="0.25">
      <c r="F9927" s="85" t="str">
        <f t="shared" si="103"/>
        <v/>
      </c>
    </row>
    <row r="9928" spans="6:6" x14ac:dyDescent="0.25">
      <c r="F9928" s="85" t="str">
        <f t="shared" si="103"/>
        <v/>
      </c>
    </row>
    <row r="9929" spans="6:6" x14ac:dyDescent="0.25">
      <c r="F9929" s="85" t="str">
        <f t="shared" si="103"/>
        <v/>
      </c>
    </row>
    <row r="9930" spans="6:6" x14ac:dyDescent="0.25">
      <c r="F9930" s="85" t="str">
        <f t="shared" si="103"/>
        <v/>
      </c>
    </row>
    <row r="9931" spans="6:6" x14ac:dyDescent="0.25">
      <c r="F9931" s="85" t="str">
        <f t="shared" si="103"/>
        <v/>
      </c>
    </row>
    <row r="9932" spans="6:6" x14ac:dyDescent="0.25">
      <c r="F9932" s="85" t="str">
        <f t="shared" si="103"/>
        <v/>
      </c>
    </row>
    <row r="9933" spans="6:6" x14ac:dyDescent="0.25">
      <c r="F9933" s="85" t="str">
        <f t="shared" si="103"/>
        <v/>
      </c>
    </row>
    <row r="9934" spans="6:6" x14ac:dyDescent="0.25">
      <c r="F9934" s="85" t="str">
        <f t="shared" si="103"/>
        <v/>
      </c>
    </row>
    <row r="9935" spans="6:6" x14ac:dyDescent="0.25">
      <c r="F9935" s="85" t="str">
        <f t="shared" si="103"/>
        <v/>
      </c>
    </row>
    <row r="9936" spans="6:6" x14ac:dyDescent="0.25">
      <c r="F9936" s="85" t="str">
        <f t="shared" si="103"/>
        <v/>
      </c>
    </row>
    <row r="9937" spans="6:6" x14ac:dyDescent="0.25">
      <c r="F9937" s="85" t="str">
        <f t="shared" si="103"/>
        <v/>
      </c>
    </row>
    <row r="9938" spans="6:6" x14ac:dyDescent="0.25">
      <c r="F9938" s="85" t="str">
        <f t="shared" si="103"/>
        <v/>
      </c>
    </row>
    <row r="9939" spans="6:6" x14ac:dyDescent="0.25">
      <c r="F9939" s="85" t="str">
        <f t="shared" si="103"/>
        <v/>
      </c>
    </row>
    <row r="9940" spans="6:6" x14ac:dyDescent="0.25">
      <c r="F9940" s="85" t="str">
        <f t="shared" si="103"/>
        <v/>
      </c>
    </row>
    <row r="9941" spans="6:6" x14ac:dyDescent="0.25">
      <c r="F9941" s="85" t="str">
        <f t="shared" si="103"/>
        <v/>
      </c>
    </row>
    <row r="9942" spans="6:6" x14ac:dyDescent="0.25">
      <c r="F9942" s="85" t="str">
        <f t="shared" si="103"/>
        <v/>
      </c>
    </row>
    <row r="9943" spans="6:6" x14ac:dyDescent="0.25">
      <c r="F9943" s="85" t="str">
        <f t="shared" si="103"/>
        <v/>
      </c>
    </row>
    <row r="9944" spans="6:6" x14ac:dyDescent="0.25">
      <c r="F9944" s="85" t="str">
        <f t="shared" si="103"/>
        <v/>
      </c>
    </row>
    <row r="9945" spans="6:6" x14ac:dyDescent="0.25">
      <c r="F9945" s="85" t="str">
        <f t="shared" si="103"/>
        <v/>
      </c>
    </row>
    <row r="9946" spans="6:6" x14ac:dyDescent="0.25">
      <c r="F9946" s="85" t="str">
        <f t="shared" si="103"/>
        <v/>
      </c>
    </row>
    <row r="9947" spans="6:6" x14ac:dyDescent="0.25">
      <c r="F9947" s="85" t="str">
        <f t="shared" si="103"/>
        <v/>
      </c>
    </row>
    <row r="9948" spans="6:6" x14ac:dyDescent="0.25">
      <c r="F9948" s="85" t="str">
        <f t="shared" si="103"/>
        <v/>
      </c>
    </row>
    <row r="9949" spans="6:6" x14ac:dyDescent="0.25">
      <c r="F9949" s="85" t="str">
        <f t="shared" si="103"/>
        <v/>
      </c>
    </row>
    <row r="9950" spans="6:6" x14ac:dyDescent="0.25">
      <c r="F9950" s="85" t="str">
        <f t="shared" si="103"/>
        <v/>
      </c>
    </row>
    <row r="9951" spans="6:6" x14ac:dyDescent="0.25">
      <c r="F9951" s="85" t="str">
        <f t="shared" si="103"/>
        <v/>
      </c>
    </row>
    <row r="9952" spans="6:6" x14ac:dyDescent="0.25">
      <c r="F9952" s="85" t="str">
        <f t="shared" si="103"/>
        <v/>
      </c>
    </row>
    <row r="9953" spans="6:6" x14ac:dyDescent="0.25">
      <c r="F9953" s="85" t="str">
        <f t="shared" si="103"/>
        <v/>
      </c>
    </row>
    <row r="9954" spans="6:6" x14ac:dyDescent="0.25">
      <c r="F9954" s="85" t="str">
        <f t="shared" si="103"/>
        <v/>
      </c>
    </row>
    <row r="9955" spans="6:6" x14ac:dyDescent="0.25">
      <c r="F9955" s="85" t="str">
        <f t="shared" si="103"/>
        <v/>
      </c>
    </row>
    <row r="9956" spans="6:6" x14ac:dyDescent="0.25">
      <c r="F9956" s="85" t="str">
        <f t="shared" si="103"/>
        <v/>
      </c>
    </row>
    <row r="9957" spans="6:6" x14ac:dyDescent="0.25">
      <c r="F9957" s="85" t="str">
        <f t="shared" si="103"/>
        <v/>
      </c>
    </row>
    <row r="9958" spans="6:6" x14ac:dyDescent="0.25">
      <c r="F9958" s="85" t="str">
        <f t="shared" si="103"/>
        <v/>
      </c>
    </row>
    <row r="9959" spans="6:6" x14ac:dyDescent="0.25">
      <c r="F9959" s="85" t="str">
        <f t="shared" si="103"/>
        <v/>
      </c>
    </row>
    <row r="9960" spans="6:6" x14ac:dyDescent="0.25">
      <c r="F9960" s="85" t="str">
        <f t="shared" si="103"/>
        <v/>
      </c>
    </row>
    <row r="9961" spans="6:6" x14ac:dyDescent="0.25">
      <c r="F9961" s="85" t="str">
        <f t="shared" si="103"/>
        <v/>
      </c>
    </row>
    <row r="9962" spans="6:6" x14ac:dyDescent="0.25">
      <c r="F9962" s="85" t="str">
        <f t="shared" si="103"/>
        <v/>
      </c>
    </row>
    <row r="9963" spans="6:6" x14ac:dyDescent="0.25">
      <c r="F9963" s="85" t="str">
        <f t="shared" si="103"/>
        <v/>
      </c>
    </row>
    <row r="9964" spans="6:6" x14ac:dyDescent="0.25">
      <c r="F9964" s="85" t="str">
        <f t="shared" si="103"/>
        <v/>
      </c>
    </row>
    <row r="9965" spans="6:6" x14ac:dyDescent="0.25">
      <c r="F9965" s="85" t="str">
        <f t="shared" si="103"/>
        <v/>
      </c>
    </row>
    <row r="9966" spans="6:6" x14ac:dyDescent="0.25">
      <c r="F9966" s="85" t="str">
        <f t="shared" si="103"/>
        <v/>
      </c>
    </row>
    <row r="9967" spans="6:6" x14ac:dyDescent="0.25">
      <c r="F9967" s="85" t="str">
        <f t="shared" si="103"/>
        <v/>
      </c>
    </row>
    <row r="9968" spans="6:6" x14ac:dyDescent="0.25">
      <c r="F9968" s="85" t="str">
        <f t="shared" si="103"/>
        <v/>
      </c>
    </row>
    <row r="9969" spans="6:6" x14ac:dyDescent="0.25">
      <c r="F9969" s="85" t="str">
        <f t="shared" si="103"/>
        <v/>
      </c>
    </row>
    <row r="9970" spans="6:6" x14ac:dyDescent="0.25">
      <c r="F9970" s="85" t="str">
        <f t="shared" si="103"/>
        <v/>
      </c>
    </row>
    <row r="9971" spans="6:6" x14ac:dyDescent="0.25">
      <c r="F9971" s="85" t="str">
        <f t="shared" si="103"/>
        <v/>
      </c>
    </row>
    <row r="9972" spans="6:6" x14ac:dyDescent="0.25">
      <c r="F9972" s="85" t="str">
        <f t="shared" si="103"/>
        <v/>
      </c>
    </row>
    <row r="9973" spans="6:6" x14ac:dyDescent="0.25">
      <c r="F9973" s="85" t="str">
        <f t="shared" si="103"/>
        <v/>
      </c>
    </row>
    <row r="9974" spans="6:6" x14ac:dyDescent="0.25">
      <c r="F9974" s="85" t="str">
        <f t="shared" si="103"/>
        <v/>
      </c>
    </row>
    <row r="9975" spans="6:6" x14ac:dyDescent="0.25">
      <c r="F9975" s="85" t="str">
        <f t="shared" si="103"/>
        <v/>
      </c>
    </row>
    <row r="9976" spans="6:6" x14ac:dyDescent="0.25">
      <c r="F9976" s="85" t="str">
        <f t="shared" si="103"/>
        <v/>
      </c>
    </row>
    <row r="9977" spans="6:6" x14ac:dyDescent="0.25">
      <c r="F9977" s="85" t="str">
        <f t="shared" si="103"/>
        <v/>
      </c>
    </row>
    <row r="9978" spans="6:6" x14ac:dyDescent="0.25">
      <c r="F9978" s="85" t="str">
        <f t="shared" si="103"/>
        <v/>
      </c>
    </row>
    <row r="9979" spans="6:6" x14ac:dyDescent="0.25">
      <c r="F9979" s="85" t="str">
        <f t="shared" si="103"/>
        <v/>
      </c>
    </row>
    <row r="9980" spans="6:6" x14ac:dyDescent="0.25">
      <c r="F9980" s="85" t="str">
        <f t="shared" si="103"/>
        <v/>
      </c>
    </row>
    <row r="9981" spans="6:6" x14ac:dyDescent="0.25">
      <c r="F9981" s="85" t="str">
        <f t="shared" si="103"/>
        <v/>
      </c>
    </row>
    <row r="9982" spans="6:6" x14ac:dyDescent="0.25">
      <c r="F9982" s="85" t="str">
        <f t="shared" si="103"/>
        <v/>
      </c>
    </row>
    <row r="9983" spans="6:6" x14ac:dyDescent="0.25">
      <c r="F9983" s="85" t="str">
        <f t="shared" si="103"/>
        <v/>
      </c>
    </row>
    <row r="9984" spans="6:6" x14ac:dyDescent="0.25">
      <c r="F9984" s="85" t="str">
        <f t="shared" si="103"/>
        <v/>
      </c>
    </row>
    <row r="9985" spans="6:6" x14ac:dyDescent="0.25">
      <c r="F9985" s="85" t="str">
        <f t="shared" si="103"/>
        <v/>
      </c>
    </row>
    <row r="9986" spans="6:6" x14ac:dyDescent="0.25">
      <c r="F9986" s="85" t="str">
        <f t="shared" si="103"/>
        <v/>
      </c>
    </row>
    <row r="9987" spans="6:6" x14ac:dyDescent="0.25">
      <c r="F9987" s="85" t="str">
        <f t="shared" ref="F9987:F10000" si="104">IF($A9987="","",CONCATENATE($A9987,"_",$B9987,"_",$C9987))</f>
        <v/>
      </c>
    </row>
    <row r="9988" spans="6:6" x14ac:dyDescent="0.25">
      <c r="F9988" s="85" t="str">
        <f t="shared" si="104"/>
        <v/>
      </c>
    </row>
    <row r="9989" spans="6:6" x14ac:dyDescent="0.25">
      <c r="F9989" s="85" t="str">
        <f t="shared" si="104"/>
        <v/>
      </c>
    </row>
    <row r="9990" spans="6:6" x14ac:dyDescent="0.25">
      <c r="F9990" s="85" t="str">
        <f t="shared" si="104"/>
        <v/>
      </c>
    </row>
    <row r="9991" spans="6:6" x14ac:dyDescent="0.25">
      <c r="F9991" s="85" t="str">
        <f t="shared" si="104"/>
        <v/>
      </c>
    </row>
    <row r="9992" spans="6:6" x14ac:dyDescent="0.25">
      <c r="F9992" s="85" t="str">
        <f t="shared" si="104"/>
        <v/>
      </c>
    </row>
    <row r="9993" spans="6:6" x14ac:dyDescent="0.25">
      <c r="F9993" s="85" t="str">
        <f t="shared" si="104"/>
        <v/>
      </c>
    </row>
    <row r="9994" spans="6:6" x14ac:dyDescent="0.25">
      <c r="F9994" s="85" t="str">
        <f t="shared" si="104"/>
        <v/>
      </c>
    </row>
    <row r="9995" spans="6:6" x14ac:dyDescent="0.25">
      <c r="F9995" s="85" t="str">
        <f t="shared" si="104"/>
        <v/>
      </c>
    </row>
    <row r="9996" spans="6:6" x14ac:dyDescent="0.25">
      <c r="F9996" s="85" t="str">
        <f t="shared" si="104"/>
        <v/>
      </c>
    </row>
    <row r="9997" spans="6:6" x14ac:dyDescent="0.25">
      <c r="F9997" s="85" t="str">
        <f t="shared" si="104"/>
        <v/>
      </c>
    </row>
    <row r="9998" spans="6:6" x14ac:dyDescent="0.25">
      <c r="F9998" s="85" t="str">
        <f t="shared" si="104"/>
        <v/>
      </c>
    </row>
    <row r="9999" spans="6:6" x14ac:dyDescent="0.25">
      <c r="F9999" s="85" t="str">
        <f t="shared" si="104"/>
        <v/>
      </c>
    </row>
    <row r="10000" spans="6:6" x14ac:dyDescent="0.25">
      <c r="F10000" s="85" t="str">
        <f t="shared" si="104"/>
        <v/>
      </c>
    </row>
  </sheetData>
  <autoFilter ref="A1:F10000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8675"/>
  <sheetViews>
    <sheetView workbookViewId="0"/>
  </sheetViews>
  <sheetFormatPr defaultRowHeight="12.75" x14ac:dyDescent="0.2"/>
  <cols>
    <col min="1" max="1" width="157.42578125" style="1" customWidth="1"/>
    <col min="2" max="16384" width="9.140625" style="1"/>
  </cols>
  <sheetData>
    <row r="1" spans="1:1" ht="409.5" x14ac:dyDescent="0.2">
      <c r="A1" s="37" t="s">
        <v>4921</v>
      </c>
    </row>
    <row r="2" spans="1:1" x14ac:dyDescent="0.2">
      <c r="A2" s="1" t="s">
        <v>34</v>
      </c>
    </row>
    <row r="3" spans="1:1" x14ac:dyDescent="0.2">
      <c r="A3" s="1" t="s">
        <v>35</v>
      </c>
    </row>
    <row r="4" spans="1:1" x14ac:dyDescent="0.2">
      <c r="A4" s="1" t="s">
        <v>36</v>
      </c>
    </row>
    <row r="5" spans="1:1" x14ac:dyDescent="0.2">
      <c r="A5" s="1" t="s">
        <v>34</v>
      </c>
    </row>
    <row r="6" spans="1:1" x14ac:dyDescent="0.2">
      <c r="A6" s="1" t="s">
        <v>37</v>
      </c>
    </row>
    <row r="7" spans="1:1" x14ac:dyDescent="0.2">
      <c r="A7" s="1" t="s">
        <v>38</v>
      </c>
    </row>
    <row r="8" spans="1:1" x14ac:dyDescent="0.2">
      <c r="A8" s="1" t="s">
        <v>39</v>
      </c>
    </row>
    <row r="9" spans="1:1" x14ac:dyDescent="0.2">
      <c r="A9" s="1" t="s">
        <v>38</v>
      </c>
    </row>
    <row r="10" spans="1:1" x14ac:dyDescent="0.2">
      <c r="A10" s="1" t="s">
        <v>39</v>
      </c>
    </row>
    <row r="11" spans="1:1" x14ac:dyDescent="0.2">
      <c r="A11" s="1" t="s">
        <v>40</v>
      </c>
    </row>
    <row r="12" spans="1:1" x14ac:dyDescent="0.2">
      <c r="A12" s="1" t="s">
        <v>41</v>
      </c>
    </row>
    <row r="13" spans="1:1" x14ac:dyDescent="0.2">
      <c r="A13" s="1" t="s">
        <v>42</v>
      </c>
    </row>
    <row r="14" spans="1:1" x14ac:dyDescent="0.2">
      <c r="A14" s="1" t="s">
        <v>41</v>
      </c>
    </row>
    <row r="15" spans="1:1" x14ac:dyDescent="0.2">
      <c r="A15" s="1" t="s">
        <v>42</v>
      </c>
    </row>
    <row r="16" spans="1:1" x14ac:dyDescent="0.2">
      <c r="A16" s="1" t="s">
        <v>43</v>
      </c>
    </row>
    <row r="17" spans="1:1" x14ac:dyDescent="0.2">
      <c r="A17" s="1" t="s">
        <v>44</v>
      </c>
    </row>
    <row r="18" spans="1:1" x14ac:dyDescent="0.2">
      <c r="A18" s="1" t="s">
        <v>45</v>
      </c>
    </row>
    <row r="19" spans="1:1" x14ac:dyDescent="0.2">
      <c r="A19" s="1" t="s">
        <v>46</v>
      </c>
    </row>
    <row r="20" spans="1:1" x14ac:dyDescent="0.2">
      <c r="A20" s="1" t="s">
        <v>47</v>
      </c>
    </row>
    <row r="21" spans="1:1" x14ac:dyDescent="0.2">
      <c r="A21" s="1" t="s">
        <v>48</v>
      </c>
    </row>
    <row r="22" spans="1:1" x14ac:dyDescent="0.2">
      <c r="A22" s="1" t="s">
        <v>49</v>
      </c>
    </row>
    <row r="23" spans="1:1" x14ac:dyDescent="0.2">
      <c r="A23" s="1" t="s">
        <v>50</v>
      </c>
    </row>
    <row r="24" spans="1:1" x14ac:dyDescent="0.2">
      <c r="A24" s="1" t="s">
        <v>41</v>
      </c>
    </row>
    <row r="25" spans="1:1" x14ac:dyDescent="0.2">
      <c r="A25" s="1" t="s">
        <v>42</v>
      </c>
    </row>
    <row r="26" spans="1:1" x14ac:dyDescent="0.2">
      <c r="A26" s="1" t="s">
        <v>41</v>
      </c>
    </row>
    <row r="27" spans="1:1" x14ac:dyDescent="0.2">
      <c r="A27" s="1" t="s">
        <v>42</v>
      </c>
    </row>
    <row r="28" spans="1:1" x14ac:dyDescent="0.2">
      <c r="A28" s="1" t="s">
        <v>41</v>
      </c>
    </row>
    <row r="29" spans="1:1" x14ac:dyDescent="0.2">
      <c r="A29" s="1" t="s">
        <v>42</v>
      </c>
    </row>
    <row r="30" spans="1:1" x14ac:dyDescent="0.2">
      <c r="A30" s="1" t="s">
        <v>43</v>
      </c>
    </row>
    <row r="31" spans="1:1" x14ac:dyDescent="0.2">
      <c r="A31" s="1" t="s">
        <v>44</v>
      </c>
    </row>
    <row r="32" spans="1:1" x14ac:dyDescent="0.2">
      <c r="A32" s="1" t="s">
        <v>45</v>
      </c>
    </row>
    <row r="33" spans="1:1" x14ac:dyDescent="0.2">
      <c r="A33" s="1" t="s">
        <v>46</v>
      </c>
    </row>
    <row r="34" spans="1:1" x14ac:dyDescent="0.2">
      <c r="A34" s="1" t="s">
        <v>47</v>
      </c>
    </row>
    <row r="35" spans="1:1" x14ac:dyDescent="0.2">
      <c r="A35" s="1" t="s">
        <v>48</v>
      </c>
    </row>
    <row r="36" spans="1:1" x14ac:dyDescent="0.2">
      <c r="A36" s="1" t="s">
        <v>49</v>
      </c>
    </row>
    <row r="37" spans="1:1" x14ac:dyDescent="0.2">
      <c r="A37" s="1" t="s">
        <v>50</v>
      </c>
    </row>
    <row r="38" spans="1:1" x14ac:dyDescent="0.2">
      <c r="A38" s="1" t="s">
        <v>41</v>
      </c>
    </row>
    <row r="39" spans="1:1" x14ac:dyDescent="0.2">
      <c r="A39" s="1" t="s">
        <v>42</v>
      </c>
    </row>
    <row r="40" spans="1:1" x14ac:dyDescent="0.2">
      <c r="A40" s="1" t="s">
        <v>41</v>
      </c>
    </row>
    <row r="41" spans="1:1" x14ac:dyDescent="0.2">
      <c r="A41" s="1" t="s">
        <v>42</v>
      </c>
    </row>
    <row r="42" spans="1:1" x14ac:dyDescent="0.2">
      <c r="A42" s="1" t="s">
        <v>41</v>
      </c>
    </row>
    <row r="43" spans="1:1" x14ac:dyDescent="0.2">
      <c r="A43" s="1" t="s">
        <v>42</v>
      </c>
    </row>
    <row r="44" spans="1:1" x14ac:dyDescent="0.2">
      <c r="A44" s="1" t="s">
        <v>43</v>
      </c>
    </row>
    <row r="45" spans="1:1" x14ac:dyDescent="0.2">
      <c r="A45" s="1" t="s">
        <v>44</v>
      </c>
    </row>
    <row r="46" spans="1:1" x14ac:dyDescent="0.2">
      <c r="A46" s="1" t="s">
        <v>45</v>
      </c>
    </row>
    <row r="47" spans="1:1" x14ac:dyDescent="0.2">
      <c r="A47" s="1" t="s">
        <v>46</v>
      </c>
    </row>
    <row r="48" spans="1:1" x14ac:dyDescent="0.2">
      <c r="A48" s="1" t="s">
        <v>47</v>
      </c>
    </row>
    <row r="49" spans="1:1" x14ac:dyDescent="0.2">
      <c r="A49" s="1" t="s">
        <v>48</v>
      </c>
    </row>
    <row r="50" spans="1:1" x14ac:dyDescent="0.2">
      <c r="A50" s="1" t="s">
        <v>49</v>
      </c>
    </row>
    <row r="51" spans="1:1" x14ac:dyDescent="0.2">
      <c r="A51" s="1" t="s">
        <v>50</v>
      </c>
    </row>
    <row r="52" spans="1:1" x14ac:dyDescent="0.2">
      <c r="A52" s="1" t="s">
        <v>41</v>
      </c>
    </row>
    <row r="53" spans="1:1" x14ac:dyDescent="0.2">
      <c r="A53" s="1" t="s">
        <v>42</v>
      </c>
    </row>
    <row r="54" spans="1:1" x14ac:dyDescent="0.2">
      <c r="A54" s="1" t="s">
        <v>41</v>
      </c>
    </row>
    <row r="55" spans="1:1" x14ac:dyDescent="0.2">
      <c r="A55" s="1" t="s">
        <v>42</v>
      </c>
    </row>
    <row r="56" spans="1:1" x14ac:dyDescent="0.2">
      <c r="A56" s="1" t="s">
        <v>41</v>
      </c>
    </row>
    <row r="57" spans="1:1" x14ac:dyDescent="0.2">
      <c r="A57" s="1" t="s">
        <v>42</v>
      </c>
    </row>
    <row r="58" spans="1:1" x14ac:dyDescent="0.2">
      <c r="A58" s="1" t="s">
        <v>43</v>
      </c>
    </row>
    <row r="59" spans="1:1" x14ac:dyDescent="0.2">
      <c r="A59" s="1" t="s">
        <v>44</v>
      </c>
    </row>
    <row r="60" spans="1:1" x14ac:dyDescent="0.2">
      <c r="A60" s="1" t="s">
        <v>45</v>
      </c>
    </row>
    <row r="61" spans="1:1" x14ac:dyDescent="0.2">
      <c r="A61" s="1" t="s">
        <v>46</v>
      </c>
    </row>
    <row r="62" spans="1:1" x14ac:dyDescent="0.2">
      <c r="A62" s="1" t="s">
        <v>47</v>
      </c>
    </row>
    <row r="63" spans="1:1" x14ac:dyDescent="0.2">
      <c r="A63" s="1" t="s">
        <v>48</v>
      </c>
    </row>
    <row r="64" spans="1:1" x14ac:dyDescent="0.2">
      <c r="A64" s="1" t="s">
        <v>49</v>
      </c>
    </row>
    <row r="65" spans="1:1" x14ac:dyDescent="0.2">
      <c r="A65" s="1" t="s">
        <v>50</v>
      </c>
    </row>
    <row r="66" spans="1:1" x14ac:dyDescent="0.2">
      <c r="A66" s="1" t="s">
        <v>41</v>
      </c>
    </row>
    <row r="67" spans="1:1" x14ac:dyDescent="0.2">
      <c r="A67" s="1" t="s">
        <v>42</v>
      </c>
    </row>
    <row r="68" spans="1:1" x14ac:dyDescent="0.2">
      <c r="A68" s="1" t="s">
        <v>41</v>
      </c>
    </row>
    <row r="69" spans="1:1" x14ac:dyDescent="0.2">
      <c r="A69" s="1" t="s">
        <v>42</v>
      </c>
    </row>
    <row r="70" spans="1:1" x14ac:dyDescent="0.2">
      <c r="A70" s="1" t="s">
        <v>41</v>
      </c>
    </row>
    <row r="71" spans="1:1" x14ac:dyDescent="0.2">
      <c r="A71" s="1" t="s">
        <v>42</v>
      </c>
    </row>
    <row r="72" spans="1:1" x14ac:dyDescent="0.2">
      <c r="A72" s="1" t="s">
        <v>43</v>
      </c>
    </row>
    <row r="73" spans="1:1" x14ac:dyDescent="0.2">
      <c r="A73" s="1" t="s">
        <v>44</v>
      </c>
    </row>
    <row r="74" spans="1:1" x14ac:dyDescent="0.2">
      <c r="A74" s="1" t="s">
        <v>45</v>
      </c>
    </row>
    <row r="75" spans="1:1" x14ac:dyDescent="0.2">
      <c r="A75" s="1" t="s">
        <v>46</v>
      </c>
    </row>
    <row r="76" spans="1:1" x14ac:dyDescent="0.2">
      <c r="A76" s="1" t="s">
        <v>47</v>
      </c>
    </row>
    <row r="77" spans="1:1" x14ac:dyDescent="0.2">
      <c r="A77" s="1" t="s">
        <v>48</v>
      </c>
    </row>
    <row r="78" spans="1:1" x14ac:dyDescent="0.2">
      <c r="A78" s="1" t="s">
        <v>49</v>
      </c>
    </row>
    <row r="79" spans="1:1" x14ac:dyDescent="0.2">
      <c r="A79" s="1" t="s">
        <v>50</v>
      </c>
    </row>
    <row r="80" spans="1:1" x14ac:dyDescent="0.2">
      <c r="A80" s="1" t="s">
        <v>41</v>
      </c>
    </row>
    <row r="81" spans="1:1" x14ac:dyDescent="0.2">
      <c r="A81" s="1" t="s">
        <v>42</v>
      </c>
    </row>
    <row r="82" spans="1:1" x14ac:dyDescent="0.2">
      <c r="A82" s="1" t="s">
        <v>41</v>
      </c>
    </row>
    <row r="83" spans="1:1" x14ac:dyDescent="0.2">
      <c r="A83" s="1" t="s">
        <v>42</v>
      </c>
    </row>
    <row r="84" spans="1:1" x14ac:dyDescent="0.2">
      <c r="A84" s="1" t="s">
        <v>41</v>
      </c>
    </row>
    <row r="85" spans="1:1" x14ac:dyDescent="0.2">
      <c r="A85" s="1" t="s">
        <v>42</v>
      </c>
    </row>
    <row r="86" spans="1:1" x14ac:dyDescent="0.2">
      <c r="A86" s="1" t="s">
        <v>43</v>
      </c>
    </row>
    <row r="87" spans="1:1" x14ac:dyDescent="0.2">
      <c r="A87" s="1" t="s">
        <v>44</v>
      </c>
    </row>
    <row r="88" spans="1:1" x14ac:dyDescent="0.2">
      <c r="A88" s="1" t="s">
        <v>45</v>
      </c>
    </row>
    <row r="89" spans="1:1" x14ac:dyDescent="0.2">
      <c r="A89" s="1" t="s">
        <v>46</v>
      </c>
    </row>
    <row r="90" spans="1:1" x14ac:dyDescent="0.2">
      <c r="A90" s="1" t="s">
        <v>47</v>
      </c>
    </row>
    <row r="91" spans="1:1" x14ac:dyDescent="0.2">
      <c r="A91" s="1" t="s">
        <v>48</v>
      </c>
    </row>
    <row r="92" spans="1:1" x14ac:dyDescent="0.2">
      <c r="A92" s="1" t="s">
        <v>49</v>
      </c>
    </row>
    <row r="93" spans="1:1" x14ac:dyDescent="0.2">
      <c r="A93" s="1" t="s">
        <v>50</v>
      </c>
    </row>
    <row r="94" spans="1:1" x14ac:dyDescent="0.2">
      <c r="A94" s="1" t="s">
        <v>41</v>
      </c>
    </row>
    <row r="95" spans="1:1" x14ac:dyDescent="0.2">
      <c r="A95" s="1" t="s">
        <v>42</v>
      </c>
    </row>
    <row r="96" spans="1:1" x14ac:dyDescent="0.2">
      <c r="A96" s="1" t="s">
        <v>41</v>
      </c>
    </row>
    <row r="97" spans="1:1" x14ac:dyDescent="0.2">
      <c r="A97" s="1" t="s">
        <v>42</v>
      </c>
    </row>
    <row r="98" spans="1:1" x14ac:dyDescent="0.2">
      <c r="A98" s="1" t="s">
        <v>41</v>
      </c>
    </row>
    <row r="99" spans="1:1" x14ac:dyDescent="0.2">
      <c r="A99" s="1" t="s">
        <v>42</v>
      </c>
    </row>
    <row r="100" spans="1:1" x14ac:dyDescent="0.2">
      <c r="A100" s="1" t="s">
        <v>43</v>
      </c>
    </row>
    <row r="101" spans="1:1" x14ac:dyDescent="0.2">
      <c r="A101" s="1" t="s">
        <v>44</v>
      </c>
    </row>
    <row r="102" spans="1:1" x14ac:dyDescent="0.2">
      <c r="A102" s="1" t="s">
        <v>45</v>
      </c>
    </row>
    <row r="103" spans="1:1" x14ac:dyDescent="0.2">
      <c r="A103" s="1" t="s">
        <v>46</v>
      </c>
    </row>
    <row r="104" spans="1:1" x14ac:dyDescent="0.2">
      <c r="A104" s="1" t="s">
        <v>47</v>
      </c>
    </row>
    <row r="105" spans="1:1" x14ac:dyDescent="0.2">
      <c r="A105" s="1" t="s">
        <v>48</v>
      </c>
    </row>
    <row r="106" spans="1:1" x14ac:dyDescent="0.2">
      <c r="A106" s="1" t="s">
        <v>49</v>
      </c>
    </row>
    <row r="107" spans="1:1" x14ac:dyDescent="0.2">
      <c r="A107" s="1" t="s">
        <v>50</v>
      </c>
    </row>
    <row r="108" spans="1:1" x14ac:dyDescent="0.2">
      <c r="A108" s="1" t="s">
        <v>41</v>
      </c>
    </row>
    <row r="109" spans="1:1" x14ac:dyDescent="0.2">
      <c r="A109" s="1" t="s">
        <v>42</v>
      </c>
    </row>
    <row r="110" spans="1:1" x14ac:dyDescent="0.2">
      <c r="A110" s="1" t="s">
        <v>41</v>
      </c>
    </row>
    <row r="111" spans="1:1" x14ac:dyDescent="0.2">
      <c r="A111" s="1" t="s">
        <v>42</v>
      </c>
    </row>
    <row r="112" spans="1:1" x14ac:dyDescent="0.2">
      <c r="A112" s="1" t="s">
        <v>41</v>
      </c>
    </row>
    <row r="113" spans="1:1" x14ac:dyDescent="0.2">
      <c r="A113" s="1" t="s">
        <v>42</v>
      </c>
    </row>
    <row r="114" spans="1:1" x14ac:dyDescent="0.2">
      <c r="A114" s="1" t="s">
        <v>43</v>
      </c>
    </row>
    <row r="115" spans="1:1" x14ac:dyDescent="0.2">
      <c r="A115" s="1" t="s">
        <v>44</v>
      </c>
    </row>
    <row r="116" spans="1:1" x14ac:dyDescent="0.2">
      <c r="A116" s="1" t="s">
        <v>45</v>
      </c>
    </row>
    <row r="117" spans="1:1" x14ac:dyDescent="0.2">
      <c r="A117" s="1" t="s">
        <v>46</v>
      </c>
    </row>
    <row r="118" spans="1:1" x14ac:dyDescent="0.2">
      <c r="A118" s="1" t="s">
        <v>47</v>
      </c>
    </row>
    <row r="119" spans="1:1" x14ac:dyDescent="0.2">
      <c r="A119" s="1" t="s">
        <v>48</v>
      </c>
    </row>
    <row r="120" spans="1:1" x14ac:dyDescent="0.2">
      <c r="A120" s="1" t="s">
        <v>49</v>
      </c>
    </row>
    <row r="121" spans="1:1" x14ac:dyDescent="0.2">
      <c r="A121" s="1" t="s">
        <v>50</v>
      </c>
    </row>
    <row r="122" spans="1:1" x14ac:dyDescent="0.2">
      <c r="A122" s="1" t="s">
        <v>41</v>
      </c>
    </row>
    <row r="123" spans="1:1" x14ac:dyDescent="0.2">
      <c r="A123" s="1" t="s">
        <v>42</v>
      </c>
    </row>
    <row r="124" spans="1:1" x14ac:dyDescent="0.2">
      <c r="A124" s="1" t="s">
        <v>51</v>
      </c>
    </row>
    <row r="125" spans="1:1" x14ac:dyDescent="0.2">
      <c r="A125" s="1" t="s">
        <v>52</v>
      </c>
    </row>
    <row r="126" spans="1:1" x14ac:dyDescent="0.2">
      <c r="A126" s="1" t="s">
        <v>51</v>
      </c>
    </row>
    <row r="127" spans="1:1" x14ac:dyDescent="0.2">
      <c r="A127" s="1" t="s">
        <v>52</v>
      </c>
    </row>
    <row r="128" spans="1:1" x14ac:dyDescent="0.2">
      <c r="A128" s="1" t="s">
        <v>53</v>
      </c>
    </row>
    <row r="129" spans="1:1" x14ac:dyDescent="0.2">
      <c r="A129" s="1" t="s">
        <v>54</v>
      </c>
    </row>
    <row r="130" spans="1:1" x14ac:dyDescent="0.2">
      <c r="A130" s="1" t="s">
        <v>55</v>
      </c>
    </row>
    <row r="131" spans="1:1" x14ac:dyDescent="0.2">
      <c r="A131" s="1" t="s">
        <v>56</v>
      </c>
    </row>
    <row r="132" spans="1:1" x14ac:dyDescent="0.2">
      <c r="A132" s="1" t="s">
        <v>57</v>
      </c>
    </row>
    <row r="133" spans="1:1" x14ac:dyDescent="0.2">
      <c r="A133" s="1" t="s">
        <v>58</v>
      </c>
    </row>
    <row r="134" spans="1:1" x14ac:dyDescent="0.2">
      <c r="A134" s="1" t="s">
        <v>59</v>
      </c>
    </row>
    <row r="135" spans="1:1" x14ac:dyDescent="0.2">
      <c r="A135" s="1" t="s">
        <v>60</v>
      </c>
    </row>
    <row r="136" spans="1:1" x14ac:dyDescent="0.2">
      <c r="A136" s="1" t="s">
        <v>51</v>
      </c>
    </row>
    <row r="137" spans="1:1" x14ac:dyDescent="0.2">
      <c r="A137" s="1" t="s">
        <v>52</v>
      </c>
    </row>
    <row r="138" spans="1:1" x14ac:dyDescent="0.2">
      <c r="A138" s="1" t="s">
        <v>51</v>
      </c>
    </row>
    <row r="139" spans="1:1" x14ac:dyDescent="0.2">
      <c r="A139" s="1" t="s">
        <v>52</v>
      </c>
    </row>
    <row r="140" spans="1:1" x14ac:dyDescent="0.2">
      <c r="A140" s="1" t="s">
        <v>51</v>
      </c>
    </row>
    <row r="141" spans="1:1" x14ac:dyDescent="0.2">
      <c r="A141" s="1" t="s">
        <v>52</v>
      </c>
    </row>
    <row r="142" spans="1:1" x14ac:dyDescent="0.2">
      <c r="A142" s="1" t="s">
        <v>53</v>
      </c>
    </row>
    <row r="143" spans="1:1" x14ac:dyDescent="0.2">
      <c r="A143" s="1" t="s">
        <v>54</v>
      </c>
    </row>
    <row r="144" spans="1:1" x14ac:dyDescent="0.2">
      <c r="A144" s="1" t="s">
        <v>55</v>
      </c>
    </row>
    <row r="145" spans="1:1" x14ac:dyDescent="0.2">
      <c r="A145" s="1" t="s">
        <v>56</v>
      </c>
    </row>
    <row r="146" spans="1:1" x14ac:dyDescent="0.2">
      <c r="A146" s="1" t="s">
        <v>57</v>
      </c>
    </row>
    <row r="147" spans="1:1" x14ac:dyDescent="0.2">
      <c r="A147" s="1" t="s">
        <v>58</v>
      </c>
    </row>
    <row r="148" spans="1:1" x14ac:dyDescent="0.2">
      <c r="A148" s="1" t="s">
        <v>59</v>
      </c>
    </row>
    <row r="149" spans="1:1" x14ac:dyDescent="0.2">
      <c r="A149" s="1" t="s">
        <v>60</v>
      </c>
    </row>
    <row r="150" spans="1:1" x14ac:dyDescent="0.2">
      <c r="A150" s="1" t="s">
        <v>51</v>
      </c>
    </row>
    <row r="151" spans="1:1" x14ac:dyDescent="0.2">
      <c r="A151" s="1" t="s">
        <v>52</v>
      </c>
    </row>
    <row r="152" spans="1:1" x14ac:dyDescent="0.2">
      <c r="A152" s="1" t="s">
        <v>51</v>
      </c>
    </row>
    <row r="153" spans="1:1" x14ac:dyDescent="0.2">
      <c r="A153" s="1" t="s">
        <v>52</v>
      </c>
    </row>
    <row r="154" spans="1:1" x14ac:dyDescent="0.2">
      <c r="A154" s="1" t="s">
        <v>51</v>
      </c>
    </row>
    <row r="155" spans="1:1" x14ac:dyDescent="0.2">
      <c r="A155" s="1" t="s">
        <v>52</v>
      </c>
    </row>
    <row r="156" spans="1:1" x14ac:dyDescent="0.2">
      <c r="A156" s="1" t="s">
        <v>53</v>
      </c>
    </row>
    <row r="157" spans="1:1" x14ac:dyDescent="0.2">
      <c r="A157" s="1" t="s">
        <v>54</v>
      </c>
    </row>
    <row r="158" spans="1:1" x14ac:dyDescent="0.2">
      <c r="A158" s="1" t="s">
        <v>55</v>
      </c>
    </row>
    <row r="159" spans="1:1" x14ac:dyDescent="0.2">
      <c r="A159" s="1" t="s">
        <v>56</v>
      </c>
    </row>
    <row r="160" spans="1:1" x14ac:dyDescent="0.2">
      <c r="A160" s="1" t="s">
        <v>57</v>
      </c>
    </row>
    <row r="161" spans="1:1" x14ac:dyDescent="0.2">
      <c r="A161" s="1" t="s">
        <v>58</v>
      </c>
    </row>
    <row r="162" spans="1:1" x14ac:dyDescent="0.2">
      <c r="A162" s="1" t="s">
        <v>59</v>
      </c>
    </row>
    <row r="163" spans="1:1" x14ac:dyDescent="0.2">
      <c r="A163" s="1" t="s">
        <v>60</v>
      </c>
    </row>
    <row r="164" spans="1:1" x14ac:dyDescent="0.2">
      <c r="A164" s="1" t="s">
        <v>51</v>
      </c>
    </row>
    <row r="165" spans="1:1" x14ac:dyDescent="0.2">
      <c r="A165" s="1" t="s">
        <v>52</v>
      </c>
    </row>
    <row r="166" spans="1:1" x14ac:dyDescent="0.2">
      <c r="A166" s="1" t="s">
        <v>51</v>
      </c>
    </row>
    <row r="167" spans="1:1" x14ac:dyDescent="0.2">
      <c r="A167" s="1" t="s">
        <v>52</v>
      </c>
    </row>
    <row r="168" spans="1:1" x14ac:dyDescent="0.2">
      <c r="A168" s="1" t="s">
        <v>51</v>
      </c>
    </row>
    <row r="169" spans="1:1" x14ac:dyDescent="0.2">
      <c r="A169" s="1" t="s">
        <v>52</v>
      </c>
    </row>
    <row r="170" spans="1:1" x14ac:dyDescent="0.2">
      <c r="A170" s="1" t="s">
        <v>53</v>
      </c>
    </row>
    <row r="171" spans="1:1" x14ac:dyDescent="0.2">
      <c r="A171" s="1" t="s">
        <v>54</v>
      </c>
    </row>
    <row r="172" spans="1:1" x14ac:dyDescent="0.2">
      <c r="A172" s="1" t="s">
        <v>55</v>
      </c>
    </row>
    <row r="173" spans="1:1" x14ac:dyDescent="0.2">
      <c r="A173" s="1" t="s">
        <v>56</v>
      </c>
    </row>
    <row r="174" spans="1:1" x14ac:dyDescent="0.2">
      <c r="A174" s="1" t="s">
        <v>57</v>
      </c>
    </row>
    <row r="175" spans="1:1" x14ac:dyDescent="0.2">
      <c r="A175" s="1" t="s">
        <v>58</v>
      </c>
    </row>
    <row r="176" spans="1:1" x14ac:dyDescent="0.2">
      <c r="A176" s="1" t="s">
        <v>59</v>
      </c>
    </row>
    <row r="177" spans="1:1" x14ac:dyDescent="0.2">
      <c r="A177" s="1" t="s">
        <v>60</v>
      </c>
    </row>
    <row r="178" spans="1:1" x14ac:dyDescent="0.2">
      <c r="A178" s="1" t="s">
        <v>51</v>
      </c>
    </row>
    <row r="179" spans="1:1" x14ac:dyDescent="0.2">
      <c r="A179" s="1" t="s">
        <v>52</v>
      </c>
    </row>
    <row r="180" spans="1:1" x14ac:dyDescent="0.2">
      <c r="A180" s="1" t="s">
        <v>51</v>
      </c>
    </row>
    <row r="181" spans="1:1" x14ac:dyDescent="0.2">
      <c r="A181" s="1" t="s">
        <v>52</v>
      </c>
    </row>
    <row r="182" spans="1:1" x14ac:dyDescent="0.2">
      <c r="A182" s="1" t="s">
        <v>51</v>
      </c>
    </row>
    <row r="183" spans="1:1" x14ac:dyDescent="0.2">
      <c r="A183" s="1" t="s">
        <v>52</v>
      </c>
    </row>
    <row r="184" spans="1:1" x14ac:dyDescent="0.2">
      <c r="A184" s="1" t="s">
        <v>53</v>
      </c>
    </row>
    <row r="185" spans="1:1" x14ac:dyDescent="0.2">
      <c r="A185" s="1" t="s">
        <v>54</v>
      </c>
    </row>
    <row r="186" spans="1:1" x14ac:dyDescent="0.2">
      <c r="A186" s="1" t="s">
        <v>55</v>
      </c>
    </row>
    <row r="187" spans="1:1" x14ac:dyDescent="0.2">
      <c r="A187" s="1" t="s">
        <v>56</v>
      </c>
    </row>
    <row r="188" spans="1:1" x14ac:dyDescent="0.2">
      <c r="A188" s="1" t="s">
        <v>57</v>
      </c>
    </row>
    <row r="189" spans="1:1" x14ac:dyDescent="0.2">
      <c r="A189" s="1" t="s">
        <v>58</v>
      </c>
    </row>
    <row r="190" spans="1:1" x14ac:dyDescent="0.2">
      <c r="A190" s="1" t="s">
        <v>59</v>
      </c>
    </row>
    <row r="191" spans="1:1" x14ac:dyDescent="0.2">
      <c r="A191" s="1" t="s">
        <v>60</v>
      </c>
    </row>
    <row r="192" spans="1:1" x14ac:dyDescent="0.2">
      <c r="A192" s="1" t="s">
        <v>51</v>
      </c>
    </row>
    <row r="193" spans="1:1" x14ac:dyDescent="0.2">
      <c r="A193" s="1" t="s">
        <v>52</v>
      </c>
    </row>
    <row r="194" spans="1:1" x14ac:dyDescent="0.2">
      <c r="A194" s="1" t="s">
        <v>51</v>
      </c>
    </row>
    <row r="195" spans="1:1" x14ac:dyDescent="0.2">
      <c r="A195" s="1" t="s">
        <v>52</v>
      </c>
    </row>
    <row r="196" spans="1:1" x14ac:dyDescent="0.2">
      <c r="A196" s="1" t="s">
        <v>51</v>
      </c>
    </row>
    <row r="197" spans="1:1" x14ac:dyDescent="0.2">
      <c r="A197" s="1" t="s">
        <v>52</v>
      </c>
    </row>
    <row r="198" spans="1:1" x14ac:dyDescent="0.2">
      <c r="A198" s="1" t="s">
        <v>53</v>
      </c>
    </row>
    <row r="199" spans="1:1" x14ac:dyDescent="0.2">
      <c r="A199" s="1" t="s">
        <v>54</v>
      </c>
    </row>
    <row r="200" spans="1:1" x14ac:dyDescent="0.2">
      <c r="A200" s="1" t="s">
        <v>55</v>
      </c>
    </row>
    <row r="201" spans="1:1" x14ac:dyDescent="0.2">
      <c r="A201" s="1" t="s">
        <v>56</v>
      </c>
    </row>
    <row r="202" spans="1:1" x14ac:dyDescent="0.2">
      <c r="A202" s="1" t="s">
        <v>57</v>
      </c>
    </row>
    <row r="203" spans="1:1" x14ac:dyDescent="0.2">
      <c r="A203" s="1" t="s">
        <v>58</v>
      </c>
    </row>
    <row r="204" spans="1:1" x14ac:dyDescent="0.2">
      <c r="A204" s="1" t="s">
        <v>59</v>
      </c>
    </row>
    <row r="205" spans="1:1" x14ac:dyDescent="0.2">
      <c r="A205" s="1" t="s">
        <v>60</v>
      </c>
    </row>
    <row r="206" spans="1:1" x14ac:dyDescent="0.2">
      <c r="A206" s="1" t="s">
        <v>51</v>
      </c>
    </row>
    <row r="207" spans="1:1" x14ac:dyDescent="0.2">
      <c r="A207" s="1" t="s">
        <v>52</v>
      </c>
    </row>
    <row r="208" spans="1:1" x14ac:dyDescent="0.2">
      <c r="A208" s="1" t="s">
        <v>51</v>
      </c>
    </row>
    <row r="209" spans="1:1" x14ac:dyDescent="0.2">
      <c r="A209" s="1" t="s">
        <v>52</v>
      </c>
    </row>
    <row r="210" spans="1:1" x14ac:dyDescent="0.2">
      <c r="A210" s="1" t="s">
        <v>51</v>
      </c>
    </row>
    <row r="211" spans="1:1" x14ac:dyDescent="0.2">
      <c r="A211" s="1" t="s">
        <v>52</v>
      </c>
    </row>
    <row r="212" spans="1:1" x14ac:dyDescent="0.2">
      <c r="A212" s="1" t="s">
        <v>53</v>
      </c>
    </row>
    <row r="213" spans="1:1" x14ac:dyDescent="0.2">
      <c r="A213" s="1" t="s">
        <v>54</v>
      </c>
    </row>
    <row r="214" spans="1:1" x14ac:dyDescent="0.2">
      <c r="A214" s="1" t="s">
        <v>55</v>
      </c>
    </row>
    <row r="215" spans="1:1" x14ac:dyDescent="0.2">
      <c r="A215" s="1" t="s">
        <v>56</v>
      </c>
    </row>
    <row r="216" spans="1:1" x14ac:dyDescent="0.2">
      <c r="A216" s="1" t="s">
        <v>57</v>
      </c>
    </row>
    <row r="217" spans="1:1" x14ac:dyDescent="0.2">
      <c r="A217" s="1" t="s">
        <v>58</v>
      </c>
    </row>
    <row r="218" spans="1:1" x14ac:dyDescent="0.2">
      <c r="A218" s="1" t="s">
        <v>59</v>
      </c>
    </row>
    <row r="219" spans="1:1" x14ac:dyDescent="0.2">
      <c r="A219" s="1" t="s">
        <v>61</v>
      </c>
    </row>
    <row r="220" spans="1:1" x14ac:dyDescent="0.2">
      <c r="A220" s="1" t="s">
        <v>62</v>
      </c>
    </row>
    <row r="221" spans="1:1" x14ac:dyDescent="0.2">
      <c r="A221" s="1" t="s">
        <v>61</v>
      </c>
    </row>
    <row r="222" spans="1:1" x14ac:dyDescent="0.2">
      <c r="A222" s="1" t="s">
        <v>62</v>
      </c>
    </row>
    <row r="223" spans="1:1" x14ac:dyDescent="0.2">
      <c r="A223" s="1" t="s">
        <v>63</v>
      </c>
    </row>
    <row r="224" spans="1:1" x14ac:dyDescent="0.2">
      <c r="A224" s="1" t="s">
        <v>64</v>
      </c>
    </row>
    <row r="225" spans="1:1" x14ac:dyDescent="0.2">
      <c r="A225" s="1" t="s">
        <v>65</v>
      </c>
    </row>
    <row r="226" spans="1:1" x14ac:dyDescent="0.2">
      <c r="A226" s="1" t="s">
        <v>66</v>
      </c>
    </row>
    <row r="227" spans="1:1" x14ac:dyDescent="0.2">
      <c r="A227" s="1" t="s">
        <v>67</v>
      </c>
    </row>
    <row r="228" spans="1:1" x14ac:dyDescent="0.2">
      <c r="A228" s="1" t="s">
        <v>68</v>
      </c>
    </row>
    <row r="229" spans="1:1" x14ac:dyDescent="0.2">
      <c r="A229" s="1" t="s">
        <v>69</v>
      </c>
    </row>
    <row r="230" spans="1:1" x14ac:dyDescent="0.2">
      <c r="A230" s="1" t="s">
        <v>70</v>
      </c>
    </row>
    <row r="231" spans="1:1" x14ac:dyDescent="0.2">
      <c r="A231" s="1" t="s">
        <v>61</v>
      </c>
    </row>
    <row r="232" spans="1:1" x14ac:dyDescent="0.2">
      <c r="A232" s="1" t="s">
        <v>62</v>
      </c>
    </row>
    <row r="233" spans="1:1" x14ac:dyDescent="0.2">
      <c r="A233" s="1" t="s">
        <v>61</v>
      </c>
    </row>
    <row r="234" spans="1:1" x14ac:dyDescent="0.2">
      <c r="A234" s="1" t="s">
        <v>62</v>
      </c>
    </row>
    <row r="235" spans="1:1" x14ac:dyDescent="0.2">
      <c r="A235" s="1" t="s">
        <v>61</v>
      </c>
    </row>
    <row r="236" spans="1:1" x14ac:dyDescent="0.2">
      <c r="A236" s="1" t="s">
        <v>62</v>
      </c>
    </row>
    <row r="237" spans="1:1" x14ac:dyDescent="0.2">
      <c r="A237" s="1" t="s">
        <v>63</v>
      </c>
    </row>
    <row r="238" spans="1:1" x14ac:dyDescent="0.2">
      <c r="A238" s="1" t="s">
        <v>64</v>
      </c>
    </row>
    <row r="239" spans="1:1" x14ac:dyDescent="0.2">
      <c r="A239" s="1" t="s">
        <v>65</v>
      </c>
    </row>
    <row r="240" spans="1:1" x14ac:dyDescent="0.2">
      <c r="A240" s="1" t="s">
        <v>66</v>
      </c>
    </row>
    <row r="241" spans="1:1" x14ac:dyDescent="0.2">
      <c r="A241" s="1" t="s">
        <v>67</v>
      </c>
    </row>
    <row r="242" spans="1:1" x14ac:dyDescent="0.2">
      <c r="A242" s="1" t="s">
        <v>68</v>
      </c>
    </row>
    <row r="243" spans="1:1" x14ac:dyDescent="0.2">
      <c r="A243" s="1" t="s">
        <v>69</v>
      </c>
    </row>
    <row r="244" spans="1:1" x14ac:dyDescent="0.2">
      <c r="A244" s="1" t="s">
        <v>70</v>
      </c>
    </row>
    <row r="245" spans="1:1" x14ac:dyDescent="0.2">
      <c r="A245" s="1" t="s">
        <v>61</v>
      </c>
    </row>
    <row r="246" spans="1:1" x14ac:dyDescent="0.2">
      <c r="A246" s="1" t="s">
        <v>62</v>
      </c>
    </row>
    <row r="247" spans="1:1" x14ac:dyDescent="0.2">
      <c r="A247" s="1" t="s">
        <v>61</v>
      </c>
    </row>
    <row r="248" spans="1:1" x14ac:dyDescent="0.2">
      <c r="A248" s="1" t="s">
        <v>62</v>
      </c>
    </row>
    <row r="249" spans="1:1" x14ac:dyDescent="0.2">
      <c r="A249" s="1" t="s">
        <v>61</v>
      </c>
    </row>
    <row r="250" spans="1:1" x14ac:dyDescent="0.2">
      <c r="A250" s="1" t="s">
        <v>62</v>
      </c>
    </row>
    <row r="251" spans="1:1" x14ac:dyDescent="0.2">
      <c r="A251" s="1" t="s">
        <v>63</v>
      </c>
    </row>
    <row r="252" spans="1:1" x14ac:dyDescent="0.2">
      <c r="A252" s="1" t="s">
        <v>64</v>
      </c>
    </row>
    <row r="253" spans="1:1" x14ac:dyDescent="0.2">
      <c r="A253" s="1" t="s">
        <v>65</v>
      </c>
    </row>
    <row r="254" spans="1:1" x14ac:dyDescent="0.2">
      <c r="A254" s="1" t="s">
        <v>66</v>
      </c>
    </row>
    <row r="255" spans="1:1" x14ac:dyDescent="0.2">
      <c r="A255" s="1" t="s">
        <v>67</v>
      </c>
    </row>
    <row r="256" spans="1:1" x14ac:dyDescent="0.2">
      <c r="A256" s="1" t="s">
        <v>68</v>
      </c>
    </row>
    <row r="257" spans="1:1" x14ac:dyDescent="0.2">
      <c r="A257" s="1" t="s">
        <v>69</v>
      </c>
    </row>
    <row r="258" spans="1:1" x14ac:dyDescent="0.2">
      <c r="A258" s="1" t="s">
        <v>70</v>
      </c>
    </row>
    <row r="259" spans="1:1" x14ac:dyDescent="0.2">
      <c r="A259" s="1" t="s">
        <v>61</v>
      </c>
    </row>
    <row r="260" spans="1:1" x14ac:dyDescent="0.2">
      <c r="A260" s="1" t="s">
        <v>62</v>
      </c>
    </row>
    <row r="261" spans="1:1" x14ac:dyDescent="0.2">
      <c r="A261" s="1" t="s">
        <v>61</v>
      </c>
    </row>
    <row r="262" spans="1:1" x14ac:dyDescent="0.2">
      <c r="A262" s="1" t="s">
        <v>62</v>
      </c>
    </row>
    <row r="263" spans="1:1" x14ac:dyDescent="0.2">
      <c r="A263" s="1" t="s">
        <v>61</v>
      </c>
    </row>
    <row r="264" spans="1:1" x14ac:dyDescent="0.2">
      <c r="A264" s="1" t="s">
        <v>62</v>
      </c>
    </row>
    <row r="265" spans="1:1" x14ac:dyDescent="0.2">
      <c r="A265" s="1" t="s">
        <v>63</v>
      </c>
    </row>
    <row r="266" spans="1:1" x14ac:dyDescent="0.2">
      <c r="A266" s="1" t="s">
        <v>64</v>
      </c>
    </row>
    <row r="267" spans="1:1" x14ac:dyDescent="0.2">
      <c r="A267" s="1" t="s">
        <v>65</v>
      </c>
    </row>
    <row r="268" spans="1:1" x14ac:dyDescent="0.2">
      <c r="A268" s="1" t="s">
        <v>66</v>
      </c>
    </row>
    <row r="269" spans="1:1" x14ac:dyDescent="0.2">
      <c r="A269" s="1" t="s">
        <v>67</v>
      </c>
    </row>
    <row r="270" spans="1:1" x14ac:dyDescent="0.2">
      <c r="A270" s="1" t="s">
        <v>68</v>
      </c>
    </row>
    <row r="271" spans="1:1" x14ac:dyDescent="0.2">
      <c r="A271" s="1" t="s">
        <v>69</v>
      </c>
    </row>
    <row r="272" spans="1:1" x14ac:dyDescent="0.2">
      <c r="A272" s="1" t="s">
        <v>70</v>
      </c>
    </row>
    <row r="273" spans="1:1" x14ac:dyDescent="0.2">
      <c r="A273" s="1" t="s">
        <v>61</v>
      </c>
    </row>
    <row r="274" spans="1:1" x14ac:dyDescent="0.2">
      <c r="A274" s="1" t="s">
        <v>62</v>
      </c>
    </row>
    <row r="275" spans="1:1" x14ac:dyDescent="0.2">
      <c r="A275" s="1" t="s">
        <v>61</v>
      </c>
    </row>
    <row r="276" spans="1:1" x14ac:dyDescent="0.2">
      <c r="A276" s="1" t="s">
        <v>62</v>
      </c>
    </row>
    <row r="277" spans="1:1" x14ac:dyDescent="0.2">
      <c r="A277" s="1" t="s">
        <v>61</v>
      </c>
    </row>
    <row r="278" spans="1:1" x14ac:dyDescent="0.2">
      <c r="A278" s="1" t="s">
        <v>62</v>
      </c>
    </row>
    <row r="279" spans="1:1" x14ac:dyDescent="0.2">
      <c r="A279" s="1" t="s">
        <v>63</v>
      </c>
    </row>
    <row r="280" spans="1:1" x14ac:dyDescent="0.2">
      <c r="A280" s="1" t="s">
        <v>64</v>
      </c>
    </row>
    <row r="281" spans="1:1" x14ac:dyDescent="0.2">
      <c r="A281" s="1" t="s">
        <v>65</v>
      </c>
    </row>
    <row r="282" spans="1:1" x14ac:dyDescent="0.2">
      <c r="A282" s="1" t="s">
        <v>66</v>
      </c>
    </row>
    <row r="283" spans="1:1" x14ac:dyDescent="0.2">
      <c r="A283" s="1" t="s">
        <v>67</v>
      </c>
    </row>
    <row r="284" spans="1:1" x14ac:dyDescent="0.2">
      <c r="A284" s="1" t="s">
        <v>68</v>
      </c>
    </row>
    <row r="285" spans="1:1" x14ac:dyDescent="0.2">
      <c r="A285" s="1" t="s">
        <v>69</v>
      </c>
    </row>
    <row r="286" spans="1:1" x14ac:dyDescent="0.2">
      <c r="A286" s="1" t="s">
        <v>70</v>
      </c>
    </row>
    <row r="287" spans="1:1" x14ac:dyDescent="0.2">
      <c r="A287" s="1" t="s">
        <v>61</v>
      </c>
    </row>
    <row r="288" spans="1:1" x14ac:dyDescent="0.2">
      <c r="A288" s="1" t="s">
        <v>62</v>
      </c>
    </row>
    <row r="289" spans="1:1" x14ac:dyDescent="0.2">
      <c r="A289" s="1" t="s">
        <v>61</v>
      </c>
    </row>
    <row r="290" spans="1:1" x14ac:dyDescent="0.2">
      <c r="A290" s="1" t="s">
        <v>62</v>
      </c>
    </row>
    <row r="291" spans="1:1" x14ac:dyDescent="0.2">
      <c r="A291" s="1" t="s">
        <v>61</v>
      </c>
    </row>
    <row r="292" spans="1:1" x14ac:dyDescent="0.2">
      <c r="A292" s="1" t="s">
        <v>62</v>
      </c>
    </row>
    <row r="293" spans="1:1" x14ac:dyDescent="0.2">
      <c r="A293" s="1" t="s">
        <v>63</v>
      </c>
    </row>
    <row r="294" spans="1:1" x14ac:dyDescent="0.2">
      <c r="A294" s="1" t="s">
        <v>64</v>
      </c>
    </row>
    <row r="295" spans="1:1" x14ac:dyDescent="0.2">
      <c r="A295" s="1" t="s">
        <v>65</v>
      </c>
    </row>
    <row r="296" spans="1:1" x14ac:dyDescent="0.2">
      <c r="A296" s="1" t="s">
        <v>66</v>
      </c>
    </row>
    <row r="297" spans="1:1" x14ac:dyDescent="0.2">
      <c r="A297" s="1" t="s">
        <v>67</v>
      </c>
    </row>
    <row r="298" spans="1:1" x14ac:dyDescent="0.2">
      <c r="A298" s="1" t="s">
        <v>68</v>
      </c>
    </row>
    <row r="299" spans="1:1" x14ac:dyDescent="0.2">
      <c r="A299" s="1" t="s">
        <v>69</v>
      </c>
    </row>
    <row r="300" spans="1:1" x14ac:dyDescent="0.2">
      <c r="A300" s="1" t="s">
        <v>70</v>
      </c>
    </row>
    <row r="301" spans="1:1" x14ac:dyDescent="0.2">
      <c r="A301" s="1" t="s">
        <v>61</v>
      </c>
    </row>
    <row r="302" spans="1:1" x14ac:dyDescent="0.2">
      <c r="A302" s="1" t="s">
        <v>62</v>
      </c>
    </row>
    <row r="303" spans="1:1" x14ac:dyDescent="0.2">
      <c r="A303" s="1" t="s">
        <v>61</v>
      </c>
    </row>
    <row r="304" spans="1:1" x14ac:dyDescent="0.2">
      <c r="A304" s="1" t="s">
        <v>62</v>
      </c>
    </row>
    <row r="305" spans="1:1" x14ac:dyDescent="0.2">
      <c r="A305" s="1" t="s">
        <v>61</v>
      </c>
    </row>
    <row r="306" spans="1:1" x14ac:dyDescent="0.2">
      <c r="A306" s="1" t="s">
        <v>62</v>
      </c>
    </row>
    <row r="307" spans="1:1" x14ac:dyDescent="0.2">
      <c r="A307" s="1" t="s">
        <v>63</v>
      </c>
    </row>
    <row r="308" spans="1:1" x14ac:dyDescent="0.2">
      <c r="A308" s="1" t="s">
        <v>64</v>
      </c>
    </row>
    <row r="309" spans="1:1" x14ac:dyDescent="0.2">
      <c r="A309" s="1" t="s">
        <v>65</v>
      </c>
    </row>
    <row r="310" spans="1:1" x14ac:dyDescent="0.2">
      <c r="A310" s="1" t="s">
        <v>66</v>
      </c>
    </row>
    <row r="311" spans="1:1" x14ac:dyDescent="0.2">
      <c r="A311" s="1" t="s">
        <v>67</v>
      </c>
    </row>
    <row r="312" spans="1:1" x14ac:dyDescent="0.2">
      <c r="A312" s="1" t="s">
        <v>68</v>
      </c>
    </row>
    <row r="313" spans="1:1" x14ac:dyDescent="0.2">
      <c r="A313" s="1" t="s">
        <v>69</v>
      </c>
    </row>
    <row r="314" spans="1:1" x14ac:dyDescent="0.2">
      <c r="A314" s="1" t="s">
        <v>71</v>
      </c>
    </row>
    <row r="315" spans="1:1" x14ac:dyDescent="0.2">
      <c r="A315" s="1" t="s">
        <v>72</v>
      </c>
    </row>
    <row r="316" spans="1:1" x14ac:dyDescent="0.2">
      <c r="A316" s="1" t="s">
        <v>73</v>
      </c>
    </row>
    <row r="317" spans="1:1" x14ac:dyDescent="0.2">
      <c r="A317" s="1" t="s">
        <v>72</v>
      </c>
    </row>
    <row r="318" spans="1:1" x14ac:dyDescent="0.2">
      <c r="A318" s="1" t="s">
        <v>73</v>
      </c>
    </row>
    <row r="319" spans="1:1" x14ac:dyDescent="0.2">
      <c r="A319" s="1" t="s">
        <v>72</v>
      </c>
    </row>
    <row r="320" spans="1:1" x14ac:dyDescent="0.2">
      <c r="A320" s="1" t="s">
        <v>73</v>
      </c>
    </row>
    <row r="321" spans="1:1" x14ac:dyDescent="0.2">
      <c r="A321" s="1" t="s">
        <v>74</v>
      </c>
    </row>
    <row r="322" spans="1:1" x14ac:dyDescent="0.2">
      <c r="A322" s="1" t="s">
        <v>75</v>
      </c>
    </row>
    <row r="323" spans="1:1" x14ac:dyDescent="0.2">
      <c r="A323" s="1" t="s">
        <v>76</v>
      </c>
    </row>
    <row r="324" spans="1:1" x14ac:dyDescent="0.2">
      <c r="A324" s="1" t="s">
        <v>77</v>
      </c>
    </row>
    <row r="325" spans="1:1" x14ac:dyDescent="0.2">
      <c r="A325" s="1" t="s">
        <v>78</v>
      </c>
    </row>
    <row r="326" spans="1:1" x14ac:dyDescent="0.2">
      <c r="A326" s="1" t="s">
        <v>79</v>
      </c>
    </row>
    <row r="327" spans="1:1" x14ac:dyDescent="0.2">
      <c r="A327" s="1" t="s">
        <v>80</v>
      </c>
    </row>
    <row r="328" spans="1:1" x14ac:dyDescent="0.2">
      <c r="A328" s="1" t="s">
        <v>71</v>
      </c>
    </row>
    <row r="329" spans="1:1" x14ac:dyDescent="0.2">
      <c r="A329" s="1" t="s">
        <v>72</v>
      </c>
    </row>
    <row r="330" spans="1:1" x14ac:dyDescent="0.2">
      <c r="A330" s="1" t="s">
        <v>73</v>
      </c>
    </row>
    <row r="331" spans="1:1" x14ac:dyDescent="0.2">
      <c r="A331" s="1" t="s">
        <v>81</v>
      </c>
    </row>
    <row r="332" spans="1:1" x14ac:dyDescent="0.2">
      <c r="A332" s="1" t="s">
        <v>82</v>
      </c>
    </row>
    <row r="333" spans="1:1" x14ac:dyDescent="0.2">
      <c r="A333" s="1" t="s">
        <v>83</v>
      </c>
    </row>
    <row r="334" spans="1:1" x14ac:dyDescent="0.2">
      <c r="A334" s="1" t="s">
        <v>81</v>
      </c>
    </row>
    <row r="335" spans="1:1" x14ac:dyDescent="0.2">
      <c r="A335" s="1" t="s">
        <v>84</v>
      </c>
    </row>
    <row r="336" spans="1:1" x14ac:dyDescent="0.2">
      <c r="A336" s="1" t="s">
        <v>83</v>
      </c>
    </row>
    <row r="337" spans="1:1" x14ac:dyDescent="0.2">
      <c r="A337" s="1" t="s">
        <v>85</v>
      </c>
    </row>
    <row r="338" spans="1:1" x14ac:dyDescent="0.2">
      <c r="A338" s="1" t="s">
        <v>86</v>
      </c>
    </row>
    <row r="339" spans="1:1" x14ac:dyDescent="0.2">
      <c r="A339" s="1" t="s">
        <v>87</v>
      </c>
    </row>
    <row r="340" spans="1:1" x14ac:dyDescent="0.2">
      <c r="A340" s="1" t="s">
        <v>88</v>
      </c>
    </row>
    <row r="341" spans="1:1" x14ac:dyDescent="0.2">
      <c r="A341" s="1" t="s">
        <v>89</v>
      </c>
    </row>
    <row r="342" spans="1:1" x14ac:dyDescent="0.2">
      <c r="A342" s="1" t="s">
        <v>90</v>
      </c>
    </row>
    <row r="343" spans="1:1" x14ac:dyDescent="0.2">
      <c r="A343" s="1" t="s">
        <v>91</v>
      </c>
    </row>
    <row r="344" spans="1:1" x14ac:dyDescent="0.2">
      <c r="A344" s="1" t="s">
        <v>92</v>
      </c>
    </row>
    <row r="345" spans="1:1" x14ac:dyDescent="0.2">
      <c r="A345" s="1" t="s">
        <v>93</v>
      </c>
    </row>
    <row r="346" spans="1:1" x14ac:dyDescent="0.2">
      <c r="A346" s="1" t="s">
        <v>94</v>
      </c>
    </row>
    <row r="347" spans="1:1" x14ac:dyDescent="0.2">
      <c r="A347" s="1" t="s">
        <v>95</v>
      </c>
    </row>
    <row r="348" spans="1:1" x14ac:dyDescent="0.2">
      <c r="A348" s="1" t="s">
        <v>96</v>
      </c>
    </row>
    <row r="349" spans="1:1" x14ac:dyDescent="0.2">
      <c r="A349" s="1" t="s">
        <v>97</v>
      </c>
    </row>
    <row r="350" spans="1:1" x14ac:dyDescent="0.2">
      <c r="A350" s="1" t="s">
        <v>98</v>
      </c>
    </row>
    <row r="351" spans="1:1" x14ac:dyDescent="0.2">
      <c r="A351" s="1" t="s">
        <v>99</v>
      </c>
    </row>
    <row r="352" spans="1:1" x14ac:dyDescent="0.2">
      <c r="A352" s="1" t="s">
        <v>100</v>
      </c>
    </row>
    <row r="353" spans="1:1" x14ac:dyDescent="0.2">
      <c r="A353" s="1" t="s">
        <v>101</v>
      </c>
    </row>
    <row r="354" spans="1:1" x14ac:dyDescent="0.2">
      <c r="A354" s="1" t="s">
        <v>102</v>
      </c>
    </row>
    <row r="355" spans="1:1" x14ac:dyDescent="0.2">
      <c r="A355" s="1" t="s">
        <v>103</v>
      </c>
    </row>
    <row r="356" spans="1:1" x14ac:dyDescent="0.2">
      <c r="A356" s="1" t="s">
        <v>104</v>
      </c>
    </row>
    <row r="357" spans="1:1" x14ac:dyDescent="0.2">
      <c r="A357" s="1" t="s">
        <v>105</v>
      </c>
    </row>
    <row r="358" spans="1:1" x14ac:dyDescent="0.2">
      <c r="A358" s="1" t="s">
        <v>106</v>
      </c>
    </row>
    <row r="359" spans="1:1" x14ac:dyDescent="0.2">
      <c r="A359" s="1" t="s">
        <v>107</v>
      </c>
    </row>
    <row r="360" spans="1:1" x14ac:dyDescent="0.2">
      <c r="A360" s="1" t="s">
        <v>108</v>
      </c>
    </row>
    <row r="361" spans="1:1" x14ac:dyDescent="0.2">
      <c r="A361" s="1" t="s">
        <v>109</v>
      </c>
    </row>
    <row r="362" spans="1:1" x14ac:dyDescent="0.2">
      <c r="A362" s="1" t="s">
        <v>110</v>
      </c>
    </row>
    <row r="363" spans="1:1" x14ac:dyDescent="0.2">
      <c r="A363" s="1" t="s">
        <v>111</v>
      </c>
    </row>
    <row r="364" spans="1:1" x14ac:dyDescent="0.2">
      <c r="A364" s="1" t="s">
        <v>112</v>
      </c>
    </row>
    <row r="365" spans="1:1" x14ac:dyDescent="0.2">
      <c r="A365" s="1" t="s">
        <v>113</v>
      </c>
    </row>
    <row r="366" spans="1:1" x14ac:dyDescent="0.2">
      <c r="A366" s="1" t="s">
        <v>114</v>
      </c>
    </row>
    <row r="367" spans="1:1" x14ac:dyDescent="0.2">
      <c r="A367" s="1" t="s">
        <v>115</v>
      </c>
    </row>
    <row r="368" spans="1:1" x14ac:dyDescent="0.2">
      <c r="A368" s="1" t="s">
        <v>116</v>
      </c>
    </row>
    <row r="369" spans="1:1" x14ac:dyDescent="0.2">
      <c r="A369" s="1" t="s">
        <v>117</v>
      </c>
    </row>
    <row r="370" spans="1:1" x14ac:dyDescent="0.2">
      <c r="A370" s="1" t="s">
        <v>118</v>
      </c>
    </row>
    <row r="371" spans="1:1" x14ac:dyDescent="0.2">
      <c r="A371" s="1" t="s">
        <v>119</v>
      </c>
    </row>
    <row r="372" spans="1:1" x14ac:dyDescent="0.2">
      <c r="A372" s="1" t="s">
        <v>120</v>
      </c>
    </row>
    <row r="373" spans="1:1" x14ac:dyDescent="0.2">
      <c r="A373" s="1" t="s">
        <v>109</v>
      </c>
    </row>
    <row r="374" spans="1:1" x14ac:dyDescent="0.2">
      <c r="A374" s="1" t="s">
        <v>121</v>
      </c>
    </row>
    <row r="375" spans="1:1" x14ac:dyDescent="0.2">
      <c r="A375" s="1" t="s">
        <v>111</v>
      </c>
    </row>
    <row r="376" spans="1:1" x14ac:dyDescent="0.2">
      <c r="A376" s="1" t="s">
        <v>112</v>
      </c>
    </row>
    <row r="377" spans="1:1" x14ac:dyDescent="0.2">
      <c r="A377" s="1" t="s">
        <v>113</v>
      </c>
    </row>
    <row r="378" spans="1:1" x14ac:dyDescent="0.2">
      <c r="A378" s="1" t="s">
        <v>114</v>
      </c>
    </row>
    <row r="379" spans="1:1" x14ac:dyDescent="0.2">
      <c r="A379" s="1" t="s">
        <v>122</v>
      </c>
    </row>
    <row r="380" spans="1:1" x14ac:dyDescent="0.2">
      <c r="A380" s="1" t="s">
        <v>116</v>
      </c>
    </row>
    <row r="381" spans="1:1" x14ac:dyDescent="0.2">
      <c r="A381" s="1" t="s">
        <v>117</v>
      </c>
    </row>
    <row r="382" spans="1:1" x14ac:dyDescent="0.2">
      <c r="A382" s="1" t="s">
        <v>118</v>
      </c>
    </row>
    <row r="383" spans="1:1" x14ac:dyDescent="0.2">
      <c r="A383" s="1" t="s">
        <v>119</v>
      </c>
    </row>
    <row r="384" spans="1:1" x14ac:dyDescent="0.2">
      <c r="A384" s="1" t="s">
        <v>120</v>
      </c>
    </row>
    <row r="385" spans="1:1" x14ac:dyDescent="0.2">
      <c r="A385" s="1" t="s">
        <v>123</v>
      </c>
    </row>
    <row r="386" spans="1:1" x14ac:dyDescent="0.2">
      <c r="A386" s="1" t="s">
        <v>124</v>
      </c>
    </row>
    <row r="387" spans="1:1" x14ac:dyDescent="0.2">
      <c r="A387" s="1" t="s">
        <v>123</v>
      </c>
    </row>
    <row r="388" spans="1:1" x14ac:dyDescent="0.2">
      <c r="A388" s="1" t="s">
        <v>124</v>
      </c>
    </row>
    <row r="389" spans="1:1" x14ac:dyDescent="0.2">
      <c r="A389" s="1" t="s">
        <v>125</v>
      </c>
    </row>
    <row r="390" spans="1:1" x14ac:dyDescent="0.2">
      <c r="A390" s="1" t="s">
        <v>126</v>
      </c>
    </row>
    <row r="391" spans="1:1" x14ac:dyDescent="0.2">
      <c r="A391" s="1" t="s">
        <v>127</v>
      </c>
    </row>
    <row r="392" spans="1:1" x14ac:dyDescent="0.2">
      <c r="A392" s="1" t="s">
        <v>128</v>
      </c>
    </row>
    <row r="393" spans="1:1" x14ac:dyDescent="0.2">
      <c r="A393" s="1" t="s">
        <v>129</v>
      </c>
    </row>
    <row r="394" spans="1:1" x14ac:dyDescent="0.2">
      <c r="A394" s="1" t="s">
        <v>130</v>
      </c>
    </row>
    <row r="395" spans="1:1" x14ac:dyDescent="0.2">
      <c r="A395" s="1" t="s">
        <v>131</v>
      </c>
    </row>
    <row r="396" spans="1:1" x14ac:dyDescent="0.2">
      <c r="A396" s="1" t="s">
        <v>132</v>
      </c>
    </row>
    <row r="397" spans="1:1" x14ac:dyDescent="0.2">
      <c r="A397" s="1" t="s">
        <v>123</v>
      </c>
    </row>
    <row r="398" spans="1:1" x14ac:dyDescent="0.2">
      <c r="A398" s="1" t="s">
        <v>124</v>
      </c>
    </row>
    <row r="399" spans="1:1" x14ac:dyDescent="0.2">
      <c r="A399" s="1" t="s">
        <v>123</v>
      </c>
    </row>
    <row r="400" spans="1:1" x14ac:dyDescent="0.2">
      <c r="A400" s="1" t="s">
        <v>124</v>
      </c>
    </row>
    <row r="401" spans="1:1" x14ac:dyDescent="0.2">
      <c r="A401" s="1" t="s">
        <v>123</v>
      </c>
    </row>
    <row r="402" spans="1:1" x14ac:dyDescent="0.2">
      <c r="A402" s="1" t="s">
        <v>124</v>
      </c>
    </row>
    <row r="403" spans="1:1" x14ac:dyDescent="0.2">
      <c r="A403" s="1" t="s">
        <v>125</v>
      </c>
    </row>
    <row r="404" spans="1:1" x14ac:dyDescent="0.2">
      <c r="A404" s="1" t="s">
        <v>126</v>
      </c>
    </row>
    <row r="405" spans="1:1" x14ac:dyDescent="0.2">
      <c r="A405" s="1" t="s">
        <v>127</v>
      </c>
    </row>
    <row r="406" spans="1:1" x14ac:dyDescent="0.2">
      <c r="A406" s="1" t="s">
        <v>128</v>
      </c>
    </row>
    <row r="407" spans="1:1" x14ac:dyDescent="0.2">
      <c r="A407" s="1" t="s">
        <v>129</v>
      </c>
    </row>
    <row r="408" spans="1:1" x14ac:dyDescent="0.2">
      <c r="A408" s="1" t="s">
        <v>130</v>
      </c>
    </row>
    <row r="409" spans="1:1" x14ac:dyDescent="0.2">
      <c r="A409" s="1" t="s">
        <v>131</v>
      </c>
    </row>
    <row r="410" spans="1:1" x14ac:dyDescent="0.2">
      <c r="A410" s="1" t="s">
        <v>132</v>
      </c>
    </row>
    <row r="411" spans="1:1" x14ac:dyDescent="0.2">
      <c r="A411" s="1" t="s">
        <v>123</v>
      </c>
    </row>
    <row r="412" spans="1:1" x14ac:dyDescent="0.2">
      <c r="A412" s="1" t="s">
        <v>124</v>
      </c>
    </row>
    <row r="413" spans="1:1" x14ac:dyDescent="0.2">
      <c r="A413" s="1" t="s">
        <v>123</v>
      </c>
    </row>
    <row r="414" spans="1:1" x14ac:dyDescent="0.2">
      <c r="A414" s="1" t="s">
        <v>124</v>
      </c>
    </row>
    <row r="415" spans="1:1" x14ac:dyDescent="0.2">
      <c r="A415" s="1" t="s">
        <v>123</v>
      </c>
    </row>
    <row r="416" spans="1:1" x14ac:dyDescent="0.2">
      <c r="A416" s="1" t="s">
        <v>124</v>
      </c>
    </row>
    <row r="417" spans="1:1" x14ac:dyDescent="0.2">
      <c r="A417" s="1" t="s">
        <v>125</v>
      </c>
    </row>
    <row r="418" spans="1:1" x14ac:dyDescent="0.2">
      <c r="A418" s="1" t="s">
        <v>126</v>
      </c>
    </row>
    <row r="419" spans="1:1" x14ac:dyDescent="0.2">
      <c r="A419" s="1" t="s">
        <v>127</v>
      </c>
    </row>
    <row r="420" spans="1:1" x14ac:dyDescent="0.2">
      <c r="A420" s="1" t="s">
        <v>128</v>
      </c>
    </row>
    <row r="421" spans="1:1" x14ac:dyDescent="0.2">
      <c r="A421" s="1" t="s">
        <v>129</v>
      </c>
    </row>
    <row r="422" spans="1:1" x14ac:dyDescent="0.2">
      <c r="A422" s="1" t="s">
        <v>130</v>
      </c>
    </row>
    <row r="423" spans="1:1" x14ac:dyDescent="0.2">
      <c r="A423" s="1" t="s">
        <v>131</v>
      </c>
    </row>
    <row r="424" spans="1:1" x14ac:dyDescent="0.2">
      <c r="A424" s="1" t="s">
        <v>132</v>
      </c>
    </row>
    <row r="425" spans="1:1" x14ac:dyDescent="0.2">
      <c r="A425" s="1" t="s">
        <v>123</v>
      </c>
    </row>
    <row r="426" spans="1:1" x14ac:dyDescent="0.2">
      <c r="A426" s="1" t="s">
        <v>124</v>
      </c>
    </row>
    <row r="427" spans="1:1" x14ac:dyDescent="0.2">
      <c r="A427" s="1" t="s">
        <v>123</v>
      </c>
    </row>
    <row r="428" spans="1:1" x14ac:dyDescent="0.2">
      <c r="A428" s="1" t="s">
        <v>124</v>
      </c>
    </row>
    <row r="429" spans="1:1" x14ac:dyDescent="0.2">
      <c r="A429" s="1" t="s">
        <v>123</v>
      </c>
    </row>
    <row r="430" spans="1:1" x14ac:dyDescent="0.2">
      <c r="A430" s="1" t="s">
        <v>124</v>
      </c>
    </row>
    <row r="431" spans="1:1" x14ac:dyDescent="0.2">
      <c r="A431" s="1" t="s">
        <v>125</v>
      </c>
    </row>
    <row r="432" spans="1:1" x14ac:dyDescent="0.2">
      <c r="A432" s="1" t="s">
        <v>126</v>
      </c>
    </row>
    <row r="433" spans="1:1" x14ac:dyDescent="0.2">
      <c r="A433" s="1" t="s">
        <v>127</v>
      </c>
    </row>
    <row r="434" spans="1:1" x14ac:dyDescent="0.2">
      <c r="A434" s="1" t="s">
        <v>128</v>
      </c>
    </row>
    <row r="435" spans="1:1" x14ac:dyDescent="0.2">
      <c r="A435" s="1" t="s">
        <v>129</v>
      </c>
    </row>
    <row r="436" spans="1:1" x14ac:dyDescent="0.2">
      <c r="A436" s="1" t="s">
        <v>130</v>
      </c>
    </row>
    <row r="437" spans="1:1" x14ac:dyDescent="0.2">
      <c r="A437" s="1" t="s">
        <v>131</v>
      </c>
    </row>
    <row r="438" spans="1:1" x14ac:dyDescent="0.2">
      <c r="A438" s="1" t="s">
        <v>132</v>
      </c>
    </row>
    <row r="439" spans="1:1" x14ac:dyDescent="0.2">
      <c r="A439" s="1" t="s">
        <v>123</v>
      </c>
    </row>
    <row r="440" spans="1:1" x14ac:dyDescent="0.2">
      <c r="A440" s="1" t="s">
        <v>124</v>
      </c>
    </row>
    <row r="441" spans="1:1" x14ac:dyDescent="0.2">
      <c r="A441" s="1" t="s">
        <v>123</v>
      </c>
    </row>
    <row r="442" spans="1:1" x14ac:dyDescent="0.2">
      <c r="A442" s="1" t="s">
        <v>124</v>
      </c>
    </row>
    <row r="443" spans="1:1" x14ac:dyDescent="0.2">
      <c r="A443" s="1" t="s">
        <v>123</v>
      </c>
    </row>
    <row r="444" spans="1:1" x14ac:dyDescent="0.2">
      <c r="A444" s="1" t="s">
        <v>124</v>
      </c>
    </row>
    <row r="445" spans="1:1" x14ac:dyDescent="0.2">
      <c r="A445" s="1" t="s">
        <v>125</v>
      </c>
    </row>
    <row r="446" spans="1:1" x14ac:dyDescent="0.2">
      <c r="A446" s="1" t="s">
        <v>126</v>
      </c>
    </row>
    <row r="447" spans="1:1" x14ac:dyDescent="0.2">
      <c r="A447" s="1" t="s">
        <v>127</v>
      </c>
    </row>
    <row r="448" spans="1:1" x14ac:dyDescent="0.2">
      <c r="A448" s="1" t="s">
        <v>128</v>
      </c>
    </row>
    <row r="449" spans="1:1" x14ac:dyDescent="0.2">
      <c r="A449" s="1" t="s">
        <v>129</v>
      </c>
    </row>
    <row r="450" spans="1:1" x14ac:dyDescent="0.2">
      <c r="A450" s="1" t="s">
        <v>130</v>
      </c>
    </row>
    <row r="451" spans="1:1" x14ac:dyDescent="0.2">
      <c r="A451" s="1" t="s">
        <v>131</v>
      </c>
    </row>
    <row r="452" spans="1:1" x14ac:dyDescent="0.2">
      <c r="A452" s="1" t="s">
        <v>132</v>
      </c>
    </row>
    <row r="453" spans="1:1" x14ac:dyDescent="0.2">
      <c r="A453" s="1" t="s">
        <v>123</v>
      </c>
    </row>
    <row r="454" spans="1:1" x14ac:dyDescent="0.2">
      <c r="A454" s="1" t="s">
        <v>124</v>
      </c>
    </row>
    <row r="455" spans="1:1" x14ac:dyDescent="0.2">
      <c r="A455" s="1" t="s">
        <v>123</v>
      </c>
    </row>
    <row r="456" spans="1:1" x14ac:dyDescent="0.2">
      <c r="A456" s="1" t="s">
        <v>124</v>
      </c>
    </row>
    <row r="457" spans="1:1" x14ac:dyDescent="0.2">
      <c r="A457" s="1" t="s">
        <v>123</v>
      </c>
    </row>
    <row r="458" spans="1:1" x14ac:dyDescent="0.2">
      <c r="A458" s="1" t="s">
        <v>124</v>
      </c>
    </row>
    <row r="459" spans="1:1" x14ac:dyDescent="0.2">
      <c r="A459" s="1" t="s">
        <v>125</v>
      </c>
    </row>
    <row r="460" spans="1:1" x14ac:dyDescent="0.2">
      <c r="A460" s="1" t="s">
        <v>126</v>
      </c>
    </row>
    <row r="461" spans="1:1" x14ac:dyDescent="0.2">
      <c r="A461" s="1" t="s">
        <v>127</v>
      </c>
    </row>
    <row r="462" spans="1:1" x14ac:dyDescent="0.2">
      <c r="A462" s="1" t="s">
        <v>128</v>
      </c>
    </row>
    <row r="463" spans="1:1" x14ac:dyDescent="0.2">
      <c r="A463" s="1" t="s">
        <v>129</v>
      </c>
    </row>
    <row r="464" spans="1:1" x14ac:dyDescent="0.2">
      <c r="A464" s="1" t="s">
        <v>130</v>
      </c>
    </row>
    <row r="465" spans="1:1" x14ac:dyDescent="0.2">
      <c r="A465" s="1" t="s">
        <v>131</v>
      </c>
    </row>
    <row r="466" spans="1:1" x14ac:dyDescent="0.2">
      <c r="A466" s="1" t="s">
        <v>132</v>
      </c>
    </row>
    <row r="467" spans="1:1" x14ac:dyDescent="0.2">
      <c r="A467" s="1" t="s">
        <v>123</v>
      </c>
    </row>
    <row r="468" spans="1:1" x14ac:dyDescent="0.2">
      <c r="A468" s="1" t="s">
        <v>124</v>
      </c>
    </row>
    <row r="469" spans="1:1" x14ac:dyDescent="0.2">
      <c r="A469" s="1" t="s">
        <v>123</v>
      </c>
    </row>
    <row r="470" spans="1:1" x14ac:dyDescent="0.2">
      <c r="A470" s="1" t="s">
        <v>124</v>
      </c>
    </row>
    <row r="471" spans="1:1" x14ac:dyDescent="0.2">
      <c r="A471" s="1" t="s">
        <v>123</v>
      </c>
    </row>
    <row r="472" spans="1:1" x14ac:dyDescent="0.2">
      <c r="A472" s="1" t="s">
        <v>124</v>
      </c>
    </row>
    <row r="473" spans="1:1" x14ac:dyDescent="0.2">
      <c r="A473" s="1" t="s">
        <v>125</v>
      </c>
    </row>
    <row r="474" spans="1:1" x14ac:dyDescent="0.2">
      <c r="A474" s="1" t="s">
        <v>126</v>
      </c>
    </row>
    <row r="475" spans="1:1" x14ac:dyDescent="0.2">
      <c r="A475" s="1" t="s">
        <v>127</v>
      </c>
    </row>
    <row r="476" spans="1:1" x14ac:dyDescent="0.2">
      <c r="A476" s="1" t="s">
        <v>128</v>
      </c>
    </row>
    <row r="477" spans="1:1" x14ac:dyDescent="0.2">
      <c r="A477" s="1" t="s">
        <v>129</v>
      </c>
    </row>
    <row r="478" spans="1:1" x14ac:dyDescent="0.2">
      <c r="A478" s="1" t="s">
        <v>130</v>
      </c>
    </row>
    <row r="479" spans="1:1" x14ac:dyDescent="0.2">
      <c r="A479" s="1" t="s">
        <v>131</v>
      </c>
    </row>
    <row r="480" spans="1:1" x14ac:dyDescent="0.2">
      <c r="A480" s="1" t="s">
        <v>132</v>
      </c>
    </row>
    <row r="481" spans="1:1" x14ac:dyDescent="0.2">
      <c r="A481" s="1" t="s">
        <v>123</v>
      </c>
    </row>
    <row r="482" spans="1:1" x14ac:dyDescent="0.2">
      <c r="A482" s="1" t="s">
        <v>124</v>
      </c>
    </row>
    <row r="483" spans="1:1" x14ac:dyDescent="0.2">
      <c r="A483" s="1" t="s">
        <v>123</v>
      </c>
    </row>
    <row r="484" spans="1:1" x14ac:dyDescent="0.2">
      <c r="A484" s="1" t="s">
        <v>124</v>
      </c>
    </row>
    <row r="485" spans="1:1" x14ac:dyDescent="0.2">
      <c r="A485" s="1" t="s">
        <v>123</v>
      </c>
    </row>
    <row r="486" spans="1:1" x14ac:dyDescent="0.2">
      <c r="A486" s="1" t="s">
        <v>124</v>
      </c>
    </row>
    <row r="487" spans="1:1" x14ac:dyDescent="0.2">
      <c r="A487" s="1" t="s">
        <v>125</v>
      </c>
    </row>
    <row r="488" spans="1:1" x14ac:dyDescent="0.2">
      <c r="A488" s="1" t="s">
        <v>126</v>
      </c>
    </row>
    <row r="489" spans="1:1" x14ac:dyDescent="0.2">
      <c r="A489" s="1" t="s">
        <v>127</v>
      </c>
    </row>
    <row r="490" spans="1:1" x14ac:dyDescent="0.2">
      <c r="A490" s="1" t="s">
        <v>128</v>
      </c>
    </row>
    <row r="491" spans="1:1" x14ac:dyDescent="0.2">
      <c r="A491" s="1" t="s">
        <v>129</v>
      </c>
    </row>
    <row r="492" spans="1:1" x14ac:dyDescent="0.2">
      <c r="A492" s="1" t="s">
        <v>130</v>
      </c>
    </row>
    <row r="493" spans="1:1" x14ac:dyDescent="0.2">
      <c r="A493" s="1" t="s">
        <v>131</v>
      </c>
    </row>
    <row r="494" spans="1:1" x14ac:dyDescent="0.2">
      <c r="A494" s="1" t="s">
        <v>132</v>
      </c>
    </row>
    <row r="495" spans="1:1" x14ac:dyDescent="0.2">
      <c r="A495" s="1" t="s">
        <v>133</v>
      </c>
    </row>
    <row r="496" spans="1:1" x14ac:dyDescent="0.2">
      <c r="A496" s="1" t="s">
        <v>134</v>
      </c>
    </row>
    <row r="497" spans="1:1" x14ac:dyDescent="0.2">
      <c r="A497" s="1" t="s">
        <v>135</v>
      </c>
    </row>
    <row r="498" spans="1:1" x14ac:dyDescent="0.2">
      <c r="A498" s="1" t="s">
        <v>136</v>
      </c>
    </row>
    <row r="499" spans="1:1" x14ac:dyDescent="0.2">
      <c r="A499" s="1" t="s">
        <v>137</v>
      </c>
    </row>
    <row r="500" spans="1:1" x14ac:dyDescent="0.2">
      <c r="A500" s="1" t="s">
        <v>138</v>
      </c>
    </row>
    <row r="501" spans="1:1" x14ac:dyDescent="0.2">
      <c r="A501" s="1" t="s">
        <v>139</v>
      </c>
    </row>
    <row r="502" spans="1:1" x14ac:dyDescent="0.2">
      <c r="A502" s="1" t="s">
        <v>140</v>
      </c>
    </row>
    <row r="503" spans="1:1" x14ac:dyDescent="0.2">
      <c r="A503" s="1" t="s">
        <v>141</v>
      </c>
    </row>
    <row r="504" spans="1:1" x14ac:dyDescent="0.2">
      <c r="A504" s="1" t="s">
        <v>142</v>
      </c>
    </row>
    <row r="505" spans="1:1" x14ac:dyDescent="0.2">
      <c r="A505" s="1" t="s">
        <v>143</v>
      </c>
    </row>
    <row r="506" spans="1:1" x14ac:dyDescent="0.2">
      <c r="A506" s="1" t="s">
        <v>144</v>
      </c>
    </row>
    <row r="507" spans="1:1" x14ac:dyDescent="0.2">
      <c r="A507" s="1" t="s">
        <v>145</v>
      </c>
    </row>
    <row r="508" spans="1:1" x14ac:dyDescent="0.2">
      <c r="A508" s="1" t="s">
        <v>146</v>
      </c>
    </row>
    <row r="509" spans="1:1" x14ac:dyDescent="0.2">
      <c r="A509" s="1" t="s">
        <v>135</v>
      </c>
    </row>
    <row r="510" spans="1:1" x14ac:dyDescent="0.2">
      <c r="A510" s="1" t="s">
        <v>147</v>
      </c>
    </row>
    <row r="511" spans="1:1" x14ac:dyDescent="0.2">
      <c r="A511" s="1" t="s">
        <v>137</v>
      </c>
    </row>
    <row r="512" spans="1:1" x14ac:dyDescent="0.2">
      <c r="A512" s="1" t="s">
        <v>138</v>
      </c>
    </row>
    <row r="513" spans="1:1" x14ac:dyDescent="0.2">
      <c r="A513" s="1" t="s">
        <v>139</v>
      </c>
    </row>
    <row r="514" spans="1:1" x14ac:dyDescent="0.2">
      <c r="A514" s="1" t="s">
        <v>140</v>
      </c>
    </row>
    <row r="515" spans="1:1" x14ac:dyDescent="0.2">
      <c r="A515" s="1" t="s">
        <v>148</v>
      </c>
    </row>
    <row r="516" spans="1:1" x14ac:dyDescent="0.2">
      <c r="A516" s="1" t="s">
        <v>142</v>
      </c>
    </row>
    <row r="517" spans="1:1" x14ac:dyDescent="0.2">
      <c r="A517" s="1" t="s">
        <v>143</v>
      </c>
    </row>
    <row r="518" spans="1:1" x14ac:dyDescent="0.2">
      <c r="A518" s="1" t="s">
        <v>144</v>
      </c>
    </row>
    <row r="519" spans="1:1" x14ac:dyDescent="0.2">
      <c r="A519" s="1" t="s">
        <v>145</v>
      </c>
    </row>
    <row r="520" spans="1:1" x14ac:dyDescent="0.2">
      <c r="A520" s="1" t="s">
        <v>146</v>
      </c>
    </row>
    <row r="521" spans="1:1" x14ac:dyDescent="0.2">
      <c r="A521" s="1" t="s">
        <v>149</v>
      </c>
    </row>
    <row r="522" spans="1:1" x14ac:dyDescent="0.2">
      <c r="A522" s="1" t="s">
        <v>150</v>
      </c>
    </row>
    <row r="523" spans="1:1" x14ac:dyDescent="0.2">
      <c r="A523" s="1" t="s">
        <v>149</v>
      </c>
    </row>
    <row r="524" spans="1:1" x14ac:dyDescent="0.2">
      <c r="A524" s="1" t="s">
        <v>150</v>
      </c>
    </row>
    <row r="525" spans="1:1" x14ac:dyDescent="0.2">
      <c r="A525" s="1" t="s">
        <v>151</v>
      </c>
    </row>
    <row r="526" spans="1:1" x14ac:dyDescent="0.2">
      <c r="A526" s="1" t="s">
        <v>152</v>
      </c>
    </row>
    <row r="527" spans="1:1" x14ac:dyDescent="0.2">
      <c r="A527" s="1" t="s">
        <v>153</v>
      </c>
    </row>
    <row r="528" spans="1:1" x14ac:dyDescent="0.2">
      <c r="A528" s="1" t="s">
        <v>154</v>
      </c>
    </row>
    <row r="529" spans="1:1" x14ac:dyDescent="0.2">
      <c r="A529" s="1" t="s">
        <v>155</v>
      </c>
    </row>
    <row r="530" spans="1:1" x14ac:dyDescent="0.2">
      <c r="A530" s="1" t="s">
        <v>156</v>
      </c>
    </row>
    <row r="531" spans="1:1" x14ac:dyDescent="0.2">
      <c r="A531" s="1" t="s">
        <v>157</v>
      </c>
    </row>
    <row r="532" spans="1:1" x14ac:dyDescent="0.2">
      <c r="A532" s="1" t="s">
        <v>158</v>
      </c>
    </row>
    <row r="533" spans="1:1" x14ac:dyDescent="0.2">
      <c r="A533" s="1" t="s">
        <v>149</v>
      </c>
    </row>
    <row r="534" spans="1:1" x14ac:dyDescent="0.2">
      <c r="A534" s="1" t="s">
        <v>150</v>
      </c>
    </row>
    <row r="535" spans="1:1" x14ac:dyDescent="0.2">
      <c r="A535" s="1" t="s">
        <v>149</v>
      </c>
    </row>
    <row r="536" spans="1:1" x14ac:dyDescent="0.2">
      <c r="A536" s="1" t="s">
        <v>150</v>
      </c>
    </row>
    <row r="537" spans="1:1" x14ac:dyDescent="0.2">
      <c r="A537" s="1" t="s">
        <v>149</v>
      </c>
    </row>
    <row r="538" spans="1:1" x14ac:dyDescent="0.2">
      <c r="A538" s="1" t="s">
        <v>150</v>
      </c>
    </row>
    <row r="539" spans="1:1" x14ac:dyDescent="0.2">
      <c r="A539" s="1" t="s">
        <v>151</v>
      </c>
    </row>
    <row r="540" spans="1:1" x14ac:dyDescent="0.2">
      <c r="A540" s="1" t="s">
        <v>152</v>
      </c>
    </row>
    <row r="541" spans="1:1" x14ac:dyDescent="0.2">
      <c r="A541" s="1" t="s">
        <v>153</v>
      </c>
    </row>
    <row r="542" spans="1:1" x14ac:dyDescent="0.2">
      <c r="A542" s="1" t="s">
        <v>154</v>
      </c>
    </row>
    <row r="543" spans="1:1" x14ac:dyDescent="0.2">
      <c r="A543" s="1" t="s">
        <v>155</v>
      </c>
    </row>
    <row r="544" spans="1:1" x14ac:dyDescent="0.2">
      <c r="A544" s="1" t="s">
        <v>156</v>
      </c>
    </row>
    <row r="545" spans="1:1" x14ac:dyDescent="0.2">
      <c r="A545" s="1" t="s">
        <v>157</v>
      </c>
    </row>
    <row r="546" spans="1:1" x14ac:dyDescent="0.2">
      <c r="A546" s="1" t="s">
        <v>158</v>
      </c>
    </row>
    <row r="547" spans="1:1" x14ac:dyDescent="0.2">
      <c r="A547" s="1" t="s">
        <v>149</v>
      </c>
    </row>
    <row r="548" spans="1:1" x14ac:dyDescent="0.2">
      <c r="A548" s="1" t="s">
        <v>150</v>
      </c>
    </row>
    <row r="549" spans="1:1" x14ac:dyDescent="0.2">
      <c r="A549" s="1" t="s">
        <v>149</v>
      </c>
    </row>
    <row r="550" spans="1:1" x14ac:dyDescent="0.2">
      <c r="A550" s="1" t="s">
        <v>150</v>
      </c>
    </row>
    <row r="551" spans="1:1" x14ac:dyDescent="0.2">
      <c r="A551" s="1" t="s">
        <v>149</v>
      </c>
    </row>
    <row r="552" spans="1:1" x14ac:dyDescent="0.2">
      <c r="A552" s="1" t="s">
        <v>150</v>
      </c>
    </row>
    <row r="553" spans="1:1" x14ac:dyDescent="0.2">
      <c r="A553" s="1" t="s">
        <v>151</v>
      </c>
    </row>
    <row r="554" spans="1:1" x14ac:dyDescent="0.2">
      <c r="A554" s="1" t="s">
        <v>152</v>
      </c>
    </row>
    <row r="555" spans="1:1" x14ac:dyDescent="0.2">
      <c r="A555" s="1" t="s">
        <v>153</v>
      </c>
    </row>
    <row r="556" spans="1:1" x14ac:dyDescent="0.2">
      <c r="A556" s="1" t="s">
        <v>154</v>
      </c>
    </row>
    <row r="557" spans="1:1" x14ac:dyDescent="0.2">
      <c r="A557" s="1" t="s">
        <v>155</v>
      </c>
    </row>
    <row r="558" spans="1:1" x14ac:dyDescent="0.2">
      <c r="A558" s="1" t="s">
        <v>156</v>
      </c>
    </row>
    <row r="559" spans="1:1" x14ac:dyDescent="0.2">
      <c r="A559" s="1" t="s">
        <v>157</v>
      </c>
    </row>
    <row r="560" spans="1:1" x14ac:dyDescent="0.2">
      <c r="A560" s="1" t="s">
        <v>158</v>
      </c>
    </row>
    <row r="561" spans="1:1" x14ac:dyDescent="0.2">
      <c r="A561" s="1" t="s">
        <v>149</v>
      </c>
    </row>
    <row r="562" spans="1:1" x14ac:dyDescent="0.2">
      <c r="A562" s="1" t="s">
        <v>150</v>
      </c>
    </row>
    <row r="563" spans="1:1" x14ac:dyDescent="0.2">
      <c r="A563" s="1" t="s">
        <v>149</v>
      </c>
    </row>
    <row r="564" spans="1:1" x14ac:dyDescent="0.2">
      <c r="A564" s="1" t="s">
        <v>150</v>
      </c>
    </row>
    <row r="565" spans="1:1" x14ac:dyDescent="0.2">
      <c r="A565" s="1" t="s">
        <v>149</v>
      </c>
    </row>
    <row r="566" spans="1:1" x14ac:dyDescent="0.2">
      <c r="A566" s="1" t="s">
        <v>150</v>
      </c>
    </row>
    <row r="567" spans="1:1" x14ac:dyDescent="0.2">
      <c r="A567" s="1" t="s">
        <v>151</v>
      </c>
    </row>
    <row r="568" spans="1:1" x14ac:dyDescent="0.2">
      <c r="A568" s="1" t="s">
        <v>152</v>
      </c>
    </row>
    <row r="569" spans="1:1" x14ac:dyDescent="0.2">
      <c r="A569" s="1" t="s">
        <v>153</v>
      </c>
    </row>
    <row r="570" spans="1:1" x14ac:dyDescent="0.2">
      <c r="A570" s="1" t="s">
        <v>154</v>
      </c>
    </row>
    <row r="571" spans="1:1" x14ac:dyDescent="0.2">
      <c r="A571" s="1" t="s">
        <v>155</v>
      </c>
    </row>
    <row r="572" spans="1:1" x14ac:dyDescent="0.2">
      <c r="A572" s="1" t="s">
        <v>156</v>
      </c>
    </row>
    <row r="573" spans="1:1" x14ac:dyDescent="0.2">
      <c r="A573" s="1" t="s">
        <v>157</v>
      </c>
    </row>
    <row r="574" spans="1:1" x14ac:dyDescent="0.2">
      <c r="A574" s="1" t="s">
        <v>158</v>
      </c>
    </row>
    <row r="575" spans="1:1" x14ac:dyDescent="0.2">
      <c r="A575" s="1" t="s">
        <v>149</v>
      </c>
    </row>
    <row r="576" spans="1:1" x14ac:dyDescent="0.2">
      <c r="A576" s="1" t="s">
        <v>150</v>
      </c>
    </row>
    <row r="577" spans="1:1" x14ac:dyDescent="0.2">
      <c r="A577" s="1" t="s">
        <v>149</v>
      </c>
    </row>
    <row r="578" spans="1:1" x14ac:dyDescent="0.2">
      <c r="A578" s="1" t="s">
        <v>150</v>
      </c>
    </row>
    <row r="579" spans="1:1" x14ac:dyDescent="0.2">
      <c r="A579" s="1" t="s">
        <v>149</v>
      </c>
    </row>
    <row r="580" spans="1:1" x14ac:dyDescent="0.2">
      <c r="A580" s="1" t="s">
        <v>150</v>
      </c>
    </row>
    <row r="581" spans="1:1" x14ac:dyDescent="0.2">
      <c r="A581" s="1" t="s">
        <v>151</v>
      </c>
    </row>
    <row r="582" spans="1:1" x14ac:dyDescent="0.2">
      <c r="A582" s="1" t="s">
        <v>152</v>
      </c>
    </row>
    <row r="583" spans="1:1" x14ac:dyDescent="0.2">
      <c r="A583" s="1" t="s">
        <v>153</v>
      </c>
    </row>
    <row r="584" spans="1:1" x14ac:dyDescent="0.2">
      <c r="A584" s="1" t="s">
        <v>154</v>
      </c>
    </row>
    <row r="585" spans="1:1" x14ac:dyDescent="0.2">
      <c r="A585" s="1" t="s">
        <v>155</v>
      </c>
    </row>
    <row r="586" spans="1:1" x14ac:dyDescent="0.2">
      <c r="A586" s="1" t="s">
        <v>156</v>
      </c>
    </row>
    <row r="587" spans="1:1" x14ac:dyDescent="0.2">
      <c r="A587" s="1" t="s">
        <v>157</v>
      </c>
    </row>
    <row r="588" spans="1:1" x14ac:dyDescent="0.2">
      <c r="A588" s="1" t="s">
        <v>158</v>
      </c>
    </row>
    <row r="589" spans="1:1" x14ac:dyDescent="0.2">
      <c r="A589" s="1" t="s">
        <v>149</v>
      </c>
    </row>
    <row r="590" spans="1:1" x14ac:dyDescent="0.2">
      <c r="A590" s="1" t="s">
        <v>150</v>
      </c>
    </row>
    <row r="591" spans="1:1" x14ac:dyDescent="0.2">
      <c r="A591" s="1" t="s">
        <v>149</v>
      </c>
    </row>
    <row r="592" spans="1:1" x14ac:dyDescent="0.2">
      <c r="A592" s="1" t="s">
        <v>150</v>
      </c>
    </row>
    <row r="593" spans="1:1" x14ac:dyDescent="0.2">
      <c r="A593" s="1" t="s">
        <v>149</v>
      </c>
    </row>
    <row r="594" spans="1:1" x14ac:dyDescent="0.2">
      <c r="A594" s="1" t="s">
        <v>150</v>
      </c>
    </row>
    <row r="595" spans="1:1" x14ac:dyDescent="0.2">
      <c r="A595" s="1" t="s">
        <v>151</v>
      </c>
    </row>
    <row r="596" spans="1:1" x14ac:dyDescent="0.2">
      <c r="A596" s="1" t="s">
        <v>152</v>
      </c>
    </row>
    <row r="597" spans="1:1" x14ac:dyDescent="0.2">
      <c r="A597" s="1" t="s">
        <v>153</v>
      </c>
    </row>
    <row r="598" spans="1:1" x14ac:dyDescent="0.2">
      <c r="A598" s="1" t="s">
        <v>154</v>
      </c>
    </row>
    <row r="599" spans="1:1" x14ac:dyDescent="0.2">
      <c r="A599" s="1" t="s">
        <v>155</v>
      </c>
    </row>
    <row r="600" spans="1:1" x14ac:dyDescent="0.2">
      <c r="A600" s="1" t="s">
        <v>156</v>
      </c>
    </row>
    <row r="601" spans="1:1" x14ac:dyDescent="0.2">
      <c r="A601" s="1" t="s">
        <v>157</v>
      </c>
    </row>
    <row r="602" spans="1:1" x14ac:dyDescent="0.2">
      <c r="A602" s="1" t="s">
        <v>158</v>
      </c>
    </row>
    <row r="603" spans="1:1" x14ac:dyDescent="0.2">
      <c r="A603" s="1" t="s">
        <v>149</v>
      </c>
    </row>
    <row r="604" spans="1:1" x14ac:dyDescent="0.2">
      <c r="A604" s="1" t="s">
        <v>150</v>
      </c>
    </row>
    <row r="605" spans="1:1" x14ac:dyDescent="0.2">
      <c r="A605" s="1" t="s">
        <v>149</v>
      </c>
    </row>
    <row r="606" spans="1:1" x14ac:dyDescent="0.2">
      <c r="A606" s="1" t="s">
        <v>150</v>
      </c>
    </row>
    <row r="607" spans="1:1" x14ac:dyDescent="0.2">
      <c r="A607" s="1" t="s">
        <v>149</v>
      </c>
    </row>
    <row r="608" spans="1:1" x14ac:dyDescent="0.2">
      <c r="A608" s="1" t="s">
        <v>150</v>
      </c>
    </row>
    <row r="609" spans="1:1" x14ac:dyDescent="0.2">
      <c r="A609" s="1" t="s">
        <v>151</v>
      </c>
    </row>
    <row r="610" spans="1:1" x14ac:dyDescent="0.2">
      <c r="A610" s="1" t="s">
        <v>152</v>
      </c>
    </row>
    <row r="611" spans="1:1" x14ac:dyDescent="0.2">
      <c r="A611" s="1" t="s">
        <v>153</v>
      </c>
    </row>
    <row r="612" spans="1:1" x14ac:dyDescent="0.2">
      <c r="A612" s="1" t="s">
        <v>154</v>
      </c>
    </row>
    <row r="613" spans="1:1" x14ac:dyDescent="0.2">
      <c r="A613" s="1" t="s">
        <v>155</v>
      </c>
    </row>
    <row r="614" spans="1:1" x14ac:dyDescent="0.2">
      <c r="A614" s="1" t="s">
        <v>156</v>
      </c>
    </row>
    <row r="615" spans="1:1" x14ac:dyDescent="0.2">
      <c r="A615" s="1" t="s">
        <v>157</v>
      </c>
    </row>
    <row r="616" spans="1:1" x14ac:dyDescent="0.2">
      <c r="A616" s="1" t="s">
        <v>158</v>
      </c>
    </row>
    <row r="617" spans="1:1" x14ac:dyDescent="0.2">
      <c r="A617" s="1" t="s">
        <v>149</v>
      </c>
    </row>
    <row r="618" spans="1:1" x14ac:dyDescent="0.2">
      <c r="A618" s="1" t="s">
        <v>150</v>
      </c>
    </row>
    <row r="619" spans="1:1" x14ac:dyDescent="0.2">
      <c r="A619" s="1" t="s">
        <v>149</v>
      </c>
    </row>
    <row r="620" spans="1:1" x14ac:dyDescent="0.2">
      <c r="A620" s="1" t="s">
        <v>150</v>
      </c>
    </row>
    <row r="621" spans="1:1" x14ac:dyDescent="0.2">
      <c r="A621" s="1" t="s">
        <v>149</v>
      </c>
    </row>
    <row r="622" spans="1:1" x14ac:dyDescent="0.2">
      <c r="A622" s="1" t="s">
        <v>150</v>
      </c>
    </row>
    <row r="623" spans="1:1" x14ac:dyDescent="0.2">
      <c r="A623" s="1" t="s">
        <v>151</v>
      </c>
    </row>
    <row r="624" spans="1:1" x14ac:dyDescent="0.2">
      <c r="A624" s="1" t="s">
        <v>152</v>
      </c>
    </row>
    <row r="625" spans="1:1" x14ac:dyDescent="0.2">
      <c r="A625" s="1" t="s">
        <v>153</v>
      </c>
    </row>
    <row r="626" spans="1:1" x14ac:dyDescent="0.2">
      <c r="A626" s="1" t="s">
        <v>154</v>
      </c>
    </row>
    <row r="627" spans="1:1" x14ac:dyDescent="0.2">
      <c r="A627" s="1" t="s">
        <v>155</v>
      </c>
    </row>
    <row r="628" spans="1:1" x14ac:dyDescent="0.2">
      <c r="A628" s="1" t="s">
        <v>156</v>
      </c>
    </row>
    <row r="629" spans="1:1" x14ac:dyDescent="0.2">
      <c r="A629" s="1" t="s">
        <v>157</v>
      </c>
    </row>
    <row r="630" spans="1:1" x14ac:dyDescent="0.2">
      <c r="A630" s="1" t="s">
        <v>158</v>
      </c>
    </row>
    <row r="631" spans="1:1" x14ac:dyDescent="0.2">
      <c r="A631" s="1" t="s">
        <v>149</v>
      </c>
    </row>
    <row r="632" spans="1:1" x14ac:dyDescent="0.2">
      <c r="A632" s="1" t="s">
        <v>150</v>
      </c>
    </row>
    <row r="633" spans="1:1" x14ac:dyDescent="0.2">
      <c r="A633" s="1" t="s">
        <v>159</v>
      </c>
    </row>
    <row r="634" spans="1:1" x14ac:dyDescent="0.2">
      <c r="A634" s="1" t="s">
        <v>160</v>
      </c>
    </row>
    <row r="635" spans="1:1" x14ac:dyDescent="0.2">
      <c r="A635" s="1" t="s">
        <v>159</v>
      </c>
    </row>
    <row r="636" spans="1:1" x14ac:dyDescent="0.2">
      <c r="A636" s="1" t="s">
        <v>160</v>
      </c>
    </row>
    <row r="637" spans="1:1" x14ac:dyDescent="0.2">
      <c r="A637" s="1" t="s">
        <v>161</v>
      </c>
    </row>
    <row r="638" spans="1:1" x14ac:dyDescent="0.2">
      <c r="A638" s="1" t="s">
        <v>162</v>
      </c>
    </row>
    <row r="639" spans="1:1" x14ac:dyDescent="0.2">
      <c r="A639" s="1" t="s">
        <v>163</v>
      </c>
    </row>
    <row r="640" spans="1:1" x14ac:dyDescent="0.2">
      <c r="A640" s="1" t="s">
        <v>164</v>
      </c>
    </row>
    <row r="641" spans="1:1" x14ac:dyDescent="0.2">
      <c r="A641" s="1" t="s">
        <v>163</v>
      </c>
    </row>
    <row r="642" spans="1:1" x14ac:dyDescent="0.2">
      <c r="A642" s="1" t="s">
        <v>164</v>
      </c>
    </row>
    <row r="643" spans="1:1" x14ac:dyDescent="0.2">
      <c r="A643" s="1" t="s">
        <v>165</v>
      </c>
    </row>
    <row r="644" spans="1:1" x14ac:dyDescent="0.2">
      <c r="A644" s="1" t="s">
        <v>166</v>
      </c>
    </row>
    <row r="645" spans="1:1" x14ac:dyDescent="0.2">
      <c r="A645" s="1" t="s">
        <v>167</v>
      </c>
    </row>
    <row r="646" spans="1:1" x14ac:dyDescent="0.2">
      <c r="A646" s="1" t="s">
        <v>168</v>
      </c>
    </row>
    <row r="647" spans="1:1" x14ac:dyDescent="0.2">
      <c r="A647" s="1" t="s">
        <v>169</v>
      </c>
    </row>
    <row r="648" spans="1:1" x14ac:dyDescent="0.2">
      <c r="A648" s="1" t="s">
        <v>170</v>
      </c>
    </row>
    <row r="649" spans="1:1" x14ac:dyDescent="0.2">
      <c r="A649" s="1" t="s">
        <v>171</v>
      </c>
    </row>
    <row r="650" spans="1:1" x14ac:dyDescent="0.2">
      <c r="A650" s="1" t="s">
        <v>172</v>
      </c>
    </row>
    <row r="651" spans="1:1" x14ac:dyDescent="0.2">
      <c r="A651" s="1" t="s">
        <v>163</v>
      </c>
    </row>
    <row r="652" spans="1:1" x14ac:dyDescent="0.2">
      <c r="A652" s="1" t="s">
        <v>164</v>
      </c>
    </row>
    <row r="653" spans="1:1" x14ac:dyDescent="0.2">
      <c r="A653" s="1" t="s">
        <v>163</v>
      </c>
    </row>
    <row r="654" spans="1:1" x14ac:dyDescent="0.2">
      <c r="A654" s="1" t="s">
        <v>164</v>
      </c>
    </row>
    <row r="655" spans="1:1" x14ac:dyDescent="0.2">
      <c r="A655" s="1" t="s">
        <v>163</v>
      </c>
    </row>
    <row r="656" spans="1:1" x14ac:dyDescent="0.2">
      <c r="A656" s="1" t="s">
        <v>164</v>
      </c>
    </row>
    <row r="657" spans="1:1" x14ac:dyDescent="0.2">
      <c r="A657" s="1" t="s">
        <v>165</v>
      </c>
    </row>
    <row r="658" spans="1:1" x14ac:dyDescent="0.2">
      <c r="A658" s="1" t="s">
        <v>166</v>
      </c>
    </row>
    <row r="659" spans="1:1" x14ac:dyDescent="0.2">
      <c r="A659" s="1" t="s">
        <v>167</v>
      </c>
    </row>
    <row r="660" spans="1:1" x14ac:dyDescent="0.2">
      <c r="A660" s="1" t="s">
        <v>168</v>
      </c>
    </row>
    <row r="661" spans="1:1" x14ac:dyDescent="0.2">
      <c r="A661" s="1" t="s">
        <v>169</v>
      </c>
    </row>
    <row r="662" spans="1:1" x14ac:dyDescent="0.2">
      <c r="A662" s="1" t="s">
        <v>170</v>
      </c>
    </row>
    <row r="663" spans="1:1" x14ac:dyDescent="0.2">
      <c r="A663" s="1" t="s">
        <v>171</v>
      </c>
    </row>
    <row r="664" spans="1:1" x14ac:dyDescent="0.2">
      <c r="A664" s="1" t="s">
        <v>172</v>
      </c>
    </row>
    <row r="665" spans="1:1" x14ac:dyDescent="0.2">
      <c r="A665" s="1" t="s">
        <v>163</v>
      </c>
    </row>
    <row r="666" spans="1:1" x14ac:dyDescent="0.2">
      <c r="A666" s="1" t="s">
        <v>164</v>
      </c>
    </row>
    <row r="667" spans="1:1" x14ac:dyDescent="0.2">
      <c r="A667" s="1" t="s">
        <v>163</v>
      </c>
    </row>
    <row r="668" spans="1:1" x14ac:dyDescent="0.2">
      <c r="A668" s="1" t="s">
        <v>164</v>
      </c>
    </row>
    <row r="669" spans="1:1" x14ac:dyDescent="0.2">
      <c r="A669" s="1" t="s">
        <v>163</v>
      </c>
    </row>
    <row r="670" spans="1:1" x14ac:dyDescent="0.2">
      <c r="A670" s="1" t="s">
        <v>164</v>
      </c>
    </row>
    <row r="671" spans="1:1" x14ac:dyDescent="0.2">
      <c r="A671" s="1" t="s">
        <v>165</v>
      </c>
    </row>
    <row r="672" spans="1:1" x14ac:dyDescent="0.2">
      <c r="A672" s="1" t="s">
        <v>166</v>
      </c>
    </row>
    <row r="673" spans="1:1" x14ac:dyDescent="0.2">
      <c r="A673" s="1" t="s">
        <v>167</v>
      </c>
    </row>
    <row r="674" spans="1:1" x14ac:dyDescent="0.2">
      <c r="A674" s="1" t="s">
        <v>168</v>
      </c>
    </row>
    <row r="675" spans="1:1" x14ac:dyDescent="0.2">
      <c r="A675" s="1" t="s">
        <v>169</v>
      </c>
    </row>
    <row r="676" spans="1:1" x14ac:dyDescent="0.2">
      <c r="A676" s="1" t="s">
        <v>170</v>
      </c>
    </row>
    <row r="677" spans="1:1" x14ac:dyDescent="0.2">
      <c r="A677" s="1" t="s">
        <v>171</v>
      </c>
    </row>
    <row r="678" spans="1:1" x14ac:dyDescent="0.2">
      <c r="A678" s="1" t="s">
        <v>172</v>
      </c>
    </row>
    <row r="679" spans="1:1" x14ac:dyDescent="0.2">
      <c r="A679" s="1" t="s">
        <v>163</v>
      </c>
    </row>
    <row r="680" spans="1:1" x14ac:dyDescent="0.2">
      <c r="A680" s="1" t="s">
        <v>164</v>
      </c>
    </row>
    <row r="681" spans="1:1" x14ac:dyDescent="0.2">
      <c r="A681" s="1" t="s">
        <v>163</v>
      </c>
    </row>
    <row r="682" spans="1:1" x14ac:dyDescent="0.2">
      <c r="A682" s="1" t="s">
        <v>164</v>
      </c>
    </row>
    <row r="683" spans="1:1" x14ac:dyDescent="0.2">
      <c r="A683" s="1" t="s">
        <v>163</v>
      </c>
    </row>
    <row r="684" spans="1:1" x14ac:dyDescent="0.2">
      <c r="A684" s="1" t="s">
        <v>164</v>
      </c>
    </row>
    <row r="685" spans="1:1" x14ac:dyDescent="0.2">
      <c r="A685" s="1" t="s">
        <v>165</v>
      </c>
    </row>
    <row r="686" spans="1:1" x14ac:dyDescent="0.2">
      <c r="A686" s="1" t="s">
        <v>166</v>
      </c>
    </row>
    <row r="687" spans="1:1" x14ac:dyDescent="0.2">
      <c r="A687" s="1" t="s">
        <v>167</v>
      </c>
    </row>
    <row r="688" spans="1:1" x14ac:dyDescent="0.2">
      <c r="A688" s="1" t="s">
        <v>168</v>
      </c>
    </row>
    <row r="689" spans="1:1" x14ac:dyDescent="0.2">
      <c r="A689" s="1" t="s">
        <v>169</v>
      </c>
    </row>
    <row r="690" spans="1:1" x14ac:dyDescent="0.2">
      <c r="A690" s="1" t="s">
        <v>170</v>
      </c>
    </row>
    <row r="691" spans="1:1" x14ac:dyDescent="0.2">
      <c r="A691" s="1" t="s">
        <v>171</v>
      </c>
    </row>
    <row r="692" spans="1:1" x14ac:dyDescent="0.2">
      <c r="A692" s="1" t="s">
        <v>172</v>
      </c>
    </row>
    <row r="693" spans="1:1" x14ac:dyDescent="0.2">
      <c r="A693" s="1" t="s">
        <v>163</v>
      </c>
    </row>
    <row r="694" spans="1:1" x14ac:dyDescent="0.2">
      <c r="A694" s="1" t="s">
        <v>164</v>
      </c>
    </row>
    <row r="695" spans="1:1" x14ac:dyDescent="0.2">
      <c r="A695" s="1" t="s">
        <v>163</v>
      </c>
    </row>
    <row r="696" spans="1:1" x14ac:dyDescent="0.2">
      <c r="A696" s="1" t="s">
        <v>164</v>
      </c>
    </row>
    <row r="697" spans="1:1" x14ac:dyDescent="0.2">
      <c r="A697" s="1" t="s">
        <v>163</v>
      </c>
    </row>
    <row r="698" spans="1:1" x14ac:dyDescent="0.2">
      <c r="A698" s="1" t="s">
        <v>164</v>
      </c>
    </row>
    <row r="699" spans="1:1" x14ac:dyDescent="0.2">
      <c r="A699" s="1" t="s">
        <v>173</v>
      </c>
    </row>
    <row r="700" spans="1:1" x14ac:dyDescent="0.2">
      <c r="A700" s="1" t="s">
        <v>174</v>
      </c>
    </row>
    <row r="701" spans="1:1" x14ac:dyDescent="0.2">
      <c r="A701" s="1" t="s">
        <v>175</v>
      </c>
    </row>
    <row r="702" spans="1:1" x14ac:dyDescent="0.2">
      <c r="A702" s="1" t="s">
        <v>176</v>
      </c>
    </row>
    <row r="703" spans="1:1" x14ac:dyDescent="0.2">
      <c r="A703" s="1" t="s">
        <v>177</v>
      </c>
    </row>
    <row r="704" spans="1:1" x14ac:dyDescent="0.2">
      <c r="A704" s="1" t="s">
        <v>178</v>
      </c>
    </row>
    <row r="705" spans="1:1" x14ac:dyDescent="0.2">
      <c r="A705" s="1" t="s">
        <v>179</v>
      </c>
    </row>
    <row r="706" spans="1:1" x14ac:dyDescent="0.2">
      <c r="A706" s="1" t="s">
        <v>180</v>
      </c>
    </row>
    <row r="707" spans="1:1" x14ac:dyDescent="0.2">
      <c r="A707" s="1" t="s">
        <v>181</v>
      </c>
    </row>
    <row r="708" spans="1:1" x14ac:dyDescent="0.2">
      <c r="A708" s="1" t="s">
        <v>182</v>
      </c>
    </row>
    <row r="709" spans="1:1" x14ac:dyDescent="0.2">
      <c r="A709" s="1" t="s">
        <v>181</v>
      </c>
    </row>
    <row r="710" spans="1:1" x14ac:dyDescent="0.2">
      <c r="A710" s="1" t="s">
        <v>182</v>
      </c>
    </row>
    <row r="711" spans="1:1" x14ac:dyDescent="0.2">
      <c r="A711" s="1" t="s">
        <v>181</v>
      </c>
    </row>
    <row r="712" spans="1:1" x14ac:dyDescent="0.2">
      <c r="A712" s="1" t="s">
        <v>182</v>
      </c>
    </row>
    <row r="713" spans="1:1" x14ac:dyDescent="0.2">
      <c r="A713" s="1" t="s">
        <v>173</v>
      </c>
    </row>
    <row r="714" spans="1:1" x14ac:dyDescent="0.2">
      <c r="A714" s="1" t="s">
        <v>174</v>
      </c>
    </row>
    <row r="715" spans="1:1" x14ac:dyDescent="0.2">
      <c r="A715" s="1" t="s">
        <v>175</v>
      </c>
    </row>
    <row r="716" spans="1:1" x14ac:dyDescent="0.2">
      <c r="A716" s="1" t="s">
        <v>176</v>
      </c>
    </row>
    <row r="717" spans="1:1" x14ac:dyDescent="0.2">
      <c r="A717" s="1" t="s">
        <v>177</v>
      </c>
    </row>
    <row r="718" spans="1:1" x14ac:dyDescent="0.2">
      <c r="A718" s="1" t="s">
        <v>178</v>
      </c>
    </row>
    <row r="719" spans="1:1" x14ac:dyDescent="0.2">
      <c r="A719" s="1" t="s">
        <v>179</v>
      </c>
    </row>
    <row r="720" spans="1:1" x14ac:dyDescent="0.2">
      <c r="A720" s="1" t="s">
        <v>180</v>
      </c>
    </row>
    <row r="721" spans="1:1" x14ac:dyDescent="0.2">
      <c r="A721" s="1" t="s">
        <v>181</v>
      </c>
    </row>
    <row r="722" spans="1:1" x14ac:dyDescent="0.2">
      <c r="A722" s="1" t="s">
        <v>182</v>
      </c>
    </row>
    <row r="723" spans="1:1" x14ac:dyDescent="0.2">
      <c r="A723" s="1" t="s">
        <v>181</v>
      </c>
    </row>
    <row r="724" spans="1:1" x14ac:dyDescent="0.2">
      <c r="A724" s="1" t="s">
        <v>182</v>
      </c>
    </row>
    <row r="725" spans="1:1" x14ac:dyDescent="0.2">
      <c r="A725" s="1" t="s">
        <v>181</v>
      </c>
    </row>
    <row r="726" spans="1:1" x14ac:dyDescent="0.2">
      <c r="A726" s="1" t="s">
        <v>182</v>
      </c>
    </row>
    <row r="727" spans="1:1" x14ac:dyDescent="0.2">
      <c r="A727" s="1" t="s">
        <v>173</v>
      </c>
    </row>
    <row r="728" spans="1:1" x14ac:dyDescent="0.2">
      <c r="A728" s="1" t="s">
        <v>174</v>
      </c>
    </row>
    <row r="729" spans="1:1" x14ac:dyDescent="0.2">
      <c r="A729" s="1" t="s">
        <v>175</v>
      </c>
    </row>
    <row r="730" spans="1:1" x14ac:dyDescent="0.2">
      <c r="A730" s="1" t="s">
        <v>176</v>
      </c>
    </row>
    <row r="731" spans="1:1" x14ac:dyDescent="0.2">
      <c r="A731" s="1" t="s">
        <v>177</v>
      </c>
    </row>
    <row r="732" spans="1:1" x14ac:dyDescent="0.2">
      <c r="A732" s="1" t="s">
        <v>178</v>
      </c>
    </row>
    <row r="733" spans="1:1" x14ac:dyDescent="0.2">
      <c r="A733" s="1" t="s">
        <v>179</v>
      </c>
    </row>
    <row r="734" spans="1:1" x14ac:dyDescent="0.2">
      <c r="A734" s="1" t="s">
        <v>180</v>
      </c>
    </row>
    <row r="735" spans="1:1" x14ac:dyDescent="0.2">
      <c r="A735" s="1" t="s">
        <v>181</v>
      </c>
    </row>
    <row r="736" spans="1:1" x14ac:dyDescent="0.2">
      <c r="A736" s="1" t="s">
        <v>182</v>
      </c>
    </row>
    <row r="737" spans="1:1" x14ac:dyDescent="0.2">
      <c r="A737" s="1" t="s">
        <v>181</v>
      </c>
    </row>
    <row r="738" spans="1:1" x14ac:dyDescent="0.2">
      <c r="A738" s="1" t="s">
        <v>182</v>
      </c>
    </row>
    <row r="739" spans="1:1" x14ac:dyDescent="0.2">
      <c r="A739" s="1" t="s">
        <v>181</v>
      </c>
    </row>
    <row r="740" spans="1:1" x14ac:dyDescent="0.2">
      <c r="A740" s="1" t="s">
        <v>182</v>
      </c>
    </row>
    <row r="741" spans="1:1" x14ac:dyDescent="0.2">
      <c r="A741" s="1" t="s">
        <v>173</v>
      </c>
    </row>
    <row r="742" spans="1:1" x14ac:dyDescent="0.2">
      <c r="A742" s="1" t="s">
        <v>174</v>
      </c>
    </row>
    <row r="743" spans="1:1" x14ac:dyDescent="0.2">
      <c r="A743" s="1" t="s">
        <v>175</v>
      </c>
    </row>
    <row r="744" spans="1:1" x14ac:dyDescent="0.2">
      <c r="A744" s="1" t="s">
        <v>176</v>
      </c>
    </row>
    <row r="745" spans="1:1" x14ac:dyDescent="0.2">
      <c r="A745" s="1" t="s">
        <v>177</v>
      </c>
    </row>
    <row r="746" spans="1:1" x14ac:dyDescent="0.2">
      <c r="A746" s="1" t="s">
        <v>178</v>
      </c>
    </row>
    <row r="747" spans="1:1" x14ac:dyDescent="0.2">
      <c r="A747" s="1" t="s">
        <v>179</v>
      </c>
    </row>
    <row r="748" spans="1:1" x14ac:dyDescent="0.2">
      <c r="A748" s="1" t="s">
        <v>180</v>
      </c>
    </row>
    <row r="749" spans="1:1" x14ac:dyDescent="0.2">
      <c r="A749" s="1" t="s">
        <v>181</v>
      </c>
    </row>
    <row r="750" spans="1:1" x14ac:dyDescent="0.2">
      <c r="A750" s="1" t="s">
        <v>182</v>
      </c>
    </row>
    <row r="751" spans="1:1" x14ac:dyDescent="0.2">
      <c r="A751" s="1" t="s">
        <v>183</v>
      </c>
    </row>
    <row r="752" spans="1:1" x14ac:dyDescent="0.2">
      <c r="A752" s="1" t="s">
        <v>184</v>
      </c>
    </row>
    <row r="753" spans="1:1" x14ac:dyDescent="0.2">
      <c r="A753" s="1" t="s">
        <v>183</v>
      </c>
    </row>
    <row r="754" spans="1:1" x14ac:dyDescent="0.2">
      <c r="A754" s="1" t="s">
        <v>184</v>
      </c>
    </row>
    <row r="755" spans="1:1" x14ac:dyDescent="0.2">
      <c r="A755" s="1" t="s">
        <v>185</v>
      </c>
    </row>
    <row r="756" spans="1:1" x14ac:dyDescent="0.2">
      <c r="A756" s="1" t="s">
        <v>186</v>
      </c>
    </row>
    <row r="757" spans="1:1" x14ac:dyDescent="0.2">
      <c r="A757" s="1" t="s">
        <v>187</v>
      </c>
    </row>
    <row r="758" spans="1:1" x14ac:dyDescent="0.2">
      <c r="A758" s="1" t="s">
        <v>188</v>
      </c>
    </row>
    <row r="759" spans="1:1" x14ac:dyDescent="0.2">
      <c r="A759" s="1" t="s">
        <v>189</v>
      </c>
    </row>
    <row r="760" spans="1:1" x14ac:dyDescent="0.2">
      <c r="A760" s="1" t="s">
        <v>190</v>
      </c>
    </row>
    <row r="761" spans="1:1" x14ac:dyDescent="0.2">
      <c r="A761" s="1" t="s">
        <v>191</v>
      </c>
    </row>
    <row r="762" spans="1:1" x14ac:dyDescent="0.2">
      <c r="A762" s="1" t="s">
        <v>192</v>
      </c>
    </row>
    <row r="763" spans="1:1" x14ac:dyDescent="0.2">
      <c r="A763" s="1" t="s">
        <v>183</v>
      </c>
    </row>
    <row r="764" spans="1:1" x14ac:dyDescent="0.2">
      <c r="A764" s="1" t="s">
        <v>184</v>
      </c>
    </row>
    <row r="765" spans="1:1" x14ac:dyDescent="0.2">
      <c r="A765" s="1" t="s">
        <v>183</v>
      </c>
    </row>
    <row r="766" spans="1:1" x14ac:dyDescent="0.2">
      <c r="A766" s="1" t="s">
        <v>184</v>
      </c>
    </row>
    <row r="767" spans="1:1" x14ac:dyDescent="0.2">
      <c r="A767" s="1" t="s">
        <v>183</v>
      </c>
    </row>
    <row r="768" spans="1:1" x14ac:dyDescent="0.2">
      <c r="A768" s="1" t="s">
        <v>184</v>
      </c>
    </row>
    <row r="769" spans="1:1" x14ac:dyDescent="0.2">
      <c r="A769" s="1" t="s">
        <v>185</v>
      </c>
    </row>
    <row r="770" spans="1:1" x14ac:dyDescent="0.2">
      <c r="A770" s="1" t="s">
        <v>186</v>
      </c>
    </row>
    <row r="771" spans="1:1" x14ac:dyDescent="0.2">
      <c r="A771" s="1" t="s">
        <v>187</v>
      </c>
    </row>
    <row r="772" spans="1:1" x14ac:dyDescent="0.2">
      <c r="A772" s="1" t="s">
        <v>188</v>
      </c>
    </row>
    <row r="773" spans="1:1" x14ac:dyDescent="0.2">
      <c r="A773" s="1" t="s">
        <v>189</v>
      </c>
    </row>
    <row r="774" spans="1:1" x14ac:dyDescent="0.2">
      <c r="A774" s="1" t="s">
        <v>190</v>
      </c>
    </row>
    <row r="775" spans="1:1" x14ac:dyDescent="0.2">
      <c r="A775" s="1" t="s">
        <v>191</v>
      </c>
    </row>
    <row r="776" spans="1:1" x14ac:dyDescent="0.2">
      <c r="A776" s="1" t="s">
        <v>192</v>
      </c>
    </row>
    <row r="777" spans="1:1" x14ac:dyDescent="0.2">
      <c r="A777" s="1" t="s">
        <v>183</v>
      </c>
    </row>
    <row r="778" spans="1:1" x14ac:dyDescent="0.2">
      <c r="A778" s="1" t="s">
        <v>184</v>
      </c>
    </row>
    <row r="779" spans="1:1" x14ac:dyDescent="0.2">
      <c r="A779" s="1" t="s">
        <v>183</v>
      </c>
    </row>
    <row r="780" spans="1:1" x14ac:dyDescent="0.2">
      <c r="A780" s="1" t="s">
        <v>184</v>
      </c>
    </row>
    <row r="781" spans="1:1" x14ac:dyDescent="0.2">
      <c r="A781" s="1" t="s">
        <v>183</v>
      </c>
    </row>
    <row r="782" spans="1:1" x14ac:dyDescent="0.2">
      <c r="A782" s="1" t="s">
        <v>184</v>
      </c>
    </row>
    <row r="783" spans="1:1" x14ac:dyDescent="0.2">
      <c r="A783" s="1" t="s">
        <v>185</v>
      </c>
    </row>
    <row r="784" spans="1:1" x14ac:dyDescent="0.2">
      <c r="A784" s="1" t="s">
        <v>186</v>
      </c>
    </row>
    <row r="785" spans="1:1" x14ac:dyDescent="0.2">
      <c r="A785" s="1" t="s">
        <v>187</v>
      </c>
    </row>
    <row r="786" spans="1:1" x14ac:dyDescent="0.2">
      <c r="A786" s="1" t="s">
        <v>188</v>
      </c>
    </row>
    <row r="787" spans="1:1" x14ac:dyDescent="0.2">
      <c r="A787" s="1" t="s">
        <v>189</v>
      </c>
    </row>
    <row r="788" spans="1:1" x14ac:dyDescent="0.2">
      <c r="A788" s="1" t="s">
        <v>190</v>
      </c>
    </row>
    <row r="789" spans="1:1" x14ac:dyDescent="0.2">
      <c r="A789" s="1" t="s">
        <v>191</v>
      </c>
    </row>
    <row r="790" spans="1:1" x14ac:dyDescent="0.2">
      <c r="A790" s="1" t="s">
        <v>192</v>
      </c>
    </row>
    <row r="791" spans="1:1" x14ac:dyDescent="0.2">
      <c r="A791" s="1" t="s">
        <v>183</v>
      </c>
    </row>
    <row r="792" spans="1:1" x14ac:dyDescent="0.2">
      <c r="A792" s="1" t="s">
        <v>184</v>
      </c>
    </row>
    <row r="793" spans="1:1" x14ac:dyDescent="0.2">
      <c r="A793" s="1" t="s">
        <v>183</v>
      </c>
    </row>
    <row r="794" spans="1:1" x14ac:dyDescent="0.2">
      <c r="A794" s="1" t="s">
        <v>184</v>
      </c>
    </row>
    <row r="795" spans="1:1" x14ac:dyDescent="0.2">
      <c r="A795" s="1" t="s">
        <v>183</v>
      </c>
    </row>
    <row r="796" spans="1:1" x14ac:dyDescent="0.2">
      <c r="A796" s="1" t="s">
        <v>184</v>
      </c>
    </row>
    <row r="797" spans="1:1" x14ac:dyDescent="0.2">
      <c r="A797" s="1" t="s">
        <v>185</v>
      </c>
    </row>
    <row r="798" spans="1:1" x14ac:dyDescent="0.2">
      <c r="A798" s="1" t="s">
        <v>186</v>
      </c>
    </row>
    <row r="799" spans="1:1" x14ac:dyDescent="0.2">
      <c r="A799" s="1" t="s">
        <v>187</v>
      </c>
    </row>
    <row r="800" spans="1:1" x14ac:dyDescent="0.2">
      <c r="A800" s="1" t="s">
        <v>188</v>
      </c>
    </row>
    <row r="801" spans="1:1" x14ac:dyDescent="0.2">
      <c r="A801" s="1" t="s">
        <v>189</v>
      </c>
    </row>
    <row r="802" spans="1:1" x14ac:dyDescent="0.2">
      <c r="A802" s="1" t="s">
        <v>190</v>
      </c>
    </row>
    <row r="803" spans="1:1" x14ac:dyDescent="0.2">
      <c r="A803" s="1" t="s">
        <v>191</v>
      </c>
    </row>
    <row r="804" spans="1:1" x14ac:dyDescent="0.2">
      <c r="A804" s="1" t="s">
        <v>192</v>
      </c>
    </row>
    <row r="805" spans="1:1" x14ac:dyDescent="0.2">
      <c r="A805" s="1" t="s">
        <v>183</v>
      </c>
    </row>
    <row r="806" spans="1:1" x14ac:dyDescent="0.2">
      <c r="A806" s="1" t="s">
        <v>184</v>
      </c>
    </row>
    <row r="807" spans="1:1" x14ac:dyDescent="0.2">
      <c r="A807" s="1" t="s">
        <v>183</v>
      </c>
    </row>
    <row r="808" spans="1:1" x14ac:dyDescent="0.2">
      <c r="A808" s="1" t="s">
        <v>184</v>
      </c>
    </row>
    <row r="809" spans="1:1" x14ac:dyDescent="0.2">
      <c r="A809" s="1" t="s">
        <v>183</v>
      </c>
    </row>
    <row r="810" spans="1:1" x14ac:dyDescent="0.2">
      <c r="A810" s="1" t="s">
        <v>184</v>
      </c>
    </row>
    <row r="811" spans="1:1" x14ac:dyDescent="0.2">
      <c r="A811" s="1" t="s">
        <v>185</v>
      </c>
    </row>
    <row r="812" spans="1:1" x14ac:dyDescent="0.2">
      <c r="A812" s="1" t="s">
        <v>186</v>
      </c>
    </row>
    <row r="813" spans="1:1" x14ac:dyDescent="0.2">
      <c r="A813" s="1" t="s">
        <v>187</v>
      </c>
    </row>
    <row r="814" spans="1:1" x14ac:dyDescent="0.2">
      <c r="A814" s="1" t="s">
        <v>188</v>
      </c>
    </row>
    <row r="815" spans="1:1" x14ac:dyDescent="0.2">
      <c r="A815" s="1" t="s">
        <v>189</v>
      </c>
    </row>
    <row r="816" spans="1:1" x14ac:dyDescent="0.2">
      <c r="A816" s="1" t="s">
        <v>190</v>
      </c>
    </row>
    <row r="817" spans="1:1" x14ac:dyDescent="0.2">
      <c r="A817" s="1" t="s">
        <v>191</v>
      </c>
    </row>
    <row r="818" spans="1:1" x14ac:dyDescent="0.2">
      <c r="A818" s="1" t="s">
        <v>192</v>
      </c>
    </row>
    <row r="819" spans="1:1" x14ac:dyDescent="0.2">
      <c r="A819" s="1" t="s">
        <v>183</v>
      </c>
    </row>
    <row r="820" spans="1:1" x14ac:dyDescent="0.2">
      <c r="A820" s="1" t="s">
        <v>184</v>
      </c>
    </row>
    <row r="821" spans="1:1" x14ac:dyDescent="0.2">
      <c r="A821" s="1" t="s">
        <v>183</v>
      </c>
    </row>
    <row r="822" spans="1:1" x14ac:dyDescent="0.2">
      <c r="A822" s="1" t="s">
        <v>184</v>
      </c>
    </row>
    <row r="823" spans="1:1" x14ac:dyDescent="0.2">
      <c r="A823" s="1" t="s">
        <v>183</v>
      </c>
    </row>
    <row r="824" spans="1:1" x14ac:dyDescent="0.2">
      <c r="A824" s="1" t="s">
        <v>184</v>
      </c>
    </row>
    <row r="825" spans="1:1" x14ac:dyDescent="0.2">
      <c r="A825" s="1" t="s">
        <v>185</v>
      </c>
    </row>
    <row r="826" spans="1:1" x14ac:dyDescent="0.2">
      <c r="A826" s="1" t="s">
        <v>186</v>
      </c>
    </row>
    <row r="827" spans="1:1" x14ac:dyDescent="0.2">
      <c r="A827" s="1" t="s">
        <v>187</v>
      </c>
    </row>
    <row r="828" spans="1:1" x14ac:dyDescent="0.2">
      <c r="A828" s="1" t="s">
        <v>188</v>
      </c>
    </row>
    <row r="829" spans="1:1" x14ac:dyDescent="0.2">
      <c r="A829" s="1" t="s">
        <v>189</v>
      </c>
    </row>
    <row r="830" spans="1:1" x14ac:dyDescent="0.2">
      <c r="A830" s="1" t="s">
        <v>190</v>
      </c>
    </row>
    <row r="831" spans="1:1" x14ac:dyDescent="0.2">
      <c r="A831" s="1" t="s">
        <v>191</v>
      </c>
    </row>
    <row r="832" spans="1:1" x14ac:dyDescent="0.2">
      <c r="A832" s="1" t="s">
        <v>192</v>
      </c>
    </row>
    <row r="833" spans="1:1" x14ac:dyDescent="0.2">
      <c r="A833" s="1" t="s">
        <v>183</v>
      </c>
    </row>
    <row r="834" spans="1:1" x14ac:dyDescent="0.2">
      <c r="A834" s="1" t="s">
        <v>184</v>
      </c>
    </row>
    <row r="835" spans="1:1" x14ac:dyDescent="0.2">
      <c r="A835" s="1" t="s">
        <v>183</v>
      </c>
    </row>
    <row r="836" spans="1:1" x14ac:dyDescent="0.2">
      <c r="A836" s="1" t="s">
        <v>184</v>
      </c>
    </row>
    <row r="837" spans="1:1" x14ac:dyDescent="0.2">
      <c r="A837" s="1" t="s">
        <v>183</v>
      </c>
    </row>
    <row r="838" spans="1:1" x14ac:dyDescent="0.2">
      <c r="A838" s="1" t="s">
        <v>184</v>
      </c>
    </row>
    <row r="839" spans="1:1" x14ac:dyDescent="0.2">
      <c r="A839" s="1" t="s">
        <v>185</v>
      </c>
    </row>
    <row r="840" spans="1:1" x14ac:dyDescent="0.2">
      <c r="A840" s="1" t="s">
        <v>186</v>
      </c>
    </row>
    <row r="841" spans="1:1" x14ac:dyDescent="0.2">
      <c r="A841" s="1" t="s">
        <v>187</v>
      </c>
    </row>
    <row r="842" spans="1:1" x14ac:dyDescent="0.2">
      <c r="A842" s="1" t="s">
        <v>188</v>
      </c>
    </row>
    <row r="843" spans="1:1" x14ac:dyDescent="0.2">
      <c r="A843" s="1" t="s">
        <v>189</v>
      </c>
    </row>
    <row r="844" spans="1:1" x14ac:dyDescent="0.2">
      <c r="A844" s="1" t="s">
        <v>190</v>
      </c>
    </row>
    <row r="845" spans="1:1" x14ac:dyDescent="0.2">
      <c r="A845" s="1" t="s">
        <v>191</v>
      </c>
    </row>
    <row r="846" spans="1:1" x14ac:dyDescent="0.2">
      <c r="A846" s="1" t="s">
        <v>192</v>
      </c>
    </row>
    <row r="847" spans="1:1" x14ac:dyDescent="0.2">
      <c r="A847" s="1" t="s">
        <v>183</v>
      </c>
    </row>
    <row r="848" spans="1:1" x14ac:dyDescent="0.2">
      <c r="A848" s="1" t="s">
        <v>184</v>
      </c>
    </row>
    <row r="849" spans="1:1" x14ac:dyDescent="0.2">
      <c r="A849" s="1" t="s">
        <v>183</v>
      </c>
    </row>
    <row r="850" spans="1:1" x14ac:dyDescent="0.2">
      <c r="A850" s="1" t="s">
        <v>184</v>
      </c>
    </row>
    <row r="851" spans="1:1" x14ac:dyDescent="0.2">
      <c r="A851" s="1" t="s">
        <v>183</v>
      </c>
    </row>
    <row r="852" spans="1:1" x14ac:dyDescent="0.2">
      <c r="A852" s="1" t="s">
        <v>184</v>
      </c>
    </row>
    <row r="853" spans="1:1" x14ac:dyDescent="0.2">
      <c r="A853" s="1" t="s">
        <v>185</v>
      </c>
    </row>
    <row r="854" spans="1:1" x14ac:dyDescent="0.2">
      <c r="A854" s="1" t="s">
        <v>186</v>
      </c>
    </row>
    <row r="855" spans="1:1" x14ac:dyDescent="0.2">
      <c r="A855" s="1" t="s">
        <v>187</v>
      </c>
    </row>
    <row r="856" spans="1:1" x14ac:dyDescent="0.2">
      <c r="A856" s="1" t="s">
        <v>188</v>
      </c>
    </row>
    <row r="857" spans="1:1" x14ac:dyDescent="0.2">
      <c r="A857" s="1" t="s">
        <v>189</v>
      </c>
    </row>
    <row r="858" spans="1:1" x14ac:dyDescent="0.2">
      <c r="A858" s="1" t="s">
        <v>190</v>
      </c>
    </row>
    <row r="859" spans="1:1" x14ac:dyDescent="0.2">
      <c r="A859" s="1" t="s">
        <v>191</v>
      </c>
    </row>
    <row r="860" spans="1:1" x14ac:dyDescent="0.2">
      <c r="A860" s="1" t="s">
        <v>192</v>
      </c>
    </row>
    <row r="861" spans="1:1" x14ac:dyDescent="0.2">
      <c r="A861" s="1" t="s">
        <v>183</v>
      </c>
    </row>
    <row r="862" spans="1:1" x14ac:dyDescent="0.2">
      <c r="A862" s="1" t="s">
        <v>184</v>
      </c>
    </row>
    <row r="863" spans="1:1" x14ac:dyDescent="0.2">
      <c r="A863" s="1" t="s">
        <v>193</v>
      </c>
    </row>
    <row r="864" spans="1:1" x14ac:dyDescent="0.2">
      <c r="A864" s="1" t="s">
        <v>194</v>
      </c>
    </row>
    <row r="865" spans="1:1" x14ac:dyDescent="0.2">
      <c r="A865" s="1" t="s">
        <v>193</v>
      </c>
    </row>
    <row r="866" spans="1:1" x14ac:dyDescent="0.2">
      <c r="A866" s="1" t="s">
        <v>194</v>
      </c>
    </row>
    <row r="867" spans="1:1" x14ac:dyDescent="0.2">
      <c r="A867" s="1" t="s">
        <v>195</v>
      </c>
    </row>
    <row r="868" spans="1:1" x14ac:dyDescent="0.2">
      <c r="A868" s="1" t="s">
        <v>196</v>
      </c>
    </row>
    <row r="869" spans="1:1" x14ac:dyDescent="0.2">
      <c r="A869" s="1" t="s">
        <v>197</v>
      </c>
    </row>
    <row r="870" spans="1:1" x14ac:dyDescent="0.2">
      <c r="A870" s="1" t="s">
        <v>198</v>
      </c>
    </row>
    <row r="871" spans="1:1" x14ac:dyDescent="0.2">
      <c r="A871" s="1" t="s">
        <v>199</v>
      </c>
    </row>
    <row r="872" spans="1:1" x14ac:dyDescent="0.2">
      <c r="A872" s="1" t="s">
        <v>200</v>
      </c>
    </row>
    <row r="873" spans="1:1" x14ac:dyDescent="0.2">
      <c r="A873" s="1" t="s">
        <v>201</v>
      </c>
    </row>
    <row r="874" spans="1:1" x14ac:dyDescent="0.2">
      <c r="A874" s="1" t="s">
        <v>202</v>
      </c>
    </row>
    <row r="875" spans="1:1" x14ac:dyDescent="0.2">
      <c r="A875" s="1" t="s">
        <v>193</v>
      </c>
    </row>
    <row r="876" spans="1:1" x14ac:dyDescent="0.2">
      <c r="A876" s="1" t="s">
        <v>194</v>
      </c>
    </row>
    <row r="877" spans="1:1" x14ac:dyDescent="0.2">
      <c r="A877" s="1" t="s">
        <v>193</v>
      </c>
    </row>
    <row r="878" spans="1:1" x14ac:dyDescent="0.2">
      <c r="A878" s="1" t="s">
        <v>194</v>
      </c>
    </row>
    <row r="879" spans="1:1" x14ac:dyDescent="0.2">
      <c r="A879" s="1" t="s">
        <v>193</v>
      </c>
    </row>
    <row r="880" spans="1:1" x14ac:dyDescent="0.2">
      <c r="A880" s="1" t="s">
        <v>194</v>
      </c>
    </row>
    <row r="881" spans="1:1" x14ac:dyDescent="0.2">
      <c r="A881" s="1" t="s">
        <v>195</v>
      </c>
    </row>
    <row r="882" spans="1:1" x14ac:dyDescent="0.2">
      <c r="A882" s="1" t="s">
        <v>196</v>
      </c>
    </row>
    <row r="883" spans="1:1" x14ac:dyDescent="0.2">
      <c r="A883" s="1" t="s">
        <v>197</v>
      </c>
    </row>
    <row r="884" spans="1:1" x14ac:dyDescent="0.2">
      <c r="A884" s="1" t="s">
        <v>198</v>
      </c>
    </row>
    <row r="885" spans="1:1" x14ac:dyDescent="0.2">
      <c r="A885" s="1" t="s">
        <v>199</v>
      </c>
    </row>
    <row r="886" spans="1:1" x14ac:dyDescent="0.2">
      <c r="A886" s="1" t="s">
        <v>200</v>
      </c>
    </row>
    <row r="887" spans="1:1" x14ac:dyDescent="0.2">
      <c r="A887" s="1" t="s">
        <v>201</v>
      </c>
    </row>
    <row r="888" spans="1:1" x14ac:dyDescent="0.2">
      <c r="A888" s="1" t="s">
        <v>202</v>
      </c>
    </row>
    <row r="889" spans="1:1" x14ac:dyDescent="0.2">
      <c r="A889" s="1" t="s">
        <v>193</v>
      </c>
    </row>
    <row r="890" spans="1:1" x14ac:dyDescent="0.2">
      <c r="A890" s="1" t="s">
        <v>194</v>
      </c>
    </row>
    <row r="891" spans="1:1" x14ac:dyDescent="0.2">
      <c r="A891" s="1" t="s">
        <v>193</v>
      </c>
    </row>
    <row r="892" spans="1:1" x14ac:dyDescent="0.2">
      <c r="A892" s="1" t="s">
        <v>194</v>
      </c>
    </row>
    <row r="893" spans="1:1" x14ac:dyDescent="0.2">
      <c r="A893" s="1" t="s">
        <v>193</v>
      </c>
    </row>
    <row r="894" spans="1:1" x14ac:dyDescent="0.2">
      <c r="A894" s="1" t="s">
        <v>194</v>
      </c>
    </row>
    <row r="895" spans="1:1" x14ac:dyDescent="0.2">
      <c r="A895" s="1" t="s">
        <v>195</v>
      </c>
    </row>
    <row r="896" spans="1:1" x14ac:dyDescent="0.2">
      <c r="A896" s="1" t="s">
        <v>196</v>
      </c>
    </row>
    <row r="897" spans="1:1" x14ac:dyDescent="0.2">
      <c r="A897" s="1" t="s">
        <v>197</v>
      </c>
    </row>
    <row r="898" spans="1:1" x14ac:dyDescent="0.2">
      <c r="A898" s="1" t="s">
        <v>198</v>
      </c>
    </row>
    <row r="899" spans="1:1" x14ac:dyDescent="0.2">
      <c r="A899" s="1" t="s">
        <v>199</v>
      </c>
    </row>
    <row r="900" spans="1:1" x14ac:dyDescent="0.2">
      <c r="A900" s="1" t="s">
        <v>200</v>
      </c>
    </row>
    <row r="901" spans="1:1" x14ac:dyDescent="0.2">
      <c r="A901" s="1" t="s">
        <v>201</v>
      </c>
    </row>
    <row r="902" spans="1:1" x14ac:dyDescent="0.2">
      <c r="A902" s="1" t="s">
        <v>202</v>
      </c>
    </row>
    <row r="903" spans="1:1" x14ac:dyDescent="0.2">
      <c r="A903" s="1" t="s">
        <v>193</v>
      </c>
    </row>
    <row r="904" spans="1:1" x14ac:dyDescent="0.2">
      <c r="A904" s="1" t="s">
        <v>194</v>
      </c>
    </row>
    <row r="905" spans="1:1" x14ac:dyDescent="0.2">
      <c r="A905" s="1" t="s">
        <v>193</v>
      </c>
    </row>
    <row r="906" spans="1:1" x14ac:dyDescent="0.2">
      <c r="A906" s="1" t="s">
        <v>194</v>
      </c>
    </row>
    <row r="907" spans="1:1" x14ac:dyDescent="0.2">
      <c r="A907" s="1" t="s">
        <v>193</v>
      </c>
    </row>
    <row r="908" spans="1:1" x14ac:dyDescent="0.2">
      <c r="A908" s="1" t="s">
        <v>194</v>
      </c>
    </row>
    <row r="909" spans="1:1" x14ac:dyDescent="0.2">
      <c r="A909" s="1" t="s">
        <v>195</v>
      </c>
    </row>
    <row r="910" spans="1:1" x14ac:dyDescent="0.2">
      <c r="A910" s="1" t="s">
        <v>196</v>
      </c>
    </row>
    <row r="911" spans="1:1" x14ac:dyDescent="0.2">
      <c r="A911" s="1" t="s">
        <v>197</v>
      </c>
    </row>
    <row r="912" spans="1:1" x14ac:dyDescent="0.2">
      <c r="A912" s="1" t="s">
        <v>198</v>
      </c>
    </row>
    <row r="913" spans="1:1" x14ac:dyDescent="0.2">
      <c r="A913" s="1" t="s">
        <v>199</v>
      </c>
    </row>
    <row r="914" spans="1:1" x14ac:dyDescent="0.2">
      <c r="A914" s="1" t="s">
        <v>200</v>
      </c>
    </row>
    <row r="915" spans="1:1" x14ac:dyDescent="0.2">
      <c r="A915" s="1" t="s">
        <v>201</v>
      </c>
    </row>
    <row r="916" spans="1:1" x14ac:dyDescent="0.2">
      <c r="A916" s="1" t="s">
        <v>202</v>
      </c>
    </row>
    <row r="917" spans="1:1" x14ac:dyDescent="0.2">
      <c r="A917" s="1" t="s">
        <v>193</v>
      </c>
    </row>
    <row r="918" spans="1:1" x14ac:dyDescent="0.2">
      <c r="A918" s="1" t="s">
        <v>194</v>
      </c>
    </row>
    <row r="919" spans="1:1" x14ac:dyDescent="0.2">
      <c r="A919" s="1" t="s">
        <v>193</v>
      </c>
    </row>
    <row r="920" spans="1:1" x14ac:dyDescent="0.2">
      <c r="A920" s="1" t="s">
        <v>194</v>
      </c>
    </row>
    <row r="921" spans="1:1" x14ac:dyDescent="0.2">
      <c r="A921" s="1" t="s">
        <v>193</v>
      </c>
    </row>
    <row r="922" spans="1:1" x14ac:dyDescent="0.2">
      <c r="A922" s="1" t="s">
        <v>194</v>
      </c>
    </row>
    <row r="923" spans="1:1" x14ac:dyDescent="0.2">
      <c r="A923" s="1" t="s">
        <v>195</v>
      </c>
    </row>
    <row r="924" spans="1:1" x14ac:dyDescent="0.2">
      <c r="A924" s="1" t="s">
        <v>196</v>
      </c>
    </row>
    <row r="925" spans="1:1" x14ac:dyDescent="0.2">
      <c r="A925" s="1" t="s">
        <v>197</v>
      </c>
    </row>
    <row r="926" spans="1:1" x14ac:dyDescent="0.2">
      <c r="A926" s="1" t="s">
        <v>198</v>
      </c>
    </row>
    <row r="927" spans="1:1" x14ac:dyDescent="0.2">
      <c r="A927" s="1" t="s">
        <v>199</v>
      </c>
    </row>
    <row r="928" spans="1:1" x14ac:dyDescent="0.2">
      <c r="A928" s="1" t="s">
        <v>200</v>
      </c>
    </row>
    <row r="929" spans="1:1" x14ac:dyDescent="0.2">
      <c r="A929" s="1" t="s">
        <v>201</v>
      </c>
    </row>
    <row r="930" spans="1:1" x14ac:dyDescent="0.2">
      <c r="A930" s="1" t="s">
        <v>202</v>
      </c>
    </row>
    <row r="931" spans="1:1" x14ac:dyDescent="0.2">
      <c r="A931" s="1" t="s">
        <v>193</v>
      </c>
    </row>
    <row r="932" spans="1:1" x14ac:dyDescent="0.2">
      <c r="A932" s="1" t="s">
        <v>194</v>
      </c>
    </row>
    <row r="933" spans="1:1" x14ac:dyDescent="0.2">
      <c r="A933" s="1" t="s">
        <v>193</v>
      </c>
    </row>
    <row r="934" spans="1:1" x14ac:dyDescent="0.2">
      <c r="A934" s="1" t="s">
        <v>194</v>
      </c>
    </row>
    <row r="935" spans="1:1" x14ac:dyDescent="0.2">
      <c r="A935" s="1" t="s">
        <v>193</v>
      </c>
    </row>
    <row r="936" spans="1:1" x14ac:dyDescent="0.2">
      <c r="A936" s="1" t="s">
        <v>194</v>
      </c>
    </row>
    <row r="937" spans="1:1" x14ac:dyDescent="0.2">
      <c r="A937" s="1" t="s">
        <v>195</v>
      </c>
    </row>
    <row r="938" spans="1:1" x14ac:dyDescent="0.2">
      <c r="A938" s="1" t="s">
        <v>196</v>
      </c>
    </row>
    <row r="939" spans="1:1" x14ac:dyDescent="0.2">
      <c r="A939" s="1" t="s">
        <v>197</v>
      </c>
    </row>
    <row r="940" spans="1:1" x14ac:dyDescent="0.2">
      <c r="A940" s="1" t="s">
        <v>198</v>
      </c>
    </row>
    <row r="941" spans="1:1" x14ac:dyDescent="0.2">
      <c r="A941" s="1" t="s">
        <v>199</v>
      </c>
    </row>
    <row r="942" spans="1:1" x14ac:dyDescent="0.2">
      <c r="A942" s="1" t="s">
        <v>200</v>
      </c>
    </row>
    <row r="943" spans="1:1" x14ac:dyDescent="0.2">
      <c r="A943" s="1" t="s">
        <v>201</v>
      </c>
    </row>
    <row r="944" spans="1:1" x14ac:dyDescent="0.2">
      <c r="A944" s="1" t="s">
        <v>202</v>
      </c>
    </row>
    <row r="945" spans="1:1" x14ac:dyDescent="0.2">
      <c r="A945" s="1" t="s">
        <v>193</v>
      </c>
    </row>
    <row r="946" spans="1:1" x14ac:dyDescent="0.2">
      <c r="A946" s="1" t="s">
        <v>194</v>
      </c>
    </row>
    <row r="947" spans="1:1" x14ac:dyDescent="0.2">
      <c r="A947" s="1" t="s">
        <v>193</v>
      </c>
    </row>
    <row r="948" spans="1:1" x14ac:dyDescent="0.2">
      <c r="A948" s="1" t="s">
        <v>194</v>
      </c>
    </row>
    <row r="949" spans="1:1" x14ac:dyDescent="0.2">
      <c r="A949" s="1" t="s">
        <v>193</v>
      </c>
    </row>
    <row r="950" spans="1:1" x14ac:dyDescent="0.2">
      <c r="A950" s="1" t="s">
        <v>194</v>
      </c>
    </row>
    <row r="951" spans="1:1" x14ac:dyDescent="0.2">
      <c r="A951" s="1" t="s">
        <v>195</v>
      </c>
    </row>
    <row r="952" spans="1:1" x14ac:dyDescent="0.2">
      <c r="A952" s="1" t="s">
        <v>196</v>
      </c>
    </row>
    <row r="953" spans="1:1" x14ac:dyDescent="0.2">
      <c r="A953" s="1" t="s">
        <v>197</v>
      </c>
    </row>
    <row r="954" spans="1:1" x14ac:dyDescent="0.2">
      <c r="A954" s="1" t="s">
        <v>198</v>
      </c>
    </row>
    <row r="955" spans="1:1" x14ac:dyDescent="0.2">
      <c r="A955" s="1" t="s">
        <v>199</v>
      </c>
    </row>
    <row r="956" spans="1:1" x14ac:dyDescent="0.2">
      <c r="A956" s="1" t="s">
        <v>200</v>
      </c>
    </row>
    <row r="957" spans="1:1" x14ac:dyDescent="0.2">
      <c r="A957" s="1" t="s">
        <v>201</v>
      </c>
    </row>
    <row r="958" spans="1:1" x14ac:dyDescent="0.2">
      <c r="A958" s="1" t="s">
        <v>202</v>
      </c>
    </row>
    <row r="959" spans="1:1" x14ac:dyDescent="0.2">
      <c r="A959" s="1" t="s">
        <v>193</v>
      </c>
    </row>
    <row r="960" spans="1:1" x14ac:dyDescent="0.2">
      <c r="A960" s="1" t="s">
        <v>194</v>
      </c>
    </row>
    <row r="961" spans="1:1" x14ac:dyDescent="0.2">
      <c r="A961" s="1" t="s">
        <v>193</v>
      </c>
    </row>
    <row r="962" spans="1:1" x14ac:dyDescent="0.2">
      <c r="A962" s="1" t="s">
        <v>194</v>
      </c>
    </row>
    <row r="963" spans="1:1" x14ac:dyDescent="0.2">
      <c r="A963" s="1" t="s">
        <v>193</v>
      </c>
    </row>
    <row r="964" spans="1:1" x14ac:dyDescent="0.2">
      <c r="A964" s="1" t="s">
        <v>194</v>
      </c>
    </row>
    <row r="965" spans="1:1" x14ac:dyDescent="0.2">
      <c r="A965" s="1" t="s">
        <v>195</v>
      </c>
    </row>
    <row r="966" spans="1:1" x14ac:dyDescent="0.2">
      <c r="A966" s="1" t="s">
        <v>196</v>
      </c>
    </row>
    <row r="967" spans="1:1" x14ac:dyDescent="0.2">
      <c r="A967" s="1" t="s">
        <v>197</v>
      </c>
    </row>
    <row r="968" spans="1:1" x14ac:dyDescent="0.2">
      <c r="A968" s="1" t="s">
        <v>198</v>
      </c>
    </row>
    <row r="969" spans="1:1" x14ac:dyDescent="0.2">
      <c r="A969" s="1" t="s">
        <v>199</v>
      </c>
    </row>
    <row r="970" spans="1:1" x14ac:dyDescent="0.2">
      <c r="A970" s="1" t="s">
        <v>200</v>
      </c>
    </row>
    <row r="971" spans="1:1" x14ac:dyDescent="0.2">
      <c r="A971" s="1" t="s">
        <v>201</v>
      </c>
    </row>
    <row r="972" spans="1:1" x14ac:dyDescent="0.2">
      <c r="A972" s="1" t="s">
        <v>202</v>
      </c>
    </row>
    <row r="973" spans="1:1" x14ac:dyDescent="0.2">
      <c r="A973" s="1" t="s">
        <v>193</v>
      </c>
    </row>
    <row r="974" spans="1:1" x14ac:dyDescent="0.2">
      <c r="A974" s="1" t="s">
        <v>194</v>
      </c>
    </row>
    <row r="975" spans="1:1" x14ac:dyDescent="0.2">
      <c r="A975" s="1" t="s">
        <v>203</v>
      </c>
    </row>
    <row r="976" spans="1:1" x14ac:dyDescent="0.2">
      <c r="A976" s="1" t="s">
        <v>204</v>
      </c>
    </row>
    <row r="977" spans="1:1" x14ac:dyDescent="0.2">
      <c r="A977" s="1" t="s">
        <v>203</v>
      </c>
    </row>
    <row r="978" spans="1:1" x14ac:dyDescent="0.2">
      <c r="A978" s="1" t="s">
        <v>204</v>
      </c>
    </row>
    <row r="979" spans="1:1" x14ac:dyDescent="0.2">
      <c r="A979" s="1" t="s">
        <v>205</v>
      </c>
    </row>
    <row r="980" spans="1:1" x14ac:dyDescent="0.2">
      <c r="A980" s="1" t="s">
        <v>206</v>
      </c>
    </row>
    <row r="981" spans="1:1" x14ac:dyDescent="0.2">
      <c r="A981" s="1" t="s">
        <v>207</v>
      </c>
    </row>
    <row r="982" spans="1:1" x14ac:dyDescent="0.2">
      <c r="A982" s="1" t="s">
        <v>208</v>
      </c>
    </row>
    <row r="983" spans="1:1" x14ac:dyDescent="0.2">
      <c r="A983" s="1" t="s">
        <v>209</v>
      </c>
    </row>
    <row r="984" spans="1:1" x14ac:dyDescent="0.2">
      <c r="A984" s="1" t="s">
        <v>210</v>
      </c>
    </row>
    <row r="985" spans="1:1" x14ac:dyDescent="0.2">
      <c r="A985" s="1" t="s">
        <v>211</v>
      </c>
    </row>
    <row r="986" spans="1:1" x14ac:dyDescent="0.2">
      <c r="A986" s="1" t="s">
        <v>212</v>
      </c>
    </row>
    <row r="987" spans="1:1" x14ac:dyDescent="0.2">
      <c r="A987" s="1" t="s">
        <v>203</v>
      </c>
    </row>
    <row r="988" spans="1:1" x14ac:dyDescent="0.2">
      <c r="A988" s="1" t="s">
        <v>204</v>
      </c>
    </row>
    <row r="989" spans="1:1" x14ac:dyDescent="0.2">
      <c r="A989" s="1" t="s">
        <v>203</v>
      </c>
    </row>
    <row r="990" spans="1:1" x14ac:dyDescent="0.2">
      <c r="A990" s="1" t="s">
        <v>204</v>
      </c>
    </row>
    <row r="991" spans="1:1" x14ac:dyDescent="0.2">
      <c r="A991" s="1" t="s">
        <v>203</v>
      </c>
    </row>
    <row r="992" spans="1:1" x14ac:dyDescent="0.2">
      <c r="A992" s="1" t="s">
        <v>204</v>
      </c>
    </row>
    <row r="993" spans="1:1" x14ac:dyDescent="0.2">
      <c r="A993" s="1" t="s">
        <v>205</v>
      </c>
    </row>
    <row r="994" spans="1:1" x14ac:dyDescent="0.2">
      <c r="A994" s="1" t="s">
        <v>206</v>
      </c>
    </row>
    <row r="995" spans="1:1" x14ac:dyDescent="0.2">
      <c r="A995" s="1" t="s">
        <v>207</v>
      </c>
    </row>
    <row r="996" spans="1:1" x14ac:dyDescent="0.2">
      <c r="A996" s="1" t="s">
        <v>208</v>
      </c>
    </row>
    <row r="997" spans="1:1" x14ac:dyDescent="0.2">
      <c r="A997" s="1" t="s">
        <v>209</v>
      </c>
    </row>
    <row r="998" spans="1:1" x14ac:dyDescent="0.2">
      <c r="A998" s="1" t="s">
        <v>210</v>
      </c>
    </row>
    <row r="999" spans="1:1" x14ac:dyDescent="0.2">
      <c r="A999" s="1" t="s">
        <v>211</v>
      </c>
    </row>
    <row r="1000" spans="1:1" x14ac:dyDescent="0.2">
      <c r="A1000" s="1" t="s">
        <v>212</v>
      </c>
    </row>
    <row r="1001" spans="1:1" x14ac:dyDescent="0.2">
      <c r="A1001" s="1" t="s">
        <v>203</v>
      </c>
    </row>
    <row r="1002" spans="1:1" x14ac:dyDescent="0.2">
      <c r="A1002" s="1" t="s">
        <v>204</v>
      </c>
    </row>
    <row r="1003" spans="1:1" x14ac:dyDescent="0.2">
      <c r="A1003" s="1" t="s">
        <v>203</v>
      </c>
    </row>
    <row r="1004" spans="1:1" x14ac:dyDescent="0.2">
      <c r="A1004" s="1" t="s">
        <v>204</v>
      </c>
    </row>
    <row r="1005" spans="1:1" x14ac:dyDescent="0.2">
      <c r="A1005" s="1" t="s">
        <v>203</v>
      </c>
    </row>
    <row r="1006" spans="1:1" x14ac:dyDescent="0.2">
      <c r="A1006" s="1" t="s">
        <v>204</v>
      </c>
    </row>
    <row r="1007" spans="1:1" x14ac:dyDescent="0.2">
      <c r="A1007" s="1" t="s">
        <v>205</v>
      </c>
    </row>
    <row r="1008" spans="1:1" x14ac:dyDescent="0.2">
      <c r="A1008" s="1" t="s">
        <v>206</v>
      </c>
    </row>
    <row r="1009" spans="1:1" x14ac:dyDescent="0.2">
      <c r="A1009" s="1" t="s">
        <v>207</v>
      </c>
    </row>
    <row r="1010" spans="1:1" x14ac:dyDescent="0.2">
      <c r="A1010" s="1" t="s">
        <v>208</v>
      </c>
    </row>
    <row r="1011" spans="1:1" x14ac:dyDescent="0.2">
      <c r="A1011" s="1" t="s">
        <v>209</v>
      </c>
    </row>
    <row r="1012" spans="1:1" x14ac:dyDescent="0.2">
      <c r="A1012" s="1" t="s">
        <v>210</v>
      </c>
    </row>
    <row r="1013" spans="1:1" x14ac:dyDescent="0.2">
      <c r="A1013" s="1" t="s">
        <v>211</v>
      </c>
    </row>
    <row r="1014" spans="1:1" x14ac:dyDescent="0.2">
      <c r="A1014" s="1" t="s">
        <v>212</v>
      </c>
    </row>
    <row r="1015" spans="1:1" x14ac:dyDescent="0.2">
      <c r="A1015" s="1" t="s">
        <v>203</v>
      </c>
    </row>
    <row r="1016" spans="1:1" x14ac:dyDescent="0.2">
      <c r="A1016" s="1" t="s">
        <v>204</v>
      </c>
    </row>
    <row r="1017" spans="1:1" x14ac:dyDescent="0.2">
      <c r="A1017" s="1" t="s">
        <v>213</v>
      </c>
    </row>
    <row r="1018" spans="1:1" x14ac:dyDescent="0.2">
      <c r="A1018" s="1" t="s">
        <v>214</v>
      </c>
    </row>
    <row r="1019" spans="1:1" x14ac:dyDescent="0.2">
      <c r="A1019" s="1" t="s">
        <v>213</v>
      </c>
    </row>
    <row r="1020" spans="1:1" x14ac:dyDescent="0.2">
      <c r="A1020" s="1" t="s">
        <v>214</v>
      </c>
    </row>
    <row r="1021" spans="1:1" x14ac:dyDescent="0.2">
      <c r="A1021" s="1" t="s">
        <v>215</v>
      </c>
    </row>
    <row r="1022" spans="1:1" x14ac:dyDescent="0.2">
      <c r="A1022" s="1" t="s">
        <v>216</v>
      </c>
    </row>
    <row r="1023" spans="1:1" x14ac:dyDescent="0.2">
      <c r="A1023" s="1" t="s">
        <v>217</v>
      </c>
    </row>
    <row r="1024" spans="1:1" x14ac:dyDescent="0.2">
      <c r="A1024" s="1" t="s">
        <v>218</v>
      </c>
    </row>
    <row r="1025" spans="1:1" x14ac:dyDescent="0.2">
      <c r="A1025" s="1" t="s">
        <v>219</v>
      </c>
    </row>
    <row r="1026" spans="1:1" x14ac:dyDescent="0.2">
      <c r="A1026" s="1" t="s">
        <v>220</v>
      </c>
    </row>
    <row r="1027" spans="1:1" x14ac:dyDescent="0.2">
      <c r="A1027" s="1" t="s">
        <v>221</v>
      </c>
    </row>
    <row r="1028" spans="1:1" x14ac:dyDescent="0.2">
      <c r="A1028" s="1" t="s">
        <v>222</v>
      </c>
    </row>
    <row r="1029" spans="1:1" x14ac:dyDescent="0.2">
      <c r="A1029" s="1" t="s">
        <v>213</v>
      </c>
    </row>
    <row r="1030" spans="1:1" x14ac:dyDescent="0.2">
      <c r="A1030" s="1" t="s">
        <v>214</v>
      </c>
    </row>
    <row r="1031" spans="1:1" x14ac:dyDescent="0.2">
      <c r="A1031" s="1" t="s">
        <v>213</v>
      </c>
    </row>
    <row r="1032" spans="1:1" x14ac:dyDescent="0.2">
      <c r="A1032" s="1" t="s">
        <v>214</v>
      </c>
    </row>
    <row r="1033" spans="1:1" x14ac:dyDescent="0.2">
      <c r="A1033" s="1" t="s">
        <v>213</v>
      </c>
    </row>
    <row r="1034" spans="1:1" x14ac:dyDescent="0.2">
      <c r="A1034" s="1" t="s">
        <v>214</v>
      </c>
    </row>
    <row r="1035" spans="1:1" x14ac:dyDescent="0.2">
      <c r="A1035" s="1" t="s">
        <v>215</v>
      </c>
    </row>
    <row r="1036" spans="1:1" x14ac:dyDescent="0.2">
      <c r="A1036" s="1" t="s">
        <v>216</v>
      </c>
    </row>
    <row r="1037" spans="1:1" x14ac:dyDescent="0.2">
      <c r="A1037" s="1" t="s">
        <v>217</v>
      </c>
    </row>
    <row r="1038" spans="1:1" x14ac:dyDescent="0.2">
      <c r="A1038" s="1" t="s">
        <v>218</v>
      </c>
    </row>
    <row r="1039" spans="1:1" x14ac:dyDescent="0.2">
      <c r="A1039" s="1" t="s">
        <v>219</v>
      </c>
    </row>
    <row r="1040" spans="1:1" x14ac:dyDescent="0.2">
      <c r="A1040" s="1" t="s">
        <v>220</v>
      </c>
    </row>
    <row r="1041" spans="1:1" x14ac:dyDescent="0.2">
      <c r="A1041" s="1" t="s">
        <v>221</v>
      </c>
    </row>
    <row r="1042" spans="1:1" x14ac:dyDescent="0.2">
      <c r="A1042" s="1" t="s">
        <v>222</v>
      </c>
    </row>
    <row r="1043" spans="1:1" x14ac:dyDescent="0.2">
      <c r="A1043" s="1" t="s">
        <v>213</v>
      </c>
    </row>
    <row r="1044" spans="1:1" x14ac:dyDescent="0.2">
      <c r="A1044" s="1" t="s">
        <v>214</v>
      </c>
    </row>
    <row r="1045" spans="1:1" x14ac:dyDescent="0.2">
      <c r="A1045" s="1" t="s">
        <v>213</v>
      </c>
    </row>
    <row r="1046" spans="1:1" x14ac:dyDescent="0.2">
      <c r="A1046" s="1" t="s">
        <v>214</v>
      </c>
    </row>
    <row r="1047" spans="1:1" x14ac:dyDescent="0.2">
      <c r="A1047" s="1" t="s">
        <v>213</v>
      </c>
    </row>
    <row r="1048" spans="1:1" x14ac:dyDescent="0.2">
      <c r="A1048" s="1" t="s">
        <v>214</v>
      </c>
    </row>
    <row r="1049" spans="1:1" x14ac:dyDescent="0.2">
      <c r="A1049" s="1" t="s">
        <v>215</v>
      </c>
    </row>
    <row r="1050" spans="1:1" x14ac:dyDescent="0.2">
      <c r="A1050" s="1" t="s">
        <v>216</v>
      </c>
    </row>
    <row r="1051" spans="1:1" x14ac:dyDescent="0.2">
      <c r="A1051" s="1" t="s">
        <v>217</v>
      </c>
    </row>
    <row r="1052" spans="1:1" x14ac:dyDescent="0.2">
      <c r="A1052" s="1" t="s">
        <v>218</v>
      </c>
    </row>
    <row r="1053" spans="1:1" x14ac:dyDescent="0.2">
      <c r="A1053" s="1" t="s">
        <v>219</v>
      </c>
    </row>
    <row r="1054" spans="1:1" x14ac:dyDescent="0.2">
      <c r="A1054" s="1" t="s">
        <v>220</v>
      </c>
    </row>
    <row r="1055" spans="1:1" x14ac:dyDescent="0.2">
      <c r="A1055" s="1" t="s">
        <v>221</v>
      </c>
    </row>
    <row r="1056" spans="1:1" x14ac:dyDescent="0.2">
      <c r="A1056" s="1" t="s">
        <v>222</v>
      </c>
    </row>
    <row r="1057" spans="1:1" x14ac:dyDescent="0.2">
      <c r="A1057" s="1" t="s">
        <v>213</v>
      </c>
    </row>
    <row r="1058" spans="1:1" x14ac:dyDescent="0.2">
      <c r="A1058" s="1" t="s">
        <v>214</v>
      </c>
    </row>
    <row r="1059" spans="1:1" x14ac:dyDescent="0.2">
      <c r="A1059" s="1" t="s">
        <v>213</v>
      </c>
    </row>
    <row r="1060" spans="1:1" x14ac:dyDescent="0.2">
      <c r="A1060" s="1" t="s">
        <v>214</v>
      </c>
    </row>
    <row r="1061" spans="1:1" x14ac:dyDescent="0.2">
      <c r="A1061" s="1" t="s">
        <v>213</v>
      </c>
    </row>
    <row r="1062" spans="1:1" x14ac:dyDescent="0.2">
      <c r="A1062" s="1" t="s">
        <v>214</v>
      </c>
    </row>
    <row r="1063" spans="1:1" x14ac:dyDescent="0.2">
      <c r="A1063" s="1" t="s">
        <v>215</v>
      </c>
    </row>
    <row r="1064" spans="1:1" x14ac:dyDescent="0.2">
      <c r="A1064" s="1" t="s">
        <v>216</v>
      </c>
    </row>
    <row r="1065" spans="1:1" x14ac:dyDescent="0.2">
      <c r="A1065" s="1" t="s">
        <v>217</v>
      </c>
    </row>
    <row r="1066" spans="1:1" x14ac:dyDescent="0.2">
      <c r="A1066" s="1" t="s">
        <v>218</v>
      </c>
    </row>
    <row r="1067" spans="1:1" x14ac:dyDescent="0.2">
      <c r="A1067" s="1" t="s">
        <v>219</v>
      </c>
    </row>
    <row r="1068" spans="1:1" x14ac:dyDescent="0.2">
      <c r="A1068" s="1" t="s">
        <v>220</v>
      </c>
    </row>
    <row r="1069" spans="1:1" x14ac:dyDescent="0.2">
      <c r="A1069" s="1" t="s">
        <v>221</v>
      </c>
    </row>
    <row r="1070" spans="1:1" x14ac:dyDescent="0.2">
      <c r="A1070" s="1" t="s">
        <v>222</v>
      </c>
    </row>
    <row r="1071" spans="1:1" x14ac:dyDescent="0.2">
      <c r="A1071" s="1" t="s">
        <v>213</v>
      </c>
    </row>
    <row r="1072" spans="1:1" x14ac:dyDescent="0.2">
      <c r="A1072" s="1" t="s">
        <v>214</v>
      </c>
    </row>
    <row r="1073" spans="1:1" x14ac:dyDescent="0.2">
      <c r="A1073" s="1" t="s">
        <v>213</v>
      </c>
    </row>
    <row r="1074" spans="1:1" x14ac:dyDescent="0.2">
      <c r="A1074" s="1" t="s">
        <v>214</v>
      </c>
    </row>
    <row r="1075" spans="1:1" x14ac:dyDescent="0.2">
      <c r="A1075" s="1" t="s">
        <v>213</v>
      </c>
    </row>
    <row r="1076" spans="1:1" x14ac:dyDescent="0.2">
      <c r="A1076" s="1" t="s">
        <v>214</v>
      </c>
    </row>
    <row r="1077" spans="1:1" x14ac:dyDescent="0.2">
      <c r="A1077" s="1" t="s">
        <v>215</v>
      </c>
    </row>
    <row r="1078" spans="1:1" x14ac:dyDescent="0.2">
      <c r="A1078" s="1" t="s">
        <v>216</v>
      </c>
    </row>
    <row r="1079" spans="1:1" x14ac:dyDescent="0.2">
      <c r="A1079" s="1" t="s">
        <v>217</v>
      </c>
    </row>
    <row r="1080" spans="1:1" x14ac:dyDescent="0.2">
      <c r="A1080" s="1" t="s">
        <v>218</v>
      </c>
    </row>
    <row r="1081" spans="1:1" x14ac:dyDescent="0.2">
      <c r="A1081" s="1" t="s">
        <v>219</v>
      </c>
    </row>
    <row r="1082" spans="1:1" x14ac:dyDescent="0.2">
      <c r="A1082" s="1" t="s">
        <v>220</v>
      </c>
    </row>
    <row r="1083" spans="1:1" x14ac:dyDescent="0.2">
      <c r="A1083" s="1" t="s">
        <v>221</v>
      </c>
    </row>
    <row r="1084" spans="1:1" x14ac:dyDescent="0.2">
      <c r="A1084" s="1" t="s">
        <v>222</v>
      </c>
    </row>
    <row r="1085" spans="1:1" x14ac:dyDescent="0.2">
      <c r="A1085" s="1" t="s">
        <v>213</v>
      </c>
    </row>
    <row r="1086" spans="1:1" x14ac:dyDescent="0.2">
      <c r="A1086" s="1" t="s">
        <v>214</v>
      </c>
    </row>
    <row r="1087" spans="1:1" x14ac:dyDescent="0.2">
      <c r="A1087" s="1" t="s">
        <v>223</v>
      </c>
    </row>
    <row r="1088" spans="1:1" x14ac:dyDescent="0.2">
      <c r="A1088" s="1" t="s">
        <v>224</v>
      </c>
    </row>
    <row r="1089" spans="1:1" x14ac:dyDescent="0.2">
      <c r="A1089" s="1" t="s">
        <v>223</v>
      </c>
    </row>
    <row r="1090" spans="1:1" x14ac:dyDescent="0.2">
      <c r="A1090" s="1" t="s">
        <v>224</v>
      </c>
    </row>
    <row r="1091" spans="1:1" x14ac:dyDescent="0.2">
      <c r="A1091" s="1" t="s">
        <v>225</v>
      </c>
    </row>
    <row r="1092" spans="1:1" x14ac:dyDescent="0.2">
      <c r="A1092" s="1" t="s">
        <v>226</v>
      </c>
    </row>
    <row r="1093" spans="1:1" x14ac:dyDescent="0.2">
      <c r="A1093" s="1" t="s">
        <v>227</v>
      </c>
    </row>
    <row r="1094" spans="1:1" x14ac:dyDescent="0.2">
      <c r="A1094" s="1" t="s">
        <v>228</v>
      </c>
    </row>
    <row r="1095" spans="1:1" x14ac:dyDescent="0.2">
      <c r="A1095" s="1" t="s">
        <v>229</v>
      </c>
    </row>
    <row r="1096" spans="1:1" x14ac:dyDescent="0.2">
      <c r="A1096" s="1" t="s">
        <v>230</v>
      </c>
    </row>
    <row r="1097" spans="1:1" x14ac:dyDescent="0.2">
      <c r="A1097" s="1" t="s">
        <v>231</v>
      </c>
    </row>
    <row r="1098" spans="1:1" x14ac:dyDescent="0.2">
      <c r="A1098" s="1" t="s">
        <v>232</v>
      </c>
    </row>
    <row r="1099" spans="1:1" x14ac:dyDescent="0.2">
      <c r="A1099" s="1" t="s">
        <v>223</v>
      </c>
    </row>
    <row r="1100" spans="1:1" x14ac:dyDescent="0.2">
      <c r="A1100" s="1" t="s">
        <v>224</v>
      </c>
    </row>
    <row r="1101" spans="1:1" x14ac:dyDescent="0.2">
      <c r="A1101" s="1" t="s">
        <v>223</v>
      </c>
    </row>
    <row r="1102" spans="1:1" x14ac:dyDescent="0.2">
      <c r="A1102" s="1" t="s">
        <v>224</v>
      </c>
    </row>
    <row r="1103" spans="1:1" x14ac:dyDescent="0.2">
      <c r="A1103" s="1" t="s">
        <v>223</v>
      </c>
    </row>
    <row r="1104" spans="1:1" x14ac:dyDescent="0.2">
      <c r="A1104" s="1" t="s">
        <v>224</v>
      </c>
    </row>
    <row r="1105" spans="1:1" x14ac:dyDescent="0.2">
      <c r="A1105" s="1" t="s">
        <v>225</v>
      </c>
    </row>
    <row r="1106" spans="1:1" x14ac:dyDescent="0.2">
      <c r="A1106" s="1" t="s">
        <v>226</v>
      </c>
    </row>
    <row r="1107" spans="1:1" x14ac:dyDescent="0.2">
      <c r="A1107" s="1" t="s">
        <v>227</v>
      </c>
    </row>
    <row r="1108" spans="1:1" x14ac:dyDescent="0.2">
      <c r="A1108" s="1" t="s">
        <v>228</v>
      </c>
    </row>
    <row r="1109" spans="1:1" x14ac:dyDescent="0.2">
      <c r="A1109" s="1" t="s">
        <v>229</v>
      </c>
    </row>
    <row r="1110" spans="1:1" x14ac:dyDescent="0.2">
      <c r="A1110" s="1" t="s">
        <v>230</v>
      </c>
    </row>
    <row r="1111" spans="1:1" x14ac:dyDescent="0.2">
      <c r="A1111" s="1" t="s">
        <v>231</v>
      </c>
    </row>
    <row r="1112" spans="1:1" x14ac:dyDescent="0.2">
      <c r="A1112" s="1" t="s">
        <v>232</v>
      </c>
    </row>
    <row r="1113" spans="1:1" x14ac:dyDescent="0.2">
      <c r="A1113" s="1" t="s">
        <v>223</v>
      </c>
    </row>
    <row r="1114" spans="1:1" x14ac:dyDescent="0.2">
      <c r="A1114" s="1" t="s">
        <v>224</v>
      </c>
    </row>
    <row r="1115" spans="1:1" x14ac:dyDescent="0.2">
      <c r="A1115" s="1" t="s">
        <v>223</v>
      </c>
    </row>
    <row r="1116" spans="1:1" x14ac:dyDescent="0.2">
      <c r="A1116" s="1" t="s">
        <v>224</v>
      </c>
    </row>
    <row r="1117" spans="1:1" x14ac:dyDescent="0.2">
      <c r="A1117" s="1" t="s">
        <v>223</v>
      </c>
    </row>
    <row r="1118" spans="1:1" x14ac:dyDescent="0.2">
      <c r="A1118" s="1" t="s">
        <v>224</v>
      </c>
    </row>
    <row r="1119" spans="1:1" x14ac:dyDescent="0.2">
      <c r="A1119" s="1" t="s">
        <v>225</v>
      </c>
    </row>
    <row r="1120" spans="1:1" x14ac:dyDescent="0.2">
      <c r="A1120" s="1" t="s">
        <v>226</v>
      </c>
    </row>
    <row r="1121" spans="1:1" x14ac:dyDescent="0.2">
      <c r="A1121" s="1" t="s">
        <v>227</v>
      </c>
    </row>
    <row r="1122" spans="1:1" x14ac:dyDescent="0.2">
      <c r="A1122" s="1" t="s">
        <v>228</v>
      </c>
    </row>
    <row r="1123" spans="1:1" x14ac:dyDescent="0.2">
      <c r="A1123" s="1" t="s">
        <v>229</v>
      </c>
    </row>
    <row r="1124" spans="1:1" x14ac:dyDescent="0.2">
      <c r="A1124" s="1" t="s">
        <v>230</v>
      </c>
    </row>
    <row r="1125" spans="1:1" x14ac:dyDescent="0.2">
      <c r="A1125" s="1" t="s">
        <v>231</v>
      </c>
    </row>
    <row r="1126" spans="1:1" x14ac:dyDescent="0.2">
      <c r="A1126" s="1" t="s">
        <v>232</v>
      </c>
    </row>
    <row r="1127" spans="1:1" x14ac:dyDescent="0.2">
      <c r="A1127" s="1" t="s">
        <v>223</v>
      </c>
    </row>
    <row r="1128" spans="1:1" x14ac:dyDescent="0.2">
      <c r="A1128" s="1" t="s">
        <v>224</v>
      </c>
    </row>
    <row r="1129" spans="1:1" x14ac:dyDescent="0.2">
      <c r="A1129" s="1" t="s">
        <v>223</v>
      </c>
    </row>
    <row r="1130" spans="1:1" x14ac:dyDescent="0.2">
      <c r="A1130" s="1" t="s">
        <v>224</v>
      </c>
    </row>
    <row r="1131" spans="1:1" x14ac:dyDescent="0.2">
      <c r="A1131" s="1" t="s">
        <v>223</v>
      </c>
    </row>
    <row r="1132" spans="1:1" x14ac:dyDescent="0.2">
      <c r="A1132" s="1" t="s">
        <v>224</v>
      </c>
    </row>
    <row r="1133" spans="1:1" x14ac:dyDescent="0.2">
      <c r="A1133" s="1" t="s">
        <v>225</v>
      </c>
    </row>
    <row r="1134" spans="1:1" x14ac:dyDescent="0.2">
      <c r="A1134" s="1" t="s">
        <v>226</v>
      </c>
    </row>
    <row r="1135" spans="1:1" x14ac:dyDescent="0.2">
      <c r="A1135" s="1" t="s">
        <v>227</v>
      </c>
    </row>
    <row r="1136" spans="1:1" x14ac:dyDescent="0.2">
      <c r="A1136" s="1" t="s">
        <v>228</v>
      </c>
    </row>
    <row r="1137" spans="1:1" x14ac:dyDescent="0.2">
      <c r="A1137" s="1" t="s">
        <v>229</v>
      </c>
    </row>
    <row r="1138" spans="1:1" x14ac:dyDescent="0.2">
      <c r="A1138" s="1" t="s">
        <v>230</v>
      </c>
    </row>
    <row r="1139" spans="1:1" x14ac:dyDescent="0.2">
      <c r="A1139" s="1" t="s">
        <v>231</v>
      </c>
    </row>
    <row r="1140" spans="1:1" x14ac:dyDescent="0.2">
      <c r="A1140" s="1" t="s">
        <v>232</v>
      </c>
    </row>
    <row r="1141" spans="1:1" x14ac:dyDescent="0.2">
      <c r="A1141" s="1" t="s">
        <v>223</v>
      </c>
    </row>
    <row r="1142" spans="1:1" x14ac:dyDescent="0.2">
      <c r="A1142" s="1" t="s">
        <v>224</v>
      </c>
    </row>
    <row r="1143" spans="1:1" x14ac:dyDescent="0.2">
      <c r="A1143" s="1" t="s">
        <v>223</v>
      </c>
    </row>
    <row r="1144" spans="1:1" x14ac:dyDescent="0.2">
      <c r="A1144" s="1" t="s">
        <v>224</v>
      </c>
    </row>
    <row r="1145" spans="1:1" x14ac:dyDescent="0.2">
      <c r="A1145" s="1" t="s">
        <v>223</v>
      </c>
    </row>
    <row r="1146" spans="1:1" x14ac:dyDescent="0.2">
      <c r="A1146" s="1" t="s">
        <v>224</v>
      </c>
    </row>
    <row r="1147" spans="1:1" x14ac:dyDescent="0.2">
      <c r="A1147" s="1" t="s">
        <v>225</v>
      </c>
    </row>
    <row r="1148" spans="1:1" x14ac:dyDescent="0.2">
      <c r="A1148" s="1" t="s">
        <v>226</v>
      </c>
    </row>
    <row r="1149" spans="1:1" x14ac:dyDescent="0.2">
      <c r="A1149" s="1" t="s">
        <v>227</v>
      </c>
    </row>
    <row r="1150" spans="1:1" x14ac:dyDescent="0.2">
      <c r="A1150" s="1" t="s">
        <v>228</v>
      </c>
    </row>
    <row r="1151" spans="1:1" x14ac:dyDescent="0.2">
      <c r="A1151" s="1" t="s">
        <v>229</v>
      </c>
    </row>
    <row r="1152" spans="1:1" x14ac:dyDescent="0.2">
      <c r="A1152" s="1" t="s">
        <v>230</v>
      </c>
    </row>
    <row r="1153" spans="1:1" x14ac:dyDescent="0.2">
      <c r="A1153" s="1" t="s">
        <v>231</v>
      </c>
    </row>
    <row r="1154" spans="1:1" x14ac:dyDescent="0.2">
      <c r="A1154" s="1" t="s">
        <v>232</v>
      </c>
    </row>
    <row r="1155" spans="1:1" x14ac:dyDescent="0.2">
      <c r="A1155" s="1" t="s">
        <v>223</v>
      </c>
    </row>
    <row r="1156" spans="1:1" x14ac:dyDescent="0.2">
      <c r="A1156" s="1" t="s">
        <v>224</v>
      </c>
    </row>
    <row r="1157" spans="1:1" x14ac:dyDescent="0.2">
      <c r="A1157" s="1" t="s">
        <v>223</v>
      </c>
    </row>
    <row r="1158" spans="1:1" x14ac:dyDescent="0.2">
      <c r="A1158" s="1" t="s">
        <v>224</v>
      </c>
    </row>
    <row r="1159" spans="1:1" x14ac:dyDescent="0.2">
      <c r="A1159" s="1" t="s">
        <v>223</v>
      </c>
    </row>
    <row r="1160" spans="1:1" x14ac:dyDescent="0.2">
      <c r="A1160" s="1" t="s">
        <v>224</v>
      </c>
    </row>
    <row r="1161" spans="1:1" x14ac:dyDescent="0.2">
      <c r="A1161" s="1" t="s">
        <v>225</v>
      </c>
    </row>
    <row r="1162" spans="1:1" x14ac:dyDescent="0.2">
      <c r="A1162" s="1" t="s">
        <v>226</v>
      </c>
    </row>
    <row r="1163" spans="1:1" x14ac:dyDescent="0.2">
      <c r="A1163" s="1" t="s">
        <v>227</v>
      </c>
    </row>
    <row r="1164" spans="1:1" x14ac:dyDescent="0.2">
      <c r="A1164" s="1" t="s">
        <v>228</v>
      </c>
    </row>
    <row r="1165" spans="1:1" x14ac:dyDescent="0.2">
      <c r="A1165" s="1" t="s">
        <v>229</v>
      </c>
    </row>
    <row r="1166" spans="1:1" x14ac:dyDescent="0.2">
      <c r="A1166" s="1" t="s">
        <v>230</v>
      </c>
    </row>
    <row r="1167" spans="1:1" x14ac:dyDescent="0.2">
      <c r="A1167" s="1" t="s">
        <v>231</v>
      </c>
    </row>
    <row r="1168" spans="1:1" x14ac:dyDescent="0.2">
      <c r="A1168" s="1" t="s">
        <v>232</v>
      </c>
    </row>
    <row r="1169" spans="1:1" x14ac:dyDescent="0.2">
      <c r="A1169" s="1" t="s">
        <v>223</v>
      </c>
    </row>
    <row r="1170" spans="1:1" x14ac:dyDescent="0.2">
      <c r="A1170" s="1" t="s">
        <v>224</v>
      </c>
    </row>
    <row r="1171" spans="1:1" x14ac:dyDescent="0.2">
      <c r="A1171" s="1" t="s">
        <v>223</v>
      </c>
    </row>
    <row r="1172" spans="1:1" x14ac:dyDescent="0.2">
      <c r="A1172" s="1" t="s">
        <v>224</v>
      </c>
    </row>
    <row r="1173" spans="1:1" x14ac:dyDescent="0.2">
      <c r="A1173" s="1" t="s">
        <v>223</v>
      </c>
    </row>
    <row r="1174" spans="1:1" x14ac:dyDescent="0.2">
      <c r="A1174" s="1" t="s">
        <v>224</v>
      </c>
    </row>
    <row r="1175" spans="1:1" x14ac:dyDescent="0.2">
      <c r="A1175" s="1" t="s">
        <v>225</v>
      </c>
    </row>
    <row r="1176" spans="1:1" x14ac:dyDescent="0.2">
      <c r="A1176" s="1" t="s">
        <v>226</v>
      </c>
    </row>
    <row r="1177" spans="1:1" x14ac:dyDescent="0.2">
      <c r="A1177" s="1" t="s">
        <v>227</v>
      </c>
    </row>
    <row r="1178" spans="1:1" x14ac:dyDescent="0.2">
      <c r="A1178" s="1" t="s">
        <v>228</v>
      </c>
    </row>
    <row r="1179" spans="1:1" x14ac:dyDescent="0.2">
      <c r="A1179" s="1" t="s">
        <v>229</v>
      </c>
    </row>
    <row r="1180" spans="1:1" x14ac:dyDescent="0.2">
      <c r="A1180" s="1" t="s">
        <v>230</v>
      </c>
    </row>
    <row r="1181" spans="1:1" x14ac:dyDescent="0.2">
      <c r="A1181" s="1" t="s">
        <v>231</v>
      </c>
    </row>
    <row r="1182" spans="1:1" x14ac:dyDescent="0.2">
      <c r="A1182" s="1" t="s">
        <v>233</v>
      </c>
    </row>
    <row r="1183" spans="1:1" x14ac:dyDescent="0.2">
      <c r="A1183" s="1" t="s">
        <v>234</v>
      </c>
    </row>
    <row r="1184" spans="1:1" x14ac:dyDescent="0.2">
      <c r="A1184" s="1" t="s">
        <v>235</v>
      </c>
    </row>
    <row r="1185" spans="1:1" x14ac:dyDescent="0.2">
      <c r="A1185" s="1" t="s">
        <v>234</v>
      </c>
    </row>
    <row r="1186" spans="1:1" x14ac:dyDescent="0.2">
      <c r="A1186" s="1" t="s">
        <v>235</v>
      </c>
    </row>
    <row r="1187" spans="1:1" x14ac:dyDescent="0.2">
      <c r="A1187" s="1" t="s">
        <v>234</v>
      </c>
    </row>
    <row r="1188" spans="1:1" x14ac:dyDescent="0.2">
      <c r="A1188" s="1" t="s">
        <v>235</v>
      </c>
    </row>
    <row r="1189" spans="1:1" x14ac:dyDescent="0.2">
      <c r="A1189" s="1" t="s">
        <v>236</v>
      </c>
    </row>
    <row r="1190" spans="1:1" x14ac:dyDescent="0.2">
      <c r="A1190" s="1" t="s">
        <v>237</v>
      </c>
    </row>
    <row r="1191" spans="1:1" x14ac:dyDescent="0.2">
      <c r="A1191" s="1" t="s">
        <v>238</v>
      </c>
    </row>
    <row r="1192" spans="1:1" x14ac:dyDescent="0.2">
      <c r="A1192" s="1" t="s">
        <v>239</v>
      </c>
    </row>
    <row r="1193" spans="1:1" x14ac:dyDescent="0.2">
      <c r="A1193" s="1" t="s">
        <v>240</v>
      </c>
    </row>
    <row r="1194" spans="1:1" x14ac:dyDescent="0.2">
      <c r="A1194" s="1" t="s">
        <v>241</v>
      </c>
    </row>
    <row r="1195" spans="1:1" x14ac:dyDescent="0.2">
      <c r="A1195" s="1" t="s">
        <v>242</v>
      </c>
    </row>
    <row r="1196" spans="1:1" x14ac:dyDescent="0.2">
      <c r="A1196" s="1" t="s">
        <v>233</v>
      </c>
    </row>
    <row r="1197" spans="1:1" x14ac:dyDescent="0.2">
      <c r="A1197" s="1" t="s">
        <v>234</v>
      </c>
    </row>
    <row r="1198" spans="1:1" x14ac:dyDescent="0.2">
      <c r="A1198" s="1" t="s">
        <v>235</v>
      </c>
    </row>
    <row r="1199" spans="1:1" x14ac:dyDescent="0.2">
      <c r="A1199" s="1" t="s">
        <v>243</v>
      </c>
    </row>
    <row r="1200" spans="1:1" x14ac:dyDescent="0.2">
      <c r="A1200" s="1" t="s">
        <v>244</v>
      </c>
    </row>
    <row r="1201" spans="1:1" x14ac:dyDescent="0.2">
      <c r="A1201" s="1" t="s">
        <v>243</v>
      </c>
    </row>
    <row r="1202" spans="1:1" x14ac:dyDescent="0.2">
      <c r="A1202" s="1" t="s">
        <v>244</v>
      </c>
    </row>
    <row r="1203" spans="1:1" x14ac:dyDescent="0.2">
      <c r="A1203" s="1" t="s">
        <v>245</v>
      </c>
    </row>
    <row r="1204" spans="1:1" x14ac:dyDescent="0.2">
      <c r="A1204" s="1" t="s">
        <v>246</v>
      </c>
    </row>
    <row r="1205" spans="1:1" x14ac:dyDescent="0.2">
      <c r="A1205" s="1" t="s">
        <v>247</v>
      </c>
    </row>
    <row r="1206" spans="1:1" x14ac:dyDescent="0.2">
      <c r="A1206" s="1" t="s">
        <v>248</v>
      </c>
    </row>
    <row r="1207" spans="1:1" x14ac:dyDescent="0.2">
      <c r="A1207" s="1" t="s">
        <v>249</v>
      </c>
    </row>
    <row r="1208" spans="1:1" x14ac:dyDescent="0.2">
      <c r="A1208" s="1" t="s">
        <v>250</v>
      </c>
    </row>
    <row r="1209" spans="1:1" x14ac:dyDescent="0.2">
      <c r="A1209" s="1" t="s">
        <v>251</v>
      </c>
    </row>
    <row r="1210" spans="1:1" x14ac:dyDescent="0.2">
      <c r="A1210" s="1" t="s">
        <v>252</v>
      </c>
    </row>
    <row r="1211" spans="1:1" x14ac:dyDescent="0.2">
      <c r="A1211" s="1" t="s">
        <v>243</v>
      </c>
    </row>
    <row r="1212" spans="1:1" x14ac:dyDescent="0.2">
      <c r="A1212" s="1" t="s">
        <v>244</v>
      </c>
    </row>
    <row r="1213" spans="1:1" x14ac:dyDescent="0.2">
      <c r="A1213" s="1" t="s">
        <v>243</v>
      </c>
    </row>
    <row r="1214" spans="1:1" x14ac:dyDescent="0.2">
      <c r="A1214" s="1" t="s">
        <v>244</v>
      </c>
    </row>
    <row r="1215" spans="1:1" x14ac:dyDescent="0.2">
      <c r="A1215" s="1" t="s">
        <v>243</v>
      </c>
    </row>
    <row r="1216" spans="1:1" x14ac:dyDescent="0.2">
      <c r="A1216" s="1" t="s">
        <v>244</v>
      </c>
    </row>
    <row r="1217" spans="1:1" x14ac:dyDescent="0.2">
      <c r="A1217" s="1" t="s">
        <v>245</v>
      </c>
    </row>
    <row r="1218" spans="1:1" x14ac:dyDescent="0.2">
      <c r="A1218" s="1" t="s">
        <v>246</v>
      </c>
    </row>
    <row r="1219" spans="1:1" x14ac:dyDescent="0.2">
      <c r="A1219" s="1" t="s">
        <v>247</v>
      </c>
    </row>
    <row r="1220" spans="1:1" x14ac:dyDescent="0.2">
      <c r="A1220" s="1" t="s">
        <v>248</v>
      </c>
    </row>
    <row r="1221" spans="1:1" x14ac:dyDescent="0.2">
      <c r="A1221" s="1" t="s">
        <v>249</v>
      </c>
    </row>
    <row r="1222" spans="1:1" x14ac:dyDescent="0.2">
      <c r="A1222" s="1" t="s">
        <v>250</v>
      </c>
    </row>
    <row r="1223" spans="1:1" x14ac:dyDescent="0.2">
      <c r="A1223" s="1" t="s">
        <v>251</v>
      </c>
    </row>
    <row r="1224" spans="1:1" x14ac:dyDescent="0.2">
      <c r="A1224" s="1" t="s">
        <v>252</v>
      </c>
    </row>
    <row r="1225" spans="1:1" x14ac:dyDescent="0.2">
      <c r="A1225" s="1" t="s">
        <v>243</v>
      </c>
    </row>
    <row r="1226" spans="1:1" x14ac:dyDescent="0.2">
      <c r="A1226" s="1" t="s">
        <v>244</v>
      </c>
    </row>
    <row r="1227" spans="1:1" x14ac:dyDescent="0.2">
      <c r="A1227" s="1" t="s">
        <v>243</v>
      </c>
    </row>
    <row r="1228" spans="1:1" x14ac:dyDescent="0.2">
      <c r="A1228" s="1" t="s">
        <v>244</v>
      </c>
    </row>
    <row r="1229" spans="1:1" x14ac:dyDescent="0.2">
      <c r="A1229" s="1" t="s">
        <v>243</v>
      </c>
    </row>
    <row r="1230" spans="1:1" x14ac:dyDescent="0.2">
      <c r="A1230" s="1" t="s">
        <v>244</v>
      </c>
    </row>
    <row r="1231" spans="1:1" x14ac:dyDescent="0.2">
      <c r="A1231" s="1" t="s">
        <v>245</v>
      </c>
    </row>
    <row r="1232" spans="1:1" x14ac:dyDescent="0.2">
      <c r="A1232" s="1" t="s">
        <v>246</v>
      </c>
    </row>
    <row r="1233" spans="1:1" x14ac:dyDescent="0.2">
      <c r="A1233" s="1" t="s">
        <v>247</v>
      </c>
    </row>
    <row r="1234" spans="1:1" x14ac:dyDescent="0.2">
      <c r="A1234" s="1" t="s">
        <v>248</v>
      </c>
    </row>
    <row r="1235" spans="1:1" x14ac:dyDescent="0.2">
      <c r="A1235" s="1" t="s">
        <v>249</v>
      </c>
    </row>
    <row r="1236" spans="1:1" x14ac:dyDescent="0.2">
      <c r="A1236" s="1" t="s">
        <v>250</v>
      </c>
    </row>
    <row r="1237" spans="1:1" x14ac:dyDescent="0.2">
      <c r="A1237" s="1" t="s">
        <v>251</v>
      </c>
    </row>
    <row r="1238" spans="1:1" x14ac:dyDescent="0.2">
      <c r="A1238" s="1" t="s">
        <v>252</v>
      </c>
    </row>
    <row r="1239" spans="1:1" x14ac:dyDescent="0.2">
      <c r="A1239" s="1" t="s">
        <v>243</v>
      </c>
    </row>
    <row r="1240" spans="1:1" x14ac:dyDescent="0.2">
      <c r="A1240" s="1" t="s">
        <v>244</v>
      </c>
    </row>
    <row r="1241" spans="1:1" x14ac:dyDescent="0.2">
      <c r="A1241" s="1" t="s">
        <v>243</v>
      </c>
    </row>
    <row r="1242" spans="1:1" x14ac:dyDescent="0.2">
      <c r="A1242" s="1" t="s">
        <v>244</v>
      </c>
    </row>
    <row r="1243" spans="1:1" x14ac:dyDescent="0.2">
      <c r="A1243" s="1" t="s">
        <v>243</v>
      </c>
    </row>
    <row r="1244" spans="1:1" x14ac:dyDescent="0.2">
      <c r="A1244" s="1" t="s">
        <v>244</v>
      </c>
    </row>
    <row r="1245" spans="1:1" x14ac:dyDescent="0.2">
      <c r="A1245" s="1" t="s">
        <v>245</v>
      </c>
    </row>
    <row r="1246" spans="1:1" x14ac:dyDescent="0.2">
      <c r="A1246" s="1" t="s">
        <v>246</v>
      </c>
    </row>
    <row r="1247" spans="1:1" x14ac:dyDescent="0.2">
      <c r="A1247" s="1" t="s">
        <v>247</v>
      </c>
    </row>
    <row r="1248" spans="1:1" x14ac:dyDescent="0.2">
      <c r="A1248" s="1" t="s">
        <v>248</v>
      </c>
    </row>
    <row r="1249" spans="1:1" x14ac:dyDescent="0.2">
      <c r="A1249" s="1" t="s">
        <v>249</v>
      </c>
    </row>
    <row r="1250" spans="1:1" x14ac:dyDescent="0.2">
      <c r="A1250" s="1" t="s">
        <v>250</v>
      </c>
    </row>
    <row r="1251" spans="1:1" x14ac:dyDescent="0.2">
      <c r="A1251" s="1" t="s">
        <v>251</v>
      </c>
    </row>
    <row r="1252" spans="1:1" x14ac:dyDescent="0.2">
      <c r="A1252" s="1" t="s">
        <v>252</v>
      </c>
    </row>
    <row r="1253" spans="1:1" x14ac:dyDescent="0.2">
      <c r="A1253" s="1" t="s">
        <v>243</v>
      </c>
    </row>
    <row r="1254" spans="1:1" x14ac:dyDescent="0.2">
      <c r="A1254" s="1" t="s">
        <v>244</v>
      </c>
    </row>
    <row r="1255" spans="1:1" x14ac:dyDescent="0.2">
      <c r="A1255" s="1" t="s">
        <v>243</v>
      </c>
    </row>
    <row r="1256" spans="1:1" x14ac:dyDescent="0.2">
      <c r="A1256" s="1" t="s">
        <v>244</v>
      </c>
    </row>
    <row r="1257" spans="1:1" x14ac:dyDescent="0.2">
      <c r="A1257" s="1" t="s">
        <v>243</v>
      </c>
    </row>
    <row r="1258" spans="1:1" x14ac:dyDescent="0.2">
      <c r="A1258" s="1" t="s">
        <v>244</v>
      </c>
    </row>
    <row r="1259" spans="1:1" x14ac:dyDescent="0.2">
      <c r="A1259" s="1" t="s">
        <v>245</v>
      </c>
    </row>
    <row r="1260" spans="1:1" x14ac:dyDescent="0.2">
      <c r="A1260" s="1" t="s">
        <v>246</v>
      </c>
    </row>
    <row r="1261" spans="1:1" x14ac:dyDescent="0.2">
      <c r="A1261" s="1" t="s">
        <v>247</v>
      </c>
    </row>
    <row r="1262" spans="1:1" x14ac:dyDescent="0.2">
      <c r="A1262" s="1" t="s">
        <v>248</v>
      </c>
    </row>
    <row r="1263" spans="1:1" x14ac:dyDescent="0.2">
      <c r="A1263" s="1" t="s">
        <v>249</v>
      </c>
    </row>
    <row r="1264" spans="1:1" x14ac:dyDescent="0.2">
      <c r="A1264" s="1" t="s">
        <v>250</v>
      </c>
    </row>
    <row r="1265" spans="1:1" x14ac:dyDescent="0.2">
      <c r="A1265" s="1" t="s">
        <v>251</v>
      </c>
    </row>
    <row r="1266" spans="1:1" x14ac:dyDescent="0.2">
      <c r="A1266" s="1" t="s">
        <v>252</v>
      </c>
    </row>
    <row r="1267" spans="1:1" x14ac:dyDescent="0.2">
      <c r="A1267" s="1" t="s">
        <v>243</v>
      </c>
    </row>
    <row r="1268" spans="1:1" x14ac:dyDescent="0.2">
      <c r="A1268" s="1" t="s">
        <v>244</v>
      </c>
    </row>
    <row r="1269" spans="1:1" x14ac:dyDescent="0.2">
      <c r="A1269" s="1" t="s">
        <v>243</v>
      </c>
    </row>
    <row r="1270" spans="1:1" x14ac:dyDescent="0.2">
      <c r="A1270" s="1" t="s">
        <v>244</v>
      </c>
    </row>
    <row r="1271" spans="1:1" x14ac:dyDescent="0.2">
      <c r="A1271" s="1" t="s">
        <v>243</v>
      </c>
    </row>
    <row r="1272" spans="1:1" x14ac:dyDescent="0.2">
      <c r="A1272" s="1" t="s">
        <v>244</v>
      </c>
    </row>
    <row r="1273" spans="1:1" x14ac:dyDescent="0.2">
      <c r="A1273" s="1" t="s">
        <v>245</v>
      </c>
    </row>
    <row r="1274" spans="1:1" x14ac:dyDescent="0.2">
      <c r="A1274" s="1" t="s">
        <v>246</v>
      </c>
    </row>
    <row r="1275" spans="1:1" x14ac:dyDescent="0.2">
      <c r="A1275" s="1" t="s">
        <v>247</v>
      </c>
    </row>
    <row r="1276" spans="1:1" x14ac:dyDescent="0.2">
      <c r="A1276" s="1" t="s">
        <v>248</v>
      </c>
    </row>
    <row r="1277" spans="1:1" x14ac:dyDescent="0.2">
      <c r="A1277" s="1" t="s">
        <v>249</v>
      </c>
    </row>
    <row r="1278" spans="1:1" x14ac:dyDescent="0.2">
      <c r="A1278" s="1" t="s">
        <v>250</v>
      </c>
    </row>
    <row r="1279" spans="1:1" x14ac:dyDescent="0.2">
      <c r="A1279" s="1" t="s">
        <v>251</v>
      </c>
    </row>
    <row r="1280" spans="1:1" x14ac:dyDescent="0.2">
      <c r="A1280" s="1" t="s">
        <v>252</v>
      </c>
    </row>
    <row r="1281" spans="1:1" x14ac:dyDescent="0.2">
      <c r="A1281" s="1" t="s">
        <v>243</v>
      </c>
    </row>
    <row r="1282" spans="1:1" x14ac:dyDescent="0.2">
      <c r="A1282" s="1" t="s">
        <v>244</v>
      </c>
    </row>
    <row r="1283" spans="1:1" x14ac:dyDescent="0.2">
      <c r="A1283" s="1" t="s">
        <v>243</v>
      </c>
    </row>
    <row r="1284" spans="1:1" x14ac:dyDescent="0.2">
      <c r="A1284" s="1" t="s">
        <v>244</v>
      </c>
    </row>
    <row r="1285" spans="1:1" x14ac:dyDescent="0.2">
      <c r="A1285" s="1" t="s">
        <v>243</v>
      </c>
    </row>
    <row r="1286" spans="1:1" x14ac:dyDescent="0.2">
      <c r="A1286" s="1" t="s">
        <v>244</v>
      </c>
    </row>
    <row r="1287" spans="1:1" x14ac:dyDescent="0.2">
      <c r="A1287" s="1" t="s">
        <v>245</v>
      </c>
    </row>
    <row r="1288" spans="1:1" x14ac:dyDescent="0.2">
      <c r="A1288" s="1" t="s">
        <v>246</v>
      </c>
    </row>
    <row r="1289" spans="1:1" x14ac:dyDescent="0.2">
      <c r="A1289" s="1" t="s">
        <v>247</v>
      </c>
    </row>
    <row r="1290" spans="1:1" x14ac:dyDescent="0.2">
      <c r="A1290" s="1" t="s">
        <v>248</v>
      </c>
    </row>
    <row r="1291" spans="1:1" x14ac:dyDescent="0.2">
      <c r="A1291" s="1" t="s">
        <v>249</v>
      </c>
    </row>
    <row r="1292" spans="1:1" x14ac:dyDescent="0.2">
      <c r="A1292" s="1" t="s">
        <v>250</v>
      </c>
    </row>
    <row r="1293" spans="1:1" x14ac:dyDescent="0.2">
      <c r="A1293" s="1" t="s">
        <v>251</v>
      </c>
    </row>
    <row r="1294" spans="1:1" x14ac:dyDescent="0.2">
      <c r="A1294" s="1" t="s">
        <v>253</v>
      </c>
    </row>
    <row r="1295" spans="1:1" x14ac:dyDescent="0.2">
      <c r="A1295" s="1" t="s">
        <v>254</v>
      </c>
    </row>
    <row r="1296" spans="1:1" x14ac:dyDescent="0.2">
      <c r="A1296" s="1" t="s">
        <v>255</v>
      </c>
    </row>
    <row r="1297" spans="1:1" x14ac:dyDescent="0.2">
      <c r="A1297" s="1" t="s">
        <v>254</v>
      </c>
    </row>
    <row r="1298" spans="1:1" x14ac:dyDescent="0.2">
      <c r="A1298" s="1" t="s">
        <v>255</v>
      </c>
    </row>
    <row r="1299" spans="1:1" x14ac:dyDescent="0.2">
      <c r="A1299" s="1" t="s">
        <v>254</v>
      </c>
    </row>
    <row r="1300" spans="1:1" x14ac:dyDescent="0.2">
      <c r="A1300" s="1" t="s">
        <v>255</v>
      </c>
    </row>
    <row r="1301" spans="1:1" x14ac:dyDescent="0.2">
      <c r="A1301" s="1" t="s">
        <v>256</v>
      </c>
    </row>
    <row r="1302" spans="1:1" x14ac:dyDescent="0.2">
      <c r="A1302" s="1" t="s">
        <v>257</v>
      </c>
    </row>
    <row r="1303" spans="1:1" x14ac:dyDescent="0.2">
      <c r="A1303" s="1" t="s">
        <v>258</v>
      </c>
    </row>
    <row r="1304" spans="1:1" x14ac:dyDescent="0.2">
      <c r="A1304" s="1" t="s">
        <v>259</v>
      </c>
    </row>
    <row r="1305" spans="1:1" x14ac:dyDescent="0.2">
      <c r="A1305" s="1" t="s">
        <v>260</v>
      </c>
    </row>
    <row r="1306" spans="1:1" x14ac:dyDescent="0.2">
      <c r="A1306" s="1" t="s">
        <v>261</v>
      </c>
    </row>
    <row r="1307" spans="1:1" x14ac:dyDescent="0.2">
      <c r="A1307" s="1" t="s">
        <v>262</v>
      </c>
    </row>
    <row r="1308" spans="1:1" x14ac:dyDescent="0.2">
      <c r="A1308" s="1" t="s">
        <v>253</v>
      </c>
    </row>
    <row r="1309" spans="1:1" x14ac:dyDescent="0.2">
      <c r="A1309" s="1" t="s">
        <v>254</v>
      </c>
    </row>
    <row r="1310" spans="1:1" x14ac:dyDescent="0.2">
      <c r="A1310" s="1" t="s">
        <v>255</v>
      </c>
    </row>
    <row r="1311" spans="1:1" x14ac:dyDescent="0.2">
      <c r="A1311" s="1" t="s">
        <v>263</v>
      </c>
    </row>
    <row r="1312" spans="1:1" x14ac:dyDescent="0.2">
      <c r="A1312" s="1" t="s">
        <v>264</v>
      </c>
    </row>
    <row r="1313" spans="1:1" x14ac:dyDescent="0.2">
      <c r="A1313" s="1" t="s">
        <v>263</v>
      </c>
    </row>
    <row r="1314" spans="1:1" x14ac:dyDescent="0.2">
      <c r="A1314" s="1" t="s">
        <v>264</v>
      </c>
    </row>
    <row r="1315" spans="1:1" x14ac:dyDescent="0.2">
      <c r="A1315" s="1" t="s">
        <v>265</v>
      </c>
    </row>
    <row r="1316" spans="1:1" x14ac:dyDescent="0.2">
      <c r="A1316" s="1" t="s">
        <v>266</v>
      </c>
    </row>
    <row r="1317" spans="1:1" x14ac:dyDescent="0.2">
      <c r="A1317" s="1" t="s">
        <v>267</v>
      </c>
    </row>
    <row r="1318" spans="1:1" x14ac:dyDescent="0.2">
      <c r="A1318" s="1" t="s">
        <v>268</v>
      </c>
    </row>
    <row r="1319" spans="1:1" x14ac:dyDescent="0.2">
      <c r="A1319" s="1" t="s">
        <v>269</v>
      </c>
    </row>
    <row r="1320" spans="1:1" x14ac:dyDescent="0.2">
      <c r="A1320" s="1" t="s">
        <v>270</v>
      </c>
    </row>
    <row r="1321" spans="1:1" x14ac:dyDescent="0.2">
      <c r="A1321" s="1" t="s">
        <v>271</v>
      </c>
    </row>
    <row r="1322" spans="1:1" x14ac:dyDescent="0.2">
      <c r="A1322" s="1" t="s">
        <v>272</v>
      </c>
    </row>
    <row r="1323" spans="1:1" x14ac:dyDescent="0.2">
      <c r="A1323" s="1" t="s">
        <v>273</v>
      </c>
    </row>
    <row r="1324" spans="1:1" x14ac:dyDescent="0.2">
      <c r="A1324" s="1" t="s">
        <v>274</v>
      </c>
    </row>
    <row r="1325" spans="1:1" x14ac:dyDescent="0.2">
      <c r="A1325" s="1" t="s">
        <v>273</v>
      </c>
    </row>
    <row r="1326" spans="1:1" x14ac:dyDescent="0.2">
      <c r="A1326" s="1" t="s">
        <v>274</v>
      </c>
    </row>
    <row r="1327" spans="1:1" x14ac:dyDescent="0.2">
      <c r="A1327" s="1" t="s">
        <v>273</v>
      </c>
    </row>
    <row r="1328" spans="1:1" x14ac:dyDescent="0.2">
      <c r="A1328" s="1" t="s">
        <v>274</v>
      </c>
    </row>
    <row r="1329" spans="1:1" x14ac:dyDescent="0.2">
      <c r="A1329" s="1" t="s">
        <v>275</v>
      </c>
    </row>
    <row r="1330" spans="1:1" x14ac:dyDescent="0.2">
      <c r="A1330" s="1" t="s">
        <v>276</v>
      </c>
    </row>
    <row r="1331" spans="1:1" x14ac:dyDescent="0.2">
      <c r="A1331" s="1" t="s">
        <v>277</v>
      </c>
    </row>
    <row r="1332" spans="1:1" x14ac:dyDescent="0.2">
      <c r="A1332" s="1" t="s">
        <v>278</v>
      </c>
    </row>
    <row r="1333" spans="1:1" x14ac:dyDescent="0.2">
      <c r="A1333" s="1" t="s">
        <v>279</v>
      </c>
    </row>
    <row r="1334" spans="1:1" x14ac:dyDescent="0.2">
      <c r="A1334" s="1" t="s">
        <v>270</v>
      </c>
    </row>
    <row r="1335" spans="1:1" x14ac:dyDescent="0.2">
      <c r="A1335" s="1" t="s">
        <v>271</v>
      </c>
    </row>
    <row r="1336" spans="1:1" x14ac:dyDescent="0.2">
      <c r="A1336" s="1" t="s">
        <v>272</v>
      </c>
    </row>
    <row r="1337" spans="1:1" x14ac:dyDescent="0.2">
      <c r="A1337" s="1" t="s">
        <v>273</v>
      </c>
    </row>
    <row r="1338" spans="1:1" x14ac:dyDescent="0.2">
      <c r="A1338" s="1" t="s">
        <v>274</v>
      </c>
    </row>
    <row r="1339" spans="1:1" x14ac:dyDescent="0.2">
      <c r="A1339" s="1" t="s">
        <v>273</v>
      </c>
    </row>
    <row r="1340" spans="1:1" x14ac:dyDescent="0.2">
      <c r="A1340" s="1" t="s">
        <v>274</v>
      </c>
    </row>
    <row r="1341" spans="1:1" x14ac:dyDescent="0.2">
      <c r="A1341" s="1" t="s">
        <v>273</v>
      </c>
    </row>
    <row r="1342" spans="1:1" x14ac:dyDescent="0.2">
      <c r="A1342" s="1" t="s">
        <v>274</v>
      </c>
    </row>
    <row r="1343" spans="1:1" x14ac:dyDescent="0.2">
      <c r="A1343" s="1" t="s">
        <v>275</v>
      </c>
    </row>
    <row r="1344" spans="1:1" x14ac:dyDescent="0.2">
      <c r="A1344" s="1" t="s">
        <v>276</v>
      </c>
    </row>
    <row r="1345" spans="1:1" x14ac:dyDescent="0.2">
      <c r="A1345" s="1" t="s">
        <v>277</v>
      </c>
    </row>
    <row r="1346" spans="1:1" x14ac:dyDescent="0.2">
      <c r="A1346" s="1" t="s">
        <v>278</v>
      </c>
    </row>
    <row r="1347" spans="1:1" x14ac:dyDescent="0.2">
      <c r="A1347" s="1" t="s">
        <v>279</v>
      </c>
    </row>
    <row r="1348" spans="1:1" x14ac:dyDescent="0.2">
      <c r="A1348" s="1" t="s">
        <v>270</v>
      </c>
    </row>
    <row r="1349" spans="1:1" x14ac:dyDescent="0.2">
      <c r="A1349" s="1" t="s">
        <v>271</v>
      </c>
    </row>
    <row r="1350" spans="1:1" x14ac:dyDescent="0.2">
      <c r="A1350" s="1" t="s">
        <v>272</v>
      </c>
    </row>
    <row r="1351" spans="1:1" x14ac:dyDescent="0.2">
      <c r="A1351" s="1" t="s">
        <v>273</v>
      </c>
    </row>
    <row r="1352" spans="1:1" x14ac:dyDescent="0.2">
      <c r="A1352" s="1" t="s">
        <v>274</v>
      </c>
    </row>
    <row r="1353" spans="1:1" x14ac:dyDescent="0.2">
      <c r="A1353" s="1" t="s">
        <v>273</v>
      </c>
    </row>
    <row r="1354" spans="1:1" x14ac:dyDescent="0.2">
      <c r="A1354" s="1" t="s">
        <v>274</v>
      </c>
    </row>
    <row r="1355" spans="1:1" x14ac:dyDescent="0.2">
      <c r="A1355" s="1" t="s">
        <v>273</v>
      </c>
    </row>
    <row r="1356" spans="1:1" x14ac:dyDescent="0.2">
      <c r="A1356" s="1" t="s">
        <v>274</v>
      </c>
    </row>
    <row r="1357" spans="1:1" x14ac:dyDescent="0.2">
      <c r="A1357" s="1" t="s">
        <v>275</v>
      </c>
    </row>
    <row r="1358" spans="1:1" x14ac:dyDescent="0.2">
      <c r="A1358" s="1" t="s">
        <v>276</v>
      </c>
    </row>
    <row r="1359" spans="1:1" x14ac:dyDescent="0.2">
      <c r="A1359" s="1" t="s">
        <v>277</v>
      </c>
    </row>
    <row r="1360" spans="1:1" x14ac:dyDescent="0.2">
      <c r="A1360" s="1" t="s">
        <v>278</v>
      </c>
    </row>
    <row r="1361" spans="1:1" x14ac:dyDescent="0.2">
      <c r="A1361" s="1" t="s">
        <v>279</v>
      </c>
    </row>
    <row r="1362" spans="1:1" x14ac:dyDescent="0.2">
      <c r="A1362" s="1" t="s">
        <v>270</v>
      </c>
    </row>
    <row r="1363" spans="1:1" x14ac:dyDescent="0.2">
      <c r="A1363" s="1" t="s">
        <v>271</v>
      </c>
    </row>
    <row r="1364" spans="1:1" x14ac:dyDescent="0.2">
      <c r="A1364" s="1" t="s">
        <v>272</v>
      </c>
    </row>
    <row r="1365" spans="1:1" x14ac:dyDescent="0.2">
      <c r="A1365" s="1" t="s">
        <v>273</v>
      </c>
    </row>
    <row r="1366" spans="1:1" x14ac:dyDescent="0.2">
      <c r="A1366" s="1" t="s">
        <v>274</v>
      </c>
    </row>
    <row r="1367" spans="1:1" x14ac:dyDescent="0.2">
      <c r="A1367" s="1" t="s">
        <v>273</v>
      </c>
    </row>
    <row r="1368" spans="1:1" x14ac:dyDescent="0.2">
      <c r="A1368" s="1" t="s">
        <v>274</v>
      </c>
    </row>
    <row r="1369" spans="1:1" x14ac:dyDescent="0.2">
      <c r="A1369" s="1" t="s">
        <v>273</v>
      </c>
    </row>
    <row r="1370" spans="1:1" x14ac:dyDescent="0.2">
      <c r="A1370" s="1" t="s">
        <v>274</v>
      </c>
    </row>
    <row r="1371" spans="1:1" x14ac:dyDescent="0.2">
      <c r="A1371" s="1" t="s">
        <v>275</v>
      </c>
    </row>
    <row r="1372" spans="1:1" x14ac:dyDescent="0.2">
      <c r="A1372" s="1" t="s">
        <v>276</v>
      </c>
    </row>
    <row r="1373" spans="1:1" x14ac:dyDescent="0.2">
      <c r="A1373" s="1" t="s">
        <v>277</v>
      </c>
    </row>
    <row r="1374" spans="1:1" x14ac:dyDescent="0.2">
      <c r="A1374" s="1" t="s">
        <v>278</v>
      </c>
    </row>
    <row r="1375" spans="1:1" x14ac:dyDescent="0.2">
      <c r="A1375" s="1" t="s">
        <v>279</v>
      </c>
    </row>
    <row r="1376" spans="1:1" x14ac:dyDescent="0.2">
      <c r="A1376" s="1" t="s">
        <v>270</v>
      </c>
    </row>
    <row r="1377" spans="1:1" x14ac:dyDescent="0.2">
      <c r="A1377" s="1" t="s">
        <v>271</v>
      </c>
    </row>
    <row r="1378" spans="1:1" x14ac:dyDescent="0.2">
      <c r="A1378" s="1" t="s">
        <v>272</v>
      </c>
    </row>
    <row r="1379" spans="1:1" x14ac:dyDescent="0.2">
      <c r="A1379" s="1" t="s">
        <v>273</v>
      </c>
    </row>
    <row r="1380" spans="1:1" x14ac:dyDescent="0.2">
      <c r="A1380" s="1" t="s">
        <v>274</v>
      </c>
    </row>
    <row r="1381" spans="1:1" x14ac:dyDescent="0.2">
      <c r="A1381" s="1" t="s">
        <v>273</v>
      </c>
    </row>
    <row r="1382" spans="1:1" x14ac:dyDescent="0.2">
      <c r="A1382" s="1" t="s">
        <v>274</v>
      </c>
    </row>
    <row r="1383" spans="1:1" x14ac:dyDescent="0.2">
      <c r="A1383" s="1" t="s">
        <v>273</v>
      </c>
    </row>
    <row r="1384" spans="1:1" x14ac:dyDescent="0.2">
      <c r="A1384" s="1" t="s">
        <v>274</v>
      </c>
    </row>
    <row r="1385" spans="1:1" x14ac:dyDescent="0.2">
      <c r="A1385" s="1" t="s">
        <v>275</v>
      </c>
    </row>
    <row r="1386" spans="1:1" x14ac:dyDescent="0.2">
      <c r="A1386" s="1" t="s">
        <v>276</v>
      </c>
    </row>
    <row r="1387" spans="1:1" x14ac:dyDescent="0.2">
      <c r="A1387" s="1" t="s">
        <v>277</v>
      </c>
    </row>
    <row r="1388" spans="1:1" x14ac:dyDescent="0.2">
      <c r="A1388" s="1" t="s">
        <v>278</v>
      </c>
    </row>
    <row r="1389" spans="1:1" x14ac:dyDescent="0.2">
      <c r="A1389" s="1" t="s">
        <v>279</v>
      </c>
    </row>
    <row r="1390" spans="1:1" x14ac:dyDescent="0.2">
      <c r="A1390" s="1" t="s">
        <v>270</v>
      </c>
    </row>
    <row r="1391" spans="1:1" x14ac:dyDescent="0.2">
      <c r="A1391" s="1" t="s">
        <v>271</v>
      </c>
    </row>
    <row r="1392" spans="1:1" x14ac:dyDescent="0.2">
      <c r="A1392" s="1" t="s">
        <v>272</v>
      </c>
    </row>
    <row r="1393" spans="1:1" x14ac:dyDescent="0.2">
      <c r="A1393" s="1" t="s">
        <v>273</v>
      </c>
    </row>
    <row r="1394" spans="1:1" x14ac:dyDescent="0.2">
      <c r="A1394" s="1" t="s">
        <v>274</v>
      </c>
    </row>
    <row r="1395" spans="1:1" x14ac:dyDescent="0.2">
      <c r="A1395" s="1" t="s">
        <v>273</v>
      </c>
    </row>
    <row r="1396" spans="1:1" x14ac:dyDescent="0.2">
      <c r="A1396" s="1" t="s">
        <v>274</v>
      </c>
    </row>
    <row r="1397" spans="1:1" x14ac:dyDescent="0.2">
      <c r="A1397" s="1" t="s">
        <v>273</v>
      </c>
    </row>
    <row r="1398" spans="1:1" x14ac:dyDescent="0.2">
      <c r="A1398" s="1" t="s">
        <v>274</v>
      </c>
    </row>
    <row r="1399" spans="1:1" x14ac:dyDescent="0.2">
      <c r="A1399" s="1" t="s">
        <v>275</v>
      </c>
    </row>
    <row r="1400" spans="1:1" x14ac:dyDescent="0.2">
      <c r="A1400" s="1" t="s">
        <v>276</v>
      </c>
    </row>
    <row r="1401" spans="1:1" x14ac:dyDescent="0.2">
      <c r="A1401" s="1" t="s">
        <v>277</v>
      </c>
    </row>
    <row r="1402" spans="1:1" x14ac:dyDescent="0.2">
      <c r="A1402" s="1" t="s">
        <v>278</v>
      </c>
    </row>
    <row r="1403" spans="1:1" x14ac:dyDescent="0.2">
      <c r="A1403" s="1" t="s">
        <v>279</v>
      </c>
    </row>
    <row r="1404" spans="1:1" x14ac:dyDescent="0.2">
      <c r="A1404" s="1" t="s">
        <v>270</v>
      </c>
    </row>
    <row r="1405" spans="1:1" x14ac:dyDescent="0.2">
      <c r="A1405" s="1" t="s">
        <v>271</v>
      </c>
    </row>
    <row r="1406" spans="1:1" x14ac:dyDescent="0.2">
      <c r="A1406" s="1" t="s">
        <v>280</v>
      </c>
    </row>
    <row r="1407" spans="1:1" x14ac:dyDescent="0.2">
      <c r="A1407" s="1" t="s">
        <v>281</v>
      </c>
    </row>
    <row r="1408" spans="1:1" x14ac:dyDescent="0.2">
      <c r="A1408" s="1" t="s">
        <v>282</v>
      </c>
    </row>
    <row r="1409" spans="1:1" x14ac:dyDescent="0.2">
      <c r="A1409" s="1" t="s">
        <v>281</v>
      </c>
    </row>
    <row r="1410" spans="1:1" x14ac:dyDescent="0.2">
      <c r="A1410" s="1" t="s">
        <v>282</v>
      </c>
    </row>
    <row r="1411" spans="1:1" x14ac:dyDescent="0.2">
      <c r="A1411" s="1" t="s">
        <v>281</v>
      </c>
    </row>
    <row r="1412" spans="1:1" x14ac:dyDescent="0.2">
      <c r="A1412" s="1" t="s">
        <v>282</v>
      </c>
    </row>
    <row r="1413" spans="1:1" x14ac:dyDescent="0.2">
      <c r="A1413" s="1" t="s">
        <v>283</v>
      </c>
    </row>
    <row r="1414" spans="1:1" x14ac:dyDescent="0.2">
      <c r="A1414" s="1" t="s">
        <v>284</v>
      </c>
    </row>
    <row r="1415" spans="1:1" x14ac:dyDescent="0.2">
      <c r="A1415" s="1" t="s">
        <v>285</v>
      </c>
    </row>
    <row r="1416" spans="1:1" x14ac:dyDescent="0.2">
      <c r="A1416" s="1" t="s">
        <v>286</v>
      </c>
    </row>
    <row r="1417" spans="1:1" x14ac:dyDescent="0.2">
      <c r="A1417" s="1" t="s">
        <v>287</v>
      </c>
    </row>
    <row r="1418" spans="1:1" x14ac:dyDescent="0.2">
      <c r="A1418" s="1" t="s">
        <v>288</v>
      </c>
    </row>
    <row r="1419" spans="1:1" x14ac:dyDescent="0.2">
      <c r="A1419" s="1" t="s">
        <v>289</v>
      </c>
    </row>
    <row r="1420" spans="1:1" x14ac:dyDescent="0.2">
      <c r="A1420" s="1" t="s">
        <v>280</v>
      </c>
    </row>
    <row r="1421" spans="1:1" x14ac:dyDescent="0.2">
      <c r="A1421" s="1" t="s">
        <v>281</v>
      </c>
    </row>
    <row r="1422" spans="1:1" x14ac:dyDescent="0.2">
      <c r="A1422" s="1" t="s">
        <v>282</v>
      </c>
    </row>
    <row r="1423" spans="1:1" x14ac:dyDescent="0.2">
      <c r="A1423" s="1" t="s">
        <v>290</v>
      </c>
    </row>
    <row r="1424" spans="1:1" x14ac:dyDescent="0.2">
      <c r="A1424" s="1" t="s">
        <v>291</v>
      </c>
    </row>
    <row r="1425" spans="1:1" x14ac:dyDescent="0.2">
      <c r="A1425" s="1" t="s">
        <v>290</v>
      </c>
    </row>
    <row r="1426" spans="1:1" x14ac:dyDescent="0.2">
      <c r="A1426" s="1" t="s">
        <v>291</v>
      </c>
    </row>
    <row r="1427" spans="1:1" x14ac:dyDescent="0.2">
      <c r="A1427" s="1" t="s">
        <v>292</v>
      </c>
    </row>
    <row r="1428" spans="1:1" x14ac:dyDescent="0.2">
      <c r="A1428" s="1" t="s">
        <v>293</v>
      </c>
    </row>
    <row r="1429" spans="1:1" x14ac:dyDescent="0.2">
      <c r="A1429" s="1" t="s">
        <v>294</v>
      </c>
    </row>
    <row r="1430" spans="1:1" x14ac:dyDescent="0.2">
      <c r="A1430" s="1" t="s">
        <v>295</v>
      </c>
    </row>
    <row r="1431" spans="1:1" x14ac:dyDescent="0.2">
      <c r="A1431" s="1" t="s">
        <v>296</v>
      </c>
    </row>
    <row r="1432" spans="1:1" x14ac:dyDescent="0.2">
      <c r="A1432" s="1" t="s">
        <v>297</v>
      </c>
    </row>
    <row r="1433" spans="1:1" x14ac:dyDescent="0.2">
      <c r="A1433" s="1" t="s">
        <v>298</v>
      </c>
    </row>
    <row r="1434" spans="1:1" x14ac:dyDescent="0.2">
      <c r="A1434" s="1" t="s">
        <v>299</v>
      </c>
    </row>
    <row r="1435" spans="1:1" x14ac:dyDescent="0.2">
      <c r="A1435" s="1" t="s">
        <v>290</v>
      </c>
    </row>
    <row r="1436" spans="1:1" x14ac:dyDescent="0.2">
      <c r="A1436" s="1" t="s">
        <v>291</v>
      </c>
    </row>
    <row r="1437" spans="1:1" x14ac:dyDescent="0.2">
      <c r="A1437" s="1" t="s">
        <v>290</v>
      </c>
    </row>
    <row r="1438" spans="1:1" x14ac:dyDescent="0.2">
      <c r="A1438" s="1" t="s">
        <v>291</v>
      </c>
    </row>
    <row r="1439" spans="1:1" x14ac:dyDescent="0.2">
      <c r="A1439" s="1" t="s">
        <v>290</v>
      </c>
    </row>
    <row r="1440" spans="1:1" x14ac:dyDescent="0.2">
      <c r="A1440" s="1" t="s">
        <v>291</v>
      </c>
    </row>
    <row r="1441" spans="1:1" x14ac:dyDescent="0.2">
      <c r="A1441" s="1" t="s">
        <v>292</v>
      </c>
    </row>
    <row r="1442" spans="1:1" x14ac:dyDescent="0.2">
      <c r="A1442" s="1" t="s">
        <v>293</v>
      </c>
    </row>
    <row r="1443" spans="1:1" x14ac:dyDescent="0.2">
      <c r="A1443" s="1" t="s">
        <v>300</v>
      </c>
    </row>
    <row r="1444" spans="1:1" x14ac:dyDescent="0.2">
      <c r="A1444" s="1" t="s">
        <v>301</v>
      </c>
    </row>
    <row r="1445" spans="1:1" x14ac:dyDescent="0.2">
      <c r="A1445" s="1" t="s">
        <v>302</v>
      </c>
    </row>
    <row r="1446" spans="1:1" x14ac:dyDescent="0.2">
      <c r="A1446" s="1" t="s">
        <v>303</v>
      </c>
    </row>
    <row r="1447" spans="1:1" x14ac:dyDescent="0.2">
      <c r="A1447" s="1" t="s">
        <v>304</v>
      </c>
    </row>
    <row r="1448" spans="1:1" x14ac:dyDescent="0.2">
      <c r="A1448" s="1" t="s">
        <v>305</v>
      </c>
    </row>
    <row r="1449" spans="1:1" x14ac:dyDescent="0.2">
      <c r="A1449" s="1" t="s">
        <v>306</v>
      </c>
    </row>
    <row r="1450" spans="1:1" x14ac:dyDescent="0.2">
      <c r="A1450" s="1" t="s">
        <v>307</v>
      </c>
    </row>
    <row r="1451" spans="1:1" x14ac:dyDescent="0.2">
      <c r="A1451" s="1" t="s">
        <v>306</v>
      </c>
    </row>
    <row r="1452" spans="1:1" x14ac:dyDescent="0.2">
      <c r="A1452" s="1" t="s">
        <v>307</v>
      </c>
    </row>
    <row r="1453" spans="1:1" x14ac:dyDescent="0.2">
      <c r="A1453" s="1" t="s">
        <v>306</v>
      </c>
    </row>
    <row r="1454" spans="1:1" x14ac:dyDescent="0.2">
      <c r="A1454" s="1" t="s">
        <v>307</v>
      </c>
    </row>
    <row r="1455" spans="1:1" x14ac:dyDescent="0.2">
      <c r="A1455" s="1" t="s">
        <v>308</v>
      </c>
    </row>
    <row r="1456" spans="1:1" x14ac:dyDescent="0.2">
      <c r="A1456" s="1" t="s">
        <v>309</v>
      </c>
    </row>
    <row r="1457" spans="1:1" x14ac:dyDescent="0.2">
      <c r="A1457" s="1" t="s">
        <v>300</v>
      </c>
    </row>
    <row r="1458" spans="1:1" x14ac:dyDescent="0.2">
      <c r="A1458" s="1" t="s">
        <v>301</v>
      </c>
    </row>
    <row r="1459" spans="1:1" x14ac:dyDescent="0.2">
      <c r="A1459" s="1" t="s">
        <v>302</v>
      </c>
    </row>
    <row r="1460" spans="1:1" x14ac:dyDescent="0.2">
      <c r="A1460" s="1" t="s">
        <v>303</v>
      </c>
    </row>
    <row r="1461" spans="1:1" x14ac:dyDescent="0.2">
      <c r="A1461" s="1" t="s">
        <v>304</v>
      </c>
    </row>
    <row r="1462" spans="1:1" x14ac:dyDescent="0.2">
      <c r="A1462" s="1" t="s">
        <v>305</v>
      </c>
    </row>
    <row r="1463" spans="1:1" x14ac:dyDescent="0.2">
      <c r="A1463" s="1" t="s">
        <v>306</v>
      </c>
    </row>
    <row r="1464" spans="1:1" x14ac:dyDescent="0.2">
      <c r="A1464" s="1" t="s">
        <v>307</v>
      </c>
    </row>
    <row r="1465" spans="1:1" x14ac:dyDescent="0.2">
      <c r="A1465" s="1" t="s">
        <v>306</v>
      </c>
    </row>
    <row r="1466" spans="1:1" x14ac:dyDescent="0.2">
      <c r="A1466" s="1" t="s">
        <v>307</v>
      </c>
    </row>
    <row r="1467" spans="1:1" x14ac:dyDescent="0.2">
      <c r="A1467" s="1" t="s">
        <v>306</v>
      </c>
    </row>
    <row r="1468" spans="1:1" x14ac:dyDescent="0.2">
      <c r="A1468" s="1" t="s">
        <v>307</v>
      </c>
    </row>
    <row r="1469" spans="1:1" x14ac:dyDescent="0.2">
      <c r="A1469" s="1" t="s">
        <v>308</v>
      </c>
    </row>
    <row r="1470" spans="1:1" x14ac:dyDescent="0.2">
      <c r="A1470" s="1" t="s">
        <v>309</v>
      </c>
    </row>
    <row r="1471" spans="1:1" x14ac:dyDescent="0.2">
      <c r="A1471" s="1" t="s">
        <v>300</v>
      </c>
    </row>
    <row r="1472" spans="1:1" x14ac:dyDescent="0.2">
      <c r="A1472" s="1" t="s">
        <v>301</v>
      </c>
    </row>
    <row r="1473" spans="1:1" x14ac:dyDescent="0.2">
      <c r="A1473" s="1" t="s">
        <v>302</v>
      </c>
    </row>
    <row r="1474" spans="1:1" x14ac:dyDescent="0.2">
      <c r="A1474" s="1" t="s">
        <v>303</v>
      </c>
    </row>
    <row r="1475" spans="1:1" x14ac:dyDescent="0.2">
      <c r="A1475" s="1" t="s">
        <v>304</v>
      </c>
    </row>
    <row r="1476" spans="1:1" x14ac:dyDescent="0.2">
      <c r="A1476" s="1" t="s">
        <v>305</v>
      </c>
    </row>
    <row r="1477" spans="1:1" x14ac:dyDescent="0.2">
      <c r="A1477" s="1" t="s">
        <v>306</v>
      </c>
    </row>
    <row r="1478" spans="1:1" x14ac:dyDescent="0.2">
      <c r="A1478" s="1" t="s">
        <v>307</v>
      </c>
    </row>
    <row r="1479" spans="1:1" x14ac:dyDescent="0.2">
      <c r="A1479" s="1" t="s">
        <v>306</v>
      </c>
    </row>
    <row r="1480" spans="1:1" x14ac:dyDescent="0.2">
      <c r="A1480" s="1" t="s">
        <v>307</v>
      </c>
    </row>
    <row r="1481" spans="1:1" x14ac:dyDescent="0.2">
      <c r="A1481" s="1" t="s">
        <v>306</v>
      </c>
    </row>
    <row r="1482" spans="1:1" x14ac:dyDescent="0.2">
      <c r="A1482" s="1" t="s">
        <v>307</v>
      </c>
    </row>
    <row r="1483" spans="1:1" x14ac:dyDescent="0.2">
      <c r="A1483" s="1" t="s">
        <v>308</v>
      </c>
    </row>
    <row r="1484" spans="1:1" x14ac:dyDescent="0.2">
      <c r="A1484" s="1" t="s">
        <v>309</v>
      </c>
    </row>
    <row r="1485" spans="1:1" x14ac:dyDescent="0.2">
      <c r="A1485" s="1" t="s">
        <v>300</v>
      </c>
    </row>
    <row r="1486" spans="1:1" x14ac:dyDescent="0.2">
      <c r="A1486" s="1" t="s">
        <v>301</v>
      </c>
    </row>
    <row r="1487" spans="1:1" x14ac:dyDescent="0.2">
      <c r="A1487" s="1" t="s">
        <v>302</v>
      </c>
    </row>
    <row r="1488" spans="1:1" x14ac:dyDescent="0.2">
      <c r="A1488" s="1" t="s">
        <v>303</v>
      </c>
    </row>
    <row r="1489" spans="1:1" x14ac:dyDescent="0.2">
      <c r="A1489" s="1" t="s">
        <v>304</v>
      </c>
    </row>
    <row r="1490" spans="1:1" x14ac:dyDescent="0.2">
      <c r="A1490" s="1" t="s">
        <v>305</v>
      </c>
    </row>
    <row r="1491" spans="1:1" x14ac:dyDescent="0.2">
      <c r="A1491" s="1" t="s">
        <v>306</v>
      </c>
    </row>
    <row r="1492" spans="1:1" x14ac:dyDescent="0.2">
      <c r="A1492" s="1" t="s">
        <v>307</v>
      </c>
    </row>
    <row r="1493" spans="1:1" x14ac:dyDescent="0.2">
      <c r="A1493" s="1" t="s">
        <v>306</v>
      </c>
    </row>
    <row r="1494" spans="1:1" x14ac:dyDescent="0.2">
      <c r="A1494" s="1" t="s">
        <v>307</v>
      </c>
    </row>
    <row r="1495" spans="1:1" x14ac:dyDescent="0.2">
      <c r="A1495" s="1" t="s">
        <v>306</v>
      </c>
    </row>
    <row r="1496" spans="1:1" x14ac:dyDescent="0.2">
      <c r="A1496" s="1" t="s">
        <v>307</v>
      </c>
    </row>
    <row r="1497" spans="1:1" x14ac:dyDescent="0.2">
      <c r="A1497" s="1" t="s">
        <v>308</v>
      </c>
    </row>
    <row r="1498" spans="1:1" x14ac:dyDescent="0.2">
      <c r="A1498" s="1" t="s">
        <v>309</v>
      </c>
    </row>
    <row r="1499" spans="1:1" x14ac:dyDescent="0.2">
      <c r="A1499" s="1" t="s">
        <v>300</v>
      </c>
    </row>
    <row r="1500" spans="1:1" x14ac:dyDescent="0.2">
      <c r="A1500" s="1" t="s">
        <v>301</v>
      </c>
    </row>
    <row r="1501" spans="1:1" x14ac:dyDescent="0.2">
      <c r="A1501" s="1" t="s">
        <v>302</v>
      </c>
    </row>
    <row r="1502" spans="1:1" x14ac:dyDescent="0.2">
      <c r="A1502" s="1" t="s">
        <v>303</v>
      </c>
    </row>
    <row r="1503" spans="1:1" x14ac:dyDescent="0.2">
      <c r="A1503" s="1" t="s">
        <v>304</v>
      </c>
    </row>
    <row r="1504" spans="1:1" x14ac:dyDescent="0.2">
      <c r="A1504" s="1" t="s">
        <v>305</v>
      </c>
    </row>
    <row r="1505" spans="1:1" x14ac:dyDescent="0.2">
      <c r="A1505" s="1" t="s">
        <v>306</v>
      </c>
    </row>
    <row r="1506" spans="1:1" x14ac:dyDescent="0.2">
      <c r="A1506" s="1" t="s">
        <v>307</v>
      </c>
    </row>
    <row r="1507" spans="1:1" x14ac:dyDescent="0.2">
      <c r="A1507" s="1" t="s">
        <v>306</v>
      </c>
    </row>
    <row r="1508" spans="1:1" x14ac:dyDescent="0.2">
      <c r="A1508" s="1" t="s">
        <v>307</v>
      </c>
    </row>
    <row r="1509" spans="1:1" x14ac:dyDescent="0.2">
      <c r="A1509" s="1" t="s">
        <v>306</v>
      </c>
    </row>
    <row r="1510" spans="1:1" x14ac:dyDescent="0.2">
      <c r="A1510" s="1" t="s">
        <v>307</v>
      </c>
    </row>
    <row r="1511" spans="1:1" x14ac:dyDescent="0.2">
      <c r="A1511" s="1" t="s">
        <v>308</v>
      </c>
    </row>
    <row r="1512" spans="1:1" x14ac:dyDescent="0.2">
      <c r="A1512" s="1" t="s">
        <v>309</v>
      </c>
    </row>
    <row r="1513" spans="1:1" x14ac:dyDescent="0.2">
      <c r="A1513" s="1" t="s">
        <v>300</v>
      </c>
    </row>
    <row r="1514" spans="1:1" x14ac:dyDescent="0.2">
      <c r="A1514" s="1" t="s">
        <v>301</v>
      </c>
    </row>
    <row r="1515" spans="1:1" x14ac:dyDescent="0.2">
      <c r="A1515" s="1" t="s">
        <v>302</v>
      </c>
    </row>
    <row r="1516" spans="1:1" x14ac:dyDescent="0.2">
      <c r="A1516" s="1" t="s">
        <v>303</v>
      </c>
    </row>
    <row r="1517" spans="1:1" x14ac:dyDescent="0.2">
      <c r="A1517" s="1" t="s">
        <v>304</v>
      </c>
    </row>
    <row r="1518" spans="1:1" x14ac:dyDescent="0.2">
      <c r="A1518" s="1" t="s">
        <v>305</v>
      </c>
    </row>
    <row r="1519" spans="1:1" x14ac:dyDescent="0.2">
      <c r="A1519" s="1" t="s">
        <v>306</v>
      </c>
    </row>
    <row r="1520" spans="1:1" x14ac:dyDescent="0.2">
      <c r="A1520" s="1" t="s">
        <v>307</v>
      </c>
    </row>
    <row r="1521" spans="1:1" x14ac:dyDescent="0.2">
      <c r="A1521" s="1" t="s">
        <v>306</v>
      </c>
    </row>
    <row r="1522" spans="1:1" x14ac:dyDescent="0.2">
      <c r="A1522" s="1" t="s">
        <v>307</v>
      </c>
    </row>
    <row r="1523" spans="1:1" x14ac:dyDescent="0.2">
      <c r="A1523" s="1" t="s">
        <v>306</v>
      </c>
    </row>
    <row r="1524" spans="1:1" x14ac:dyDescent="0.2">
      <c r="A1524" s="1" t="s">
        <v>307</v>
      </c>
    </row>
    <row r="1525" spans="1:1" x14ac:dyDescent="0.2">
      <c r="A1525" s="1" t="s">
        <v>308</v>
      </c>
    </row>
    <row r="1526" spans="1:1" x14ac:dyDescent="0.2">
      <c r="A1526" s="1" t="s">
        <v>309</v>
      </c>
    </row>
    <row r="1527" spans="1:1" x14ac:dyDescent="0.2">
      <c r="A1527" s="1" t="s">
        <v>300</v>
      </c>
    </row>
    <row r="1528" spans="1:1" x14ac:dyDescent="0.2">
      <c r="A1528" s="1" t="s">
        <v>301</v>
      </c>
    </row>
    <row r="1529" spans="1:1" x14ac:dyDescent="0.2">
      <c r="A1529" s="1" t="s">
        <v>302</v>
      </c>
    </row>
    <row r="1530" spans="1:1" x14ac:dyDescent="0.2">
      <c r="A1530" s="1" t="s">
        <v>303</v>
      </c>
    </row>
    <row r="1531" spans="1:1" x14ac:dyDescent="0.2">
      <c r="A1531" s="1" t="s">
        <v>304</v>
      </c>
    </row>
    <row r="1532" spans="1:1" x14ac:dyDescent="0.2">
      <c r="A1532" s="1" t="s">
        <v>305</v>
      </c>
    </row>
    <row r="1533" spans="1:1" x14ac:dyDescent="0.2">
      <c r="A1533" s="1" t="s">
        <v>306</v>
      </c>
    </row>
    <row r="1534" spans="1:1" x14ac:dyDescent="0.2">
      <c r="A1534" s="1" t="s">
        <v>307</v>
      </c>
    </row>
    <row r="1535" spans="1:1" x14ac:dyDescent="0.2">
      <c r="A1535" s="1" t="s">
        <v>306</v>
      </c>
    </row>
    <row r="1536" spans="1:1" x14ac:dyDescent="0.2">
      <c r="A1536" s="1" t="s">
        <v>307</v>
      </c>
    </row>
    <row r="1537" spans="1:1" x14ac:dyDescent="0.2">
      <c r="A1537" s="1" t="s">
        <v>306</v>
      </c>
    </row>
    <row r="1538" spans="1:1" x14ac:dyDescent="0.2">
      <c r="A1538" s="1" t="s">
        <v>307</v>
      </c>
    </row>
    <row r="1539" spans="1:1" x14ac:dyDescent="0.2">
      <c r="A1539" s="1" t="s">
        <v>308</v>
      </c>
    </row>
    <row r="1540" spans="1:1" x14ac:dyDescent="0.2">
      <c r="A1540" s="1" t="s">
        <v>309</v>
      </c>
    </row>
    <row r="1541" spans="1:1" x14ac:dyDescent="0.2">
      <c r="A1541" s="1" t="s">
        <v>300</v>
      </c>
    </row>
    <row r="1542" spans="1:1" x14ac:dyDescent="0.2">
      <c r="A1542" s="1" t="s">
        <v>301</v>
      </c>
    </row>
    <row r="1543" spans="1:1" x14ac:dyDescent="0.2">
      <c r="A1543" s="1" t="s">
        <v>302</v>
      </c>
    </row>
    <row r="1544" spans="1:1" x14ac:dyDescent="0.2">
      <c r="A1544" s="1" t="s">
        <v>303</v>
      </c>
    </row>
    <row r="1545" spans="1:1" x14ac:dyDescent="0.2">
      <c r="A1545" s="1" t="s">
        <v>304</v>
      </c>
    </row>
    <row r="1546" spans="1:1" x14ac:dyDescent="0.2">
      <c r="A1546" s="1" t="s">
        <v>305</v>
      </c>
    </row>
    <row r="1547" spans="1:1" x14ac:dyDescent="0.2">
      <c r="A1547" s="1" t="s">
        <v>306</v>
      </c>
    </row>
    <row r="1548" spans="1:1" x14ac:dyDescent="0.2">
      <c r="A1548" s="1" t="s">
        <v>307</v>
      </c>
    </row>
    <row r="1549" spans="1:1" x14ac:dyDescent="0.2">
      <c r="A1549" s="1" t="s">
        <v>306</v>
      </c>
    </row>
    <row r="1550" spans="1:1" x14ac:dyDescent="0.2">
      <c r="A1550" s="1" t="s">
        <v>307</v>
      </c>
    </row>
    <row r="1551" spans="1:1" x14ac:dyDescent="0.2">
      <c r="A1551" s="1" t="s">
        <v>306</v>
      </c>
    </row>
    <row r="1552" spans="1:1" x14ac:dyDescent="0.2">
      <c r="A1552" s="1" t="s">
        <v>307</v>
      </c>
    </row>
    <row r="1553" spans="1:1" x14ac:dyDescent="0.2">
      <c r="A1553" s="1" t="s">
        <v>308</v>
      </c>
    </row>
    <row r="1554" spans="1:1" x14ac:dyDescent="0.2">
      <c r="A1554" s="1" t="s">
        <v>309</v>
      </c>
    </row>
    <row r="1555" spans="1:1" x14ac:dyDescent="0.2">
      <c r="A1555" s="1" t="s">
        <v>300</v>
      </c>
    </row>
    <row r="1556" spans="1:1" x14ac:dyDescent="0.2">
      <c r="A1556" s="1" t="s">
        <v>301</v>
      </c>
    </row>
    <row r="1557" spans="1:1" x14ac:dyDescent="0.2">
      <c r="A1557" s="1" t="s">
        <v>302</v>
      </c>
    </row>
    <row r="1558" spans="1:1" x14ac:dyDescent="0.2">
      <c r="A1558" s="1" t="s">
        <v>303</v>
      </c>
    </row>
    <row r="1559" spans="1:1" x14ac:dyDescent="0.2">
      <c r="A1559" s="1" t="s">
        <v>304</v>
      </c>
    </row>
    <row r="1560" spans="1:1" x14ac:dyDescent="0.2">
      <c r="A1560" s="1" t="s">
        <v>305</v>
      </c>
    </row>
    <row r="1561" spans="1:1" x14ac:dyDescent="0.2">
      <c r="A1561" s="1" t="s">
        <v>306</v>
      </c>
    </row>
    <row r="1562" spans="1:1" x14ac:dyDescent="0.2">
      <c r="A1562" s="1" t="s">
        <v>307</v>
      </c>
    </row>
    <row r="1563" spans="1:1" x14ac:dyDescent="0.2">
      <c r="A1563" s="1" t="s">
        <v>306</v>
      </c>
    </row>
    <row r="1564" spans="1:1" x14ac:dyDescent="0.2">
      <c r="A1564" s="1" t="s">
        <v>307</v>
      </c>
    </row>
    <row r="1565" spans="1:1" x14ac:dyDescent="0.2">
      <c r="A1565" s="1" t="s">
        <v>306</v>
      </c>
    </row>
    <row r="1566" spans="1:1" x14ac:dyDescent="0.2">
      <c r="A1566" s="1" t="s">
        <v>307</v>
      </c>
    </row>
    <row r="1567" spans="1:1" x14ac:dyDescent="0.2">
      <c r="A1567" s="1" t="s">
        <v>308</v>
      </c>
    </row>
    <row r="1568" spans="1:1" x14ac:dyDescent="0.2">
      <c r="A1568" s="1" t="s">
        <v>309</v>
      </c>
    </row>
    <row r="1569" spans="1:1" x14ac:dyDescent="0.2">
      <c r="A1569" s="1" t="s">
        <v>300</v>
      </c>
    </row>
    <row r="1570" spans="1:1" x14ac:dyDescent="0.2">
      <c r="A1570" s="1" t="s">
        <v>301</v>
      </c>
    </row>
    <row r="1571" spans="1:1" x14ac:dyDescent="0.2">
      <c r="A1571" s="1" t="s">
        <v>302</v>
      </c>
    </row>
    <row r="1572" spans="1:1" x14ac:dyDescent="0.2">
      <c r="A1572" s="1" t="s">
        <v>303</v>
      </c>
    </row>
    <row r="1573" spans="1:1" x14ac:dyDescent="0.2">
      <c r="A1573" s="1" t="s">
        <v>304</v>
      </c>
    </row>
    <row r="1574" spans="1:1" x14ac:dyDescent="0.2">
      <c r="A1574" s="1" t="s">
        <v>305</v>
      </c>
    </row>
    <row r="1575" spans="1:1" x14ac:dyDescent="0.2">
      <c r="A1575" s="1" t="s">
        <v>306</v>
      </c>
    </row>
    <row r="1576" spans="1:1" x14ac:dyDescent="0.2">
      <c r="A1576" s="1" t="s">
        <v>307</v>
      </c>
    </row>
    <row r="1577" spans="1:1" x14ac:dyDescent="0.2">
      <c r="A1577" s="1" t="s">
        <v>306</v>
      </c>
    </row>
    <row r="1578" spans="1:1" x14ac:dyDescent="0.2">
      <c r="A1578" s="1" t="s">
        <v>307</v>
      </c>
    </row>
    <row r="1579" spans="1:1" x14ac:dyDescent="0.2">
      <c r="A1579" s="1" t="s">
        <v>306</v>
      </c>
    </row>
    <row r="1580" spans="1:1" x14ac:dyDescent="0.2">
      <c r="A1580" s="1" t="s">
        <v>307</v>
      </c>
    </row>
    <row r="1581" spans="1:1" x14ac:dyDescent="0.2">
      <c r="A1581" s="1" t="s">
        <v>308</v>
      </c>
    </row>
    <row r="1582" spans="1:1" x14ac:dyDescent="0.2">
      <c r="A1582" s="1" t="s">
        <v>309</v>
      </c>
    </row>
    <row r="1583" spans="1:1" x14ac:dyDescent="0.2">
      <c r="A1583" s="1" t="s">
        <v>300</v>
      </c>
    </row>
    <row r="1584" spans="1:1" x14ac:dyDescent="0.2">
      <c r="A1584" s="1" t="s">
        <v>301</v>
      </c>
    </row>
    <row r="1585" spans="1:1" x14ac:dyDescent="0.2">
      <c r="A1585" s="1" t="s">
        <v>302</v>
      </c>
    </row>
    <row r="1586" spans="1:1" x14ac:dyDescent="0.2">
      <c r="A1586" s="1" t="s">
        <v>303</v>
      </c>
    </row>
    <row r="1587" spans="1:1" x14ac:dyDescent="0.2">
      <c r="A1587" s="1" t="s">
        <v>304</v>
      </c>
    </row>
    <row r="1588" spans="1:1" x14ac:dyDescent="0.2">
      <c r="A1588" s="1" t="s">
        <v>305</v>
      </c>
    </row>
    <row r="1589" spans="1:1" x14ac:dyDescent="0.2">
      <c r="A1589" s="1" t="s">
        <v>306</v>
      </c>
    </row>
    <row r="1590" spans="1:1" x14ac:dyDescent="0.2">
      <c r="A1590" s="1" t="s">
        <v>307</v>
      </c>
    </row>
    <row r="1591" spans="1:1" x14ac:dyDescent="0.2">
      <c r="A1591" s="1" t="s">
        <v>306</v>
      </c>
    </row>
    <row r="1592" spans="1:1" x14ac:dyDescent="0.2">
      <c r="A1592" s="1" t="s">
        <v>307</v>
      </c>
    </row>
    <row r="1593" spans="1:1" x14ac:dyDescent="0.2">
      <c r="A1593" s="1" t="s">
        <v>306</v>
      </c>
    </row>
    <row r="1594" spans="1:1" x14ac:dyDescent="0.2">
      <c r="A1594" s="1" t="s">
        <v>307</v>
      </c>
    </row>
    <row r="1595" spans="1:1" x14ac:dyDescent="0.2">
      <c r="A1595" s="1" t="s">
        <v>310</v>
      </c>
    </row>
    <row r="1596" spans="1:1" x14ac:dyDescent="0.2">
      <c r="A1596" s="1" t="s">
        <v>311</v>
      </c>
    </row>
    <row r="1597" spans="1:1" x14ac:dyDescent="0.2">
      <c r="A1597" s="1" t="s">
        <v>312</v>
      </c>
    </row>
    <row r="1598" spans="1:1" x14ac:dyDescent="0.2">
      <c r="A1598" s="1" t="s">
        <v>313</v>
      </c>
    </row>
    <row r="1599" spans="1:1" x14ac:dyDescent="0.2">
      <c r="A1599" s="1" t="s">
        <v>314</v>
      </c>
    </row>
    <row r="1600" spans="1:1" x14ac:dyDescent="0.2">
      <c r="A1600" s="1" t="s">
        <v>315</v>
      </c>
    </row>
    <row r="1601" spans="1:1" x14ac:dyDescent="0.2">
      <c r="A1601" s="1" t="s">
        <v>316</v>
      </c>
    </row>
    <row r="1602" spans="1:1" x14ac:dyDescent="0.2">
      <c r="A1602" s="1" t="s">
        <v>317</v>
      </c>
    </row>
    <row r="1603" spans="1:1" x14ac:dyDescent="0.2">
      <c r="A1603" s="1" t="s">
        <v>318</v>
      </c>
    </row>
    <row r="1604" spans="1:1" x14ac:dyDescent="0.2">
      <c r="A1604" s="1" t="s">
        <v>319</v>
      </c>
    </row>
    <row r="1605" spans="1:1" x14ac:dyDescent="0.2">
      <c r="A1605" s="1" t="s">
        <v>318</v>
      </c>
    </row>
    <row r="1606" spans="1:1" x14ac:dyDescent="0.2">
      <c r="A1606" s="1" t="s">
        <v>319</v>
      </c>
    </row>
    <row r="1607" spans="1:1" x14ac:dyDescent="0.2">
      <c r="A1607" s="1" t="s">
        <v>318</v>
      </c>
    </row>
    <row r="1608" spans="1:1" x14ac:dyDescent="0.2">
      <c r="A1608" s="1" t="s">
        <v>319</v>
      </c>
    </row>
    <row r="1609" spans="1:1" x14ac:dyDescent="0.2">
      <c r="A1609" s="1" t="s">
        <v>310</v>
      </c>
    </row>
    <row r="1610" spans="1:1" x14ac:dyDescent="0.2">
      <c r="A1610" s="1" t="s">
        <v>311</v>
      </c>
    </row>
    <row r="1611" spans="1:1" x14ac:dyDescent="0.2">
      <c r="A1611" s="1" t="s">
        <v>312</v>
      </c>
    </row>
    <row r="1612" spans="1:1" x14ac:dyDescent="0.2">
      <c r="A1612" s="1" t="s">
        <v>313</v>
      </c>
    </row>
    <row r="1613" spans="1:1" x14ac:dyDescent="0.2">
      <c r="A1613" s="1" t="s">
        <v>314</v>
      </c>
    </row>
    <row r="1614" spans="1:1" x14ac:dyDescent="0.2">
      <c r="A1614" s="1" t="s">
        <v>315</v>
      </c>
    </row>
    <row r="1615" spans="1:1" x14ac:dyDescent="0.2">
      <c r="A1615" s="1" t="s">
        <v>316</v>
      </c>
    </row>
    <row r="1616" spans="1:1" x14ac:dyDescent="0.2">
      <c r="A1616" s="1" t="s">
        <v>317</v>
      </c>
    </row>
    <row r="1617" spans="1:1" x14ac:dyDescent="0.2">
      <c r="A1617" s="1" t="s">
        <v>318</v>
      </c>
    </row>
    <row r="1618" spans="1:1" x14ac:dyDescent="0.2">
      <c r="A1618" s="1" t="s">
        <v>319</v>
      </c>
    </row>
    <row r="1619" spans="1:1" x14ac:dyDescent="0.2">
      <c r="A1619" s="1" t="s">
        <v>318</v>
      </c>
    </row>
    <row r="1620" spans="1:1" x14ac:dyDescent="0.2">
      <c r="A1620" s="1" t="s">
        <v>319</v>
      </c>
    </row>
    <row r="1621" spans="1:1" x14ac:dyDescent="0.2">
      <c r="A1621" s="1" t="s">
        <v>318</v>
      </c>
    </row>
    <row r="1622" spans="1:1" x14ac:dyDescent="0.2">
      <c r="A1622" s="1" t="s">
        <v>319</v>
      </c>
    </row>
    <row r="1623" spans="1:1" x14ac:dyDescent="0.2">
      <c r="A1623" s="1" t="s">
        <v>310</v>
      </c>
    </row>
    <row r="1624" spans="1:1" x14ac:dyDescent="0.2">
      <c r="A1624" s="1" t="s">
        <v>311</v>
      </c>
    </row>
    <row r="1625" spans="1:1" x14ac:dyDescent="0.2">
      <c r="A1625" s="1" t="s">
        <v>312</v>
      </c>
    </row>
    <row r="1626" spans="1:1" x14ac:dyDescent="0.2">
      <c r="A1626" s="1" t="s">
        <v>313</v>
      </c>
    </row>
    <row r="1627" spans="1:1" x14ac:dyDescent="0.2">
      <c r="A1627" s="1" t="s">
        <v>314</v>
      </c>
    </row>
    <row r="1628" spans="1:1" x14ac:dyDescent="0.2">
      <c r="A1628" s="1" t="s">
        <v>315</v>
      </c>
    </row>
    <row r="1629" spans="1:1" x14ac:dyDescent="0.2">
      <c r="A1629" s="1" t="s">
        <v>316</v>
      </c>
    </row>
    <row r="1630" spans="1:1" x14ac:dyDescent="0.2">
      <c r="A1630" s="1" t="s">
        <v>320</v>
      </c>
    </row>
    <row r="1631" spans="1:1" x14ac:dyDescent="0.2">
      <c r="A1631" s="1" t="s">
        <v>321</v>
      </c>
    </row>
    <row r="1632" spans="1:1" x14ac:dyDescent="0.2">
      <c r="A1632" s="1" t="s">
        <v>322</v>
      </c>
    </row>
    <row r="1633" spans="1:1" x14ac:dyDescent="0.2">
      <c r="A1633" s="1" t="s">
        <v>321</v>
      </c>
    </row>
    <row r="1634" spans="1:1" x14ac:dyDescent="0.2">
      <c r="A1634" s="1" t="s">
        <v>322</v>
      </c>
    </row>
    <row r="1635" spans="1:1" x14ac:dyDescent="0.2">
      <c r="A1635" s="1" t="s">
        <v>321</v>
      </c>
    </row>
    <row r="1636" spans="1:1" x14ac:dyDescent="0.2">
      <c r="A1636" s="1" t="s">
        <v>322</v>
      </c>
    </row>
    <row r="1637" spans="1:1" x14ac:dyDescent="0.2">
      <c r="A1637" s="1" t="s">
        <v>323</v>
      </c>
    </row>
    <row r="1638" spans="1:1" x14ac:dyDescent="0.2">
      <c r="A1638" s="1" t="s">
        <v>324</v>
      </c>
    </row>
    <row r="1639" spans="1:1" x14ac:dyDescent="0.2">
      <c r="A1639" s="1" t="s">
        <v>325</v>
      </c>
    </row>
    <row r="1640" spans="1:1" x14ac:dyDescent="0.2">
      <c r="A1640" s="1" t="s">
        <v>326</v>
      </c>
    </row>
    <row r="1641" spans="1:1" x14ac:dyDescent="0.2">
      <c r="A1641" s="1" t="s">
        <v>327</v>
      </c>
    </row>
    <row r="1642" spans="1:1" x14ac:dyDescent="0.2">
      <c r="A1642" s="1" t="s">
        <v>328</v>
      </c>
    </row>
    <row r="1643" spans="1:1" x14ac:dyDescent="0.2">
      <c r="A1643" s="1" t="s">
        <v>329</v>
      </c>
    </row>
    <row r="1644" spans="1:1" x14ac:dyDescent="0.2">
      <c r="A1644" s="1" t="s">
        <v>320</v>
      </c>
    </row>
    <row r="1645" spans="1:1" x14ac:dyDescent="0.2">
      <c r="A1645" s="1" t="s">
        <v>321</v>
      </c>
    </row>
    <row r="1646" spans="1:1" x14ac:dyDescent="0.2">
      <c r="A1646" s="1" t="s">
        <v>322</v>
      </c>
    </row>
    <row r="1647" spans="1:1" x14ac:dyDescent="0.2">
      <c r="A1647" s="1" t="s">
        <v>330</v>
      </c>
    </row>
    <row r="1648" spans="1:1" x14ac:dyDescent="0.2">
      <c r="A1648" s="1" t="s">
        <v>331</v>
      </c>
    </row>
    <row r="1649" spans="1:1" x14ac:dyDescent="0.2">
      <c r="A1649" s="1" t="s">
        <v>330</v>
      </c>
    </row>
    <row r="1650" spans="1:1" x14ac:dyDescent="0.2">
      <c r="A1650" s="1" t="s">
        <v>331</v>
      </c>
    </row>
    <row r="1651" spans="1:1" x14ac:dyDescent="0.2">
      <c r="A1651" s="1" t="s">
        <v>332</v>
      </c>
    </row>
    <row r="1652" spans="1:1" x14ac:dyDescent="0.2">
      <c r="A1652" s="1" t="s">
        <v>333</v>
      </c>
    </row>
    <row r="1653" spans="1:1" x14ac:dyDescent="0.2">
      <c r="A1653" s="1" t="s">
        <v>334</v>
      </c>
    </row>
    <row r="1654" spans="1:1" x14ac:dyDescent="0.2">
      <c r="A1654" s="1" t="s">
        <v>335</v>
      </c>
    </row>
    <row r="1655" spans="1:1" x14ac:dyDescent="0.2">
      <c r="A1655" s="1" t="s">
        <v>336</v>
      </c>
    </row>
    <row r="1656" spans="1:1" x14ac:dyDescent="0.2">
      <c r="A1656" s="1" t="s">
        <v>337</v>
      </c>
    </row>
    <row r="1657" spans="1:1" x14ac:dyDescent="0.2">
      <c r="A1657" s="1" t="s">
        <v>338</v>
      </c>
    </row>
    <row r="1658" spans="1:1" x14ac:dyDescent="0.2">
      <c r="A1658" s="1" t="s">
        <v>339</v>
      </c>
    </row>
    <row r="1659" spans="1:1" x14ac:dyDescent="0.2">
      <c r="A1659" s="1" t="s">
        <v>330</v>
      </c>
    </row>
    <row r="1660" spans="1:1" x14ac:dyDescent="0.2">
      <c r="A1660" s="1" t="s">
        <v>331</v>
      </c>
    </row>
    <row r="1661" spans="1:1" x14ac:dyDescent="0.2">
      <c r="A1661" s="1" t="s">
        <v>330</v>
      </c>
    </row>
    <row r="1662" spans="1:1" x14ac:dyDescent="0.2">
      <c r="A1662" s="1" t="s">
        <v>331</v>
      </c>
    </row>
    <row r="1663" spans="1:1" x14ac:dyDescent="0.2">
      <c r="A1663" s="1" t="s">
        <v>330</v>
      </c>
    </row>
    <row r="1664" spans="1:1" x14ac:dyDescent="0.2">
      <c r="A1664" s="1" t="s">
        <v>331</v>
      </c>
    </row>
    <row r="1665" spans="1:1" x14ac:dyDescent="0.2">
      <c r="A1665" s="1" t="s">
        <v>332</v>
      </c>
    </row>
    <row r="1666" spans="1:1" x14ac:dyDescent="0.2">
      <c r="A1666" s="1" t="s">
        <v>333</v>
      </c>
    </row>
    <row r="1667" spans="1:1" x14ac:dyDescent="0.2">
      <c r="A1667" s="1" t="s">
        <v>334</v>
      </c>
    </row>
    <row r="1668" spans="1:1" x14ac:dyDescent="0.2">
      <c r="A1668" s="1" t="s">
        <v>335</v>
      </c>
    </row>
    <row r="1669" spans="1:1" x14ac:dyDescent="0.2">
      <c r="A1669" s="1" t="s">
        <v>336</v>
      </c>
    </row>
    <row r="1670" spans="1:1" x14ac:dyDescent="0.2">
      <c r="A1670" s="1" t="s">
        <v>337</v>
      </c>
    </row>
    <row r="1671" spans="1:1" x14ac:dyDescent="0.2">
      <c r="A1671" s="1" t="s">
        <v>338</v>
      </c>
    </row>
    <row r="1672" spans="1:1" x14ac:dyDescent="0.2">
      <c r="A1672" s="1" t="s">
        <v>339</v>
      </c>
    </row>
    <row r="1673" spans="1:1" x14ac:dyDescent="0.2">
      <c r="A1673" s="1" t="s">
        <v>330</v>
      </c>
    </row>
    <row r="1674" spans="1:1" x14ac:dyDescent="0.2">
      <c r="A1674" s="1" t="s">
        <v>331</v>
      </c>
    </row>
    <row r="1675" spans="1:1" x14ac:dyDescent="0.2">
      <c r="A1675" s="1" t="s">
        <v>330</v>
      </c>
    </row>
    <row r="1676" spans="1:1" x14ac:dyDescent="0.2">
      <c r="A1676" s="1" t="s">
        <v>331</v>
      </c>
    </row>
    <row r="1677" spans="1:1" x14ac:dyDescent="0.2">
      <c r="A1677" s="1" t="s">
        <v>330</v>
      </c>
    </row>
    <row r="1678" spans="1:1" x14ac:dyDescent="0.2">
      <c r="A1678" s="1" t="s">
        <v>331</v>
      </c>
    </row>
    <row r="1679" spans="1:1" x14ac:dyDescent="0.2">
      <c r="A1679" s="1" t="s">
        <v>332</v>
      </c>
    </row>
    <row r="1680" spans="1:1" x14ac:dyDescent="0.2">
      <c r="A1680" s="1" t="s">
        <v>333</v>
      </c>
    </row>
    <row r="1681" spans="1:1" x14ac:dyDescent="0.2">
      <c r="A1681" s="1" t="s">
        <v>334</v>
      </c>
    </row>
    <row r="1682" spans="1:1" x14ac:dyDescent="0.2">
      <c r="A1682" s="1" t="s">
        <v>335</v>
      </c>
    </row>
    <row r="1683" spans="1:1" x14ac:dyDescent="0.2">
      <c r="A1683" s="1" t="s">
        <v>336</v>
      </c>
    </row>
    <row r="1684" spans="1:1" x14ac:dyDescent="0.2">
      <c r="A1684" s="1" t="s">
        <v>337</v>
      </c>
    </row>
    <row r="1685" spans="1:1" x14ac:dyDescent="0.2">
      <c r="A1685" s="1" t="s">
        <v>338</v>
      </c>
    </row>
    <row r="1686" spans="1:1" x14ac:dyDescent="0.2">
      <c r="A1686" s="1" t="s">
        <v>339</v>
      </c>
    </row>
    <row r="1687" spans="1:1" x14ac:dyDescent="0.2">
      <c r="A1687" s="1" t="s">
        <v>330</v>
      </c>
    </row>
    <row r="1688" spans="1:1" x14ac:dyDescent="0.2">
      <c r="A1688" s="1" t="s">
        <v>331</v>
      </c>
    </row>
    <row r="1689" spans="1:1" x14ac:dyDescent="0.2">
      <c r="A1689" s="1" t="s">
        <v>330</v>
      </c>
    </row>
    <row r="1690" spans="1:1" x14ac:dyDescent="0.2">
      <c r="A1690" s="1" t="s">
        <v>331</v>
      </c>
    </row>
    <row r="1691" spans="1:1" x14ac:dyDescent="0.2">
      <c r="A1691" s="1" t="s">
        <v>330</v>
      </c>
    </row>
    <row r="1692" spans="1:1" x14ac:dyDescent="0.2">
      <c r="A1692" s="1" t="s">
        <v>331</v>
      </c>
    </row>
    <row r="1693" spans="1:1" x14ac:dyDescent="0.2">
      <c r="A1693" s="1" t="s">
        <v>332</v>
      </c>
    </row>
    <row r="1694" spans="1:1" x14ac:dyDescent="0.2">
      <c r="A1694" s="1" t="s">
        <v>333</v>
      </c>
    </row>
    <row r="1695" spans="1:1" x14ac:dyDescent="0.2">
      <c r="A1695" s="1" t="s">
        <v>334</v>
      </c>
    </row>
    <row r="1696" spans="1:1" x14ac:dyDescent="0.2">
      <c r="A1696" s="1" t="s">
        <v>335</v>
      </c>
    </row>
    <row r="1697" spans="1:1" x14ac:dyDescent="0.2">
      <c r="A1697" s="1" t="s">
        <v>336</v>
      </c>
    </row>
    <row r="1698" spans="1:1" x14ac:dyDescent="0.2">
      <c r="A1698" s="1" t="s">
        <v>337</v>
      </c>
    </row>
    <row r="1699" spans="1:1" x14ac:dyDescent="0.2">
      <c r="A1699" s="1" t="s">
        <v>338</v>
      </c>
    </row>
    <row r="1700" spans="1:1" x14ac:dyDescent="0.2">
      <c r="A1700" s="1" t="s">
        <v>339</v>
      </c>
    </row>
    <row r="1701" spans="1:1" x14ac:dyDescent="0.2">
      <c r="A1701" s="1" t="s">
        <v>330</v>
      </c>
    </row>
    <row r="1702" spans="1:1" x14ac:dyDescent="0.2">
      <c r="A1702" s="1" t="s">
        <v>331</v>
      </c>
    </row>
    <row r="1703" spans="1:1" x14ac:dyDescent="0.2">
      <c r="A1703" s="1" t="s">
        <v>330</v>
      </c>
    </row>
    <row r="1704" spans="1:1" x14ac:dyDescent="0.2">
      <c r="A1704" s="1" t="s">
        <v>331</v>
      </c>
    </row>
    <row r="1705" spans="1:1" x14ac:dyDescent="0.2">
      <c r="A1705" s="1" t="s">
        <v>330</v>
      </c>
    </row>
    <row r="1706" spans="1:1" x14ac:dyDescent="0.2">
      <c r="A1706" s="1" t="s">
        <v>331</v>
      </c>
    </row>
    <row r="1707" spans="1:1" x14ac:dyDescent="0.2">
      <c r="A1707" s="1" t="s">
        <v>332</v>
      </c>
    </row>
    <row r="1708" spans="1:1" x14ac:dyDescent="0.2">
      <c r="A1708" s="1" t="s">
        <v>333</v>
      </c>
    </row>
    <row r="1709" spans="1:1" x14ac:dyDescent="0.2">
      <c r="A1709" s="1" t="s">
        <v>334</v>
      </c>
    </row>
    <row r="1710" spans="1:1" x14ac:dyDescent="0.2">
      <c r="A1710" s="1" t="s">
        <v>335</v>
      </c>
    </row>
    <row r="1711" spans="1:1" x14ac:dyDescent="0.2">
      <c r="A1711" s="1" t="s">
        <v>336</v>
      </c>
    </row>
    <row r="1712" spans="1:1" x14ac:dyDescent="0.2">
      <c r="A1712" s="1" t="s">
        <v>337</v>
      </c>
    </row>
    <row r="1713" spans="1:1" x14ac:dyDescent="0.2">
      <c r="A1713" s="1" t="s">
        <v>338</v>
      </c>
    </row>
    <row r="1714" spans="1:1" x14ac:dyDescent="0.2">
      <c r="A1714" s="1" t="s">
        <v>339</v>
      </c>
    </row>
    <row r="1715" spans="1:1" x14ac:dyDescent="0.2">
      <c r="A1715" s="1" t="s">
        <v>330</v>
      </c>
    </row>
    <row r="1716" spans="1:1" x14ac:dyDescent="0.2">
      <c r="A1716" s="1" t="s">
        <v>331</v>
      </c>
    </row>
    <row r="1717" spans="1:1" x14ac:dyDescent="0.2">
      <c r="A1717" s="1" t="s">
        <v>330</v>
      </c>
    </row>
    <row r="1718" spans="1:1" x14ac:dyDescent="0.2">
      <c r="A1718" s="1" t="s">
        <v>331</v>
      </c>
    </row>
    <row r="1719" spans="1:1" x14ac:dyDescent="0.2">
      <c r="A1719" s="1" t="s">
        <v>330</v>
      </c>
    </row>
    <row r="1720" spans="1:1" x14ac:dyDescent="0.2">
      <c r="A1720" s="1" t="s">
        <v>331</v>
      </c>
    </row>
    <row r="1721" spans="1:1" x14ac:dyDescent="0.2">
      <c r="A1721" s="1" t="s">
        <v>332</v>
      </c>
    </row>
    <row r="1722" spans="1:1" x14ac:dyDescent="0.2">
      <c r="A1722" s="1" t="s">
        <v>333</v>
      </c>
    </row>
    <row r="1723" spans="1:1" x14ac:dyDescent="0.2">
      <c r="A1723" s="1" t="s">
        <v>334</v>
      </c>
    </row>
    <row r="1724" spans="1:1" x14ac:dyDescent="0.2">
      <c r="A1724" s="1" t="s">
        <v>335</v>
      </c>
    </row>
    <row r="1725" spans="1:1" x14ac:dyDescent="0.2">
      <c r="A1725" s="1" t="s">
        <v>336</v>
      </c>
    </row>
    <row r="1726" spans="1:1" x14ac:dyDescent="0.2">
      <c r="A1726" s="1" t="s">
        <v>337</v>
      </c>
    </row>
    <row r="1727" spans="1:1" x14ac:dyDescent="0.2">
      <c r="A1727" s="1" t="s">
        <v>338</v>
      </c>
    </row>
    <row r="1728" spans="1:1" x14ac:dyDescent="0.2">
      <c r="A1728" s="1" t="s">
        <v>339</v>
      </c>
    </row>
    <row r="1729" spans="1:1" x14ac:dyDescent="0.2">
      <c r="A1729" s="1" t="s">
        <v>330</v>
      </c>
    </row>
    <row r="1730" spans="1:1" x14ac:dyDescent="0.2">
      <c r="A1730" s="1" t="s">
        <v>331</v>
      </c>
    </row>
    <row r="1731" spans="1:1" x14ac:dyDescent="0.2">
      <c r="A1731" s="1" t="s">
        <v>330</v>
      </c>
    </row>
    <row r="1732" spans="1:1" x14ac:dyDescent="0.2">
      <c r="A1732" s="1" t="s">
        <v>331</v>
      </c>
    </row>
    <row r="1733" spans="1:1" x14ac:dyDescent="0.2">
      <c r="A1733" s="1" t="s">
        <v>330</v>
      </c>
    </row>
    <row r="1734" spans="1:1" x14ac:dyDescent="0.2">
      <c r="A1734" s="1" t="s">
        <v>331</v>
      </c>
    </row>
    <row r="1735" spans="1:1" x14ac:dyDescent="0.2">
      <c r="A1735" s="1" t="s">
        <v>332</v>
      </c>
    </row>
    <row r="1736" spans="1:1" x14ac:dyDescent="0.2">
      <c r="A1736" s="1" t="s">
        <v>333</v>
      </c>
    </row>
    <row r="1737" spans="1:1" x14ac:dyDescent="0.2">
      <c r="A1737" s="1" t="s">
        <v>334</v>
      </c>
    </row>
    <row r="1738" spans="1:1" x14ac:dyDescent="0.2">
      <c r="A1738" s="1" t="s">
        <v>335</v>
      </c>
    </row>
    <row r="1739" spans="1:1" x14ac:dyDescent="0.2">
      <c r="A1739" s="1" t="s">
        <v>336</v>
      </c>
    </row>
    <row r="1740" spans="1:1" x14ac:dyDescent="0.2">
      <c r="A1740" s="1" t="s">
        <v>337</v>
      </c>
    </row>
    <row r="1741" spans="1:1" x14ac:dyDescent="0.2">
      <c r="A1741" s="1" t="s">
        <v>338</v>
      </c>
    </row>
    <row r="1742" spans="1:1" x14ac:dyDescent="0.2">
      <c r="A1742" s="1" t="s">
        <v>339</v>
      </c>
    </row>
    <row r="1743" spans="1:1" x14ac:dyDescent="0.2">
      <c r="A1743" s="1" t="s">
        <v>330</v>
      </c>
    </row>
    <row r="1744" spans="1:1" x14ac:dyDescent="0.2">
      <c r="A1744" s="1" t="s">
        <v>331</v>
      </c>
    </row>
    <row r="1745" spans="1:1" x14ac:dyDescent="0.2">
      <c r="A1745" s="1" t="s">
        <v>330</v>
      </c>
    </row>
    <row r="1746" spans="1:1" x14ac:dyDescent="0.2">
      <c r="A1746" s="1" t="s">
        <v>331</v>
      </c>
    </row>
    <row r="1747" spans="1:1" x14ac:dyDescent="0.2">
      <c r="A1747" s="1" t="s">
        <v>330</v>
      </c>
    </row>
    <row r="1748" spans="1:1" x14ac:dyDescent="0.2">
      <c r="A1748" s="1" t="s">
        <v>331</v>
      </c>
    </row>
    <row r="1749" spans="1:1" x14ac:dyDescent="0.2">
      <c r="A1749" s="1" t="s">
        <v>332</v>
      </c>
    </row>
    <row r="1750" spans="1:1" x14ac:dyDescent="0.2">
      <c r="A1750" s="1" t="s">
        <v>333</v>
      </c>
    </row>
    <row r="1751" spans="1:1" x14ac:dyDescent="0.2">
      <c r="A1751" s="1" t="s">
        <v>334</v>
      </c>
    </row>
    <row r="1752" spans="1:1" x14ac:dyDescent="0.2">
      <c r="A1752" s="1" t="s">
        <v>335</v>
      </c>
    </row>
    <row r="1753" spans="1:1" x14ac:dyDescent="0.2">
      <c r="A1753" s="1" t="s">
        <v>336</v>
      </c>
    </row>
    <row r="1754" spans="1:1" x14ac:dyDescent="0.2">
      <c r="A1754" s="1" t="s">
        <v>337</v>
      </c>
    </row>
    <row r="1755" spans="1:1" x14ac:dyDescent="0.2">
      <c r="A1755" s="1" t="s">
        <v>338</v>
      </c>
    </row>
    <row r="1756" spans="1:1" x14ac:dyDescent="0.2">
      <c r="A1756" s="1" t="s">
        <v>339</v>
      </c>
    </row>
    <row r="1757" spans="1:1" x14ac:dyDescent="0.2">
      <c r="A1757" s="1" t="s">
        <v>330</v>
      </c>
    </row>
    <row r="1758" spans="1:1" x14ac:dyDescent="0.2">
      <c r="A1758" s="1" t="s">
        <v>331</v>
      </c>
    </row>
    <row r="1759" spans="1:1" x14ac:dyDescent="0.2">
      <c r="A1759" s="1" t="s">
        <v>340</v>
      </c>
    </row>
    <row r="1760" spans="1:1" x14ac:dyDescent="0.2">
      <c r="A1760" s="1" t="s">
        <v>341</v>
      </c>
    </row>
    <row r="1761" spans="1:1" x14ac:dyDescent="0.2">
      <c r="A1761" s="1" t="s">
        <v>342</v>
      </c>
    </row>
    <row r="1762" spans="1:1" x14ac:dyDescent="0.2">
      <c r="A1762" s="1" t="s">
        <v>343</v>
      </c>
    </row>
    <row r="1763" spans="1:1" x14ac:dyDescent="0.2">
      <c r="A1763" s="1" t="s">
        <v>344</v>
      </c>
    </row>
    <row r="1764" spans="1:1" x14ac:dyDescent="0.2">
      <c r="A1764" s="1" t="s">
        <v>342</v>
      </c>
    </row>
    <row r="1765" spans="1:1" x14ac:dyDescent="0.2">
      <c r="A1765" s="1" t="s">
        <v>345</v>
      </c>
    </row>
    <row r="1766" spans="1:1" x14ac:dyDescent="0.2">
      <c r="A1766" s="1" t="s">
        <v>344</v>
      </c>
    </row>
    <row r="1767" spans="1:1" x14ac:dyDescent="0.2">
      <c r="A1767" s="1" t="s">
        <v>342</v>
      </c>
    </row>
    <row r="1768" spans="1:1" x14ac:dyDescent="0.2">
      <c r="A1768" s="1" t="s">
        <v>346</v>
      </c>
    </row>
    <row r="1769" spans="1:1" x14ac:dyDescent="0.2">
      <c r="A1769" s="1" t="s">
        <v>347</v>
      </c>
    </row>
    <row r="1770" spans="1:1" x14ac:dyDescent="0.2">
      <c r="A1770" s="1" t="s">
        <v>348</v>
      </c>
    </row>
    <row r="1771" spans="1:1" x14ac:dyDescent="0.2">
      <c r="A1771" s="1" t="s">
        <v>349</v>
      </c>
    </row>
    <row r="1772" spans="1:1" x14ac:dyDescent="0.2">
      <c r="A1772" s="1" t="s">
        <v>350</v>
      </c>
    </row>
    <row r="1773" spans="1:1" x14ac:dyDescent="0.2">
      <c r="A1773" s="1" t="s">
        <v>351</v>
      </c>
    </row>
    <row r="1774" spans="1:1" x14ac:dyDescent="0.2">
      <c r="A1774" s="1" t="s">
        <v>352</v>
      </c>
    </row>
    <row r="1775" spans="1:1" x14ac:dyDescent="0.2">
      <c r="A1775" s="1" t="s">
        <v>353</v>
      </c>
    </row>
    <row r="1776" spans="1:1" x14ac:dyDescent="0.2">
      <c r="A1776" s="1" t="s">
        <v>354</v>
      </c>
    </row>
    <row r="1777" spans="1:1" x14ac:dyDescent="0.2">
      <c r="A1777" s="1" t="s">
        <v>355</v>
      </c>
    </row>
    <row r="1778" spans="1:1" x14ac:dyDescent="0.2">
      <c r="A1778" s="1" t="s">
        <v>356</v>
      </c>
    </row>
    <row r="1779" spans="1:1" x14ac:dyDescent="0.2">
      <c r="A1779" s="1" t="s">
        <v>357</v>
      </c>
    </row>
    <row r="1780" spans="1:1" x14ac:dyDescent="0.2">
      <c r="A1780" s="1" t="s">
        <v>358</v>
      </c>
    </row>
    <row r="1781" spans="1:1" x14ac:dyDescent="0.2">
      <c r="A1781" s="1" t="s">
        <v>359</v>
      </c>
    </row>
    <row r="1782" spans="1:1" x14ac:dyDescent="0.2">
      <c r="A1782" s="1" t="s">
        <v>360</v>
      </c>
    </row>
    <row r="1783" spans="1:1" x14ac:dyDescent="0.2">
      <c r="A1783" s="1" t="s">
        <v>361</v>
      </c>
    </row>
    <row r="1784" spans="1:1" x14ac:dyDescent="0.2">
      <c r="A1784" s="1" t="s">
        <v>362</v>
      </c>
    </row>
    <row r="1785" spans="1:1" x14ac:dyDescent="0.2">
      <c r="A1785" s="1" t="s">
        <v>363</v>
      </c>
    </row>
    <row r="1786" spans="1:1" x14ac:dyDescent="0.2">
      <c r="A1786" s="1" t="s">
        <v>352</v>
      </c>
    </row>
    <row r="1787" spans="1:1" x14ac:dyDescent="0.2">
      <c r="A1787" s="1" t="s">
        <v>353</v>
      </c>
    </row>
    <row r="1788" spans="1:1" x14ac:dyDescent="0.2">
      <c r="A1788" s="1" t="s">
        <v>354</v>
      </c>
    </row>
    <row r="1789" spans="1:1" x14ac:dyDescent="0.2">
      <c r="A1789" s="1" t="s">
        <v>355</v>
      </c>
    </row>
    <row r="1790" spans="1:1" x14ac:dyDescent="0.2">
      <c r="A1790" s="1" t="s">
        <v>356</v>
      </c>
    </row>
    <row r="1791" spans="1:1" x14ac:dyDescent="0.2">
      <c r="A1791" s="1" t="s">
        <v>357</v>
      </c>
    </row>
    <row r="1792" spans="1:1" x14ac:dyDescent="0.2">
      <c r="A1792" s="1" t="s">
        <v>364</v>
      </c>
    </row>
    <row r="1793" spans="1:1" x14ac:dyDescent="0.2">
      <c r="A1793" s="1" t="s">
        <v>365</v>
      </c>
    </row>
    <row r="1794" spans="1:1" x14ac:dyDescent="0.2">
      <c r="A1794" s="1" t="s">
        <v>366</v>
      </c>
    </row>
    <row r="1795" spans="1:1" x14ac:dyDescent="0.2">
      <c r="A1795" s="1" t="s">
        <v>367</v>
      </c>
    </row>
    <row r="1796" spans="1:1" x14ac:dyDescent="0.2">
      <c r="A1796" s="1" t="s">
        <v>365</v>
      </c>
    </row>
    <row r="1797" spans="1:1" x14ac:dyDescent="0.2">
      <c r="A1797" s="1" t="s">
        <v>368</v>
      </c>
    </row>
    <row r="1798" spans="1:1" x14ac:dyDescent="0.2">
      <c r="A1798" s="1" t="s">
        <v>367</v>
      </c>
    </row>
    <row r="1799" spans="1:1" x14ac:dyDescent="0.2">
      <c r="A1799" s="1" t="s">
        <v>369</v>
      </c>
    </row>
    <row r="1800" spans="1:1" x14ac:dyDescent="0.2">
      <c r="A1800" s="1" t="s">
        <v>370</v>
      </c>
    </row>
    <row r="1801" spans="1:1" x14ac:dyDescent="0.2">
      <c r="A1801" s="1" t="s">
        <v>371</v>
      </c>
    </row>
    <row r="1802" spans="1:1" x14ac:dyDescent="0.2">
      <c r="A1802" s="1" t="s">
        <v>372</v>
      </c>
    </row>
    <row r="1803" spans="1:1" x14ac:dyDescent="0.2">
      <c r="A1803" s="1" t="s">
        <v>373</v>
      </c>
    </row>
    <row r="1804" spans="1:1" x14ac:dyDescent="0.2">
      <c r="A1804" s="1" t="s">
        <v>374</v>
      </c>
    </row>
    <row r="1805" spans="1:1" x14ac:dyDescent="0.2">
      <c r="A1805" s="1" t="s">
        <v>375</v>
      </c>
    </row>
    <row r="1806" spans="1:1" x14ac:dyDescent="0.2">
      <c r="A1806" s="1" t="s">
        <v>376</v>
      </c>
    </row>
    <row r="1807" spans="1:1" x14ac:dyDescent="0.2">
      <c r="A1807" s="1" t="s">
        <v>377</v>
      </c>
    </row>
    <row r="1808" spans="1:1" x14ac:dyDescent="0.2">
      <c r="A1808" s="1" t="s">
        <v>378</v>
      </c>
    </row>
    <row r="1809" spans="1:1" x14ac:dyDescent="0.2">
      <c r="A1809" s="1" t="s">
        <v>379</v>
      </c>
    </row>
    <row r="1810" spans="1:1" x14ac:dyDescent="0.2">
      <c r="A1810" s="1" t="s">
        <v>380</v>
      </c>
    </row>
    <row r="1811" spans="1:1" x14ac:dyDescent="0.2">
      <c r="A1811" s="1" t="s">
        <v>369</v>
      </c>
    </row>
    <row r="1812" spans="1:1" x14ac:dyDescent="0.2">
      <c r="A1812" s="1" t="s">
        <v>381</v>
      </c>
    </row>
    <row r="1813" spans="1:1" x14ac:dyDescent="0.2">
      <c r="A1813" s="1" t="s">
        <v>371</v>
      </c>
    </row>
    <row r="1814" spans="1:1" x14ac:dyDescent="0.2">
      <c r="A1814" s="1" t="s">
        <v>372</v>
      </c>
    </row>
    <row r="1815" spans="1:1" x14ac:dyDescent="0.2">
      <c r="A1815" s="1" t="s">
        <v>373</v>
      </c>
    </row>
    <row r="1816" spans="1:1" x14ac:dyDescent="0.2">
      <c r="A1816" s="1" t="s">
        <v>374</v>
      </c>
    </row>
    <row r="1817" spans="1:1" x14ac:dyDescent="0.2">
      <c r="A1817" s="1" t="s">
        <v>382</v>
      </c>
    </row>
    <row r="1818" spans="1:1" x14ac:dyDescent="0.2">
      <c r="A1818" s="1" t="s">
        <v>376</v>
      </c>
    </row>
    <row r="1819" spans="1:1" x14ac:dyDescent="0.2">
      <c r="A1819" s="1" t="s">
        <v>377</v>
      </c>
    </row>
    <row r="1820" spans="1:1" x14ac:dyDescent="0.2">
      <c r="A1820" s="1" t="s">
        <v>378</v>
      </c>
    </row>
    <row r="1821" spans="1:1" x14ac:dyDescent="0.2">
      <c r="A1821" s="1" t="s">
        <v>379</v>
      </c>
    </row>
    <row r="1822" spans="1:1" x14ac:dyDescent="0.2">
      <c r="A1822" s="1" t="s">
        <v>380</v>
      </c>
    </row>
    <row r="1823" spans="1:1" x14ac:dyDescent="0.2">
      <c r="A1823" s="1" t="s">
        <v>383</v>
      </c>
    </row>
    <row r="1824" spans="1:1" x14ac:dyDescent="0.2">
      <c r="A1824" s="1" t="s">
        <v>384</v>
      </c>
    </row>
    <row r="1825" spans="1:1" x14ac:dyDescent="0.2">
      <c r="A1825" s="1" t="s">
        <v>385</v>
      </c>
    </row>
    <row r="1826" spans="1:1" x14ac:dyDescent="0.2">
      <c r="A1826" s="1" t="s">
        <v>386</v>
      </c>
    </row>
    <row r="1827" spans="1:1" x14ac:dyDescent="0.2">
      <c r="A1827" s="1" t="s">
        <v>387</v>
      </c>
    </row>
    <row r="1828" spans="1:1" x14ac:dyDescent="0.2">
      <c r="A1828" s="1" t="s">
        <v>388</v>
      </c>
    </row>
    <row r="1829" spans="1:1" x14ac:dyDescent="0.2">
      <c r="A1829" s="1" t="s">
        <v>389</v>
      </c>
    </row>
    <row r="1830" spans="1:1" x14ac:dyDescent="0.2">
      <c r="A1830" s="1" t="s">
        <v>390</v>
      </c>
    </row>
    <row r="1831" spans="1:1" x14ac:dyDescent="0.2">
      <c r="A1831" s="1" t="s">
        <v>391</v>
      </c>
    </row>
    <row r="1832" spans="1:1" x14ac:dyDescent="0.2">
      <c r="A1832" s="1" t="s">
        <v>392</v>
      </c>
    </row>
    <row r="1833" spans="1:1" x14ac:dyDescent="0.2">
      <c r="A1833" s="1" t="s">
        <v>393</v>
      </c>
    </row>
    <row r="1834" spans="1:1" x14ac:dyDescent="0.2">
      <c r="A1834" s="1" t="s">
        <v>394</v>
      </c>
    </row>
    <row r="1835" spans="1:1" x14ac:dyDescent="0.2">
      <c r="A1835" s="1" t="s">
        <v>383</v>
      </c>
    </row>
    <row r="1836" spans="1:1" x14ac:dyDescent="0.2">
      <c r="A1836" s="1" t="s">
        <v>395</v>
      </c>
    </row>
    <row r="1837" spans="1:1" x14ac:dyDescent="0.2">
      <c r="A1837" s="1" t="s">
        <v>385</v>
      </c>
    </row>
    <row r="1838" spans="1:1" x14ac:dyDescent="0.2">
      <c r="A1838" s="1" t="s">
        <v>386</v>
      </c>
    </row>
    <row r="1839" spans="1:1" x14ac:dyDescent="0.2">
      <c r="A1839" s="1" t="s">
        <v>387</v>
      </c>
    </row>
    <row r="1840" spans="1:1" x14ac:dyDescent="0.2">
      <c r="A1840" s="1" t="s">
        <v>388</v>
      </c>
    </row>
    <row r="1841" spans="1:1" x14ac:dyDescent="0.2">
      <c r="A1841" s="1" t="s">
        <v>396</v>
      </c>
    </row>
    <row r="1842" spans="1:1" x14ac:dyDescent="0.2">
      <c r="A1842" s="1" t="s">
        <v>390</v>
      </c>
    </row>
    <row r="1843" spans="1:1" x14ac:dyDescent="0.2">
      <c r="A1843" s="1" t="s">
        <v>391</v>
      </c>
    </row>
    <row r="1844" spans="1:1" x14ac:dyDescent="0.2">
      <c r="A1844" s="1" t="s">
        <v>392</v>
      </c>
    </row>
    <row r="1845" spans="1:1" x14ac:dyDescent="0.2">
      <c r="A1845" s="1" t="s">
        <v>393</v>
      </c>
    </row>
    <row r="1846" spans="1:1" x14ac:dyDescent="0.2">
      <c r="A1846" s="1" t="s">
        <v>394</v>
      </c>
    </row>
    <row r="1847" spans="1:1" x14ac:dyDescent="0.2">
      <c r="A1847" s="1" t="s">
        <v>397</v>
      </c>
    </row>
    <row r="1848" spans="1:1" x14ac:dyDescent="0.2">
      <c r="A1848" s="1" t="s">
        <v>397</v>
      </c>
    </row>
    <row r="1849" spans="1:1" x14ac:dyDescent="0.2">
      <c r="A1849" s="1" t="s">
        <v>398</v>
      </c>
    </row>
    <row r="1850" spans="1:1" x14ac:dyDescent="0.2">
      <c r="A1850" s="1" t="s">
        <v>399</v>
      </c>
    </row>
    <row r="1851" spans="1:1" x14ac:dyDescent="0.2">
      <c r="A1851" s="1" t="s">
        <v>400</v>
      </c>
    </row>
    <row r="1852" spans="1:1" x14ac:dyDescent="0.2">
      <c r="A1852" s="1" t="s">
        <v>401</v>
      </c>
    </row>
    <row r="1853" spans="1:1" x14ac:dyDescent="0.2">
      <c r="A1853" s="1" t="s">
        <v>402</v>
      </c>
    </row>
    <row r="1854" spans="1:1" x14ac:dyDescent="0.2">
      <c r="A1854" s="1" t="s">
        <v>403</v>
      </c>
    </row>
    <row r="1855" spans="1:1" x14ac:dyDescent="0.2">
      <c r="A1855" s="1" t="s">
        <v>404</v>
      </c>
    </row>
    <row r="1856" spans="1:1" x14ac:dyDescent="0.2">
      <c r="A1856" s="1" t="s">
        <v>405</v>
      </c>
    </row>
    <row r="1857" spans="1:1" x14ac:dyDescent="0.2">
      <c r="A1857" s="1" t="s">
        <v>397</v>
      </c>
    </row>
    <row r="1858" spans="1:1" x14ac:dyDescent="0.2">
      <c r="A1858" s="1" t="s">
        <v>397</v>
      </c>
    </row>
    <row r="1859" spans="1:1" x14ac:dyDescent="0.2">
      <c r="A1859" s="1" t="s">
        <v>397</v>
      </c>
    </row>
    <row r="1860" spans="1:1" x14ac:dyDescent="0.2">
      <c r="A1860" s="1" t="s">
        <v>398</v>
      </c>
    </row>
    <row r="1861" spans="1:1" x14ac:dyDescent="0.2">
      <c r="A1861" s="1" t="s">
        <v>399</v>
      </c>
    </row>
    <row r="1862" spans="1:1" x14ac:dyDescent="0.2">
      <c r="A1862" s="1" t="s">
        <v>400</v>
      </c>
    </row>
    <row r="1863" spans="1:1" x14ac:dyDescent="0.2">
      <c r="A1863" s="1" t="s">
        <v>401</v>
      </c>
    </row>
    <row r="1864" spans="1:1" x14ac:dyDescent="0.2">
      <c r="A1864" s="1" t="s">
        <v>402</v>
      </c>
    </row>
    <row r="1865" spans="1:1" x14ac:dyDescent="0.2">
      <c r="A1865" s="1" t="s">
        <v>403</v>
      </c>
    </row>
    <row r="1866" spans="1:1" x14ac:dyDescent="0.2">
      <c r="A1866" s="1" t="s">
        <v>404</v>
      </c>
    </row>
    <row r="1867" spans="1:1" x14ac:dyDescent="0.2">
      <c r="A1867" s="1" t="s">
        <v>405</v>
      </c>
    </row>
    <row r="1868" spans="1:1" x14ac:dyDescent="0.2">
      <c r="A1868" s="1" t="s">
        <v>397</v>
      </c>
    </row>
    <row r="1869" spans="1:1" x14ac:dyDescent="0.2">
      <c r="A1869" s="1" t="s">
        <v>397</v>
      </c>
    </row>
    <row r="1870" spans="1:1" x14ac:dyDescent="0.2">
      <c r="A1870" s="1" t="s">
        <v>397</v>
      </c>
    </row>
    <row r="1871" spans="1:1" x14ac:dyDescent="0.2">
      <c r="A1871" s="1" t="s">
        <v>398</v>
      </c>
    </row>
    <row r="1872" spans="1:1" x14ac:dyDescent="0.2">
      <c r="A1872" s="1" t="s">
        <v>399</v>
      </c>
    </row>
    <row r="1873" spans="1:1" x14ac:dyDescent="0.2">
      <c r="A1873" s="1" t="s">
        <v>400</v>
      </c>
    </row>
    <row r="1874" spans="1:1" x14ac:dyDescent="0.2">
      <c r="A1874" s="1" t="s">
        <v>401</v>
      </c>
    </row>
    <row r="1875" spans="1:1" x14ac:dyDescent="0.2">
      <c r="A1875" s="1" t="s">
        <v>402</v>
      </c>
    </row>
    <row r="1876" spans="1:1" x14ac:dyDescent="0.2">
      <c r="A1876" s="1" t="s">
        <v>403</v>
      </c>
    </row>
    <row r="1877" spans="1:1" x14ac:dyDescent="0.2">
      <c r="A1877" s="1" t="s">
        <v>404</v>
      </c>
    </row>
    <row r="1878" spans="1:1" x14ac:dyDescent="0.2">
      <c r="A1878" s="1" t="s">
        <v>405</v>
      </c>
    </row>
    <row r="1879" spans="1:1" x14ac:dyDescent="0.2">
      <c r="A1879" s="1" t="s">
        <v>397</v>
      </c>
    </row>
    <row r="1880" spans="1:1" x14ac:dyDescent="0.2">
      <c r="A1880" s="1" t="s">
        <v>397</v>
      </c>
    </row>
    <row r="1881" spans="1:1" x14ac:dyDescent="0.2">
      <c r="A1881" s="1" t="s">
        <v>397</v>
      </c>
    </row>
    <row r="1882" spans="1:1" x14ac:dyDescent="0.2">
      <c r="A1882" s="1" t="s">
        <v>398</v>
      </c>
    </row>
    <row r="1883" spans="1:1" x14ac:dyDescent="0.2">
      <c r="A1883" s="1" t="s">
        <v>399</v>
      </c>
    </row>
    <row r="1884" spans="1:1" x14ac:dyDescent="0.2">
      <c r="A1884" s="1" t="s">
        <v>400</v>
      </c>
    </row>
    <row r="1885" spans="1:1" x14ac:dyDescent="0.2">
      <c r="A1885" s="1" t="s">
        <v>401</v>
      </c>
    </row>
    <row r="1886" spans="1:1" x14ac:dyDescent="0.2">
      <c r="A1886" s="1" t="s">
        <v>402</v>
      </c>
    </row>
    <row r="1887" spans="1:1" x14ac:dyDescent="0.2">
      <c r="A1887" s="1" t="s">
        <v>403</v>
      </c>
    </row>
    <row r="1888" spans="1:1" x14ac:dyDescent="0.2">
      <c r="A1888" s="1" t="s">
        <v>404</v>
      </c>
    </row>
    <row r="1889" spans="1:1" x14ac:dyDescent="0.2">
      <c r="A1889" s="1" t="s">
        <v>405</v>
      </c>
    </row>
    <row r="1890" spans="1:1" x14ac:dyDescent="0.2">
      <c r="A1890" s="1" t="s">
        <v>397</v>
      </c>
    </row>
    <row r="1891" spans="1:1" x14ac:dyDescent="0.2">
      <c r="A1891" s="1" t="s">
        <v>397</v>
      </c>
    </row>
    <row r="1892" spans="1:1" x14ac:dyDescent="0.2">
      <c r="A1892" s="1" t="s">
        <v>397</v>
      </c>
    </row>
    <row r="1893" spans="1:1" x14ac:dyDescent="0.2">
      <c r="A1893" s="1" t="s">
        <v>398</v>
      </c>
    </row>
    <row r="1894" spans="1:1" x14ac:dyDescent="0.2">
      <c r="A1894" s="1" t="s">
        <v>399</v>
      </c>
    </row>
    <row r="1895" spans="1:1" x14ac:dyDescent="0.2">
      <c r="A1895" s="1" t="s">
        <v>400</v>
      </c>
    </row>
    <row r="1896" spans="1:1" x14ac:dyDescent="0.2">
      <c r="A1896" s="1" t="s">
        <v>401</v>
      </c>
    </row>
    <row r="1897" spans="1:1" x14ac:dyDescent="0.2">
      <c r="A1897" s="1" t="s">
        <v>402</v>
      </c>
    </row>
    <row r="1898" spans="1:1" x14ac:dyDescent="0.2">
      <c r="A1898" s="1" t="s">
        <v>403</v>
      </c>
    </row>
    <row r="1899" spans="1:1" x14ac:dyDescent="0.2">
      <c r="A1899" s="1" t="s">
        <v>404</v>
      </c>
    </row>
    <row r="1900" spans="1:1" x14ac:dyDescent="0.2">
      <c r="A1900" s="1" t="s">
        <v>405</v>
      </c>
    </row>
    <row r="1901" spans="1:1" x14ac:dyDescent="0.2">
      <c r="A1901" s="1" t="s">
        <v>397</v>
      </c>
    </row>
    <row r="1902" spans="1:1" x14ac:dyDescent="0.2">
      <c r="A1902" s="1" t="s">
        <v>397</v>
      </c>
    </row>
    <row r="1903" spans="1:1" x14ac:dyDescent="0.2">
      <c r="A1903" s="1" t="s">
        <v>397</v>
      </c>
    </row>
    <row r="1904" spans="1:1" x14ac:dyDescent="0.2">
      <c r="A1904" s="1" t="s">
        <v>398</v>
      </c>
    </row>
    <row r="1905" spans="1:1" x14ac:dyDescent="0.2">
      <c r="A1905" s="1" t="s">
        <v>399</v>
      </c>
    </row>
    <row r="1906" spans="1:1" x14ac:dyDescent="0.2">
      <c r="A1906" s="1" t="s">
        <v>400</v>
      </c>
    </row>
    <row r="1907" spans="1:1" x14ac:dyDescent="0.2">
      <c r="A1907" s="1" t="s">
        <v>401</v>
      </c>
    </row>
    <row r="1908" spans="1:1" x14ac:dyDescent="0.2">
      <c r="A1908" s="1" t="s">
        <v>402</v>
      </c>
    </row>
    <row r="1909" spans="1:1" x14ac:dyDescent="0.2">
      <c r="A1909" s="1" t="s">
        <v>403</v>
      </c>
    </row>
    <row r="1910" spans="1:1" x14ac:dyDescent="0.2">
      <c r="A1910" s="1" t="s">
        <v>404</v>
      </c>
    </row>
    <row r="1911" spans="1:1" x14ac:dyDescent="0.2">
      <c r="A1911" s="1" t="s">
        <v>405</v>
      </c>
    </row>
    <row r="1912" spans="1:1" x14ac:dyDescent="0.2">
      <c r="A1912" s="1" t="s">
        <v>397</v>
      </c>
    </row>
    <row r="1913" spans="1:1" x14ac:dyDescent="0.2">
      <c r="A1913" s="1" t="s">
        <v>397</v>
      </c>
    </row>
    <row r="1914" spans="1:1" x14ac:dyDescent="0.2">
      <c r="A1914" s="1" t="s">
        <v>397</v>
      </c>
    </row>
    <row r="1915" spans="1:1" x14ac:dyDescent="0.2">
      <c r="A1915" s="1" t="s">
        <v>398</v>
      </c>
    </row>
    <row r="1916" spans="1:1" x14ac:dyDescent="0.2">
      <c r="A1916" s="1" t="s">
        <v>399</v>
      </c>
    </row>
    <row r="1917" spans="1:1" x14ac:dyDescent="0.2">
      <c r="A1917" s="1" t="s">
        <v>400</v>
      </c>
    </row>
    <row r="1918" spans="1:1" x14ac:dyDescent="0.2">
      <c r="A1918" s="1" t="s">
        <v>401</v>
      </c>
    </row>
    <row r="1919" spans="1:1" x14ac:dyDescent="0.2">
      <c r="A1919" s="1" t="s">
        <v>402</v>
      </c>
    </row>
    <row r="1920" spans="1:1" x14ac:dyDescent="0.2">
      <c r="A1920" s="1" t="s">
        <v>403</v>
      </c>
    </row>
    <row r="1921" spans="1:1" x14ac:dyDescent="0.2">
      <c r="A1921" s="1" t="s">
        <v>404</v>
      </c>
    </row>
    <row r="1922" spans="1:1" x14ac:dyDescent="0.2">
      <c r="A1922" s="1" t="s">
        <v>405</v>
      </c>
    </row>
    <row r="1923" spans="1:1" x14ac:dyDescent="0.2">
      <c r="A1923" s="1" t="s">
        <v>397</v>
      </c>
    </row>
    <row r="1924" spans="1:1" x14ac:dyDescent="0.2">
      <c r="A1924" s="1" t="s">
        <v>397</v>
      </c>
    </row>
    <row r="1925" spans="1:1" x14ac:dyDescent="0.2">
      <c r="A1925" s="1" t="s">
        <v>397</v>
      </c>
    </row>
    <row r="1926" spans="1:1" x14ac:dyDescent="0.2">
      <c r="A1926" s="1" t="s">
        <v>398</v>
      </c>
    </row>
    <row r="1927" spans="1:1" x14ac:dyDescent="0.2">
      <c r="A1927" s="1" t="s">
        <v>399</v>
      </c>
    </row>
    <row r="1928" spans="1:1" x14ac:dyDescent="0.2">
      <c r="A1928" s="1" t="s">
        <v>400</v>
      </c>
    </row>
    <row r="1929" spans="1:1" x14ac:dyDescent="0.2">
      <c r="A1929" s="1" t="s">
        <v>401</v>
      </c>
    </row>
    <row r="1930" spans="1:1" x14ac:dyDescent="0.2">
      <c r="A1930" s="1" t="s">
        <v>402</v>
      </c>
    </row>
    <row r="1931" spans="1:1" x14ac:dyDescent="0.2">
      <c r="A1931" s="1" t="s">
        <v>403</v>
      </c>
    </row>
    <row r="1932" spans="1:1" x14ac:dyDescent="0.2">
      <c r="A1932" s="1" t="s">
        <v>404</v>
      </c>
    </row>
    <row r="1933" spans="1:1" x14ac:dyDescent="0.2">
      <c r="A1933" s="1" t="s">
        <v>405</v>
      </c>
    </row>
    <row r="1934" spans="1:1" x14ac:dyDescent="0.2">
      <c r="A1934" s="1" t="s">
        <v>397</v>
      </c>
    </row>
    <row r="1935" spans="1:1" x14ac:dyDescent="0.2">
      <c r="A1935" s="1" t="s">
        <v>406</v>
      </c>
    </row>
    <row r="1936" spans="1:1" x14ac:dyDescent="0.2">
      <c r="A1936" s="1" t="s">
        <v>406</v>
      </c>
    </row>
    <row r="1937" spans="1:1" x14ac:dyDescent="0.2">
      <c r="A1937" s="1" t="s">
        <v>407</v>
      </c>
    </row>
    <row r="1938" spans="1:1" x14ac:dyDescent="0.2">
      <c r="A1938" s="1" t="s">
        <v>408</v>
      </c>
    </row>
    <row r="1939" spans="1:1" x14ac:dyDescent="0.2">
      <c r="A1939" s="1" t="s">
        <v>409</v>
      </c>
    </row>
    <row r="1940" spans="1:1" x14ac:dyDescent="0.2">
      <c r="A1940" s="1" t="s">
        <v>410</v>
      </c>
    </row>
    <row r="1941" spans="1:1" x14ac:dyDescent="0.2">
      <c r="A1941" s="1" t="s">
        <v>411</v>
      </c>
    </row>
    <row r="1942" spans="1:1" x14ac:dyDescent="0.2">
      <c r="A1942" s="1" t="s">
        <v>412</v>
      </c>
    </row>
    <row r="1943" spans="1:1" x14ac:dyDescent="0.2">
      <c r="A1943" s="1" t="s">
        <v>413</v>
      </c>
    </row>
    <row r="1944" spans="1:1" x14ac:dyDescent="0.2">
      <c r="A1944" s="1" t="s">
        <v>414</v>
      </c>
    </row>
    <row r="1945" spans="1:1" x14ac:dyDescent="0.2">
      <c r="A1945" s="1" t="s">
        <v>406</v>
      </c>
    </row>
    <row r="1946" spans="1:1" x14ac:dyDescent="0.2">
      <c r="A1946" s="1" t="s">
        <v>406</v>
      </c>
    </row>
    <row r="1947" spans="1:1" x14ac:dyDescent="0.2">
      <c r="A1947" s="1" t="s">
        <v>406</v>
      </c>
    </row>
    <row r="1948" spans="1:1" x14ac:dyDescent="0.2">
      <c r="A1948" s="1" t="s">
        <v>407</v>
      </c>
    </row>
    <row r="1949" spans="1:1" x14ac:dyDescent="0.2">
      <c r="A1949" s="1" t="s">
        <v>408</v>
      </c>
    </row>
    <row r="1950" spans="1:1" x14ac:dyDescent="0.2">
      <c r="A1950" s="1" t="s">
        <v>409</v>
      </c>
    </row>
    <row r="1951" spans="1:1" x14ac:dyDescent="0.2">
      <c r="A1951" s="1" t="s">
        <v>410</v>
      </c>
    </row>
    <row r="1952" spans="1:1" x14ac:dyDescent="0.2">
      <c r="A1952" s="1" t="s">
        <v>411</v>
      </c>
    </row>
    <row r="1953" spans="1:1" x14ac:dyDescent="0.2">
      <c r="A1953" s="1" t="s">
        <v>412</v>
      </c>
    </row>
    <row r="1954" spans="1:1" x14ac:dyDescent="0.2">
      <c r="A1954" s="1" t="s">
        <v>413</v>
      </c>
    </row>
    <row r="1955" spans="1:1" x14ac:dyDescent="0.2">
      <c r="A1955" s="1" t="s">
        <v>414</v>
      </c>
    </row>
    <row r="1956" spans="1:1" x14ac:dyDescent="0.2">
      <c r="A1956" s="1" t="s">
        <v>406</v>
      </c>
    </row>
    <row r="1957" spans="1:1" x14ac:dyDescent="0.2">
      <c r="A1957" s="1" t="s">
        <v>406</v>
      </c>
    </row>
    <row r="1958" spans="1:1" x14ac:dyDescent="0.2">
      <c r="A1958" s="1" t="s">
        <v>406</v>
      </c>
    </row>
    <row r="1959" spans="1:1" x14ac:dyDescent="0.2">
      <c r="A1959" s="1" t="s">
        <v>407</v>
      </c>
    </row>
    <row r="1960" spans="1:1" x14ac:dyDescent="0.2">
      <c r="A1960" s="1" t="s">
        <v>408</v>
      </c>
    </row>
    <row r="1961" spans="1:1" x14ac:dyDescent="0.2">
      <c r="A1961" s="1" t="s">
        <v>409</v>
      </c>
    </row>
    <row r="1962" spans="1:1" x14ac:dyDescent="0.2">
      <c r="A1962" s="1" t="s">
        <v>410</v>
      </c>
    </row>
    <row r="1963" spans="1:1" x14ac:dyDescent="0.2">
      <c r="A1963" s="1" t="s">
        <v>411</v>
      </c>
    </row>
    <row r="1964" spans="1:1" x14ac:dyDescent="0.2">
      <c r="A1964" s="1" t="s">
        <v>412</v>
      </c>
    </row>
    <row r="1965" spans="1:1" x14ac:dyDescent="0.2">
      <c r="A1965" s="1" t="s">
        <v>413</v>
      </c>
    </row>
    <row r="1966" spans="1:1" x14ac:dyDescent="0.2">
      <c r="A1966" s="1" t="s">
        <v>414</v>
      </c>
    </row>
    <row r="1967" spans="1:1" x14ac:dyDescent="0.2">
      <c r="A1967" s="1" t="s">
        <v>406</v>
      </c>
    </row>
    <row r="1968" spans="1:1" x14ac:dyDescent="0.2">
      <c r="A1968" s="1" t="s">
        <v>406</v>
      </c>
    </row>
    <row r="1969" spans="1:1" x14ac:dyDescent="0.2">
      <c r="A1969" s="1" t="s">
        <v>406</v>
      </c>
    </row>
    <row r="1970" spans="1:1" x14ac:dyDescent="0.2">
      <c r="A1970" s="1" t="s">
        <v>407</v>
      </c>
    </row>
    <row r="1971" spans="1:1" x14ac:dyDescent="0.2">
      <c r="A1971" s="1" t="s">
        <v>408</v>
      </c>
    </row>
    <row r="1972" spans="1:1" x14ac:dyDescent="0.2">
      <c r="A1972" s="1" t="s">
        <v>409</v>
      </c>
    </row>
    <row r="1973" spans="1:1" x14ac:dyDescent="0.2">
      <c r="A1973" s="1" t="s">
        <v>410</v>
      </c>
    </row>
    <row r="1974" spans="1:1" x14ac:dyDescent="0.2">
      <c r="A1974" s="1" t="s">
        <v>411</v>
      </c>
    </row>
    <row r="1975" spans="1:1" x14ac:dyDescent="0.2">
      <c r="A1975" s="1" t="s">
        <v>412</v>
      </c>
    </row>
    <row r="1976" spans="1:1" x14ac:dyDescent="0.2">
      <c r="A1976" s="1" t="s">
        <v>413</v>
      </c>
    </row>
    <row r="1977" spans="1:1" x14ac:dyDescent="0.2">
      <c r="A1977" s="1" t="s">
        <v>414</v>
      </c>
    </row>
    <row r="1978" spans="1:1" x14ac:dyDescent="0.2">
      <c r="A1978" s="1" t="s">
        <v>406</v>
      </c>
    </row>
    <row r="1979" spans="1:1" x14ac:dyDescent="0.2">
      <c r="A1979" s="1" t="s">
        <v>406</v>
      </c>
    </row>
    <row r="1980" spans="1:1" x14ac:dyDescent="0.2">
      <c r="A1980" s="1" t="s">
        <v>406</v>
      </c>
    </row>
    <row r="1981" spans="1:1" x14ac:dyDescent="0.2">
      <c r="A1981" s="1" t="s">
        <v>407</v>
      </c>
    </row>
    <row r="1982" spans="1:1" x14ac:dyDescent="0.2">
      <c r="A1982" s="1" t="s">
        <v>408</v>
      </c>
    </row>
    <row r="1983" spans="1:1" x14ac:dyDescent="0.2">
      <c r="A1983" s="1" t="s">
        <v>409</v>
      </c>
    </row>
    <row r="1984" spans="1:1" x14ac:dyDescent="0.2">
      <c r="A1984" s="1" t="s">
        <v>410</v>
      </c>
    </row>
    <row r="1985" spans="1:1" x14ac:dyDescent="0.2">
      <c r="A1985" s="1" t="s">
        <v>411</v>
      </c>
    </row>
    <row r="1986" spans="1:1" x14ac:dyDescent="0.2">
      <c r="A1986" s="1" t="s">
        <v>412</v>
      </c>
    </row>
    <row r="1987" spans="1:1" x14ac:dyDescent="0.2">
      <c r="A1987" s="1" t="s">
        <v>413</v>
      </c>
    </row>
    <row r="1988" spans="1:1" x14ac:dyDescent="0.2">
      <c r="A1988" s="1" t="s">
        <v>414</v>
      </c>
    </row>
    <row r="1989" spans="1:1" x14ac:dyDescent="0.2">
      <c r="A1989" s="1" t="s">
        <v>406</v>
      </c>
    </row>
    <row r="1990" spans="1:1" x14ac:dyDescent="0.2">
      <c r="A1990" s="1" t="s">
        <v>406</v>
      </c>
    </row>
    <row r="1991" spans="1:1" x14ac:dyDescent="0.2">
      <c r="A1991" s="1" t="s">
        <v>406</v>
      </c>
    </row>
    <row r="1992" spans="1:1" x14ac:dyDescent="0.2">
      <c r="A1992" s="1" t="s">
        <v>407</v>
      </c>
    </row>
    <row r="1993" spans="1:1" x14ac:dyDescent="0.2">
      <c r="A1993" s="1" t="s">
        <v>408</v>
      </c>
    </row>
    <row r="1994" spans="1:1" x14ac:dyDescent="0.2">
      <c r="A1994" s="1" t="s">
        <v>409</v>
      </c>
    </row>
    <row r="1995" spans="1:1" x14ac:dyDescent="0.2">
      <c r="A1995" s="1" t="s">
        <v>410</v>
      </c>
    </row>
    <row r="1996" spans="1:1" x14ac:dyDescent="0.2">
      <c r="A1996" s="1" t="s">
        <v>411</v>
      </c>
    </row>
    <row r="1997" spans="1:1" x14ac:dyDescent="0.2">
      <c r="A1997" s="1" t="s">
        <v>412</v>
      </c>
    </row>
    <row r="1998" spans="1:1" x14ac:dyDescent="0.2">
      <c r="A1998" s="1" t="s">
        <v>413</v>
      </c>
    </row>
    <row r="1999" spans="1:1" x14ac:dyDescent="0.2">
      <c r="A1999" s="1" t="s">
        <v>414</v>
      </c>
    </row>
    <row r="2000" spans="1:1" x14ac:dyDescent="0.2">
      <c r="A2000" s="1" t="s">
        <v>406</v>
      </c>
    </row>
    <row r="2001" spans="1:1" x14ac:dyDescent="0.2">
      <c r="A2001" s="1" t="s">
        <v>406</v>
      </c>
    </row>
    <row r="2002" spans="1:1" x14ac:dyDescent="0.2">
      <c r="A2002" s="1" t="s">
        <v>406</v>
      </c>
    </row>
    <row r="2003" spans="1:1" x14ac:dyDescent="0.2">
      <c r="A2003" s="1" t="s">
        <v>407</v>
      </c>
    </row>
    <row r="2004" spans="1:1" x14ac:dyDescent="0.2">
      <c r="A2004" s="1" t="s">
        <v>408</v>
      </c>
    </row>
    <row r="2005" spans="1:1" x14ac:dyDescent="0.2">
      <c r="A2005" s="1" t="s">
        <v>409</v>
      </c>
    </row>
    <row r="2006" spans="1:1" x14ac:dyDescent="0.2">
      <c r="A2006" s="1" t="s">
        <v>410</v>
      </c>
    </row>
    <row r="2007" spans="1:1" x14ac:dyDescent="0.2">
      <c r="A2007" s="1" t="s">
        <v>411</v>
      </c>
    </row>
    <row r="2008" spans="1:1" x14ac:dyDescent="0.2">
      <c r="A2008" s="1" t="s">
        <v>412</v>
      </c>
    </row>
    <row r="2009" spans="1:1" x14ac:dyDescent="0.2">
      <c r="A2009" s="1" t="s">
        <v>413</v>
      </c>
    </row>
    <row r="2010" spans="1:1" x14ac:dyDescent="0.2">
      <c r="A2010" s="1" t="s">
        <v>415</v>
      </c>
    </row>
    <row r="2011" spans="1:1" x14ac:dyDescent="0.2">
      <c r="A2011" s="1" t="s">
        <v>416</v>
      </c>
    </row>
    <row r="2012" spans="1:1" x14ac:dyDescent="0.2">
      <c r="A2012" s="1" t="s">
        <v>416</v>
      </c>
    </row>
    <row r="2013" spans="1:1" x14ac:dyDescent="0.2">
      <c r="A2013" s="1" t="s">
        <v>416</v>
      </c>
    </row>
    <row r="2014" spans="1:1" x14ac:dyDescent="0.2">
      <c r="A2014" s="1" t="s">
        <v>417</v>
      </c>
    </row>
    <row r="2015" spans="1:1" x14ac:dyDescent="0.2">
      <c r="A2015" s="1" t="s">
        <v>418</v>
      </c>
    </row>
    <row r="2016" spans="1:1" x14ac:dyDescent="0.2">
      <c r="A2016" s="1" t="s">
        <v>419</v>
      </c>
    </row>
    <row r="2017" spans="1:1" x14ac:dyDescent="0.2">
      <c r="A2017" s="1" t="s">
        <v>420</v>
      </c>
    </row>
    <row r="2018" spans="1:1" x14ac:dyDescent="0.2">
      <c r="A2018" s="1" t="s">
        <v>421</v>
      </c>
    </row>
    <row r="2019" spans="1:1" x14ac:dyDescent="0.2">
      <c r="A2019" s="1" t="s">
        <v>422</v>
      </c>
    </row>
    <row r="2020" spans="1:1" x14ac:dyDescent="0.2">
      <c r="A2020" s="1" t="s">
        <v>423</v>
      </c>
    </row>
    <row r="2021" spans="1:1" x14ac:dyDescent="0.2">
      <c r="A2021" s="1" t="s">
        <v>415</v>
      </c>
    </row>
    <row r="2022" spans="1:1" x14ac:dyDescent="0.2">
      <c r="A2022" s="1" t="s">
        <v>416</v>
      </c>
    </row>
    <row r="2023" spans="1:1" x14ac:dyDescent="0.2">
      <c r="A2023" s="1" t="s">
        <v>424</v>
      </c>
    </row>
    <row r="2024" spans="1:1" x14ac:dyDescent="0.2">
      <c r="A2024" s="1" t="s">
        <v>424</v>
      </c>
    </row>
    <row r="2025" spans="1:1" x14ac:dyDescent="0.2">
      <c r="A2025" s="1" t="s">
        <v>425</v>
      </c>
    </row>
    <row r="2026" spans="1:1" x14ac:dyDescent="0.2">
      <c r="A2026" s="1" t="s">
        <v>426</v>
      </c>
    </row>
    <row r="2027" spans="1:1" x14ac:dyDescent="0.2">
      <c r="A2027" s="1" t="s">
        <v>427</v>
      </c>
    </row>
    <row r="2028" spans="1:1" x14ac:dyDescent="0.2">
      <c r="A2028" s="1" t="s">
        <v>428</v>
      </c>
    </row>
    <row r="2029" spans="1:1" x14ac:dyDescent="0.2">
      <c r="A2029" s="1" t="s">
        <v>429</v>
      </c>
    </row>
    <row r="2030" spans="1:1" x14ac:dyDescent="0.2">
      <c r="A2030" s="1" t="s">
        <v>430</v>
      </c>
    </row>
    <row r="2031" spans="1:1" x14ac:dyDescent="0.2">
      <c r="A2031" s="1" t="s">
        <v>431</v>
      </c>
    </row>
    <row r="2032" spans="1:1" x14ac:dyDescent="0.2">
      <c r="A2032" s="1" t="s">
        <v>432</v>
      </c>
    </row>
    <row r="2033" spans="1:1" x14ac:dyDescent="0.2">
      <c r="A2033" s="1" t="s">
        <v>424</v>
      </c>
    </row>
    <row r="2034" spans="1:1" x14ac:dyDescent="0.2">
      <c r="A2034" s="1" t="s">
        <v>424</v>
      </c>
    </row>
    <row r="2035" spans="1:1" x14ac:dyDescent="0.2">
      <c r="A2035" s="1" t="s">
        <v>424</v>
      </c>
    </row>
    <row r="2036" spans="1:1" x14ac:dyDescent="0.2">
      <c r="A2036" s="1" t="s">
        <v>425</v>
      </c>
    </row>
    <row r="2037" spans="1:1" x14ac:dyDescent="0.2">
      <c r="A2037" s="1" t="s">
        <v>426</v>
      </c>
    </row>
    <row r="2038" spans="1:1" x14ac:dyDescent="0.2">
      <c r="A2038" s="1" t="s">
        <v>427</v>
      </c>
    </row>
    <row r="2039" spans="1:1" x14ac:dyDescent="0.2">
      <c r="A2039" s="1" t="s">
        <v>428</v>
      </c>
    </row>
    <row r="2040" spans="1:1" x14ac:dyDescent="0.2">
      <c r="A2040" s="1" t="s">
        <v>429</v>
      </c>
    </row>
    <row r="2041" spans="1:1" x14ac:dyDescent="0.2">
      <c r="A2041" s="1" t="s">
        <v>430</v>
      </c>
    </row>
    <row r="2042" spans="1:1" x14ac:dyDescent="0.2">
      <c r="A2042" s="1" t="s">
        <v>431</v>
      </c>
    </row>
    <row r="2043" spans="1:1" x14ac:dyDescent="0.2">
      <c r="A2043" s="1" t="s">
        <v>432</v>
      </c>
    </row>
    <row r="2044" spans="1:1" x14ac:dyDescent="0.2">
      <c r="A2044" s="1" t="s">
        <v>424</v>
      </c>
    </row>
    <row r="2045" spans="1:1" x14ac:dyDescent="0.2">
      <c r="A2045" s="1" t="s">
        <v>424</v>
      </c>
    </row>
    <row r="2046" spans="1:1" x14ac:dyDescent="0.2">
      <c r="A2046" s="1" t="s">
        <v>424</v>
      </c>
    </row>
    <row r="2047" spans="1:1" x14ac:dyDescent="0.2">
      <c r="A2047" s="1" t="s">
        <v>425</v>
      </c>
    </row>
    <row r="2048" spans="1:1" x14ac:dyDescent="0.2">
      <c r="A2048" s="1" t="s">
        <v>426</v>
      </c>
    </row>
    <row r="2049" spans="1:1" x14ac:dyDescent="0.2">
      <c r="A2049" s="1" t="s">
        <v>427</v>
      </c>
    </row>
    <row r="2050" spans="1:1" x14ac:dyDescent="0.2">
      <c r="A2050" s="1" t="s">
        <v>428</v>
      </c>
    </row>
    <row r="2051" spans="1:1" x14ac:dyDescent="0.2">
      <c r="A2051" s="1" t="s">
        <v>429</v>
      </c>
    </row>
    <row r="2052" spans="1:1" x14ac:dyDescent="0.2">
      <c r="A2052" s="1" t="s">
        <v>430</v>
      </c>
    </row>
    <row r="2053" spans="1:1" x14ac:dyDescent="0.2">
      <c r="A2053" s="1" t="s">
        <v>431</v>
      </c>
    </row>
    <row r="2054" spans="1:1" x14ac:dyDescent="0.2">
      <c r="A2054" s="1" t="s">
        <v>432</v>
      </c>
    </row>
    <row r="2055" spans="1:1" x14ac:dyDescent="0.2">
      <c r="A2055" s="1" t="s">
        <v>424</v>
      </c>
    </row>
    <row r="2056" spans="1:1" x14ac:dyDescent="0.2">
      <c r="A2056" s="1" t="s">
        <v>424</v>
      </c>
    </row>
    <row r="2057" spans="1:1" x14ac:dyDescent="0.2">
      <c r="A2057" s="1" t="s">
        <v>424</v>
      </c>
    </row>
    <row r="2058" spans="1:1" x14ac:dyDescent="0.2">
      <c r="A2058" s="1" t="s">
        <v>425</v>
      </c>
    </row>
    <row r="2059" spans="1:1" x14ac:dyDescent="0.2">
      <c r="A2059" s="1" t="s">
        <v>426</v>
      </c>
    </row>
    <row r="2060" spans="1:1" x14ac:dyDescent="0.2">
      <c r="A2060" s="1" t="s">
        <v>427</v>
      </c>
    </row>
    <row r="2061" spans="1:1" x14ac:dyDescent="0.2">
      <c r="A2061" s="1" t="s">
        <v>428</v>
      </c>
    </row>
    <row r="2062" spans="1:1" x14ac:dyDescent="0.2">
      <c r="A2062" s="1" t="s">
        <v>429</v>
      </c>
    </row>
    <row r="2063" spans="1:1" x14ac:dyDescent="0.2">
      <c r="A2063" s="1" t="s">
        <v>430</v>
      </c>
    </row>
    <row r="2064" spans="1:1" x14ac:dyDescent="0.2">
      <c r="A2064" s="1" t="s">
        <v>431</v>
      </c>
    </row>
    <row r="2065" spans="1:1" x14ac:dyDescent="0.2">
      <c r="A2065" s="1" t="s">
        <v>432</v>
      </c>
    </row>
    <row r="2066" spans="1:1" x14ac:dyDescent="0.2">
      <c r="A2066" s="1" t="s">
        <v>424</v>
      </c>
    </row>
    <row r="2067" spans="1:1" x14ac:dyDescent="0.2">
      <c r="A2067" s="1" t="s">
        <v>424</v>
      </c>
    </row>
    <row r="2068" spans="1:1" x14ac:dyDescent="0.2">
      <c r="A2068" s="1" t="s">
        <v>424</v>
      </c>
    </row>
    <row r="2069" spans="1:1" x14ac:dyDescent="0.2">
      <c r="A2069" s="1" t="s">
        <v>425</v>
      </c>
    </row>
    <row r="2070" spans="1:1" x14ac:dyDescent="0.2">
      <c r="A2070" s="1" t="s">
        <v>426</v>
      </c>
    </row>
    <row r="2071" spans="1:1" x14ac:dyDescent="0.2">
      <c r="A2071" s="1" t="s">
        <v>427</v>
      </c>
    </row>
    <row r="2072" spans="1:1" x14ac:dyDescent="0.2">
      <c r="A2072" s="1" t="s">
        <v>428</v>
      </c>
    </row>
    <row r="2073" spans="1:1" x14ac:dyDescent="0.2">
      <c r="A2073" s="1" t="s">
        <v>429</v>
      </c>
    </row>
    <row r="2074" spans="1:1" x14ac:dyDescent="0.2">
      <c r="A2074" s="1" t="s">
        <v>430</v>
      </c>
    </row>
    <row r="2075" spans="1:1" x14ac:dyDescent="0.2">
      <c r="A2075" s="1" t="s">
        <v>431</v>
      </c>
    </row>
    <row r="2076" spans="1:1" x14ac:dyDescent="0.2">
      <c r="A2076" s="1" t="s">
        <v>432</v>
      </c>
    </row>
    <row r="2077" spans="1:1" x14ac:dyDescent="0.2">
      <c r="A2077" s="1" t="s">
        <v>424</v>
      </c>
    </row>
    <row r="2078" spans="1:1" x14ac:dyDescent="0.2">
      <c r="A2078" s="1" t="s">
        <v>424</v>
      </c>
    </row>
    <row r="2079" spans="1:1" x14ac:dyDescent="0.2">
      <c r="A2079" s="1" t="s">
        <v>424</v>
      </c>
    </row>
    <row r="2080" spans="1:1" x14ac:dyDescent="0.2">
      <c r="A2080" s="1" t="s">
        <v>425</v>
      </c>
    </row>
    <row r="2081" spans="1:1" x14ac:dyDescent="0.2">
      <c r="A2081" s="1" t="s">
        <v>426</v>
      </c>
    </row>
    <row r="2082" spans="1:1" x14ac:dyDescent="0.2">
      <c r="A2082" s="1" t="s">
        <v>427</v>
      </c>
    </row>
    <row r="2083" spans="1:1" x14ac:dyDescent="0.2">
      <c r="A2083" s="1" t="s">
        <v>428</v>
      </c>
    </row>
    <row r="2084" spans="1:1" x14ac:dyDescent="0.2">
      <c r="A2084" s="1" t="s">
        <v>429</v>
      </c>
    </row>
    <row r="2085" spans="1:1" x14ac:dyDescent="0.2">
      <c r="A2085" s="1" t="s">
        <v>430</v>
      </c>
    </row>
    <row r="2086" spans="1:1" x14ac:dyDescent="0.2">
      <c r="A2086" s="1" t="s">
        <v>431</v>
      </c>
    </row>
    <row r="2087" spans="1:1" x14ac:dyDescent="0.2">
      <c r="A2087" s="1" t="s">
        <v>432</v>
      </c>
    </row>
    <row r="2088" spans="1:1" x14ac:dyDescent="0.2">
      <c r="A2088" s="1" t="s">
        <v>424</v>
      </c>
    </row>
    <row r="2089" spans="1:1" x14ac:dyDescent="0.2">
      <c r="A2089" s="1" t="s">
        <v>424</v>
      </c>
    </row>
    <row r="2090" spans="1:1" x14ac:dyDescent="0.2">
      <c r="A2090" s="1" t="s">
        <v>424</v>
      </c>
    </row>
    <row r="2091" spans="1:1" x14ac:dyDescent="0.2">
      <c r="A2091" s="1" t="s">
        <v>425</v>
      </c>
    </row>
    <row r="2092" spans="1:1" x14ac:dyDescent="0.2">
      <c r="A2092" s="1" t="s">
        <v>426</v>
      </c>
    </row>
    <row r="2093" spans="1:1" x14ac:dyDescent="0.2">
      <c r="A2093" s="1" t="s">
        <v>427</v>
      </c>
    </row>
    <row r="2094" spans="1:1" x14ac:dyDescent="0.2">
      <c r="A2094" s="1" t="s">
        <v>428</v>
      </c>
    </row>
    <row r="2095" spans="1:1" x14ac:dyDescent="0.2">
      <c r="A2095" s="1" t="s">
        <v>429</v>
      </c>
    </row>
    <row r="2096" spans="1:1" x14ac:dyDescent="0.2">
      <c r="A2096" s="1" t="s">
        <v>430</v>
      </c>
    </row>
    <row r="2097" spans="1:1" x14ac:dyDescent="0.2">
      <c r="A2097" s="1" t="s">
        <v>431</v>
      </c>
    </row>
    <row r="2098" spans="1:1" x14ac:dyDescent="0.2">
      <c r="A2098" s="1" t="s">
        <v>433</v>
      </c>
    </row>
    <row r="2099" spans="1:1" x14ac:dyDescent="0.2">
      <c r="A2099" s="1" t="s">
        <v>434</v>
      </c>
    </row>
    <row r="2100" spans="1:1" x14ac:dyDescent="0.2">
      <c r="A2100" s="1" t="s">
        <v>434</v>
      </c>
    </row>
    <row r="2101" spans="1:1" x14ac:dyDescent="0.2">
      <c r="A2101" s="1" t="s">
        <v>434</v>
      </c>
    </row>
    <row r="2102" spans="1:1" x14ac:dyDescent="0.2">
      <c r="A2102" s="1" t="s">
        <v>435</v>
      </c>
    </row>
    <row r="2103" spans="1:1" x14ac:dyDescent="0.2">
      <c r="A2103" s="1" t="s">
        <v>436</v>
      </c>
    </row>
    <row r="2104" spans="1:1" x14ac:dyDescent="0.2">
      <c r="A2104" s="1" t="s">
        <v>437</v>
      </c>
    </row>
    <row r="2105" spans="1:1" x14ac:dyDescent="0.2">
      <c r="A2105" s="1" t="s">
        <v>438</v>
      </c>
    </row>
    <row r="2106" spans="1:1" x14ac:dyDescent="0.2">
      <c r="A2106" s="1" t="s">
        <v>439</v>
      </c>
    </row>
    <row r="2107" spans="1:1" x14ac:dyDescent="0.2">
      <c r="A2107" s="1" t="s">
        <v>440</v>
      </c>
    </row>
    <row r="2108" spans="1:1" x14ac:dyDescent="0.2">
      <c r="A2108" s="1" t="s">
        <v>441</v>
      </c>
    </row>
    <row r="2109" spans="1:1" x14ac:dyDescent="0.2">
      <c r="A2109" s="1" t="s">
        <v>433</v>
      </c>
    </row>
    <row r="2110" spans="1:1" x14ac:dyDescent="0.2">
      <c r="A2110" s="1" t="s">
        <v>434</v>
      </c>
    </row>
    <row r="2111" spans="1:1" x14ac:dyDescent="0.2">
      <c r="A2111" s="1" t="s">
        <v>442</v>
      </c>
    </row>
    <row r="2112" spans="1:1" x14ac:dyDescent="0.2">
      <c r="A2112" s="1" t="s">
        <v>442</v>
      </c>
    </row>
    <row r="2113" spans="1:1" x14ac:dyDescent="0.2">
      <c r="A2113" s="1" t="s">
        <v>443</v>
      </c>
    </row>
    <row r="2114" spans="1:1" x14ac:dyDescent="0.2">
      <c r="A2114" s="1" t="s">
        <v>444</v>
      </c>
    </row>
    <row r="2115" spans="1:1" x14ac:dyDescent="0.2">
      <c r="A2115" s="1" t="s">
        <v>445</v>
      </c>
    </row>
    <row r="2116" spans="1:1" x14ac:dyDescent="0.2">
      <c r="A2116" s="1" t="s">
        <v>446</v>
      </c>
    </row>
    <row r="2117" spans="1:1" x14ac:dyDescent="0.2">
      <c r="A2117" s="1" t="s">
        <v>447</v>
      </c>
    </row>
    <row r="2118" spans="1:1" x14ac:dyDescent="0.2">
      <c r="A2118" s="1" t="s">
        <v>448</v>
      </c>
    </row>
    <row r="2119" spans="1:1" x14ac:dyDescent="0.2">
      <c r="A2119" s="1" t="s">
        <v>449</v>
      </c>
    </row>
    <row r="2120" spans="1:1" x14ac:dyDescent="0.2">
      <c r="A2120" s="1" t="s">
        <v>450</v>
      </c>
    </row>
    <row r="2121" spans="1:1" x14ac:dyDescent="0.2">
      <c r="A2121" s="1" t="s">
        <v>442</v>
      </c>
    </row>
    <row r="2122" spans="1:1" x14ac:dyDescent="0.2">
      <c r="A2122" s="1" t="s">
        <v>442</v>
      </c>
    </row>
    <row r="2123" spans="1:1" x14ac:dyDescent="0.2">
      <c r="A2123" s="1" t="s">
        <v>442</v>
      </c>
    </row>
    <row r="2124" spans="1:1" x14ac:dyDescent="0.2">
      <c r="A2124" s="1" t="s">
        <v>443</v>
      </c>
    </row>
    <row r="2125" spans="1:1" x14ac:dyDescent="0.2">
      <c r="A2125" s="1" t="s">
        <v>444</v>
      </c>
    </row>
    <row r="2126" spans="1:1" x14ac:dyDescent="0.2">
      <c r="A2126" s="1" t="s">
        <v>445</v>
      </c>
    </row>
    <row r="2127" spans="1:1" x14ac:dyDescent="0.2">
      <c r="A2127" s="1" t="s">
        <v>446</v>
      </c>
    </row>
    <row r="2128" spans="1:1" x14ac:dyDescent="0.2">
      <c r="A2128" s="1" t="s">
        <v>447</v>
      </c>
    </row>
    <row r="2129" spans="1:1" x14ac:dyDescent="0.2">
      <c r="A2129" s="1" t="s">
        <v>448</v>
      </c>
    </row>
    <row r="2130" spans="1:1" x14ac:dyDescent="0.2">
      <c r="A2130" s="1" t="s">
        <v>449</v>
      </c>
    </row>
    <row r="2131" spans="1:1" x14ac:dyDescent="0.2">
      <c r="A2131" s="1" t="s">
        <v>450</v>
      </c>
    </row>
    <row r="2132" spans="1:1" x14ac:dyDescent="0.2">
      <c r="A2132" s="1" t="s">
        <v>442</v>
      </c>
    </row>
    <row r="2133" spans="1:1" x14ac:dyDescent="0.2">
      <c r="A2133" s="1" t="s">
        <v>442</v>
      </c>
    </row>
    <row r="2134" spans="1:1" x14ac:dyDescent="0.2">
      <c r="A2134" s="1" t="s">
        <v>442</v>
      </c>
    </row>
    <row r="2135" spans="1:1" x14ac:dyDescent="0.2">
      <c r="A2135" s="1" t="s">
        <v>443</v>
      </c>
    </row>
    <row r="2136" spans="1:1" x14ac:dyDescent="0.2">
      <c r="A2136" s="1" t="s">
        <v>444</v>
      </c>
    </row>
    <row r="2137" spans="1:1" x14ac:dyDescent="0.2">
      <c r="A2137" s="1" t="s">
        <v>445</v>
      </c>
    </row>
    <row r="2138" spans="1:1" x14ac:dyDescent="0.2">
      <c r="A2138" s="1" t="s">
        <v>446</v>
      </c>
    </row>
    <row r="2139" spans="1:1" x14ac:dyDescent="0.2">
      <c r="A2139" s="1" t="s">
        <v>447</v>
      </c>
    </row>
    <row r="2140" spans="1:1" x14ac:dyDescent="0.2">
      <c r="A2140" s="1" t="s">
        <v>448</v>
      </c>
    </row>
    <row r="2141" spans="1:1" x14ac:dyDescent="0.2">
      <c r="A2141" s="1" t="s">
        <v>449</v>
      </c>
    </row>
    <row r="2142" spans="1:1" x14ac:dyDescent="0.2">
      <c r="A2142" s="1" t="s">
        <v>450</v>
      </c>
    </row>
    <row r="2143" spans="1:1" x14ac:dyDescent="0.2">
      <c r="A2143" s="1" t="s">
        <v>442</v>
      </c>
    </row>
    <row r="2144" spans="1:1" x14ac:dyDescent="0.2">
      <c r="A2144" s="1" t="s">
        <v>442</v>
      </c>
    </row>
    <row r="2145" spans="1:1" x14ac:dyDescent="0.2">
      <c r="A2145" s="1" t="s">
        <v>442</v>
      </c>
    </row>
    <row r="2146" spans="1:1" x14ac:dyDescent="0.2">
      <c r="A2146" s="1" t="s">
        <v>443</v>
      </c>
    </row>
    <row r="2147" spans="1:1" x14ac:dyDescent="0.2">
      <c r="A2147" s="1" t="s">
        <v>444</v>
      </c>
    </row>
    <row r="2148" spans="1:1" x14ac:dyDescent="0.2">
      <c r="A2148" s="1" t="s">
        <v>445</v>
      </c>
    </row>
    <row r="2149" spans="1:1" x14ac:dyDescent="0.2">
      <c r="A2149" s="1" t="s">
        <v>446</v>
      </c>
    </row>
    <row r="2150" spans="1:1" x14ac:dyDescent="0.2">
      <c r="A2150" s="1" t="s">
        <v>447</v>
      </c>
    </row>
    <row r="2151" spans="1:1" x14ac:dyDescent="0.2">
      <c r="A2151" s="1" t="s">
        <v>448</v>
      </c>
    </row>
    <row r="2152" spans="1:1" x14ac:dyDescent="0.2">
      <c r="A2152" s="1" t="s">
        <v>449</v>
      </c>
    </row>
    <row r="2153" spans="1:1" x14ac:dyDescent="0.2">
      <c r="A2153" s="1" t="s">
        <v>450</v>
      </c>
    </row>
    <row r="2154" spans="1:1" x14ac:dyDescent="0.2">
      <c r="A2154" s="1" t="s">
        <v>442</v>
      </c>
    </row>
    <row r="2155" spans="1:1" x14ac:dyDescent="0.2">
      <c r="A2155" s="1" t="s">
        <v>442</v>
      </c>
    </row>
    <row r="2156" spans="1:1" x14ac:dyDescent="0.2">
      <c r="A2156" s="1" t="s">
        <v>442</v>
      </c>
    </row>
    <row r="2157" spans="1:1" x14ac:dyDescent="0.2">
      <c r="A2157" s="1" t="s">
        <v>443</v>
      </c>
    </row>
    <row r="2158" spans="1:1" x14ac:dyDescent="0.2">
      <c r="A2158" s="1" t="s">
        <v>444</v>
      </c>
    </row>
    <row r="2159" spans="1:1" x14ac:dyDescent="0.2">
      <c r="A2159" s="1" t="s">
        <v>445</v>
      </c>
    </row>
    <row r="2160" spans="1:1" x14ac:dyDescent="0.2">
      <c r="A2160" s="1" t="s">
        <v>446</v>
      </c>
    </row>
    <row r="2161" spans="1:1" x14ac:dyDescent="0.2">
      <c r="A2161" s="1" t="s">
        <v>447</v>
      </c>
    </row>
    <row r="2162" spans="1:1" x14ac:dyDescent="0.2">
      <c r="A2162" s="1" t="s">
        <v>448</v>
      </c>
    </row>
    <row r="2163" spans="1:1" x14ac:dyDescent="0.2">
      <c r="A2163" s="1" t="s">
        <v>449</v>
      </c>
    </row>
    <row r="2164" spans="1:1" x14ac:dyDescent="0.2">
      <c r="A2164" s="1" t="s">
        <v>450</v>
      </c>
    </row>
    <row r="2165" spans="1:1" x14ac:dyDescent="0.2">
      <c r="A2165" s="1" t="s">
        <v>442</v>
      </c>
    </row>
    <row r="2166" spans="1:1" x14ac:dyDescent="0.2">
      <c r="A2166" s="1" t="s">
        <v>442</v>
      </c>
    </row>
    <row r="2167" spans="1:1" x14ac:dyDescent="0.2">
      <c r="A2167" s="1" t="s">
        <v>442</v>
      </c>
    </row>
    <row r="2168" spans="1:1" x14ac:dyDescent="0.2">
      <c r="A2168" s="1" t="s">
        <v>443</v>
      </c>
    </row>
    <row r="2169" spans="1:1" x14ac:dyDescent="0.2">
      <c r="A2169" s="1" t="s">
        <v>444</v>
      </c>
    </row>
    <row r="2170" spans="1:1" x14ac:dyDescent="0.2">
      <c r="A2170" s="1" t="s">
        <v>445</v>
      </c>
    </row>
    <row r="2171" spans="1:1" x14ac:dyDescent="0.2">
      <c r="A2171" s="1" t="s">
        <v>446</v>
      </c>
    </row>
    <row r="2172" spans="1:1" x14ac:dyDescent="0.2">
      <c r="A2172" s="1" t="s">
        <v>447</v>
      </c>
    </row>
    <row r="2173" spans="1:1" x14ac:dyDescent="0.2">
      <c r="A2173" s="1" t="s">
        <v>448</v>
      </c>
    </row>
    <row r="2174" spans="1:1" x14ac:dyDescent="0.2">
      <c r="A2174" s="1" t="s">
        <v>449</v>
      </c>
    </row>
    <row r="2175" spans="1:1" x14ac:dyDescent="0.2">
      <c r="A2175" s="1" t="s">
        <v>450</v>
      </c>
    </row>
    <row r="2176" spans="1:1" x14ac:dyDescent="0.2">
      <c r="A2176" s="1" t="s">
        <v>442</v>
      </c>
    </row>
    <row r="2177" spans="1:1" x14ac:dyDescent="0.2">
      <c r="A2177" s="1" t="s">
        <v>442</v>
      </c>
    </row>
    <row r="2178" spans="1:1" x14ac:dyDescent="0.2">
      <c r="A2178" s="1" t="s">
        <v>442</v>
      </c>
    </row>
    <row r="2179" spans="1:1" x14ac:dyDescent="0.2">
      <c r="A2179" s="1" t="s">
        <v>443</v>
      </c>
    </row>
    <row r="2180" spans="1:1" x14ac:dyDescent="0.2">
      <c r="A2180" s="1" t="s">
        <v>444</v>
      </c>
    </row>
    <row r="2181" spans="1:1" x14ac:dyDescent="0.2">
      <c r="A2181" s="1" t="s">
        <v>445</v>
      </c>
    </row>
    <row r="2182" spans="1:1" x14ac:dyDescent="0.2">
      <c r="A2182" s="1" t="s">
        <v>446</v>
      </c>
    </row>
    <row r="2183" spans="1:1" x14ac:dyDescent="0.2">
      <c r="A2183" s="1" t="s">
        <v>447</v>
      </c>
    </row>
    <row r="2184" spans="1:1" x14ac:dyDescent="0.2">
      <c r="A2184" s="1" t="s">
        <v>448</v>
      </c>
    </row>
    <row r="2185" spans="1:1" x14ac:dyDescent="0.2">
      <c r="A2185" s="1" t="s">
        <v>449</v>
      </c>
    </row>
    <row r="2186" spans="1:1" x14ac:dyDescent="0.2">
      <c r="A2186" s="1" t="s">
        <v>451</v>
      </c>
    </row>
    <row r="2187" spans="1:1" x14ac:dyDescent="0.2">
      <c r="A2187" s="1" t="s">
        <v>452</v>
      </c>
    </row>
    <row r="2188" spans="1:1" x14ac:dyDescent="0.2">
      <c r="A2188" s="1" t="s">
        <v>452</v>
      </c>
    </row>
    <row r="2189" spans="1:1" x14ac:dyDescent="0.2">
      <c r="A2189" s="1" t="s">
        <v>452</v>
      </c>
    </row>
    <row r="2190" spans="1:1" x14ac:dyDescent="0.2">
      <c r="A2190" s="1" t="s">
        <v>453</v>
      </c>
    </row>
    <row r="2191" spans="1:1" x14ac:dyDescent="0.2">
      <c r="A2191" s="1" t="s">
        <v>454</v>
      </c>
    </row>
    <row r="2192" spans="1:1" x14ac:dyDescent="0.2">
      <c r="A2192" s="1" t="s">
        <v>455</v>
      </c>
    </row>
    <row r="2193" spans="1:1" x14ac:dyDescent="0.2">
      <c r="A2193" s="1" t="s">
        <v>456</v>
      </c>
    </row>
    <row r="2194" spans="1:1" x14ac:dyDescent="0.2">
      <c r="A2194" s="1" t="s">
        <v>457</v>
      </c>
    </row>
    <row r="2195" spans="1:1" x14ac:dyDescent="0.2">
      <c r="A2195" s="1" t="s">
        <v>458</v>
      </c>
    </row>
    <row r="2196" spans="1:1" x14ac:dyDescent="0.2">
      <c r="A2196" s="1" t="s">
        <v>459</v>
      </c>
    </row>
    <row r="2197" spans="1:1" x14ac:dyDescent="0.2">
      <c r="A2197" s="1" t="s">
        <v>451</v>
      </c>
    </row>
    <row r="2198" spans="1:1" x14ac:dyDescent="0.2">
      <c r="A2198" s="1" t="s">
        <v>452</v>
      </c>
    </row>
    <row r="2199" spans="1:1" x14ac:dyDescent="0.2">
      <c r="A2199" s="1" t="s">
        <v>460</v>
      </c>
    </row>
    <row r="2200" spans="1:1" x14ac:dyDescent="0.2">
      <c r="A2200" s="1" t="s">
        <v>460</v>
      </c>
    </row>
    <row r="2201" spans="1:1" x14ac:dyDescent="0.2">
      <c r="A2201" s="1" t="s">
        <v>461</v>
      </c>
    </row>
    <row r="2202" spans="1:1" x14ac:dyDescent="0.2">
      <c r="A2202" s="1" t="s">
        <v>462</v>
      </c>
    </row>
    <row r="2203" spans="1:1" x14ac:dyDescent="0.2">
      <c r="A2203" s="1" t="s">
        <v>463</v>
      </c>
    </row>
    <row r="2204" spans="1:1" x14ac:dyDescent="0.2">
      <c r="A2204" s="1" t="s">
        <v>464</v>
      </c>
    </row>
    <row r="2205" spans="1:1" x14ac:dyDescent="0.2">
      <c r="A2205" s="1" t="s">
        <v>465</v>
      </c>
    </row>
    <row r="2206" spans="1:1" x14ac:dyDescent="0.2">
      <c r="A2206" s="1" t="s">
        <v>466</v>
      </c>
    </row>
    <row r="2207" spans="1:1" x14ac:dyDescent="0.2">
      <c r="A2207" s="1" t="s">
        <v>467</v>
      </c>
    </row>
    <row r="2208" spans="1:1" x14ac:dyDescent="0.2">
      <c r="A2208" s="1" t="s">
        <v>468</v>
      </c>
    </row>
    <row r="2209" spans="1:1" x14ac:dyDescent="0.2">
      <c r="A2209" s="1" t="s">
        <v>460</v>
      </c>
    </row>
    <row r="2210" spans="1:1" x14ac:dyDescent="0.2">
      <c r="A2210" s="1" t="s">
        <v>460</v>
      </c>
    </row>
    <row r="2211" spans="1:1" x14ac:dyDescent="0.2">
      <c r="A2211" s="1" t="s">
        <v>460</v>
      </c>
    </row>
    <row r="2212" spans="1:1" x14ac:dyDescent="0.2">
      <c r="A2212" s="1" t="s">
        <v>461</v>
      </c>
    </row>
    <row r="2213" spans="1:1" x14ac:dyDescent="0.2">
      <c r="A2213" s="1" t="s">
        <v>462</v>
      </c>
    </row>
    <row r="2214" spans="1:1" x14ac:dyDescent="0.2">
      <c r="A2214" s="1" t="s">
        <v>463</v>
      </c>
    </row>
    <row r="2215" spans="1:1" x14ac:dyDescent="0.2">
      <c r="A2215" s="1" t="s">
        <v>464</v>
      </c>
    </row>
    <row r="2216" spans="1:1" x14ac:dyDescent="0.2">
      <c r="A2216" s="1" t="s">
        <v>465</v>
      </c>
    </row>
    <row r="2217" spans="1:1" x14ac:dyDescent="0.2">
      <c r="A2217" s="1" t="s">
        <v>466</v>
      </c>
    </row>
    <row r="2218" spans="1:1" x14ac:dyDescent="0.2">
      <c r="A2218" s="1" t="s">
        <v>467</v>
      </c>
    </row>
    <row r="2219" spans="1:1" x14ac:dyDescent="0.2">
      <c r="A2219" s="1" t="s">
        <v>468</v>
      </c>
    </row>
    <row r="2220" spans="1:1" x14ac:dyDescent="0.2">
      <c r="A2220" s="1" t="s">
        <v>460</v>
      </c>
    </row>
    <row r="2221" spans="1:1" x14ac:dyDescent="0.2">
      <c r="A2221" s="1" t="s">
        <v>460</v>
      </c>
    </row>
    <row r="2222" spans="1:1" x14ac:dyDescent="0.2">
      <c r="A2222" s="1" t="s">
        <v>460</v>
      </c>
    </row>
    <row r="2223" spans="1:1" x14ac:dyDescent="0.2">
      <c r="A2223" s="1" t="s">
        <v>461</v>
      </c>
    </row>
    <row r="2224" spans="1:1" x14ac:dyDescent="0.2">
      <c r="A2224" s="1" t="s">
        <v>462</v>
      </c>
    </row>
    <row r="2225" spans="1:1" x14ac:dyDescent="0.2">
      <c r="A2225" s="1" t="s">
        <v>463</v>
      </c>
    </row>
    <row r="2226" spans="1:1" x14ac:dyDescent="0.2">
      <c r="A2226" s="1" t="s">
        <v>464</v>
      </c>
    </row>
    <row r="2227" spans="1:1" x14ac:dyDescent="0.2">
      <c r="A2227" s="1" t="s">
        <v>465</v>
      </c>
    </row>
    <row r="2228" spans="1:1" x14ac:dyDescent="0.2">
      <c r="A2228" s="1" t="s">
        <v>466</v>
      </c>
    </row>
    <row r="2229" spans="1:1" x14ac:dyDescent="0.2">
      <c r="A2229" s="1" t="s">
        <v>467</v>
      </c>
    </row>
    <row r="2230" spans="1:1" x14ac:dyDescent="0.2">
      <c r="A2230" s="1" t="s">
        <v>468</v>
      </c>
    </row>
    <row r="2231" spans="1:1" x14ac:dyDescent="0.2">
      <c r="A2231" s="1" t="s">
        <v>460</v>
      </c>
    </row>
    <row r="2232" spans="1:1" x14ac:dyDescent="0.2">
      <c r="A2232" s="1" t="s">
        <v>460</v>
      </c>
    </row>
    <row r="2233" spans="1:1" x14ac:dyDescent="0.2">
      <c r="A2233" s="1" t="s">
        <v>460</v>
      </c>
    </row>
    <row r="2234" spans="1:1" x14ac:dyDescent="0.2">
      <c r="A2234" s="1" t="s">
        <v>461</v>
      </c>
    </row>
    <row r="2235" spans="1:1" x14ac:dyDescent="0.2">
      <c r="A2235" s="1" t="s">
        <v>462</v>
      </c>
    </row>
    <row r="2236" spans="1:1" x14ac:dyDescent="0.2">
      <c r="A2236" s="1" t="s">
        <v>463</v>
      </c>
    </row>
    <row r="2237" spans="1:1" x14ac:dyDescent="0.2">
      <c r="A2237" s="1" t="s">
        <v>464</v>
      </c>
    </row>
    <row r="2238" spans="1:1" x14ac:dyDescent="0.2">
      <c r="A2238" s="1" t="s">
        <v>465</v>
      </c>
    </row>
    <row r="2239" spans="1:1" x14ac:dyDescent="0.2">
      <c r="A2239" s="1" t="s">
        <v>466</v>
      </c>
    </row>
    <row r="2240" spans="1:1" x14ac:dyDescent="0.2">
      <c r="A2240" s="1" t="s">
        <v>467</v>
      </c>
    </row>
    <row r="2241" spans="1:1" x14ac:dyDescent="0.2">
      <c r="A2241" s="1" t="s">
        <v>468</v>
      </c>
    </row>
    <row r="2242" spans="1:1" x14ac:dyDescent="0.2">
      <c r="A2242" s="1" t="s">
        <v>460</v>
      </c>
    </row>
    <row r="2243" spans="1:1" x14ac:dyDescent="0.2">
      <c r="A2243" s="1" t="s">
        <v>469</v>
      </c>
    </row>
    <row r="2244" spans="1:1" x14ac:dyDescent="0.2">
      <c r="A2244" s="1" t="s">
        <v>469</v>
      </c>
    </row>
    <row r="2245" spans="1:1" x14ac:dyDescent="0.2">
      <c r="A2245" s="1" t="s">
        <v>470</v>
      </c>
    </row>
    <row r="2246" spans="1:1" x14ac:dyDescent="0.2">
      <c r="A2246" s="1" t="s">
        <v>471</v>
      </c>
    </row>
    <row r="2247" spans="1:1" x14ac:dyDescent="0.2">
      <c r="A2247" s="1" t="s">
        <v>472</v>
      </c>
    </row>
    <row r="2248" spans="1:1" x14ac:dyDescent="0.2">
      <c r="A2248" s="1" t="s">
        <v>473</v>
      </c>
    </row>
    <row r="2249" spans="1:1" x14ac:dyDescent="0.2">
      <c r="A2249" s="1" t="s">
        <v>474</v>
      </c>
    </row>
    <row r="2250" spans="1:1" x14ac:dyDescent="0.2">
      <c r="A2250" s="1" t="s">
        <v>475</v>
      </c>
    </row>
    <row r="2251" spans="1:1" x14ac:dyDescent="0.2">
      <c r="A2251" s="1" t="s">
        <v>476</v>
      </c>
    </row>
    <row r="2252" spans="1:1" x14ac:dyDescent="0.2">
      <c r="A2252" s="1" t="s">
        <v>477</v>
      </c>
    </row>
    <row r="2253" spans="1:1" x14ac:dyDescent="0.2">
      <c r="A2253" s="1" t="s">
        <v>469</v>
      </c>
    </row>
    <row r="2254" spans="1:1" x14ac:dyDescent="0.2">
      <c r="A2254" s="1" t="s">
        <v>469</v>
      </c>
    </row>
    <row r="2255" spans="1:1" x14ac:dyDescent="0.2">
      <c r="A2255" s="1" t="s">
        <v>469</v>
      </c>
    </row>
    <row r="2256" spans="1:1" x14ac:dyDescent="0.2">
      <c r="A2256" s="1" t="s">
        <v>470</v>
      </c>
    </row>
    <row r="2257" spans="1:1" x14ac:dyDescent="0.2">
      <c r="A2257" s="1" t="s">
        <v>471</v>
      </c>
    </row>
    <row r="2258" spans="1:1" x14ac:dyDescent="0.2">
      <c r="A2258" s="1" t="s">
        <v>472</v>
      </c>
    </row>
    <row r="2259" spans="1:1" x14ac:dyDescent="0.2">
      <c r="A2259" s="1" t="s">
        <v>473</v>
      </c>
    </row>
    <row r="2260" spans="1:1" x14ac:dyDescent="0.2">
      <c r="A2260" s="1" t="s">
        <v>474</v>
      </c>
    </row>
    <row r="2261" spans="1:1" x14ac:dyDescent="0.2">
      <c r="A2261" s="1" t="s">
        <v>475</v>
      </c>
    </row>
    <row r="2262" spans="1:1" x14ac:dyDescent="0.2">
      <c r="A2262" s="1" t="s">
        <v>476</v>
      </c>
    </row>
    <row r="2263" spans="1:1" x14ac:dyDescent="0.2">
      <c r="A2263" s="1" t="s">
        <v>477</v>
      </c>
    </row>
    <row r="2264" spans="1:1" x14ac:dyDescent="0.2">
      <c r="A2264" s="1" t="s">
        <v>469</v>
      </c>
    </row>
    <row r="2265" spans="1:1" x14ac:dyDescent="0.2">
      <c r="A2265" s="1" t="s">
        <v>469</v>
      </c>
    </row>
    <row r="2266" spans="1:1" x14ac:dyDescent="0.2">
      <c r="A2266" s="1" t="s">
        <v>469</v>
      </c>
    </row>
    <row r="2267" spans="1:1" x14ac:dyDescent="0.2">
      <c r="A2267" s="1" t="s">
        <v>470</v>
      </c>
    </row>
    <row r="2268" spans="1:1" x14ac:dyDescent="0.2">
      <c r="A2268" s="1" t="s">
        <v>471</v>
      </c>
    </row>
    <row r="2269" spans="1:1" x14ac:dyDescent="0.2">
      <c r="A2269" s="1" t="s">
        <v>472</v>
      </c>
    </row>
    <row r="2270" spans="1:1" x14ac:dyDescent="0.2">
      <c r="A2270" s="1" t="s">
        <v>473</v>
      </c>
    </row>
    <row r="2271" spans="1:1" x14ac:dyDescent="0.2">
      <c r="A2271" s="1" t="s">
        <v>474</v>
      </c>
    </row>
    <row r="2272" spans="1:1" x14ac:dyDescent="0.2">
      <c r="A2272" s="1" t="s">
        <v>475</v>
      </c>
    </row>
    <row r="2273" spans="1:1" x14ac:dyDescent="0.2">
      <c r="A2273" s="1" t="s">
        <v>476</v>
      </c>
    </row>
    <row r="2274" spans="1:1" x14ac:dyDescent="0.2">
      <c r="A2274" s="1" t="s">
        <v>477</v>
      </c>
    </row>
    <row r="2275" spans="1:1" x14ac:dyDescent="0.2">
      <c r="A2275" s="1" t="s">
        <v>469</v>
      </c>
    </row>
    <row r="2276" spans="1:1" x14ac:dyDescent="0.2">
      <c r="A2276" s="1" t="s">
        <v>469</v>
      </c>
    </row>
    <row r="2277" spans="1:1" x14ac:dyDescent="0.2">
      <c r="A2277" s="1" t="s">
        <v>469</v>
      </c>
    </row>
    <row r="2278" spans="1:1" x14ac:dyDescent="0.2">
      <c r="A2278" s="1" t="s">
        <v>470</v>
      </c>
    </row>
    <row r="2279" spans="1:1" x14ac:dyDescent="0.2">
      <c r="A2279" s="1" t="s">
        <v>471</v>
      </c>
    </row>
    <row r="2280" spans="1:1" x14ac:dyDescent="0.2">
      <c r="A2280" s="1" t="s">
        <v>472</v>
      </c>
    </row>
    <row r="2281" spans="1:1" x14ac:dyDescent="0.2">
      <c r="A2281" s="1" t="s">
        <v>473</v>
      </c>
    </row>
    <row r="2282" spans="1:1" x14ac:dyDescent="0.2">
      <c r="A2282" s="1" t="s">
        <v>474</v>
      </c>
    </row>
    <row r="2283" spans="1:1" x14ac:dyDescent="0.2">
      <c r="A2283" s="1" t="s">
        <v>475</v>
      </c>
    </row>
    <row r="2284" spans="1:1" x14ac:dyDescent="0.2">
      <c r="A2284" s="1" t="s">
        <v>476</v>
      </c>
    </row>
    <row r="2285" spans="1:1" x14ac:dyDescent="0.2">
      <c r="A2285" s="1" t="s">
        <v>477</v>
      </c>
    </row>
    <row r="2286" spans="1:1" x14ac:dyDescent="0.2">
      <c r="A2286" s="1" t="s">
        <v>469</v>
      </c>
    </row>
    <row r="2287" spans="1:1" x14ac:dyDescent="0.2">
      <c r="A2287" s="1" t="s">
        <v>478</v>
      </c>
    </row>
    <row r="2288" spans="1:1" x14ac:dyDescent="0.2">
      <c r="A2288" s="1" t="s">
        <v>479</v>
      </c>
    </row>
    <row r="2289" spans="1:1" x14ac:dyDescent="0.2">
      <c r="A2289" s="1" t="s">
        <v>480</v>
      </c>
    </row>
    <row r="2290" spans="1:1" x14ac:dyDescent="0.2">
      <c r="A2290" s="1" t="s">
        <v>481</v>
      </c>
    </row>
    <row r="2291" spans="1:1" x14ac:dyDescent="0.2">
      <c r="A2291" s="1" t="s">
        <v>480</v>
      </c>
    </row>
    <row r="2292" spans="1:1" x14ac:dyDescent="0.2">
      <c r="A2292" s="1" t="s">
        <v>481</v>
      </c>
    </row>
    <row r="2293" spans="1:1" x14ac:dyDescent="0.2">
      <c r="A2293" s="1" t="s">
        <v>482</v>
      </c>
    </row>
    <row r="2294" spans="1:1" x14ac:dyDescent="0.2">
      <c r="A2294" s="1" t="s">
        <v>483</v>
      </c>
    </row>
    <row r="2295" spans="1:1" x14ac:dyDescent="0.2">
      <c r="A2295" s="1" t="s">
        <v>484</v>
      </c>
    </row>
    <row r="2296" spans="1:1" x14ac:dyDescent="0.2">
      <c r="A2296" s="1" t="s">
        <v>485</v>
      </c>
    </row>
    <row r="2297" spans="1:1" x14ac:dyDescent="0.2">
      <c r="A2297" s="1" t="s">
        <v>486</v>
      </c>
    </row>
    <row r="2298" spans="1:1" x14ac:dyDescent="0.2">
      <c r="A2298" s="1" t="s">
        <v>487</v>
      </c>
    </row>
    <row r="2299" spans="1:1" x14ac:dyDescent="0.2">
      <c r="A2299" s="1" t="s">
        <v>488</v>
      </c>
    </row>
    <row r="2300" spans="1:1" x14ac:dyDescent="0.2">
      <c r="A2300" s="1" t="s">
        <v>489</v>
      </c>
    </row>
    <row r="2301" spans="1:1" x14ac:dyDescent="0.2">
      <c r="A2301" s="1" t="s">
        <v>480</v>
      </c>
    </row>
    <row r="2302" spans="1:1" x14ac:dyDescent="0.2">
      <c r="A2302" s="1" t="s">
        <v>481</v>
      </c>
    </row>
    <row r="2303" spans="1:1" x14ac:dyDescent="0.2">
      <c r="A2303" s="1" t="s">
        <v>480</v>
      </c>
    </row>
    <row r="2304" spans="1:1" x14ac:dyDescent="0.2">
      <c r="A2304" s="1" t="s">
        <v>481</v>
      </c>
    </row>
    <row r="2305" spans="1:1" x14ac:dyDescent="0.2">
      <c r="A2305" s="1" t="s">
        <v>480</v>
      </c>
    </row>
    <row r="2306" spans="1:1" x14ac:dyDescent="0.2">
      <c r="A2306" s="1" t="s">
        <v>481</v>
      </c>
    </row>
    <row r="2307" spans="1:1" x14ac:dyDescent="0.2">
      <c r="A2307" s="1" t="s">
        <v>482</v>
      </c>
    </row>
    <row r="2308" spans="1:1" x14ac:dyDescent="0.2">
      <c r="A2308" s="1" t="s">
        <v>483</v>
      </c>
    </row>
    <row r="2309" spans="1:1" x14ac:dyDescent="0.2">
      <c r="A2309" s="1" t="s">
        <v>484</v>
      </c>
    </row>
    <row r="2310" spans="1:1" x14ac:dyDescent="0.2">
      <c r="A2310" s="1" t="s">
        <v>485</v>
      </c>
    </row>
    <row r="2311" spans="1:1" x14ac:dyDescent="0.2">
      <c r="A2311" s="1" t="s">
        <v>486</v>
      </c>
    </row>
    <row r="2312" spans="1:1" x14ac:dyDescent="0.2">
      <c r="A2312" s="1" t="s">
        <v>487</v>
      </c>
    </row>
    <row r="2313" spans="1:1" x14ac:dyDescent="0.2">
      <c r="A2313" s="1" t="s">
        <v>488</v>
      </c>
    </row>
    <row r="2314" spans="1:1" x14ac:dyDescent="0.2">
      <c r="A2314" s="1" t="s">
        <v>489</v>
      </c>
    </row>
    <row r="2315" spans="1:1" x14ac:dyDescent="0.2">
      <c r="A2315" s="1" t="s">
        <v>480</v>
      </c>
    </row>
    <row r="2316" spans="1:1" x14ac:dyDescent="0.2">
      <c r="A2316" s="1" t="s">
        <v>481</v>
      </c>
    </row>
    <row r="2317" spans="1:1" x14ac:dyDescent="0.2">
      <c r="A2317" s="1" t="s">
        <v>480</v>
      </c>
    </row>
    <row r="2318" spans="1:1" x14ac:dyDescent="0.2">
      <c r="A2318" s="1" t="s">
        <v>481</v>
      </c>
    </row>
    <row r="2319" spans="1:1" x14ac:dyDescent="0.2">
      <c r="A2319" s="1" t="s">
        <v>480</v>
      </c>
    </row>
    <row r="2320" spans="1:1" x14ac:dyDescent="0.2">
      <c r="A2320" s="1" t="s">
        <v>481</v>
      </c>
    </row>
    <row r="2321" spans="1:1" x14ac:dyDescent="0.2">
      <c r="A2321" s="1" t="s">
        <v>482</v>
      </c>
    </row>
    <row r="2322" spans="1:1" x14ac:dyDescent="0.2">
      <c r="A2322" s="1" t="s">
        <v>483</v>
      </c>
    </row>
    <row r="2323" spans="1:1" x14ac:dyDescent="0.2">
      <c r="A2323" s="1" t="s">
        <v>484</v>
      </c>
    </row>
    <row r="2324" spans="1:1" x14ac:dyDescent="0.2">
      <c r="A2324" s="1" t="s">
        <v>485</v>
      </c>
    </row>
    <row r="2325" spans="1:1" x14ac:dyDescent="0.2">
      <c r="A2325" s="1" t="s">
        <v>486</v>
      </c>
    </row>
    <row r="2326" spans="1:1" x14ac:dyDescent="0.2">
      <c r="A2326" s="1" t="s">
        <v>487</v>
      </c>
    </row>
    <row r="2327" spans="1:1" x14ac:dyDescent="0.2">
      <c r="A2327" s="1" t="s">
        <v>488</v>
      </c>
    </row>
    <row r="2328" spans="1:1" x14ac:dyDescent="0.2">
      <c r="A2328" s="1" t="s">
        <v>489</v>
      </c>
    </row>
    <row r="2329" spans="1:1" x14ac:dyDescent="0.2">
      <c r="A2329" s="1" t="s">
        <v>480</v>
      </c>
    </row>
    <row r="2330" spans="1:1" x14ac:dyDescent="0.2">
      <c r="A2330" s="1" t="s">
        <v>481</v>
      </c>
    </row>
    <row r="2331" spans="1:1" x14ac:dyDescent="0.2">
      <c r="A2331" s="1" t="s">
        <v>480</v>
      </c>
    </row>
    <row r="2332" spans="1:1" x14ac:dyDescent="0.2">
      <c r="A2332" s="1" t="s">
        <v>481</v>
      </c>
    </row>
    <row r="2333" spans="1:1" x14ac:dyDescent="0.2">
      <c r="A2333" s="1" t="s">
        <v>480</v>
      </c>
    </row>
    <row r="2334" spans="1:1" x14ac:dyDescent="0.2">
      <c r="A2334" s="1" t="s">
        <v>481</v>
      </c>
    </row>
    <row r="2335" spans="1:1" x14ac:dyDescent="0.2">
      <c r="A2335" s="1" t="s">
        <v>482</v>
      </c>
    </row>
    <row r="2336" spans="1:1" x14ac:dyDescent="0.2">
      <c r="A2336" s="1" t="s">
        <v>483</v>
      </c>
    </row>
    <row r="2337" spans="1:1" x14ac:dyDescent="0.2">
      <c r="A2337" s="1" t="s">
        <v>484</v>
      </c>
    </row>
    <row r="2338" spans="1:1" x14ac:dyDescent="0.2">
      <c r="A2338" s="1" t="s">
        <v>485</v>
      </c>
    </row>
    <row r="2339" spans="1:1" x14ac:dyDescent="0.2">
      <c r="A2339" s="1" t="s">
        <v>486</v>
      </c>
    </row>
    <row r="2340" spans="1:1" x14ac:dyDescent="0.2">
      <c r="A2340" s="1" t="s">
        <v>487</v>
      </c>
    </row>
    <row r="2341" spans="1:1" x14ac:dyDescent="0.2">
      <c r="A2341" s="1" t="s">
        <v>488</v>
      </c>
    </row>
    <row r="2342" spans="1:1" x14ac:dyDescent="0.2">
      <c r="A2342" s="1" t="s">
        <v>489</v>
      </c>
    </row>
    <row r="2343" spans="1:1" x14ac:dyDescent="0.2">
      <c r="A2343" s="1" t="s">
        <v>480</v>
      </c>
    </row>
    <row r="2344" spans="1:1" x14ac:dyDescent="0.2">
      <c r="A2344" s="1" t="s">
        <v>481</v>
      </c>
    </row>
    <row r="2345" spans="1:1" x14ac:dyDescent="0.2">
      <c r="A2345" s="1" t="s">
        <v>480</v>
      </c>
    </row>
    <row r="2346" spans="1:1" x14ac:dyDescent="0.2">
      <c r="A2346" s="1" t="s">
        <v>481</v>
      </c>
    </row>
    <row r="2347" spans="1:1" x14ac:dyDescent="0.2">
      <c r="A2347" s="1" t="s">
        <v>480</v>
      </c>
    </row>
    <row r="2348" spans="1:1" x14ac:dyDescent="0.2">
      <c r="A2348" s="1" t="s">
        <v>481</v>
      </c>
    </row>
    <row r="2349" spans="1:1" x14ac:dyDescent="0.2">
      <c r="A2349" s="1" t="s">
        <v>482</v>
      </c>
    </row>
    <row r="2350" spans="1:1" x14ac:dyDescent="0.2">
      <c r="A2350" s="1" t="s">
        <v>483</v>
      </c>
    </row>
    <row r="2351" spans="1:1" x14ac:dyDescent="0.2">
      <c r="A2351" s="1" t="s">
        <v>484</v>
      </c>
    </row>
    <row r="2352" spans="1:1" x14ac:dyDescent="0.2">
      <c r="A2352" s="1" t="s">
        <v>485</v>
      </c>
    </row>
    <row r="2353" spans="1:1" x14ac:dyDescent="0.2">
      <c r="A2353" s="1" t="s">
        <v>486</v>
      </c>
    </row>
    <row r="2354" spans="1:1" x14ac:dyDescent="0.2">
      <c r="A2354" s="1" t="s">
        <v>487</v>
      </c>
    </row>
    <row r="2355" spans="1:1" x14ac:dyDescent="0.2">
      <c r="A2355" s="1" t="s">
        <v>488</v>
      </c>
    </row>
    <row r="2356" spans="1:1" x14ac:dyDescent="0.2">
      <c r="A2356" s="1" t="s">
        <v>489</v>
      </c>
    </row>
    <row r="2357" spans="1:1" x14ac:dyDescent="0.2">
      <c r="A2357" s="1" t="s">
        <v>480</v>
      </c>
    </row>
    <row r="2358" spans="1:1" x14ac:dyDescent="0.2">
      <c r="A2358" s="1" t="s">
        <v>481</v>
      </c>
    </row>
    <row r="2359" spans="1:1" x14ac:dyDescent="0.2">
      <c r="A2359" s="1" t="s">
        <v>480</v>
      </c>
    </row>
    <row r="2360" spans="1:1" x14ac:dyDescent="0.2">
      <c r="A2360" s="1" t="s">
        <v>481</v>
      </c>
    </row>
    <row r="2361" spans="1:1" x14ac:dyDescent="0.2">
      <c r="A2361" s="1" t="s">
        <v>480</v>
      </c>
    </row>
    <row r="2362" spans="1:1" x14ac:dyDescent="0.2">
      <c r="A2362" s="1" t="s">
        <v>481</v>
      </c>
    </row>
    <row r="2363" spans="1:1" x14ac:dyDescent="0.2">
      <c r="A2363" s="1" t="s">
        <v>482</v>
      </c>
    </row>
    <row r="2364" spans="1:1" x14ac:dyDescent="0.2">
      <c r="A2364" s="1" t="s">
        <v>483</v>
      </c>
    </row>
    <row r="2365" spans="1:1" x14ac:dyDescent="0.2">
      <c r="A2365" s="1" t="s">
        <v>484</v>
      </c>
    </row>
    <row r="2366" spans="1:1" x14ac:dyDescent="0.2">
      <c r="A2366" s="1" t="s">
        <v>485</v>
      </c>
    </row>
    <row r="2367" spans="1:1" x14ac:dyDescent="0.2">
      <c r="A2367" s="1" t="s">
        <v>486</v>
      </c>
    </row>
    <row r="2368" spans="1:1" x14ac:dyDescent="0.2">
      <c r="A2368" s="1" t="s">
        <v>487</v>
      </c>
    </row>
    <row r="2369" spans="1:1" x14ac:dyDescent="0.2">
      <c r="A2369" s="1" t="s">
        <v>488</v>
      </c>
    </row>
    <row r="2370" spans="1:1" x14ac:dyDescent="0.2">
      <c r="A2370" s="1" t="s">
        <v>489</v>
      </c>
    </row>
    <row r="2371" spans="1:1" x14ac:dyDescent="0.2">
      <c r="A2371" s="1" t="s">
        <v>480</v>
      </c>
    </row>
    <row r="2372" spans="1:1" x14ac:dyDescent="0.2">
      <c r="A2372" s="1" t="s">
        <v>481</v>
      </c>
    </row>
    <row r="2373" spans="1:1" x14ac:dyDescent="0.2">
      <c r="A2373" s="1" t="s">
        <v>480</v>
      </c>
    </row>
    <row r="2374" spans="1:1" x14ac:dyDescent="0.2">
      <c r="A2374" s="1" t="s">
        <v>481</v>
      </c>
    </row>
    <row r="2375" spans="1:1" x14ac:dyDescent="0.2">
      <c r="A2375" s="1" t="s">
        <v>480</v>
      </c>
    </row>
    <row r="2376" spans="1:1" x14ac:dyDescent="0.2">
      <c r="A2376" s="1" t="s">
        <v>481</v>
      </c>
    </row>
    <row r="2377" spans="1:1" x14ac:dyDescent="0.2">
      <c r="A2377" s="1" t="s">
        <v>482</v>
      </c>
    </row>
    <row r="2378" spans="1:1" x14ac:dyDescent="0.2">
      <c r="A2378" s="1" t="s">
        <v>483</v>
      </c>
    </row>
    <row r="2379" spans="1:1" x14ac:dyDescent="0.2">
      <c r="A2379" s="1" t="s">
        <v>484</v>
      </c>
    </row>
    <row r="2380" spans="1:1" x14ac:dyDescent="0.2">
      <c r="A2380" s="1" t="s">
        <v>485</v>
      </c>
    </row>
    <row r="2381" spans="1:1" x14ac:dyDescent="0.2">
      <c r="A2381" s="1" t="s">
        <v>486</v>
      </c>
    </row>
    <row r="2382" spans="1:1" x14ac:dyDescent="0.2">
      <c r="A2382" s="1" t="s">
        <v>487</v>
      </c>
    </row>
    <row r="2383" spans="1:1" x14ac:dyDescent="0.2">
      <c r="A2383" s="1" t="s">
        <v>488</v>
      </c>
    </row>
    <row r="2384" spans="1:1" x14ac:dyDescent="0.2">
      <c r="A2384" s="1" t="s">
        <v>489</v>
      </c>
    </row>
    <row r="2385" spans="1:1" x14ac:dyDescent="0.2">
      <c r="A2385" s="1" t="s">
        <v>480</v>
      </c>
    </row>
    <row r="2386" spans="1:1" x14ac:dyDescent="0.2">
      <c r="A2386" s="1" t="s">
        <v>481</v>
      </c>
    </row>
    <row r="2387" spans="1:1" x14ac:dyDescent="0.2">
      <c r="A2387" s="1" t="s">
        <v>480</v>
      </c>
    </row>
    <row r="2388" spans="1:1" x14ac:dyDescent="0.2">
      <c r="A2388" s="1" t="s">
        <v>481</v>
      </c>
    </row>
    <row r="2389" spans="1:1" x14ac:dyDescent="0.2">
      <c r="A2389" s="1" t="s">
        <v>490</v>
      </c>
    </row>
    <row r="2390" spans="1:1" x14ac:dyDescent="0.2">
      <c r="A2390" s="1" t="s">
        <v>491</v>
      </c>
    </row>
    <row r="2391" spans="1:1" x14ac:dyDescent="0.2">
      <c r="A2391" s="1" t="s">
        <v>492</v>
      </c>
    </row>
    <row r="2392" spans="1:1" x14ac:dyDescent="0.2">
      <c r="A2392" s="1" t="s">
        <v>493</v>
      </c>
    </row>
    <row r="2393" spans="1:1" x14ac:dyDescent="0.2">
      <c r="A2393" s="1" t="s">
        <v>494</v>
      </c>
    </row>
    <row r="2394" spans="1:1" x14ac:dyDescent="0.2">
      <c r="A2394" s="1" t="s">
        <v>495</v>
      </c>
    </row>
    <row r="2395" spans="1:1" x14ac:dyDescent="0.2">
      <c r="A2395" s="1" t="s">
        <v>496</v>
      </c>
    </row>
    <row r="2396" spans="1:1" x14ac:dyDescent="0.2">
      <c r="A2396" s="1" t="s">
        <v>497</v>
      </c>
    </row>
    <row r="2397" spans="1:1" x14ac:dyDescent="0.2">
      <c r="A2397" s="1" t="s">
        <v>498</v>
      </c>
    </row>
    <row r="2398" spans="1:1" x14ac:dyDescent="0.2">
      <c r="A2398" s="1" t="s">
        <v>499</v>
      </c>
    </row>
    <row r="2399" spans="1:1" x14ac:dyDescent="0.2">
      <c r="A2399" s="1" t="s">
        <v>490</v>
      </c>
    </row>
    <row r="2400" spans="1:1" x14ac:dyDescent="0.2">
      <c r="A2400" s="1" t="s">
        <v>491</v>
      </c>
    </row>
    <row r="2401" spans="1:1" x14ac:dyDescent="0.2">
      <c r="A2401" s="1" t="s">
        <v>500</v>
      </c>
    </row>
    <row r="2402" spans="1:1" x14ac:dyDescent="0.2">
      <c r="A2402" s="1" t="s">
        <v>501</v>
      </c>
    </row>
    <row r="2403" spans="1:1" x14ac:dyDescent="0.2">
      <c r="A2403" s="1" t="s">
        <v>500</v>
      </c>
    </row>
    <row r="2404" spans="1:1" x14ac:dyDescent="0.2">
      <c r="A2404" s="1" t="s">
        <v>501</v>
      </c>
    </row>
    <row r="2405" spans="1:1" x14ac:dyDescent="0.2">
      <c r="A2405" s="1" t="s">
        <v>502</v>
      </c>
    </row>
    <row r="2406" spans="1:1" x14ac:dyDescent="0.2">
      <c r="A2406" s="1" t="s">
        <v>503</v>
      </c>
    </row>
    <row r="2407" spans="1:1" x14ac:dyDescent="0.2">
      <c r="A2407" s="1" t="s">
        <v>504</v>
      </c>
    </row>
    <row r="2408" spans="1:1" x14ac:dyDescent="0.2">
      <c r="A2408" s="1" t="s">
        <v>505</v>
      </c>
    </row>
    <row r="2409" spans="1:1" x14ac:dyDescent="0.2">
      <c r="A2409" s="1" t="s">
        <v>506</v>
      </c>
    </row>
    <row r="2410" spans="1:1" x14ac:dyDescent="0.2">
      <c r="A2410" s="1" t="s">
        <v>507</v>
      </c>
    </row>
    <row r="2411" spans="1:1" x14ac:dyDescent="0.2">
      <c r="A2411" s="1" t="s">
        <v>508</v>
      </c>
    </row>
    <row r="2412" spans="1:1" x14ac:dyDescent="0.2">
      <c r="A2412" s="1" t="s">
        <v>509</v>
      </c>
    </row>
    <row r="2413" spans="1:1" x14ac:dyDescent="0.2">
      <c r="A2413" s="1" t="s">
        <v>500</v>
      </c>
    </row>
    <row r="2414" spans="1:1" x14ac:dyDescent="0.2">
      <c r="A2414" s="1" t="s">
        <v>501</v>
      </c>
    </row>
    <row r="2415" spans="1:1" x14ac:dyDescent="0.2">
      <c r="A2415" s="1" t="s">
        <v>500</v>
      </c>
    </row>
    <row r="2416" spans="1:1" x14ac:dyDescent="0.2">
      <c r="A2416" s="1" t="s">
        <v>501</v>
      </c>
    </row>
    <row r="2417" spans="1:1" x14ac:dyDescent="0.2">
      <c r="A2417" s="1" t="s">
        <v>500</v>
      </c>
    </row>
    <row r="2418" spans="1:1" x14ac:dyDescent="0.2">
      <c r="A2418" s="1" t="s">
        <v>501</v>
      </c>
    </row>
    <row r="2419" spans="1:1" x14ac:dyDescent="0.2">
      <c r="A2419" s="1" t="s">
        <v>502</v>
      </c>
    </row>
    <row r="2420" spans="1:1" x14ac:dyDescent="0.2">
      <c r="A2420" s="1" t="s">
        <v>503</v>
      </c>
    </row>
    <row r="2421" spans="1:1" x14ac:dyDescent="0.2">
      <c r="A2421" s="1" t="s">
        <v>504</v>
      </c>
    </row>
    <row r="2422" spans="1:1" x14ac:dyDescent="0.2">
      <c r="A2422" s="1" t="s">
        <v>505</v>
      </c>
    </row>
    <row r="2423" spans="1:1" x14ac:dyDescent="0.2">
      <c r="A2423" s="1" t="s">
        <v>506</v>
      </c>
    </row>
    <row r="2424" spans="1:1" x14ac:dyDescent="0.2">
      <c r="A2424" s="1" t="s">
        <v>507</v>
      </c>
    </row>
    <row r="2425" spans="1:1" x14ac:dyDescent="0.2">
      <c r="A2425" s="1" t="s">
        <v>508</v>
      </c>
    </row>
    <row r="2426" spans="1:1" x14ac:dyDescent="0.2">
      <c r="A2426" s="1" t="s">
        <v>509</v>
      </c>
    </row>
    <row r="2427" spans="1:1" x14ac:dyDescent="0.2">
      <c r="A2427" s="1" t="s">
        <v>500</v>
      </c>
    </row>
    <row r="2428" spans="1:1" x14ac:dyDescent="0.2">
      <c r="A2428" s="1" t="s">
        <v>501</v>
      </c>
    </row>
    <row r="2429" spans="1:1" x14ac:dyDescent="0.2">
      <c r="A2429" s="1" t="s">
        <v>500</v>
      </c>
    </row>
    <row r="2430" spans="1:1" x14ac:dyDescent="0.2">
      <c r="A2430" s="1" t="s">
        <v>501</v>
      </c>
    </row>
    <row r="2431" spans="1:1" x14ac:dyDescent="0.2">
      <c r="A2431" s="1" t="s">
        <v>500</v>
      </c>
    </row>
    <row r="2432" spans="1:1" x14ac:dyDescent="0.2">
      <c r="A2432" s="1" t="s">
        <v>501</v>
      </c>
    </row>
    <row r="2433" spans="1:1" x14ac:dyDescent="0.2">
      <c r="A2433" s="1" t="s">
        <v>502</v>
      </c>
    </row>
    <row r="2434" spans="1:1" x14ac:dyDescent="0.2">
      <c r="A2434" s="1" t="s">
        <v>503</v>
      </c>
    </row>
    <row r="2435" spans="1:1" x14ac:dyDescent="0.2">
      <c r="A2435" s="1" t="s">
        <v>504</v>
      </c>
    </row>
    <row r="2436" spans="1:1" x14ac:dyDescent="0.2">
      <c r="A2436" s="1" t="s">
        <v>505</v>
      </c>
    </row>
    <row r="2437" spans="1:1" x14ac:dyDescent="0.2">
      <c r="A2437" s="1" t="s">
        <v>506</v>
      </c>
    </row>
    <row r="2438" spans="1:1" x14ac:dyDescent="0.2">
      <c r="A2438" s="1" t="s">
        <v>507</v>
      </c>
    </row>
    <row r="2439" spans="1:1" x14ac:dyDescent="0.2">
      <c r="A2439" s="1" t="s">
        <v>508</v>
      </c>
    </row>
    <row r="2440" spans="1:1" x14ac:dyDescent="0.2">
      <c r="A2440" s="1" t="s">
        <v>509</v>
      </c>
    </row>
    <row r="2441" spans="1:1" x14ac:dyDescent="0.2">
      <c r="A2441" s="1" t="s">
        <v>500</v>
      </c>
    </row>
    <row r="2442" spans="1:1" x14ac:dyDescent="0.2">
      <c r="A2442" s="1" t="s">
        <v>501</v>
      </c>
    </row>
    <row r="2443" spans="1:1" x14ac:dyDescent="0.2">
      <c r="A2443" s="1" t="s">
        <v>500</v>
      </c>
    </row>
    <row r="2444" spans="1:1" x14ac:dyDescent="0.2">
      <c r="A2444" s="1" t="s">
        <v>501</v>
      </c>
    </row>
    <row r="2445" spans="1:1" x14ac:dyDescent="0.2">
      <c r="A2445" s="1" t="s">
        <v>500</v>
      </c>
    </row>
    <row r="2446" spans="1:1" x14ac:dyDescent="0.2">
      <c r="A2446" s="1" t="s">
        <v>501</v>
      </c>
    </row>
    <row r="2447" spans="1:1" x14ac:dyDescent="0.2">
      <c r="A2447" s="1" t="s">
        <v>502</v>
      </c>
    </row>
    <row r="2448" spans="1:1" x14ac:dyDescent="0.2">
      <c r="A2448" s="1" t="s">
        <v>503</v>
      </c>
    </row>
    <row r="2449" spans="1:1" x14ac:dyDescent="0.2">
      <c r="A2449" s="1" t="s">
        <v>504</v>
      </c>
    </row>
    <row r="2450" spans="1:1" x14ac:dyDescent="0.2">
      <c r="A2450" s="1" t="s">
        <v>505</v>
      </c>
    </row>
    <row r="2451" spans="1:1" x14ac:dyDescent="0.2">
      <c r="A2451" s="1" t="s">
        <v>506</v>
      </c>
    </row>
    <row r="2452" spans="1:1" x14ac:dyDescent="0.2">
      <c r="A2452" s="1" t="s">
        <v>507</v>
      </c>
    </row>
    <row r="2453" spans="1:1" x14ac:dyDescent="0.2">
      <c r="A2453" s="1" t="s">
        <v>508</v>
      </c>
    </row>
    <row r="2454" spans="1:1" x14ac:dyDescent="0.2">
      <c r="A2454" s="1" t="s">
        <v>509</v>
      </c>
    </row>
    <row r="2455" spans="1:1" x14ac:dyDescent="0.2">
      <c r="A2455" s="1" t="s">
        <v>500</v>
      </c>
    </row>
    <row r="2456" spans="1:1" x14ac:dyDescent="0.2">
      <c r="A2456" s="1" t="s">
        <v>501</v>
      </c>
    </row>
    <row r="2457" spans="1:1" x14ac:dyDescent="0.2">
      <c r="A2457" s="1" t="s">
        <v>500</v>
      </c>
    </row>
    <row r="2458" spans="1:1" x14ac:dyDescent="0.2">
      <c r="A2458" s="1" t="s">
        <v>501</v>
      </c>
    </row>
    <row r="2459" spans="1:1" x14ac:dyDescent="0.2">
      <c r="A2459" s="1" t="s">
        <v>500</v>
      </c>
    </row>
    <row r="2460" spans="1:1" x14ac:dyDescent="0.2">
      <c r="A2460" s="1" t="s">
        <v>501</v>
      </c>
    </row>
    <row r="2461" spans="1:1" x14ac:dyDescent="0.2">
      <c r="A2461" s="1" t="s">
        <v>502</v>
      </c>
    </row>
    <row r="2462" spans="1:1" x14ac:dyDescent="0.2">
      <c r="A2462" s="1" t="s">
        <v>503</v>
      </c>
    </row>
    <row r="2463" spans="1:1" x14ac:dyDescent="0.2">
      <c r="A2463" s="1" t="s">
        <v>504</v>
      </c>
    </row>
    <row r="2464" spans="1:1" x14ac:dyDescent="0.2">
      <c r="A2464" s="1" t="s">
        <v>505</v>
      </c>
    </row>
    <row r="2465" spans="1:1" x14ac:dyDescent="0.2">
      <c r="A2465" s="1" t="s">
        <v>506</v>
      </c>
    </row>
    <row r="2466" spans="1:1" x14ac:dyDescent="0.2">
      <c r="A2466" s="1" t="s">
        <v>507</v>
      </c>
    </row>
    <row r="2467" spans="1:1" x14ac:dyDescent="0.2">
      <c r="A2467" s="1" t="s">
        <v>508</v>
      </c>
    </row>
    <row r="2468" spans="1:1" x14ac:dyDescent="0.2">
      <c r="A2468" s="1" t="s">
        <v>509</v>
      </c>
    </row>
    <row r="2469" spans="1:1" x14ac:dyDescent="0.2">
      <c r="A2469" s="1" t="s">
        <v>500</v>
      </c>
    </row>
    <row r="2470" spans="1:1" x14ac:dyDescent="0.2">
      <c r="A2470" s="1" t="s">
        <v>501</v>
      </c>
    </row>
    <row r="2471" spans="1:1" x14ac:dyDescent="0.2">
      <c r="A2471" s="1" t="s">
        <v>500</v>
      </c>
    </row>
    <row r="2472" spans="1:1" x14ac:dyDescent="0.2">
      <c r="A2472" s="1" t="s">
        <v>501</v>
      </c>
    </row>
    <row r="2473" spans="1:1" x14ac:dyDescent="0.2">
      <c r="A2473" s="1" t="s">
        <v>500</v>
      </c>
    </row>
    <row r="2474" spans="1:1" x14ac:dyDescent="0.2">
      <c r="A2474" s="1" t="s">
        <v>501</v>
      </c>
    </row>
    <row r="2475" spans="1:1" x14ac:dyDescent="0.2">
      <c r="A2475" s="1" t="s">
        <v>502</v>
      </c>
    </row>
    <row r="2476" spans="1:1" x14ac:dyDescent="0.2">
      <c r="A2476" s="1" t="s">
        <v>503</v>
      </c>
    </row>
    <row r="2477" spans="1:1" x14ac:dyDescent="0.2">
      <c r="A2477" s="1" t="s">
        <v>504</v>
      </c>
    </row>
    <row r="2478" spans="1:1" x14ac:dyDescent="0.2">
      <c r="A2478" s="1" t="s">
        <v>505</v>
      </c>
    </row>
    <row r="2479" spans="1:1" x14ac:dyDescent="0.2">
      <c r="A2479" s="1" t="s">
        <v>506</v>
      </c>
    </row>
    <row r="2480" spans="1:1" x14ac:dyDescent="0.2">
      <c r="A2480" s="1" t="s">
        <v>507</v>
      </c>
    </row>
    <row r="2481" spans="1:1" x14ac:dyDescent="0.2">
      <c r="A2481" s="1" t="s">
        <v>508</v>
      </c>
    </row>
    <row r="2482" spans="1:1" x14ac:dyDescent="0.2">
      <c r="A2482" s="1" t="s">
        <v>509</v>
      </c>
    </row>
    <row r="2483" spans="1:1" x14ac:dyDescent="0.2">
      <c r="A2483" s="1" t="s">
        <v>500</v>
      </c>
    </row>
    <row r="2484" spans="1:1" x14ac:dyDescent="0.2">
      <c r="A2484" s="1" t="s">
        <v>501</v>
      </c>
    </row>
    <row r="2485" spans="1:1" x14ac:dyDescent="0.2">
      <c r="A2485" s="1" t="s">
        <v>500</v>
      </c>
    </row>
    <row r="2486" spans="1:1" x14ac:dyDescent="0.2">
      <c r="A2486" s="1" t="s">
        <v>501</v>
      </c>
    </row>
    <row r="2487" spans="1:1" x14ac:dyDescent="0.2">
      <c r="A2487" s="1" t="s">
        <v>500</v>
      </c>
    </row>
    <row r="2488" spans="1:1" x14ac:dyDescent="0.2">
      <c r="A2488" s="1" t="s">
        <v>501</v>
      </c>
    </row>
    <row r="2489" spans="1:1" x14ac:dyDescent="0.2">
      <c r="A2489" s="1" t="s">
        <v>502</v>
      </c>
    </row>
    <row r="2490" spans="1:1" x14ac:dyDescent="0.2">
      <c r="A2490" s="1" t="s">
        <v>503</v>
      </c>
    </row>
    <row r="2491" spans="1:1" x14ac:dyDescent="0.2">
      <c r="A2491" s="1" t="s">
        <v>504</v>
      </c>
    </row>
    <row r="2492" spans="1:1" x14ac:dyDescent="0.2">
      <c r="A2492" s="1" t="s">
        <v>505</v>
      </c>
    </row>
    <row r="2493" spans="1:1" x14ac:dyDescent="0.2">
      <c r="A2493" s="1" t="s">
        <v>506</v>
      </c>
    </row>
    <row r="2494" spans="1:1" x14ac:dyDescent="0.2">
      <c r="A2494" s="1" t="s">
        <v>507</v>
      </c>
    </row>
    <row r="2495" spans="1:1" x14ac:dyDescent="0.2">
      <c r="A2495" s="1" t="s">
        <v>508</v>
      </c>
    </row>
    <row r="2496" spans="1:1" x14ac:dyDescent="0.2">
      <c r="A2496" s="1" t="s">
        <v>509</v>
      </c>
    </row>
    <row r="2497" spans="1:1" x14ac:dyDescent="0.2">
      <c r="A2497" s="1" t="s">
        <v>500</v>
      </c>
    </row>
    <row r="2498" spans="1:1" x14ac:dyDescent="0.2">
      <c r="A2498" s="1" t="s">
        <v>501</v>
      </c>
    </row>
    <row r="2499" spans="1:1" x14ac:dyDescent="0.2">
      <c r="A2499" s="1" t="s">
        <v>500</v>
      </c>
    </row>
    <row r="2500" spans="1:1" x14ac:dyDescent="0.2">
      <c r="A2500" s="1" t="s">
        <v>501</v>
      </c>
    </row>
    <row r="2501" spans="1:1" x14ac:dyDescent="0.2">
      <c r="A2501" s="1" t="s">
        <v>500</v>
      </c>
    </row>
    <row r="2502" spans="1:1" x14ac:dyDescent="0.2">
      <c r="A2502" s="1" t="s">
        <v>501</v>
      </c>
    </row>
    <row r="2503" spans="1:1" x14ac:dyDescent="0.2">
      <c r="A2503" s="1" t="s">
        <v>502</v>
      </c>
    </row>
    <row r="2504" spans="1:1" x14ac:dyDescent="0.2">
      <c r="A2504" s="1" t="s">
        <v>503</v>
      </c>
    </row>
    <row r="2505" spans="1:1" x14ac:dyDescent="0.2">
      <c r="A2505" s="1" t="s">
        <v>504</v>
      </c>
    </row>
    <row r="2506" spans="1:1" x14ac:dyDescent="0.2">
      <c r="A2506" s="1" t="s">
        <v>505</v>
      </c>
    </row>
    <row r="2507" spans="1:1" x14ac:dyDescent="0.2">
      <c r="A2507" s="1" t="s">
        <v>506</v>
      </c>
    </row>
    <row r="2508" spans="1:1" x14ac:dyDescent="0.2">
      <c r="A2508" s="1" t="s">
        <v>507</v>
      </c>
    </row>
    <row r="2509" spans="1:1" x14ac:dyDescent="0.2">
      <c r="A2509" s="1" t="s">
        <v>508</v>
      </c>
    </row>
    <row r="2510" spans="1:1" x14ac:dyDescent="0.2">
      <c r="A2510" s="1" t="s">
        <v>509</v>
      </c>
    </row>
    <row r="2511" spans="1:1" x14ac:dyDescent="0.2">
      <c r="A2511" s="1" t="s">
        <v>500</v>
      </c>
    </row>
    <row r="2512" spans="1:1" x14ac:dyDescent="0.2">
      <c r="A2512" s="1" t="s">
        <v>501</v>
      </c>
    </row>
    <row r="2513" spans="1:1" x14ac:dyDescent="0.2">
      <c r="A2513" s="1" t="s">
        <v>510</v>
      </c>
    </row>
    <row r="2514" spans="1:1" x14ac:dyDescent="0.2">
      <c r="A2514" s="1" t="s">
        <v>510</v>
      </c>
    </row>
    <row r="2515" spans="1:1" x14ac:dyDescent="0.2">
      <c r="A2515" s="1" t="s">
        <v>511</v>
      </c>
    </row>
    <row r="2516" spans="1:1" x14ac:dyDescent="0.2">
      <c r="A2516" s="1" t="s">
        <v>511</v>
      </c>
    </row>
    <row r="2517" spans="1:1" x14ac:dyDescent="0.2">
      <c r="A2517" s="1" t="s">
        <v>511</v>
      </c>
    </row>
    <row r="2518" spans="1:1" x14ac:dyDescent="0.2">
      <c r="A2518" s="1" t="s">
        <v>512</v>
      </c>
    </row>
    <row r="2519" spans="1:1" x14ac:dyDescent="0.2">
      <c r="A2519" s="1" t="s">
        <v>513</v>
      </c>
    </row>
    <row r="2520" spans="1:1" x14ac:dyDescent="0.2">
      <c r="A2520" s="1" t="s">
        <v>512</v>
      </c>
    </row>
    <row r="2521" spans="1:1" x14ac:dyDescent="0.2">
      <c r="A2521" s="1" t="s">
        <v>513</v>
      </c>
    </row>
    <row r="2522" spans="1:1" x14ac:dyDescent="0.2">
      <c r="A2522" s="1" t="s">
        <v>514</v>
      </c>
    </row>
    <row r="2523" spans="1:1" x14ac:dyDescent="0.2">
      <c r="A2523" s="1" t="s">
        <v>515</v>
      </c>
    </row>
    <row r="2524" spans="1:1" x14ac:dyDescent="0.2">
      <c r="A2524" s="1" t="s">
        <v>516</v>
      </c>
    </row>
    <row r="2525" spans="1:1" x14ac:dyDescent="0.2">
      <c r="A2525" s="1" t="s">
        <v>517</v>
      </c>
    </row>
    <row r="2526" spans="1:1" x14ac:dyDescent="0.2">
      <c r="A2526" s="1" t="s">
        <v>518</v>
      </c>
    </row>
    <row r="2527" spans="1:1" x14ac:dyDescent="0.2">
      <c r="A2527" s="1" t="s">
        <v>519</v>
      </c>
    </row>
    <row r="2528" spans="1:1" x14ac:dyDescent="0.2">
      <c r="A2528" s="1" t="s">
        <v>520</v>
      </c>
    </row>
    <row r="2529" spans="1:1" x14ac:dyDescent="0.2">
      <c r="A2529" s="1" t="s">
        <v>521</v>
      </c>
    </row>
    <row r="2530" spans="1:1" x14ac:dyDescent="0.2">
      <c r="A2530" s="1" t="s">
        <v>512</v>
      </c>
    </row>
    <row r="2531" spans="1:1" x14ac:dyDescent="0.2">
      <c r="A2531" s="1" t="s">
        <v>513</v>
      </c>
    </row>
    <row r="2532" spans="1:1" x14ac:dyDescent="0.2">
      <c r="A2532" s="1" t="s">
        <v>512</v>
      </c>
    </row>
    <row r="2533" spans="1:1" x14ac:dyDescent="0.2">
      <c r="A2533" s="1" t="s">
        <v>513</v>
      </c>
    </row>
    <row r="2534" spans="1:1" x14ac:dyDescent="0.2">
      <c r="A2534" s="1" t="s">
        <v>512</v>
      </c>
    </row>
    <row r="2535" spans="1:1" x14ac:dyDescent="0.2">
      <c r="A2535" s="1" t="s">
        <v>513</v>
      </c>
    </row>
    <row r="2536" spans="1:1" x14ac:dyDescent="0.2">
      <c r="A2536" s="1" t="s">
        <v>514</v>
      </c>
    </row>
    <row r="2537" spans="1:1" x14ac:dyDescent="0.2">
      <c r="A2537" s="1" t="s">
        <v>515</v>
      </c>
    </row>
    <row r="2538" spans="1:1" x14ac:dyDescent="0.2">
      <c r="A2538" s="1" t="s">
        <v>516</v>
      </c>
    </row>
    <row r="2539" spans="1:1" x14ac:dyDescent="0.2">
      <c r="A2539" s="1" t="s">
        <v>517</v>
      </c>
    </row>
    <row r="2540" spans="1:1" x14ac:dyDescent="0.2">
      <c r="A2540" s="1" t="s">
        <v>518</v>
      </c>
    </row>
    <row r="2541" spans="1:1" x14ac:dyDescent="0.2">
      <c r="A2541" s="1" t="s">
        <v>519</v>
      </c>
    </row>
    <row r="2542" spans="1:1" x14ac:dyDescent="0.2">
      <c r="A2542" s="1" t="s">
        <v>520</v>
      </c>
    </row>
    <row r="2543" spans="1:1" x14ac:dyDescent="0.2">
      <c r="A2543" s="1" t="s">
        <v>521</v>
      </c>
    </row>
    <row r="2544" spans="1:1" x14ac:dyDescent="0.2">
      <c r="A2544" s="1" t="s">
        <v>512</v>
      </c>
    </row>
    <row r="2545" spans="1:1" x14ac:dyDescent="0.2">
      <c r="A2545" s="1" t="s">
        <v>513</v>
      </c>
    </row>
    <row r="2546" spans="1:1" x14ac:dyDescent="0.2">
      <c r="A2546" s="1" t="s">
        <v>512</v>
      </c>
    </row>
    <row r="2547" spans="1:1" x14ac:dyDescent="0.2">
      <c r="A2547" s="1" t="s">
        <v>513</v>
      </c>
    </row>
    <row r="2548" spans="1:1" x14ac:dyDescent="0.2">
      <c r="A2548" s="1" t="s">
        <v>512</v>
      </c>
    </row>
    <row r="2549" spans="1:1" x14ac:dyDescent="0.2">
      <c r="A2549" s="1" t="s">
        <v>513</v>
      </c>
    </row>
    <row r="2550" spans="1:1" x14ac:dyDescent="0.2">
      <c r="A2550" s="1" t="s">
        <v>514</v>
      </c>
    </row>
    <row r="2551" spans="1:1" x14ac:dyDescent="0.2">
      <c r="A2551" s="1" t="s">
        <v>515</v>
      </c>
    </row>
    <row r="2552" spans="1:1" x14ac:dyDescent="0.2">
      <c r="A2552" s="1" t="s">
        <v>516</v>
      </c>
    </row>
    <row r="2553" spans="1:1" x14ac:dyDescent="0.2">
      <c r="A2553" s="1" t="s">
        <v>517</v>
      </c>
    </row>
    <row r="2554" spans="1:1" x14ac:dyDescent="0.2">
      <c r="A2554" s="1" t="s">
        <v>518</v>
      </c>
    </row>
    <row r="2555" spans="1:1" x14ac:dyDescent="0.2">
      <c r="A2555" s="1" t="s">
        <v>519</v>
      </c>
    </row>
    <row r="2556" spans="1:1" x14ac:dyDescent="0.2">
      <c r="A2556" s="1" t="s">
        <v>520</v>
      </c>
    </row>
    <row r="2557" spans="1:1" x14ac:dyDescent="0.2">
      <c r="A2557" s="1" t="s">
        <v>521</v>
      </c>
    </row>
    <row r="2558" spans="1:1" x14ac:dyDescent="0.2">
      <c r="A2558" s="1" t="s">
        <v>512</v>
      </c>
    </row>
    <row r="2559" spans="1:1" x14ac:dyDescent="0.2">
      <c r="A2559" s="1" t="s">
        <v>513</v>
      </c>
    </row>
    <row r="2560" spans="1:1" x14ac:dyDescent="0.2">
      <c r="A2560" s="1" t="s">
        <v>512</v>
      </c>
    </row>
    <row r="2561" spans="1:1" x14ac:dyDescent="0.2">
      <c r="A2561" s="1" t="s">
        <v>513</v>
      </c>
    </row>
    <row r="2562" spans="1:1" x14ac:dyDescent="0.2">
      <c r="A2562" s="1" t="s">
        <v>512</v>
      </c>
    </row>
    <row r="2563" spans="1:1" x14ac:dyDescent="0.2">
      <c r="A2563" s="1" t="s">
        <v>513</v>
      </c>
    </row>
    <row r="2564" spans="1:1" x14ac:dyDescent="0.2">
      <c r="A2564" s="1" t="s">
        <v>514</v>
      </c>
    </row>
    <row r="2565" spans="1:1" x14ac:dyDescent="0.2">
      <c r="A2565" s="1" t="s">
        <v>515</v>
      </c>
    </row>
    <row r="2566" spans="1:1" x14ac:dyDescent="0.2">
      <c r="A2566" s="1" t="s">
        <v>516</v>
      </c>
    </row>
    <row r="2567" spans="1:1" x14ac:dyDescent="0.2">
      <c r="A2567" s="1" t="s">
        <v>517</v>
      </c>
    </row>
    <row r="2568" spans="1:1" x14ac:dyDescent="0.2">
      <c r="A2568" s="1" t="s">
        <v>518</v>
      </c>
    </row>
    <row r="2569" spans="1:1" x14ac:dyDescent="0.2">
      <c r="A2569" s="1" t="s">
        <v>519</v>
      </c>
    </row>
    <row r="2570" spans="1:1" x14ac:dyDescent="0.2">
      <c r="A2570" s="1" t="s">
        <v>520</v>
      </c>
    </row>
    <row r="2571" spans="1:1" x14ac:dyDescent="0.2">
      <c r="A2571" s="1" t="s">
        <v>521</v>
      </c>
    </row>
    <row r="2572" spans="1:1" x14ac:dyDescent="0.2">
      <c r="A2572" s="1" t="s">
        <v>512</v>
      </c>
    </row>
    <row r="2573" spans="1:1" x14ac:dyDescent="0.2">
      <c r="A2573" s="1" t="s">
        <v>513</v>
      </c>
    </row>
    <row r="2574" spans="1:1" x14ac:dyDescent="0.2">
      <c r="A2574" s="1" t="s">
        <v>512</v>
      </c>
    </row>
    <row r="2575" spans="1:1" x14ac:dyDescent="0.2">
      <c r="A2575" s="1" t="s">
        <v>513</v>
      </c>
    </row>
    <row r="2576" spans="1:1" x14ac:dyDescent="0.2">
      <c r="A2576" s="1" t="s">
        <v>512</v>
      </c>
    </row>
    <row r="2577" spans="1:1" x14ac:dyDescent="0.2">
      <c r="A2577" s="1" t="s">
        <v>513</v>
      </c>
    </row>
    <row r="2578" spans="1:1" x14ac:dyDescent="0.2">
      <c r="A2578" s="1" t="s">
        <v>514</v>
      </c>
    </row>
    <row r="2579" spans="1:1" x14ac:dyDescent="0.2">
      <c r="A2579" s="1" t="s">
        <v>515</v>
      </c>
    </row>
    <row r="2580" spans="1:1" x14ac:dyDescent="0.2">
      <c r="A2580" s="1" t="s">
        <v>516</v>
      </c>
    </row>
    <row r="2581" spans="1:1" x14ac:dyDescent="0.2">
      <c r="A2581" s="1" t="s">
        <v>517</v>
      </c>
    </row>
    <row r="2582" spans="1:1" x14ac:dyDescent="0.2">
      <c r="A2582" s="1" t="s">
        <v>518</v>
      </c>
    </row>
    <row r="2583" spans="1:1" x14ac:dyDescent="0.2">
      <c r="A2583" s="1" t="s">
        <v>519</v>
      </c>
    </row>
    <row r="2584" spans="1:1" x14ac:dyDescent="0.2">
      <c r="A2584" s="1" t="s">
        <v>520</v>
      </c>
    </row>
    <row r="2585" spans="1:1" x14ac:dyDescent="0.2">
      <c r="A2585" s="1" t="s">
        <v>521</v>
      </c>
    </row>
    <row r="2586" spans="1:1" x14ac:dyDescent="0.2">
      <c r="A2586" s="1" t="s">
        <v>512</v>
      </c>
    </row>
    <row r="2587" spans="1:1" x14ac:dyDescent="0.2">
      <c r="A2587" s="1" t="s">
        <v>513</v>
      </c>
    </row>
    <row r="2588" spans="1:1" x14ac:dyDescent="0.2">
      <c r="A2588" s="1" t="s">
        <v>512</v>
      </c>
    </row>
    <row r="2589" spans="1:1" x14ac:dyDescent="0.2">
      <c r="A2589" s="1" t="s">
        <v>513</v>
      </c>
    </row>
    <row r="2590" spans="1:1" x14ac:dyDescent="0.2">
      <c r="A2590" s="1" t="s">
        <v>512</v>
      </c>
    </row>
    <row r="2591" spans="1:1" x14ac:dyDescent="0.2">
      <c r="A2591" s="1" t="s">
        <v>513</v>
      </c>
    </row>
    <row r="2592" spans="1:1" x14ac:dyDescent="0.2">
      <c r="A2592" s="1" t="s">
        <v>514</v>
      </c>
    </row>
    <row r="2593" spans="1:1" x14ac:dyDescent="0.2">
      <c r="A2593" s="1" t="s">
        <v>515</v>
      </c>
    </row>
    <row r="2594" spans="1:1" x14ac:dyDescent="0.2">
      <c r="A2594" s="1" t="s">
        <v>516</v>
      </c>
    </row>
    <row r="2595" spans="1:1" x14ac:dyDescent="0.2">
      <c r="A2595" s="1" t="s">
        <v>517</v>
      </c>
    </row>
    <row r="2596" spans="1:1" x14ac:dyDescent="0.2">
      <c r="A2596" s="1" t="s">
        <v>518</v>
      </c>
    </row>
    <row r="2597" spans="1:1" x14ac:dyDescent="0.2">
      <c r="A2597" s="1" t="s">
        <v>519</v>
      </c>
    </row>
    <row r="2598" spans="1:1" x14ac:dyDescent="0.2">
      <c r="A2598" s="1" t="s">
        <v>520</v>
      </c>
    </row>
    <row r="2599" spans="1:1" x14ac:dyDescent="0.2">
      <c r="A2599" s="1" t="s">
        <v>521</v>
      </c>
    </row>
    <row r="2600" spans="1:1" x14ac:dyDescent="0.2">
      <c r="A2600" s="1" t="s">
        <v>512</v>
      </c>
    </row>
    <row r="2601" spans="1:1" x14ac:dyDescent="0.2">
      <c r="A2601" s="1" t="s">
        <v>513</v>
      </c>
    </row>
    <row r="2602" spans="1:1" x14ac:dyDescent="0.2">
      <c r="A2602" s="1" t="s">
        <v>512</v>
      </c>
    </row>
    <row r="2603" spans="1:1" x14ac:dyDescent="0.2">
      <c r="A2603" s="1" t="s">
        <v>513</v>
      </c>
    </row>
    <row r="2604" spans="1:1" x14ac:dyDescent="0.2">
      <c r="A2604" s="1" t="s">
        <v>512</v>
      </c>
    </row>
    <row r="2605" spans="1:1" x14ac:dyDescent="0.2">
      <c r="A2605" s="1" t="s">
        <v>513</v>
      </c>
    </row>
    <row r="2606" spans="1:1" x14ac:dyDescent="0.2">
      <c r="A2606" s="1" t="s">
        <v>514</v>
      </c>
    </row>
    <row r="2607" spans="1:1" x14ac:dyDescent="0.2">
      <c r="A2607" s="1" t="s">
        <v>515</v>
      </c>
    </row>
    <row r="2608" spans="1:1" x14ac:dyDescent="0.2">
      <c r="A2608" s="1" t="s">
        <v>516</v>
      </c>
    </row>
    <row r="2609" spans="1:1" x14ac:dyDescent="0.2">
      <c r="A2609" s="1" t="s">
        <v>517</v>
      </c>
    </row>
    <row r="2610" spans="1:1" x14ac:dyDescent="0.2">
      <c r="A2610" s="1" t="s">
        <v>518</v>
      </c>
    </row>
    <row r="2611" spans="1:1" x14ac:dyDescent="0.2">
      <c r="A2611" s="1" t="s">
        <v>519</v>
      </c>
    </row>
    <row r="2612" spans="1:1" x14ac:dyDescent="0.2">
      <c r="A2612" s="1" t="s">
        <v>520</v>
      </c>
    </row>
    <row r="2613" spans="1:1" x14ac:dyDescent="0.2">
      <c r="A2613" s="1" t="s">
        <v>521</v>
      </c>
    </row>
    <row r="2614" spans="1:1" x14ac:dyDescent="0.2">
      <c r="A2614" s="1" t="s">
        <v>512</v>
      </c>
    </row>
    <row r="2615" spans="1:1" x14ac:dyDescent="0.2">
      <c r="A2615" s="1" t="s">
        <v>513</v>
      </c>
    </row>
    <row r="2616" spans="1:1" x14ac:dyDescent="0.2">
      <c r="A2616" s="1" t="s">
        <v>512</v>
      </c>
    </row>
    <row r="2617" spans="1:1" x14ac:dyDescent="0.2">
      <c r="A2617" s="1" t="s">
        <v>513</v>
      </c>
    </row>
    <row r="2618" spans="1:1" x14ac:dyDescent="0.2">
      <c r="A2618" s="1" t="s">
        <v>512</v>
      </c>
    </row>
    <row r="2619" spans="1:1" x14ac:dyDescent="0.2">
      <c r="A2619" s="1" t="s">
        <v>513</v>
      </c>
    </row>
    <row r="2620" spans="1:1" x14ac:dyDescent="0.2">
      <c r="A2620" s="1" t="s">
        <v>514</v>
      </c>
    </row>
    <row r="2621" spans="1:1" x14ac:dyDescent="0.2">
      <c r="A2621" s="1" t="s">
        <v>515</v>
      </c>
    </row>
    <row r="2622" spans="1:1" x14ac:dyDescent="0.2">
      <c r="A2622" s="1" t="s">
        <v>516</v>
      </c>
    </row>
    <row r="2623" spans="1:1" x14ac:dyDescent="0.2">
      <c r="A2623" s="1" t="s">
        <v>517</v>
      </c>
    </row>
    <row r="2624" spans="1:1" x14ac:dyDescent="0.2">
      <c r="A2624" s="1" t="s">
        <v>518</v>
      </c>
    </row>
    <row r="2625" spans="1:1" x14ac:dyDescent="0.2">
      <c r="A2625" s="1" t="s">
        <v>519</v>
      </c>
    </row>
    <row r="2626" spans="1:1" x14ac:dyDescent="0.2">
      <c r="A2626" s="1" t="s">
        <v>520</v>
      </c>
    </row>
    <row r="2627" spans="1:1" x14ac:dyDescent="0.2">
      <c r="A2627" s="1" t="s">
        <v>521</v>
      </c>
    </row>
    <row r="2628" spans="1:1" x14ac:dyDescent="0.2">
      <c r="A2628" s="1" t="s">
        <v>512</v>
      </c>
    </row>
    <row r="2629" spans="1:1" x14ac:dyDescent="0.2">
      <c r="A2629" s="1" t="s">
        <v>513</v>
      </c>
    </row>
    <row r="2630" spans="1:1" x14ac:dyDescent="0.2">
      <c r="A2630" s="1" t="s">
        <v>522</v>
      </c>
    </row>
    <row r="2631" spans="1:1" x14ac:dyDescent="0.2">
      <c r="A2631" s="1" t="s">
        <v>523</v>
      </c>
    </row>
    <row r="2632" spans="1:1" x14ac:dyDescent="0.2">
      <c r="A2632" s="1" t="s">
        <v>522</v>
      </c>
    </row>
    <row r="2633" spans="1:1" x14ac:dyDescent="0.2">
      <c r="A2633" s="1" t="s">
        <v>523</v>
      </c>
    </row>
    <row r="2634" spans="1:1" x14ac:dyDescent="0.2">
      <c r="A2634" s="1" t="s">
        <v>524</v>
      </c>
    </row>
    <row r="2635" spans="1:1" x14ac:dyDescent="0.2">
      <c r="A2635" s="1" t="s">
        <v>525</v>
      </c>
    </row>
    <row r="2636" spans="1:1" x14ac:dyDescent="0.2">
      <c r="A2636" s="1" t="s">
        <v>526</v>
      </c>
    </row>
    <row r="2637" spans="1:1" x14ac:dyDescent="0.2">
      <c r="A2637" s="1" t="s">
        <v>527</v>
      </c>
    </row>
    <row r="2638" spans="1:1" x14ac:dyDescent="0.2">
      <c r="A2638" s="1" t="s">
        <v>528</v>
      </c>
    </row>
    <row r="2639" spans="1:1" x14ac:dyDescent="0.2">
      <c r="A2639" s="1" t="s">
        <v>529</v>
      </c>
    </row>
    <row r="2640" spans="1:1" x14ac:dyDescent="0.2">
      <c r="A2640" s="1" t="s">
        <v>530</v>
      </c>
    </row>
    <row r="2641" spans="1:1" x14ac:dyDescent="0.2">
      <c r="A2641" s="1" t="s">
        <v>531</v>
      </c>
    </row>
    <row r="2642" spans="1:1" x14ac:dyDescent="0.2">
      <c r="A2642" s="1" t="s">
        <v>522</v>
      </c>
    </row>
    <row r="2643" spans="1:1" x14ac:dyDescent="0.2">
      <c r="A2643" s="1" t="s">
        <v>523</v>
      </c>
    </row>
    <row r="2644" spans="1:1" x14ac:dyDescent="0.2">
      <c r="A2644" s="1" t="s">
        <v>522</v>
      </c>
    </row>
    <row r="2645" spans="1:1" x14ac:dyDescent="0.2">
      <c r="A2645" s="1" t="s">
        <v>523</v>
      </c>
    </row>
    <row r="2646" spans="1:1" x14ac:dyDescent="0.2">
      <c r="A2646" s="1" t="s">
        <v>522</v>
      </c>
    </row>
    <row r="2647" spans="1:1" x14ac:dyDescent="0.2">
      <c r="A2647" s="1" t="s">
        <v>523</v>
      </c>
    </row>
    <row r="2648" spans="1:1" x14ac:dyDescent="0.2">
      <c r="A2648" s="1" t="s">
        <v>524</v>
      </c>
    </row>
    <row r="2649" spans="1:1" x14ac:dyDescent="0.2">
      <c r="A2649" s="1" t="s">
        <v>525</v>
      </c>
    </row>
    <row r="2650" spans="1:1" x14ac:dyDescent="0.2">
      <c r="A2650" s="1" t="s">
        <v>526</v>
      </c>
    </row>
    <row r="2651" spans="1:1" x14ac:dyDescent="0.2">
      <c r="A2651" s="1" t="s">
        <v>527</v>
      </c>
    </row>
    <row r="2652" spans="1:1" x14ac:dyDescent="0.2">
      <c r="A2652" s="1" t="s">
        <v>528</v>
      </c>
    </row>
    <row r="2653" spans="1:1" x14ac:dyDescent="0.2">
      <c r="A2653" s="1" t="s">
        <v>529</v>
      </c>
    </row>
    <row r="2654" spans="1:1" x14ac:dyDescent="0.2">
      <c r="A2654" s="1" t="s">
        <v>530</v>
      </c>
    </row>
    <row r="2655" spans="1:1" x14ac:dyDescent="0.2">
      <c r="A2655" s="1" t="s">
        <v>531</v>
      </c>
    </row>
    <row r="2656" spans="1:1" x14ac:dyDescent="0.2">
      <c r="A2656" s="1" t="s">
        <v>522</v>
      </c>
    </row>
    <row r="2657" spans="1:1" x14ac:dyDescent="0.2">
      <c r="A2657" s="1" t="s">
        <v>523</v>
      </c>
    </row>
    <row r="2658" spans="1:1" x14ac:dyDescent="0.2">
      <c r="A2658" s="1" t="s">
        <v>522</v>
      </c>
    </row>
    <row r="2659" spans="1:1" x14ac:dyDescent="0.2">
      <c r="A2659" s="1" t="s">
        <v>523</v>
      </c>
    </row>
    <row r="2660" spans="1:1" x14ac:dyDescent="0.2">
      <c r="A2660" s="1" t="s">
        <v>522</v>
      </c>
    </row>
    <row r="2661" spans="1:1" x14ac:dyDescent="0.2">
      <c r="A2661" s="1" t="s">
        <v>523</v>
      </c>
    </row>
    <row r="2662" spans="1:1" x14ac:dyDescent="0.2">
      <c r="A2662" s="1" t="s">
        <v>524</v>
      </c>
    </row>
    <row r="2663" spans="1:1" x14ac:dyDescent="0.2">
      <c r="A2663" s="1" t="s">
        <v>525</v>
      </c>
    </row>
    <row r="2664" spans="1:1" x14ac:dyDescent="0.2">
      <c r="A2664" s="1" t="s">
        <v>526</v>
      </c>
    </row>
    <row r="2665" spans="1:1" x14ac:dyDescent="0.2">
      <c r="A2665" s="1" t="s">
        <v>527</v>
      </c>
    </row>
    <row r="2666" spans="1:1" x14ac:dyDescent="0.2">
      <c r="A2666" s="1" t="s">
        <v>528</v>
      </c>
    </row>
    <row r="2667" spans="1:1" x14ac:dyDescent="0.2">
      <c r="A2667" s="1" t="s">
        <v>529</v>
      </c>
    </row>
    <row r="2668" spans="1:1" x14ac:dyDescent="0.2">
      <c r="A2668" s="1" t="s">
        <v>530</v>
      </c>
    </row>
    <row r="2669" spans="1:1" x14ac:dyDescent="0.2">
      <c r="A2669" s="1" t="s">
        <v>531</v>
      </c>
    </row>
    <row r="2670" spans="1:1" x14ac:dyDescent="0.2">
      <c r="A2670" s="1" t="s">
        <v>522</v>
      </c>
    </row>
    <row r="2671" spans="1:1" x14ac:dyDescent="0.2">
      <c r="A2671" s="1" t="s">
        <v>523</v>
      </c>
    </row>
    <row r="2672" spans="1:1" x14ac:dyDescent="0.2">
      <c r="A2672" s="1" t="s">
        <v>522</v>
      </c>
    </row>
    <row r="2673" spans="1:1" x14ac:dyDescent="0.2">
      <c r="A2673" s="1" t="s">
        <v>523</v>
      </c>
    </row>
    <row r="2674" spans="1:1" x14ac:dyDescent="0.2">
      <c r="A2674" s="1" t="s">
        <v>522</v>
      </c>
    </row>
    <row r="2675" spans="1:1" x14ac:dyDescent="0.2">
      <c r="A2675" s="1" t="s">
        <v>523</v>
      </c>
    </row>
    <row r="2676" spans="1:1" x14ac:dyDescent="0.2">
      <c r="A2676" s="1" t="s">
        <v>524</v>
      </c>
    </row>
    <row r="2677" spans="1:1" x14ac:dyDescent="0.2">
      <c r="A2677" s="1" t="s">
        <v>525</v>
      </c>
    </row>
    <row r="2678" spans="1:1" x14ac:dyDescent="0.2">
      <c r="A2678" s="1" t="s">
        <v>526</v>
      </c>
    </row>
    <row r="2679" spans="1:1" x14ac:dyDescent="0.2">
      <c r="A2679" s="1" t="s">
        <v>527</v>
      </c>
    </row>
    <row r="2680" spans="1:1" x14ac:dyDescent="0.2">
      <c r="A2680" s="1" t="s">
        <v>528</v>
      </c>
    </row>
    <row r="2681" spans="1:1" x14ac:dyDescent="0.2">
      <c r="A2681" s="1" t="s">
        <v>529</v>
      </c>
    </row>
    <row r="2682" spans="1:1" x14ac:dyDescent="0.2">
      <c r="A2682" s="1" t="s">
        <v>530</v>
      </c>
    </row>
    <row r="2683" spans="1:1" x14ac:dyDescent="0.2">
      <c r="A2683" s="1" t="s">
        <v>531</v>
      </c>
    </row>
    <row r="2684" spans="1:1" x14ac:dyDescent="0.2">
      <c r="A2684" s="1" t="s">
        <v>522</v>
      </c>
    </row>
    <row r="2685" spans="1:1" x14ac:dyDescent="0.2">
      <c r="A2685" s="1" t="s">
        <v>523</v>
      </c>
    </row>
    <row r="2686" spans="1:1" x14ac:dyDescent="0.2">
      <c r="A2686" s="1" t="s">
        <v>522</v>
      </c>
    </row>
    <row r="2687" spans="1:1" x14ac:dyDescent="0.2">
      <c r="A2687" s="1" t="s">
        <v>523</v>
      </c>
    </row>
    <row r="2688" spans="1:1" x14ac:dyDescent="0.2">
      <c r="A2688" s="1" t="s">
        <v>522</v>
      </c>
    </row>
    <row r="2689" spans="1:1" x14ac:dyDescent="0.2">
      <c r="A2689" s="1" t="s">
        <v>523</v>
      </c>
    </row>
    <row r="2690" spans="1:1" x14ac:dyDescent="0.2">
      <c r="A2690" s="1" t="s">
        <v>524</v>
      </c>
    </row>
    <row r="2691" spans="1:1" x14ac:dyDescent="0.2">
      <c r="A2691" s="1" t="s">
        <v>525</v>
      </c>
    </row>
    <row r="2692" spans="1:1" x14ac:dyDescent="0.2">
      <c r="A2692" s="1" t="s">
        <v>526</v>
      </c>
    </row>
    <row r="2693" spans="1:1" x14ac:dyDescent="0.2">
      <c r="A2693" s="1" t="s">
        <v>527</v>
      </c>
    </row>
    <row r="2694" spans="1:1" x14ac:dyDescent="0.2">
      <c r="A2694" s="1" t="s">
        <v>528</v>
      </c>
    </row>
    <row r="2695" spans="1:1" x14ac:dyDescent="0.2">
      <c r="A2695" s="1" t="s">
        <v>529</v>
      </c>
    </row>
    <row r="2696" spans="1:1" x14ac:dyDescent="0.2">
      <c r="A2696" s="1" t="s">
        <v>530</v>
      </c>
    </row>
    <row r="2697" spans="1:1" x14ac:dyDescent="0.2">
      <c r="A2697" s="1" t="s">
        <v>531</v>
      </c>
    </row>
    <row r="2698" spans="1:1" x14ac:dyDescent="0.2">
      <c r="A2698" s="1" t="s">
        <v>522</v>
      </c>
    </row>
    <row r="2699" spans="1:1" x14ac:dyDescent="0.2">
      <c r="A2699" s="1" t="s">
        <v>523</v>
      </c>
    </row>
    <row r="2700" spans="1:1" x14ac:dyDescent="0.2">
      <c r="A2700" s="1" t="s">
        <v>522</v>
      </c>
    </row>
    <row r="2701" spans="1:1" x14ac:dyDescent="0.2">
      <c r="A2701" s="1" t="s">
        <v>523</v>
      </c>
    </row>
    <row r="2702" spans="1:1" x14ac:dyDescent="0.2">
      <c r="A2702" s="1" t="s">
        <v>522</v>
      </c>
    </row>
    <row r="2703" spans="1:1" x14ac:dyDescent="0.2">
      <c r="A2703" s="1" t="s">
        <v>523</v>
      </c>
    </row>
    <row r="2704" spans="1:1" x14ac:dyDescent="0.2">
      <c r="A2704" s="1" t="s">
        <v>524</v>
      </c>
    </row>
    <row r="2705" spans="1:1" x14ac:dyDescent="0.2">
      <c r="A2705" s="1" t="s">
        <v>525</v>
      </c>
    </row>
    <row r="2706" spans="1:1" x14ac:dyDescent="0.2">
      <c r="A2706" s="1" t="s">
        <v>526</v>
      </c>
    </row>
    <row r="2707" spans="1:1" x14ac:dyDescent="0.2">
      <c r="A2707" s="1" t="s">
        <v>527</v>
      </c>
    </row>
    <row r="2708" spans="1:1" x14ac:dyDescent="0.2">
      <c r="A2708" s="1" t="s">
        <v>528</v>
      </c>
    </row>
    <row r="2709" spans="1:1" x14ac:dyDescent="0.2">
      <c r="A2709" s="1" t="s">
        <v>529</v>
      </c>
    </row>
    <row r="2710" spans="1:1" x14ac:dyDescent="0.2">
      <c r="A2710" s="1" t="s">
        <v>530</v>
      </c>
    </row>
    <row r="2711" spans="1:1" x14ac:dyDescent="0.2">
      <c r="A2711" s="1" t="s">
        <v>531</v>
      </c>
    </row>
    <row r="2712" spans="1:1" x14ac:dyDescent="0.2">
      <c r="A2712" s="1" t="s">
        <v>522</v>
      </c>
    </row>
    <row r="2713" spans="1:1" x14ac:dyDescent="0.2">
      <c r="A2713" s="1" t="s">
        <v>523</v>
      </c>
    </row>
    <row r="2714" spans="1:1" x14ac:dyDescent="0.2">
      <c r="A2714" s="1" t="s">
        <v>522</v>
      </c>
    </row>
    <row r="2715" spans="1:1" x14ac:dyDescent="0.2">
      <c r="A2715" s="1" t="s">
        <v>523</v>
      </c>
    </row>
    <row r="2716" spans="1:1" x14ac:dyDescent="0.2">
      <c r="A2716" s="1" t="s">
        <v>522</v>
      </c>
    </row>
    <row r="2717" spans="1:1" x14ac:dyDescent="0.2">
      <c r="A2717" s="1" t="s">
        <v>523</v>
      </c>
    </row>
    <row r="2718" spans="1:1" x14ac:dyDescent="0.2">
      <c r="A2718" s="1" t="s">
        <v>524</v>
      </c>
    </row>
    <row r="2719" spans="1:1" x14ac:dyDescent="0.2">
      <c r="A2719" s="1" t="s">
        <v>525</v>
      </c>
    </row>
    <row r="2720" spans="1:1" x14ac:dyDescent="0.2">
      <c r="A2720" s="1" t="s">
        <v>526</v>
      </c>
    </row>
    <row r="2721" spans="1:1" x14ac:dyDescent="0.2">
      <c r="A2721" s="1" t="s">
        <v>527</v>
      </c>
    </row>
    <row r="2722" spans="1:1" x14ac:dyDescent="0.2">
      <c r="A2722" s="1" t="s">
        <v>528</v>
      </c>
    </row>
    <row r="2723" spans="1:1" x14ac:dyDescent="0.2">
      <c r="A2723" s="1" t="s">
        <v>529</v>
      </c>
    </row>
    <row r="2724" spans="1:1" x14ac:dyDescent="0.2">
      <c r="A2724" s="1" t="s">
        <v>530</v>
      </c>
    </row>
    <row r="2725" spans="1:1" x14ac:dyDescent="0.2">
      <c r="A2725" s="1" t="s">
        <v>531</v>
      </c>
    </row>
    <row r="2726" spans="1:1" x14ac:dyDescent="0.2">
      <c r="A2726" s="1" t="s">
        <v>522</v>
      </c>
    </row>
    <row r="2727" spans="1:1" x14ac:dyDescent="0.2">
      <c r="A2727" s="1" t="s">
        <v>523</v>
      </c>
    </row>
    <row r="2728" spans="1:1" x14ac:dyDescent="0.2">
      <c r="A2728" s="1" t="s">
        <v>522</v>
      </c>
    </row>
    <row r="2729" spans="1:1" x14ac:dyDescent="0.2">
      <c r="A2729" s="1" t="s">
        <v>523</v>
      </c>
    </row>
    <row r="2730" spans="1:1" x14ac:dyDescent="0.2">
      <c r="A2730" s="1" t="s">
        <v>522</v>
      </c>
    </row>
    <row r="2731" spans="1:1" x14ac:dyDescent="0.2">
      <c r="A2731" s="1" t="s">
        <v>523</v>
      </c>
    </row>
    <row r="2732" spans="1:1" x14ac:dyDescent="0.2">
      <c r="A2732" s="1" t="s">
        <v>524</v>
      </c>
    </row>
    <row r="2733" spans="1:1" x14ac:dyDescent="0.2">
      <c r="A2733" s="1" t="s">
        <v>525</v>
      </c>
    </row>
    <row r="2734" spans="1:1" x14ac:dyDescent="0.2">
      <c r="A2734" s="1" t="s">
        <v>526</v>
      </c>
    </row>
    <row r="2735" spans="1:1" x14ac:dyDescent="0.2">
      <c r="A2735" s="1" t="s">
        <v>527</v>
      </c>
    </row>
    <row r="2736" spans="1:1" x14ac:dyDescent="0.2">
      <c r="A2736" s="1" t="s">
        <v>528</v>
      </c>
    </row>
    <row r="2737" spans="1:1" x14ac:dyDescent="0.2">
      <c r="A2737" s="1" t="s">
        <v>529</v>
      </c>
    </row>
    <row r="2738" spans="1:1" x14ac:dyDescent="0.2">
      <c r="A2738" s="1" t="s">
        <v>530</v>
      </c>
    </row>
    <row r="2739" spans="1:1" x14ac:dyDescent="0.2">
      <c r="A2739" s="1" t="s">
        <v>531</v>
      </c>
    </row>
    <row r="2740" spans="1:1" x14ac:dyDescent="0.2">
      <c r="A2740" s="1" t="s">
        <v>522</v>
      </c>
    </row>
    <row r="2741" spans="1:1" x14ac:dyDescent="0.2">
      <c r="A2741" s="1" t="s">
        <v>523</v>
      </c>
    </row>
    <row r="2742" spans="1:1" x14ac:dyDescent="0.2">
      <c r="A2742" s="1" t="s">
        <v>532</v>
      </c>
    </row>
    <row r="2743" spans="1:1" x14ac:dyDescent="0.2">
      <c r="A2743" s="1" t="s">
        <v>533</v>
      </c>
    </row>
    <row r="2744" spans="1:1" x14ac:dyDescent="0.2">
      <c r="A2744" s="1" t="s">
        <v>532</v>
      </c>
    </row>
    <row r="2745" spans="1:1" x14ac:dyDescent="0.2">
      <c r="A2745" s="1" t="s">
        <v>533</v>
      </c>
    </row>
    <row r="2746" spans="1:1" x14ac:dyDescent="0.2">
      <c r="A2746" s="1" t="s">
        <v>534</v>
      </c>
    </row>
    <row r="2747" spans="1:1" x14ac:dyDescent="0.2">
      <c r="A2747" s="1" t="s">
        <v>535</v>
      </c>
    </row>
    <row r="2748" spans="1:1" x14ac:dyDescent="0.2">
      <c r="A2748" s="1" t="s">
        <v>536</v>
      </c>
    </row>
    <row r="2749" spans="1:1" x14ac:dyDescent="0.2">
      <c r="A2749" s="1" t="s">
        <v>537</v>
      </c>
    </row>
    <row r="2750" spans="1:1" x14ac:dyDescent="0.2">
      <c r="A2750" s="1" t="s">
        <v>538</v>
      </c>
    </row>
    <row r="2751" spans="1:1" x14ac:dyDescent="0.2">
      <c r="A2751" s="1" t="s">
        <v>539</v>
      </c>
    </row>
    <row r="2752" spans="1:1" x14ac:dyDescent="0.2">
      <c r="A2752" s="1" t="s">
        <v>540</v>
      </c>
    </row>
    <row r="2753" spans="1:1" x14ac:dyDescent="0.2">
      <c r="A2753" s="1" t="s">
        <v>541</v>
      </c>
    </row>
    <row r="2754" spans="1:1" x14ac:dyDescent="0.2">
      <c r="A2754" s="1" t="s">
        <v>532</v>
      </c>
    </row>
    <row r="2755" spans="1:1" x14ac:dyDescent="0.2">
      <c r="A2755" s="1" t="s">
        <v>533</v>
      </c>
    </row>
    <row r="2756" spans="1:1" x14ac:dyDescent="0.2">
      <c r="A2756" s="1" t="s">
        <v>532</v>
      </c>
    </row>
    <row r="2757" spans="1:1" x14ac:dyDescent="0.2">
      <c r="A2757" s="1" t="s">
        <v>533</v>
      </c>
    </row>
    <row r="2758" spans="1:1" x14ac:dyDescent="0.2">
      <c r="A2758" s="1" t="s">
        <v>532</v>
      </c>
    </row>
    <row r="2759" spans="1:1" x14ac:dyDescent="0.2">
      <c r="A2759" s="1" t="s">
        <v>533</v>
      </c>
    </row>
    <row r="2760" spans="1:1" x14ac:dyDescent="0.2">
      <c r="A2760" s="1" t="s">
        <v>534</v>
      </c>
    </row>
    <row r="2761" spans="1:1" x14ac:dyDescent="0.2">
      <c r="A2761" s="1" t="s">
        <v>535</v>
      </c>
    </row>
    <row r="2762" spans="1:1" x14ac:dyDescent="0.2">
      <c r="A2762" s="1" t="s">
        <v>536</v>
      </c>
    </row>
    <row r="2763" spans="1:1" x14ac:dyDescent="0.2">
      <c r="A2763" s="1" t="s">
        <v>537</v>
      </c>
    </row>
    <row r="2764" spans="1:1" x14ac:dyDescent="0.2">
      <c r="A2764" s="1" t="s">
        <v>538</v>
      </c>
    </row>
    <row r="2765" spans="1:1" x14ac:dyDescent="0.2">
      <c r="A2765" s="1" t="s">
        <v>539</v>
      </c>
    </row>
    <row r="2766" spans="1:1" x14ac:dyDescent="0.2">
      <c r="A2766" s="1" t="s">
        <v>540</v>
      </c>
    </row>
    <row r="2767" spans="1:1" x14ac:dyDescent="0.2">
      <c r="A2767" s="1" t="s">
        <v>541</v>
      </c>
    </row>
    <row r="2768" spans="1:1" x14ac:dyDescent="0.2">
      <c r="A2768" s="1" t="s">
        <v>532</v>
      </c>
    </row>
    <row r="2769" spans="1:1" x14ac:dyDescent="0.2">
      <c r="A2769" s="1" t="s">
        <v>533</v>
      </c>
    </row>
    <row r="2770" spans="1:1" x14ac:dyDescent="0.2">
      <c r="A2770" s="1" t="s">
        <v>532</v>
      </c>
    </row>
    <row r="2771" spans="1:1" x14ac:dyDescent="0.2">
      <c r="A2771" s="1" t="s">
        <v>533</v>
      </c>
    </row>
    <row r="2772" spans="1:1" x14ac:dyDescent="0.2">
      <c r="A2772" s="1" t="s">
        <v>532</v>
      </c>
    </row>
    <row r="2773" spans="1:1" x14ac:dyDescent="0.2">
      <c r="A2773" s="1" t="s">
        <v>533</v>
      </c>
    </row>
    <row r="2774" spans="1:1" x14ac:dyDescent="0.2">
      <c r="A2774" s="1" t="s">
        <v>534</v>
      </c>
    </row>
    <row r="2775" spans="1:1" x14ac:dyDescent="0.2">
      <c r="A2775" s="1" t="s">
        <v>535</v>
      </c>
    </row>
    <row r="2776" spans="1:1" x14ac:dyDescent="0.2">
      <c r="A2776" s="1" t="s">
        <v>536</v>
      </c>
    </row>
    <row r="2777" spans="1:1" x14ac:dyDescent="0.2">
      <c r="A2777" s="1" t="s">
        <v>537</v>
      </c>
    </row>
    <row r="2778" spans="1:1" x14ac:dyDescent="0.2">
      <c r="A2778" s="1" t="s">
        <v>538</v>
      </c>
    </row>
    <row r="2779" spans="1:1" x14ac:dyDescent="0.2">
      <c r="A2779" s="1" t="s">
        <v>539</v>
      </c>
    </row>
    <row r="2780" spans="1:1" x14ac:dyDescent="0.2">
      <c r="A2780" s="1" t="s">
        <v>540</v>
      </c>
    </row>
    <row r="2781" spans="1:1" x14ac:dyDescent="0.2">
      <c r="A2781" s="1" t="s">
        <v>541</v>
      </c>
    </row>
    <row r="2782" spans="1:1" x14ac:dyDescent="0.2">
      <c r="A2782" s="1" t="s">
        <v>532</v>
      </c>
    </row>
    <row r="2783" spans="1:1" x14ac:dyDescent="0.2">
      <c r="A2783" s="1" t="s">
        <v>533</v>
      </c>
    </row>
    <row r="2784" spans="1:1" x14ac:dyDescent="0.2">
      <c r="A2784" s="1" t="s">
        <v>532</v>
      </c>
    </row>
    <row r="2785" spans="1:1" x14ac:dyDescent="0.2">
      <c r="A2785" s="1" t="s">
        <v>533</v>
      </c>
    </row>
    <row r="2786" spans="1:1" x14ac:dyDescent="0.2">
      <c r="A2786" s="1" t="s">
        <v>532</v>
      </c>
    </row>
    <row r="2787" spans="1:1" x14ac:dyDescent="0.2">
      <c r="A2787" s="1" t="s">
        <v>533</v>
      </c>
    </row>
    <row r="2788" spans="1:1" x14ac:dyDescent="0.2">
      <c r="A2788" s="1" t="s">
        <v>534</v>
      </c>
    </row>
    <row r="2789" spans="1:1" x14ac:dyDescent="0.2">
      <c r="A2789" s="1" t="s">
        <v>535</v>
      </c>
    </row>
    <row r="2790" spans="1:1" x14ac:dyDescent="0.2">
      <c r="A2790" s="1" t="s">
        <v>536</v>
      </c>
    </row>
    <row r="2791" spans="1:1" x14ac:dyDescent="0.2">
      <c r="A2791" s="1" t="s">
        <v>537</v>
      </c>
    </row>
    <row r="2792" spans="1:1" x14ac:dyDescent="0.2">
      <c r="A2792" s="1" t="s">
        <v>538</v>
      </c>
    </row>
    <row r="2793" spans="1:1" x14ac:dyDescent="0.2">
      <c r="A2793" s="1" t="s">
        <v>539</v>
      </c>
    </row>
    <row r="2794" spans="1:1" x14ac:dyDescent="0.2">
      <c r="A2794" s="1" t="s">
        <v>540</v>
      </c>
    </row>
    <row r="2795" spans="1:1" x14ac:dyDescent="0.2">
      <c r="A2795" s="1" t="s">
        <v>541</v>
      </c>
    </row>
    <row r="2796" spans="1:1" x14ac:dyDescent="0.2">
      <c r="A2796" s="1" t="s">
        <v>532</v>
      </c>
    </row>
    <row r="2797" spans="1:1" x14ac:dyDescent="0.2">
      <c r="A2797" s="1" t="s">
        <v>533</v>
      </c>
    </row>
    <row r="2798" spans="1:1" x14ac:dyDescent="0.2">
      <c r="A2798" s="1" t="s">
        <v>532</v>
      </c>
    </row>
    <row r="2799" spans="1:1" x14ac:dyDescent="0.2">
      <c r="A2799" s="1" t="s">
        <v>533</v>
      </c>
    </row>
    <row r="2800" spans="1:1" x14ac:dyDescent="0.2">
      <c r="A2800" s="1" t="s">
        <v>532</v>
      </c>
    </row>
    <row r="2801" spans="1:1" x14ac:dyDescent="0.2">
      <c r="A2801" s="1" t="s">
        <v>533</v>
      </c>
    </row>
    <row r="2802" spans="1:1" x14ac:dyDescent="0.2">
      <c r="A2802" s="1" t="s">
        <v>534</v>
      </c>
    </row>
    <row r="2803" spans="1:1" x14ac:dyDescent="0.2">
      <c r="A2803" s="1" t="s">
        <v>535</v>
      </c>
    </row>
    <row r="2804" spans="1:1" x14ac:dyDescent="0.2">
      <c r="A2804" s="1" t="s">
        <v>536</v>
      </c>
    </row>
    <row r="2805" spans="1:1" x14ac:dyDescent="0.2">
      <c r="A2805" s="1" t="s">
        <v>537</v>
      </c>
    </row>
    <row r="2806" spans="1:1" x14ac:dyDescent="0.2">
      <c r="A2806" s="1" t="s">
        <v>538</v>
      </c>
    </row>
    <row r="2807" spans="1:1" x14ac:dyDescent="0.2">
      <c r="A2807" s="1" t="s">
        <v>539</v>
      </c>
    </row>
    <row r="2808" spans="1:1" x14ac:dyDescent="0.2">
      <c r="A2808" s="1" t="s">
        <v>540</v>
      </c>
    </row>
    <row r="2809" spans="1:1" x14ac:dyDescent="0.2">
      <c r="A2809" s="1" t="s">
        <v>541</v>
      </c>
    </row>
    <row r="2810" spans="1:1" x14ac:dyDescent="0.2">
      <c r="A2810" s="1" t="s">
        <v>532</v>
      </c>
    </row>
    <row r="2811" spans="1:1" x14ac:dyDescent="0.2">
      <c r="A2811" s="1" t="s">
        <v>533</v>
      </c>
    </row>
    <row r="2812" spans="1:1" x14ac:dyDescent="0.2">
      <c r="A2812" s="1" t="s">
        <v>532</v>
      </c>
    </row>
    <row r="2813" spans="1:1" x14ac:dyDescent="0.2">
      <c r="A2813" s="1" t="s">
        <v>533</v>
      </c>
    </row>
    <row r="2814" spans="1:1" x14ac:dyDescent="0.2">
      <c r="A2814" s="1" t="s">
        <v>532</v>
      </c>
    </row>
    <row r="2815" spans="1:1" x14ac:dyDescent="0.2">
      <c r="A2815" s="1" t="s">
        <v>533</v>
      </c>
    </row>
    <row r="2816" spans="1:1" x14ac:dyDescent="0.2">
      <c r="A2816" s="1" t="s">
        <v>534</v>
      </c>
    </row>
    <row r="2817" spans="1:1" x14ac:dyDescent="0.2">
      <c r="A2817" s="1" t="s">
        <v>535</v>
      </c>
    </row>
    <row r="2818" spans="1:1" x14ac:dyDescent="0.2">
      <c r="A2818" s="1" t="s">
        <v>536</v>
      </c>
    </row>
    <row r="2819" spans="1:1" x14ac:dyDescent="0.2">
      <c r="A2819" s="1" t="s">
        <v>537</v>
      </c>
    </row>
    <row r="2820" spans="1:1" x14ac:dyDescent="0.2">
      <c r="A2820" s="1" t="s">
        <v>538</v>
      </c>
    </row>
    <row r="2821" spans="1:1" x14ac:dyDescent="0.2">
      <c r="A2821" s="1" t="s">
        <v>539</v>
      </c>
    </row>
    <row r="2822" spans="1:1" x14ac:dyDescent="0.2">
      <c r="A2822" s="1" t="s">
        <v>540</v>
      </c>
    </row>
    <row r="2823" spans="1:1" x14ac:dyDescent="0.2">
      <c r="A2823" s="1" t="s">
        <v>541</v>
      </c>
    </row>
    <row r="2824" spans="1:1" x14ac:dyDescent="0.2">
      <c r="A2824" s="1" t="s">
        <v>532</v>
      </c>
    </row>
    <row r="2825" spans="1:1" x14ac:dyDescent="0.2">
      <c r="A2825" s="1" t="s">
        <v>533</v>
      </c>
    </row>
    <row r="2826" spans="1:1" x14ac:dyDescent="0.2">
      <c r="A2826" s="1" t="s">
        <v>532</v>
      </c>
    </row>
    <row r="2827" spans="1:1" x14ac:dyDescent="0.2">
      <c r="A2827" s="1" t="s">
        <v>533</v>
      </c>
    </row>
    <row r="2828" spans="1:1" x14ac:dyDescent="0.2">
      <c r="A2828" s="1" t="s">
        <v>532</v>
      </c>
    </row>
    <row r="2829" spans="1:1" x14ac:dyDescent="0.2">
      <c r="A2829" s="1" t="s">
        <v>533</v>
      </c>
    </row>
    <row r="2830" spans="1:1" x14ac:dyDescent="0.2">
      <c r="A2830" s="1" t="s">
        <v>534</v>
      </c>
    </row>
    <row r="2831" spans="1:1" x14ac:dyDescent="0.2">
      <c r="A2831" s="1" t="s">
        <v>535</v>
      </c>
    </row>
    <row r="2832" spans="1:1" x14ac:dyDescent="0.2">
      <c r="A2832" s="1" t="s">
        <v>536</v>
      </c>
    </row>
    <row r="2833" spans="1:1" x14ac:dyDescent="0.2">
      <c r="A2833" s="1" t="s">
        <v>537</v>
      </c>
    </row>
    <row r="2834" spans="1:1" x14ac:dyDescent="0.2">
      <c r="A2834" s="1" t="s">
        <v>538</v>
      </c>
    </row>
    <row r="2835" spans="1:1" x14ac:dyDescent="0.2">
      <c r="A2835" s="1" t="s">
        <v>539</v>
      </c>
    </row>
    <row r="2836" spans="1:1" x14ac:dyDescent="0.2">
      <c r="A2836" s="1" t="s">
        <v>540</v>
      </c>
    </row>
    <row r="2837" spans="1:1" x14ac:dyDescent="0.2">
      <c r="A2837" s="1" t="s">
        <v>541</v>
      </c>
    </row>
    <row r="2838" spans="1:1" x14ac:dyDescent="0.2">
      <c r="A2838" s="1" t="s">
        <v>532</v>
      </c>
    </row>
    <row r="2839" spans="1:1" x14ac:dyDescent="0.2">
      <c r="A2839" s="1" t="s">
        <v>533</v>
      </c>
    </row>
    <row r="2840" spans="1:1" x14ac:dyDescent="0.2">
      <c r="A2840" s="1" t="s">
        <v>532</v>
      </c>
    </row>
    <row r="2841" spans="1:1" x14ac:dyDescent="0.2">
      <c r="A2841" s="1" t="s">
        <v>533</v>
      </c>
    </row>
    <row r="2842" spans="1:1" x14ac:dyDescent="0.2">
      <c r="A2842" s="1" t="s">
        <v>532</v>
      </c>
    </row>
    <row r="2843" spans="1:1" x14ac:dyDescent="0.2">
      <c r="A2843" s="1" t="s">
        <v>533</v>
      </c>
    </row>
    <row r="2844" spans="1:1" x14ac:dyDescent="0.2">
      <c r="A2844" s="1" t="s">
        <v>534</v>
      </c>
    </row>
    <row r="2845" spans="1:1" x14ac:dyDescent="0.2">
      <c r="A2845" s="1" t="s">
        <v>535</v>
      </c>
    </row>
    <row r="2846" spans="1:1" x14ac:dyDescent="0.2">
      <c r="A2846" s="1" t="s">
        <v>536</v>
      </c>
    </row>
    <row r="2847" spans="1:1" x14ac:dyDescent="0.2">
      <c r="A2847" s="1" t="s">
        <v>537</v>
      </c>
    </row>
    <row r="2848" spans="1:1" x14ac:dyDescent="0.2">
      <c r="A2848" s="1" t="s">
        <v>538</v>
      </c>
    </row>
    <row r="2849" spans="1:1" x14ac:dyDescent="0.2">
      <c r="A2849" s="1" t="s">
        <v>539</v>
      </c>
    </row>
    <row r="2850" spans="1:1" x14ac:dyDescent="0.2">
      <c r="A2850" s="1" t="s">
        <v>540</v>
      </c>
    </row>
    <row r="2851" spans="1:1" x14ac:dyDescent="0.2">
      <c r="A2851" s="1" t="s">
        <v>541</v>
      </c>
    </row>
    <row r="2852" spans="1:1" x14ac:dyDescent="0.2">
      <c r="A2852" s="1" t="s">
        <v>532</v>
      </c>
    </row>
    <row r="2853" spans="1:1" x14ac:dyDescent="0.2">
      <c r="A2853" s="1" t="s">
        <v>533</v>
      </c>
    </row>
    <row r="2854" spans="1:1" x14ac:dyDescent="0.2">
      <c r="A2854" s="1" t="s">
        <v>542</v>
      </c>
    </row>
    <row r="2855" spans="1:1" x14ac:dyDescent="0.2">
      <c r="A2855" s="1" t="s">
        <v>543</v>
      </c>
    </row>
    <row r="2856" spans="1:1" x14ac:dyDescent="0.2">
      <c r="A2856" s="1" t="s">
        <v>544</v>
      </c>
    </row>
    <row r="2857" spans="1:1" x14ac:dyDescent="0.2">
      <c r="A2857" s="1" t="s">
        <v>545</v>
      </c>
    </row>
    <row r="2858" spans="1:1" x14ac:dyDescent="0.2">
      <c r="A2858" s="1" t="s">
        <v>546</v>
      </c>
    </row>
    <row r="2859" spans="1:1" x14ac:dyDescent="0.2">
      <c r="A2859" s="1" t="s">
        <v>547</v>
      </c>
    </row>
    <row r="2860" spans="1:1" x14ac:dyDescent="0.2">
      <c r="A2860" s="1" t="s">
        <v>548</v>
      </c>
    </row>
    <row r="2861" spans="1:1" x14ac:dyDescent="0.2">
      <c r="A2861" s="1" t="s">
        <v>549</v>
      </c>
    </row>
    <row r="2862" spans="1:1" x14ac:dyDescent="0.2">
      <c r="A2862" s="1" t="s">
        <v>550</v>
      </c>
    </row>
    <row r="2863" spans="1:1" x14ac:dyDescent="0.2">
      <c r="A2863" s="1" t="s">
        <v>551</v>
      </c>
    </row>
    <row r="2864" spans="1:1" x14ac:dyDescent="0.2">
      <c r="A2864" s="1" t="s">
        <v>552</v>
      </c>
    </row>
    <row r="2865" spans="1:1" x14ac:dyDescent="0.2">
      <c r="A2865" s="1" t="s">
        <v>553</v>
      </c>
    </row>
    <row r="2866" spans="1:1" x14ac:dyDescent="0.2">
      <c r="A2866" s="1" t="s">
        <v>542</v>
      </c>
    </row>
    <row r="2867" spans="1:1" x14ac:dyDescent="0.2">
      <c r="A2867" s="1" t="s">
        <v>554</v>
      </c>
    </row>
    <row r="2868" spans="1:1" x14ac:dyDescent="0.2">
      <c r="A2868" s="1" t="s">
        <v>544</v>
      </c>
    </row>
    <row r="2869" spans="1:1" x14ac:dyDescent="0.2">
      <c r="A2869" s="1" t="s">
        <v>545</v>
      </c>
    </row>
    <row r="2870" spans="1:1" x14ac:dyDescent="0.2">
      <c r="A2870" s="1" t="s">
        <v>546</v>
      </c>
    </row>
    <row r="2871" spans="1:1" x14ac:dyDescent="0.2">
      <c r="A2871" s="1" t="s">
        <v>547</v>
      </c>
    </row>
    <row r="2872" spans="1:1" x14ac:dyDescent="0.2">
      <c r="A2872" s="1" t="s">
        <v>555</v>
      </c>
    </row>
    <row r="2873" spans="1:1" x14ac:dyDescent="0.2">
      <c r="A2873" s="1" t="s">
        <v>549</v>
      </c>
    </row>
    <row r="2874" spans="1:1" x14ac:dyDescent="0.2">
      <c r="A2874" s="1" t="s">
        <v>550</v>
      </c>
    </row>
    <row r="2875" spans="1:1" x14ac:dyDescent="0.2">
      <c r="A2875" s="1" t="s">
        <v>551</v>
      </c>
    </row>
    <row r="2876" spans="1:1" x14ac:dyDescent="0.2">
      <c r="A2876" s="1" t="s">
        <v>552</v>
      </c>
    </row>
    <row r="2877" spans="1:1" x14ac:dyDescent="0.2">
      <c r="A2877" s="1" t="s">
        <v>553</v>
      </c>
    </row>
    <row r="2878" spans="1:1" x14ac:dyDescent="0.2">
      <c r="A2878" s="1" t="s">
        <v>542</v>
      </c>
    </row>
    <row r="2879" spans="1:1" x14ac:dyDescent="0.2">
      <c r="A2879" s="1" t="s">
        <v>556</v>
      </c>
    </row>
    <row r="2880" spans="1:1" x14ac:dyDescent="0.2">
      <c r="A2880" s="1" t="s">
        <v>544</v>
      </c>
    </row>
    <row r="2881" spans="1:1" x14ac:dyDescent="0.2">
      <c r="A2881" s="1" t="s">
        <v>545</v>
      </c>
    </row>
    <row r="2882" spans="1:1" x14ac:dyDescent="0.2">
      <c r="A2882" s="1" t="s">
        <v>546</v>
      </c>
    </row>
    <row r="2883" spans="1:1" x14ac:dyDescent="0.2">
      <c r="A2883" s="1" t="s">
        <v>547</v>
      </c>
    </row>
    <row r="2884" spans="1:1" x14ac:dyDescent="0.2">
      <c r="A2884" s="1" t="s">
        <v>557</v>
      </c>
    </row>
    <row r="2885" spans="1:1" x14ac:dyDescent="0.2">
      <c r="A2885" s="1" t="s">
        <v>549</v>
      </c>
    </row>
    <row r="2886" spans="1:1" x14ac:dyDescent="0.2">
      <c r="A2886" s="1" t="s">
        <v>550</v>
      </c>
    </row>
    <row r="2887" spans="1:1" x14ac:dyDescent="0.2">
      <c r="A2887" s="1" t="s">
        <v>551</v>
      </c>
    </row>
    <row r="2888" spans="1:1" x14ac:dyDescent="0.2">
      <c r="A2888" s="1" t="s">
        <v>552</v>
      </c>
    </row>
    <row r="2889" spans="1:1" x14ac:dyDescent="0.2">
      <c r="A2889" s="1" t="s">
        <v>553</v>
      </c>
    </row>
    <row r="2890" spans="1:1" x14ac:dyDescent="0.2">
      <c r="A2890" s="1" t="s">
        <v>542</v>
      </c>
    </row>
    <row r="2891" spans="1:1" x14ac:dyDescent="0.2">
      <c r="A2891" s="1" t="s">
        <v>558</v>
      </c>
    </row>
    <row r="2892" spans="1:1" x14ac:dyDescent="0.2">
      <c r="A2892" s="1" t="s">
        <v>544</v>
      </c>
    </row>
    <row r="2893" spans="1:1" x14ac:dyDescent="0.2">
      <c r="A2893" s="1" t="s">
        <v>545</v>
      </c>
    </row>
    <row r="2894" spans="1:1" x14ac:dyDescent="0.2">
      <c r="A2894" s="1" t="s">
        <v>546</v>
      </c>
    </row>
    <row r="2895" spans="1:1" x14ac:dyDescent="0.2">
      <c r="A2895" s="1" t="s">
        <v>547</v>
      </c>
    </row>
    <row r="2896" spans="1:1" x14ac:dyDescent="0.2">
      <c r="A2896" s="1" t="s">
        <v>559</v>
      </c>
    </row>
    <row r="2897" spans="1:1" x14ac:dyDescent="0.2">
      <c r="A2897" s="1" t="s">
        <v>549</v>
      </c>
    </row>
    <row r="2898" spans="1:1" x14ac:dyDescent="0.2">
      <c r="A2898" s="1" t="s">
        <v>550</v>
      </c>
    </row>
    <row r="2899" spans="1:1" x14ac:dyDescent="0.2">
      <c r="A2899" s="1" t="s">
        <v>551</v>
      </c>
    </row>
    <row r="2900" spans="1:1" x14ac:dyDescent="0.2">
      <c r="A2900" s="1" t="s">
        <v>552</v>
      </c>
    </row>
    <row r="2901" spans="1:1" x14ac:dyDescent="0.2">
      <c r="A2901" s="1" t="s">
        <v>553</v>
      </c>
    </row>
    <row r="2902" spans="1:1" x14ac:dyDescent="0.2">
      <c r="A2902" s="1" t="s">
        <v>542</v>
      </c>
    </row>
    <row r="2903" spans="1:1" x14ac:dyDescent="0.2">
      <c r="A2903" s="1" t="s">
        <v>560</v>
      </c>
    </row>
    <row r="2904" spans="1:1" x14ac:dyDescent="0.2">
      <c r="A2904" s="1" t="s">
        <v>544</v>
      </c>
    </row>
    <row r="2905" spans="1:1" x14ac:dyDescent="0.2">
      <c r="A2905" s="1" t="s">
        <v>545</v>
      </c>
    </row>
    <row r="2906" spans="1:1" x14ac:dyDescent="0.2">
      <c r="A2906" s="1" t="s">
        <v>546</v>
      </c>
    </row>
    <row r="2907" spans="1:1" x14ac:dyDescent="0.2">
      <c r="A2907" s="1" t="s">
        <v>547</v>
      </c>
    </row>
    <row r="2908" spans="1:1" x14ac:dyDescent="0.2">
      <c r="A2908" s="1" t="s">
        <v>561</v>
      </c>
    </row>
    <row r="2909" spans="1:1" x14ac:dyDescent="0.2">
      <c r="A2909" s="1" t="s">
        <v>549</v>
      </c>
    </row>
    <row r="2910" spans="1:1" x14ac:dyDescent="0.2">
      <c r="A2910" s="1" t="s">
        <v>550</v>
      </c>
    </row>
    <row r="2911" spans="1:1" x14ac:dyDescent="0.2">
      <c r="A2911" s="1" t="s">
        <v>551</v>
      </c>
    </row>
    <row r="2912" spans="1:1" x14ac:dyDescent="0.2">
      <c r="A2912" s="1" t="s">
        <v>552</v>
      </c>
    </row>
    <row r="2913" spans="1:1" x14ac:dyDescent="0.2">
      <c r="A2913" s="1" t="s">
        <v>553</v>
      </c>
    </row>
    <row r="2914" spans="1:1" x14ac:dyDescent="0.2">
      <c r="A2914" s="1" t="s">
        <v>542</v>
      </c>
    </row>
    <row r="2915" spans="1:1" x14ac:dyDescent="0.2">
      <c r="A2915" s="1" t="s">
        <v>562</v>
      </c>
    </row>
    <row r="2916" spans="1:1" x14ac:dyDescent="0.2">
      <c r="A2916" s="1" t="s">
        <v>544</v>
      </c>
    </row>
    <row r="2917" spans="1:1" x14ac:dyDescent="0.2">
      <c r="A2917" s="1" t="s">
        <v>545</v>
      </c>
    </row>
    <row r="2918" spans="1:1" x14ac:dyDescent="0.2">
      <c r="A2918" s="1" t="s">
        <v>546</v>
      </c>
    </row>
    <row r="2919" spans="1:1" x14ac:dyDescent="0.2">
      <c r="A2919" s="1" t="s">
        <v>547</v>
      </c>
    </row>
    <row r="2920" spans="1:1" x14ac:dyDescent="0.2">
      <c r="A2920" s="1" t="s">
        <v>563</v>
      </c>
    </row>
    <row r="2921" spans="1:1" x14ac:dyDescent="0.2">
      <c r="A2921" s="1" t="s">
        <v>549</v>
      </c>
    </row>
    <row r="2922" spans="1:1" x14ac:dyDescent="0.2">
      <c r="A2922" s="1" t="s">
        <v>550</v>
      </c>
    </row>
    <row r="2923" spans="1:1" x14ac:dyDescent="0.2">
      <c r="A2923" s="1" t="s">
        <v>551</v>
      </c>
    </row>
    <row r="2924" spans="1:1" x14ac:dyDescent="0.2">
      <c r="A2924" s="1" t="s">
        <v>552</v>
      </c>
    </row>
    <row r="2925" spans="1:1" x14ac:dyDescent="0.2">
      <c r="A2925" s="1" t="s">
        <v>553</v>
      </c>
    </row>
    <row r="2926" spans="1:1" x14ac:dyDescent="0.2">
      <c r="A2926" s="1" t="s">
        <v>542</v>
      </c>
    </row>
    <row r="2927" spans="1:1" x14ac:dyDescent="0.2">
      <c r="A2927" s="1" t="s">
        <v>564</v>
      </c>
    </row>
    <row r="2928" spans="1:1" x14ac:dyDescent="0.2">
      <c r="A2928" s="1" t="s">
        <v>544</v>
      </c>
    </row>
    <row r="2929" spans="1:1" x14ac:dyDescent="0.2">
      <c r="A2929" s="1" t="s">
        <v>545</v>
      </c>
    </row>
    <row r="2930" spans="1:1" x14ac:dyDescent="0.2">
      <c r="A2930" s="1" t="s">
        <v>546</v>
      </c>
    </row>
    <row r="2931" spans="1:1" x14ac:dyDescent="0.2">
      <c r="A2931" s="1" t="s">
        <v>547</v>
      </c>
    </row>
    <row r="2932" spans="1:1" x14ac:dyDescent="0.2">
      <c r="A2932" s="1" t="s">
        <v>565</v>
      </c>
    </row>
    <row r="2933" spans="1:1" x14ac:dyDescent="0.2">
      <c r="A2933" s="1" t="s">
        <v>549</v>
      </c>
    </row>
    <row r="2934" spans="1:1" x14ac:dyDescent="0.2">
      <c r="A2934" s="1" t="s">
        <v>550</v>
      </c>
    </row>
    <row r="2935" spans="1:1" x14ac:dyDescent="0.2">
      <c r="A2935" s="1" t="s">
        <v>551</v>
      </c>
    </row>
    <row r="2936" spans="1:1" x14ac:dyDescent="0.2">
      <c r="A2936" s="1" t="s">
        <v>552</v>
      </c>
    </row>
    <row r="2937" spans="1:1" x14ac:dyDescent="0.2">
      <c r="A2937" s="1" t="s">
        <v>553</v>
      </c>
    </row>
    <row r="2938" spans="1:1" x14ac:dyDescent="0.2">
      <c r="A2938" s="1" t="s">
        <v>542</v>
      </c>
    </row>
    <row r="2939" spans="1:1" x14ac:dyDescent="0.2">
      <c r="A2939" s="1" t="s">
        <v>566</v>
      </c>
    </row>
    <row r="2940" spans="1:1" x14ac:dyDescent="0.2">
      <c r="A2940" s="1" t="s">
        <v>544</v>
      </c>
    </row>
    <row r="2941" spans="1:1" x14ac:dyDescent="0.2">
      <c r="A2941" s="1" t="s">
        <v>545</v>
      </c>
    </row>
    <row r="2942" spans="1:1" x14ac:dyDescent="0.2">
      <c r="A2942" s="1" t="s">
        <v>546</v>
      </c>
    </row>
    <row r="2943" spans="1:1" x14ac:dyDescent="0.2">
      <c r="A2943" s="1" t="s">
        <v>547</v>
      </c>
    </row>
    <row r="2944" spans="1:1" x14ac:dyDescent="0.2">
      <c r="A2944" s="1" t="s">
        <v>567</v>
      </c>
    </row>
    <row r="2945" spans="1:1" x14ac:dyDescent="0.2">
      <c r="A2945" s="1" t="s">
        <v>549</v>
      </c>
    </row>
    <row r="2946" spans="1:1" x14ac:dyDescent="0.2">
      <c r="A2946" s="1" t="s">
        <v>550</v>
      </c>
    </row>
    <row r="2947" spans="1:1" x14ac:dyDescent="0.2">
      <c r="A2947" s="1" t="s">
        <v>551</v>
      </c>
    </row>
    <row r="2948" spans="1:1" x14ac:dyDescent="0.2">
      <c r="A2948" s="1" t="s">
        <v>552</v>
      </c>
    </row>
    <row r="2949" spans="1:1" x14ac:dyDescent="0.2">
      <c r="A2949" s="1" t="s">
        <v>553</v>
      </c>
    </row>
    <row r="2950" spans="1:1" x14ac:dyDescent="0.2">
      <c r="A2950" s="1" t="s">
        <v>568</v>
      </c>
    </row>
    <row r="2951" spans="1:1" x14ac:dyDescent="0.2">
      <c r="A2951" s="1" t="s">
        <v>569</v>
      </c>
    </row>
    <row r="2952" spans="1:1" x14ac:dyDescent="0.2">
      <c r="A2952" s="1" t="s">
        <v>570</v>
      </c>
    </row>
    <row r="2953" spans="1:1" x14ac:dyDescent="0.2">
      <c r="A2953" s="1" t="s">
        <v>571</v>
      </c>
    </row>
    <row r="2954" spans="1:1" x14ac:dyDescent="0.2">
      <c r="A2954" s="1" t="s">
        <v>572</v>
      </c>
    </row>
    <row r="2955" spans="1:1" x14ac:dyDescent="0.2">
      <c r="A2955" s="1" t="s">
        <v>573</v>
      </c>
    </row>
    <row r="2956" spans="1:1" x14ac:dyDescent="0.2">
      <c r="A2956" s="1" t="s">
        <v>574</v>
      </c>
    </row>
    <row r="2957" spans="1:1" x14ac:dyDescent="0.2">
      <c r="A2957" s="1" t="s">
        <v>575</v>
      </c>
    </row>
    <row r="2958" spans="1:1" x14ac:dyDescent="0.2">
      <c r="A2958" s="1" t="s">
        <v>576</v>
      </c>
    </row>
    <row r="2959" spans="1:1" x14ac:dyDescent="0.2">
      <c r="A2959" s="1" t="s">
        <v>577</v>
      </c>
    </row>
    <row r="2960" spans="1:1" x14ac:dyDescent="0.2">
      <c r="A2960" s="1" t="s">
        <v>578</v>
      </c>
    </row>
    <row r="2961" spans="1:1" x14ac:dyDescent="0.2">
      <c r="A2961" s="1" t="s">
        <v>579</v>
      </c>
    </row>
    <row r="2962" spans="1:1" x14ac:dyDescent="0.2">
      <c r="A2962" s="1" t="s">
        <v>568</v>
      </c>
    </row>
    <row r="2963" spans="1:1" x14ac:dyDescent="0.2">
      <c r="A2963" s="1" t="s">
        <v>580</v>
      </c>
    </row>
    <row r="2964" spans="1:1" x14ac:dyDescent="0.2">
      <c r="A2964" s="1" t="s">
        <v>570</v>
      </c>
    </row>
    <row r="2965" spans="1:1" x14ac:dyDescent="0.2">
      <c r="A2965" s="1" t="s">
        <v>571</v>
      </c>
    </row>
    <row r="2966" spans="1:1" x14ac:dyDescent="0.2">
      <c r="A2966" s="1" t="s">
        <v>572</v>
      </c>
    </row>
    <row r="2967" spans="1:1" x14ac:dyDescent="0.2">
      <c r="A2967" s="1" t="s">
        <v>573</v>
      </c>
    </row>
    <row r="2968" spans="1:1" x14ac:dyDescent="0.2">
      <c r="A2968" s="1" t="s">
        <v>581</v>
      </c>
    </row>
    <row r="2969" spans="1:1" x14ac:dyDescent="0.2">
      <c r="A2969" s="1" t="s">
        <v>575</v>
      </c>
    </row>
    <row r="2970" spans="1:1" x14ac:dyDescent="0.2">
      <c r="A2970" s="1" t="s">
        <v>576</v>
      </c>
    </row>
    <row r="2971" spans="1:1" x14ac:dyDescent="0.2">
      <c r="A2971" s="1" t="s">
        <v>577</v>
      </c>
    </row>
    <row r="2972" spans="1:1" x14ac:dyDescent="0.2">
      <c r="A2972" s="1" t="s">
        <v>578</v>
      </c>
    </row>
    <row r="2973" spans="1:1" x14ac:dyDescent="0.2">
      <c r="A2973" s="1" t="s">
        <v>579</v>
      </c>
    </row>
    <row r="2974" spans="1:1" x14ac:dyDescent="0.2">
      <c r="A2974" s="1" t="s">
        <v>582</v>
      </c>
    </row>
    <row r="2975" spans="1:1" x14ac:dyDescent="0.2">
      <c r="A2975" s="1" t="s">
        <v>583</v>
      </c>
    </row>
    <row r="2976" spans="1:1" x14ac:dyDescent="0.2">
      <c r="A2976" s="1" t="s">
        <v>584</v>
      </c>
    </row>
    <row r="2977" spans="1:1" x14ac:dyDescent="0.2">
      <c r="A2977" s="1" t="s">
        <v>585</v>
      </c>
    </row>
    <row r="2978" spans="1:1" x14ac:dyDescent="0.2">
      <c r="A2978" s="1" t="s">
        <v>586</v>
      </c>
    </row>
    <row r="2979" spans="1:1" x14ac:dyDescent="0.2">
      <c r="A2979" s="1" t="s">
        <v>587</v>
      </c>
    </row>
    <row r="2980" spans="1:1" x14ac:dyDescent="0.2">
      <c r="A2980" s="1" t="s">
        <v>588</v>
      </c>
    </row>
    <row r="2981" spans="1:1" x14ac:dyDescent="0.2">
      <c r="A2981" s="1" t="s">
        <v>589</v>
      </c>
    </row>
    <row r="2982" spans="1:1" x14ac:dyDescent="0.2">
      <c r="A2982" s="1" t="s">
        <v>590</v>
      </c>
    </row>
    <row r="2983" spans="1:1" x14ac:dyDescent="0.2">
      <c r="A2983" s="1" t="s">
        <v>591</v>
      </c>
    </row>
    <row r="2984" spans="1:1" x14ac:dyDescent="0.2">
      <c r="A2984" s="1" t="s">
        <v>592</v>
      </c>
    </row>
    <row r="2985" spans="1:1" x14ac:dyDescent="0.2">
      <c r="A2985" s="1" t="s">
        <v>593</v>
      </c>
    </row>
    <row r="2986" spans="1:1" x14ac:dyDescent="0.2">
      <c r="A2986" s="1" t="s">
        <v>582</v>
      </c>
    </row>
    <row r="2987" spans="1:1" x14ac:dyDescent="0.2">
      <c r="A2987" s="1" t="s">
        <v>594</v>
      </c>
    </row>
    <row r="2988" spans="1:1" x14ac:dyDescent="0.2">
      <c r="A2988" s="1" t="s">
        <v>584</v>
      </c>
    </row>
    <row r="2989" spans="1:1" x14ac:dyDescent="0.2">
      <c r="A2989" s="1" t="s">
        <v>585</v>
      </c>
    </row>
    <row r="2990" spans="1:1" x14ac:dyDescent="0.2">
      <c r="A2990" s="1" t="s">
        <v>586</v>
      </c>
    </row>
    <row r="2991" spans="1:1" x14ac:dyDescent="0.2">
      <c r="A2991" s="1" t="s">
        <v>587</v>
      </c>
    </row>
    <row r="2992" spans="1:1" x14ac:dyDescent="0.2">
      <c r="A2992" s="1" t="s">
        <v>595</v>
      </c>
    </row>
    <row r="2993" spans="1:1" x14ac:dyDescent="0.2">
      <c r="A2993" s="1" t="s">
        <v>589</v>
      </c>
    </row>
    <row r="2994" spans="1:1" x14ac:dyDescent="0.2">
      <c r="A2994" s="1" t="s">
        <v>590</v>
      </c>
    </row>
    <row r="2995" spans="1:1" x14ac:dyDescent="0.2">
      <c r="A2995" s="1" t="s">
        <v>591</v>
      </c>
    </row>
    <row r="2996" spans="1:1" x14ac:dyDescent="0.2">
      <c r="A2996" s="1" t="s">
        <v>592</v>
      </c>
    </row>
    <row r="2997" spans="1:1" x14ac:dyDescent="0.2">
      <c r="A2997" s="1" t="s">
        <v>593</v>
      </c>
    </row>
    <row r="2998" spans="1:1" x14ac:dyDescent="0.2">
      <c r="A2998" s="1" t="s">
        <v>582</v>
      </c>
    </row>
    <row r="2999" spans="1:1" x14ac:dyDescent="0.2">
      <c r="A2999" s="1" t="s">
        <v>596</v>
      </c>
    </row>
    <row r="3000" spans="1:1" x14ac:dyDescent="0.2">
      <c r="A3000" s="1" t="s">
        <v>584</v>
      </c>
    </row>
    <row r="3001" spans="1:1" x14ac:dyDescent="0.2">
      <c r="A3001" s="1" t="s">
        <v>585</v>
      </c>
    </row>
    <row r="3002" spans="1:1" x14ac:dyDescent="0.2">
      <c r="A3002" s="1" t="s">
        <v>586</v>
      </c>
    </row>
    <row r="3003" spans="1:1" x14ac:dyDescent="0.2">
      <c r="A3003" s="1" t="s">
        <v>587</v>
      </c>
    </row>
    <row r="3004" spans="1:1" x14ac:dyDescent="0.2">
      <c r="A3004" s="1" t="s">
        <v>597</v>
      </c>
    </row>
    <row r="3005" spans="1:1" x14ac:dyDescent="0.2">
      <c r="A3005" s="1" t="s">
        <v>589</v>
      </c>
    </row>
    <row r="3006" spans="1:1" x14ac:dyDescent="0.2">
      <c r="A3006" s="1" t="s">
        <v>590</v>
      </c>
    </row>
    <row r="3007" spans="1:1" x14ac:dyDescent="0.2">
      <c r="A3007" s="1" t="s">
        <v>591</v>
      </c>
    </row>
    <row r="3008" spans="1:1" x14ac:dyDescent="0.2">
      <c r="A3008" s="1" t="s">
        <v>592</v>
      </c>
    </row>
    <row r="3009" spans="1:1" x14ac:dyDescent="0.2">
      <c r="A3009" s="1" t="s">
        <v>593</v>
      </c>
    </row>
    <row r="3010" spans="1:1" x14ac:dyDescent="0.2">
      <c r="A3010" s="1" t="s">
        <v>582</v>
      </c>
    </row>
    <row r="3011" spans="1:1" x14ac:dyDescent="0.2">
      <c r="A3011" s="1" t="s">
        <v>598</v>
      </c>
    </row>
    <row r="3012" spans="1:1" x14ac:dyDescent="0.2">
      <c r="A3012" s="1" t="s">
        <v>584</v>
      </c>
    </row>
    <row r="3013" spans="1:1" x14ac:dyDescent="0.2">
      <c r="A3013" s="1" t="s">
        <v>585</v>
      </c>
    </row>
    <row r="3014" spans="1:1" x14ac:dyDescent="0.2">
      <c r="A3014" s="1" t="s">
        <v>586</v>
      </c>
    </row>
    <row r="3015" spans="1:1" x14ac:dyDescent="0.2">
      <c r="A3015" s="1" t="s">
        <v>587</v>
      </c>
    </row>
    <row r="3016" spans="1:1" x14ac:dyDescent="0.2">
      <c r="A3016" s="1" t="s">
        <v>599</v>
      </c>
    </row>
    <row r="3017" spans="1:1" x14ac:dyDescent="0.2">
      <c r="A3017" s="1" t="s">
        <v>589</v>
      </c>
    </row>
    <row r="3018" spans="1:1" x14ac:dyDescent="0.2">
      <c r="A3018" s="1" t="s">
        <v>590</v>
      </c>
    </row>
    <row r="3019" spans="1:1" x14ac:dyDescent="0.2">
      <c r="A3019" s="1" t="s">
        <v>591</v>
      </c>
    </row>
    <row r="3020" spans="1:1" x14ac:dyDescent="0.2">
      <c r="A3020" s="1" t="s">
        <v>592</v>
      </c>
    </row>
    <row r="3021" spans="1:1" x14ac:dyDescent="0.2">
      <c r="A3021" s="1" t="s">
        <v>593</v>
      </c>
    </row>
    <row r="3022" spans="1:1" x14ac:dyDescent="0.2">
      <c r="A3022" s="1" t="s">
        <v>582</v>
      </c>
    </row>
    <row r="3023" spans="1:1" x14ac:dyDescent="0.2">
      <c r="A3023" s="1" t="s">
        <v>600</v>
      </c>
    </row>
    <row r="3024" spans="1:1" x14ac:dyDescent="0.2">
      <c r="A3024" s="1" t="s">
        <v>584</v>
      </c>
    </row>
    <row r="3025" spans="1:1" x14ac:dyDescent="0.2">
      <c r="A3025" s="1" t="s">
        <v>585</v>
      </c>
    </row>
    <row r="3026" spans="1:1" x14ac:dyDescent="0.2">
      <c r="A3026" s="1" t="s">
        <v>586</v>
      </c>
    </row>
    <row r="3027" spans="1:1" x14ac:dyDescent="0.2">
      <c r="A3027" s="1" t="s">
        <v>587</v>
      </c>
    </row>
    <row r="3028" spans="1:1" x14ac:dyDescent="0.2">
      <c r="A3028" s="1" t="s">
        <v>601</v>
      </c>
    </row>
    <row r="3029" spans="1:1" x14ac:dyDescent="0.2">
      <c r="A3029" s="1" t="s">
        <v>589</v>
      </c>
    </row>
    <row r="3030" spans="1:1" x14ac:dyDescent="0.2">
      <c r="A3030" s="1" t="s">
        <v>590</v>
      </c>
    </row>
    <row r="3031" spans="1:1" x14ac:dyDescent="0.2">
      <c r="A3031" s="1" t="s">
        <v>591</v>
      </c>
    </row>
    <row r="3032" spans="1:1" x14ac:dyDescent="0.2">
      <c r="A3032" s="1" t="s">
        <v>592</v>
      </c>
    </row>
    <row r="3033" spans="1:1" x14ac:dyDescent="0.2">
      <c r="A3033" s="1" t="s">
        <v>593</v>
      </c>
    </row>
    <row r="3034" spans="1:1" x14ac:dyDescent="0.2">
      <c r="A3034" s="1" t="s">
        <v>582</v>
      </c>
    </row>
    <row r="3035" spans="1:1" x14ac:dyDescent="0.2">
      <c r="A3035" s="1" t="s">
        <v>602</v>
      </c>
    </row>
    <row r="3036" spans="1:1" x14ac:dyDescent="0.2">
      <c r="A3036" s="1" t="s">
        <v>584</v>
      </c>
    </row>
    <row r="3037" spans="1:1" x14ac:dyDescent="0.2">
      <c r="A3037" s="1" t="s">
        <v>585</v>
      </c>
    </row>
    <row r="3038" spans="1:1" x14ac:dyDescent="0.2">
      <c r="A3038" s="1" t="s">
        <v>586</v>
      </c>
    </row>
    <row r="3039" spans="1:1" x14ac:dyDescent="0.2">
      <c r="A3039" s="1" t="s">
        <v>587</v>
      </c>
    </row>
    <row r="3040" spans="1:1" x14ac:dyDescent="0.2">
      <c r="A3040" s="1" t="s">
        <v>603</v>
      </c>
    </row>
    <row r="3041" spans="1:1" x14ac:dyDescent="0.2">
      <c r="A3041" s="1" t="s">
        <v>589</v>
      </c>
    </row>
    <row r="3042" spans="1:1" x14ac:dyDescent="0.2">
      <c r="A3042" s="1" t="s">
        <v>590</v>
      </c>
    </row>
    <row r="3043" spans="1:1" x14ac:dyDescent="0.2">
      <c r="A3043" s="1" t="s">
        <v>591</v>
      </c>
    </row>
    <row r="3044" spans="1:1" x14ac:dyDescent="0.2">
      <c r="A3044" s="1" t="s">
        <v>592</v>
      </c>
    </row>
    <row r="3045" spans="1:1" x14ac:dyDescent="0.2">
      <c r="A3045" s="1" t="s">
        <v>593</v>
      </c>
    </row>
    <row r="3046" spans="1:1" x14ac:dyDescent="0.2">
      <c r="A3046" s="1" t="s">
        <v>582</v>
      </c>
    </row>
    <row r="3047" spans="1:1" x14ac:dyDescent="0.2">
      <c r="A3047" s="1" t="s">
        <v>604</v>
      </c>
    </row>
    <row r="3048" spans="1:1" x14ac:dyDescent="0.2">
      <c r="A3048" s="1" t="s">
        <v>584</v>
      </c>
    </row>
    <row r="3049" spans="1:1" x14ac:dyDescent="0.2">
      <c r="A3049" s="1" t="s">
        <v>585</v>
      </c>
    </row>
    <row r="3050" spans="1:1" x14ac:dyDescent="0.2">
      <c r="A3050" s="1" t="s">
        <v>586</v>
      </c>
    </row>
    <row r="3051" spans="1:1" x14ac:dyDescent="0.2">
      <c r="A3051" s="1" t="s">
        <v>587</v>
      </c>
    </row>
    <row r="3052" spans="1:1" x14ac:dyDescent="0.2">
      <c r="A3052" s="1" t="s">
        <v>605</v>
      </c>
    </row>
    <row r="3053" spans="1:1" x14ac:dyDescent="0.2">
      <c r="A3053" s="1" t="s">
        <v>589</v>
      </c>
    </row>
    <row r="3054" spans="1:1" x14ac:dyDescent="0.2">
      <c r="A3054" s="1" t="s">
        <v>590</v>
      </c>
    </row>
    <row r="3055" spans="1:1" x14ac:dyDescent="0.2">
      <c r="A3055" s="1" t="s">
        <v>591</v>
      </c>
    </row>
    <row r="3056" spans="1:1" x14ac:dyDescent="0.2">
      <c r="A3056" s="1" t="s">
        <v>592</v>
      </c>
    </row>
    <row r="3057" spans="1:1" x14ac:dyDescent="0.2">
      <c r="A3057" s="1" t="s">
        <v>593</v>
      </c>
    </row>
    <row r="3058" spans="1:1" x14ac:dyDescent="0.2">
      <c r="A3058" s="1" t="s">
        <v>582</v>
      </c>
    </row>
    <row r="3059" spans="1:1" x14ac:dyDescent="0.2">
      <c r="A3059" s="1" t="s">
        <v>606</v>
      </c>
    </row>
    <row r="3060" spans="1:1" x14ac:dyDescent="0.2">
      <c r="A3060" s="1" t="s">
        <v>584</v>
      </c>
    </row>
    <row r="3061" spans="1:1" x14ac:dyDescent="0.2">
      <c r="A3061" s="1" t="s">
        <v>585</v>
      </c>
    </row>
    <row r="3062" spans="1:1" x14ac:dyDescent="0.2">
      <c r="A3062" s="1" t="s">
        <v>586</v>
      </c>
    </row>
    <row r="3063" spans="1:1" x14ac:dyDescent="0.2">
      <c r="A3063" s="1" t="s">
        <v>587</v>
      </c>
    </row>
    <row r="3064" spans="1:1" x14ac:dyDescent="0.2">
      <c r="A3064" s="1" t="s">
        <v>607</v>
      </c>
    </row>
    <row r="3065" spans="1:1" x14ac:dyDescent="0.2">
      <c r="A3065" s="1" t="s">
        <v>589</v>
      </c>
    </row>
    <row r="3066" spans="1:1" x14ac:dyDescent="0.2">
      <c r="A3066" s="1" t="s">
        <v>590</v>
      </c>
    </row>
    <row r="3067" spans="1:1" x14ac:dyDescent="0.2">
      <c r="A3067" s="1" t="s">
        <v>591</v>
      </c>
    </row>
    <row r="3068" spans="1:1" x14ac:dyDescent="0.2">
      <c r="A3068" s="1" t="s">
        <v>592</v>
      </c>
    </row>
    <row r="3069" spans="1:1" x14ac:dyDescent="0.2">
      <c r="A3069" s="1" t="s">
        <v>593</v>
      </c>
    </row>
    <row r="3070" spans="1:1" x14ac:dyDescent="0.2">
      <c r="A3070" s="1" t="s">
        <v>582</v>
      </c>
    </row>
    <row r="3071" spans="1:1" x14ac:dyDescent="0.2">
      <c r="A3071" s="1" t="s">
        <v>608</v>
      </c>
    </row>
    <row r="3072" spans="1:1" x14ac:dyDescent="0.2">
      <c r="A3072" s="1" t="s">
        <v>584</v>
      </c>
    </row>
    <row r="3073" spans="1:1" x14ac:dyDescent="0.2">
      <c r="A3073" s="1" t="s">
        <v>585</v>
      </c>
    </row>
    <row r="3074" spans="1:1" x14ac:dyDescent="0.2">
      <c r="A3074" s="1" t="s">
        <v>586</v>
      </c>
    </row>
    <row r="3075" spans="1:1" x14ac:dyDescent="0.2">
      <c r="A3075" s="1" t="s">
        <v>587</v>
      </c>
    </row>
    <row r="3076" spans="1:1" x14ac:dyDescent="0.2">
      <c r="A3076" s="1" t="s">
        <v>609</v>
      </c>
    </row>
    <row r="3077" spans="1:1" x14ac:dyDescent="0.2">
      <c r="A3077" s="1" t="s">
        <v>589</v>
      </c>
    </row>
    <row r="3078" spans="1:1" x14ac:dyDescent="0.2">
      <c r="A3078" s="1" t="s">
        <v>590</v>
      </c>
    </row>
    <row r="3079" spans="1:1" x14ac:dyDescent="0.2">
      <c r="A3079" s="1" t="s">
        <v>591</v>
      </c>
    </row>
    <row r="3080" spans="1:1" x14ac:dyDescent="0.2">
      <c r="A3080" s="1" t="s">
        <v>592</v>
      </c>
    </row>
    <row r="3081" spans="1:1" x14ac:dyDescent="0.2">
      <c r="A3081" s="1" t="s">
        <v>593</v>
      </c>
    </row>
    <row r="3082" spans="1:1" x14ac:dyDescent="0.2">
      <c r="A3082" s="1" t="s">
        <v>582</v>
      </c>
    </row>
    <row r="3083" spans="1:1" x14ac:dyDescent="0.2">
      <c r="A3083" s="1" t="s">
        <v>610</v>
      </c>
    </row>
    <row r="3084" spans="1:1" x14ac:dyDescent="0.2">
      <c r="A3084" s="1" t="s">
        <v>584</v>
      </c>
    </row>
    <row r="3085" spans="1:1" x14ac:dyDescent="0.2">
      <c r="A3085" s="1" t="s">
        <v>585</v>
      </c>
    </row>
    <row r="3086" spans="1:1" x14ac:dyDescent="0.2">
      <c r="A3086" s="1" t="s">
        <v>586</v>
      </c>
    </row>
    <row r="3087" spans="1:1" x14ac:dyDescent="0.2">
      <c r="A3087" s="1" t="s">
        <v>587</v>
      </c>
    </row>
    <row r="3088" spans="1:1" x14ac:dyDescent="0.2">
      <c r="A3088" s="1" t="s">
        <v>611</v>
      </c>
    </row>
    <row r="3089" spans="1:1" x14ac:dyDescent="0.2">
      <c r="A3089" s="1" t="s">
        <v>589</v>
      </c>
    </row>
    <row r="3090" spans="1:1" x14ac:dyDescent="0.2">
      <c r="A3090" s="1" t="s">
        <v>590</v>
      </c>
    </row>
    <row r="3091" spans="1:1" x14ac:dyDescent="0.2">
      <c r="A3091" s="1" t="s">
        <v>591</v>
      </c>
    </row>
    <row r="3092" spans="1:1" x14ac:dyDescent="0.2">
      <c r="A3092" s="1" t="s">
        <v>592</v>
      </c>
    </row>
    <row r="3093" spans="1:1" x14ac:dyDescent="0.2">
      <c r="A3093" s="1" t="s">
        <v>593</v>
      </c>
    </row>
    <row r="3094" spans="1:1" x14ac:dyDescent="0.2">
      <c r="A3094" s="1" t="s">
        <v>612</v>
      </c>
    </row>
    <row r="3095" spans="1:1" x14ac:dyDescent="0.2">
      <c r="A3095" s="1" t="s">
        <v>613</v>
      </c>
    </row>
    <row r="3096" spans="1:1" x14ac:dyDescent="0.2">
      <c r="A3096" s="1" t="s">
        <v>614</v>
      </c>
    </row>
    <row r="3097" spans="1:1" x14ac:dyDescent="0.2">
      <c r="A3097" s="1" t="s">
        <v>615</v>
      </c>
    </row>
    <row r="3098" spans="1:1" x14ac:dyDescent="0.2">
      <c r="A3098" s="1" t="s">
        <v>616</v>
      </c>
    </row>
    <row r="3099" spans="1:1" x14ac:dyDescent="0.2">
      <c r="A3099" s="1" t="s">
        <v>617</v>
      </c>
    </row>
    <row r="3100" spans="1:1" x14ac:dyDescent="0.2">
      <c r="A3100" s="1" t="s">
        <v>618</v>
      </c>
    </row>
    <row r="3101" spans="1:1" x14ac:dyDescent="0.2">
      <c r="A3101" s="1" t="s">
        <v>619</v>
      </c>
    </row>
    <row r="3102" spans="1:1" x14ac:dyDescent="0.2">
      <c r="A3102" s="1" t="s">
        <v>620</v>
      </c>
    </row>
    <row r="3103" spans="1:1" x14ac:dyDescent="0.2">
      <c r="A3103" s="1" t="s">
        <v>621</v>
      </c>
    </row>
    <row r="3104" spans="1:1" x14ac:dyDescent="0.2">
      <c r="A3104" s="1" t="s">
        <v>622</v>
      </c>
    </row>
    <row r="3105" spans="1:1" x14ac:dyDescent="0.2">
      <c r="A3105" s="1" t="s">
        <v>623</v>
      </c>
    </row>
    <row r="3106" spans="1:1" x14ac:dyDescent="0.2">
      <c r="A3106" s="1" t="s">
        <v>624</v>
      </c>
    </row>
    <row r="3107" spans="1:1" x14ac:dyDescent="0.2">
      <c r="A3107" s="1" t="s">
        <v>625</v>
      </c>
    </row>
    <row r="3108" spans="1:1" x14ac:dyDescent="0.2">
      <c r="A3108" s="1" t="s">
        <v>626</v>
      </c>
    </row>
    <row r="3109" spans="1:1" x14ac:dyDescent="0.2">
      <c r="A3109" s="1" t="s">
        <v>627</v>
      </c>
    </row>
    <row r="3110" spans="1:1" x14ac:dyDescent="0.2">
      <c r="A3110" s="1" t="s">
        <v>616</v>
      </c>
    </row>
    <row r="3111" spans="1:1" x14ac:dyDescent="0.2">
      <c r="A3111" s="1" t="s">
        <v>617</v>
      </c>
    </row>
    <row r="3112" spans="1:1" x14ac:dyDescent="0.2">
      <c r="A3112" s="1" t="s">
        <v>628</v>
      </c>
    </row>
    <row r="3113" spans="1:1" x14ac:dyDescent="0.2">
      <c r="A3113" s="1" t="s">
        <v>619</v>
      </c>
    </row>
    <row r="3114" spans="1:1" x14ac:dyDescent="0.2">
      <c r="A3114" s="1" t="s">
        <v>620</v>
      </c>
    </row>
    <row r="3115" spans="1:1" x14ac:dyDescent="0.2">
      <c r="A3115" s="1" t="s">
        <v>621</v>
      </c>
    </row>
    <row r="3116" spans="1:1" x14ac:dyDescent="0.2">
      <c r="A3116" s="1" t="s">
        <v>622</v>
      </c>
    </row>
    <row r="3117" spans="1:1" x14ac:dyDescent="0.2">
      <c r="A3117" s="1" t="s">
        <v>623</v>
      </c>
    </row>
    <row r="3118" spans="1:1" x14ac:dyDescent="0.2">
      <c r="A3118" s="1" t="s">
        <v>624</v>
      </c>
    </row>
    <row r="3119" spans="1:1" x14ac:dyDescent="0.2">
      <c r="A3119" s="1" t="s">
        <v>629</v>
      </c>
    </row>
    <row r="3120" spans="1:1" x14ac:dyDescent="0.2">
      <c r="A3120" s="1" t="s">
        <v>626</v>
      </c>
    </row>
    <row r="3121" spans="1:1" x14ac:dyDescent="0.2">
      <c r="A3121" s="1" t="s">
        <v>627</v>
      </c>
    </row>
    <row r="3122" spans="1:1" x14ac:dyDescent="0.2">
      <c r="A3122" s="1" t="s">
        <v>616</v>
      </c>
    </row>
    <row r="3123" spans="1:1" x14ac:dyDescent="0.2">
      <c r="A3123" s="1" t="s">
        <v>617</v>
      </c>
    </row>
    <row r="3124" spans="1:1" x14ac:dyDescent="0.2">
      <c r="A3124" s="1" t="s">
        <v>630</v>
      </c>
    </row>
    <row r="3125" spans="1:1" x14ac:dyDescent="0.2">
      <c r="A3125" s="1" t="s">
        <v>619</v>
      </c>
    </row>
    <row r="3126" spans="1:1" x14ac:dyDescent="0.2">
      <c r="A3126" s="1" t="s">
        <v>620</v>
      </c>
    </row>
    <row r="3127" spans="1:1" x14ac:dyDescent="0.2">
      <c r="A3127" s="1" t="s">
        <v>621</v>
      </c>
    </row>
    <row r="3128" spans="1:1" x14ac:dyDescent="0.2">
      <c r="A3128" s="1" t="s">
        <v>631</v>
      </c>
    </row>
    <row r="3129" spans="1:1" x14ac:dyDescent="0.2">
      <c r="A3129" s="1" t="s">
        <v>632</v>
      </c>
    </row>
    <row r="3130" spans="1:1" x14ac:dyDescent="0.2">
      <c r="A3130" s="1" t="s">
        <v>633</v>
      </c>
    </row>
    <row r="3131" spans="1:1" x14ac:dyDescent="0.2">
      <c r="A3131" s="1" t="s">
        <v>634</v>
      </c>
    </row>
    <row r="3132" spans="1:1" x14ac:dyDescent="0.2">
      <c r="A3132" s="1" t="s">
        <v>635</v>
      </c>
    </row>
    <row r="3133" spans="1:1" x14ac:dyDescent="0.2">
      <c r="A3133" s="1" t="s">
        <v>636</v>
      </c>
    </row>
    <row r="3134" spans="1:1" x14ac:dyDescent="0.2">
      <c r="A3134" s="1" t="s">
        <v>637</v>
      </c>
    </row>
    <row r="3135" spans="1:1" x14ac:dyDescent="0.2">
      <c r="A3135" s="1" t="s">
        <v>638</v>
      </c>
    </row>
    <row r="3136" spans="1:1" x14ac:dyDescent="0.2">
      <c r="A3136" s="1" t="s">
        <v>639</v>
      </c>
    </row>
    <row r="3137" spans="1:1" x14ac:dyDescent="0.2">
      <c r="A3137" s="1" t="s">
        <v>640</v>
      </c>
    </row>
    <row r="3138" spans="1:1" x14ac:dyDescent="0.2">
      <c r="A3138" s="1" t="s">
        <v>641</v>
      </c>
    </row>
    <row r="3139" spans="1:1" x14ac:dyDescent="0.2">
      <c r="A3139" s="1" t="s">
        <v>642</v>
      </c>
    </row>
    <row r="3140" spans="1:1" x14ac:dyDescent="0.2">
      <c r="A3140" s="1" t="s">
        <v>631</v>
      </c>
    </row>
    <row r="3141" spans="1:1" x14ac:dyDescent="0.2">
      <c r="A3141" s="1" t="s">
        <v>632</v>
      </c>
    </row>
    <row r="3142" spans="1:1" x14ac:dyDescent="0.2">
      <c r="A3142" s="1" t="s">
        <v>643</v>
      </c>
    </row>
    <row r="3143" spans="1:1" x14ac:dyDescent="0.2">
      <c r="A3143" s="1" t="s">
        <v>644</v>
      </c>
    </row>
    <row r="3144" spans="1:1" x14ac:dyDescent="0.2">
      <c r="A3144" s="1" t="s">
        <v>645</v>
      </c>
    </row>
    <row r="3145" spans="1:1" x14ac:dyDescent="0.2">
      <c r="A3145" s="1" t="s">
        <v>646</v>
      </c>
    </row>
    <row r="3146" spans="1:1" x14ac:dyDescent="0.2">
      <c r="A3146" s="1" t="s">
        <v>647</v>
      </c>
    </row>
    <row r="3147" spans="1:1" x14ac:dyDescent="0.2">
      <c r="A3147" s="1" t="s">
        <v>648</v>
      </c>
    </row>
    <row r="3148" spans="1:1" x14ac:dyDescent="0.2">
      <c r="A3148" s="1" t="s">
        <v>649</v>
      </c>
    </row>
    <row r="3149" spans="1:1" x14ac:dyDescent="0.2">
      <c r="A3149" s="1" t="s">
        <v>650</v>
      </c>
    </row>
    <row r="3150" spans="1:1" x14ac:dyDescent="0.2">
      <c r="A3150" s="1" t="s">
        <v>651</v>
      </c>
    </row>
    <row r="3151" spans="1:1" x14ac:dyDescent="0.2">
      <c r="A3151" s="1" t="s">
        <v>652</v>
      </c>
    </row>
    <row r="3152" spans="1:1" x14ac:dyDescent="0.2">
      <c r="A3152" s="1" t="s">
        <v>653</v>
      </c>
    </row>
    <row r="3153" spans="1:1" x14ac:dyDescent="0.2">
      <c r="A3153" s="1" t="s">
        <v>654</v>
      </c>
    </row>
    <row r="3154" spans="1:1" x14ac:dyDescent="0.2">
      <c r="A3154" s="1" t="s">
        <v>643</v>
      </c>
    </row>
    <row r="3155" spans="1:1" x14ac:dyDescent="0.2">
      <c r="A3155" s="1" t="s">
        <v>655</v>
      </c>
    </row>
    <row r="3156" spans="1:1" x14ac:dyDescent="0.2">
      <c r="A3156" s="1" t="s">
        <v>645</v>
      </c>
    </row>
    <row r="3157" spans="1:1" x14ac:dyDescent="0.2">
      <c r="A3157" s="1" t="s">
        <v>646</v>
      </c>
    </row>
    <row r="3158" spans="1:1" x14ac:dyDescent="0.2">
      <c r="A3158" s="1" t="s">
        <v>647</v>
      </c>
    </row>
    <row r="3159" spans="1:1" x14ac:dyDescent="0.2">
      <c r="A3159" s="1" t="s">
        <v>648</v>
      </c>
    </row>
    <row r="3160" spans="1:1" x14ac:dyDescent="0.2">
      <c r="A3160" s="1" t="s">
        <v>656</v>
      </c>
    </row>
    <row r="3161" spans="1:1" x14ac:dyDescent="0.2">
      <c r="A3161" s="1" t="s">
        <v>650</v>
      </c>
    </row>
    <row r="3162" spans="1:1" x14ac:dyDescent="0.2">
      <c r="A3162" s="1" t="s">
        <v>651</v>
      </c>
    </row>
    <row r="3163" spans="1:1" x14ac:dyDescent="0.2">
      <c r="A3163" s="1" t="s">
        <v>652</v>
      </c>
    </row>
    <row r="3164" spans="1:1" x14ac:dyDescent="0.2">
      <c r="A3164" s="1" t="s">
        <v>653</v>
      </c>
    </row>
    <row r="3165" spans="1:1" x14ac:dyDescent="0.2">
      <c r="A3165" s="1" t="s">
        <v>654</v>
      </c>
    </row>
    <row r="3166" spans="1:1" x14ac:dyDescent="0.2">
      <c r="A3166" s="1" t="s">
        <v>643</v>
      </c>
    </row>
    <row r="3167" spans="1:1" x14ac:dyDescent="0.2">
      <c r="A3167" s="1" t="s">
        <v>657</v>
      </c>
    </row>
    <row r="3168" spans="1:1" x14ac:dyDescent="0.2">
      <c r="A3168" s="1" t="s">
        <v>645</v>
      </c>
    </row>
    <row r="3169" spans="1:1" x14ac:dyDescent="0.2">
      <c r="A3169" s="1" t="s">
        <v>646</v>
      </c>
    </row>
    <row r="3170" spans="1:1" x14ac:dyDescent="0.2">
      <c r="A3170" s="1" t="s">
        <v>647</v>
      </c>
    </row>
    <row r="3171" spans="1:1" x14ac:dyDescent="0.2">
      <c r="A3171" s="1" t="s">
        <v>648</v>
      </c>
    </row>
    <row r="3172" spans="1:1" x14ac:dyDescent="0.2">
      <c r="A3172" s="1" t="s">
        <v>658</v>
      </c>
    </row>
    <row r="3173" spans="1:1" x14ac:dyDescent="0.2">
      <c r="A3173" s="1" t="s">
        <v>650</v>
      </c>
    </row>
    <row r="3174" spans="1:1" x14ac:dyDescent="0.2">
      <c r="A3174" s="1" t="s">
        <v>651</v>
      </c>
    </row>
    <row r="3175" spans="1:1" x14ac:dyDescent="0.2">
      <c r="A3175" s="1" t="s">
        <v>652</v>
      </c>
    </row>
    <row r="3176" spans="1:1" x14ac:dyDescent="0.2">
      <c r="A3176" s="1" t="s">
        <v>653</v>
      </c>
    </row>
    <row r="3177" spans="1:1" x14ac:dyDescent="0.2">
      <c r="A3177" s="1" t="s">
        <v>654</v>
      </c>
    </row>
    <row r="3178" spans="1:1" x14ac:dyDescent="0.2">
      <c r="A3178" s="1" t="s">
        <v>643</v>
      </c>
    </row>
    <row r="3179" spans="1:1" x14ac:dyDescent="0.2">
      <c r="A3179" s="1" t="s">
        <v>659</v>
      </c>
    </row>
    <row r="3180" spans="1:1" x14ac:dyDescent="0.2">
      <c r="A3180" s="1" t="s">
        <v>645</v>
      </c>
    </row>
    <row r="3181" spans="1:1" x14ac:dyDescent="0.2">
      <c r="A3181" s="1" t="s">
        <v>646</v>
      </c>
    </row>
    <row r="3182" spans="1:1" x14ac:dyDescent="0.2">
      <c r="A3182" s="1" t="s">
        <v>647</v>
      </c>
    </row>
    <row r="3183" spans="1:1" x14ac:dyDescent="0.2">
      <c r="A3183" s="1" t="s">
        <v>648</v>
      </c>
    </row>
    <row r="3184" spans="1:1" x14ac:dyDescent="0.2">
      <c r="A3184" s="1" t="s">
        <v>660</v>
      </c>
    </row>
    <row r="3185" spans="1:1" x14ac:dyDescent="0.2">
      <c r="A3185" s="1" t="s">
        <v>650</v>
      </c>
    </row>
    <row r="3186" spans="1:1" x14ac:dyDescent="0.2">
      <c r="A3186" s="1" t="s">
        <v>651</v>
      </c>
    </row>
    <row r="3187" spans="1:1" x14ac:dyDescent="0.2">
      <c r="A3187" s="1" t="s">
        <v>652</v>
      </c>
    </row>
    <row r="3188" spans="1:1" x14ac:dyDescent="0.2">
      <c r="A3188" s="1" t="s">
        <v>653</v>
      </c>
    </row>
    <row r="3189" spans="1:1" x14ac:dyDescent="0.2">
      <c r="A3189" s="1" t="s">
        <v>654</v>
      </c>
    </row>
    <row r="3190" spans="1:1" x14ac:dyDescent="0.2">
      <c r="A3190" s="1" t="s">
        <v>643</v>
      </c>
    </row>
    <row r="3191" spans="1:1" x14ac:dyDescent="0.2">
      <c r="A3191" s="1" t="s">
        <v>661</v>
      </c>
    </row>
    <row r="3192" spans="1:1" x14ac:dyDescent="0.2">
      <c r="A3192" s="1" t="s">
        <v>645</v>
      </c>
    </row>
    <row r="3193" spans="1:1" x14ac:dyDescent="0.2">
      <c r="A3193" s="1" t="s">
        <v>646</v>
      </c>
    </row>
    <row r="3194" spans="1:1" x14ac:dyDescent="0.2">
      <c r="A3194" s="1" t="s">
        <v>647</v>
      </c>
    </row>
    <row r="3195" spans="1:1" x14ac:dyDescent="0.2">
      <c r="A3195" s="1" t="s">
        <v>648</v>
      </c>
    </row>
    <row r="3196" spans="1:1" x14ac:dyDescent="0.2">
      <c r="A3196" s="1" t="s">
        <v>662</v>
      </c>
    </row>
    <row r="3197" spans="1:1" x14ac:dyDescent="0.2">
      <c r="A3197" s="1" t="s">
        <v>650</v>
      </c>
    </row>
    <row r="3198" spans="1:1" x14ac:dyDescent="0.2">
      <c r="A3198" s="1" t="s">
        <v>651</v>
      </c>
    </row>
    <row r="3199" spans="1:1" x14ac:dyDescent="0.2">
      <c r="A3199" s="1" t="s">
        <v>652</v>
      </c>
    </row>
    <row r="3200" spans="1:1" x14ac:dyDescent="0.2">
      <c r="A3200" s="1" t="s">
        <v>653</v>
      </c>
    </row>
    <row r="3201" spans="1:1" x14ac:dyDescent="0.2">
      <c r="A3201" s="1" t="s">
        <v>654</v>
      </c>
    </row>
    <row r="3202" spans="1:1" x14ac:dyDescent="0.2">
      <c r="A3202" s="1" t="s">
        <v>643</v>
      </c>
    </row>
    <row r="3203" spans="1:1" x14ac:dyDescent="0.2">
      <c r="A3203" s="1" t="s">
        <v>663</v>
      </c>
    </row>
    <row r="3204" spans="1:1" x14ac:dyDescent="0.2">
      <c r="A3204" s="1" t="s">
        <v>645</v>
      </c>
    </row>
    <row r="3205" spans="1:1" x14ac:dyDescent="0.2">
      <c r="A3205" s="1" t="s">
        <v>646</v>
      </c>
    </row>
    <row r="3206" spans="1:1" x14ac:dyDescent="0.2">
      <c r="A3206" s="1" t="s">
        <v>647</v>
      </c>
    </row>
    <row r="3207" spans="1:1" x14ac:dyDescent="0.2">
      <c r="A3207" s="1" t="s">
        <v>648</v>
      </c>
    </row>
    <row r="3208" spans="1:1" x14ac:dyDescent="0.2">
      <c r="A3208" s="1" t="s">
        <v>664</v>
      </c>
    </row>
    <row r="3209" spans="1:1" x14ac:dyDescent="0.2">
      <c r="A3209" s="1" t="s">
        <v>650</v>
      </c>
    </row>
    <row r="3210" spans="1:1" x14ac:dyDescent="0.2">
      <c r="A3210" s="1" t="s">
        <v>651</v>
      </c>
    </row>
    <row r="3211" spans="1:1" x14ac:dyDescent="0.2">
      <c r="A3211" s="1" t="s">
        <v>652</v>
      </c>
    </row>
    <row r="3212" spans="1:1" x14ac:dyDescent="0.2">
      <c r="A3212" s="1" t="s">
        <v>653</v>
      </c>
    </row>
    <row r="3213" spans="1:1" x14ac:dyDescent="0.2">
      <c r="A3213" s="1" t="s">
        <v>654</v>
      </c>
    </row>
    <row r="3214" spans="1:1" x14ac:dyDescent="0.2">
      <c r="A3214" s="1" t="s">
        <v>665</v>
      </c>
    </row>
    <row r="3215" spans="1:1" x14ac:dyDescent="0.2">
      <c r="A3215" s="1" t="s">
        <v>666</v>
      </c>
    </row>
    <row r="3216" spans="1:1" x14ac:dyDescent="0.2">
      <c r="A3216" s="1" t="s">
        <v>667</v>
      </c>
    </row>
    <row r="3217" spans="1:1" x14ac:dyDescent="0.2">
      <c r="A3217" s="1" t="s">
        <v>668</v>
      </c>
    </row>
    <row r="3218" spans="1:1" x14ac:dyDescent="0.2">
      <c r="A3218" s="1" t="s">
        <v>669</v>
      </c>
    </row>
    <row r="3219" spans="1:1" x14ac:dyDescent="0.2">
      <c r="A3219" s="1" t="s">
        <v>670</v>
      </c>
    </row>
    <row r="3220" spans="1:1" x14ac:dyDescent="0.2">
      <c r="A3220" s="1" t="s">
        <v>671</v>
      </c>
    </row>
    <row r="3221" spans="1:1" x14ac:dyDescent="0.2">
      <c r="A3221" s="1" t="s">
        <v>672</v>
      </c>
    </row>
    <row r="3222" spans="1:1" x14ac:dyDescent="0.2">
      <c r="A3222" s="1" t="s">
        <v>673</v>
      </c>
    </row>
    <row r="3223" spans="1:1" x14ac:dyDescent="0.2">
      <c r="A3223" s="1" t="s">
        <v>674</v>
      </c>
    </row>
    <row r="3224" spans="1:1" x14ac:dyDescent="0.2">
      <c r="A3224" s="1" t="s">
        <v>675</v>
      </c>
    </row>
    <row r="3225" spans="1:1" x14ac:dyDescent="0.2">
      <c r="A3225" s="1" t="s">
        <v>676</v>
      </c>
    </row>
    <row r="3226" spans="1:1" x14ac:dyDescent="0.2">
      <c r="A3226" s="1" t="s">
        <v>665</v>
      </c>
    </row>
    <row r="3227" spans="1:1" x14ac:dyDescent="0.2">
      <c r="A3227" s="1" t="s">
        <v>677</v>
      </c>
    </row>
    <row r="3228" spans="1:1" x14ac:dyDescent="0.2">
      <c r="A3228" s="1" t="s">
        <v>667</v>
      </c>
    </row>
    <row r="3229" spans="1:1" x14ac:dyDescent="0.2">
      <c r="A3229" s="1" t="s">
        <v>668</v>
      </c>
    </row>
    <row r="3230" spans="1:1" x14ac:dyDescent="0.2">
      <c r="A3230" s="1" t="s">
        <v>669</v>
      </c>
    </row>
    <row r="3231" spans="1:1" x14ac:dyDescent="0.2">
      <c r="A3231" s="1" t="s">
        <v>670</v>
      </c>
    </row>
    <row r="3232" spans="1:1" x14ac:dyDescent="0.2">
      <c r="A3232" s="1" t="s">
        <v>678</v>
      </c>
    </row>
    <row r="3233" spans="1:1" x14ac:dyDescent="0.2">
      <c r="A3233" s="1" t="s">
        <v>672</v>
      </c>
    </row>
    <row r="3234" spans="1:1" x14ac:dyDescent="0.2">
      <c r="A3234" s="1" t="s">
        <v>673</v>
      </c>
    </row>
    <row r="3235" spans="1:1" x14ac:dyDescent="0.2">
      <c r="A3235" s="1" t="s">
        <v>674</v>
      </c>
    </row>
    <row r="3236" spans="1:1" x14ac:dyDescent="0.2">
      <c r="A3236" s="1" t="s">
        <v>675</v>
      </c>
    </row>
    <row r="3237" spans="1:1" x14ac:dyDescent="0.2">
      <c r="A3237" s="1" t="s">
        <v>676</v>
      </c>
    </row>
    <row r="3238" spans="1:1" x14ac:dyDescent="0.2">
      <c r="A3238" s="1" t="s">
        <v>665</v>
      </c>
    </row>
    <row r="3239" spans="1:1" x14ac:dyDescent="0.2">
      <c r="A3239" s="1" t="s">
        <v>679</v>
      </c>
    </row>
    <row r="3240" spans="1:1" x14ac:dyDescent="0.2">
      <c r="A3240" s="1" t="s">
        <v>667</v>
      </c>
    </row>
    <row r="3241" spans="1:1" x14ac:dyDescent="0.2">
      <c r="A3241" s="1" t="s">
        <v>668</v>
      </c>
    </row>
    <row r="3242" spans="1:1" x14ac:dyDescent="0.2">
      <c r="A3242" s="1" t="s">
        <v>669</v>
      </c>
    </row>
    <row r="3243" spans="1:1" x14ac:dyDescent="0.2">
      <c r="A3243" s="1" t="s">
        <v>670</v>
      </c>
    </row>
    <row r="3244" spans="1:1" x14ac:dyDescent="0.2">
      <c r="A3244" s="1" t="s">
        <v>680</v>
      </c>
    </row>
    <row r="3245" spans="1:1" x14ac:dyDescent="0.2">
      <c r="A3245" s="1" t="s">
        <v>672</v>
      </c>
    </row>
    <row r="3246" spans="1:1" x14ac:dyDescent="0.2">
      <c r="A3246" s="1" t="s">
        <v>673</v>
      </c>
    </row>
    <row r="3247" spans="1:1" x14ac:dyDescent="0.2">
      <c r="A3247" s="1" t="s">
        <v>674</v>
      </c>
    </row>
    <row r="3248" spans="1:1" x14ac:dyDescent="0.2">
      <c r="A3248" s="1" t="s">
        <v>675</v>
      </c>
    </row>
    <row r="3249" spans="1:1" x14ac:dyDescent="0.2">
      <c r="A3249" s="1" t="s">
        <v>676</v>
      </c>
    </row>
    <row r="3250" spans="1:1" x14ac:dyDescent="0.2">
      <c r="A3250" s="1" t="s">
        <v>665</v>
      </c>
    </row>
    <row r="3251" spans="1:1" x14ac:dyDescent="0.2">
      <c r="A3251" s="1" t="s">
        <v>681</v>
      </c>
    </row>
    <row r="3252" spans="1:1" x14ac:dyDescent="0.2">
      <c r="A3252" s="1" t="s">
        <v>667</v>
      </c>
    </row>
    <row r="3253" spans="1:1" x14ac:dyDescent="0.2">
      <c r="A3253" s="1" t="s">
        <v>668</v>
      </c>
    </row>
    <row r="3254" spans="1:1" x14ac:dyDescent="0.2">
      <c r="A3254" s="1" t="s">
        <v>669</v>
      </c>
    </row>
    <row r="3255" spans="1:1" x14ac:dyDescent="0.2">
      <c r="A3255" s="1" t="s">
        <v>670</v>
      </c>
    </row>
    <row r="3256" spans="1:1" x14ac:dyDescent="0.2">
      <c r="A3256" s="1" t="s">
        <v>682</v>
      </c>
    </row>
    <row r="3257" spans="1:1" x14ac:dyDescent="0.2">
      <c r="A3257" s="1" t="s">
        <v>672</v>
      </c>
    </row>
    <row r="3258" spans="1:1" x14ac:dyDescent="0.2">
      <c r="A3258" s="1" t="s">
        <v>673</v>
      </c>
    </row>
    <row r="3259" spans="1:1" x14ac:dyDescent="0.2">
      <c r="A3259" s="1" t="s">
        <v>674</v>
      </c>
    </row>
    <row r="3260" spans="1:1" x14ac:dyDescent="0.2">
      <c r="A3260" s="1" t="s">
        <v>675</v>
      </c>
    </row>
    <row r="3261" spans="1:1" x14ac:dyDescent="0.2">
      <c r="A3261" s="1" t="s">
        <v>676</v>
      </c>
    </row>
    <row r="3262" spans="1:1" x14ac:dyDescent="0.2">
      <c r="A3262" s="1" t="s">
        <v>683</v>
      </c>
    </row>
    <row r="3263" spans="1:1" x14ac:dyDescent="0.2">
      <c r="A3263" s="1" t="s">
        <v>684</v>
      </c>
    </row>
    <row r="3264" spans="1:1" x14ac:dyDescent="0.2">
      <c r="A3264" s="1" t="s">
        <v>685</v>
      </c>
    </row>
    <row r="3265" spans="1:1" x14ac:dyDescent="0.2">
      <c r="A3265" s="1" t="s">
        <v>686</v>
      </c>
    </row>
    <row r="3266" spans="1:1" x14ac:dyDescent="0.2">
      <c r="A3266" s="1" t="s">
        <v>687</v>
      </c>
    </row>
    <row r="3267" spans="1:1" x14ac:dyDescent="0.2">
      <c r="A3267" s="1" t="s">
        <v>688</v>
      </c>
    </row>
    <row r="3268" spans="1:1" x14ac:dyDescent="0.2">
      <c r="A3268" s="1" t="s">
        <v>689</v>
      </c>
    </row>
    <row r="3269" spans="1:1" x14ac:dyDescent="0.2">
      <c r="A3269" s="1" t="s">
        <v>690</v>
      </c>
    </row>
    <row r="3270" spans="1:1" x14ac:dyDescent="0.2">
      <c r="A3270" s="1" t="s">
        <v>691</v>
      </c>
    </row>
    <row r="3271" spans="1:1" x14ac:dyDescent="0.2">
      <c r="A3271" s="1" t="s">
        <v>692</v>
      </c>
    </row>
    <row r="3272" spans="1:1" x14ac:dyDescent="0.2">
      <c r="A3272" s="1" t="s">
        <v>693</v>
      </c>
    </row>
    <row r="3273" spans="1:1" x14ac:dyDescent="0.2">
      <c r="A3273" s="1" t="s">
        <v>694</v>
      </c>
    </row>
    <row r="3274" spans="1:1" x14ac:dyDescent="0.2">
      <c r="A3274" s="1" t="s">
        <v>683</v>
      </c>
    </row>
    <row r="3275" spans="1:1" x14ac:dyDescent="0.2">
      <c r="A3275" s="1" t="s">
        <v>695</v>
      </c>
    </row>
    <row r="3276" spans="1:1" x14ac:dyDescent="0.2">
      <c r="A3276" s="1" t="s">
        <v>685</v>
      </c>
    </row>
    <row r="3277" spans="1:1" x14ac:dyDescent="0.2">
      <c r="A3277" s="1" t="s">
        <v>686</v>
      </c>
    </row>
    <row r="3278" spans="1:1" x14ac:dyDescent="0.2">
      <c r="A3278" s="1" t="s">
        <v>687</v>
      </c>
    </row>
    <row r="3279" spans="1:1" x14ac:dyDescent="0.2">
      <c r="A3279" s="1" t="s">
        <v>688</v>
      </c>
    </row>
    <row r="3280" spans="1:1" x14ac:dyDescent="0.2">
      <c r="A3280" s="1" t="s">
        <v>696</v>
      </c>
    </row>
    <row r="3281" spans="1:1" x14ac:dyDescent="0.2">
      <c r="A3281" s="1" t="s">
        <v>690</v>
      </c>
    </row>
    <row r="3282" spans="1:1" x14ac:dyDescent="0.2">
      <c r="A3282" s="1" t="s">
        <v>691</v>
      </c>
    </row>
    <row r="3283" spans="1:1" x14ac:dyDescent="0.2">
      <c r="A3283" s="1" t="s">
        <v>692</v>
      </c>
    </row>
    <row r="3284" spans="1:1" x14ac:dyDescent="0.2">
      <c r="A3284" s="1" t="s">
        <v>693</v>
      </c>
    </row>
    <row r="3285" spans="1:1" x14ac:dyDescent="0.2">
      <c r="A3285" s="1" t="s">
        <v>694</v>
      </c>
    </row>
    <row r="3286" spans="1:1" x14ac:dyDescent="0.2">
      <c r="A3286" s="1" t="s">
        <v>697</v>
      </c>
    </row>
    <row r="3287" spans="1:1" x14ac:dyDescent="0.2">
      <c r="A3287" s="1" t="s">
        <v>698</v>
      </c>
    </row>
    <row r="3288" spans="1:1" x14ac:dyDescent="0.2">
      <c r="A3288" s="1" t="s">
        <v>699</v>
      </c>
    </row>
    <row r="3289" spans="1:1" x14ac:dyDescent="0.2">
      <c r="A3289" s="1" t="s">
        <v>700</v>
      </c>
    </row>
    <row r="3290" spans="1:1" x14ac:dyDescent="0.2">
      <c r="A3290" s="1" t="s">
        <v>701</v>
      </c>
    </row>
    <row r="3291" spans="1:1" x14ac:dyDescent="0.2">
      <c r="A3291" s="1" t="s">
        <v>702</v>
      </c>
    </row>
    <row r="3292" spans="1:1" x14ac:dyDescent="0.2">
      <c r="A3292" s="1" t="s">
        <v>703</v>
      </c>
    </row>
    <row r="3293" spans="1:1" x14ac:dyDescent="0.2">
      <c r="A3293" s="1" t="s">
        <v>704</v>
      </c>
    </row>
    <row r="3294" spans="1:1" x14ac:dyDescent="0.2">
      <c r="A3294" s="1" t="s">
        <v>705</v>
      </c>
    </row>
    <row r="3295" spans="1:1" x14ac:dyDescent="0.2">
      <c r="A3295" s="1" t="s">
        <v>706</v>
      </c>
    </row>
    <row r="3296" spans="1:1" x14ac:dyDescent="0.2">
      <c r="A3296" s="1" t="s">
        <v>707</v>
      </c>
    </row>
    <row r="3297" spans="1:1" x14ac:dyDescent="0.2">
      <c r="A3297" s="1" t="s">
        <v>708</v>
      </c>
    </row>
    <row r="3298" spans="1:1" x14ac:dyDescent="0.2">
      <c r="A3298" s="1" t="s">
        <v>697</v>
      </c>
    </row>
    <row r="3299" spans="1:1" x14ac:dyDescent="0.2">
      <c r="A3299" s="1" t="s">
        <v>709</v>
      </c>
    </row>
    <row r="3300" spans="1:1" x14ac:dyDescent="0.2">
      <c r="A3300" s="1" t="s">
        <v>699</v>
      </c>
    </row>
    <row r="3301" spans="1:1" x14ac:dyDescent="0.2">
      <c r="A3301" s="1" t="s">
        <v>700</v>
      </c>
    </row>
    <row r="3302" spans="1:1" x14ac:dyDescent="0.2">
      <c r="A3302" s="1" t="s">
        <v>701</v>
      </c>
    </row>
    <row r="3303" spans="1:1" x14ac:dyDescent="0.2">
      <c r="A3303" s="1" t="s">
        <v>702</v>
      </c>
    </row>
    <row r="3304" spans="1:1" x14ac:dyDescent="0.2">
      <c r="A3304" s="1" t="s">
        <v>710</v>
      </c>
    </row>
    <row r="3305" spans="1:1" x14ac:dyDescent="0.2">
      <c r="A3305" s="1" t="s">
        <v>704</v>
      </c>
    </row>
    <row r="3306" spans="1:1" x14ac:dyDescent="0.2">
      <c r="A3306" s="1" t="s">
        <v>705</v>
      </c>
    </row>
    <row r="3307" spans="1:1" x14ac:dyDescent="0.2">
      <c r="A3307" s="1" t="s">
        <v>706</v>
      </c>
    </row>
    <row r="3308" spans="1:1" x14ac:dyDescent="0.2">
      <c r="A3308" s="1" t="s">
        <v>707</v>
      </c>
    </row>
    <row r="3309" spans="1:1" x14ac:dyDescent="0.2">
      <c r="A3309" s="1" t="s">
        <v>708</v>
      </c>
    </row>
    <row r="3310" spans="1:1" x14ac:dyDescent="0.2">
      <c r="A3310" s="1" t="s">
        <v>697</v>
      </c>
    </row>
    <row r="3311" spans="1:1" x14ac:dyDescent="0.2">
      <c r="A3311" s="1" t="s">
        <v>711</v>
      </c>
    </row>
    <row r="3312" spans="1:1" x14ac:dyDescent="0.2">
      <c r="A3312" s="1" t="s">
        <v>699</v>
      </c>
    </row>
    <row r="3313" spans="1:1" x14ac:dyDescent="0.2">
      <c r="A3313" s="1" t="s">
        <v>700</v>
      </c>
    </row>
    <row r="3314" spans="1:1" x14ac:dyDescent="0.2">
      <c r="A3314" s="1" t="s">
        <v>701</v>
      </c>
    </row>
    <row r="3315" spans="1:1" x14ac:dyDescent="0.2">
      <c r="A3315" s="1" t="s">
        <v>702</v>
      </c>
    </row>
    <row r="3316" spans="1:1" x14ac:dyDescent="0.2">
      <c r="A3316" s="1" t="s">
        <v>712</v>
      </c>
    </row>
    <row r="3317" spans="1:1" x14ac:dyDescent="0.2">
      <c r="A3317" s="1" t="s">
        <v>704</v>
      </c>
    </row>
    <row r="3318" spans="1:1" x14ac:dyDescent="0.2">
      <c r="A3318" s="1" t="s">
        <v>705</v>
      </c>
    </row>
    <row r="3319" spans="1:1" x14ac:dyDescent="0.2">
      <c r="A3319" s="1" t="s">
        <v>706</v>
      </c>
    </row>
    <row r="3320" spans="1:1" x14ac:dyDescent="0.2">
      <c r="A3320" s="1" t="s">
        <v>707</v>
      </c>
    </row>
    <row r="3321" spans="1:1" x14ac:dyDescent="0.2">
      <c r="A3321" s="1" t="s">
        <v>708</v>
      </c>
    </row>
    <row r="3322" spans="1:1" x14ac:dyDescent="0.2">
      <c r="A3322" s="1" t="s">
        <v>697</v>
      </c>
    </row>
    <row r="3323" spans="1:1" x14ac:dyDescent="0.2">
      <c r="A3323" s="1" t="s">
        <v>713</v>
      </c>
    </row>
    <row r="3324" spans="1:1" x14ac:dyDescent="0.2">
      <c r="A3324" s="1" t="s">
        <v>699</v>
      </c>
    </row>
    <row r="3325" spans="1:1" x14ac:dyDescent="0.2">
      <c r="A3325" s="1" t="s">
        <v>700</v>
      </c>
    </row>
    <row r="3326" spans="1:1" x14ac:dyDescent="0.2">
      <c r="A3326" s="1" t="s">
        <v>701</v>
      </c>
    </row>
    <row r="3327" spans="1:1" x14ac:dyDescent="0.2">
      <c r="A3327" s="1" t="s">
        <v>702</v>
      </c>
    </row>
    <row r="3328" spans="1:1" x14ac:dyDescent="0.2">
      <c r="A3328" s="1" t="s">
        <v>714</v>
      </c>
    </row>
    <row r="3329" spans="1:1" x14ac:dyDescent="0.2">
      <c r="A3329" s="1" t="s">
        <v>704</v>
      </c>
    </row>
    <row r="3330" spans="1:1" x14ac:dyDescent="0.2">
      <c r="A3330" s="1" t="s">
        <v>705</v>
      </c>
    </row>
    <row r="3331" spans="1:1" x14ac:dyDescent="0.2">
      <c r="A3331" s="1" t="s">
        <v>706</v>
      </c>
    </row>
    <row r="3332" spans="1:1" x14ac:dyDescent="0.2">
      <c r="A3332" s="1" t="s">
        <v>707</v>
      </c>
    </row>
    <row r="3333" spans="1:1" x14ac:dyDescent="0.2">
      <c r="A3333" s="1" t="s">
        <v>708</v>
      </c>
    </row>
    <row r="3334" spans="1:1" x14ac:dyDescent="0.2">
      <c r="A3334" s="1" t="s">
        <v>697</v>
      </c>
    </row>
    <row r="3335" spans="1:1" x14ac:dyDescent="0.2">
      <c r="A3335" s="1" t="s">
        <v>715</v>
      </c>
    </row>
    <row r="3336" spans="1:1" x14ac:dyDescent="0.2">
      <c r="A3336" s="1" t="s">
        <v>699</v>
      </c>
    </row>
    <row r="3337" spans="1:1" x14ac:dyDescent="0.2">
      <c r="A3337" s="1" t="s">
        <v>700</v>
      </c>
    </row>
    <row r="3338" spans="1:1" x14ac:dyDescent="0.2">
      <c r="A3338" s="1" t="s">
        <v>701</v>
      </c>
    </row>
    <row r="3339" spans="1:1" x14ac:dyDescent="0.2">
      <c r="A3339" s="1" t="s">
        <v>702</v>
      </c>
    </row>
    <row r="3340" spans="1:1" x14ac:dyDescent="0.2">
      <c r="A3340" s="1" t="s">
        <v>716</v>
      </c>
    </row>
    <row r="3341" spans="1:1" x14ac:dyDescent="0.2">
      <c r="A3341" s="1" t="s">
        <v>704</v>
      </c>
    </row>
    <row r="3342" spans="1:1" x14ac:dyDescent="0.2">
      <c r="A3342" s="1" t="s">
        <v>705</v>
      </c>
    </row>
    <row r="3343" spans="1:1" x14ac:dyDescent="0.2">
      <c r="A3343" s="1" t="s">
        <v>706</v>
      </c>
    </row>
    <row r="3344" spans="1:1" x14ac:dyDescent="0.2">
      <c r="A3344" s="1" t="s">
        <v>707</v>
      </c>
    </row>
    <row r="3345" spans="1:1" x14ac:dyDescent="0.2">
      <c r="A3345" s="1" t="s">
        <v>708</v>
      </c>
    </row>
    <row r="3346" spans="1:1" x14ac:dyDescent="0.2">
      <c r="A3346" s="1" t="s">
        <v>697</v>
      </c>
    </row>
    <row r="3347" spans="1:1" x14ac:dyDescent="0.2">
      <c r="A3347" s="1" t="s">
        <v>717</v>
      </c>
    </row>
    <row r="3348" spans="1:1" x14ac:dyDescent="0.2">
      <c r="A3348" s="1" t="s">
        <v>699</v>
      </c>
    </row>
    <row r="3349" spans="1:1" x14ac:dyDescent="0.2">
      <c r="A3349" s="1" t="s">
        <v>700</v>
      </c>
    </row>
    <row r="3350" spans="1:1" x14ac:dyDescent="0.2">
      <c r="A3350" s="1" t="s">
        <v>701</v>
      </c>
    </row>
    <row r="3351" spans="1:1" x14ac:dyDescent="0.2">
      <c r="A3351" s="1" t="s">
        <v>702</v>
      </c>
    </row>
    <row r="3352" spans="1:1" x14ac:dyDescent="0.2">
      <c r="A3352" s="1" t="s">
        <v>718</v>
      </c>
    </row>
    <row r="3353" spans="1:1" x14ac:dyDescent="0.2">
      <c r="A3353" s="1" t="s">
        <v>704</v>
      </c>
    </row>
    <row r="3354" spans="1:1" x14ac:dyDescent="0.2">
      <c r="A3354" s="1" t="s">
        <v>705</v>
      </c>
    </row>
    <row r="3355" spans="1:1" x14ac:dyDescent="0.2">
      <c r="A3355" s="1" t="s">
        <v>706</v>
      </c>
    </row>
    <row r="3356" spans="1:1" x14ac:dyDescent="0.2">
      <c r="A3356" s="1" t="s">
        <v>707</v>
      </c>
    </row>
    <row r="3357" spans="1:1" x14ac:dyDescent="0.2">
      <c r="A3357" s="1" t="s">
        <v>708</v>
      </c>
    </row>
    <row r="3358" spans="1:1" x14ac:dyDescent="0.2">
      <c r="A3358" s="1" t="s">
        <v>719</v>
      </c>
    </row>
    <row r="3359" spans="1:1" x14ac:dyDescent="0.2">
      <c r="A3359" s="1" t="s">
        <v>720</v>
      </c>
    </row>
    <row r="3360" spans="1:1" x14ac:dyDescent="0.2">
      <c r="A3360" s="1" t="s">
        <v>721</v>
      </c>
    </row>
    <row r="3361" spans="1:1" x14ac:dyDescent="0.2">
      <c r="A3361" s="1" t="s">
        <v>722</v>
      </c>
    </row>
    <row r="3362" spans="1:1" x14ac:dyDescent="0.2">
      <c r="A3362" s="1" t="s">
        <v>723</v>
      </c>
    </row>
    <row r="3363" spans="1:1" x14ac:dyDescent="0.2">
      <c r="A3363" s="1" t="s">
        <v>724</v>
      </c>
    </row>
    <row r="3364" spans="1:1" x14ac:dyDescent="0.2">
      <c r="A3364" s="1" t="s">
        <v>725</v>
      </c>
    </row>
    <row r="3365" spans="1:1" x14ac:dyDescent="0.2">
      <c r="A3365" s="1" t="s">
        <v>726</v>
      </c>
    </row>
    <row r="3366" spans="1:1" x14ac:dyDescent="0.2">
      <c r="A3366" s="1" t="s">
        <v>727</v>
      </c>
    </row>
    <row r="3367" spans="1:1" x14ac:dyDescent="0.2">
      <c r="A3367" s="1" t="s">
        <v>728</v>
      </c>
    </row>
    <row r="3368" spans="1:1" x14ac:dyDescent="0.2">
      <c r="A3368" s="1" t="s">
        <v>729</v>
      </c>
    </row>
    <row r="3369" spans="1:1" x14ac:dyDescent="0.2">
      <c r="A3369" s="1" t="s">
        <v>730</v>
      </c>
    </row>
    <row r="3370" spans="1:1" x14ac:dyDescent="0.2">
      <c r="A3370" s="1" t="s">
        <v>719</v>
      </c>
    </row>
    <row r="3371" spans="1:1" x14ac:dyDescent="0.2">
      <c r="A3371" s="1" t="s">
        <v>731</v>
      </c>
    </row>
    <row r="3372" spans="1:1" x14ac:dyDescent="0.2">
      <c r="A3372" s="1" t="s">
        <v>721</v>
      </c>
    </row>
    <row r="3373" spans="1:1" x14ac:dyDescent="0.2">
      <c r="A3373" s="1" t="s">
        <v>722</v>
      </c>
    </row>
    <row r="3374" spans="1:1" x14ac:dyDescent="0.2">
      <c r="A3374" s="1" t="s">
        <v>723</v>
      </c>
    </row>
    <row r="3375" spans="1:1" x14ac:dyDescent="0.2">
      <c r="A3375" s="1" t="s">
        <v>724</v>
      </c>
    </row>
    <row r="3376" spans="1:1" x14ac:dyDescent="0.2">
      <c r="A3376" s="1" t="s">
        <v>732</v>
      </c>
    </row>
    <row r="3377" spans="1:1" x14ac:dyDescent="0.2">
      <c r="A3377" s="1" t="s">
        <v>726</v>
      </c>
    </row>
    <row r="3378" spans="1:1" x14ac:dyDescent="0.2">
      <c r="A3378" s="1" t="s">
        <v>727</v>
      </c>
    </row>
    <row r="3379" spans="1:1" x14ac:dyDescent="0.2">
      <c r="A3379" s="1" t="s">
        <v>728</v>
      </c>
    </row>
    <row r="3380" spans="1:1" x14ac:dyDescent="0.2">
      <c r="A3380" s="1" t="s">
        <v>729</v>
      </c>
    </row>
    <row r="3381" spans="1:1" x14ac:dyDescent="0.2">
      <c r="A3381" s="1" t="s">
        <v>730</v>
      </c>
    </row>
    <row r="3382" spans="1:1" x14ac:dyDescent="0.2">
      <c r="A3382" s="1" t="s">
        <v>733</v>
      </c>
    </row>
    <row r="3383" spans="1:1" x14ac:dyDescent="0.2">
      <c r="A3383" s="1" t="s">
        <v>734</v>
      </c>
    </row>
    <row r="3384" spans="1:1" x14ac:dyDescent="0.2">
      <c r="A3384" s="1" t="s">
        <v>735</v>
      </c>
    </row>
    <row r="3385" spans="1:1" x14ac:dyDescent="0.2">
      <c r="A3385" s="1" t="s">
        <v>736</v>
      </c>
    </row>
    <row r="3386" spans="1:1" x14ac:dyDescent="0.2">
      <c r="A3386" s="1" t="s">
        <v>737</v>
      </c>
    </row>
    <row r="3387" spans="1:1" x14ac:dyDescent="0.2">
      <c r="A3387" s="1" t="s">
        <v>738</v>
      </c>
    </row>
    <row r="3388" spans="1:1" x14ac:dyDescent="0.2">
      <c r="A3388" s="1" t="s">
        <v>739</v>
      </c>
    </row>
    <row r="3389" spans="1:1" x14ac:dyDescent="0.2">
      <c r="A3389" s="1" t="s">
        <v>740</v>
      </c>
    </row>
    <row r="3390" spans="1:1" x14ac:dyDescent="0.2">
      <c r="A3390" s="1" t="s">
        <v>741</v>
      </c>
    </row>
    <row r="3391" spans="1:1" x14ac:dyDescent="0.2">
      <c r="A3391" s="1" t="s">
        <v>742</v>
      </c>
    </row>
    <row r="3392" spans="1:1" x14ac:dyDescent="0.2">
      <c r="A3392" s="1" t="s">
        <v>743</v>
      </c>
    </row>
    <row r="3393" spans="1:1" x14ac:dyDescent="0.2">
      <c r="A3393" s="1" t="s">
        <v>744</v>
      </c>
    </row>
    <row r="3394" spans="1:1" x14ac:dyDescent="0.2">
      <c r="A3394" s="1" t="s">
        <v>745</v>
      </c>
    </row>
    <row r="3395" spans="1:1" x14ac:dyDescent="0.2">
      <c r="A3395" s="1" t="s">
        <v>746</v>
      </c>
    </row>
    <row r="3396" spans="1:1" x14ac:dyDescent="0.2">
      <c r="A3396" s="1" t="s">
        <v>747</v>
      </c>
    </row>
    <row r="3397" spans="1:1" x14ac:dyDescent="0.2">
      <c r="A3397" s="1" t="s">
        <v>748</v>
      </c>
    </row>
    <row r="3398" spans="1:1" x14ac:dyDescent="0.2">
      <c r="A3398" s="1" t="s">
        <v>749</v>
      </c>
    </row>
    <row r="3399" spans="1:1" x14ac:dyDescent="0.2">
      <c r="A3399" s="1" t="s">
        <v>750</v>
      </c>
    </row>
    <row r="3400" spans="1:1" x14ac:dyDescent="0.2">
      <c r="A3400" s="1" t="s">
        <v>751</v>
      </c>
    </row>
    <row r="3401" spans="1:1" x14ac:dyDescent="0.2">
      <c r="A3401" s="1" t="s">
        <v>740</v>
      </c>
    </row>
    <row r="3402" spans="1:1" x14ac:dyDescent="0.2">
      <c r="A3402" s="1" t="s">
        <v>741</v>
      </c>
    </row>
    <row r="3403" spans="1:1" x14ac:dyDescent="0.2">
      <c r="A3403" s="1" t="s">
        <v>742</v>
      </c>
    </row>
    <row r="3404" spans="1:1" x14ac:dyDescent="0.2">
      <c r="A3404" s="1" t="s">
        <v>743</v>
      </c>
    </row>
    <row r="3405" spans="1:1" x14ac:dyDescent="0.2">
      <c r="A3405" s="1" t="s">
        <v>744</v>
      </c>
    </row>
    <row r="3406" spans="1:1" x14ac:dyDescent="0.2">
      <c r="A3406" s="1" t="s">
        <v>745</v>
      </c>
    </row>
    <row r="3407" spans="1:1" x14ac:dyDescent="0.2">
      <c r="A3407" s="1" t="s">
        <v>752</v>
      </c>
    </row>
    <row r="3408" spans="1:1" x14ac:dyDescent="0.2">
      <c r="A3408" s="1" t="s">
        <v>747</v>
      </c>
    </row>
    <row r="3409" spans="1:1" x14ac:dyDescent="0.2">
      <c r="A3409" s="1" t="s">
        <v>748</v>
      </c>
    </row>
    <row r="3410" spans="1:1" x14ac:dyDescent="0.2">
      <c r="A3410" s="1" t="s">
        <v>749</v>
      </c>
    </row>
    <row r="3411" spans="1:1" x14ac:dyDescent="0.2">
      <c r="A3411" s="1" t="s">
        <v>750</v>
      </c>
    </row>
    <row r="3412" spans="1:1" x14ac:dyDescent="0.2">
      <c r="A3412" s="1" t="s">
        <v>753</v>
      </c>
    </row>
    <row r="3413" spans="1:1" x14ac:dyDescent="0.2">
      <c r="A3413" s="1" t="s">
        <v>740</v>
      </c>
    </row>
    <row r="3414" spans="1:1" x14ac:dyDescent="0.2">
      <c r="A3414" s="1" t="s">
        <v>741</v>
      </c>
    </row>
    <row r="3415" spans="1:1" x14ac:dyDescent="0.2">
      <c r="A3415" s="1" t="s">
        <v>742</v>
      </c>
    </row>
    <row r="3416" spans="1:1" x14ac:dyDescent="0.2">
      <c r="A3416" s="1" t="s">
        <v>743</v>
      </c>
    </row>
    <row r="3417" spans="1:1" x14ac:dyDescent="0.2">
      <c r="A3417" s="1" t="s">
        <v>744</v>
      </c>
    </row>
    <row r="3418" spans="1:1" x14ac:dyDescent="0.2">
      <c r="A3418" s="1" t="s">
        <v>745</v>
      </c>
    </row>
    <row r="3419" spans="1:1" x14ac:dyDescent="0.2">
      <c r="A3419" s="1" t="s">
        <v>754</v>
      </c>
    </row>
    <row r="3420" spans="1:1" x14ac:dyDescent="0.2">
      <c r="A3420" s="1" t="s">
        <v>747</v>
      </c>
    </row>
    <row r="3421" spans="1:1" x14ac:dyDescent="0.2">
      <c r="A3421" s="1" t="s">
        <v>748</v>
      </c>
    </row>
    <row r="3422" spans="1:1" x14ac:dyDescent="0.2">
      <c r="A3422" s="1" t="s">
        <v>749</v>
      </c>
    </row>
    <row r="3423" spans="1:1" x14ac:dyDescent="0.2">
      <c r="A3423" s="1" t="s">
        <v>750</v>
      </c>
    </row>
    <row r="3424" spans="1:1" x14ac:dyDescent="0.2">
      <c r="A3424" s="1" t="s">
        <v>755</v>
      </c>
    </row>
    <row r="3425" spans="1:1" x14ac:dyDescent="0.2">
      <c r="A3425" s="1" t="s">
        <v>740</v>
      </c>
    </row>
    <row r="3426" spans="1:1" x14ac:dyDescent="0.2">
      <c r="A3426" s="1" t="s">
        <v>741</v>
      </c>
    </row>
    <row r="3427" spans="1:1" x14ac:dyDescent="0.2">
      <c r="A3427" s="1" t="s">
        <v>742</v>
      </c>
    </row>
    <row r="3428" spans="1:1" x14ac:dyDescent="0.2">
      <c r="A3428" s="1" t="s">
        <v>743</v>
      </c>
    </row>
    <row r="3429" spans="1:1" x14ac:dyDescent="0.2">
      <c r="A3429" s="1" t="s">
        <v>744</v>
      </c>
    </row>
    <row r="3430" spans="1:1" x14ac:dyDescent="0.2">
      <c r="A3430" s="1" t="s">
        <v>745</v>
      </c>
    </row>
    <row r="3431" spans="1:1" x14ac:dyDescent="0.2">
      <c r="A3431" s="1" t="s">
        <v>756</v>
      </c>
    </row>
    <row r="3432" spans="1:1" x14ac:dyDescent="0.2">
      <c r="A3432" s="1" t="s">
        <v>747</v>
      </c>
    </row>
    <row r="3433" spans="1:1" x14ac:dyDescent="0.2">
      <c r="A3433" s="1" t="s">
        <v>748</v>
      </c>
    </row>
    <row r="3434" spans="1:1" x14ac:dyDescent="0.2">
      <c r="A3434" s="1" t="s">
        <v>749</v>
      </c>
    </row>
    <row r="3435" spans="1:1" x14ac:dyDescent="0.2">
      <c r="A3435" s="1" t="s">
        <v>750</v>
      </c>
    </row>
    <row r="3436" spans="1:1" x14ac:dyDescent="0.2">
      <c r="A3436" s="1" t="s">
        <v>757</v>
      </c>
    </row>
    <row r="3437" spans="1:1" x14ac:dyDescent="0.2">
      <c r="A3437" s="1" t="s">
        <v>740</v>
      </c>
    </row>
    <row r="3438" spans="1:1" x14ac:dyDescent="0.2">
      <c r="A3438" s="1" t="s">
        <v>741</v>
      </c>
    </row>
    <row r="3439" spans="1:1" x14ac:dyDescent="0.2">
      <c r="A3439" s="1" t="s">
        <v>742</v>
      </c>
    </row>
    <row r="3440" spans="1:1" x14ac:dyDescent="0.2">
      <c r="A3440" s="1" t="s">
        <v>743</v>
      </c>
    </row>
    <row r="3441" spans="1:1" x14ac:dyDescent="0.2">
      <c r="A3441" s="1" t="s">
        <v>744</v>
      </c>
    </row>
    <row r="3442" spans="1:1" x14ac:dyDescent="0.2">
      <c r="A3442" s="1" t="s">
        <v>745</v>
      </c>
    </row>
    <row r="3443" spans="1:1" x14ac:dyDescent="0.2">
      <c r="A3443" s="1" t="s">
        <v>758</v>
      </c>
    </row>
    <row r="3444" spans="1:1" x14ac:dyDescent="0.2">
      <c r="A3444" s="1" t="s">
        <v>747</v>
      </c>
    </row>
    <row r="3445" spans="1:1" x14ac:dyDescent="0.2">
      <c r="A3445" s="1" t="s">
        <v>748</v>
      </c>
    </row>
    <row r="3446" spans="1:1" x14ac:dyDescent="0.2">
      <c r="A3446" s="1" t="s">
        <v>749</v>
      </c>
    </row>
    <row r="3447" spans="1:1" x14ac:dyDescent="0.2">
      <c r="A3447" s="1" t="s">
        <v>750</v>
      </c>
    </row>
    <row r="3448" spans="1:1" x14ac:dyDescent="0.2">
      <c r="A3448" s="1" t="s">
        <v>759</v>
      </c>
    </row>
    <row r="3449" spans="1:1" x14ac:dyDescent="0.2">
      <c r="A3449" s="1" t="s">
        <v>740</v>
      </c>
    </row>
    <row r="3450" spans="1:1" x14ac:dyDescent="0.2">
      <c r="A3450" s="1" t="s">
        <v>741</v>
      </c>
    </row>
    <row r="3451" spans="1:1" x14ac:dyDescent="0.2">
      <c r="A3451" s="1" t="s">
        <v>742</v>
      </c>
    </row>
    <row r="3452" spans="1:1" x14ac:dyDescent="0.2">
      <c r="A3452" s="1" t="s">
        <v>743</v>
      </c>
    </row>
    <row r="3453" spans="1:1" x14ac:dyDescent="0.2">
      <c r="A3453" s="1" t="s">
        <v>744</v>
      </c>
    </row>
    <row r="3454" spans="1:1" x14ac:dyDescent="0.2">
      <c r="A3454" s="1" t="s">
        <v>745</v>
      </c>
    </row>
    <row r="3455" spans="1:1" x14ac:dyDescent="0.2">
      <c r="A3455" s="1" t="s">
        <v>760</v>
      </c>
    </row>
    <row r="3456" spans="1:1" x14ac:dyDescent="0.2">
      <c r="A3456" s="1" t="s">
        <v>747</v>
      </c>
    </row>
    <row r="3457" spans="1:1" x14ac:dyDescent="0.2">
      <c r="A3457" s="1" t="s">
        <v>748</v>
      </c>
    </row>
    <row r="3458" spans="1:1" x14ac:dyDescent="0.2">
      <c r="A3458" s="1" t="s">
        <v>749</v>
      </c>
    </row>
    <row r="3459" spans="1:1" x14ac:dyDescent="0.2">
      <c r="A3459" s="1" t="s">
        <v>750</v>
      </c>
    </row>
    <row r="3460" spans="1:1" x14ac:dyDescent="0.2">
      <c r="A3460" s="1" t="s">
        <v>761</v>
      </c>
    </row>
    <row r="3461" spans="1:1" x14ac:dyDescent="0.2">
      <c r="A3461" s="1" t="s">
        <v>740</v>
      </c>
    </row>
    <row r="3462" spans="1:1" x14ac:dyDescent="0.2">
      <c r="A3462" s="1" t="s">
        <v>741</v>
      </c>
    </row>
    <row r="3463" spans="1:1" x14ac:dyDescent="0.2">
      <c r="A3463" s="1" t="s">
        <v>742</v>
      </c>
    </row>
    <row r="3464" spans="1:1" x14ac:dyDescent="0.2">
      <c r="A3464" s="1" t="s">
        <v>743</v>
      </c>
    </row>
    <row r="3465" spans="1:1" x14ac:dyDescent="0.2">
      <c r="A3465" s="1" t="s">
        <v>744</v>
      </c>
    </row>
    <row r="3466" spans="1:1" x14ac:dyDescent="0.2">
      <c r="A3466" s="1" t="s">
        <v>745</v>
      </c>
    </row>
    <row r="3467" spans="1:1" x14ac:dyDescent="0.2">
      <c r="A3467" s="1" t="s">
        <v>762</v>
      </c>
    </row>
    <row r="3468" spans="1:1" x14ac:dyDescent="0.2">
      <c r="A3468" s="1" t="s">
        <v>747</v>
      </c>
    </row>
    <row r="3469" spans="1:1" x14ac:dyDescent="0.2">
      <c r="A3469" s="1" t="s">
        <v>748</v>
      </c>
    </row>
    <row r="3470" spans="1:1" x14ac:dyDescent="0.2">
      <c r="A3470" s="1" t="s">
        <v>749</v>
      </c>
    </row>
    <row r="3471" spans="1:1" x14ac:dyDescent="0.2">
      <c r="A3471" s="1" t="s">
        <v>750</v>
      </c>
    </row>
    <row r="3472" spans="1:1" x14ac:dyDescent="0.2">
      <c r="A3472" s="1" t="s">
        <v>763</v>
      </c>
    </row>
    <row r="3473" spans="1:1" x14ac:dyDescent="0.2">
      <c r="A3473" s="1" t="s">
        <v>740</v>
      </c>
    </row>
    <row r="3474" spans="1:1" x14ac:dyDescent="0.2">
      <c r="A3474" s="1" t="s">
        <v>741</v>
      </c>
    </row>
    <row r="3475" spans="1:1" x14ac:dyDescent="0.2">
      <c r="A3475" s="1" t="s">
        <v>742</v>
      </c>
    </row>
    <row r="3476" spans="1:1" x14ac:dyDescent="0.2">
      <c r="A3476" s="1" t="s">
        <v>743</v>
      </c>
    </row>
    <row r="3477" spans="1:1" x14ac:dyDescent="0.2">
      <c r="A3477" s="1" t="s">
        <v>744</v>
      </c>
    </row>
    <row r="3478" spans="1:1" x14ac:dyDescent="0.2">
      <c r="A3478" s="1" t="s">
        <v>745</v>
      </c>
    </row>
    <row r="3479" spans="1:1" x14ac:dyDescent="0.2">
      <c r="A3479" s="1" t="s">
        <v>764</v>
      </c>
    </row>
    <row r="3480" spans="1:1" x14ac:dyDescent="0.2">
      <c r="A3480" s="1" t="s">
        <v>747</v>
      </c>
    </row>
    <row r="3481" spans="1:1" x14ac:dyDescent="0.2">
      <c r="A3481" s="1" t="s">
        <v>748</v>
      </c>
    </row>
    <row r="3482" spans="1:1" x14ac:dyDescent="0.2">
      <c r="A3482" s="1" t="s">
        <v>749</v>
      </c>
    </row>
    <row r="3483" spans="1:1" x14ac:dyDescent="0.2">
      <c r="A3483" s="1" t="s">
        <v>750</v>
      </c>
    </row>
    <row r="3484" spans="1:1" x14ac:dyDescent="0.2">
      <c r="A3484" s="1" t="s">
        <v>765</v>
      </c>
    </row>
    <row r="3485" spans="1:1" x14ac:dyDescent="0.2">
      <c r="A3485" s="1" t="s">
        <v>740</v>
      </c>
    </row>
    <row r="3486" spans="1:1" x14ac:dyDescent="0.2">
      <c r="A3486" s="1" t="s">
        <v>741</v>
      </c>
    </row>
    <row r="3487" spans="1:1" x14ac:dyDescent="0.2">
      <c r="A3487" s="1" t="s">
        <v>742</v>
      </c>
    </row>
    <row r="3488" spans="1:1" x14ac:dyDescent="0.2">
      <c r="A3488" s="1" t="s">
        <v>743</v>
      </c>
    </row>
    <row r="3489" spans="1:1" x14ac:dyDescent="0.2">
      <c r="A3489" s="1" t="s">
        <v>744</v>
      </c>
    </row>
    <row r="3490" spans="1:1" x14ac:dyDescent="0.2">
      <c r="A3490" s="1" t="s">
        <v>745</v>
      </c>
    </row>
    <row r="3491" spans="1:1" x14ac:dyDescent="0.2">
      <c r="A3491" s="1" t="s">
        <v>766</v>
      </c>
    </row>
    <row r="3492" spans="1:1" x14ac:dyDescent="0.2">
      <c r="A3492" s="1" t="s">
        <v>747</v>
      </c>
    </row>
    <row r="3493" spans="1:1" x14ac:dyDescent="0.2">
      <c r="A3493" s="1" t="s">
        <v>748</v>
      </c>
    </row>
    <row r="3494" spans="1:1" x14ac:dyDescent="0.2">
      <c r="A3494" s="1" t="s">
        <v>749</v>
      </c>
    </row>
    <row r="3495" spans="1:1" x14ac:dyDescent="0.2">
      <c r="A3495" s="1" t="s">
        <v>750</v>
      </c>
    </row>
    <row r="3496" spans="1:1" x14ac:dyDescent="0.2">
      <c r="A3496" s="1" t="s">
        <v>767</v>
      </c>
    </row>
    <row r="3497" spans="1:1" x14ac:dyDescent="0.2">
      <c r="A3497" s="1" t="s">
        <v>740</v>
      </c>
    </row>
    <row r="3498" spans="1:1" x14ac:dyDescent="0.2">
      <c r="A3498" s="1" t="s">
        <v>741</v>
      </c>
    </row>
    <row r="3499" spans="1:1" x14ac:dyDescent="0.2">
      <c r="A3499" s="1" t="s">
        <v>742</v>
      </c>
    </row>
    <row r="3500" spans="1:1" x14ac:dyDescent="0.2">
      <c r="A3500" s="1" t="s">
        <v>743</v>
      </c>
    </row>
    <row r="3501" spans="1:1" x14ac:dyDescent="0.2">
      <c r="A3501" s="1" t="s">
        <v>744</v>
      </c>
    </row>
    <row r="3502" spans="1:1" x14ac:dyDescent="0.2">
      <c r="A3502" s="1" t="s">
        <v>768</v>
      </c>
    </row>
    <row r="3503" spans="1:1" x14ac:dyDescent="0.2">
      <c r="A3503" s="1" t="s">
        <v>769</v>
      </c>
    </row>
    <row r="3504" spans="1:1" x14ac:dyDescent="0.2">
      <c r="A3504" s="1" t="s">
        <v>770</v>
      </c>
    </row>
    <row r="3505" spans="1:1" x14ac:dyDescent="0.2">
      <c r="A3505" s="1" t="s">
        <v>771</v>
      </c>
    </row>
    <row r="3506" spans="1:1" x14ac:dyDescent="0.2">
      <c r="A3506" s="1" t="s">
        <v>772</v>
      </c>
    </row>
    <row r="3507" spans="1:1" x14ac:dyDescent="0.2">
      <c r="A3507" s="1" t="s">
        <v>773</v>
      </c>
    </row>
    <row r="3508" spans="1:1" x14ac:dyDescent="0.2">
      <c r="A3508" s="1" t="s">
        <v>774</v>
      </c>
    </row>
    <row r="3509" spans="1:1" x14ac:dyDescent="0.2">
      <c r="A3509" s="1" t="s">
        <v>775</v>
      </c>
    </row>
    <row r="3510" spans="1:1" x14ac:dyDescent="0.2">
      <c r="A3510" s="1" t="s">
        <v>776</v>
      </c>
    </row>
    <row r="3511" spans="1:1" x14ac:dyDescent="0.2">
      <c r="A3511" s="1" t="s">
        <v>777</v>
      </c>
    </row>
    <row r="3512" spans="1:1" x14ac:dyDescent="0.2">
      <c r="A3512" s="1" t="s">
        <v>778</v>
      </c>
    </row>
    <row r="3513" spans="1:1" x14ac:dyDescent="0.2">
      <c r="A3513" s="1" t="s">
        <v>779</v>
      </c>
    </row>
    <row r="3514" spans="1:1" x14ac:dyDescent="0.2">
      <c r="A3514" s="1" t="s">
        <v>768</v>
      </c>
    </row>
    <row r="3515" spans="1:1" x14ac:dyDescent="0.2">
      <c r="A3515" s="1" t="s">
        <v>780</v>
      </c>
    </row>
    <row r="3516" spans="1:1" x14ac:dyDescent="0.2">
      <c r="A3516" s="1" t="s">
        <v>770</v>
      </c>
    </row>
    <row r="3517" spans="1:1" x14ac:dyDescent="0.2">
      <c r="A3517" s="1" t="s">
        <v>771</v>
      </c>
    </row>
    <row r="3518" spans="1:1" x14ac:dyDescent="0.2">
      <c r="A3518" s="1" t="s">
        <v>772</v>
      </c>
    </row>
    <row r="3519" spans="1:1" x14ac:dyDescent="0.2">
      <c r="A3519" s="1" t="s">
        <v>773</v>
      </c>
    </row>
    <row r="3520" spans="1:1" x14ac:dyDescent="0.2">
      <c r="A3520" s="1" t="s">
        <v>781</v>
      </c>
    </row>
    <row r="3521" spans="1:1" x14ac:dyDescent="0.2">
      <c r="A3521" s="1" t="s">
        <v>775</v>
      </c>
    </row>
    <row r="3522" spans="1:1" x14ac:dyDescent="0.2">
      <c r="A3522" s="1" t="s">
        <v>776</v>
      </c>
    </row>
    <row r="3523" spans="1:1" x14ac:dyDescent="0.2">
      <c r="A3523" s="1" t="s">
        <v>777</v>
      </c>
    </row>
    <row r="3524" spans="1:1" x14ac:dyDescent="0.2">
      <c r="A3524" s="1" t="s">
        <v>778</v>
      </c>
    </row>
    <row r="3525" spans="1:1" x14ac:dyDescent="0.2">
      <c r="A3525" s="1" t="s">
        <v>779</v>
      </c>
    </row>
    <row r="3526" spans="1:1" x14ac:dyDescent="0.2">
      <c r="A3526" s="1" t="s">
        <v>768</v>
      </c>
    </row>
    <row r="3527" spans="1:1" x14ac:dyDescent="0.2">
      <c r="A3527" s="1" t="s">
        <v>782</v>
      </c>
    </row>
    <row r="3528" spans="1:1" x14ac:dyDescent="0.2">
      <c r="A3528" s="1" t="s">
        <v>770</v>
      </c>
    </row>
    <row r="3529" spans="1:1" x14ac:dyDescent="0.2">
      <c r="A3529" s="1" t="s">
        <v>771</v>
      </c>
    </row>
    <row r="3530" spans="1:1" x14ac:dyDescent="0.2">
      <c r="A3530" s="1" t="s">
        <v>772</v>
      </c>
    </row>
    <row r="3531" spans="1:1" x14ac:dyDescent="0.2">
      <c r="A3531" s="1" t="s">
        <v>773</v>
      </c>
    </row>
    <row r="3532" spans="1:1" x14ac:dyDescent="0.2">
      <c r="A3532" s="1" t="s">
        <v>783</v>
      </c>
    </row>
    <row r="3533" spans="1:1" x14ac:dyDescent="0.2">
      <c r="A3533" s="1" t="s">
        <v>775</v>
      </c>
    </row>
    <row r="3534" spans="1:1" x14ac:dyDescent="0.2">
      <c r="A3534" s="1" t="s">
        <v>776</v>
      </c>
    </row>
    <row r="3535" spans="1:1" x14ac:dyDescent="0.2">
      <c r="A3535" s="1" t="s">
        <v>777</v>
      </c>
    </row>
    <row r="3536" spans="1:1" x14ac:dyDescent="0.2">
      <c r="A3536" s="1" t="s">
        <v>778</v>
      </c>
    </row>
    <row r="3537" spans="1:1" x14ac:dyDescent="0.2">
      <c r="A3537" s="1" t="s">
        <v>779</v>
      </c>
    </row>
    <row r="3538" spans="1:1" x14ac:dyDescent="0.2">
      <c r="A3538" s="1" t="s">
        <v>768</v>
      </c>
    </row>
    <row r="3539" spans="1:1" x14ac:dyDescent="0.2">
      <c r="A3539" s="1" t="s">
        <v>784</v>
      </c>
    </row>
    <row r="3540" spans="1:1" x14ac:dyDescent="0.2">
      <c r="A3540" s="1" t="s">
        <v>770</v>
      </c>
    </row>
    <row r="3541" spans="1:1" x14ac:dyDescent="0.2">
      <c r="A3541" s="1" t="s">
        <v>771</v>
      </c>
    </row>
    <row r="3542" spans="1:1" x14ac:dyDescent="0.2">
      <c r="A3542" s="1" t="s">
        <v>772</v>
      </c>
    </row>
    <row r="3543" spans="1:1" x14ac:dyDescent="0.2">
      <c r="A3543" s="1" t="s">
        <v>773</v>
      </c>
    </row>
    <row r="3544" spans="1:1" x14ac:dyDescent="0.2">
      <c r="A3544" s="1" t="s">
        <v>785</v>
      </c>
    </row>
    <row r="3545" spans="1:1" x14ac:dyDescent="0.2">
      <c r="A3545" s="1" t="s">
        <v>775</v>
      </c>
    </row>
    <row r="3546" spans="1:1" x14ac:dyDescent="0.2">
      <c r="A3546" s="1" t="s">
        <v>776</v>
      </c>
    </row>
    <row r="3547" spans="1:1" x14ac:dyDescent="0.2">
      <c r="A3547" s="1" t="s">
        <v>777</v>
      </c>
    </row>
    <row r="3548" spans="1:1" x14ac:dyDescent="0.2">
      <c r="A3548" s="1" t="s">
        <v>778</v>
      </c>
    </row>
    <row r="3549" spans="1:1" x14ac:dyDescent="0.2">
      <c r="A3549" s="1" t="s">
        <v>779</v>
      </c>
    </row>
    <row r="3550" spans="1:1" x14ac:dyDescent="0.2">
      <c r="A3550" s="1" t="s">
        <v>768</v>
      </c>
    </row>
    <row r="3551" spans="1:1" x14ac:dyDescent="0.2">
      <c r="A3551" s="1" t="s">
        <v>786</v>
      </c>
    </row>
    <row r="3552" spans="1:1" x14ac:dyDescent="0.2">
      <c r="A3552" s="1" t="s">
        <v>770</v>
      </c>
    </row>
    <row r="3553" spans="1:1" x14ac:dyDescent="0.2">
      <c r="A3553" s="1" t="s">
        <v>771</v>
      </c>
    </row>
    <row r="3554" spans="1:1" x14ac:dyDescent="0.2">
      <c r="A3554" s="1" t="s">
        <v>772</v>
      </c>
    </row>
    <row r="3555" spans="1:1" x14ac:dyDescent="0.2">
      <c r="A3555" s="1" t="s">
        <v>773</v>
      </c>
    </row>
    <row r="3556" spans="1:1" x14ac:dyDescent="0.2">
      <c r="A3556" s="1" t="s">
        <v>787</v>
      </c>
    </row>
    <row r="3557" spans="1:1" x14ac:dyDescent="0.2">
      <c r="A3557" s="1" t="s">
        <v>775</v>
      </c>
    </row>
    <row r="3558" spans="1:1" x14ac:dyDescent="0.2">
      <c r="A3558" s="1" t="s">
        <v>776</v>
      </c>
    </row>
    <row r="3559" spans="1:1" x14ac:dyDescent="0.2">
      <c r="A3559" s="1" t="s">
        <v>777</v>
      </c>
    </row>
    <row r="3560" spans="1:1" x14ac:dyDescent="0.2">
      <c r="A3560" s="1" t="s">
        <v>778</v>
      </c>
    </row>
    <row r="3561" spans="1:1" x14ac:dyDescent="0.2">
      <c r="A3561" s="1" t="s">
        <v>779</v>
      </c>
    </row>
    <row r="3562" spans="1:1" x14ac:dyDescent="0.2">
      <c r="A3562" s="1" t="s">
        <v>768</v>
      </c>
    </row>
    <row r="3563" spans="1:1" x14ac:dyDescent="0.2">
      <c r="A3563" s="1" t="s">
        <v>788</v>
      </c>
    </row>
    <row r="3564" spans="1:1" x14ac:dyDescent="0.2">
      <c r="A3564" s="1" t="s">
        <v>770</v>
      </c>
    </row>
    <row r="3565" spans="1:1" x14ac:dyDescent="0.2">
      <c r="A3565" s="1" t="s">
        <v>771</v>
      </c>
    </row>
    <row r="3566" spans="1:1" x14ac:dyDescent="0.2">
      <c r="A3566" s="1" t="s">
        <v>772</v>
      </c>
    </row>
    <row r="3567" spans="1:1" x14ac:dyDescent="0.2">
      <c r="A3567" s="1" t="s">
        <v>773</v>
      </c>
    </row>
    <row r="3568" spans="1:1" x14ac:dyDescent="0.2">
      <c r="A3568" s="1" t="s">
        <v>789</v>
      </c>
    </row>
    <row r="3569" spans="1:1" x14ac:dyDescent="0.2">
      <c r="A3569" s="1" t="s">
        <v>775</v>
      </c>
    </row>
    <row r="3570" spans="1:1" x14ac:dyDescent="0.2">
      <c r="A3570" s="1" t="s">
        <v>776</v>
      </c>
    </row>
    <row r="3571" spans="1:1" x14ac:dyDescent="0.2">
      <c r="A3571" s="1" t="s">
        <v>777</v>
      </c>
    </row>
    <row r="3572" spans="1:1" x14ac:dyDescent="0.2">
      <c r="A3572" s="1" t="s">
        <v>778</v>
      </c>
    </row>
    <row r="3573" spans="1:1" x14ac:dyDescent="0.2">
      <c r="A3573" s="1" t="s">
        <v>779</v>
      </c>
    </row>
    <row r="3574" spans="1:1" x14ac:dyDescent="0.2">
      <c r="A3574" s="1" t="s">
        <v>768</v>
      </c>
    </row>
    <row r="3575" spans="1:1" x14ac:dyDescent="0.2">
      <c r="A3575" s="1" t="s">
        <v>790</v>
      </c>
    </row>
    <row r="3576" spans="1:1" x14ac:dyDescent="0.2">
      <c r="A3576" s="1" t="s">
        <v>770</v>
      </c>
    </row>
    <row r="3577" spans="1:1" x14ac:dyDescent="0.2">
      <c r="A3577" s="1" t="s">
        <v>771</v>
      </c>
    </row>
    <row r="3578" spans="1:1" x14ac:dyDescent="0.2">
      <c r="A3578" s="1" t="s">
        <v>772</v>
      </c>
    </row>
    <row r="3579" spans="1:1" x14ac:dyDescent="0.2">
      <c r="A3579" s="1" t="s">
        <v>773</v>
      </c>
    </row>
    <row r="3580" spans="1:1" x14ac:dyDescent="0.2">
      <c r="A3580" s="1" t="s">
        <v>791</v>
      </c>
    </row>
    <row r="3581" spans="1:1" x14ac:dyDescent="0.2">
      <c r="A3581" s="1" t="s">
        <v>775</v>
      </c>
    </row>
    <row r="3582" spans="1:1" x14ac:dyDescent="0.2">
      <c r="A3582" s="1" t="s">
        <v>776</v>
      </c>
    </row>
    <row r="3583" spans="1:1" x14ac:dyDescent="0.2">
      <c r="A3583" s="1" t="s">
        <v>777</v>
      </c>
    </row>
    <row r="3584" spans="1:1" x14ac:dyDescent="0.2">
      <c r="A3584" s="1" t="s">
        <v>778</v>
      </c>
    </row>
    <row r="3585" spans="1:1" x14ac:dyDescent="0.2">
      <c r="A3585" s="1" t="s">
        <v>779</v>
      </c>
    </row>
    <row r="3586" spans="1:1" x14ac:dyDescent="0.2">
      <c r="A3586" s="1" t="s">
        <v>768</v>
      </c>
    </row>
    <row r="3587" spans="1:1" x14ac:dyDescent="0.2">
      <c r="A3587" s="1" t="s">
        <v>792</v>
      </c>
    </row>
    <row r="3588" spans="1:1" x14ac:dyDescent="0.2">
      <c r="A3588" s="1" t="s">
        <v>770</v>
      </c>
    </row>
    <row r="3589" spans="1:1" x14ac:dyDescent="0.2">
      <c r="A3589" s="1" t="s">
        <v>771</v>
      </c>
    </row>
    <row r="3590" spans="1:1" x14ac:dyDescent="0.2">
      <c r="A3590" s="1" t="s">
        <v>772</v>
      </c>
    </row>
    <row r="3591" spans="1:1" x14ac:dyDescent="0.2">
      <c r="A3591" s="1" t="s">
        <v>773</v>
      </c>
    </row>
    <row r="3592" spans="1:1" x14ac:dyDescent="0.2">
      <c r="A3592" s="1" t="s">
        <v>793</v>
      </c>
    </row>
    <row r="3593" spans="1:1" x14ac:dyDescent="0.2">
      <c r="A3593" s="1" t="s">
        <v>775</v>
      </c>
    </row>
    <row r="3594" spans="1:1" x14ac:dyDescent="0.2">
      <c r="A3594" s="1" t="s">
        <v>776</v>
      </c>
    </row>
    <row r="3595" spans="1:1" x14ac:dyDescent="0.2">
      <c r="A3595" s="1" t="s">
        <v>777</v>
      </c>
    </row>
    <row r="3596" spans="1:1" x14ac:dyDescent="0.2">
      <c r="A3596" s="1" t="s">
        <v>778</v>
      </c>
    </row>
    <row r="3597" spans="1:1" x14ac:dyDescent="0.2">
      <c r="A3597" s="1" t="s">
        <v>779</v>
      </c>
    </row>
    <row r="3598" spans="1:1" x14ac:dyDescent="0.2">
      <c r="A3598" s="1" t="s">
        <v>768</v>
      </c>
    </row>
    <row r="3599" spans="1:1" x14ac:dyDescent="0.2">
      <c r="A3599" s="1" t="s">
        <v>794</v>
      </c>
    </row>
    <row r="3600" spans="1:1" x14ac:dyDescent="0.2">
      <c r="A3600" s="1" t="s">
        <v>770</v>
      </c>
    </row>
    <row r="3601" spans="1:1" x14ac:dyDescent="0.2">
      <c r="A3601" s="1" t="s">
        <v>771</v>
      </c>
    </row>
    <row r="3602" spans="1:1" x14ac:dyDescent="0.2">
      <c r="A3602" s="1" t="s">
        <v>772</v>
      </c>
    </row>
    <row r="3603" spans="1:1" x14ac:dyDescent="0.2">
      <c r="A3603" s="1" t="s">
        <v>773</v>
      </c>
    </row>
    <row r="3604" spans="1:1" x14ac:dyDescent="0.2">
      <c r="A3604" s="1" t="s">
        <v>795</v>
      </c>
    </row>
    <row r="3605" spans="1:1" x14ac:dyDescent="0.2">
      <c r="A3605" s="1" t="s">
        <v>775</v>
      </c>
    </row>
    <row r="3606" spans="1:1" x14ac:dyDescent="0.2">
      <c r="A3606" s="1" t="s">
        <v>776</v>
      </c>
    </row>
    <row r="3607" spans="1:1" x14ac:dyDescent="0.2">
      <c r="A3607" s="1" t="s">
        <v>777</v>
      </c>
    </row>
    <row r="3608" spans="1:1" x14ac:dyDescent="0.2">
      <c r="A3608" s="1" t="s">
        <v>778</v>
      </c>
    </row>
    <row r="3609" spans="1:1" x14ac:dyDescent="0.2">
      <c r="A3609" s="1" t="s">
        <v>779</v>
      </c>
    </row>
    <row r="3610" spans="1:1" x14ac:dyDescent="0.2">
      <c r="A3610" s="1" t="s">
        <v>768</v>
      </c>
    </row>
    <row r="3611" spans="1:1" x14ac:dyDescent="0.2">
      <c r="A3611" s="1" t="s">
        <v>796</v>
      </c>
    </row>
    <row r="3612" spans="1:1" x14ac:dyDescent="0.2">
      <c r="A3612" s="1" t="s">
        <v>770</v>
      </c>
    </row>
    <row r="3613" spans="1:1" x14ac:dyDescent="0.2">
      <c r="A3613" s="1" t="s">
        <v>771</v>
      </c>
    </row>
    <row r="3614" spans="1:1" x14ac:dyDescent="0.2">
      <c r="A3614" s="1" t="s">
        <v>772</v>
      </c>
    </row>
    <row r="3615" spans="1:1" x14ac:dyDescent="0.2">
      <c r="A3615" s="1" t="s">
        <v>773</v>
      </c>
    </row>
    <row r="3616" spans="1:1" x14ac:dyDescent="0.2">
      <c r="A3616" s="1" t="s">
        <v>797</v>
      </c>
    </row>
    <row r="3617" spans="1:1" x14ac:dyDescent="0.2">
      <c r="A3617" s="1" t="s">
        <v>775</v>
      </c>
    </row>
    <row r="3618" spans="1:1" x14ac:dyDescent="0.2">
      <c r="A3618" s="1" t="s">
        <v>776</v>
      </c>
    </row>
    <row r="3619" spans="1:1" x14ac:dyDescent="0.2">
      <c r="A3619" s="1" t="s">
        <v>777</v>
      </c>
    </row>
    <row r="3620" spans="1:1" x14ac:dyDescent="0.2">
      <c r="A3620" s="1" t="s">
        <v>778</v>
      </c>
    </row>
    <row r="3621" spans="1:1" x14ac:dyDescent="0.2">
      <c r="A3621" s="1" t="s">
        <v>779</v>
      </c>
    </row>
    <row r="3622" spans="1:1" x14ac:dyDescent="0.2">
      <c r="A3622" s="1" t="s">
        <v>798</v>
      </c>
    </row>
    <row r="3623" spans="1:1" x14ac:dyDescent="0.2">
      <c r="A3623" s="1" t="s">
        <v>799</v>
      </c>
    </row>
    <row r="3624" spans="1:1" x14ac:dyDescent="0.2">
      <c r="A3624" s="1" t="s">
        <v>798</v>
      </c>
    </row>
    <row r="3625" spans="1:1" x14ac:dyDescent="0.2">
      <c r="A3625" s="1" t="s">
        <v>799</v>
      </c>
    </row>
    <row r="3626" spans="1:1" x14ac:dyDescent="0.2">
      <c r="A3626" s="1" t="s">
        <v>800</v>
      </c>
    </row>
    <row r="3627" spans="1:1" x14ac:dyDescent="0.2">
      <c r="A3627" s="1" t="s">
        <v>801</v>
      </c>
    </row>
    <row r="3628" spans="1:1" x14ac:dyDescent="0.2">
      <c r="A3628" s="1" t="s">
        <v>802</v>
      </c>
    </row>
    <row r="3629" spans="1:1" x14ac:dyDescent="0.2">
      <c r="A3629" s="1" t="s">
        <v>803</v>
      </c>
    </row>
    <row r="3630" spans="1:1" x14ac:dyDescent="0.2">
      <c r="A3630" s="1" t="s">
        <v>804</v>
      </c>
    </row>
    <row r="3631" spans="1:1" x14ac:dyDescent="0.2">
      <c r="A3631" s="1" t="s">
        <v>805</v>
      </c>
    </row>
    <row r="3632" spans="1:1" x14ac:dyDescent="0.2">
      <c r="A3632" s="1" t="s">
        <v>806</v>
      </c>
    </row>
    <row r="3633" spans="1:1" x14ac:dyDescent="0.2">
      <c r="A3633" s="1" t="s">
        <v>807</v>
      </c>
    </row>
    <row r="3634" spans="1:1" x14ac:dyDescent="0.2">
      <c r="A3634" s="1" t="s">
        <v>798</v>
      </c>
    </row>
    <row r="3635" spans="1:1" x14ac:dyDescent="0.2">
      <c r="A3635" s="1" t="s">
        <v>799</v>
      </c>
    </row>
    <row r="3636" spans="1:1" x14ac:dyDescent="0.2">
      <c r="A3636" s="1" t="s">
        <v>798</v>
      </c>
    </row>
    <row r="3637" spans="1:1" x14ac:dyDescent="0.2">
      <c r="A3637" s="1" t="s">
        <v>799</v>
      </c>
    </row>
    <row r="3638" spans="1:1" x14ac:dyDescent="0.2">
      <c r="A3638" s="1" t="s">
        <v>798</v>
      </c>
    </row>
    <row r="3639" spans="1:1" x14ac:dyDescent="0.2">
      <c r="A3639" s="1" t="s">
        <v>799</v>
      </c>
    </row>
    <row r="3640" spans="1:1" x14ac:dyDescent="0.2">
      <c r="A3640" s="1" t="s">
        <v>800</v>
      </c>
    </row>
    <row r="3641" spans="1:1" x14ac:dyDescent="0.2">
      <c r="A3641" s="1" t="s">
        <v>801</v>
      </c>
    </row>
    <row r="3642" spans="1:1" x14ac:dyDescent="0.2">
      <c r="A3642" s="1" t="s">
        <v>802</v>
      </c>
    </row>
    <row r="3643" spans="1:1" x14ac:dyDescent="0.2">
      <c r="A3643" s="1" t="s">
        <v>803</v>
      </c>
    </row>
    <row r="3644" spans="1:1" x14ac:dyDescent="0.2">
      <c r="A3644" s="1" t="s">
        <v>804</v>
      </c>
    </row>
    <row r="3645" spans="1:1" x14ac:dyDescent="0.2">
      <c r="A3645" s="1" t="s">
        <v>805</v>
      </c>
    </row>
    <row r="3646" spans="1:1" x14ac:dyDescent="0.2">
      <c r="A3646" s="1" t="s">
        <v>806</v>
      </c>
    </row>
    <row r="3647" spans="1:1" x14ac:dyDescent="0.2">
      <c r="A3647" s="1" t="s">
        <v>807</v>
      </c>
    </row>
    <row r="3648" spans="1:1" x14ac:dyDescent="0.2">
      <c r="A3648" s="1" t="s">
        <v>798</v>
      </c>
    </row>
    <row r="3649" spans="1:1" x14ac:dyDescent="0.2">
      <c r="A3649" s="1" t="s">
        <v>799</v>
      </c>
    </row>
    <row r="3650" spans="1:1" x14ac:dyDescent="0.2">
      <c r="A3650" s="1" t="s">
        <v>798</v>
      </c>
    </row>
    <row r="3651" spans="1:1" x14ac:dyDescent="0.2">
      <c r="A3651" s="1" t="s">
        <v>799</v>
      </c>
    </row>
    <row r="3652" spans="1:1" x14ac:dyDescent="0.2">
      <c r="A3652" s="1" t="s">
        <v>798</v>
      </c>
    </row>
    <row r="3653" spans="1:1" x14ac:dyDescent="0.2">
      <c r="A3653" s="1" t="s">
        <v>799</v>
      </c>
    </row>
    <row r="3654" spans="1:1" x14ac:dyDescent="0.2">
      <c r="A3654" s="1" t="s">
        <v>800</v>
      </c>
    </row>
    <row r="3655" spans="1:1" x14ac:dyDescent="0.2">
      <c r="A3655" s="1" t="s">
        <v>801</v>
      </c>
    </row>
    <row r="3656" spans="1:1" x14ac:dyDescent="0.2">
      <c r="A3656" s="1" t="s">
        <v>802</v>
      </c>
    </row>
    <row r="3657" spans="1:1" x14ac:dyDescent="0.2">
      <c r="A3657" s="1" t="s">
        <v>803</v>
      </c>
    </row>
    <row r="3658" spans="1:1" x14ac:dyDescent="0.2">
      <c r="A3658" s="1" t="s">
        <v>804</v>
      </c>
    </row>
    <row r="3659" spans="1:1" x14ac:dyDescent="0.2">
      <c r="A3659" s="1" t="s">
        <v>805</v>
      </c>
    </row>
    <row r="3660" spans="1:1" x14ac:dyDescent="0.2">
      <c r="A3660" s="1" t="s">
        <v>806</v>
      </c>
    </row>
    <row r="3661" spans="1:1" x14ac:dyDescent="0.2">
      <c r="A3661" s="1" t="s">
        <v>807</v>
      </c>
    </row>
    <row r="3662" spans="1:1" x14ac:dyDescent="0.2">
      <c r="A3662" s="1" t="s">
        <v>798</v>
      </c>
    </row>
    <row r="3663" spans="1:1" x14ac:dyDescent="0.2">
      <c r="A3663" s="1" t="s">
        <v>799</v>
      </c>
    </row>
    <row r="3664" spans="1:1" x14ac:dyDescent="0.2">
      <c r="A3664" s="1" t="s">
        <v>798</v>
      </c>
    </row>
    <row r="3665" spans="1:1" x14ac:dyDescent="0.2">
      <c r="A3665" s="1" t="s">
        <v>799</v>
      </c>
    </row>
    <row r="3666" spans="1:1" x14ac:dyDescent="0.2">
      <c r="A3666" s="1" t="s">
        <v>798</v>
      </c>
    </row>
    <row r="3667" spans="1:1" x14ac:dyDescent="0.2">
      <c r="A3667" s="1" t="s">
        <v>799</v>
      </c>
    </row>
    <row r="3668" spans="1:1" x14ac:dyDescent="0.2">
      <c r="A3668" s="1" t="s">
        <v>800</v>
      </c>
    </row>
    <row r="3669" spans="1:1" x14ac:dyDescent="0.2">
      <c r="A3669" s="1" t="s">
        <v>801</v>
      </c>
    </row>
    <row r="3670" spans="1:1" x14ac:dyDescent="0.2">
      <c r="A3670" s="1" t="s">
        <v>802</v>
      </c>
    </row>
    <row r="3671" spans="1:1" x14ac:dyDescent="0.2">
      <c r="A3671" s="1" t="s">
        <v>803</v>
      </c>
    </row>
    <row r="3672" spans="1:1" x14ac:dyDescent="0.2">
      <c r="A3672" s="1" t="s">
        <v>804</v>
      </c>
    </row>
    <row r="3673" spans="1:1" x14ac:dyDescent="0.2">
      <c r="A3673" s="1" t="s">
        <v>805</v>
      </c>
    </row>
    <row r="3674" spans="1:1" x14ac:dyDescent="0.2">
      <c r="A3674" s="1" t="s">
        <v>806</v>
      </c>
    </row>
    <row r="3675" spans="1:1" x14ac:dyDescent="0.2">
      <c r="A3675" s="1" t="s">
        <v>807</v>
      </c>
    </row>
    <row r="3676" spans="1:1" x14ac:dyDescent="0.2">
      <c r="A3676" s="1" t="s">
        <v>798</v>
      </c>
    </row>
    <row r="3677" spans="1:1" x14ac:dyDescent="0.2">
      <c r="A3677" s="1" t="s">
        <v>799</v>
      </c>
    </row>
    <row r="3678" spans="1:1" x14ac:dyDescent="0.2">
      <c r="A3678" s="1" t="s">
        <v>798</v>
      </c>
    </row>
    <row r="3679" spans="1:1" x14ac:dyDescent="0.2">
      <c r="A3679" s="1" t="s">
        <v>799</v>
      </c>
    </row>
    <row r="3680" spans="1:1" x14ac:dyDescent="0.2">
      <c r="A3680" s="1" t="s">
        <v>798</v>
      </c>
    </row>
    <row r="3681" spans="1:1" x14ac:dyDescent="0.2">
      <c r="A3681" s="1" t="s">
        <v>799</v>
      </c>
    </row>
    <row r="3682" spans="1:1" x14ac:dyDescent="0.2">
      <c r="A3682" s="1" t="s">
        <v>800</v>
      </c>
    </row>
    <row r="3683" spans="1:1" x14ac:dyDescent="0.2">
      <c r="A3683" s="1" t="s">
        <v>801</v>
      </c>
    </row>
    <row r="3684" spans="1:1" x14ac:dyDescent="0.2">
      <c r="A3684" s="1" t="s">
        <v>802</v>
      </c>
    </row>
    <row r="3685" spans="1:1" x14ac:dyDescent="0.2">
      <c r="A3685" s="1" t="s">
        <v>803</v>
      </c>
    </row>
    <row r="3686" spans="1:1" x14ac:dyDescent="0.2">
      <c r="A3686" s="1" t="s">
        <v>804</v>
      </c>
    </row>
    <row r="3687" spans="1:1" x14ac:dyDescent="0.2">
      <c r="A3687" s="1" t="s">
        <v>805</v>
      </c>
    </row>
    <row r="3688" spans="1:1" x14ac:dyDescent="0.2">
      <c r="A3688" s="1" t="s">
        <v>806</v>
      </c>
    </row>
    <row r="3689" spans="1:1" x14ac:dyDescent="0.2">
      <c r="A3689" s="1" t="s">
        <v>807</v>
      </c>
    </row>
    <row r="3690" spans="1:1" x14ac:dyDescent="0.2">
      <c r="A3690" s="1" t="s">
        <v>798</v>
      </c>
    </row>
    <row r="3691" spans="1:1" x14ac:dyDescent="0.2">
      <c r="A3691" s="1" t="s">
        <v>799</v>
      </c>
    </row>
    <row r="3692" spans="1:1" x14ac:dyDescent="0.2">
      <c r="A3692" s="1" t="s">
        <v>798</v>
      </c>
    </row>
    <row r="3693" spans="1:1" x14ac:dyDescent="0.2">
      <c r="A3693" s="1" t="s">
        <v>799</v>
      </c>
    </row>
    <row r="3694" spans="1:1" x14ac:dyDescent="0.2">
      <c r="A3694" s="1" t="s">
        <v>798</v>
      </c>
    </row>
    <row r="3695" spans="1:1" x14ac:dyDescent="0.2">
      <c r="A3695" s="1" t="s">
        <v>799</v>
      </c>
    </row>
    <row r="3696" spans="1:1" x14ac:dyDescent="0.2">
      <c r="A3696" s="1" t="s">
        <v>800</v>
      </c>
    </row>
    <row r="3697" spans="1:1" x14ac:dyDescent="0.2">
      <c r="A3697" s="1" t="s">
        <v>801</v>
      </c>
    </row>
    <row r="3698" spans="1:1" x14ac:dyDescent="0.2">
      <c r="A3698" s="1" t="s">
        <v>802</v>
      </c>
    </row>
    <row r="3699" spans="1:1" x14ac:dyDescent="0.2">
      <c r="A3699" s="1" t="s">
        <v>803</v>
      </c>
    </row>
    <row r="3700" spans="1:1" x14ac:dyDescent="0.2">
      <c r="A3700" s="1" t="s">
        <v>804</v>
      </c>
    </row>
    <row r="3701" spans="1:1" x14ac:dyDescent="0.2">
      <c r="A3701" s="1" t="s">
        <v>805</v>
      </c>
    </row>
    <row r="3702" spans="1:1" x14ac:dyDescent="0.2">
      <c r="A3702" s="1" t="s">
        <v>806</v>
      </c>
    </row>
    <row r="3703" spans="1:1" x14ac:dyDescent="0.2">
      <c r="A3703" s="1" t="s">
        <v>807</v>
      </c>
    </row>
    <row r="3704" spans="1:1" x14ac:dyDescent="0.2">
      <c r="A3704" s="1" t="s">
        <v>798</v>
      </c>
    </row>
    <row r="3705" spans="1:1" x14ac:dyDescent="0.2">
      <c r="A3705" s="1" t="s">
        <v>799</v>
      </c>
    </row>
    <row r="3706" spans="1:1" x14ac:dyDescent="0.2">
      <c r="A3706" s="1" t="s">
        <v>798</v>
      </c>
    </row>
    <row r="3707" spans="1:1" x14ac:dyDescent="0.2">
      <c r="A3707" s="1" t="s">
        <v>799</v>
      </c>
    </row>
    <row r="3708" spans="1:1" x14ac:dyDescent="0.2">
      <c r="A3708" s="1" t="s">
        <v>798</v>
      </c>
    </row>
    <row r="3709" spans="1:1" x14ac:dyDescent="0.2">
      <c r="A3709" s="1" t="s">
        <v>799</v>
      </c>
    </row>
    <row r="3710" spans="1:1" x14ac:dyDescent="0.2">
      <c r="A3710" s="1" t="s">
        <v>800</v>
      </c>
    </row>
    <row r="3711" spans="1:1" x14ac:dyDescent="0.2">
      <c r="A3711" s="1" t="s">
        <v>801</v>
      </c>
    </row>
    <row r="3712" spans="1:1" x14ac:dyDescent="0.2">
      <c r="A3712" s="1" t="s">
        <v>802</v>
      </c>
    </row>
    <row r="3713" spans="1:1" x14ac:dyDescent="0.2">
      <c r="A3713" s="1" t="s">
        <v>803</v>
      </c>
    </row>
    <row r="3714" spans="1:1" x14ac:dyDescent="0.2">
      <c r="A3714" s="1" t="s">
        <v>804</v>
      </c>
    </row>
    <row r="3715" spans="1:1" x14ac:dyDescent="0.2">
      <c r="A3715" s="1" t="s">
        <v>805</v>
      </c>
    </row>
    <row r="3716" spans="1:1" x14ac:dyDescent="0.2">
      <c r="A3716" s="1" t="s">
        <v>806</v>
      </c>
    </row>
    <row r="3717" spans="1:1" x14ac:dyDescent="0.2">
      <c r="A3717" s="1" t="s">
        <v>807</v>
      </c>
    </row>
    <row r="3718" spans="1:1" x14ac:dyDescent="0.2">
      <c r="A3718" s="1" t="s">
        <v>798</v>
      </c>
    </row>
    <row r="3719" spans="1:1" x14ac:dyDescent="0.2">
      <c r="A3719" s="1" t="s">
        <v>799</v>
      </c>
    </row>
    <row r="3720" spans="1:1" x14ac:dyDescent="0.2">
      <c r="A3720" s="1" t="s">
        <v>798</v>
      </c>
    </row>
    <row r="3721" spans="1:1" x14ac:dyDescent="0.2">
      <c r="A3721" s="1" t="s">
        <v>799</v>
      </c>
    </row>
    <row r="3722" spans="1:1" x14ac:dyDescent="0.2">
      <c r="A3722" s="1" t="s">
        <v>798</v>
      </c>
    </row>
    <row r="3723" spans="1:1" x14ac:dyDescent="0.2">
      <c r="A3723" s="1" t="s">
        <v>799</v>
      </c>
    </row>
    <row r="3724" spans="1:1" x14ac:dyDescent="0.2">
      <c r="A3724" s="1" t="s">
        <v>800</v>
      </c>
    </row>
    <row r="3725" spans="1:1" x14ac:dyDescent="0.2">
      <c r="A3725" s="1" t="s">
        <v>801</v>
      </c>
    </row>
    <row r="3726" spans="1:1" x14ac:dyDescent="0.2">
      <c r="A3726" s="1" t="s">
        <v>802</v>
      </c>
    </row>
    <row r="3727" spans="1:1" x14ac:dyDescent="0.2">
      <c r="A3727" s="1" t="s">
        <v>803</v>
      </c>
    </row>
    <row r="3728" spans="1:1" x14ac:dyDescent="0.2">
      <c r="A3728" s="1" t="s">
        <v>804</v>
      </c>
    </row>
    <row r="3729" spans="1:1" x14ac:dyDescent="0.2">
      <c r="A3729" s="1" t="s">
        <v>805</v>
      </c>
    </row>
    <row r="3730" spans="1:1" x14ac:dyDescent="0.2">
      <c r="A3730" s="1" t="s">
        <v>806</v>
      </c>
    </row>
    <row r="3731" spans="1:1" x14ac:dyDescent="0.2">
      <c r="A3731" s="1" t="s">
        <v>807</v>
      </c>
    </row>
    <row r="3732" spans="1:1" x14ac:dyDescent="0.2">
      <c r="A3732" s="1" t="s">
        <v>798</v>
      </c>
    </row>
    <row r="3733" spans="1:1" x14ac:dyDescent="0.2">
      <c r="A3733" s="1" t="s">
        <v>799</v>
      </c>
    </row>
    <row r="3734" spans="1:1" x14ac:dyDescent="0.2">
      <c r="A3734" s="1" t="s">
        <v>808</v>
      </c>
    </row>
    <row r="3735" spans="1:1" x14ac:dyDescent="0.2">
      <c r="A3735" s="1" t="s">
        <v>809</v>
      </c>
    </row>
    <row r="3736" spans="1:1" x14ac:dyDescent="0.2">
      <c r="A3736" s="1" t="s">
        <v>808</v>
      </c>
    </row>
    <row r="3737" spans="1:1" x14ac:dyDescent="0.2">
      <c r="A3737" s="1" t="s">
        <v>809</v>
      </c>
    </row>
    <row r="3738" spans="1:1" x14ac:dyDescent="0.2">
      <c r="A3738" s="1" t="s">
        <v>810</v>
      </c>
    </row>
    <row r="3739" spans="1:1" x14ac:dyDescent="0.2">
      <c r="A3739" s="1" t="s">
        <v>811</v>
      </c>
    </row>
    <row r="3740" spans="1:1" x14ac:dyDescent="0.2">
      <c r="A3740" s="1" t="s">
        <v>812</v>
      </c>
    </row>
    <row r="3741" spans="1:1" x14ac:dyDescent="0.2">
      <c r="A3741" s="1" t="s">
        <v>813</v>
      </c>
    </row>
    <row r="3742" spans="1:1" x14ac:dyDescent="0.2">
      <c r="A3742" s="1" t="s">
        <v>814</v>
      </c>
    </row>
    <row r="3743" spans="1:1" x14ac:dyDescent="0.2">
      <c r="A3743" s="1" t="s">
        <v>815</v>
      </c>
    </row>
    <row r="3744" spans="1:1" x14ac:dyDescent="0.2">
      <c r="A3744" s="1" t="s">
        <v>816</v>
      </c>
    </row>
    <row r="3745" spans="1:1" x14ac:dyDescent="0.2">
      <c r="A3745" s="1" t="s">
        <v>817</v>
      </c>
    </row>
    <row r="3746" spans="1:1" x14ac:dyDescent="0.2">
      <c r="A3746" s="1" t="s">
        <v>808</v>
      </c>
    </row>
    <row r="3747" spans="1:1" x14ac:dyDescent="0.2">
      <c r="A3747" s="1" t="s">
        <v>809</v>
      </c>
    </row>
    <row r="3748" spans="1:1" x14ac:dyDescent="0.2">
      <c r="A3748" s="1" t="s">
        <v>808</v>
      </c>
    </row>
    <row r="3749" spans="1:1" x14ac:dyDescent="0.2">
      <c r="A3749" s="1" t="s">
        <v>809</v>
      </c>
    </row>
    <row r="3750" spans="1:1" x14ac:dyDescent="0.2">
      <c r="A3750" s="1" t="s">
        <v>808</v>
      </c>
    </row>
    <row r="3751" spans="1:1" x14ac:dyDescent="0.2">
      <c r="A3751" s="1" t="s">
        <v>809</v>
      </c>
    </row>
    <row r="3752" spans="1:1" x14ac:dyDescent="0.2">
      <c r="A3752" s="1" t="s">
        <v>810</v>
      </c>
    </row>
    <row r="3753" spans="1:1" x14ac:dyDescent="0.2">
      <c r="A3753" s="1" t="s">
        <v>811</v>
      </c>
    </row>
    <row r="3754" spans="1:1" x14ac:dyDescent="0.2">
      <c r="A3754" s="1" t="s">
        <v>812</v>
      </c>
    </row>
    <row r="3755" spans="1:1" x14ac:dyDescent="0.2">
      <c r="A3755" s="1" t="s">
        <v>813</v>
      </c>
    </row>
    <row r="3756" spans="1:1" x14ac:dyDescent="0.2">
      <c r="A3756" s="1" t="s">
        <v>814</v>
      </c>
    </row>
    <row r="3757" spans="1:1" x14ac:dyDescent="0.2">
      <c r="A3757" s="1" t="s">
        <v>815</v>
      </c>
    </row>
    <row r="3758" spans="1:1" x14ac:dyDescent="0.2">
      <c r="A3758" s="1" t="s">
        <v>816</v>
      </c>
    </row>
    <row r="3759" spans="1:1" x14ac:dyDescent="0.2">
      <c r="A3759" s="1" t="s">
        <v>817</v>
      </c>
    </row>
    <row r="3760" spans="1:1" x14ac:dyDescent="0.2">
      <c r="A3760" s="1" t="s">
        <v>808</v>
      </c>
    </row>
    <row r="3761" spans="1:1" x14ac:dyDescent="0.2">
      <c r="A3761" s="1" t="s">
        <v>809</v>
      </c>
    </row>
    <row r="3762" spans="1:1" x14ac:dyDescent="0.2">
      <c r="A3762" s="1" t="s">
        <v>808</v>
      </c>
    </row>
    <row r="3763" spans="1:1" x14ac:dyDescent="0.2">
      <c r="A3763" s="1" t="s">
        <v>809</v>
      </c>
    </row>
    <row r="3764" spans="1:1" x14ac:dyDescent="0.2">
      <c r="A3764" s="1" t="s">
        <v>808</v>
      </c>
    </row>
    <row r="3765" spans="1:1" x14ac:dyDescent="0.2">
      <c r="A3765" s="1" t="s">
        <v>809</v>
      </c>
    </row>
    <row r="3766" spans="1:1" x14ac:dyDescent="0.2">
      <c r="A3766" s="1" t="s">
        <v>810</v>
      </c>
    </row>
    <row r="3767" spans="1:1" x14ac:dyDescent="0.2">
      <c r="A3767" s="1" t="s">
        <v>811</v>
      </c>
    </row>
    <row r="3768" spans="1:1" x14ac:dyDescent="0.2">
      <c r="A3768" s="1" t="s">
        <v>812</v>
      </c>
    </row>
    <row r="3769" spans="1:1" x14ac:dyDescent="0.2">
      <c r="A3769" s="1" t="s">
        <v>813</v>
      </c>
    </row>
    <row r="3770" spans="1:1" x14ac:dyDescent="0.2">
      <c r="A3770" s="1" t="s">
        <v>814</v>
      </c>
    </row>
    <row r="3771" spans="1:1" x14ac:dyDescent="0.2">
      <c r="A3771" s="1" t="s">
        <v>815</v>
      </c>
    </row>
    <row r="3772" spans="1:1" x14ac:dyDescent="0.2">
      <c r="A3772" s="1" t="s">
        <v>816</v>
      </c>
    </row>
    <row r="3773" spans="1:1" x14ac:dyDescent="0.2">
      <c r="A3773" s="1" t="s">
        <v>817</v>
      </c>
    </row>
    <row r="3774" spans="1:1" x14ac:dyDescent="0.2">
      <c r="A3774" s="1" t="s">
        <v>808</v>
      </c>
    </row>
    <row r="3775" spans="1:1" x14ac:dyDescent="0.2">
      <c r="A3775" s="1" t="s">
        <v>809</v>
      </c>
    </row>
    <row r="3776" spans="1:1" x14ac:dyDescent="0.2">
      <c r="A3776" s="1" t="s">
        <v>808</v>
      </c>
    </row>
    <row r="3777" spans="1:1" x14ac:dyDescent="0.2">
      <c r="A3777" s="1" t="s">
        <v>809</v>
      </c>
    </row>
    <row r="3778" spans="1:1" x14ac:dyDescent="0.2">
      <c r="A3778" s="1" t="s">
        <v>808</v>
      </c>
    </row>
    <row r="3779" spans="1:1" x14ac:dyDescent="0.2">
      <c r="A3779" s="1" t="s">
        <v>809</v>
      </c>
    </row>
    <row r="3780" spans="1:1" x14ac:dyDescent="0.2">
      <c r="A3780" s="1" t="s">
        <v>810</v>
      </c>
    </row>
    <row r="3781" spans="1:1" x14ac:dyDescent="0.2">
      <c r="A3781" s="1" t="s">
        <v>811</v>
      </c>
    </row>
    <row r="3782" spans="1:1" x14ac:dyDescent="0.2">
      <c r="A3782" s="1" t="s">
        <v>812</v>
      </c>
    </row>
    <row r="3783" spans="1:1" x14ac:dyDescent="0.2">
      <c r="A3783" s="1" t="s">
        <v>813</v>
      </c>
    </row>
    <row r="3784" spans="1:1" x14ac:dyDescent="0.2">
      <c r="A3784" s="1" t="s">
        <v>814</v>
      </c>
    </row>
    <row r="3785" spans="1:1" x14ac:dyDescent="0.2">
      <c r="A3785" s="1" t="s">
        <v>815</v>
      </c>
    </row>
    <row r="3786" spans="1:1" x14ac:dyDescent="0.2">
      <c r="A3786" s="1" t="s">
        <v>816</v>
      </c>
    </row>
    <row r="3787" spans="1:1" x14ac:dyDescent="0.2">
      <c r="A3787" s="1" t="s">
        <v>817</v>
      </c>
    </row>
    <row r="3788" spans="1:1" x14ac:dyDescent="0.2">
      <c r="A3788" s="1" t="s">
        <v>808</v>
      </c>
    </row>
    <row r="3789" spans="1:1" x14ac:dyDescent="0.2">
      <c r="A3789" s="1" t="s">
        <v>809</v>
      </c>
    </row>
    <row r="3790" spans="1:1" x14ac:dyDescent="0.2">
      <c r="A3790" s="1" t="s">
        <v>808</v>
      </c>
    </row>
    <row r="3791" spans="1:1" x14ac:dyDescent="0.2">
      <c r="A3791" s="1" t="s">
        <v>809</v>
      </c>
    </row>
    <row r="3792" spans="1:1" x14ac:dyDescent="0.2">
      <c r="A3792" s="1" t="s">
        <v>808</v>
      </c>
    </row>
    <row r="3793" spans="1:1" x14ac:dyDescent="0.2">
      <c r="A3793" s="1" t="s">
        <v>809</v>
      </c>
    </row>
    <row r="3794" spans="1:1" x14ac:dyDescent="0.2">
      <c r="A3794" s="1" t="s">
        <v>810</v>
      </c>
    </row>
    <row r="3795" spans="1:1" x14ac:dyDescent="0.2">
      <c r="A3795" s="1" t="s">
        <v>811</v>
      </c>
    </row>
    <row r="3796" spans="1:1" x14ac:dyDescent="0.2">
      <c r="A3796" s="1" t="s">
        <v>812</v>
      </c>
    </row>
    <row r="3797" spans="1:1" x14ac:dyDescent="0.2">
      <c r="A3797" s="1" t="s">
        <v>813</v>
      </c>
    </row>
    <row r="3798" spans="1:1" x14ac:dyDescent="0.2">
      <c r="A3798" s="1" t="s">
        <v>814</v>
      </c>
    </row>
    <row r="3799" spans="1:1" x14ac:dyDescent="0.2">
      <c r="A3799" s="1" t="s">
        <v>815</v>
      </c>
    </row>
    <row r="3800" spans="1:1" x14ac:dyDescent="0.2">
      <c r="A3800" s="1" t="s">
        <v>816</v>
      </c>
    </row>
    <row r="3801" spans="1:1" x14ac:dyDescent="0.2">
      <c r="A3801" s="1" t="s">
        <v>817</v>
      </c>
    </row>
    <row r="3802" spans="1:1" x14ac:dyDescent="0.2">
      <c r="A3802" s="1" t="s">
        <v>808</v>
      </c>
    </row>
    <row r="3803" spans="1:1" x14ac:dyDescent="0.2">
      <c r="A3803" s="1" t="s">
        <v>809</v>
      </c>
    </row>
    <row r="3804" spans="1:1" x14ac:dyDescent="0.2">
      <c r="A3804" s="1" t="s">
        <v>808</v>
      </c>
    </row>
    <row r="3805" spans="1:1" x14ac:dyDescent="0.2">
      <c r="A3805" s="1" t="s">
        <v>809</v>
      </c>
    </row>
    <row r="3806" spans="1:1" x14ac:dyDescent="0.2">
      <c r="A3806" s="1" t="s">
        <v>808</v>
      </c>
    </row>
    <row r="3807" spans="1:1" x14ac:dyDescent="0.2">
      <c r="A3807" s="1" t="s">
        <v>809</v>
      </c>
    </row>
    <row r="3808" spans="1:1" x14ac:dyDescent="0.2">
      <c r="A3808" s="1" t="s">
        <v>810</v>
      </c>
    </row>
    <row r="3809" spans="1:1" x14ac:dyDescent="0.2">
      <c r="A3809" s="1" t="s">
        <v>811</v>
      </c>
    </row>
    <row r="3810" spans="1:1" x14ac:dyDescent="0.2">
      <c r="A3810" s="1" t="s">
        <v>812</v>
      </c>
    </row>
    <row r="3811" spans="1:1" x14ac:dyDescent="0.2">
      <c r="A3811" s="1" t="s">
        <v>813</v>
      </c>
    </row>
    <row r="3812" spans="1:1" x14ac:dyDescent="0.2">
      <c r="A3812" s="1" t="s">
        <v>814</v>
      </c>
    </row>
    <row r="3813" spans="1:1" x14ac:dyDescent="0.2">
      <c r="A3813" s="1" t="s">
        <v>815</v>
      </c>
    </row>
    <row r="3814" spans="1:1" x14ac:dyDescent="0.2">
      <c r="A3814" s="1" t="s">
        <v>816</v>
      </c>
    </row>
    <row r="3815" spans="1:1" x14ac:dyDescent="0.2">
      <c r="A3815" s="1" t="s">
        <v>817</v>
      </c>
    </row>
    <row r="3816" spans="1:1" x14ac:dyDescent="0.2">
      <c r="A3816" s="1" t="s">
        <v>808</v>
      </c>
    </row>
    <row r="3817" spans="1:1" x14ac:dyDescent="0.2">
      <c r="A3817" s="1" t="s">
        <v>809</v>
      </c>
    </row>
    <row r="3818" spans="1:1" x14ac:dyDescent="0.2">
      <c r="A3818" s="1" t="s">
        <v>808</v>
      </c>
    </row>
    <row r="3819" spans="1:1" x14ac:dyDescent="0.2">
      <c r="A3819" s="1" t="s">
        <v>809</v>
      </c>
    </row>
    <row r="3820" spans="1:1" x14ac:dyDescent="0.2">
      <c r="A3820" s="1" t="s">
        <v>808</v>
      </c>
    </row>
    <row r="3821" spans="1:1" x14ac:dyDescent="0.2">
      <c r="A3821" s="1" t="s">
        <v>809</v>
      </c>
    </row>
    <row r="3822" spans="1:1" x14ac:dyDescent="0.2">
      <c r="A3822" s="1" t="s">
        <v>810</v>
      </c>
    </row>
    <row r="3823" spans="1:1" x14ac:dyDescent="0.2">
      <c r="A3823" s="1" t="s">
        <v>811</v>
      </c>
    </row>
    <row r="3824" spans="1:1" x14ac:dyDescent="0.2">
      <c r="A3824" s="1" t="s">
        <v>812</v>
      </c>
    </row>
    <row r="3825" spans="1:1" x14ac:dyDescent="0.2">
      <c r="A3825" s="1" t="s">
        <v>813</v>
      </c>
    </row>
    <row r="3826" spans="1:1" x14ac:dyDescent="0.2">
      <c r="A3826" s="1" t="s">
        <v>814</v>
      </c>
    </row>
    <row r="3827" spans="1:1" x14ac:dyDescent="0.2">
      <c r="A3827" s="1" t="s">
        <v>815</v>
      </c>
    </row>
    <row r="3828" spans="1:1" x14ac:dyDescent="0.2">
      <c r="A3828" s="1" t="s">
        <v>816</v>
      </c>
    </row>
    <row r="3829" spans="1:1" x14ac:dyDescent="0.2">
      <c r="A3829" s="1" t="s">
        <v>818</v>
      </c>
    </row>
    <row r="3830" spans="1:1" x14ac:dyDescent="0.2">
      <c r="A3830" s="1" t="s">
        <v>819</v>
      </c>
    </row>
    <row r="3831" spans="1:1" x14ac:dyDescent="0.2">
      <c r="A3831" s="1" t="s">
        <v>820</v>
      </c>
    </row>
    <row r="3832" spans="1:1" x14ac:dyDescent="0.2">
      <c r="A3832" s="1" t="s">
        <v>819</v>
      </c>
    </row>
    <row r="3833" spans="1:1" x14ac:dyDescent="0.2">
      <c r="A3833" s="1" t="s">
        <v>820</v>
      </c>
    </row>
    <row r="3834" spans="1:1" x14ac:dyDescent="0.2">
      <c r="A3834" s="1" t="s">
        <v>819</v>
      </c>
    </row>
    <row r="3835" spans="1:1" x14ac:dyDescent="0.2">
      <c r="A3835" s="1" t="s">
        <v>820</v>
      </c>
    </row>
    <row r="3836" spans="1:1" x14ac:dyDescent="0.2">
      <c r="A3836" s="1" t="s">
        <v>821</v>
      </c>
    </row>
    <row r="3837" spans="1:1" x14ac:dyDescent="0.2">
      <c r="A3837" s="1" t="s">
        <v>822</v>
      </c>
    </row>
    <row r="3838" spans="1:1" x14ac:dyDescent="0.2">
      <c r="A3838" s="1" t="s">
        <v>823</v>
      </c>
    </row>
    <row r="3839" spans="1:1" x14ac:dyDescent="0.2">
      <c r="A3839" s="1" t="s">
        <v>824</v>
      </c>
    </row>
    <row r="3840" spans="1:1" x14ac:dyDescent="0.2">
      <c r="A3840" s="1" t="s">
        <v>825</v>
      </c>
    </row>
    <row r="3841" spans="1:1" x14ac:dyDescent="0.2">
      <c r="A3841" s="1" t="s">
        <v>826</v>
      </c>
    </row>
    <row r="3842" spans="1:1" x14ac:dyDescent="0.2">
      <c r="A3842" s="1" t="s">
        <v>827</v>
      </c>
    </row>
    <row r="3843" spans="1:1" x14ac:dyDescent="0.2">
      <c r="A3843" s="1" t="s">
        <v>818</v>
      </c>
    </row>
    <row r="3844" spans="1:1" x14ac:dyDescent="0.2">
      <c r="A3844" s="1" t="s">
        <v>819</v>
      </c>
    </row>
    <row r="3845" spans="1:1" x14ac:dyDescent="0.2">
      <c r="A3845" s="1" t="s">
        <v>820</v>
      </c>
    </row>
    <row r="3846" spans="1:1" x14ac:dyDescent="0.2">
      <c r="A3846" s="1" t="s">
        <v>828</v>
      </c>
    </row>
    <row r="3847" spans="1:1" x14ac:dyDescent="0.2">
      <c r="A3847" s="1" t="s">
        <v>829</v>
      </c>
    </row>
    <row r="3848" spans="1:1" x14ac:dyDescent="0.2">
      <c r="A3848" s="1" t="s">
        <v>819</v>
      </c>
    </row>
    <row r="3849" spans="1:1" x14ac:dyDescent="0.2">
      <c r="A3849" s="1" t="s">
        <v>820</v>
      </c>
    </row>
    <row r="3850" spans="1:1" x14ac:dyDescent="0.2">
      <c r="A3850" s="1" t="s">
        <v>830</v>
      </c>
    </row>
    <row r="3851" spans="1:1" x14ac:dyDescent="0.2">
      <c r="A3851" s="1" t="s">
        <v>831</v>
      </c>
    </row>
    <row r="3852" spans="1:1" x14ac:dyDescent="0.2">
      <c r="A3852" s="1" t="s">
        <v>832</v>
      </c>
    </row>
    <row r="3853" spans="1:1" x14ac:dyDescent="0.2">
      <c r="A3853" s="1" t="s">
        <v>833</v>
      </c>
    </row>
    <row r="3854" spans="1:1" x14ac:dyDescent="0.2">
      <c r="A3854" s="1" t="s">
        <v>834</v>
      </c>
    </row>
    <row r="3855" spans="1:1" x14ac:dyDescent="0.2">
      <c r="A3855" s="1" t="s">
        <v>835</v>
      </c>
    </row>
    <row r="3856" spans="1:1" x14ac:dyDescent="0.2">
      <c r="A3856" s="1" t="s">
        <v>836</v>
      </c>
    </row>
    <row r="3857" spans="1:1" x14ac:dyDescent="0.2">
      <c r="A3857" s="1" t="s">
        <v>837</v>
      </c>
    </row>
    <row r="3858" spans="1:1" x14ac:dyDescent="0.2">
      <c r="A3858" s="1" t="s">
        <v>828</v>
      </c>
    </row>
    <row r="3859" spans="1:1" x14ac:dyDescent="0.2">
      <c r="A3859" s="1" t="s">
        <v>838</v>
      </c>
    </row>
    <row r="3860" spans="1:1" x14ac:dyDescent="0.2">
      <c r="A3860" s="1" t="s">
        <v>819</v>
      </c>
    </row>
    <row r="3861" spans="1:1" x14ac:dyDescent="0.2">
      <c r="A3861" s="1" t="s">
        <v>820</v>
      </c>
    </row>
    <row r="3862" spans="1:1" x14ac:dyDescent="0.2">
      <c r="A3862" s="1" t="s">
        <v>830</v>
      </c>
    </row>
    <row r="3863" spans="1:1" x14ac:dyDescent="0.2">
      <c r="A3863" s="1" t="s">
        <v>831</v>
      </c>
    </row>
    <row r="3864" spans="1:1" x14ac:dyDescent="0.2">
      <c r="A3864" s="1" t="s">
        <v>839</v>
      </c>
    </row>
    <row r="3865" spans="1:1" x14ac:dyDescent="0.2">
      <c r="A3865" s="1" t="s">
        <v>833</v>
      </c>
    </row>
    <row r="3866" spans="1:1" x14ac:dyDescent="0.2">
      <c r="A3866" s="1" t="s">
        <v>834</v>
      </c>
    </row>
    <row r="3867" spans="1:1" x14ac:dyDescent="0.2">
      <c r="A3867" s="1" t="s">
        <v>835</v>
      </c>
    </row>
    <row r="3868" spans="1:1" x14ac:dyDescent="0.2">
      <c r="A3868" s="1" t="s">
        <v>836</v>
      </c>
    </row>
    <row r="3869" spans="1:1" x14ac:dyDescent="0.2">
      <c r="A3869" s="1" t="s">
        <v>837</v>
      </c>
    </row>
    <row r="3870" spans="1:1" x14ac:dyDescent="0.2">
      <c r="A3870" s="1" t="s">
        <v>828</v>
      </c>
    </row>
    <row r="3871" spans="1:1" x14ac:dyDescent="0.2">
      <c r="A3871" s="1" t="s">
        <v>840</v>
      </c>
    </row>
    <row r="3872" spans="1:1" x14ac:dyDescent="0.2">
      <c r="A3872" s="1" t="s">
        <v>819</v>
      </c>
    </row>
    <row r="3873" spans="1:1" x14ac:dyDescent="0.2">
      <c r="A3873" s="1" t="s">
        <v>820</v>
      </c>
    </row>
    <row r="3874" spans="1:1" x14ac:dyDescent="0.2">
      <c r="A3874" s="1" t="s">
        <v>830</v>
      </c>
    </row>
    <row r="3875" spans="1:1" x14ac:dyDescent="0.2">
      <c r="A3875" s="1" t="s">
        <v>831</v>
      </c>
    </row>
    <row r="3876" spans="1:1" x14ac:dyDescent="0.2">
      <c r="A3876" s="1" t="s">
        <v>841</v>
      </c>
    </row>
    <row r="3877" spans="1:1" x14ac:dyDescent="0.2">
      <c r="A3877" s="1" t="s">
        <v>833</v>
      </c>
    </row>
    <row r="3878" spans="1:1" x14ac:dyDescent="0.2">
      <c r="A3878" s="1" t="s">
        <v>834</v>
      </c>
    </row>
    <row r="3879" spans="1:1" x14ac:dyDescent="0.2">
      <c r="A3879" s="1" t="s">
        <v>835</v>
      </c>
    </row>
    <row r="3880" spans="1:1" x14ac:dyDescent="0.2">
      <c r="A3880" s="1" t="s">
        <v>836</v>
      </c>
    </row>
    <row r="3881" spans="1:1" x14ac:dyDescent="0.2">
      <c r="A3881" s="1" t="s">
        <v>837</v>
      </c>
    </row>
    <row r="3882" spans="1:1" x14ac:dyDescent="0.2">
      <c r="A3882" s="1" t="s">
        <v>828</v>
      </c>
    </row>
    <row r="3883" spans="1:1" x14ac:dyDescent="0.2">
      <c r="A3883" s="1" t="s">
        <v>842</v>
      </c>
    </row>
    <row r="3884" spans="1:1" x14ac:dyDescent="0.2">
      <c r="A3884" s="1" t="s">
        <v>819</v>
      </c>
    </row>
    <row r="3885" spans="1:1" x14ac:dyDescent="0.2">
      <c r="A3885" s="1" t="s">
        <v>820</v>
      </c>
    </row>
    <row r="3886" spans="1:1" x14ac:dyDescent="0.2">
      <c r="A3886" s="1" t="s">
        <v>830</v>
      </c>
    </row>
    <row r="3887" spans="1:1" x14ac:dyDescent="0.2">
      <c r="A3887" s="1" t="s">
        <v>831</v>
      </c>
    </row>
    <row r="3888" spans="1:1" x14ac:dyDescent="0.2">
      <c r="A3888" s="1" t="s">
        <v>843</v>
      </c>
    </row>
    <row r="3889" spans="1:1" x14ac:dyDescent="0.2">
      <c r="A3889" s="1" t="s">
        <v>833</v>
      </c>
    </row>
    <row r="3890" spans="1:1" x14ac:dyDescent="0.2">
      <c r="A3890" s="1" t="s">
        <v>834</v>
      </c>
    </row>
    <row r="3891" spans="1:1" x14ac:dyDescent="0.2">
      <c r="A3891" s="1" t="s">
        <v>835</v>
      </c>
    </row>
    <row r="3892" spans="1:1" x14ac:dyDescent="0.2">
      <c r="A3892" s="1" t="s">
        <v>836</v>
      </c>
    </row>
    <row r="3893" spans="1:1" x14ac:dyDescent="0.2">
      <c r="A3893" s="1" t="s">
        <v>837</v>
      </c>
    </row>
    <row r="3894" spans="1:1" x14ac:dyDescent="0.2">
      <c r="A3894" s="1" t="s">
        <v>828</v>
      </c>
    </row>
    <row r="3895" spans="1:1" x14ac:dyDescent="0.2">
      <c r="A3895" s="1" t="s">
        <v>844</v>
      </c>
    </row>
    <row r="3896" spans="1:1" x14ac:dyDescent="0.2">
      <c r="A3896" s="1" t="s">
        <v>819</v>
      </c>
    </row>
    <row r="3897" spans="1:1" x14ac:dyDescent="0.2">
      <c r="A3897" s="1" t="s">
        <v>820</v>
      </c>
    </row>
    <row r="3898" spans="1:1" x14ac:dyDescent="0.2">
      <c r="A3898" s="1" t="s">
        <v>830</v>
      </c>
    </row>
    <row r="3899" spans="1:1" x14ac:dyDescent="0.2">
      <c r="A3899" s="1" t="s">
        <v>831</v>
      </c>
    </row>
    <row r="3900" spans="1:1" x14ac:dyDescent="0.2">
      <c r="A3900" s="1" t="s">
        <v>845</v>
      </c>
    </row>
    <row r="3901" spans="1:1" x14ac:dyDescent="0.2">
      <c r="A3901" s="1" t="s">
        <v>833</v>
      </c>
    </row>
    <row r="3902" spans="1:1" x14ac:dyDescent="0.2">
      <c r="A3902" s="1" t="s">
        <v>834</v>
      </c>
    </row>
    <row r="3903" spans="1:1" x14ac:dyDescent="0.2">
      <c r="A3903" s="1" t="s">
        <v>835</v>
      </c>
    </row>
    <row r="3904" spans="1:1" x14ac:dyDescent="0.2">
      <c r="A3904" s="1" t="s">
        <v>836</v>
      </c>
    </row>
    <row r="3905" spans="1:1" x14ac:dyDescent="0.2">
      <c r="A3905" s="1" t="s">
        <v>837</v>
      </c>
    </row>
    <row r="3906" spans="1:1" x14ac:dyDescent="0.2">
      <c r="A3906" s="1" t="s">
        <v>828</v>
      </c>
    </row>
    <row r="3907" spans="1:1" x14ac:dyDescent="0.2">
      <c r="A3907" s="1" t="s">
        <v>846</v>
      </c>
    </row>
    <row r="3908" spans="1:1" x14ac:dyDescent="0.2">
      <c r="A3908" s="1" t="s">
        <v>819</v>
      </c>
    </row>
    <row r="3909" spans="1:1" x14ac:dyDescent="0.2">
      <c r="A3909" s="1" t="s">
        <v>820</v>
      </c>
    </row>
    <row r="3910" spans="1:1" x14ac:dyDescent="0.2">
      <c r="A3910" s="1" t="s">
        <v>830</v>
      </c>
    </row>
    <row r="3911" spans="1:1" x14ac:dyDescent="0.2">
      <c r="A3911" s="1" t="s">
        <v>831</v>
      </c>
    </row>
    <row r="3912" spans="1:1" x14ac:dyDescent="0.2">
      <c r="A3912" s="1" t="s">
        <v>847</v>
      </c>
    </row>
    <row r="3913" spans="1:1" x14ac:dyDescent="0.2">
      <c r="A3913" s="1" t="s">
        <v>833</v>
      </c>
    </row>
    <row r="3914" spans="1:1" x14ac:dyDescent="0.2">
      <c r="A3914" s="1" t="s">
        <v>834</v>
      </c>
    </row>
    <row r="3915" spans="1:1" x14ac:dyDescent="0.2">
      <c r="A3915" s="1" t="s">
        <v>835</v>
      </c>
    </row>
    <row r="3916" spans="1:1" x14ac:dyDescent="0.2">
      <c r="A3916" s="1" t="s">
        <v>836</v>
      </c>
    </row>
    <row r="3917" spans="1:1" x14ac:dyDescent="0.2">
      <c r="A3917" s="1" t="s">
        <v>837</v>
      </c>
    </row>
    <row r="3918" spans="1:1" x14ac:dyDescent="0.2">
      <c r="A3918" s="1" t="s">
        <v>828</v>
      </c>
    </row>
    <row r="3919" spans="1:1" x14ac:dyDescent="0.2">
      <c r="A3919" s="1" t="s">
        <v>848</v>
      </c>
    </row>
    <row r="3920" spans="1:1" x14ac:dyDescent="0.2">
      <c r="A3920" s="1" t="s">
        <v>819</v>
      </c>
    </row>
    <row r="3921" spans="1:1" x14ac:dyDescent="0.2">
      <c r="A3921" s="1" t="s">
        <v>820</v>
      </c>
    </row>
    <row r="3922" spans="1:1" x14ac:dyDescent="0.2">
      <c r="A3922" s="1" t="s">
        <v>830</v>
      </c>
    </row>
    <row r="3923" spans="1:1" x14ac:dyDescent="0.2">
      <c r="A3923" s="1" t="s">
        <v>831</v>
      </c>
    </row>
    <row r="3924" spans="1:1" x14ac:dyDescent="0.2">
      <c r="A3924" s="1" t="s">
        <v>849</v>
      </c>
    </row>
    <row r="3925" spans="1:1" x14ac:dyDescent="0.2">
      <c r="A3925" s="1" t="s">
        <v>833</v>
      </c>
    </row>
    <row r="3926" spans="1:1" x14ac:dyDescent="0.2">
      <c r="A3926" s="1" t="s">
        <v>834</v>
      </c>
    </row>
    <row r="3927" spans="1:1" x14ac:dyDescent="0.2">
      <c r="A3927" s="1" t="s">
        <v>835</v>
      </c>
    </row>
    <row r="3928" spans="1:1" x14ac:dyDescent="0.2">
      <c r="A3928" s="1" t="s">
        <v>836</v>
      </c>
    </row>
    <row r="3929" spans="1:1" x14ac:dyDescent="0.2">
      <c r="A3929" s="1" t="s">
        <v>837</v>
      </c>
    </row>
    <row r="3930" spans="1:1" x14ac:dyDescent="0.2">
      <c r="A3930" s="1" t="s">
        <v>828</v>
      </c>
    </row>
    <row r="3931" spans="1:1" x14ac:dyDescent="0.2">
      <c r="A3931" s="1" t="s">
        <v>850</v>
      </c>
    </row>
    <row r="3932" spans="1:1" x14ac:dyDescent="0.2">
      <c r="A3932" s="1" t="s">
        <v>819</v>
      </c>
    </row>
    <row r="3933" spans="1:1" x14ac:dyDescent="0.2">
      <c r="A3933" s="1" t="s">
        <v>820</v>
      </c>
    </row>
    <row r="3934" spans="1:1" x14ac:dyDescent="0.2">
      <c r="A3934" s="1" t="s">
        <v>830</v>
      </c>
    </row>
    <row r="3935" spans="1:1" x14ac:dyDescent="0.2">
      <c r="A3935" s="1" t="s">
        <v>831</v>
      </c>
    </row>
    <row r="3936" spans="1:1" x14ac:dyDescent="0.2">
      <c r="A3936" s="1" t="s">
        <v>851</v>
      </c>
    </row>
    <row r="3937" spans="1:1" x14ac:dyDescent="0.2">
      <c r="A3937" s="1" t="s">
        <v>833</v>
      </c>
    </row>
    <row r="3938" spans="1:1" x14ac:dyDescent="0.2">
      <c r="A3938" s="1" t="s">
        <v>834</v>
      </c>
    </row>
    <row r="3939" spans="1:1" x14ac:dyDescent="0.2">
      <c r="A3939" s="1" t="s">
        <v>835</v>
      </c>
    </row>
    <row r="3940" spans="1:1" x14ac:dyDescent="0.2">
      <c r="A3940" s="1" t="s">
        <v>836</v>
      </c>
    </row>
    <row r="3941" spans="1:1" x14ac:dyDescent="0.2">
      <c r="A3941" s="1" t="s">
        <v>837</v>
      </c>
    </row>
    <row r="3942" spans="1:1" x14ac:dyDescent="0.2">
      <c r="A3942" s="1" t="s">
        <v>852</v>
      </c>
    </row>
    <row r="3943" spans="1:1" x14ac:dyDescent="0.2">
      <c r="A3943" s="1" t="s">
        <v>853</v>
      </c>
    </row>
    <row r="3944" spans="1:1" x14ac:dyDescent="0.2">
      <c r="A3944" s="1" t="s">
        <v>854</v>
      </c>
    </row>
    <row r="3945" spans="1:1" x14ac:dyDescent="0.2">
      <c r="A3945" s="1" t="s">
        <v>855</v>
      </c>
    </row>
    <row r="3946" spans="1:1" x14ac:dyDescent="0.2">
      <c r="A3946" s="1" t="s">
        <v>856</v>
      </c>
    </row>
    <row r="3947" spans="1:1" x14ac:dyDescent="0.2">
      <c r="A3947" s="1" t="s">
        <v>857</v>
      </c>
    </row>
    <row r="3948" spans="1:1" x14ac:dyDescent="0.2">
      <c r="A3948" s="1" t="s">
        <v>858</v>
      </c>
    </row>
    <row r="3949" spans="1:1" x14ac:dyDescent="0.2">
      <c r="A3949" s="1" t="s">
        <v>859</v>
      </c>
    </row>
    <row r="3950" spans="1:1" x14ac:dyDescent="0.2">
      <c r="A3950" s="1" t="s">
        <v>860</v>
      </c>
    </row>
    <row r="3951" spans="1:1" x14ac:dyDescent="0.2">
      <c r="A3951" s="1" t="s">
        <v>861</v>
      </c>
    </row>
    <row r="3952" spans="1:1" x14ac:dyDescent="0.2">
      <c r="A3952" s="1" t="s">
        <v>862</v>
      </c>
    </row>
    <row r="3953" spans="1:1" x14ac:dyDescent="0.2">
      <c r="A3953" s="1" t="s">
        <v>863</v>
      </c>
    </row>
    <row r="3954" spans="1:1" x14ac:dyDescent="0.2">
      <c r="A3954" s="1" t="s">
        <v>852</v>
      </c>
    </row>
    <row r="3955" spans="1:1" x14ac:dyDescent="0.2">
      <c r="A3955" s="1" t="s">
        <v>864</v>
      </c>
    </row>
    <row r="3956" spans="1:1" x14ac:dyDescent="0.2">
      <c r="A3956" s="1" t="s">
        <v>854</v>
      </c>
    </row>
    <row r="3957" spans="1:1" x14ac:dyDescent="0.2">
      <c r="A3957" s="1" t="s">
        <v>855</v>
      </c>
    </row>
    <row r="3958" spans="1:1" x14ac:dyDescent="0.2">
      <c r="A3958" s="1" t="s">
        <v>856</v>
      </c>
    </row>
    <row r="3959" spans="1:1" x14ac:dyDescent="0.2">
      <c r="A3959" s="1" t="s">
        <v>857</v>
      </c>
    </row>
    <row r="3960" spans="1:1" x14ac:dyDescent="0.2">
      <c r="A3960" s="1" t="s">
        <v>865</v>
      </c>
    </row>
    <row r="3961" spans="1:1" x14ac:dyDescent="0.2">
      <c r="A3961" s="1" t="s">
        <v>859</v>
      </c>
    </row>
    <row r="3962" spans="1:1" x14ac:dyDescent="0.2">
      <c r="A3962" s="1" t="s">
        <v>860</v>
      </c>
    </row>
    <row r="3963" spans="1:1" x14ac:dyDescent="0.2">
      <c r="A3963" s="1" t="s">
        <v>861</v>
      </c>
    </row>
    <row r="3964" spans="1:1" x14ac:dyDescent="0.2">
      <c r="A3964" s="1" t="s">
        <v>862</v>
      </c>
    </row>
    <row r="3965" spans="1:1" x14ac:dyDescent="0.2">
      <c r="A3965" s="1" t="s">
        <v>863</v>
      </c>
    </row>
    <row r="3966" spans="1:1" x14ac:dyDescent="0.2">
      <c r="A3966" s="1" t="s">
        <v>866</v>
      </c>
    </row>
    <row r="3967" spans="1:1" x14ac:dyDescent="0.2">
      <c r="A3967" s="1" t="s">
        <v>867</v>
      </c>
    </row>
    <row r="3968" spans="1:1" x14ac:dyDescent="0.2">
      <c r="A3968" s="1" t="s">
        <v>868</v>
      </c>
    </row>
    <row r="3969" spans="1:1" x14ac:dyDescent="0.2">
      <c r="A3969" s="1" t="s">
        <v>869</v>
      </c>
    </row>
    <row r="3970" spans="1:1" x14ac:dyDescent="0.2">
      <c r="A3970" s="1" t="s">
        <v>870</v>
      </c>
    </row>
    <row r="3971" spans="1:1" x14ac:dyDescent="0.2">
      <c r="A3971" s="1" t="s">
        <v>871</v>
      </c>
    </row>
    <row r="3972" spans="1:1" x14ac:dyDescent="0.2">
      <c r="A3972" s="1" t="s">
        <v>872</v>
      </c>
    </row>
    <row r="3973" spans="1:1" x14ac:dyDescent="0.2">
      <c r="A3973" s="1" t="s">
        <v>873</v>
      </c>
    </row>
    <row r="3974" spans="1:1" x14ac:dyDescent="0.2">
      <c r="A3974" s="1" t="s">
        <v>874</v>
      </c>
    </row>
    <row r="3975" spans="1:1" x14ac:dyDescent="0.2">
      <c r="A3975" s="1" t="s">
        <v>875</v>
      </c>
    </row>
    <row r="3976" spans="1:1" x14ac:dyDescent="0.2">
      <c r="A3976" s="1" t="s">
        <v>876</v>
      </c>
    </row>
    <row r="3977" spans="1:1" x14ac:dyDescent="0.2">
      <c r="A3977" s="1" t="s">
        <v>877</v>
      </c>
    </row>
    <row r="3978" spans="1:1" x14ac:dyDescent="0.2">
      <c r="A3978" s="1" t="s">
        <v>866</v>
      </c>
    </row>
    <row r="3979" spans="1:1" x14ac:dyDescent="0.2">
      <c r="A3979" s="1" t="s">
        <v>878</v>
      </c>
    </row>
    <row r="3980" spans="1:1" x14ac:dyDescent="0.2">
      <c r="A3980" s="1" t="s">
        <v>868</v>
      </c>
    </row>
    <row r="3981" spans="1:1" x14ac:dyDescent="0.2">
      <c r="A3981" s="1" t="s">
        <v>869</v>
      </c>
    </row>
    <row r="3982" spans="1:1" x14ac:dyDescent="0.2">
      <c r="A3982" s="1" t="s">
        <v>870</v>
      </c>
    </row>
    <row r="3983" spans="1:1" x14ac:dyDescent="0.2">
      <c r="A3983" s="1" t="s">
        <v>871</v>
      </c>
    </row>
    <row r="3984" spans="1:1" x14ac:dyDescent="0.2">
      <c r="A3984" s="1" t="s">
        <v>879</v>
      </c>
    </row>
    <row r="3985" spans="1:1" x14ac:dyDescent="0.2">
      <c r="A3985" s="1" t="s">
        <v>873</v>
      </c>
    </row>
    <row r="3986" spans="1:1" x14ac:dyDescent="0.2">
      <c r="A3986" s="1" t="s">
        <v>874</v>
      </c>
    </row>
    <row r="3987" spans="1:1" x14ac:dyDescent="0.2">
      <c r="A3987" s="1" t="s">
        <v>875</v>
      </c>
    </row>
    <row r="3988" spans="1:1" x14ac:dyDescent="0.2">
      <c r="A3988" s="1" t="s">
        <v>876</v>
      </c>
    </row>
    <row r="3989" spans="1:1" x14ac:dyDescent="0.2">
      <c r="A3989" s="1" t="s">
        <v>877</v>
      </c>
    </row>
    <row r="3990" spans="1:1" x14ac:dyDescent="0.2">
      <c r="A3990" s="1" t="s">
        <v>866</v>
      </c>
    </row>
    <row r="3991" spans="1:1" x14ac:dyDescent="0.2">
      <c r="A3991" s="1" t="s">
        <v>880</v>
      </c>
    </row>
    <row r="3992" spans="1:1" x14ac:dyDescent="0.2">
      <c r="A3992" s="1" t="s">
        <v>868</v>
      </c>
    </row>
    <row r="3993" spans="1:1" x14ac:dyDescent="0.2">
      <c r="A3993" s="1" t="s">
        <v>869</v>
      </c>
    </row>
    <row r="3994" spans="1:1" x14ac:dyDescent="0.2">
      <c r="A3994" s="1" t="s">
        <v>870</v>
      </c>
    </row>
    <row r="3995" spans="1:1" x14ac:dyDescent="0.2">
      <c r="A3995" s="1" t="s">
        <v>871</v>
      </c>
    </row>
    <row r="3996" spans="1:1" x14ac:dyDescent="0.2">
      <c r="A3996" s="1" t="s">
        <v>881</v>
      </c>
    </row>
    <row r="3997" spans="1:1" x14ac:dyDescent="0.2">
      <c r="A3997" s="1" t="s">
        <v>873</v>
      </c>
    </row>
    <row r="3998" spans="1:1" x14ac:dyDescent="0.2">
      <c r="A3998" s="1" t="s">
        <v>874</v>
      </c>
    </row>
    <row r="3999" spans="1:1" x14ac:dyDescent="0.2">
      <c r="A3999" s="1" t="s">
        <v>875</v>
      </c>
    </row>
    <row r="4000" spans="1:1" x14ac:dyDescent="0.2">
      <c r="A4000" s="1" t="s">
        <v>876</v>
      </c>
    </row>
    <row r="4001" spans="1:1" x14ac:dyDescent="0.2">
      <c r="A4001" s="1" t="s">
        <v>877</v>
      </c>
    </row>
    <row r="4002" spans="1:1" x14ac:dyDescent="0.2">
      <c r="A4002" s="1" t="s">
        <v>866</v>
      </c>
    </row>
    <row r="4003" spans="1:1" x14ac:dyDescent="0.2">
      <c r="A4003" s="1" t="s">
        <v>882</v>
      </c>
    </row>
    <row r="4004" spans="1:1" x14ac:dyDescent="0.2">
      <c r="A4004" s="1" t="s">
        <v>868</v>
      </c>
    </row>
    <row r="4005" spans="1:1" x14ac:dyDescent="0.2">
      <c r="A4005" s="1" t="s">
        <v>869</v>
      </c>
    </row>
    <row r="4006" spans="1:1" x14ac:dyDescent="0.2">
      <c r="A4006" s="1" t="s">
        <v>870</v>
      </c>
    </row>
    <row r="4007" spans="1:1" x14ac:dyDescent="0.2">
      <c r="A4007" s="1" t="s">
        <v>871</v>
      </c>
    </row>
    <row r="4008" spans="1:1" x14ac:dyDescent="0.2">
      <c r="A4008" s="1" t="s">
        <v>883</v>
      </c>
    </row>
    <row r="4009" spans="1:1" x14ac:dyDescent="0.2">
      <c r="A4009" s="1" t="s">
        <v>873</v>
      </c>
    </row>
    <row r="4010" spans="1:1" x14ac:dyDescent="0.2">
      <c r="A4010" s="1" t="s">
        <v>874</v>
      </c>
    </row>
    <row r="4011" spans="1:1" x14ac:dyDescent="0.2">
      <c r="A4011" s="1" t="s">
        <v>875</v>
      </c>
    </row>
    <row r="4012" spans="1:1" x14ac:dyDescent="0.2">
      <c r="A4012" s="1" t="s">
        <v>876</v>
      </c>
    </row>
    <row r="4013" spans="1:1" x14ac:dyDescent="0.2">
      <c r="A4013" s="1" t="s">
        <v>877</v>
      </c>
    </row>
    <row r="4014" spans="1:1" x14ac:dyDescent="0.2">
      <c r="A4014" s="1" t="s">
        <v>866</v>
      </c>
    </row>
    <row r="4015" spans="1:1" x14ac:dyDescent="0.2">
      <c r="A4015" s="1" t="s">
        <v>884</v>
      </c>
    </row>
    <row r="4016" spans="1:1" x14ac:dyDescent="0.2">
      <c r="A4016" s="1" t="s">
        <v>868</v>
      </c>
    </row>
    <row r="4017" spans="1:1" x14ac:dyDescent="0.2">
      <c r="A4017" s="1" t="s">
        <v>869</v>
      </c>
    </row>
    <row r="4018" spans="1:1" x14ac:dyDescent="0.2">
      <c r="A4018" s="1" t="s">
        <v>870</v>
      </c>
    </row>
    <row r="4019" spans="1:1" x14ac:dyDescent="0.2">
      <c r="A4019" s="1" t="s">
        <v>871</v>
      </c>
    </row>
    <row r="4020" spans="1:1" x14ac:dyDescent="0.2">
      <c r="A4020" s="1" t="s">
        <v>885</v>
      </c>
    </row>
    <row r="4021" spans="1:1" x14ac:dyDescent="0.2">
      <c r="A4021" s="1" t="s">
        <v>873</v>
      </c>
    </row>
    <row r="4022" spans="1:1" x14ac:dyDescent="0.2">
      <c r="A4022" s="1" t="s">
        <v>874</v>
      </c>
    </row>
    <row r="4023" spans="1:1" x14ac:dyDescent="0.2">
      <c r="A4023" s="1" t="s">
        <v>875</v>
      </c>
    </row>
    <row r="4024" spans="1:1" x14ac:dyDescent="0.2">
      <c r="A4024" s="1" t="s">
        <v>876</v>
      </c>
    </row>
    <row r="4025" spans="1:1" x14ac:dyDescent="0.2">
      <c r="A4025" s="1" t="s">
        <v>877</v>
      </c>
    </row>
    <row r="4026" spans="1:1" x14ac:dyDescent="0.2">
      <c r="A4026" s="1" t="s">
        <v>866</v>
      </c>
    </row>
    <row r="4027" spans="1:1" x14ac:dyDescent="0.2">
      <c r="A4027" s="1" t="s">
        <v>886</v>
      </c>
    </row>
    <row r="4028" spans="1:1" x14ac:dyDescent="0.2">
      <c r="A4028" s="1" t="s">
        <v>868</v>
      </c>
    </row>
    <row r="4029" spans="1:1" x14ac:dyDescent="0.2">
      <c r="A4029" s="1" t="s">
        <v>869</v>
      </c>
    </row>
    <row r="4030" spans="1:1" x14ac:dyDescent="0.2">
      <c r="A4030" s="1" t="s">
        <v>870</v>
      </c>
    </row>
    <row r="4031" spans="1:1" x14ac:dyDescent="0.2">
      <c r="A4031" s="1" t="s">
        <v>871</v>
      </c>
    </row>
    <row r="4032" spans="1:1" x14ac:dyDescent="0.2">
      <c r="A4032" s="1" t="s">
        <v>887</v>
      </c>
    </row>
    <row r="4033" spans="1:1" x14ac:dyDescent="0.2">
      <c r="A4033" s="1" t="s">
        <v>873</v>
      </c>
    </row>
    <row r="4034" spans="1:1" x14ac:dyDescent="0.2">
      <c r="A4034" s="1" t="s">
        <v>874</v>
      </c>
    </row>
    <row r="4035" spans="1:1" x14ac:dyDescent="0.2">
      <c r="A4035" s="1" t="s">
        <v>875</v>
      </c>
    </row>
    <row r="4036" spans="1:1" x14ac:dyDescent="0.2">
      <c r="A4036" s="1" t="s">
        <v>876</v>
      </c>
    </row>
    <row r="4037" spans="1:1" x14ac:dyDescent="0.2">
      <c r="A4037" s="1" t="s">
        <v>877</v>
      </c>
    </row>
    <row r="4038" spans="1:1" x14ac:dyDescent="0.2">
      <c r="A4038" s="1" t="s">
        <v>866</v>
      </c>
    </row>
    <row r="4039" spans="1:1" x14ac:dyDescent="0.2">
      <c r="A4039" s="1" t="s">
        <v>888</v>
      </c>
    </row>
    <row r="4040" spans="1:1" x14ac:dyDescent="0.2">
      <c r="A4040" s="1" t="s">
        <v>868</v>
      </c>
    </row>
    <row r="4041" spans="1:1" x14ac:dyDescent="0.2">
      <c r="A4041" s="1" t="s">
        <v>869</v>
      </c>
    </row>
    <row r="4042" spans="1:1" x14ac:dyDescent="0.2">
      <c r="A4042" s="1" t="s">
        <v>870</v>
      </c>
    </row>
    <row r="4043" spans="1:1" x14ac:dyDescent="0.2">
      <c r="A4043" s="1" t="s">
        <v>871</v>
      </c>
    </row>
    <row r="4044" spans="1:1" x14ac:dyDescent="0.2">
      <c r="A4044" s="1" t="s">
        <v>889</v>
      </c>
    </row>
    <row r="4045" spans="1:1" x14ac:dyDescent="0.2">
      <c r="A4045" s="1" t="s">
        <v>873</v>
      </c>
    </row>
    <row r="4046" spans="1:1" x14ac:dyDescent="0.2">
      <c r="A4046" s="1" t="s">
        <v>874</v>
      </c>
    </row>
    <row r="4047" spans="1:1" x14ac:dyDescent="0.2">
      <c r="A4047" s="1" t="s">
        <v>875</v>
      </c>
    </row>
    <row r="4048" spans="1:1" x14ac:dyDescent="0.2">
      <c r="A4048" s="1" t="s">
        <v>876</v>
      </c>
    </row>
    <row r="4049" spans="1:1" x14ac:dyDescent="0.2">
      <c r="A4049" s="1" t="s">
        <v>877</v>
      </c>
    </row>
    <row r="4050" spans="1:1" x14ac:dyDescent="0.2">
      <c r="A4050" s="1" t="s">
        <v>866</v>
      </c>
    </row>
    <row r="4051" spans="1:1" x14ac:dyDescent="0.2">
      <c r="A4051" s="1" t="s">
        <v>890</v>
      </c>
    </row>
    <row r="4052" spans="1:1" x14ac:dyDescent="0.2">
      <c r="A4052" s="1" t="s">
        <v>868</v>
      </c>
    </row>
    <row r="4053" spans="1:1" x14ac:dyDescent="0.2">
      <c r="A4053" s="1" t="s">
        <v>869</v>
      </c>
    </row>
    <row r="4054" spans="1:1" x14ac:dyDescent="0.2">
      <c r="A4054" s="1" t="s">
        <v>870</v>
      </c>
    </row>
    <row r="4055" spans="1:1" x14ac:dyDescent="0.2">
      <c r="A4055" s="1" t="s">
        <v>871</v>
      </c>
    </row>
    <row r="4056" spans="1:1" x14ac:dyDescent="0.2">
      <c r="A4056" s="1" t="s">
        <v>891</v>
      </c>
    </row>
    <row r="4057" spans="1:1" x14ac:dyDescent="0.2">
      <c r="A4057" s="1" t="s">
        <v>873</v>
      </c>
    </row>
    <row r="4058" spans="1:1" x14ac:dyDescent="0.2">
      <c r="A4058" s="1" t="s">
        <v>874</v>
      </c>
    </row>
    <row r="4059" spans="1:1" x14ac:dyDescent="0.2">
      <c r="A4059" s="1" t="s">
        <v>875</v>
      </c>
    </row>
    <row r="4060" spans="1:1" x14ac:dyDescent="0.2">
      <c r="A4060" s="1" t="s">
        <v>876</v>
      </c>
    </row>
    <row r="4061" spans="1:1" x14ac:dyDescent="0.2">
      <c r="A4061" s="1" t="s">
        <v>877</v>
      </c>
    </row>
    <row r="4062" spans="1:1" x14ac:dyDescent="0.2">
      <c r="A4062" s="1" t="s">
        <v>866</v>
      </c>
    </row>
    <row r="4063" spans="1:1" x14ac:dyDescent="0.2">
      <c r="A4063" s="1" t="s">
        <v>892</v>
      </c>
    </row>
    <row r="4064" spans="1:1" x14ac:dyDescent="0.2">
      <c r="A4064" s="1" t="s">
        <v>868</v>
      </c>
    </row>
    <row r="4065" spans="1:1" x14ac:dyDescent="0.2">
      <c r="A4065" s="1" t="s">
        <v>869</v>
      </c>
    </row>
    <row r="4066" spans="1:1" x14ac:dyDescent="0.2">
      <c r="A4066" s="1" t="s">
        <v>870</v>
      </c>
    </row>
    <row r="4067" spans="1:1" x14ac:dyDescent="0.2">
      <c r="A4067" s="1" t="s">
        <v>871</v>
      </c>
    </row>
    <row r="4068" spans="1:1" x14ac:dyDescent="0.2">
      <c r="A4068" s="1" t="s">
        <v>893</v>
      </c>
    </row>
    <row r="4069" spans="1:1" x14ac:dyDescent="0.2">
      <c r="A4069" s="1" t="s">
        <v>873</v>
      </c>
    </row>
    <row r="4070" spans="1:1" x14ac:dyDescent="0.2">
      <c r="A4070" s="1" t="s">
        <v>874</v>
      </c>
    </row>
    <row r="4071" spans="1:1" x14ac:dyDescent="0.2">
      <c r="A4071" s="1" t="s">
        <v>875</v>
      </c>
    </row>
    <row r="4072" spans="1:1" x14ac:dyDescent="0.2">
      <c r="A4072" s="1" t="s">
        <v>876</v>
      </c>
    </row>
    <row r="4073" spans="1:1" x14ac:dyDescent="0.2">
      <c r="A4073" s="1" t="s">
        <v>877</v>
      </c>
    </row>
    <row r="4074" spans="1:1" x14ac:dyDescent="0.2">
      <c r="A4074" s="1" t="s">
        <v>866</v>
      </c>
    </row>
    <row r="4075" spans="1:1" x14ac:dyDescent="0.2">
      <c r="A4075" s="1" t="s">
        <v>894</v>
      </c>
    </row>
    <row r="4076" spans="1:1" x14ac:dyDescent="0.2">
      <c r="A4076" s="1" t="s">
        <v>868</v>
      </c>
    </row>
    <row r="4077" spans="1:1" x14ac:dyDescent="0.2">
      <c r="A4077" s="1" t="s">
        <v>869</v>
      </c>
    </row>
    <row r="4078" spans="1:1" x14ac:dyDescent="0.2">
      <c r="A4078" s="1" t="s">
        <v>870</v>
      </c>
    </row>
    <row r="4079" spans="1:1" x14ac:dyDescent="0.2">
      <c r="A4079" s="1" t="s">
        <v>871</v>
      </c>
    </row>
    <row r="4080" spans="1:1" x14ac:dyDescent="0.2">
      <c r="A4080" s="1" t="s">
        <v>895</v>
      </c>
    </row>
    <row r="4081" spans="1:1" x14ac:dyDescent="0.2">
      <c r="A4081" s="1" t="s">
        <v>873</v>
      </c>
    </row>
    <row r="4082" spans="1:1" x14ac:dyDescent="0.2">
      <c r="A4082" s="1" t="s">
        <v>874</v>
      </c>
    </row>
    <row r="4083" spans="1:1" x14ac:dyDescent="0.2">
      <c r="A4083" s="1" t="s">
        <v>875</v>
      </c>
    </row>
    <row r="4084" spans="1:1" x14ac:dyDescent="0.2">
      <c r="A4084" s="1" t="s">
        <v>876</v>
      </c>
    </row>
    <row r="4085" spans="1:1" x14ac:dyDescent="0.2">
      <c r="A4085" s="1" t="s">
        <v>877</v>
      </c>
    </row>
    <row r="4086" spans="1:1" x14ac:dyDescent="0.2">
      <c r="A4086" s="1" t="s">
        <v>896</v>
      </c>
    </row>
    <row r="4087" spans="1:1" x14ac:dyDescent="0.2">
      <c r="A4087" s="1" t="s">
        <v>897</v>
      </c>
    </row>
    <row r="4088" spans="1:1" x14ac:dyDescent="0.2">
      <c r="A4088" s="1" t="s">
        <v>898</v>
      </c>
    </row>
    <row r="4089" spans="1:1" x14ac:dyDescent="0.2">
      <c r="A4089" s="1" t="s">
        <v>899</v>
      </c>
    </row>
    <row r="4090" spans="1:1" x14ac:dyDescent="0.2">
      <c r="A4090" s="1" t="s">
        <v>900</v>
      </c>
    </row>
    <row r="4091" spans="1:1" x14ac:dyDescent="0.2">
      <c r="A4091" s="1" t="s">
        <v>901</v>
      </c>
    </row>
    <row r="4092" spans="1:1" x14ac:dyDescent="0.2">
      <c r="A4092" s="1" t="s">
        <v>902</v>
      </c>
    </row>
    <row r="4093" spans="1:1" x14ac:dyDescent="0.2">
      <c r="A4093" s="1" t="s">
        <v>903</v>
      </c>
    </row>
    <row r="4094" spans="1:1" x14ac:dyDescent="0.2">
      <c r="A4094" s="1" t="s">
        <v>904</v>
      </c>
    </row>
    <row r="4095" spans="1:1" x14ac:dyDescent="0.2">
      <c r="A4095" s="1" t="s">
        <v>905</v>
      </c>
    </row>
    <row r="4096" spans="1:1" x14ac:dyDescent="0.2">
      <c r="A4096" s="1" t="s">
        <v>906</v>
      </c>
    </row>
    <row r="4097" spans="1:1" x14ac:dyDescent="0.2">
      <c r="A4097" s="1" t="s">
        <v>907</v>
      </c>
    </row>
    <row r="4098" spans="1:1" x14ac:dyDescent="0.2">
      <c r="A4098" s="1" t="s">
        <v>896</v>
      </c>
    </row>
    <row r="4099" spans="1:1" x14ac:dyDescent="0.2">
      <c r="A4099" s="1" t="s">
        <v>908</v>
      </c>
    </row>
    <row r="4100" spans="1:1" x14ac:dyDescent="0.2">
      <c r="A4100" s="1" t="s">
        <v>898</v>
      </c>
    </row>
    <row r="4101" spans="1:1" x14ac:dyDescent="0.2">
      <c r="A4101" s="1" t="s">
        <v>899</v>
      </c>
    </row>
    <row r="4102" spans="1:1" x14ac:dyDescent="0.2">
      <c r="A4102" s="1" t="s">
        <v>900</v>
      </c>
    </row>
    <row r="4103" spans="1:1" x14ac:dyDescent="0.2">
      <c r="A4103" s="1" t="s">
        <v>901</v>
      </c>
    </row>
    <row r="4104" spans="1:1" x14ac:dyDescent="0.2">
      <c r="A4104" s="1" t="s">
        <v>909</v>
      </c>
    </row>
    <row r="4105" spans="1:1" x14ac:dyDescent="0.2">
      <c r="A4105" s="1" t="s">
        <v>903</v>
      </c>
    </row>
    <row r="4106" spans="1:1" x14ac:dyDescent="0.2">
      <c r="A4106" s="1" t="s">
        <v>904</v>
      </c>
    </row>
    <row r="4107" spans="1:1" x14ac:dyDescent="0.2">
      <c r="A4107" s="1" t="s">
        <v>905</v>
      </c>
    </row>
    <row r="4108" spans="1:1" x14ac:dyDescent="0.2">
      <c r="A4108" s="1" t="s">
        <v>906</v>
      </c>
    </row>
    <row r="4109" spans="1:1" x14ac:dyDescent="0.2">
      <c r="A4109" s="1" t="s">
        <v>907</v>
      </c>
    </row>
    <row r="4110" spans="1:1" x14ac:dyDescent="0.2">
      <c r="A4110" s="1" t="s">
        <v>896</v>
      </c>
    </row>
    <row r="4111" spans="1:1" x14ac:dyDescent="0.2">
      <c r="A4111" s="1" t="s">
        <v>910</v>
      </c>
    </row>
    <row r="4112" spans="1:1" x14ac:dyDescent="0.2">
      <c r="A4112" s="1" t="s">
        <v>898</v>
      </c>
    </row>
    <row r="4113" spans="1:1" x14ac:dyDescent="0.2">
      <c r="A4113" s="1" t="s">
        <v>899</v>
      </c>
    </row>
    <row r="4114" spans="1:1" x14ac:dyDescent="0.2">
      <c r="A4114" s="1" t="s">
        <v>900</v>
      </c>
    </row>
    <row r="4115" spans="1:1" x14ac:dyDescent="0.2">
      <c r="A4115" s="1" t="s">
        <v>901</v>
      </c>
    </row>
    <row r="4116" spans="1:1" x14ac:dyDescent="0.2">
      <c r="A4116" s="1" t="s">
        <v>911</v>
      </c>
    </row>
    <row r="4117" spans="1:1" x14ac:dyDescent="0.2">
      <c r="A4117" s="1" t="s">
        <v>903</v>
      </c>
    </row>
    <row r="4118" spans="1:1" x14ac:dyDescent="0.2">
      <c r="A4118" s="1" t="s">
        <v>904</v>
      </c>
    </row>
    <row r="4119" spans="1:1" x14ac:dyDescent="0.2">
      <c r="A4119" s="1" t="s">
        <v>905</v>
      </c>
    </row>
    <row r="4120" spans="1:1" x14ac:dyDescent="0.2">
      <c r="A4120" s="1" t="s">
        <v>906</v>
      </c>
    </row>
    <row r="4121" spans="1:1" x14ac:dyDescent="0.2">
      <c r="A4121" s="1" t="s">
        <v>907</v>
      </c>
    </row>
    <row r="4122" spans="1:1" x14ac:dyDescent="0.2">
      <c r="A4122" s="1" t="s">
        <v>896</v>
      </c>
    </row>
    <row r="4123" spans="1:1" x14ac:dyDescent="0.2">
      <c r="A4123" s="1" t="s">
        <v>912</v>
      </c>
    </row>
    <row r="4124" spans="1:1" x14ac:dyDescent="0.2">
      <c r="A4124" s="1" t="s">
        <v>898</v>
      </c>
    </row>
    <row r="4125" spans="1:1" x14ac:dyDescent="0.2">
      <c r="A4125" s="1" t="s">
        <v>899</v>
      </c>
    </row>
    <row r="4126" spans="1:1" x14ac:dyDescent="0.2">
      <c r="A4126" s="1" t="s">
        <v>900</v>
      </c>
    </row>
    <row r="4127" spans="1:1" x14ac:dyDescent="0.2">
      <c r="A4127" s="1" t="s">
        <v>901</v>
      </c>
    </row>
    <row r="4128" spans="1:1" x14ac:dyDescent="0.2">
      <c r="A4128" s="1" t="s">
        <v>913</v>
      </c>
    </row>
    <row r="4129" spans="1:1" x14ac:dyDescent="0.2">
      <c r="A4129" s="1" t="s">
        <v>903</v>
      </c>
    </row>
    <row r="4130" spans="1:1" x14ac:dyDescent="0.2">
      <c r="A4130" s="1" t="s">
        <v>904</v>
      </c>
    </row>
    <row r="4131" spans="1:1" x14ac:dyDescent="0.2">
      <c r="A4131" s="1" t="s">
        <v>905</v>
      </c>
    </row>
    <row r="4132" spans="1:1" x14ac:dyDescent="0.2">
      <c r="A4132" s="1" t="s">
        <v>906</v>
      </c>
    </row>
    <row r="4133" spans="1:1" x14ac:dyDescent="0.2">
      <c r="A4133" s="1" t="s">
        <v>907</v>
      </c>
    </row>
    <row r="4134" spans="1:1" x14ac:dyDescent="0.2">
      <c r="A4134" s="1" t="s">
        <v>896</v>
      </c>
    </row>
    <row r="4135" spans="1:1" x14ac:dyDescent="0.2">
      <c r="A4135" s="1" t="s">
        <v>914</v>
      </c>
    </row>
    <row r="4136" spans="1:1" x14ac:dyDescent="0.2">
      <c r="A4136" s="1" t="s">
        <v>898</v>
      </c>
    </row>
    <row r="4137" spans="1:1" x14ac:dyDescent="0.2">
      <c r="A4137" s="1" t="s">
        <v>899</v>
      </c>
    </row>
    <row r="4138" spans="1:1" x14ac:dyDescent="0.2">
      <c r="A4138" s="1" t="s">
        <v>900</v>
      </c>
    </row>
    <row r="4139" spans="1:1" x14ac:dyDescent="0.2">
      <c r="A4139" s="1" t="s">
        <v>901</v>
      </c>
    </row>
    <row r="4140" spans="1:1" x14ac:dyDescent="0.2">
      <c r="A4140" s="1" t="s">
        <v>915</v>
      </c>
    </row>
    <row r="4141" spans="1:1" x14ac:dyDescent="0.2">
      <c r="A4141" s="1" t="s">
        <v>903</v>
      </c>
    </row>
    <row r="4142" spans="1:1" x14ac:dyDescent="0.2">
      <c r="A4142" s="1" t="s">
        <v>904</v>
      </c>
    </row>
    <row r="4143" spans="1:1" x14ac:dyDescent="0.2">
      <c r="A4143" s="1" t="s">
        <v>905</v>
      </c>
    </row>
    <row r="4144" spans="1:1" x14ac:dyDescent="0.2">
      <c r="A4144" s="1" t="s">
        <v>906</v>
      </c>
    </row>
    <row r="4145" spans="1:1" x14ac:dyDescent="0.2">
      <c r="A4145" s="1" t="s">
        <v>907</v>
      </c>
    </row>
    <row r="4146" spans="1:1" x14ac:dyDescent="0.2">
      <c r="A4146" s="1" t="s">
        <v>896</v>
      </c>
    </row>
    <row r="4147" spans="1:1" x14ac:dyDescent="0.2">
      <c r="A4147" s="1" t="s">
        <v>916</v>
      </c>
    </row>
    <row r="4148" spans="1:1" x14ac:dyDescent="0.2">
      <c r="A4148" s="1" t="s">
        <v>898</v>
      </c>
    </row>
    <row r="4149" spans="1:1" x14ac:dyDescent="0.2">
      <c r="A4149" s="1" t="s">
        <v>899</v>
      </c>
    </row>
    <row r="4150" spans="1:1" x14ac:dyDescent="0.2">
      <c r="A4150" s="1" t="s">
        <v>900</v>
      </c>
    </row>
    <row r="4151" spans="1:1" x14ac:dyDescent="0.2">
      <c r="A4151" s="1" t="s">
        <v>901</v>
      </c>
    </row>
    <row r="4152" spans="1:1" x14ac:dyDescent="0.2">
      <c r="A4152" s="1" t="s">
        <v>917</v>
      </c>
    </row>
    <row r="4153" spans="1:1" x14ac:dyDescent="0.2">
      <c r="A4153" s="1" t="s">
        <v>903</v>
      </c>
    </row>
    <row r="4154" spans="1:1" x14ac:dyDescent="0.2">
      <c r="A4154" s="1" t="s">
        <v>904</v>
      </c>
    </row>
    <row r="4155" spans="1:1" x14ac:dyDescent="0.2">
      <c r="A4155" s="1" t="s">
        <v>905</v>
      </c>
    </row>
    <row r="4156" spans="1:1" x14ac:dyDescent="0.2">
      <c r="A4156" s="1" t="s">
        <v>906</v>
      </c>
    </row>
    <row r="4157" spans="1:1" x14ac:dyDescent="0.2">
      <c r="A4157" s="1" t="s">
        <v>907</v>
      </c>
    </row>
    <row r="4158" spans="1:1" x14ac:dyDescent="0.2">
      <c r="A4158" s="1" t="s">
        <v>896</v>
      </c>
    </row>
    <row r="4159" spans="1:1" x14ac:dyDescent="0.2">
      <c r="A4159" s="1" t="s">
        <v>918</v>
      </c>
    </row>
    <row r="4160" spans="1:1" x14ac:dyDescent="0.2">
      <c r="A4160" s="1" t="s">
        <v>898</v>
      </c>
    </row>
    <row r="4161" spans="1:1" x14ac:dyDescent="0.2">
      <c r="A4161" s="1" t="s">
        <v>899</v>
      </c>
    </row>
    <row r="4162" spans="1:1" x14ac:dyDescent="0.2">
      <c r="A4162" s="1" t="s">
        <v>900</v>
      </c>
    </row>
    <row r="4163" spans="1:1" x14ac:dyDescent="0.2">
      <c r="A4163" s="1" t="s">
        <v>901</v>
      </c>
    </row>
    <row r="4164" spans="1:1" x14ac:dyDescent="0.2">
      <c r="A4164" s="1" t="s">
        <v>919</v>
      </c>
    </row>
    <row r="4165" spans="1:1" x14ac:dyDescent="0.2">
      <c r="A4165" s="1" t="s">
        <v>903</v>
      </c>
    </row>
    <row r="4166" spans="1:1" x14ac:dyDescent="0.2">
      <c r="A4166" s="1" t="s">
        <v>904</v>
      </c>
    </row>
    <row r="4167" spans="1:1" x14ac:dyDescent="0.2">
      <c r="A4167" s="1" t="s">
        <v>905</v>
      </c>
    </row>
    <row r="4168" spans="1:1" x14ac:dyDescent="0.2">
      <c r="A4168" s="1" t="s">
        <v>906</v>
      </c>
    </row>
    <row r="4169" spans="1:1" x14ac:dyDescent="0.2">
      <c r="A4169" s="1" t="s">
        <v>907</v>
      </c>
    </row>
    <row r="4170" spans="1:1" x14ac:dyDescent="0.2">
      <c r="A4170" s="1" t="s">
        <v>896</v>
      </c>
    </row>
    <row r="4171" spans="1:1" x14ac:dyDescent="0.2">
      <c r="A4171" s="1" t="s">
        <v>920</v>
      </c>
    </row>
    <row r="4172" spans="1:1" x14ac:dyDescent="0.2">
      <c r="A4172" s="1" t="s">
        <v>898</v>
      </c>
    </row>
    <row r="4173" spans="1:1" x14ac:dyDescent="0.2">
      <c r="A4173" s="1" t="s">
        <v>899</v>
      </c>
    </row>
    <row r="4174" spans="1:1" x14ac:dyDescent="0.2">
      <c r="A4174" s="1" t="s">
        <v>900</v>
      </c>
    </row>
    <row r="4175" spans="1:1" x14ac:dyDescent="0.2">
      <c r="A4175" s="1" t="s">
        <v>901</v>
      </c>
    </row>
    <row r="4176" spans="1:1" x14ac:dyDescent="0.2">
      <c r="A4176" s="1" t="s">
        <v>921</v>
      </c>
    </row>
    <row r="4177" spans="1:1" x14ac:dyDescent="0.2">
      <c r="A4177" s="1" t="s">
        <v>903</v>
      </c>
    </row>
    <row r="4178" spans="1:1" x14ac:dyDescent="0.2">
      <c r="A4178" s="1" t="s">
        <v>904</v>
      </c>
    </row>
    <row r="4179" spans="1:1" x14ac:dyDescent="0.2">
      <c r="A4179" s="1" t="s">
        <v>905</v>
      </c>
    </row>
    <row r="4180" spans="1:1" x14ac:dyDescent="0.2">
      <c r="A4180" s="1" t="s">
        <v>906</v>
      </c>
    </row>
    <row r="4181" spans="1:1" x14ac:dyDescent="0.2">
      <c r="A4181" s="1" t="s">
        <v>907</v>
      </c>
    </row>
    <row r="4182" spans="1:1" x14ac:dyDescent="0.2">
      <c r="A4182" s="1" t="s">
        <v>896</v>
      </c>
    </row>
    <row r="4183" spans="1:1" x14ac:dyDescent="0.2">
      <c r="A4183" s="1" t="s">
        <v>922</v>
      </c>
    </row>
    <row r="4184" spans="1:1" x14ac:dyDescent="0.2">
      <c r="A4184" s="1" t="s">
        <v>898</v>
      </c>
    </row>
    <row r="4185" spans="1:1" x14ac:dyDescent="0.2">
      <c r="A4185" s="1" t="s">
        <v>899</v>
      </c>
    </row>
    <row r="4186" spans="1:1" x14ac:dyDescent="0.2">
      <c r="A4186" s="1" t="s">
        <v>900</v>
      </c>
    </row>
    <row r="4187" spans="1:1" x14ac:dyDescent="0.2">
      <c r="A4187" s="1" t="s">
        <v>901</v>
      </c>
    </row>
    <row r="4188" spans="1:1" x14ac:dyDescent="0.2">
      <c r="A4188" s="1" t="s">
        <v>923</v>
      </c>
    </row>
    <row r="4189" spans="1:1" x14ac:dyDescent="0.2">
      <c r="A4189" s="1" t="s">
        <v>903</v>
      </c>
    </row>
    <row r="4190" spans="1:1" x14ac:dyDescent="0.2">
      <c r="A4190" s="1" t="s">
        <v>904</v>
      </c>
    </row>
    <row r="4191" spans="1:1" x14ac:dyDescent="0.2">
      <c r="A4191" s="1" t="s">
        <v>905</v>
      </c>
    </row>
    <row r="4192" spans="1:1" x14ac:dyDescent="0.2">
      <c r="A4192" s="1" t="s">
        <v>906</v>
      </c>
    </row>
    <row r="4193" spans="1:1" x14ac:dyDescent="0.2">
      <c r="A4193" s="1" t="s">
        <v>907</v>
      </c>
    </row>
    <row r="4194" spans="1:1" x14ac:dyDescent="0.2">
      <c r="A4194" s="1" t="s">
        <v>896</v>
      </c>
    </row>
    <row r="4195" spans="1:1" x14ac:dyDescent="0.2">
      <c r="A4195" s="1" t="s">
        <v>924</v>
      </c>
    </row>
    <row r="4196" spans="1:1" x14ac:dyDescent="0.2">
      <c r="A4196" s="1" t="s">
        <v>898</v>
      </c>
    </row>
    <row r="4197" spans="1:1" x14ac:dyDescent="0.2">
      <c r="A4197" s="1" t="s">
        <v>899</v>
      </c>
    </row>
    <row r="4198" spans="1:1" x14ac:dyDescent="0.2">
      <c r="A4198" s="1" t="s">
        <v>900</v>
      </c>
    </row>
    <row r="4199" spans="1:1" x14ac:dyDescent="0.2">
      <c r="A4199" s="1" t="s">
        <v>901</v>
      </c>
    </row>
    <row r="4200" spans="1:1" x14ac:dyDescent="0.2">
      <c r="A4200" s="1" t="s">
        <v>925</v>
      </c>
    </row>
    <row r="4201" spans="1:1" x14ac:dyDescent="0.2">
      <c r="A4201" s="1" t="s">
        <v>903</v>
      </c>
    </row>
    <row r="4202" spans="1:1" x14ac:dyDescent="0.2">
      <c r="A4202" s="1" t="s">
        <v>904</v>
      </c>
    </row>
    <row r="4203" spans="1:1" x14ac:dyDescent="0.2">
      <c r="A4203" s="1" t="s">
        <v>905</v>
      </c>
    </row>
    <row r="4204" spans="1:1" x14ac:dyDescent="0.2">
      <c r="A4204" s="1" t="s">
        <v>906</v>
      </c>
    </row>
    <row r="4205" spans="1:1" x14ac:dyDescent="0.2">
      <c r="A4205" s="1" t="s">
        <v>907</v>
      </c>
    </row>
    <row r="4206" spans="1:1" x14ac:dyDescent="0.2">
      <c r="A4206" s="1" t="s">
        <v>926</v>
      </c>
    </row>
    <row r="4207" spans="1:1" x14ac:dyDescent="0.2">
      <c r="A4207" s="1" t="s">
        <v>927</v>
      </c>
    </row>
    <row r="4208" spans="1:1" x14ac:dyDescent="0.2">
      <c r="A4208" s="1" t="s">
        <v>928</v>
      </c>
    </row>
    <row r="4209" spans="1:1" x14ac:dyDescent="0.2">
      <c r="A4209" s="1" t="s">
        <v>929</v>
      </c>
    </row>
    <row r="4210" spans="1:1" x14ac:dyDescent="0.2">
      <c r="A4210" s="1" t="s">
        <v>930</v>
      </c>
    </row>
    <row r="4211" spans="1:1" x14ac:dyDescent="0.2">
      <c r="A4211" s="1" t="s">
        <v>931</v>
      </c>
    </row>
    <row r="4212" spans="1:1" x14ac:dyDescent="0.2">
      <c r="A4212" s="1" t="s">
        <v>932</v>
      </c>
    </row>
    <row r="4213" spans="1:1" x14ac:dyDescent="0.2">
      <c r="A4213" s="1" t="s">
        <v>933</v>
      </c>
    </row>
    <row r="4214" spans="1:1" x14ac:dyDescent="0.2">
      <c r="A4214" s="1" t="s">
        <v>934</v>
      </c>
    </row>
    <row r="4215" spans="1:1" x14ac:dyDescent="0.2">
      <c r="A4215" s="1" t="s">
        <v>935</v>
      </c>
    </row>
    <row r="4216" spans="1:1" x14ac:dyDescent="0.2">
      <c r="A4216" s="1" t="s">
        <v>936</v>
      </c>
    </row>
    <row r="4217" spans="1:1" x14ac:dyDescent="0.2">
      <c r="A4217" s="1" t="s">
        <v>937</v>
      </c>
    </row>
    <row r="4218" spans="1:1" x14ac:dyDescent="0.2">
      <c r="A4218" s="1" t="s">
        <v>938</v>
      </c>
    </row>
    <row r="4219" spans="1:1" x14ac:dyDescent="0.2">
      <c r="A4219" s="1" t="s">
        <v>939</v>
      </c>
    </row>
    <row r="4220" spans="1:1" x14ac:dyDescent="0.2">
      <c r="A4220" s="1" t="s">
        <v>940</v>
      </c>
    </row>
    <row r="4221" spans="1:1" x14ac:dyDescent="0.2">
      <c r="A4221" s="1" t="s">
        <v>941</v>
      </c>
    </row>
    <row r="4222" spans="1:1" x14ac:dyDescent="0.2">
      <c r="A4222" s="1" t="s">
        <v>942</v>
      </c>
    </row>
    <row r="4223" spans="1:1" x14ac:dyDescent="0.2">
      <c r="A4223" s="1" t="s">
        <v>943</v>
      </c>
    </row>
    <row r="4224" spans="1:1" x14ac:dyDescent="0.2">
      <c r="A4224" s="1" t="s">
        <v>944</v>
      </c>
    </row>
    <row r="4225" spans="1:1" x14ac:dyDescent="0.2">
      <c r="A4225" s="1" t="s">
        <v>945</v>
      </c>
    </row>
    <row r="4226" spans="1:1" x14ac:dyDescent="0.2">
      <c r="A4226" s="1" t="s">
        <v>946</v>
      </c>
    </row>
    <row r="4227" spans="1:1" x14ac:dyDescent="0.2">
      <c r="A4227" s="1" t="s">
        <v>947</v>
      </c>
    </row>
    <row r="4228" spans="1:1" x14ac:dyDescent="0.2">
      <c r="A4228" s="1" t="s">
        <v>948</v>
      </c>
    </row>
    <row r="4229" spans="1:1" x14ac:dyDescent="0.2">
      <c r="A4229" s="1" t="s">
        <v>949</v>
      </c>
    </row>
    <row r="4230" spans="1:1" x14ac:dyDescent="0.2">
      <c r="A4230" s="1" t="s">
        <v>950</v>
      </c>
    </row>
    <row r="4231" spans="1:1" x14ac:dyDescent="0.2">
      <c r="A4231" s="1" t="s">
        <v>951</v>
      </c>
    </row>
    <row r="4232" spans="1:1" x14ac:dyDescent="0.2">
      <c r="A4232" s="1" t="s">
        <v>952</v>
      </c>
    </row>
    <row r="4233" spans="1:1" x14ac:dyDescent="0.2">
      <c r="A4233" s="1" t="s">
        <v>953</v>
      </c>
    </row>
    <row r="4234" spans="1:1" x14ac:dyDescent="0.2">
      <c r="A4234" s="1" t="s">
        <v>954</v>
      </c>
    </row>
    <row r="4235" spans="1:1" x14ac:dyDescent="0.2">
      <c r="A4235" s="1" t="s">
        <v>955</v>
      </c>
    </row>
    <row r="4236" spans="1:1" x14ac:dyDescent="0.2">
      <c r="A4236" s="1" t="s">
        <v>944</v>
      </c>
    </row>
    <row r="4237" spans="1:1" x14ac:dyDescent="0.2">
      <c r="A4237" s="1" t="s">
        <v>956</v>
      </c>
    </row>
    <row r="4238" spans="1:1" x14ac:dyDescent="0.2">
      <c r="A4238" s="1" t="s">
        <v>946</v>
      </c>
    </row>
    <row r="4239" spans="1:1" x14ac:dyDescent="0.2">
      <c r="A4239" s="1" t="s">
        <v>947</v>
      </c>
    </row>
    <row r="4240" spans="1:1" x14ac:dyDescent="0.2">
      <c r="A4240" s="1" t="s">
        <v>948</v>
      </c>
    </row>
    <row r="4241" spans="1:1" x14ac:dyDescent="0.2">
      <c r="A4241" s="1" t="s">
        <v>949</v>
      </c>
    </row>
    <row r="4242" spans="1:1" x14ac:dyDescent="0.2">
      <c r="A4242" s="1" t="s">
        <v>957</v>
      </c>
    </row>
    <row r="4243" spans="1:1" x14ac:dyDescent="0.2">
      <c r="A4243" s="1" t="s">
        <v>951</v>
      </c>
    </row>
    <row r="4244" spans="1:1" x14ac:dyDescent="0.2">
      <c r="A4244" s="1" t="s">
        <v>952</v>
      </c>
    </row>
    <row r="4245" spans="1:1" x14ac:dyDescent="0.2">
      <c r="A4245" s="1" t="s">
        <v>953</v>
      </c>
    </row>
    <row r="4246" spans="1:1" x14ac:dyDescent="0.2">
      <c r="A4246" s="1" t="s">
        <v>954</v>
      </c>
    </row>
    <row r="4247" spans="1:1" x14ac:dyDescent="0.2">
      <c r="A4247" s="1" t="s">
        <v>955</v>
      </c>
    </row>
    <row r="4248" spans="1:1" x14ac:dyDescent="0.2">
      <c r="A4248" s="1" t="s">
        <v>944</v>
      </c>
    </row>
    <row r="4249" spans="1:1" x14ac:dyDescent="0.2">
      <c r="A4249" s="1" t="s">
        <v>958</v>
      </c>
    </row>
    <row r="4250" spans="1:1" x14ac:dyDescent="0.2">
      <c r="A4250" s="1" t="s">
        <v>946</v>
      </c>
    </row>
    <row r="4251" spans="1:1" x14ac:dyDescent="0.2">
      <c r="A4251" s="1" t="s">
        <v>947</v>
      </c>
    </row>
    <row r="4252" spans="1:1" x14ac:dyDescent="0.2">
      <c r="A4252" s="1" t="s">
        <v>948</v>
      </c>
    </row>
    <row r="4253" spans="1:1" x14ac:dyDescent="0.2">
      <c r="A4253" s="1" t="s">
        <v>949</v>
      </c>
    </row>
    <row r="4254" spans="1:1" x14ac:dyDescent="0.2">
      <c r="A4254" s="1" t="s">
        <v>959</v>
      </c>
    </row>
    <row r="4255" spans="1:1" x14ac:dyDescent="0.2">
      <c r="A4255" s="1" t="s">
        <v>951</v>
      </c>
    </row>
    <row r="4256" spans="1:1" x14ac:dyDescent="0.2">
      <c r="A4256" s="1" t="s">
        <v>952</v>
      </c>
    </row>
    <row r="4257" spans="1:1" x14ac:dyDescent="0.2">
      <c r="A4257" s="1" t="s">
        <v>953</v>
      </c>
    </row>
    <row r="4258" spans="1:1" x14ac:dyDescent="0.2">
      <c r="A4258" s="1" t="s">
        <v>954</v>
      </c>
    </row>
    <row r="4259" spans="1:1" x14ac:dyDescent="0.2">
      <c r="A4259" s="1" t="s">
        <v>955</v>
      </c>
    </row>
    <row r="4260" spans="1:1" x14ac:dyDescent="0.2">
      <c r="A4260" s="1" t="s">
        <v>944</v>
      </c>
    </row>
    <row r="4261" spans="1:1" x14ac:dyDescent="0.2">
      <c r="A4261" s="1" t="s">
        <v>960</v>
      </c>
    </row>
    <row r="4262" spans="1:1" x14ac:dyDescent="0.2">
      <c r="A4262" s="1" t="s">
        <v>946</v>
      </c>
    </row>
    <row r="4263" spans="1:1" x14ac:dyDescent="0.2">
      <c r="A4263" s="1" t="s">
        <v>947</v>
      </c>
    </row>
    <row r="4264" spans="1:1" x14ac:dyDescent="0.2">
      <c r="A4264" s="1" t="s">
        <v>948</v>
      </c>
    </row>
    <row r="4265" spans="1:1" x14ac:dyDescent="0.2">
      <c r="A4265" s="1" t="s">
        <v>949</v>
      </c>
    </row>
    <row r="4266" spans="1:1" x14ac:dyDescent="0.2">
      <c r="A4266" s="1" t="s">
        <v>961</v>
      </c>
    </row>
    <row r="4267" spans="1:1" x14ac:dyDescent="0.2">
      <c r="A4267" s="1" t="s">
        <v>951</v>
      </c>
    </row>
    <row r="4268" spans="1:1" x14ac:dyDescent="0.2">
      <c r="A4268" s="1" t="s">
        <v>952</v>
      </c>
    </row>
    <row r="4269" spans="1:1" x14ac:dyDescent="0.2">
      <c r="A4269" s="1" t="s">
        <v>953</v>
      </c>
    </row>
    <row r="4270" spans="1:1" x14ac:dyDescent="0.2">
      <c r="A4270" s="1" t="s">
        <v>954</v>
      </c>
    </row>
    <row r="4271" spans="1:1" x14ac:dyDescent="0.2">
      <c r="A4271" s="1" t="s">
        <v>955</v>
      </c>
    </row>
    <row r="4272" spans="1:1" x14ac:dyDescent="0.2">
      <c r="A4272" s="1" t="s">
        <v>944</v>
      </c>
    </row>
    <row r="4273" spans="1:1" x14ac:dyDescent="0.2">
      <c r="A4273" s="1" t="s">
        <v>962</v>
      </c>
    </row>
    <row r="4274" spans="1:1" x14ac:dyDescent="0.2">
      <c r="A4274" s="1" t="s">
        <v>946</v>
      </c>
    </row>
    <row r="4275" spans="1:1" x14ac:dyDescent="0.2">
      <c r="A4275" s="1" t="s">
        <v>947</v>
      </c>
    </row>
    <row r="4276" spans="1:1" x14ac:dyDescent="0.2">
      <c r="A4276" s="1" t="s">
        <v>948</v>
      </c>
    </row>
    <row r="4277" spans="1:1" x14ac:dyDescent="0.2">
      <c r="A4277" s="1" t="s">
        <v>949</v>
      </c>
    </row>
    <row r="4278" spans="1:1" x14ac:dyDescent="0.2">
      <c r="A4278" s="1" t="s">
        <v>963</v>
      </c>
    </row>
    <row r="4279" spans="1:1" x14ac:dyDescent="0.2">
      <c r="A4279" s="1" t="s">
        <v>951</v>
      </c>
    </row>
    <row r="4280" spans="1:1" x14ac:dyDescent="0.2">
      <c r="A4280" s="1" t="s">
        <v>952</v>
      </c>
    </row>
    <row r="4281" spans="1:1" x14ac:dyDescent="0.2">
      <c r="A4281" s="1" t="s">
        <v>953</v>
      </c>
    </row>
    <row r="4282" spans="1:1" x14ac:dyDescent="0.2">
      <c r="A4282" s="1" t="s">
        <v>954</v>
      </c>
    </row>
    <row r="4283" spans="1:1" x14ac:dyDescent="0.2">
      <c r="A4283" s="1" t="s">
        <v>955</v>
      </c>
    </row>
    <row r="4284" spans="1:1" x14ac:dyDescent="0.2">
      <c r="A4284" s="1" t="s">
        <v>944</v>
      </c>
    </row>
    <row r="4285" spans="1:1" x14ac:dyDescent="0.2">
      <c r="A4285" s="1" t="s">
        <v>964</v>
      </c>
    </row>
    <row r="4286" spans="1:1" x14ac:dyDescent="0.2">
      <c r="A4286" s="1" t="s">
        <v>946</v>
      </c>
    </row>
    <row r="4287" spans="1:1" x14ac:dyDescent="0.2">
      <c r="A4287" s="1" t="s">
        <v>947</v>
      </c>
    </row>
    <row r="4288" spans="1:1" x14ac:dyDescent="0.2">
      <c r="A4288" s="1" t="s">
        <v>948</v>
      </c>
    </row>
    <row r="4289" spans="1:1" x14ac:dyDescent="0.2">
      <c r="A4289" s="1" t="s">
        <v>949</v>
      </c>
    </row>
    <row r="4290" spans="1:1" x14ac:dyDescent="0.2">
      <c r="A4290" s="1" t="s">
        <v>965</v>
      </c>
    </row>
    <row r="4291" spans="1:1" x14ac:dyDescent="0.2">
      <c r="A4291" s="1" t="s">
        <v>951</v>
      </c>
    </row>
    <row r="4292" spans="1:1" x14ac:dyDescent="0.2">
      <c r="A4292" s="1" t="s">
        <v>952</v>
      </c>
    </row>
    <row r="4293" spans="1:1" x14ac:dyDescent="0.2">
      <c r="A4293" s="1" t="s">
        <v>953</v>
      </c>
    </row>
    <row r="4294" spans="1:1" x14ac:dyDescent="0.2">
      <c r="A4294" s="1" t="s">
        <v>954</v>
      </c>
    </row>
    <row r="4295" spans="1:1" x14ac:dyDescent="0.2">
      <c r="A4295" s="1" t="s">
        <v>955</v>
      </c>
    </row>
    <row r="4296" spans="1:1" x14ac:dyDescent="0.2">
      <c r="A4296" s="1" t="s">
        <v>944</v>
      </c>
    </row>
    <row r="4297" spans="1:1" x14ac:dyDescent="0.2">
      <c r="A4297" s="1" t="s">
        <v>966</v>
      </c>
    </row>
    <row r="4298" spans="1:1" x14ac:dyDescent="0.2">
      <c r="A4298" s="1" t="s">
        <v>946</v>
      </c>
    </row>
    <row r="4299" spans="1:1" x14ac:dyDescent="0.2">
      <c r="A4299" s="1" t="s">
        <v>947</v>
      </c>
    </row>
    <row r="4300" spans="1:1" x14ac:dyDescent="0.2">
      <c r="A4300" s="1" t="s">
        <v>948</v>
      </c>
    </row>
    <row r="4301" spans="1:1" x14ac:dyDescent="0.2">
      <c r="A4301" s="1" t="s">
        <v>949</v>
      </c>
    </row>
    <row r="4302" spans="1:1" x14ac:dyDescent="0.2">
      <c r="A4302" s="1" t="s">
        <v>967</v>
      </c>
    </row>
    <row r="4303" spans="1:1" x14ac:dyDescent="0.2">
      <c r="A4303" s="1" t="s">
        <v>951</v>
      </c>
    </row>
    <row r="4304" spans="1:1" x14ac:dyDescent="0.2">
      <c r="A4304" s="1" t="s">
        <v>952</v>
      </c>
    </row>
    <row r="4305" spans="1:1" x14ac:dyDescent="0.2">
      <c r="A4305" s="1" t="s">
        <v>953</v>
      </c>
    </row>
    <row r="4306" spans="1:1" x14ac:dyDescent="0.2">
      <c r="A4306" s="1" t="s">
        <v>954</v>
      </c>
    </row>
    <row r="4307" spans="1:1" x14ac:dyDescent="0.2">
      <c r="A4307" s="1" t="s">
        <v>955</v>
      </c>
    </row>
    <row r="4308" spans="1:1" x14ac:dyDescent="0.2">
      <c r="A4308" s="1" t="s">
        <v>944</v>
      </c>
    </row>
    <row r="4309" spans="1:1" x14ac:dyDescent="0.2">
      <c r="A4309" s="1" t="s">
        <v>968</v>
      </c>
    </row>
    <row r="4310" spans="1:1" x14ac:dyDescent="0.2">
      <c r="A4310" s="1" t="s">
        <v>946</v>
      </c>
    </row>
    <row r="4311" spans="1:1" x14ac:dyDescent="0.2">
      <c r="A4311" s="1" t="s">
        <v>947</v>
      </c>
    </row>
    <row r="4312" spans="1:1" x14ac:dyDescent="0.2">
      <c r="A4312" s="1" t="s">
        <v>948</v>
      </c>
    </row>
    <row r="4313" spans="1:1" x14ac:dyDescent="0.2">
      <c r="A4313" s="1" t="s">
        <v>949</v>
      </c>
    </row>
    <row r="4314" spans="1:1" x14ac:dyDescent="0.2">
      <c r="A4314" s="1" t="s">
        <v>969</v>
      </c>
    </row>
    <row r="4315" spans="1:1" x14ac:dyDescent="0.2">
      <c r="A4315" s="1" t="s">
        <v>951</v>
      </c>
    </row>
    <row r="4316" spans="1:1" x14ac:dyDescent="0.2">
      <c r="A4316" s="1" t="s">
        <v>952</v>
      </c>
    </row>
    <row r="4317" spans="1:1" x14ac:dyDescent="0.2">
      <c r="A4317" s="1" t="s">
        <v>953</v>
      </c>
    </row>
    <row r="4318" spans="1:1" x14ac:dyDescent="0.2">
      <c r="A4318" s="1" t="s">
        <v>954</v>
      </c>
    </row>
    <row r="4319" spans="1:1" x14ac:dyDescent="0.2">
      <c r="A4319" s="1" t="s">
        <v>955</v>
      </c>
    </row>
    <row r="4320" spans="1:1" x14ac:dyDescent="0.2">
      <c r="A4320" s="1" t="s">
        <v>944</v>
      </c>
    </row>
    <row r="4321" spans="1:1" x14ac:dyDescent="0.2">
      <c r="A4321" s="1" t="s">
        <v>970</v>
      </c>
    </row>
    <row r="4322" spans="1:1" x14ac:dyDescent="0.2">
      <c r="A4322" s="1" t="s">
        <v>946</v>
      </c>
    </row>
    <row r="4323" spans="1:1" x14ac:dyDescent="0.2">
      <c r="A4323" s="1" t="s">
        <v>947</v>
      </c>
    </row>
    <row r="4324" spans="1:1" x14ac:dyDescent="0.2">
      <c r="A4324" s="1" t="s">
        <v>948</v>
      </c>
    </row>
    <row r="4325" spans="1:1" x14ac:dyDescent="0.2">
      <c r="A4325" s="1" t="s">
        <v>949</v>
      </c>
    </row>
    <row r="4326" spans="1:1" x14ac:dyDescent="0.2">
      <c r="A4326" s="1" t="s">
        <v>971</v>
      </c>
    </row>
    <row r="4327" spans="1:1" x14ac:dyDescent="0.2">
      <c r="A4327" s="1" t="s">
        <v>951</v>
      </c>
    </row>
    <row r="4328" spans="1:1" x14ac:dyDescent="0.2">
      <c r="A4328" s="1" t="s">
        <v>952</v>
      </c>
    </row>
    <row r="4329" spans="1:1" x14ac:dyDescent="0.2">
      <c r="A4329" s="1" t="s">
        <v>953</v>
      </c>
    </row>
    <row r="4330" spans="1:1" x14ac:dyDescent="0.2">
      <c r="A4330" s="1" t="s">
        <v>954</v>
      </c>
    </row>
    <row r="4331" spans="1:1" x14ac:dyDescent="0.2">
      <c r="A4331" s="1" t="s">
        <v>955</v>
      </c>
    </row>
    <row r="4332" spans="1:1" x14ac:dyDescent="0.2">
      <c r="A4332" s="1" t="s">
        <v>944</v>
      </c>
    </row>
    <row r="4333" spans="1:1" x14ac:dyDescent="0.2">
      <c r="A4333" s="1" t="s">
        <v>972</v>
      </c>
    </row>
    <row r="4334" spans="1:1" x14ac:dyDescent="0.2">
      <c r="A4334" s="1" t="s">
        <v>946</v>
      </c>
    </row>
    <row r="4335" spans="1:1" x14ac:dyDescent="0.2">
      <c r="A4335" s="1" t="s">
        <v>947</v>
      </c>
    </row>
    <row r="4336" spans="1:1" x14ac:dyDescent="0.2">
      <c r="A4336" s="1" t="s">
        <v>948</v>
      </c>
    </row>
    <row r="4337" spans="1:1" x14ac:dyDescent="0.2">
      <c r="A4337" s="1" t="s">
        <v>949</v>
      </c>
    </row>
    <row r="4338" spans="1:1" x14ac:dyDescent="0.2">
      <c r="A4338" s="1" t="s">
        <v>973</v>
      </c>
    </row>
    <row r="4339" spans="1:1" x14ac:dyDescent="0.2">
      <c r="A4339" s="1" t="s">
        <v>951</v>
      </c>
    </row>
    <row r="4340" spans="1:1" x14ac:dyDescent="0.2">
      <c r="A4340" s="1" t="s">
        <v>952</v>
      </c>
    </row>
    <row r="4341" spans="1:1" x14ac:dyDescent="0.2">
      <c r="A4341" s="1" t="s">
        <v>953</v>
      </c>
    </row>
    <row r="4342" spans="1:1" x14ac:dyDescent="0.2">
      <c r="A4342" s="1" t="s">
        <v>954</v>
      </c>
    </row>
    <row r="4343" spans="1:1" x14ac:dyDescent="0.2">
      <c r="A4343" s="1" t="s">
        <v>955</v>
      </c>
    </row>
    <row r="4344" spans="1:1" x14ac:dyDescent="0.2">
      <c r="A4344" s="1" t="s">
        <v>944</v>
      </c>
    </row>
    <row r="4345" spans="1:1" x14ac:dyDescent="0.2">
      <c r="A4345" s="1" t="s">
        <v>974</v>
      </c>
    </row>
    <row r="4346" spans="1:1" x14ac:dyDescent="0.2">
      <c r="A4346" s="1" t="s">
        <v>946</v>
      </c>
    </row>
    <row r="4347" spans="1:1" x14ac:dyDescent="0.2">
      <c r="A4347" s="1" t="s">
        <v>947</v>
      </c>
    </row>
    <row r="4348" spans="1:1" x14ac:dyDescent="0.2">
      <c r="A4348" s="1" t="s">
        <v>948</v>
      </c>
    </row>
    <row r="4349" spans="1:1" x14ac:dyDescent="0.2">
      <c r="A4349" s="1" t="s">
        <v>949</v>
      </c>
    </row>
    <row r="4350" spans="1:1" x14ac:dyDescent="0.2">
      <c r="A4350" s="1" t="s">
        <v>975</v>
      </c>
    </row>
    <row r="4351" spans="1:1" x14ac:dyDescent="0.2">
      <c r="A4351" s="1" t="s">
        <v>951</v>
      </c>
    </row>
    <row r="4352" spans="1:1" x14ac:dyDescent="0.2">
      <c r="A4352" s="1" t="s">
        <v>952</v>
      </c>
    </row>
    <row r="4353" spans="1:1" x14ac:dyDescent="0.2">
      <c r="A4353" s="1" t="s">
        <v>953</v>
      </c>
    </row>
    <row r="4354" spans="1:1" x14ac:dyDescent="0.2">
      <c r="A4354" s="1" t="s">
        <v>954</v>
      </c>
    </row>
    <row r="4355" spans="1:1" x14ac:dyDescent="0.2">
      <c r="A4355" s="1" t="s">
        <v>955</v>
      </c>
    </row>
    <row r="4356" spans="1:1" x14ac:dyDescent="0.2">
      <c r="A4356" s="1" t="s">
        <v>944</v>
      </c>
    </row>
    <row r="4357" spans="1:1" x14ac:dyDescent="0.2">
      <c r="A4357" s="1" t="s">
        <v>976</v>
      </c>
    </row>
    <row r="4358" spans="1:1" x14ac:dyDescent="0.2">
      <c r="A4358" s="1" t="s">
        <v>946</v>
      </c>
    </row>
    <row r="4359" spans="1:1" x14ac:dyDescent="0.2">
      <c r="A4359" s="1" t="s">
        <v>947</v>
      </c>
    </row>
    <row r="4360" spans="1:1" x14ac:dyDescent="0.2">
      <c r="A4360" s="1" t="s">
        <v>948</v>
      </c>
    </row>
    <row r="4361" spans="1:1" x14ac:dyDescent="0.2">
      <c r="A4361" s="1" t="s">
        <v>949</v>
      </c>
    </row>
    <row r="4362" spans="1:1" x14ac:dyDescent="0.2">
      <c r="A4362" s="1" t="s">
        <v>977</v>
      </c>
    </row>
    <row r="4363" spans="1:1" x14ac:dyDescent="0.2">
      <c r="A4363" s="1" t="s">
        <v>951</v>
      </c>
    </row>
    <row r="4364" spans="1:1" x14ac:dyDescent="0.2">
      <c r="A4364" s="1" t="s">
        <v>952</v>
      </c>
    </row>
    <row r="4365" spans="1:1" x14ac:dyDescent="0.2">
      <c r="A4365" s="1" t="s">
        <v>953</v>
      </c>
    </row>
    <row r="4366" spans="1:1" x14ac:dyDescent="0.2">
      <c r="A4366" s="1" t="s">
        <v>954</v>
      </c>
    </row>
    <row r="4367" spans="1:1" x14ac:dyDescent="0.2">
      <c r="A4367" s="1" t="s">
        <v>955</v>
      </c>
    </row>
    <row r="4368" spans="1:1" x14ac:dyDescent="0.2">
      <c r="A4368" s="1" t="s">
        <v>978</v>
      </c>
    </row>
    <row r="4369" spans="1:1" x14ac:dyDescent="0.2">
      <c r="A4369" s="1" t="s">
        <v>979</v>
      </c>
    </row>
    <row r="4370" spans="1:1" x14ac:dyDescent="0.2">
      <c r="A4370" s="1" t="s">
        <v>980</v>
      </c>
    </row>
    <row r="4371" spans="1:1" x14ac:dyDescent="0.2">
      <c r="A4371" s="1" t="s">
        <v>981</v>
      </c>
    </row>
    <row r="4372" spans="1:1" x14ac:dyDescent="0.2">
      <c r="A4372" s="1" t="s">
        <v>982</v>
      </c>
    </row>
    <row r="4373" spans="1:1" x14ac:dyDescent="0.2">
      <c r="A4373" s="1" t="s">
        <v>983</v>
      </c>
    </row>
    <row r="4374" spans="1:1" x14ac:dyDescent="0.2">
      <c r="A4374" s="1" t="s">
        <v>984</v>
      </c>
    </row>
    <row r="4375" spans="1:1" x14ac:dyDescent="0.2">
      <c r="A4375" s="1" t="s">
        <v>985</v>
      </c>
    </row>
    <row r="4376" spans="1:1" x14ac:dyDescent="0.2">
      <c r="A4376" s="1" t="s">
        <v>986</v>
      </c>
    </row>
    <row r="4377" spans="1:1" x14ac:dyDescent="0.2">
      <c r="A4377" s="1" t="s">
        <v>987</v>
      </c>
    </row>
    <row r="4378" spans="1:1" x14ac:dyDescent="0.2">
      <c r="A4378" s="1" t="s">
        <v>988</v>
      </c>
    </row>
    <row r="4379" spans="1:1" x14ac:dyDescent="0.2">
      <c r="A4379" s="1" t="s">
        <v>989</v>
      </c>
    </row>
    <row r="4380" spans="1:1" x14ac:dyDescent="0.2">
      <c r="A4380" s="1" t="s">
        <v>978</v>
      </c>
    </row>
    <row r="4381" spans="1:1" x14ac:dyDescent="0.2">
      <c r="A4381" s="1" t="s">
        <v>990</v>
      </c>
    </row>
    <row r="4382" spans="1:1" x14ac:dyDescent="0.2">
      <c r="A4382" s="1" t="s">
        <v>980</v>
      </c>
    </row>
    <row r="4383" spans="1:1" x14ac:dyDescent="0.2">
      <c r="A4383" s="1" t="s">
        <v>981</v>
      </c>
    </row>
    <row r="4384" spans="1:1" x14ac:dyDescent="0.2">
      <c r="A4384" s="1" t="s">
        <v>982</v>
      </c>
    </row>
    <row r="4385" spans="1:1" x14ac:dyDescent="0.2">
      <c r="A4385" s="1" t="s">
        <v>983</v>
      </c>
    </row>
    <row r="4386" spans="1:1" x14ac:dyDescent="0.2">
      <c r="A4386" s="1" t="s">
        <v>991</v>
      </c>
    </row>
    <row r="4387" spans="1:1" x14ac:dyDescent="0.2">
      <c r="A4387" s="1" t="s">
        <v>985</v>
      </c>
    </row>
    <row r="4388" spans="1:1" x14ac:dyDescent="0.2">
      <c r="A4388" s="1" t="s">
        <v>986</v>
      </c>
    </row>
    <row r="4389" spans="1:1" x14ac:dyDescent="0.2">
      <c r="A4389" s="1" t="s">
        <v>987</v>
      </c>
    </row>
    <row r="4390" spans="1:1" x14ac:dyDescent="0.2">
      <c r="A4390" s="1" t="s">
        <v>988</v>
      </c>
    </row>
    <row r="4391" spans="1:1" x14ac:dyDescent="0.2">
      <c r="A4391" s="1" t="s">
        <v>989</v>
      </c>
    </row>
    <row r="4392" spans="1:1" x14ac:dyDescent="0.2">
      <c r="A4392" s="1" t="s">
        <v>978</v>
      </c>
    </row>
    <row r="4393" spans="1:1" x14ac:dyDescent="0.2">
      <c r="A4393" s="1" t="s">
        <v>992</v>
      </c>
    </row>
    <row r="4394" spans="1:1" x14ac:dyDescent="0.2">
      <c r="A4394" s="1" t="s">
        <v>980</v>
      </c>
    </row>
    <row r="4395" spans="1:1" x14ac:dyDescent="0.2">
      <c r="A4395" s="1" t="s">
        <v>981</v>
      </c>
    </row>
    <row r="4396" spans="1:1" x14ac:dyDescent="0.2">
      <c r="A4396" s="1" t="s">
        <v>982</v>
      </c>
    </row>
    <row r="4397" spans="1:1" x14ac:dyDescent="0.2">
      <c r="A4397" s="1" t="s">
        <v>983</v>
      </c>
    </row>
    <row r="4398" spans="1:1" x14ac:dyDescent="0.2">
      <c r="A4398" s="1" t="s">
        <v>993</v>
      </c>
    </row>
    <row r="4399" spans="1:1" x14ac:dyDescent="0.2">
      <c r="A4399" s="1" t="s">
        <v>985</v>
      </c>
    </row>
    <row r="4400" spans="1:1" x14ac:dyDescent="0.2">
      <c r="A4400" s="1" t="s">
        <v>986</v>
      </c>
    </row>
    <row r="4401" spans="1:1" x14ac:dyDescent="0.2">
      <c r="A4401" s="1" t="s">
        <v>987</v>
      </c>
    </row>
    <row r="4402" spans="1:1" x14ac:dyDescent="0.2">
      <c r="A4402" s="1" t="s">
        <v>988</v>
      </c>
    </row>
    <row r="4403" spans="1:1" x14ac:dyDescent="0.2">
      <c r="A4403" s="1" t="s">
        <v>989</v>
      </c>
    </row>
    <row r="4404" spans="1:1" x14ac:dyDescent="0.2">
      <c r="A4404" s="1" t="s">
        <v>978</v>
      </c>
    </row>
    <row r="4405" spans="1:1" x14ac:dyDescent="0.2">
      <c r="A4405" s="1" t="s">
        <v>994</v>
      </c>
    </row>
    <row r="4406" spans="1:1" x14ac:dyDescent="0.2">
      <c r="A4406" s="1" t="s">
        <v>980</v>
      </c>
    </row>
    <row r="4407" spans="1:1" x14ac:dyDescent="0.2">
      <c r="A4407" s="1" t="s">
        <v>981</v>
      </c>
    </row>
    <row r="4408" spans="1:1" x14ac:dyDescent="0.2">
      <c r="A4408" s="1" t="s">
        <v>982</v>
      </c>
    </row>
    <row r="4409" spans="1:1" x14ac:dyDescent="0.2">
      <c r="A4409" s="1" t="s">
        <v>983</v>
      </c>
    </row>
    <row r="4410" spans="1:1" x14ac:dyDescent="0.2">
      <c r="A4410" s="1" t="s">
        <v>995</v>
      </c>
    </row>
    <row r="4411" spans="1:1" x14ac:dyDescent="0.2">
      <c r="A4411" s="1" t="s">
        <v>985</v>
      </c>
    </row>
    <row r="4412" spans="1:1" x14ac:dyDescent="0.2">
      <c r="A4412" s="1" t="s">
        <v>986</v>
      </c>
    </row>
    <row r="4413" spans="1:1" x14ac:dyDescent="0.2">
      <c r="A4413" s="1" t="s">
        <v>987</v>
      </c>
    </row>
    <row r="4414" spans="1:1" x14ac:dyDescent="0.2">
      <c r="A4414" s="1" t="s">
        <v>988</v>
      </c>
    </row>
    <row r="4415" spans="1:1" x14ac:dyDescent="0.2">
      <c r="A4415" s="1" t="s">
        <v>989</v>
      </c>
    </row>
    <row r="4416" spans="1:1" x14ac:dyDescent="0.2">
      <c r="A4416" s="1" t="s">
        <v>978</v>
      </c>
    </row>
    <row r="4417" spans="1:1" x14ac:dyDescent="0.2">
      <c r="A4417" s="1" t="s">
        <v>996</v>
      </c>
    </row>
    <row r="4418" spans="1:1" x14ac:dyDescent="0.2">
      <c r="A4418" s="1" t="s">
        <v>980</v>
      </c>
    </row>
    <row r="4419" spans="1:1" x14ac:dyDescent="0.2">
      <c r="A4419" s="1" t="s">
        <v>981</v>
      </c>
    </row>
    <row r="4420" spans="1:1" x14ac:dyDescent="0.2">
      <c r="A4420" s="1" t="s">
        <v>982</v>
      </c>
    </row>
    <row r="4421" spans="1:1" x14ac:dyDescent="0.2">
      <c r="A4421" s="1" t="s">
        <v>983</v>
      </c>
    </row>
    <row r="4422" spans="1:1" x14ac:dyDescent="0.2">
      <c r="A4422" s="1" t="s">
        <v>997</v>
      </c>
    </row>
    <row r="4423" spans="1:1" x14ac:dyDescent="0.2">
      <c r="A4423" s="1" t="s">
        <v>985</v>
      </c>
    </row>
    <row r="4424" spans="1:1" x14ac:dyDescent="0.2">
      <c r="A4424" s="1" t="s">
        <v>986</v>
      </c>
    </row>
    <row r="4425" spans="1:1" x14ac:dyDescent="0.2">
      <c r="A4425" s="1" t="s">
        <v>987</v>
      </c>
    </row>
    <row r="4426" spans="1:1" x14ac:dyDescent="0.2">
      <c r="A4426" s="1" t="s">
        <v>988</v>
      </c>
    </row>
    <row r="4427" spans="1:1" x14ac:dyDescent="0.2">
      <c r="A4427" s="1" t="s">
        <v>989</v>
      </c>
    </row>
    <row r="4428" spans="1:1" x14ac:dyDescent="0.2">
      <c r="A4428" s="1" t="s">
        <v>998</v>
      </c>
    </row>
    <row r="4429" spans="1:1" x14ac:dyDescent="0.2">
      <c r="A4429" s="1" t="s">
        <v>999</v>
      </c>
    </row>
    <row r="4430" spans="1:1" x14ac:dyDescent="0.2">
      <c r="A4430" s="1" t="s">
        <v>998</v>
      </c>
    </row>
    <row r="4431" spans="1:1" x14ac:dyDescent="0.2">
      <c r="A4431" s="1" t="s">
        <v>1000</v>
      </c>
    </row>
    <row r="4432" spans="1:1" x14ac:dyDescent="0.2">
      <c r="A4432" s="1" t="s">
        <v>1001</v>
      </c>
    </row>
    <row r="4433" spans="1:1" x14ac:dyDescent="0.2">
      <c r="A4433" s="1" t="s">
        <v>1002</v>
      </c>
    </row>
    <row r="4434" spans="1:1" x14ac:dyDescent="0.2">
      <c r="A4434" s="1" t="s">
        <v>1003</v>
      </c>
    </row>
    <row r="4435" spans="1:1" x14ac:dyDescent="0.2">
      <c r="A4435" s="1" t="s">
        <v>1004</v>
      </c>
    </row>
    <row r="4436" spans="1:1" x14ac:dyDescent="0.2">
      <c r="A4436" s="1" t="s">
        <v>1005</v>
      </c>
    </row>
    <row r="4437" spans="1:1" x14ac:dyDescent="0.2">
      <c r="A4437" s="1" t="s">
        <v>1006</v>
      </c>
    </row>
    <row r="4438" spans="1:1" x14ac:dyDescent="0.2">
      <c r="A4438" s="1" t="s">
        <v>1007</v>
      </c>
    </row>
    <row r="4439" spans="1:1" x14ac:dyDescent="0.2">
      <c r="A4439" s="1" t="s">
        <v>1008</v>
      </c>
    </row>
    <row r="4440" spans="1:1" x14ac:dyDescent="0.2">
      <c r="A4440" s="1" t="s">
        <v>1009</v>
      </c>
    </row>
    <row r="4441" spans="1:1" x14ac:dyDescent="0.2">
      <c r="A4441" s="1" t="s">
        <v>1010</v>
      </c>
    </row>
    <row r="4442" spans="1:1" x14ac:dyDescent="0.2">
      <c r="A4442" s="1" t="s">
        <v>1011</v>
      </c>
    </row>
    <row r="4443" spans="1:1" x14ac:dyDescent="0.2">
      <c r="A4443" s="1" t="s">
        <v>1012</v>
      </c>
    </row>
    <row r="4444" spans="1:1" x14ac:dyDescent="0.2">
      <c r="A4444" s="1" t="s">
        <v>1013</v>
      </c>
    </row>
    <row r="4445" spans="1:1" x14ac:dyDescent="0.2">
      <c r="A4445" s="1" t="s">
        <v>1014</v>
      </c>
    </row>
    <row r="4446" spans="1:1" x14ac:dyDescent="0.2">
      <c r="A4446" s="1" t="s">
        <v>1015</v>
      </c>
    </row>
    <row r="4447" spans="1:1" x14ac:dyDescent="0.2">
      <c r="A4447" s="1" t="s">
        <v>1016</v>
      </c>
    </row>
    <row r="4448" spans="1:1" x14ac:dyDescent="0.2">
      <c r="A4448" s="1" t="s">
        <v>1005</v>
      </c>
    </row>
    <row r="4449" spans="1:1" x14ac:dyDescent="0.2">
      <c r="A4449" s="1" t="s">
        <v>1017</v>
      </c>
    </row>
    <row r="4450" spans="1:1" x14ac:dyDescent="0.2">
      <c r="A4450" s="1" t="s">
        <v>1007</v>
      </c>
    </row>
    <row r="4451" spans="1:1" x14ac:dyDescent="0.2">
      <c r="A4451" s="1" t="s">
        <v>1008</v>
      </c>
    </row>
    <row r="4452" spans="1:1" x14ac:dyDescent="0.2">
      <c r="A4452" s="1" t="s">
        <v>1009</v>
      </c>
    </row>
    <row r="4453" spans="1:1" x14ac:dyDescent="0.2">
      <c r="A4453" s="1" t="s">
        <v>1010</v>
      </c>
    </row>
    <row r="4454" spans="1:1" x14ac:dyDescent="0.2">
      <c r="A4454" s="1" t="s">
        <v>1018</v>
      </c>
    </row>
    <row r="4455" spans="1:1" x14ac:dyDescent="0.2">
      <c r="A4455" s="1" t="s">
        <v>1012</v>
      </c>
    </row>
    <row r="4456" spans="1:1" x14ac:dyDescent="0.2">
      <c r="A4456" s="1" t="s">
        <v>1013</v>
      </c>
    </row>
    <row r="4457" spans="1:1" x14ac:dyDescent="0.2">
      <c r="A4457" s="1" t="s">
        <v>1014</v>
      </c>
    </row>
    <row r="4458" spans="1:1" x14ac:dyDescent="0.2">
      <c r="A4458" s="1" t="s">
        <v>1015</v>
      </c>
    </row>
    <row r="4459" spans="1:1" x14ac:dyDescent="0.2">
      <c r="A4459" s="1" t="s">
        <v>1016</v>
      </c>
    </row>
    <row r="4460" spans="1:1" x14ac:dyDescent="0.2">
      <c r="A4460" s="1" t="s">
        <v>1005</v>
      </c>
    </row>
    <row r="4461" spans="1:1" x14ac:dyDescent="0.2">
      <c r="A4461" s="1" t="s">
        <v>1019</v>
      </c>
    </row>
    <row r="4462" spans="1:1" x14ac:dyDescent="0.2">
      <c r="A4462" s="1" t="s">
        <v>1007</v>
      </c>
    </row>
    <row r="4463" spans="1:1" x14ac:dyDescent="0.2">
      <c r="A4463" s="1" t="s">
        <v>1008</v>
      </c>
    </row>
    <row r="4464" spans="1:1" x14ac:dyDescent="0.2">
      <c r="A4464" s="1" t="s">
        <v>1009</v>
      </c>
    </row>
    <row r="4465" spans="1:1" x14ac:dyDescent="0.2">
      <c r="A4465" s="1" t="s">
        <v>1010</v>
      </c>
    </row>
    <row r="4466" spans="1:1" x14ac:dyDescent="0.2">
      <c r="A4466" s="1" t="s">
        <v>1020</v>
      </c>
    </row>
    <row r="4467" spans="1:1" x14ac:dyDescent="0.2">
      <c r="A4467" s="1" t="s">
        <v>1012</v>
      </c>
    </row>
    <row r="4468" spans="1:1" x14ac:dyDescent="0.2">
      <c r="A4468" s="1" t="s">
        <v>1013</v>
      </c>
    </row>
    <row r="4469" spans="1:1" x14ac:dyDescent="0.2">
      <c r="A4469" s="1" t="s">
        <v>1014</v>
      </c>
    </row>
    <row r="4470" spans="1:1" x14ac:dyDescent="0.2">
      <c r="A4470" s="1" t="s">
        <v>1015</v>
      </c>
    </row>
    <row r="4471" spans="1:1" x14ac:dyDescent="0.2">
      <c r="A4471" s="1" t="s">
        <v>1016</v>
      </c>
    </row>
    <row r="4472" spans="1:1" x14ac:dyDescent="0.2">
      <c r="A4472" s="1" t="s">
        <v>1005</v>
      </c>
    </row>
    <row r="4473" spans="1:1" x14ac:dyDescent="0.2">
      <c r="A4473" s="1" t="s">
        <v>1021</v>
      </c>
    </row>
    <row r="4474" spans="1:1" x14ac:dyDescent="0.2">
      <c r="A4474" s="1" t="s">
        <v>1007</v>
      </c>
    </row>
    <row r="4475" spans="1:1" x14ac:dyDescent="0.2">
      <c r="A4475" s="1" t="s">
        <v>1008</v>
      </c>
    </row>
    <row r="4476" spans="1:1" x14ac:dyDescent="0.2">
      <c r="A4476" s="1" t="s">
        <v>1009</v>
      </c>
    </row>
    <row r="4477" spans="1:1" x14ac:dyDescent="0.2">
      <c r="A4477" s="1" t="s">
        <v>1010</v>
      </c>
    </row>
    <row r="4478" spans="1:1" x14ac:dyDescent="0.2">
      <c r="A4478" s="1" t="s">
        <v>1022</v>
      </c>
    </row>
    <row r="4479" spans="1:1" x14ac:dyDescent="0.2">
      <c r="A4479" s="1" t="s">
        <v>1012</v>
      </c>
    </row>
    <row r="4480" spans="1:1" x14ac:dyDescent="0.2">
      <c r="A4480" s="1" t="s">
        <v>1013</v>
      </c>
    </row>
    <row r="4481" spans="1:1" x14ac:dyDescent="0.2">
      <c r="A4481" s="1" t="s">
        <v>1014</v>
      </c>
    </row>
    <row r="4482" spans="1:1" x14ac:dyDescent="0.2">
      <c r="A4482" s="1" t="s">
        <v>1015</v>
      </c>
    </row>
    <row r="4483" spans="1:1" x14ac:dyDescent="0.2">
      <c r="A4483" s="1" t="s">
        <v>1016</v>
      </c>
    </row>
    <row r="4484" spans="1:1" x14ac:dyDescent="0.2">
      <c r="A4484" s="1" t="s">
        <v>1005</v>
      </c>
    </row>
    <row r="4485" spans="1:1" x14ac:dyDescent="0.2">
      <c r="A4485" s="1" t="s">
        <v>1023</v>
      </c>
    </row>
    <row r="4486" spans="1:1" x14ac:dyDescent="0.2">
      <c r="A4486" s="1" t="s">
        <v>1007</v>
      </c>
    </row>
    <row r="4487" spans="1:1" x14ac:dyDescent="0.2">
      <c r="A4487" s="1" t="s">
        <v>1008</v>
      </c>
    </row>
    <row r="4488" spans="1:1" x14ac:dyDescent="0.2">
      <c r="A4488" s="1" t="s">
        <v>1009</v>
      </c>
    </row>
    <row r="4489" spans="1:1" x14ac:dyDescent="0.2">
      <c r="A4489" s="1" t="s">
        <v>1010</v>
      </c>
    </row>
    <row r="4490" spans="1:1" x14ac:dyDescent="0.2">
      <c r="A4490" s="1" t="s">
        <v>1024</v>
      </c>
    </row>
    <row r="4491" spans="1:1" x14ac:dyDescent="0.2">
      <c r="A4491" s="1" t="s">
        <v>1012</v>
      </c>
    </row>
    <row r="4492" spans="1:1" x14ac:dyDescent="0.2">
      <c r="A4492" s="1" t="s">
        <v>1013</v>
      </c>
    </row>
    <row r="4493" spans="1:1" x14ac:dyDescent="0.2">
      <c r="A4493" s="1" t="s">
        <v>1014</v>
      </c>
    </row>
    <row r="4494" spans="1:1" x14ac:dyDescent="0.2">
      <c r="A4494" s="1" t="s">
        <v>1015</v>
      </c>
    </row>
    <row r="4495" spans="1:1" x14ac:dyDescent="0.2">
      <c r="A4495" s="1" t="s">
        <v>1016</v>
      </c>
    </row>
    <row r="4496" spans="1:1" x14ac:dyDescent="0.2">
      <c r="A4496" s="1" t="s">
        <v>1005</v>
      </c>
    </row>
    <row r="4497" spans="1:1" x14ac:dyDescent="0.2">
      <c r="A4497" s="1" t="s">
        <v>1025</v>
      </c>
    </row>
    <row r="4498" spans="1:1" x14ac:dyDescent="0.2">
      <c r="A4498" s="1" t="s">
        <v>1007</v>
      </c>
    </row>
    <row r="4499" spans="1:1" x14ac:dyDescent="0.2">
      <c r="A4499" s="1" t="s">
        <v>1008</v>
      </c>
    </row>
    <row r="4500" spans="1:1" x14ac:dyDescent="0.2">
      <c r="A4500" s="1" t="s">
        <v>1009</v>
      </c>
    </row>
    <row r="4501" spans="1:1" x14ac:dyDescent="0.2">
      <c r="A4501" s="1" t="s">
        <v>1010</v>
      </c>
    </row>
    <row r="4502" spans="1:1" x14ac:dyDescent="0.2">
      <c r="A4502" s="1" t="s">
        <v>1026</v>
      </c>
    </row>
    <row r="4503" spans="1:1" x14ac:dyDescent="0.2">
      <c r="A4503" s="1" t="s">
        <v>1012</v>
      </c>
    </row>
    <row r="4504" spans="1:1" x14ac:dyDescent="0.2">
      <c r="A4504" s="1" t="s">
        <v>1013</v>
      </c>
    </row>
    <row r="4505" spans="1:1" x14ac:dyDescent="0.2">
      <c r="A4505" s="1" t="s">
        <v>1014</v>
      </c>
    </row>
    <row r="4506" spans="1:1" x14ac:dyDescent="0.2">
      <c r="A4506" s="1" t="s">
        <v>1015</v>
      </c>
    </row>
    <row r="4507" spans="1:1" x14ac:dyDescent="0.2">
      <c r="A4507" s="1" t="s">
        <v>1016</v>
      </c>
    </row>
    <row r="4508" spans="1:1" x14ac:dyDescent="0.2">
      <c r="A4508" s="1" t="s">
        <v>1005</v>
      </c>
    </row>
    <row r="4509" spans="1:1" x14ac:dyDescent="0.2">
      <c r="A4509" s="1" t="s">
        <v>1027</v>
      </c>
    </row>
    <row r="4510" spans="1:1" x14ac:dyDescent="0.2">
      <c r="A4510" s="1" t="s">
        <v>1007</v>
      </c>
    </row>
    <row r="4511" spans="1:1" x14ac:dyDescent="0.2">
      <c r="A4511" s="1" t="s">
        <v>1008</v>
      </c>
    </row>
    <row r="4512" spans="1:1" x14ac:dyDescent="0.2">
      <c r="A4512" s="1" t="s">
        <v>1009</v>
      </c>
    </row>
    <row r="4513" spans="1:1" x14ac:dyDescent="0.2">
      <c r="A4513" s="1" t="s">
        <v>1010</v>
      </c>
    </row>
    <row r="4514" spans="1:1" x14ac:dyDescent="0.2">
      <c r="A4514" s="1" t="s">
        <v>1028</v>
      </c>
    </row>
    <row r="4515" spans="1:1" x14ac:dyDescent="0.2">
      <c r="A4515" s="1" t="s">
        <v>1012</v>
      </c>
    </row>
    <row r="4516" spans="1:1" x14ac:dyDescent="0.2">
      <c r="A4516" s="1" t="s">
        <v>1013</v>
      </c>
    </row>
    <row r="4517" spans="1:1" x14ac:dyDescent="0.2">
      <c r="A4517" s="1" t="s">
        <v>1014</v>
      </c>
    </row>
    <row r="4518" spans="1:1" x14ac:dyDescent="0.2">
      <c r="A4518" s="1" t="s">
        <v>1015</v>
      </c>
    </row>
    <row r="4519" spans="1:1" x14ac:dyDescent="0.2">
      <c r="A4519" s="1" t="s">
        <v>1016</v>
      </c>
    </row>
    <row r="4520" spans="1:1" x14ac:dyDescent="0.2">
      <c r="A4520" s="1" t="s">
        <v>1005</v>
      </c>
    </row>
    <row r="4521" spans="1:1" x14ac:dyDescent="0.2">
      <c r="A4521" s="1" t="s">
        <v>1029</v>
      </c>
    </row>
    <row r="4522" spans="1:1" x14ac:dyDescent="0.2">
      <c r="A4522" s="1" t="s">
        <v>1007</v>
      </c>
    </row>
    <row r="4523" spans="1:1" x14ac:dyDescent="0.2">
      <c r="A4523" s="1" t="s">
        <v>1008</v>
      </c>
    </row>
    <row r="4524" spans="1:1" x14ac:dyDescent="0.2">
      <c r="A4524" s="1" t="s">
        <v>1009</v>
      </c>
    </row>
    <row r="4525" spans="1:1" x14ac:dyDescent="0.2">
      <c r="A4525" s="1" t="s">
        <v>1010</v>
      </c>
    </row>
    <row r="4526" spans="1:1" x14ac:dyDescent="0.2">
      <c r="A4526" s="1" t="s">
        <v>1030</v>
      </c>
    </row>
    <row r="4527" spans="1:1" x14ac:dyDescent="0.2">
      <c r="A4527" s="1" t="s">
        <v>1012</v>
      </c>
    </row>
    <row r="4528" spans="1:1" x14ac:dyDescent="0.2">
      <c r="A4528" s="1" t="s">
        <v>1013</v>
      </c>
    </row>
    <row r="4529" spans="1:1" x14ac:dyDescent="0.2">
      <c r="A4529" s="1" t="s">
        <v>1014</v>
      </c>
    </row>
    <row r="4530" spans="1:1" x14ac:dyDescent="0.2">
      <c r="A4530" s="1" t="s">
        <v>1015</v>
      </c>
    </row>
    <row r="4531" spans="1:1" x14ac:dyDescent="0.2">
      <c r="A4531" s="1" t="s">
        <v>1016</v>
      </c>
    </row>
    <row r="4532" spans="1:1" x14ac:dyDescent="0.2">
      <c r="A4532" s="1" t="s">
        <v>1005</v>
      </c>
    </row>
    <row r="4533" spans="1:1" x14ac:dyDescent="0.2">
      <c r="A4533" s="1" t="s">
        <v>1031</v>
      </c>
    </row>
    <row r="4534" spans="1:1" x14ac:dyDescent="0.2">
      <c r="A4534" s="1" t="s">
        <v>1007</v>
      </c>
    </row>
    <row r="4535" spans="1:1" x14ac:dyDescent="0.2">
      <c r="A4535" s="1" t="s">
        <v>1008</v>
      </c>
    </row>
    <row r="4536" spans="1:1" x14ac:dyDescent="0.2">
      <c r="A4536" s="1" t="s">
        <v>1009</v>
      </c>
    </row>
    <row r="4537" spans="1:1" x14ac:dyDescent="0.2">
      <c r="A4537" s="1" t="s">
        <v>1010</v>
      </c>
    </row>
    <row r="4538" spans="1:1" x14ac:dyDescent="0.2">
      <c r="A4538" s="1" t="s">
        <v>1032</v>
      </c>
    </row>
    <row r="4539" spans="1:1" x14ac:dyDescent="0.2">
      <c r="A4539" s="1" t="s">
        <v>1012</v>
      </c>
    </row>
    <row r="4540" spans="1:1" x14ac:dyDescent="0.2">
      <c r="A4540" s="1" t="s">
        <v>1013</v>
      </c>
    </row>
    <row r="4541" spans="1:1" x14ac:dyDescent="0.2">
      <c r="A4541" s="1" t="s">
        <v>1014</v>
      </c>
    </row>
    <row r="4542" spans="1:1" x14ac:dyDescent="0.2">
      <c r="A4542" s="1" t="s">
        <v>1015</v>
      </c>
    </row>
    <row r="4543" spans="1:1" x14ac:dyDescent="0.2">
      <c r="A4543" s="1" t="s">
        <v>1016</v>
      </c>
    </row>
    <row r="4544" spans="1:1" x14ac:dyDescent="0.2">
      <c r="A4544" s="1" t="s">
        <v>1005</v>
      </c>
    </row>
    <row r="4545" spans="1:1" x14ac:dyDescent="0.2">
      <c r="A4545" s="1" t="s">
        <v>1033</v>
      </c>
    </row>
    <row r="4546" spans="1:1" x14ac:dyDescent="0.2">
      <c r="A4546" s="1" t="s">
        <v>1007</v>
      </c>
    </row>
    <row r="4547" spans="1:1" x14ac:dyDescent="0.2">
      <c r="A4547" s="1" t="s">
        <v>1008</v>
      </c>
    </row>
    <row r="4548" spans="1:1" x14ac:dyDescent="0.2">
      <c r="A4548" s="1" t="s">
        <v>1009</v>
      </c>
    </row>
    <row r="4549" spans="1:1" x14ac:dyDescent="0.2">
      <c r="A4549" s="1" t="s">
        <v>1010</v>
      </c>
    </row>
    <row r="4550" spans="1:1" x14ac:dyDescent="0.2">
      <c r="A4550" s="1" t="s">
        <v>1034</v>
      </c>
    </row>
    <row r="4551" spans="1:1" x14ac:dyDescent="0.2">
      <c r="A4551" s="1" t="s">
        <v>1012</v>
      </c>
    </row>
    <row r="4552" spans="1:1" x14ac:dyDescent="0.2">
      <c r="A4552" s="1" t="s">
        <v>1013</v>
      </c>
    </row>
    <row r="4553" spans="1:1" x14ac:dyDescent="0.2">
      <c r="A4553" s="1" t="s">
        <v>1014</v>
      </c>
    </row>
    <row r="4554" spans="1:1" x14ac:dyDescent="0.2">
      <c r="A4554" s="1" t="s">
        <v>1015</v>
      </c>
    </row>
    <row r="4555" spans="1:1" x14ac:dyDescent="0.2">
      <c r="A4555" s="1" t="s">
        <v>1016</v>
      </c>
    </row>
    <row r="4556" spans="1:1" x14ac:dyDescent="0.2">
      <c r="A4556" s="1" t="s">
        <v>1035</v>
      </c>
    </row>
    <row r="4557" spans="1:1" x14ac:dyDescent="0.2">
      <c r="A4557" s="1" t="s">
        <v>1036</v>
      </c>
    </row>
    <row r="4558" spans="1:1" x14ac:dyDescent="0.2">
      <c r="A4558" s="1" t="s">
        <v>1037</v>
      </c>
    </row>
    <row r="4559" spans="1:1" x14ac:dyDescent="0.2">
      <c r="A4559" s="1" t="s">
        <v>1038</v>
      </c>
    </row>
    <row r="4560" spans="1:1" x14ac:dyDescent="0.2">
      <c r="A4560" s="1" t="s">
        <v>1039</v>
      </c>
    </row>
    <row r="4561" spans="1:1" x14ac:dyDescent="0.2">
      <c r="A4561" s="1" t="s">
        <v>1040</v>
      </c>
    </row>
    <row r="4562" spans="1:1" x14ac:dyDescent="0.2">
      <c r="A4562" s="1" t="s">
        <v>1041</v>
      </c>
    </row>
    <row r="4563" spans="1:1" x14ac:dyDescent="0.2">
      <c r="A4563" s="1" t="s">
        <v>1042</v>
      </c>
    </row>
    <row r="4564" spans="1:1" x14ac:dyDescent="0.2">
      <c r="A4564" s="1" t="s">
        <v>1043</v>
      </c>
    </row>
    <row r="4565" spans="1:1" x14ac:dyDescent="0.2">
      <c r="A4565" s="1" t="s">
        <v>1044</v>
      </c>
    </row>
    <row r="4566" spans="1:1" x14ac:dyDescent="0.2">
      <c r="A4566" s="1" t="s">
        <v>1045</v>
      </c>
    </row>
    <row r="4567" spans="1:1" x14ac:dyDescent="0.2">
      <c r="A4567" s="1" t="s">
        <v>1046</v>
      </c>
    </row>
    <row r="4568" spans="1:1" x14ac:dyDescent="0.2">
      <c r="A4568" s="1" t="s">
        <v>1035</v>
      </c>
    </row>
    <row r="4569" spans="1:1" x14ac:dyDescent="0.2">
      <c r="A4569" s="1" t="s">
        <v>1047</v>
      </c>
    </row>
    <row r="4570" spans="1:1" x14ac:dyDescent="0.2">
      <c r="A4570" s="1" t="s">
        <v>1037</v>
      </c>
    </row>
    <row r="4571" spans="1:1" x14ac:dyDescent="0.2">
      <c r="A4571" s="1" t="s">
        <v>1038</v>
      </c>
    </row>
    <row r="4572" spans="1:1" x14ac:dyDescent="0.2">
      <c r="A4572" s="1" t="s">
        <v>1039</v>
      </c>
    </row>
    <row r="4573" spans="1:1" x14ac:dyDescent="0.2">
      <c r="A4573" s="1" t="s">
        <v>1040</v>
      </c>
    </row>
    <row r="4574" spans="1:1" x14ac:dyDescent="0.2">
      <c r="A4574" s="1" t="s">
        <v>1048</v>
      </c>
    </row>
    <row r="4575" spans="1:1" x14ac:dyDescent="0.2">
      <c r="A4575" s="1" t="s">
        <v>1042</v>
      </c>
    </row>
    <row r="4576" spans="1:1" x14ac:dyDescent="0.2">
      <c r="A4576" s="1" t="s">
        <v>1043</v>
      </c>
    </row>
    <row r="4577" spans="1:1" x14ac:dyDescent="0.2">
      <c r="A4577" s="1" t="s">
        <v>1044</v>
      </c>
    </row>
    <row r="4578" spans="1:1" x14ac:dyDescent="0.2">
      <c r="A4578" s="1" t="s">
        <v>1045</v>
      </c>
    </row>
    <row r="4579" spans="1:1" x14ac:dyDescent="0.2">
      <c r="A4579" s="1" t="s">
        <v>1046</v>
      </c>
    </row>
    <row r="4580" spans="1:1" x14ac:dyDescent="0.2">
      <c r="A4580" s="1" t="s">
        <v>1035</v>
      </c>
    </row>
    <row r="4581" spans="1:1" x14ac:dyDescent="0.2">
      <c r="A4581" s="1" t="s">
        <v>1049</v>
      </c>
    </row>
    <row r="4582" spans="1:1" x14ac:dyDescent="0.2">
      <c r="A4582" s="1" t="s">
        <v>1037</v>
      </c>
    </row>
    <row r="4583" spans="1:1" x14ac:dyDescent="0.2">
      <c r="A4583" s="1" t="s">
        <v>1038</v>
      </c>
    </row>
    <row r="4584" spans="1:1" x14ac:dyDescent="0.2">
      <c r="A4584" s="1" t="s">
        <v>1039</v>
      </c>
    </row>
    <row r="4585" spans="1:1" x14ac:dyDescent="0.2">
      <c r="A4585" s="1" t="s">
        <v>1040</v>
      </c>
    </row>
    <row r="4586" spans="1:1" x14ac:dyDescent="0.2">
      <c r="A4586" s="1" t="s">
        <v>1050</v>
      </c>
    </row>
    <row r="4587" spans="1:1" x14ac:dyDescent="0.2">
      <c r="A4587" s="1" t="s">
        <v>1042</v>
      </c>
    </row>
    <row r="4588" spans="1:1" x14ac:dyDescent="0.2">
      <c r="A4588" s="1" t="s">
        <v>1043</v>
      </c>
    </row>
    <row r="4589" spans="1:1" x14ac:dyDescent="0.2">
      <c r="A4589" s="1" t="s">
        <v>1044</v>
      </c>
    </row>
    <row r="4590" spans="1:1" x14ac:dyDescent="0.2">
      <c r="A4590" s="1" t="s">
        <v>1045</v>
      </c>
    </row>
    <row r="4591" spans="1:1" x14ac:dyDescent="0.2">
      <c r="A4591" s="1" t="s">
        <v>1046</v>
      </c>
    </row>
    <row r="4592" spans="1:1" x14ac:dyDescent="0.2">
      <c r="A4592" s="1" t="s">
        <v>1035</v>
      </c>
    </row>
    <row r="4593" spans="1:1" x14ac:dyDescent="0.2">
      <c r="A4593" s="1" t="s">
        <v>1051</v>
      </c>
    </row>
    <row r="4594" spans="1:1" x14ac:dyDescent="0.2">
      <c r="A4594" s="1" t="s">
        <v>1037</v>
      </c>
    </row>
    <row r="4595" spans="1:1" x14ac:dyDescent="0.2">
      <c r="A4595" s="1" t="s">
        <v>1038</v>
      </c>
    </row>
    <row r="4596" spans="1:1" x14ac:dyDescent="0.2">
      <c r="A4596" s="1" t="s">
        <v>1039</v>
      </c>
    </row>
    <row r="4597" spans="1:1" x14ac:dyDescent="0.2">
      <c r="A4597" s="1" t="s">
        <v>1040</v>
      </c>
    </row>
    <row r="4598" spans="1:1" x14ac:dyDescent="0.2">
      <c r="A4598" s="1" t="s">
        <v>1052</v>
      </c>
    </row>
    <row r="4599" spans="1:1" x14ac:dyDescent="0.2">
      <c r="A4599" s="1" t="s">
        <v>1042</v>
      </c>
    </row>
    <row r="4600" spans="1:1" x14ac:dyDescent="0.2">
      <c r="A4600" s="1" t="s">
        <v>1043</v>
      </c>
    </row>
    <row r="4601" spans="1:1" x14ac:dyDescent="0.2">
      <c r="A4601" s="1" t="s">
        <v>1044</v>
      </c>
    </row>
    <row r="4602" spans="1:1" x14ac:dyDescent="0.2">
      <c r="A4602" s="1" t="s">
        <v>1045</v>
      </c>
    </row>
    <row r="4603" spans="1:1" x14ac:dyDescent="0.2">
      <c r="A4603" s="1" t="s">
        <v>1046</v>
      </c>
    </row>
    <row r="4604" spans="1:1" x14ac:dyDescent="0.2">
      <c r="A4604" s="1" t="s">
        <v>1035</v>
      </c>
    </row>
    <row r="4605" spans="1:1" x14ac:dyDescent="0.2">
      <c r="A4605" s="1" t="s">
        <v>1053</v>
      </c>
    </row>
    <row r="4606" spans="1:1" x14ac:dyDescent="0.2">
      <c r="A4606" s="1" t="s">
        <v>1037</v>
      </c>
    </row>
    <row r="4607" spans="1:1" x14ac:dyDescent="0.2">
      <c r="A4607" s="1" t="s">
        <v>1038</v>
      </c>
    </row>
    <row r="4608" spans="1:1" x14ac:dyDescent="0.2">
      <c r="A4608" s="1" t="s">
        <v>1039</v>
      </c>
    </row>
    <row r="4609" spans="1:1" x14ac:dyDescent="0.2">
      <c r="A4609" s="1" t="s">
        <v>1040</v>
      </c>
    </row>
    <row r="4610" spans="1:1" x14ac:dyDescent="0.2">
      <c r="A4610" s="1" t="s">
        <v>1054</v>
      </c>
    </row>
    <row r="4611" spans="1:1" x14ac:dyDescent="0.2">
      <c r="A4611" s="1" t="s">
        <v>1042</v>
      </c>
    </row>
    <row r="4612" spans="1:1" x14ac:dyDescent="0.2">
      <c r="A4612" s="1" t="s">
        <v>1043</v>
      </c>
    </row>
    <row r="4613" spans="1:1" x14ac:dyDescent="0.2">
      <c r="A4613" s="1" t="s">
        <v>1044</v>
      </c>
    </row>
    <row r="4614" spans="1:1" x14ac:dyDescent="0.2">
      <c r="A4614" s="1" t="s">
        <v>1045</v>
      </c>
    </row>
    <row r="4615" spans="1:1" x14ac:dyDescent="0.2">
      <c r="A4615" s="1" t="s">
        <v>1046</v>
      </c>
    </row>
    <row r="4616" spans="1:1" x14ac:dyDescent="0.2">
      <c r="A4616" s="1" t="s">
        <v>1035</v>
      </c>
    </row>
    <row r="4617" spans="1:1" x14ac:dyDescent="0.2">
      <c r="A4617" s="1" t="s">
        <v>1055</v>
      </c>
    </row>
    <row r="4618" spans="1:1" x14ac:dyDescent="0.2">
      <c r="A4618" s="1" t="s">
        <v>1037</v>
      </c>
    </row>
    <row r="4619" spans="1:1" x14ac:dyDescent="0.2">
      <c r="A4619" s="1" t="s">
        <v>1038</v>
      </c>
    </row>
    <row r="4620" spans="1:1" x14ac:dyDescent="0.2">
      <c r="A4620" s="1" t="s">
        <v>1039</v>
      </c>
    </row>
    <row r="4621" spans="1:1" x14ac:dyDescent="0.2">
      <c r="A4621" s="1" t="s">
        <v>1040</v>
      </c>
    </row>
    <row r="4622" spans="1:1" x14ac:dyDescent="0.2">
      <c r="A4622" s="1" t="s">
        <v>1056</v>
      </c>
    </row>
    <row r="4623" spans="1:1" x14ac:dyDescent="0.2">
      <c r="A4623" s="1" t="s">
        <v>1042</v>
      </c>
    </row>
    <row r="4624" spans="1:1" x14ac:dyDescent="0.2">
      <c r="A4624" s="1" t="s">
        <v>1043</v>
      </c>
    </row>
    <row r="4625" spans="1:1" x14ac:dyDescent="0.2">
      <c r="A4625" s="1" t="s">
        <v>1044</v>
      </c>
    </row>
    <row r="4626" spans="1:1" x14ac:dyDescent="0.2">
      <c r="A4626" s="1" t="s">
        <v>1045</v>
      </c>
    </row>
    <row r="4627" spans="1:1" x14ac:dyDescent="0.2">
      <c r="A4627" s="1" t="s">
        <v>1046</v>
      </c>
    </row>
    <row r="4628" spans="1:1" x14ac:dyDescent="0.2">
      <c r="A4628" s="1" t="s">
        <v>1035</v>
      </c>
    </row>
    <row r="4629" spans="1:1" x14ac:dyDescent="0.2">
      <c r="A4629" s="1" t="s">
        <v>1057</v>
      </c>
    </row>
    <row r="4630" spans="1:1" x14ac:dyDescent="0.2">
      <c r="A4630" s="1" t="s">
        <v>1037</v>
      </c>
    </row>
    <row r="4631" spans="1:1" x14ac:dyDescent="0.2">
      <c r="A4631" s="1" t="s">
        <v>1038</v>
      </c>
    </row>
    <row r="4632" spans="1:1" x14ac:dyDescent="0.2">
      <c r="A4632" s="1" t="s">
        <v>1039</v>
      </c>
    </row>
    <row r="4633" spans="1:1" x14ac:dyDescent="0.2">
      <c r="A4633" s="1" t="s">
        <v>1040</v>
      </c>
    </row>
    <row r="4634" spans="1:1" x14ac:dyDescent="0.2">
      <c r="A4634" s="1" t="s">
        <v>1058</v>
      </c>
    </row>
    <row r="4635" spans="1:1" x14ac:dyDescent="0.2">
      <c r="A4635" s="1" t="s">
        <v>1042</v>
      </c>
    </row>
    <row r="4636" spans="1:1" x14ac:dyDescent="0.2">
      <c r="A4636" s="1" t="s">
        <v>1043</v>
      </c>
    </row>
    <row r="4637" spans="1:1" x14ac:dyDescent="0.2">
      <c r="A4637" s="1" t="s">
        <v>1044</v>
      </c>
    </row>
    <row r="4638" spans="1:1" x14ac:dyDescent="0.2">
      <c r="A4638" s="1" t="s">
        <v>1045</v>
      </c>
    </row>
    <row r="4639" spans="1:1" x14ac:dyDescent="0.2">
      <c r="A4639" s="1" t="s">
        <v>1046</v>
      </c>
    </row>
    <row r="4640" spans="1:1" x14ac:dyDescent="0.2">
      <c r="A4640" s="1" t="s">
        <v>1035</v>
      </c>
    </row>
    <row r="4641" spans="1:1" x14ac:dyDescent="0.2">
      <c r="A4641" s="1" t="s">
        <v>1059</v>
      </c>
    </row>
    <row r="4642" spans="1:1" x14ac:dyDescent="0.2">
      <c r="A4642" s="1" t="s">
        <v>1037</v>
      </c>
    </row>
    <row r="4643" spans="1:1" x14ac:dyDescent="0.2">
      <c r="A4643" s="1" t="s">
        <v>1038</v>
      </c>
    </row>
    <row r="4644" spans="1:1" x14ac:dyDescent="0.2">
      <c r="A4644" s="1" t="s">
        <v>1039</v>
      </c>
    </row>
    <row r="4645" spans="1:1" x14ac:dyDescent="0.2">
      <c r="A4645" s="1" t="s">
        <v>1040</v>
      </c>
    </row>
    <row r="4646" spans="1:1" x14ac:dyDescent="0.2">
      <c r="A4646" s="1" t="s">
        <v>1060</v>
      </c>
    </row>
    <row r="4647" spans="1:1" x14ac:dyDescent="0.2">
      <c r="A4647" s="1" t="s">
        <v>1042</v>
      </c>
    </row>
    <row r="4648" spans="1:1" x14ac:dyDescent="0.2">
      <c r="A4648" s="1" t="s">
        <v>1043</v>
      </c>
    </row>
    <row r="4649" spans="1:1" x14ac:dyDescent="0.2">
      <c r="A4649" s="1" t="s">
        <v>1044</v>
      </c>
    </row>
    <row r="4650" spans="1:1" x14ac:dyDescent="0.2">
      <c r="A4650" s="1" t="s">
        <v>1045</v>
      </c>
    </row>
    <row r="4651" spans="1:1" x14ac:dyDescent="0.2">
      <c r="A4651" s="1" t="s">
        <v>1046</v>
      </c>
    </row>
    <row r="4652" spans="1:1" x14ac:dyDescent="0.2">
      <c r="A4652" s="1" t="s">
        <v>1061</v>
      </c>
    </row>
    <row r="4653" spans="1:1" x14ac:dyDescent="0.2">
      <c r="A4653" s="1" t="s">
        <v>1062</v>
      </c>
    </row>
    <row r="4654" spans="1:1" x14ac:dyDescent="0.2">
      <c r="A4654" s="1" t="s">
        <v>1061</v>
      </c>
    </row>
    <row r="4655" spans="1:1" x14ac:dyDescent="0.2">
      <c r="A4655" s="1" t="s">
        <v>1062</v>
      </c>
    </row>
    <row r="4656" spans="1:1" x14ac:dyDescent="0.2">
      <c r="A4656" s="1" t="s">
        <v>1063</v>
      </c>
    </row>
    <row r="4657" spans="1:1" x14ac:dyDescent="0.2">
      <c r="A4657" s="1" t="s">
        <v>1064</v>
      </c>
    </row>
    <row r="4658" spans="1:1" x14ac:dyDescent="0.2">
      <c r="A4658" s="1" t="s">
        <v>1065</v>
      </c>
    </row>
    <row r="4659" spans="1:1" x14ac:dyDescent="0.2">
      <c r="A4659" s="1" t="s">
        <v>1066</v>
      </c>
    </row>
    <row r="4660" spans="1:1" x14ac:dyDescent="0.2">
      <c r="A4660" s="1" t="s">
        <v>1067</v>
      </c>
    </row>
    <row r="4661" spans="1:1" x14ac:dyDescent="0.2">
      <c r="A4661" s="1" t="s">
        <v>1068</v>
      </c>
    </row>
    <row r="4662" spans="1:1" x14ac:dyDescent="0.2">
      <c r="A4662" s="1" t="s">
        <v>1069</v>
      </c>
    </row>
    <row r="4663" spans="1:1" x14ac:dyDescent="0.2">
      <c r="A4663" s="1" t="s">
        <v>1070</v>
      </c>
    </row>
    <row r="4664" spans="1:1" x14ac:dyDescent="0.2">
      <c r="A4664" s="1" t="s">
        <v>1061</v>
      </c>
    </row>
    <row r="4665" spans="1:1" x14ac:dyDescent="0.2">
      <c r="A4665" s="1" t="s">
        <v>1062</v>
      </c>
    </row>
    <row r="4666" spans="1:1" x14ac:dyDescent="0.2">
      <c r="A4666" s="1" t="s">
        <v>1061</v>
      </c>
    </row>
    <row r="4667" spans="1:1" x14ac:dyDescent="0.2">
      <c r="A4667" s="1" t="s">
        <v>1062</v>
      </c>
    </row>
    <row r="4668" spans="1:1" x14ac:dyDescent="0.2">
      <c r="A4668" s="1" t="s">
        <v>1061</v>
      </c>
    </row>
    <row r="4669" spans="1:1" x14ac:dyDescent="0.2">
      <c r="A4669" s="1" t="s">
        <v>1062</v>
      </c>
    </row>
    <row r="4670" spans="1:1" x14ac:dyDescent="0.2">
      <c r="A4670" s="1" t="s">
        <v>1063</v>
      </c>
    </row>
    <row r="4671" spans="1:1" x14ac:dyDescent="0.2">
      <c r="A4671" s="1" t="s">
        <v>1064</v>
      </c>
    </row>
    <row r="4672" spans="1:1" x14ac:dyDescent="0.2">
      <c r="A4672" s="1" t="s">
        <v>1065</v>
      </c>
    </row>
    <row r="4673" spans="1:1" x14ac:dyDescent="0.2">
      <c r="A4673" s="1" t="s">
        <v>1066</v>
      </c>
    </row>
    <row r="4674" spans="1:1" x14ac:dyDescent="0.2">
      <c r="A4674" s="1" t="s">
        <v>1067</v>
      </c>
    </row>
    <row r="4675" spans="1:1" x14ac:dyDescent="0.2">
      <c r="A4675" s="1" t="s">
        <v>1068</v>
      </c>
    </row>
    <row r="4676" spans="1:1" x14ac:dyDescent="0.2">
      <c r="A4676" s="1" t="s">
        <v>1069</v>
      </c>
    </row>
    <row r="4677" spans="1:1" x14ac:dyDescent="0.2">
      <c r="A4677" s="1" t="s">
        <v>1070</v>
      </c>
    </row>
    <row r="4678" spans="1:1" x14ac:dyDescent="0.2">
      <c r="A4678" s="1" t="s">
        <v>1061</v>
      </c>
    </row>
    <row r="4679" spans="1:1" x14ac:dyDescent="0.2">
      <c r="A4679" s="1" t="s">
        <v>1062</v>
      </c>
    </row>
    <row r="4680" spans="1:1" x14ac:dyDescent="0.2">
      <c r="A4680" s="1" t="s">
        <v>1061</v>
      </c>
    </row>
    <row r="4681" spans="1:1" x14ac:dyDescent="0.2">
      <c r="A4681" s="1" t="s">
        <v>1062</v>
      </c>
    </row>
    <row r="4682" spans="1:1" x14ac:dyDescent="0.2">
      <c r="A4682" s="1" t="s">
        <v>1061</v>
      </c>
    </row>
    <row r="4683" spans="1:1" x14ac:dyDescent="0.2">
      <c r="A4683" s="1" t="s">
        <v>1062</v>
      </c>
    </row>
    <row r="4684" spans="1:1" x14ac:dyDescent="0.2">
      <c r="A4684" s="1" t="s">
        <v>1063</v>
      </c>
    </row>
    <row r="4685" spans="1:1" x14ac:dyDescent="0.2">
      <c r="A4685" s="1" t="s">
        <v>1064</v>
      </c>
    </row>
    <row r="4686" spans="1:1" x14ac:dyDescent="0.2">
      <c r="A4686" s="1" t="s">
        <v>1065</v>
      </c>
    </row>
    <row r="4687" spans="1:1" x14ac:dyDescent="0.2">
      <c r="A4687" s="1" t="s">
        <v>1066</v>
      </c>
    </row>
    <row r="4688" spans="1:1" x14ac:dyDescent="0.2">
      <c r="A4688" s="1" t="s">
        <v>1067</v>
      </c>
    </row>
    <row r="4689" spans="1:1" x14ac:dyDescent="0.2">
      <c r="A4689" s="1" t="s">
        <v>1068</v>
      </c>
    </row>
    <row r="4690" spans="1:1" x14ac:dyDescent="0.2">
      <c r="A4690" s="1" t="s">
        <v>1069</v>
      </c>
    </row>
    <row r="4691" spans="1:1" x14ac:dyDescent="0.2">
      <c r="A4691" s="1" t="s">
        <v>1070</v>
      </c>
    </row>
    <row r="4692" spans="1:1" x14ac:dyDescent="0.2">
      <c r="A4692" s="1" t="s">
        <v>1061</v>
      </c>
    </row>
    <row r="4693" spans="1:1" x14ac:dyDescent="0.2">
      <c r="A4693" s="1" t="s">
        <v>1062</v>
      </c>
    </row>
    <row r="4694" spans="1:1" x14ac:dyDescent="0.2">
      <c r="A4694" s="1" t="s">
        <v>1061</v>
      </c>
    </row>
    <row r="4695" spans="1:1" x14ac:dyDescent="0.2">
      <c r="A4695" s="1" t="s">
        <v>1062</v>
      </c>
    </row>
    <row r="4696" spans="1:1" x14ac:dyDescent="0.2">
      <c r="A4696" s="1" t="s">
        <v>1061</v>
      </c>
    </row>
    <row r="4697" spans="1:1" x14ac:dyDescent="0.2">
      <c r="A4697" s="1" t="s">
        <v>1062</v>
      </c>
    </row>
    <row r="4698" spans="1:1" x14ac:dyDescent="0.2">
      <c r="A4698" s="1" t="s">
        <v>1063</v>
      </c>
    </row>
    <row r="4699" spans="1:1" x14ac:dyDescent="0.2">
      <c r="A4699" s="1" t="s">
        <v>1064</v>
      </c>
    </row>
    <row r="4700" spans="1:1" x14ac:dyDescent="0.2">
      <c r="A4700" s="1" t="s">
        <v>1065</v>
      </c>
    </row>
    <row r="4701" spans="1:1" x14ac:dyDescent="0.2">
      <c r="A4701" s="1" t="s">
        <v>1066</v>
      </c>
    </row>
    <row r="4702" spans="1:1" x14ac:dyDescent="0.2">
      <c r="A4702" s="1" t="s">
        <v>1067</v>
      </c>
    </row>
    <row r="4703" spans="1:1" x14ac:dyDescent="0.2">
      <c r="A4703" s="1" t="s">
        <v>1068</v>
      </c>
    </row>
    <row r="4704" spans="1:1" x14ac:dyDescent="0.2">
      <c r="A4704" s="1" t="s">
        <v>1069</v>
      </c>
    </row>
    <row r="4705" spans="1:1" x14ac:dyDescent="0.2">
      <c r="A4705" s="1" t="s">
        <v>1070</v>
      </c>
    </row>
    <row r="4706" spans="1:1" x14ac:dyDescent="0.2">
      <c r="A4706" s="1" t="s">
        <v>1061</v>
      </c>
    </row>
    <row r="4707" spans="1:1" x14ac:dyDescent="0.2">
      <c r="A4707" s="1" t="s">
        <v>1062</v>
      </c>
    </row>
    <row r="4708" spans="1:1" x14ac:dyDescent="0.2">
      <c r="A4708" s="1" t="s">
        <v>1061</v>
      </c>
    </row>
    <row r="4709" spans="1:1" x14ac:dyDescent="0.2">
      <c r="A4709" s="1" t="s">
        <v>1062</v>
      </c>
    </row>
    <row r="4710" spans="1:1" x14ac:dyDescent="0.2">
      <c r="A4710" s="1" t="s">
        <v>1061</v>
      </c>
    </row>
    <row r="4711" spans="1:1" x14ac:dyDescent="0.2">
      <c r="A4711" s="1" t="s">
        <v>1062</v>
      </c>
    </row>
    <row r="4712" spans="1:1" x14ac:dyDescent="0.2">
      <c r="A4712" s="1" t="s">
        <v>1063</v>
      </c>
    </row>
    <row r="4713" spans="1:1" x14ac:dyDescent="0.2">
      <c r="A4713" s="1" t="s">
        <v>1064</v>
      </c>
    </row>
    <row r="4714" spans="1:1" x14ac:dyDescent="0.2">
      <c r="A4714" s="1" t="s">
        <v>1065</v>
      </c>
    </row>
    <row r="4715" spans="1:1" x14ac:dyDescent="0.2">
      <c r="A4715" s="1" t="s">
        <v>1066</v>
      </c>
    </row>
    <row r="4716" spans="1:1" x14ac:dyDescent="0.2">
      <c r="A4716" s="1" t="s">
        <v>1067</v>
      </c>
    </row>
    <row r="4717" spans="1:1" x14ac:dyDescent="0.2">
      <c r="A4717" s="1" t="s">
        <v>1068</v>
      </c>
    </row>
    <row r="4718" spans="1:1" x14ac:dyDescent="0.2">
      <c r="A4718" s="1" t="s">
        <v>1069</v>
      </c>
    </row>
    <row r="4719" spans="1:1" x14ac:dyDescent="0.2">
      <c r="A4719" s="1" t="s">
        <v>1070</v>
      </c>
    </row>
    <row r="4720" spans="1:1" x14ac:dyDescent="0.2">
      <c r="A4720" s="1" t="s">
        <v>1061</v>
      </c>
    </row>
    <row r="4721" spans="1:1" x14ac:dyDescent="0.2">
      <c r="A4721" s="1" t="s">
        <v>1062</v>
      </c>
    </row>
    <row r="4722" spans="1:1" x14ac:dyDescent="0.2">
      <c r="A4722" s="1" t="s">
        <v>1061</v>
      </c>
    </row>
    <row r="4723" spans="1:1" x14ac:dyDescent="0.2">
      <c r="A4723" s="1" t="s">
        <v>1062</v>
      </c>
    </row>
    <row r="4724" spans="1:1" x14ac:dyDescent="0.2">
      <c r="A4724" s="1" t="s">
        <v>1061</v>
      </c>
    </row>
    <row r="4725" spans="1:1" x14ac:dyDescent="0.2">
      <c r="A4725" s="1" t="s">
        <v>1062</v>
      </c>
    </row>
    <row r="4726" spans="1:1" x14ac:dyDescent="0.2">
      <c r="A4726" s="1" t="s">
        <v>1063</v>
      </c>
    </row>
    <row r="4727" spans="1:1" x14ac:dyDescent="0.2">
      <c r="A4727" s="1" t="s">
        <v>1064</v>
      </c>
    </row>
    <row r="4728" spans="1:1" x14ac:dyDescent="0.2">
      <c r="A4728" s="1" t="s">
        <v>1065</v>
      </c>
    </row>
    <row r="4729" spans="1:1" x14ac:dyDescent="0.2">
      <c r="A4729" s="1" t="s">
        <v>1066</v>
      </c>
    </row>
    <row r="4730" spans="1:1" x14ac:dyDescent="0.2">
      <c r="A4730" s="1" t="s">
        <v>1067</v>
      </c>
    </row>
    <row r="4731" spans="1:1" x14ac:dyDescent="0.2">
      <c r="A4731" s="1" t="s">
        <v>1068</v>
      </c>
    </row>
    <row r="4732" spans="1:1" x14ac:dyDescent="0.2">
      <c r="A4732" s="1" t="s">
        <v>1069</v>
      </c>
    </row>
    <row r="4733" spans="1:1" x14ac:dyDescent="0.2">
      <c r="A4733" s="1" t="s">
        <v>1070</v>
      </c>
    </row>
    <row r="4734" spans="1:1" x14ac:dyDescent="0.2">
      <c r="A4734" s="1" t="s">
        <v>1061</v>
      </c>
    </row>
    <row r="4735" spans="1:1" x14ac:dyDescent="0.2">
      <c r="A4735" s="1" t="s">
        <v>1062</v>
      </c>
    </row>
    <row r="4736" spans="1:1" x14ac:dyDescent="0.2">
      <c r="A4736" s="1" t="s">
        <v>1061</v>
      </c>
    </row>
    <row r="4737" spans="1:1" x14ac:dyDescent="0.2">
      <c r="A4737" s="1" t="s">
        <v>1062</v>
      </c>
    </row>
    <row r="4738" spans="1:1" x14ac:dyDescent="0.2">
      <c r="A4738" s="1" t="s">
        <v>1061</v>
      </c>
    </row>
    <row r="4739" spans="1:1" x14ac:dyDescent="0.2">
      <c r="A4739" s="1" t="s">
        <v>1062</v>
      </c>
    </row>
    <row r="4740" spans="1:1" x14ac:dyDescent="0.2">
      <c r="A4740" s="1" t="s">
        <v>1063</v>
      </c>
    </row>
    <row r="4741" spans="1:1" x14ac:dyDescent="0.2">
      <c r="A4741" s="1" t="s">
        <v>1064</v>
      </c>
    </row>
    <row r="4742" spans="1:1" x14ac:dyDescent="0.2">
      <c r="A4742" s="1" t="s">
        <v>1065</v>
      </c>
    </row>
    <row r="4743" spans="1:1" x14ac:dyDescent="0.2">
      <c r="A4743" s="1" t="s">
        <v>1066</v>
      </c>
    </row>
    <row r="4744" spans="1:1" x14ac:dyDescent="0.2">
      <c r="A4744" s="1" t="s">
        <v>1067</v>
      </c>
    </row>
    <row r="4745" spans="1:1" x14ac:dyDescent="0.2">
      <c r="A4745" s="1" t="s">
        <v>1068</v>
      </c>
    </row>
    <row r="4746" spans="1:1" x14ac:dyDescent="0.2">
      <c r="A4746" s="1" t="s">
        <v>1069</v>
      </c>
    </row>
    <row r="4747" spans="1:1" x14ac:dyDescent="0.2">
      <c r="A4747" s="1" t="s">
        <v>1070</v>
      </c>
    </row>
    <row r="4748" spans="1:1" x14ac:dyDescent="0.2">
      <c r="A4748" s="1" t="s">
        <v>1061</v>
      </c>
    </row>
    <row r="4749" spans="1:1" x14ac:dyDescent="0.2">
      <c r="A4749" s="1" t="s">
        <v>1062</v>
      </c>
    </row>
    <row r="4750" spans="1:1" x14ac:dyDescent="0.2">
      <c r="A4750" s="1" t="s">
        <v>1061</v>
      </c>
    </row>
    <row r="4751" spans="1:1" x14ac:dyDescent="0.2">
      <c r="A4751" s="1" t="s">
        <v>1062</v>
      </c>
    </row>
    <row r="4752" spans="1:1" x14ac:dyDescent="0.2">
      <c r="A4752" s="1" t="s">
        <v>1061</v>
      </c>
    </row>
    <row r="4753" spans="1:1" x14ac:dyDescent="0.2">
      <c r="A4753" s="1" t="s">
        <v>1062</v>
      </c>
    </row>
    <row r="4754" spans="1:1" x14ac:dyDescent="0.2">
      <c r="A4754" s="1" t="s">
        <v>1063</v>
      </c>
    </row>
    <row r="4755" spans="1:1" x14ac:dyDescent="0.2">
      <c r="A4755" s="1" t="s">
        <v>1064</v>
      </c>
    </row>
    <row r="4756" spans="1:1" x14ac:dyDescent="0.2">
      <c r="A4756" s="1" t="s">
        <v>1065</v>
      </c>
    </row>
    <row r="4757" spans="1:1" x14ac:dyDescent="0.2">
      <c r="A4757" s="1" t="s">
        <v>1066</v>
      </c>
    </row>
    <row r="4758" spans="1:1" x14ac:dyDescent="0.2">
      <c r="A4758" s="1" t="s">
        <v>1067</v>
      </c>
    </row>
    <row r="4759" spans="1:1" x14ac:dyDescent="0.2">
      <c r="A4759" s="1" t="s">
        <v>1068</v>
      </c>
    </row>
    <row r="4760" spans="1:1" x14ac:dyDescent="0.2">
      <c r="A4760" s="1" t="s">
        <v>1069</v>
      </c>
    </row>
    <row r="4761" spans="1:1" x14ac:dyDescent="0.2">
      <c r="A4761" s="1" t="s">
        <v>1070</v>
      </c>
    </row>
    <row r="4762" spans="1:1" x14ac:dyDescent="0.2">
      <c r="A4762" s="1" t="s">
        <v>1061</v>
      </c>
    </row>
    <row r="4763" spans="1:1" x14ac:dyDescent="0.2">
      <c r="A4763" s="1" t="s">
        <v>1062</v>
      </c>
    </row>
    <row r="4764" spans="1:1" x14ac:dyDescent="0.2">
      <c r="A4764" s="1" t="s">
        <v>1071</v>
      </c>
    </row>
    <row r="4765" spans="1:1" x14ac:dyDescent="0.2">
      <c r="A4765" s="1" t="s">
        <v>1072</v>
      </c>
    </row>
    <row r="4766" spans="1:1" x14ac:dyDescent="0.2">
      <c r="A4766" s="1" t="s">
        <v>1061</v>
      </c>
    </row>
    <row r="4767" spans="1:1" x14ac:dyDescent="0.2">
      <c r="A4767" s="1" t="s">
        <v>1062</v>
      </c>
    </row>
    <row r="4768" spans="1:1" x14ac:dyDescent="0.2">
      <c r="A4768" s="1" t="s">
        <v>1073</v>
      </c>
    </row>
    <row r="4769" spans="1:1" x14ac:dyDescent="0.2">
      <c r="A4769" s="1" t="s">
        <v>1074</v>
      </c>
    </row>
    <row r="4770" spans="1:1" x14ac:dyDescent="0.2">
      <c r="A4770" s="1" t="s">
        <v>1075</v>
      </c>
    </row>
    <row r="4771" spans="1:1" x14ac:dyDescent="0.2">
      <c r="A4771" s="1" t="s">
        <v>1076</v>
      </c>
    </row>
    <row r="4772" spans="1:1" x14ac:dyDescent="0.2">
      <c r="A4772" s="1" t="s">
        <v>1077</v>
      </c>
    </row>
    <row r="4773" spans="1:1" x14ac:dyDescent="0.2">
      <c r="A4773" s="1" t="s">
        <v>1078</v>
      </c>
    </row>
    <row r="4774" spans="1:1" x14ac:dyDescent="0.2">
      <c r="A4774" s="1" t="s">
        <v>1079</v>
      </c>
    </row>
    <row r="4775" spans="1:1" x14ac:dyDescent="0.2">
      <c r="A4775" s="1" t="s">
        <v>1080</v>
      </c>
    </row>
    <row r="4776" spans="1:1" x14ac:dyDescent="0.2">
      <c r="A4776" s="1" t="s">
        <v>1071</v>
      </c>
    </row>
    <row r="4777" spans="1:1" x14ac:dyDescent="0.2">
      <c r="A4777" s="1" t="s">
        <v>1081</v>
      </c>
    </row>
    <row r="4778" spans="1:1" x14ac:dyDescent="0.2">
      <c r="A4778" s="1" t="s">
        <v>1061</v>
      </c>
    </row>
    <row r="4779" spans="1:1" x14ac:dyDescent="0.2">
      <c r="A4779" s="1" t="s">
        <v>1062</v>
      </c>
    </row>
    <row r="4780" spans="1:1" x14ac:dyDescent="0.2">
      <c r="A4780" s="1" t="s">
        <v>1073</v>
      </c>
    </row>
    <row r="4781" spans="1:1" x14ac:dyDescent="0.2">
      <c r="A4781" s="1" t="s">
        <v>1074</v>
      </c>
    </row>
    <row r="4782" spans="1:1" x14ac:dyDescent="0.2">
      <c r="A4782" s="1" t="s">
        <v>1082</v>
      </c>
    </row>
    <row r="4783" spans="1:1" x14ac:dyDescent="0.2">
      <c r="A4783" s="1" t="s">
        <v>1076</v>
      </c>
    </row>
    <row r="4784" spans="1:1" x14ac:dyDescent="0.2">
      <c r="A4784" s="1" t="s">
        <v>1077</v>
      </c>
    </row>
    <row r="4785" spans="1:1" x14ac:dyDescent="0.2">
      <c r="A4785" s="1" t="s">
        <v>1078</v>
      </c>
    </row>
    <row r="4786" spans="1:1" x14ac:dyDescent="0.2">
      <c r="A4786" s="1" t="s">
        <v>1079</v>
      </c>
    </row>
    <row r="4787" spans="1:1" x14ac:dyDescent="0.2">
      <c r="A4787" s="1" t="s">
        <v>1080</v>
      </c>
    </row>
    <row r="4788" spans="1:1" x14ac:dyDescent="0.2">
      <c r="A4788" s="1" t="s">
        <v>1071</v>
      </c>
    </row>
    <row r="4789" spans="1:1" x14ac:dyDescent="0.2">
      <c r="A4789" s="1" t="s">
        <v>1083</v>
      </c>
    </row>
    <row r="4790" spans="1:1" x14ac:dyDescent="0.2">
      <c r="A4790" s="1" t="s">
        <v>1061</v>
      </c>
    </row>
    <row r="4791" spans="1:1" x14ac:dyDescent="0.2">
      <c r="A4791" s="1" t="s">
        <v>1062</v>
      </c>
    </row>
    <row r="4792" spans="1:1" x14ac:dyDescent="0.2">
      <c r="A4792" s="1" t="s">
        <v>1073</v>
      </c>
    </row>
    <row r="4793" spans="1:1" x14ac:dyDescent="0.2">
      <c r="A4793" s="1" t="s">
        <v>1074</v>
      </c>
    </row>
    <row r="4794" spans="1:1" x14ac:dyDescent="0.2">
      <c r="A4794" s="1" t="s">
        <v>1084</v>
      </c>
    </row>
    <row r="4795" spans="1:1" x14ac:dyDescent="0.2">
      <c r="A4795" s="1" t="s">
        <v>1076</v>
      </c>
    </row>
    <row r="4796" spans="1:1" x14ac:dyDescent="0.2">
      <c r="A4796" s="1" t="s">
        <v>1077</v>
      </c>
    </row>
    <row r="4797" spans="1:1" x14ac:dyDescent="0.2">
      <c r="A4797" s="1" t="s">
        <v>1078</v>
      </c>
    </row>
    <row r="4798" spans="1:1" x14ac:dyDescent="0.2">
      <c r="A4798" s="1" t="s">
        <v>1079</v>
      </c>
    </row>
    <row r="4799" spans="1:1" x14ac:dyDescent="0.2">
      <c r="A4799" s="1" t="s">
        <v>1080</v>
      </c>
    </row>
    <row r="4800" spans="1:1" x14ac:dyDescent="0.2">
      <c r="A4800" s="1" t="s">
        <v>1071</v>
      </c>
    </row>
    <row r="4801" spans="1:1" x14ac:dyDescent="0.2">
      <c r="A4801" s="1" t="s">
        <v>1085</v>
      </c>
    </row>
    <row r="4802" spans="1:1" x14ac:dyDescent="0.2">
      <c r="A4802" s="1" t="s">
        <v>1061</v>
      </c>
    </row>
    <row r="4803" spans="1:1" x14ac:dyDescent="0.2">
      <c r="A4803" s="1" t="s">
        <v>1062</v>
      </c>
    </row>
    <row r="4804" spans="1:1" x14ac:dyDescent="0.2">
      <c r="A4804" s="1" t="s">
        <v>1073</v>
      </c>
    </row>
    <row r="4805" spans="1:1" x14ac:dyDescent="0.2">
      <c r="A4805" s="1" t="s">
        <v>1074</v>
      </c>
    </row>
    <row r="4806" spans="1:1" x14ac:dyDescent="0.2">
      <c r="A4806" s="1" t="s">
        <v>1086</v>
      </c>
    </row>
    <row r="4807" spans="1:1" x14ac:dyDescent="0.2">
      <c r="A4807" s="1" t="s">
        <v>1076</v>
      </c>
    </row>
    <row r="4808" spans="1:1" x14ac:dyDescent="0.2">
      <c r="A4808" s="1" t="s">
        <v>1077</v>
      </c>
    </row>
    <row r="4809" spans="1:1" x14ac:dyDescent="0.2">
      <c r="A4809" s="1" t="s">
        <v>1078</v>
      </c>
    </row>
    <row r="4810" spans="1:1" x14ac:dyDescent="0.2">
      <c r="A4810" s="1" t="s">
        <v>1079</v>
      </c>
    </row>
    <row r="4811" spans="1:1" x14ac:dyDescent="0.2">
      <c r="A4811" s="1" t="s">
        <v>1080</v>
      </c>
    </row>
    <row r="4812" spans="1:1" x14ac:dyDescent="0.2">
      <c r="A4812" s="1" t="s">
        <v>1071</v>
      </c>
    </row>
    <row r="4813" spans="1:1" x14ac:dyDescent="0.2">
      <c r="A4813" s="1" t="s">
        <v>1087</v>
      </c>
    </row>
    <row r="4814" spans="1:1" x14ac:dyDescent="0.2">
      <c r="A4814" s="1" t="s">
        <v>1061</v>
      </c>
    </row>
    <row r="4815" spans="1:1" x14ac:dyDescent="0.2">
      <c r="A4815" s="1" t="s">
        <v>1062</v>
      </c>
    </row>
    <row r="4816" spans="1:1" x14ac:dyDescent="0.2">
      <c r="A4816" s="1" t="s">
        <v>1073</v>
      </c>
    </row>
    <row r="4817" spans="1:1" x14ac:dyDescent="0.2">
      <c r="A4817" s="1" t="s">
        <v>1074</v>
      </c>
    </row>
    <row r="4818" spans="1:1" x14ac:dyDescent="0.2">
      <c r="A4818" s="1" t="s">
        <v>1088</v>
      </c>
    </row>
    <row r="4819" spans="1:1" x14ac:dyDescent="0.2">
      <c r="A4819" s="1" t="s">
        <v>1076</v>
      </c>
    </row>
    <row r="4820" spans="1:1" x14ac:dyDescent="0.2">
      <c r="A4820" s="1" t="s">
        <v>1077</v>
      </c>
    </row>
    <row r="4821" spans="1:1" x14ac:dyDescent="0.2">
      <c r="A4821" s="1" t="s">
        <v>1078</v>
      </c>
    </row>
    <row r="4822" spans="1:1" x14ac:dyDescent="0.2">
      <c r="A4822" s="1" t="s">
        <v>1079</v>
      </c>
    </row>
    <row r="4823" spans="1:1" x14ac:dyDescent="0.2">
      <c r="A4823" s="1" t="s">
        <v>1080</v>
      </c>
    </row>
    <row r="4824" spans="1:1" x14ac:dyDescent="0.2">
      <c r="A4824" s="1" t="s">
        <v>1071</v>
      </c>
    </row>
    <row r="4825" spans="1:1" x14ac:dyDescent="0.2">
      <c r="A4825" s="1" t="s">
        <v>1089</v>
      </c>
    </row>
    <row r="4826" spans="1:1" x14ac:dyDescent="0.2">
      <c r="A4826" s="1" t="s">
        <v>1061</v>
      </c>
    </row>
    <row r="4827" spans="1:1" x14ac:dyDescent="0.2">
      <c r="A4827" s="1" t="s">
        <v>1062</v>
      </c>
    </row>
    <row r="4828" spans="1:1" x14ac:dyDescent="0.2">
      <c r="A4828" s="1" t="s">
        <v>1073</v>
      </c>
    </row>
    <row r="4829" spans="1:1" x14ac:dyDescent="0.2">
      <c r="A4829" s="1" t="s">
        <v>1074</v>
      </c>
    </row>
    <row r="4830" spans="1:1" x14ac:dyDescent="0.2">
      <c r="A4830" s="1" t="s">
        <v>1090</v>
      </c>
    </row>
    <row r="4831" spans="1:1" x14ac:dyDescent="0.2">
      <c r="A4831" s="1" t="s">
        <v>1076</v>
      </c>
    </row>
    <row r="4832" spans="1:1" x14ac:dyDescent="0.2">
      <c r="A4832" s="1" t="s">
        <v>1077</v>
      </c>
    </row>
    <row r="4833" spans="1:1" x14ac:dyDescent="0.2">
      <c r="A4833" s="1" t="s">
        <v>1078</v>
      </c>
    </row>
    <row r="4834" spans="1:1" x14ac:dyDescent="0.2">
      <c r="A4834" s="1" t="s">
        <v>1079</v>
      </c>
    </row>
    <row r="4835" spans="1:1" x14ac:dyDescent="0.2">
      <c r="A4835" s="1" t="s">
        <v>1080</v>
      </c>
    </row>
    <row r="4836" spans="1:1" x14ac:dyDescent="0.2">
      <c r="A4836" s="1" t="s">
        <v>1091</v>
      </c>
    </row>
    <row r="4837" spans="1:1" x14ac:dyDescent="0.2">
      <c r="A4837" s="1" t="s">
        <v>1092</v>
      </c>
    </row>
    <row r="4838" spans="1:1" x14ac:dyDescent="0.2">
      <c r="A4838" s="1" t="s">
        <v>1093</v>
      </c>
    </row>
    <row r="4839" spans="1:1" x14ac:dyDescent="0.2">
      <c r="A4839" s="1" t="s">
        <v>1094</v>
      </c>
    </row>
    <row r="4840" spans="1:1" x14ac:dyDescent="0.2">
      <c r="A4840" s="1" t="s">
        <v>1095</v>
      </c>
    </row>
    <row r="4841" spans="1:1" x14ac:dyDescent="0.2">
      <c r="A4841" s="1" t="s">
        <v>1096</v>
      </c>
    </row>
    <row r="4842" spans="1:1" x14ac:dyDescent="0.2">
      <c r="A4842" s="1" t="s">
        <v>1097</v>
      </c>
    </row>
    <row r="4843" spans="1:1" x14ac:dyDescent="0.2">
      <c r="A4843" s="1" t="s">
        <v>1098</v>
      </c>
    </row>
    <row r="4844" spans="1:1" x14ac:dyDescent="0.2">
      <c r="A4844" s="1" t="s">
        <v>1099</v>
      </c>
    </row>
    <row r="4845" spans="1:1" x14ac:dyDescent="0.2">
      <c r="A4845" s="1" t="s">
        <v>1100</v>
      </c>
    </row>
    <row r="4846" spans="1:1" x14ac:dyDescent="0.2">
      <c r="A4846" s="1" t="s">
        <v>1101</v>
      </c>
    </row>
    <row r="4847" spans="1:1" x14ac:dyDescent="0.2">
      <c r="A4847" s="1" t="s">
        <v>1102</v>
      </c>
    </row>
    <row r="4848" spans="1:1" x14ac:dyDescent="0.2">
      <c r="A4848" s="1" t="s">
        <v>1091</v>
      </c>
    </row>
    <row r="4849" spans="1:1" x14ac:dyDescent="0.2">
      <c r="A4849" s="1" t="s">
        <v>1103</v>
      </c>
    </row>
    <row r="4850" spans="1:1" x14ac:dyDescent="0.2">
      <c r="A4850" s="1" t="s">
        <v>1093</v>
      </c>
    </row>
    <row r="4851" spans="1:1" x14ac:dyDescent="0.2">
      <c r="A4851" s="1" t="s">
        <v>1094</v>
      </c>
    </row>
    <row r="4852" spans="1:1" x14ac:dyDescent="0.2">
      <c r="A4852" s="1" t="s">
        <v>1095</v>
      </c>
    </row>
    <row r="4853" spans="1:1" x14ac:dyDescent="0.2">
      <c r="A4853" s="1" t="s">
        <v>1096</v>
      </c>
    </row>
    <row r="4854" spans="1:1" x14ac:dyDescent="0.2">
      <c r="A4854" s="1" t="s">
        <v>1104</v>
      </c>
    </row>
    <row r="4855" spans="1:1" x14ac:dyDescent="0.2">
      <c r="A4855" s="1" t="s">
        <v>1098</v>
      </c>
    </row>
    <row r="4856" spans="1:1" x14ac:dyDescent="0.2">
      <c r="A4856" s="1" t="s">
        <v>1099</v>
      </c>
    </row>
    <row r="4857" spans="1:1" x14ac:dyDescent="0.2">
      <c r="A4857" s="1" t="s">
        <v>1100</v>
      </c>
    </row>
    <row r="4858" spans="1:1" x14ac:dyDescent="0.2">
      <c r="A4858" s="1" t="s">
        <v>1101</v>
      </c>
    </row>
    <row r="4859" spans="1:1" x14ac:dyDescent="0.2">
      <c r="A4859" s="1" t="s">
        <v>1102</v>
      </c>
    </row>
    <row r="4860" spans="1:1" x14ac:dyDescent="0.2">
      <c r="A4860" s="1" t="s">
        <v>1091</v>
      </c>
    </row>
    <row r="4861" spans="1:1" x14ac:dyDescent="0.2">
      <c r="A4861" s="1" t="s">
        <v>1105</v>
      </c>
    </row>
    <row r="4862" spans="1:1" x14ac:dyDescent="0.2">
      <c r="A4862" s="1" t="s">
        <v>1093</v>
      </c>
    </row>
    <row r="4863" spans="1:1" x14ac:dyDescent="0.2">
      <c r="A4863" s="1" t="s">
        <v>1094</v>
      </c>
    </row>
    <row r="4864" spans="1:1" x14ac:dyDescent="0.2">
      <c r="A4864" s="1" t="s">
        <v>1095</v>
      </c>
    </row>
    <row r="4865" spans="1:1" x14ac:dyDescent="0.2">
      <c r="A4865" s="1" t="s">
        <v>1096</v>
      </c>
    </row>
    <row r="4866" spans="1:1" x14ac:dyDescent="0.2">
      <c r="A4866" s="1" t="s">
        <v>1106</v>
      </c>
    </row>
    <row r="4867" spans="1:1" x14ac:dyDescent="0.2">
      <c r="A4867" s="1" t="s">
        <v>1098</v>
      </c>
    </row>
    <row r="4868" spans="1:1" x14ac:dyDescent="0.2">
      <c r="A4868" s="1" t="s">
        <v>1099</v>
      </c>
    </row>
    <row r="4869" spans="1:1" x14ac:dyDescent="0.2">
      <c r="A4869" s="1" t="s">
        <v>1100</v>
      </c>
    </row>
    <row r="4870" spans="1:1" x14ac:dyDescent="0.2">
      <c r="A4870" s="1" t="s">
        <v>1101</v>
      </c>
    </row>
    <row r="4871" spans="1:1" x14ac:dyDescent="0.2">
      <c r="A4871" s="1" t="s">
        <v>1102</v>
      </c>
    </row>
    <row r="4872" spans="1:1" x14ac:dyDescent="0.2">
      <c r="A4872" s="1" t="s">
        <v>1091</v>
      </c>
    </row>
    <row r="4873" spans="1:1" x14ac:dyDescent="0.2">
      <c r="A4873" s="1" t="s">
        <v>1107</v>
      </c>
    </row>
    <row r="4874" spans="1:1" x14ac:dyDescent="0.2">
      <c r="A4874" s="1" t="s">
        <v>1093</v>
      </c>
    </row>
    <row r="4875" spans="1:1" x14ac:dyDescent="0.2">
      <c r="A4875" s="1" t="s">
        <v>1094</v>
      </c>
    </row>
    <row r="4876" spans="1:1" x14ac:dyDescent="0.2">
      <c r="A4876" s="1" t="s">
        <v>1095</v>
      </c>
    </row>
    <row r="4877" spans="1:1" x14ac:dyDescent="0.2">
      <c r="A4877" s="1" t="s">
        <v>1096</v>
      </c>
    </row>
    <row r="4878" spans="1:1" x14ac:dyDescent="0.2">
      <c r="A4878" s="1" t="s">
        <v>1108</v>
      </c>
    </row>
    <row r="4879" spans="1:1" x14ac:dyDescent="0.2">
      <c r="A4879" s="1" t="s">
        <v>1098</v>
      </c>
    </row>
    <row r="4880" spans="1:1" x14ac:dyDescent="0.2">
      <c r="A4880" s="1" t="s">
        <v>1099</v>
      </c>
    </row>
    <row r="4881" spans="1:1" x14ac:dyDescent="0.2">
      <c r="A4881" s="1" t="s">
        <v>1100</v>
      </c>
    </row>
    <row r="4882" spans="1:1" x14ac:dyDescent="0.2">
      <c r="A4882" s="1" t="s">
        <v>1101</v>
      </c>
    </row>
    <row r="4883" spans="1:1" x14ac:dyDescent="0.2">
      <c r="A4883" s="1" t="s">
        <v>1102</v>
      </c>
    </row>
    <row r="4884" spans="1:1" x14ac:dyDescent="0.2">
      <c r="A4884" s="1" t="s">
        <v>1091</v>
      </c>
    </row>
    <row r="4885" spans="1:1" x14ac:dyDescent="0.2">
      <c r="A4885" s="1" t="s">
        <v>1109</v>
      </c>
    </row>
    <row r="4886" spans="1:1" x14ac:dyDescent="0.2">
      <c r="A4886" s="1" t="s">
        <v>1093</v>
      </c>
    </row>
    <row r="4887" spans="1:1" x14ac:dyDescent="0.2">
      <c r="A4887" s="1" t="s">
        <v>1094</v>
      </c>
    </row>
    <row r="4888" spans="1:1" x14ac:dyDescent="0.2">
      <c r="A4888" s="1" t="s">
        <v>1095</v>
      </c>
    </row>
    <row r="4889" spans="1:1" x14ac:dyDescent="0.2">
      <c r="A4889" s="1" t="s">
        <v>1096</v>
      </c>
    </row>
    <row r="4890" spans="1:1" x14ac:dyDescent="0.2">
      <c r="A4890" s="1" t="s">
        <v>1110</v>
      </c>
    </row>
    <row r="4891" spans="1:1" x14ac:dyDescent="0.2">
      <c r="A4891" s="1" t="s">
        <v>1098</v>
      </c>
    </row>
    <row r="4892" spans="1:1" x14ac:dyDescent="0.2">
      <c r="A4892" s="1" t="s">
        <v>1099</v>
      </c>
    </row>
    <row r="4893" spans="1:1" x14ac:dyDescent="0.2">
      <c r="A4893" s="1" t="s">
        <v>1100</v>
      </c>
    </row>
    <row r="4894" spans="1:1" x14ac:dyDescent="0.2">
      <c r="A4894" s="1" t="s">
        <v>1101</v>
      </c>
    </row>
    <row r="4895" spans="1:1" x14ac:dyDescent="0.2">
      <c r="A4895" s="1" t="s">
        <v>1102</v>
      </c>
    </row>
    <row r="4896" spans="1:1" x14ac:dyDescent="0.2">
      <c r="A4896" s="1" t="s">
        <v>1091</v>
      </c>
    </row>
    <row r="4897" spans="1:1" x14ac:dyDescent="0.2">
      <c r="A4897" s="1" t="s">
        <v>1111</v>
      </c>
    </row>
    <row r="4898" spans="1:1" x14ac:dyDescent="0.2">
      <c r="A4898" s="1" t="s">
        <v>1093</v>
      </c>
    </row>
    <row r="4899" spans="1:1" x14ac:dyDescent="0.2">
      <c r="A4899" s="1" t="s">
        <v>1094</v>
      </c>
    </row>
    <row r="4900" spans="1:1" x14ac:dyDescent="0.2">
      <c r="A4900" s="1" t="s">
        <v>1095</v>
      </c>
    </row>
    <row r="4901" spans="1:1" x14ac:dyDescent="0.2">
      <c r="A4901" s="1" t="s">
        <v>1096</v>
      </c>
    </row>
    <row r="4902" spans="1:1" x14ac:dyDescent="0.2">
      <c r="A4902" s="1" t="s">
        <v>1112</v>
      </c>
    </row>
    <row r="4903" spans="1:1" x14ac:dyDescent="0.2">
      <c r="A4903" s="1" t="s">
        <v>1098</v>
      </c>
    </row>
    <row r="4904" spans="1:1" x14ac:dyDescent="0.2">
      <c r="A4904" s="1" t="s">
        <v>1099</v>
      </c>
    </row>
    <row r="4905" spans="1:1" x14ac:dyDescent="0.2">
      <c r="A4905" s="1" t="s">
        <v>1100</v>
      </c>
    </row>
    <row r="4906" spans="1:1" x14ac:dyDescent="0.2">
      <c r="A4906" s="1" t="s">
        <v>1101</v>
      </c>
    </row>
    <row r="4907" spans="1:1" x14ac:dyDescent="0.2">
      <c r="A4907" s="1" t="s">
        <v>1102</v>
      </c>
    </row>
    <row r="4908" spans="1:1" x14ac:dyDescent="0.2">
      <c r="A4908" s="1" t="s">
        <v>1091</v>
      </c>
    </row>
    <row r="4909" spans="1:1" x14ac:dyDescent="0.2">
      <c r="A4909" s="1" t="s">
        <v>1113</v>
      </c>
    </row>
    <row r="4910" spans="1:1" x14ac:dyDescent="0.2">
      <c r="A4910" s="1" t="s">
        <v>1093</v>
      </c>
    </row>
    <row r="4911" spans="1:1" x14ac:dyDescent="0.2">
      <c r="A4911" s="1" t="s">
        <v>1094</v>
      </c>
    </row>
    <row r="4912" spans="1:1" x14ac:dyDescent="0.2">
      <c r="A4912" s="1" t="s">
        <v>1095</v>
      </c>
    </row>
    <row r="4913" spans="1:1" x14ac:dyDescent="0.2">
      <c r="A4913" s="1" t="s">
        <v>1096</v>
      </c>
    </row>
    <row r="4914" spans="1:1" x14ac:dyDescent="0.2">
      <c r="A4914" s="1" t="s">
        <v>1114</v>
      </c>
    </row>
    <row r="4915" spans="1:1" x14ac:dyDescent="0.2">
      <c r="A4915" s="1" t="s">
        <v>1098</v>
      </c>
    </row>
    <row r="4916" spans="1:1" x14ac:dyDescent="0.2">
      <c r="A4916" s="1" t="s">
        <v>1099</v>
      </c>
    </row>
    <row r="4917" spans="1:1" x14ac:dyDescent="0.2">
      <c r="A4917" s="1" t="s">
        <v>1100</v>
      </c>
    </row>
    <row r="4918" spans="1:1" x14ac:dyDescent="0.2">
      <c r="A4918" s="1" t="s">
        <v>1101</v>
      </c>
    </row>
    <row r="4919" spans="1:1" x14ac:dyDescent="0.2">
      <c r="A4919" s="1" t="s">
        <v>1102</v>
      </c>
    </row>
    <row r="4920" spans="1:1" x14ac:dyDescent="0.2">
      <c r="A4920" s="1" t="s">
        <v>1091</v>
      </c>
    </row>
    <row r="4921" spans="1:1" x14ac:dyDescent="0.2">
      <c r="A4921" s="1" t="s">
        <v>1115</v>
      </c>
    </row>
    <row r="4922" spans="1:1" x14ac:dyDescent="0.2">
      <c r="A4922" s="1" t="s">
        <v>1093</v>
      </c>
    </row>
    <row r="4923" spans="1:1" x14ac:dyDescent="0.2">
      <c r="A4923" s="1" t="s">
        <v>1094</v>
      </c>
    </row>
    <row r="4924" spans="1:1" x14ac:dyDescent="0.2">
      <c r="A4924" s="1" t="s">
        <v>1095</v>
      </c>
    </row>
    <row r="4925" spans="1:1" x14ac:dyDescent="0.2">
      <c r="A4925" s="1" t="s">
        <v>1096</v>
      </c>
    </row>
    <row r="4926" spans="1:1" x14ac:dyDescent="0.2">
      <c r="A4926" s="1" t="s">
        <v>1116</v>
      </c>
    </row>
    <row r="4927" spans="1:1" x14ac:dyDescent="0.2">
      <c r="A4927" s="1" t="s">
        <v>1098</v>
      </c>
    </row>
    <row r="4928" spans="1:1" x14ac:dyDescent="0.2">
      <c r="A4928" s="1" t="s">
        <v>1099</v>
      </c>
    </row>
    <row r="4929" spans="1:1" x14ac:dyDescent="0.2">
      <c r="A4929" s="1" t="s">
        <v>1100</v>
      </c>
    </row>
    <row r="4930" spans="1:1" x14ac:dyDescent="0.2">
      <c r="A4930" s="1" t="s">
        <v>1101</v>
      </c>
    </row>
    <row r="4931" spans="1:1" x14ac:dyDescent="0.2">
      <c r="A4931" s="1" t="s">
        <v>1102</v>
      </c>
    </row>
    <row r="4932" spans="1:1" x14ac:dyDescent="0.2">
      <c r="A4932" s="1" t="s">
        <v>1091</v>
      </c>
    </row>
    <row r="4933" spans="1:1" x14ac:dyDescent="0.2">
      <c r="A4933" s="1" t="s">
        <v>1117</v>
      </c>
    </row>
    <row r="4934" spans="1:1" x14ac:dyDescent="0.2">
      <c r="A4934" s="1" t="s">
        <v>1093</v>
      </c>
    </row>
    <row r="4935" spans="1:1" x14ac:dyDescent="0.2">
      <c r="A4935" s="1" t="s">
        <v>1094</v>
      </c>
    </row>
    <row r="4936" spans="1:1" x14ac:dyDescent="0.2">
      <c r="A4936" s="1" t="s">
        <v>1095</v>
      </c>
    </row>
    <row r="4937" spans="1:1" x14ac:dyDescent="0.2">
      <c r="A4937" s="1" t="s">
        <v>1096</v>
      </c>
    </row>
    <row r="4938" spans="1:1" x14ac:dyDescent="0.2">
      <c r="A4938" s="1" t="s">
        <v>1118</v>
      </c>
    </row>
    <row r="4939" spans="1:1" x14ac:dyDescent="0.2">
      <c r="A4939" s="1" t="s">
        <v>1098</v>
      </c>
    </row>
    <row r="4940" spans="1:1" x14ac:dyDescent="0.2">
      <c r="A4940" s="1" t="s">
        <v>1099</v>
      </c>
    </row>
    <row r="4941" spans="1:1" x14ac:dyDescent="0.2">
      <c r="A4941" s="1" t="s">
        <v>1100</v>
      </c>
    </row>
    <row r="4942" spans="1:1" x14ac:dyDescent="0.2">
      <c r="A4942" s="1" t="s">
        <v>1101</v>
      </c>
    </row>
    <row r="4943" spans="1:1" x14ac:dyDescent="0.2">
      <c r="A4943" s="1" t="s">
        <v>1102</v>
      </c>
    </row>
    <row r="4944" spans="1:1" x14ac:dyDescent="0.2">
      <c r="A4944" s="1" t="s">
        <v>1091</v>
      </c>
    </row>
    <row r="4945" spans="1:1" x14ac:dyDescent="0.2">
      <c r="A4945" s="1" t="s">
        <v>1119</v>
      </c>
    </row>
    <row r="4946" spans="1:1" x14ac:dyDescent="0.2">
      <c r="A4946" s="1" t="s">
        <v>1093</v>
      </c>
    </row>
    <row r="4947" spans="1:1" x14ac:dyDescent="0.2">
      <c r="A4947" s="1" t="s">
        <v>1094</v>
      </c>
    </row>
    <row r="4948" spans="1:1" x14ac:dyDescent="0.2">
      <c r="A4948" s="1" t="s">
        <v>1095</v>
      </c>
    </row>
    <row r="4949" spans="1:1" x14ac:dyDescent="0.2">
      <c r="A4949" s="1" t="s">
        <v>1096</v>
      </c>
    </row>
    <row r="4950" spans="1:1" x14ac:dyDescent="0.2">
      <c r="A4950" s="1" t="s">
        <v>1120</v>
      </c>
    </row>
    <row r="4951" spans="1:1" x14ac:dyDescent="0.2">
      <c r="A4951" s="1" t="s">
        <v>1098</v>
      </c>
    </row>
    <row r="4952" spans="1:1" x14ac:dyDescent="0.2">
      <c r="A4952" s="1" t="s">
        <v>1099</v>
      </c>
    </row>
    <row r="4953" spans="1:1" x14ac:dyDescent="0.2">
      <c r="A4953" s="1" t="s">
        <v>1100</v>
      </c>
    </row>
    <row r="4954" spans="1:1" x14ac:dyDescent="0.2">
      <c r="A4954" s="1" t="s">
        <v>1101</v>
      </c>
    </row>
    <row r="4955" spans="1:1" x14ac:dyDescent="0.2">
      <c r="A4955" s="1" t="s">
        <v>1102</v>
      </c>
    </row>
    <row r="4956" spans="1:1" x14ac:dyDescent="0.2">
      <c r="A4956" s="1" t="s">
        <v>1091</v>
      </c>
    </row>
    <row r="4957" spans="1:1" x14ac:dyDescent="0.2">
      <c r="A4957" s="1" t="s">
        <v>1121</v>
      </c>
    </row>
    <row r="4958" spans="1:1" x14ac:dyDescent="0.2">
      <c r="A4958" s="1" t="s">
        <v>1093</v>
      </c>
    </row>
    <row r="4959" spans="1:1" x14ac:dyDescent="0.2">
      <c r="A4959" s="1" t="s">
        <v>1094</v>
      </c>
    </row>
    <row r="4960" spans="1:1" x14ac:dyDescent="0.2">
      <c r="A4960" s="1" t="s">
        <v>1095</v>
      </c>
    </row>
    <row r="4961" spans="1:1" x14ac:dyDescent="0.2">
      <c r="A4961" s="1" t="s">
        <v>1096</v>
      </c>
    </row>
    <row r="4962" spans="1:1" x14ac:dyDescent="0.2">
      <c r="A4962" s="1" t="s">
        <v>1122</v>
      </c>
    </row>
    <row r="4963" spans="1:1" x14ac:dyDescent="0.2">
      <c r="A4963" s="1" t="s">
        <v>1098</v>
      </c>
    </row>
    <row r="4964" spans="1:1" x14ac:dyDescent="0.2">
      <c r="A4964" s="1" t="s">
        <v>1099</v>
      </c>
    </row>
    <row r="4965" spans="1:1" x14ac:dyDescent="0.2">
      <c r="A4965" s="1" t="s">
        <v>1100</v>
      </c>
    </row>
    <row r="4966" spans="1:1" x14ac:dyDescent="0.2">
      <c r="A4966" s="1" t="s">
        <v>1101</v>
      </c>
    </row>
    <row r="4967" spans="1:1" x14ac:dyDescent="0.2">
      <c r="A4967" s="1" t="s">
        <v>1102</v>
      </c>
    </row>
    <row r="4968" spans="1:1" x14ac:dyDescent="0.2">
      <c r="A4968" s="1" t="s">
        <v>1091</v>
      </c>
    </row>
    <row r="4969" spans="1:1" x14ac:dyDescent="0.2">
      <c r="A4969" s="1" t="s">
        <v>1123</v>
      </c>
    </row>
    <row r="4970" spans="1:1" x14ac:dyDescent="0.2">
      <c r="A4970" s="1" t="s">
        <v>1093</v>
      </c>
    </row>
    <row r="4971" spans="1:1" x14ac:dyDescent="0.2">
      <c r="A4971" s="1" t="s">
        <v>1094</v>
      </c>
    </row>
    <row r="4972" spans="1:1" x14ac:dyDescent="0.2">
      <c r="A4972" s="1" t="s">
        <v>1095</v>
      </c>
    </row>
    <row r="4973" spans="1:1" x14ac:dyDescent="0.2">
      <c r="A4973" s="1" t="s">
        <v>1096</v>
      </c>
    </row>
    <row r="4974" spans="1:1" x14ac:dyDescent="0.2">
      <c r="A4974" s="1" t="s">
        <v>1124</v>
      </c>
    </row>
    <row r="4975" spans="1:1" x14ac:dyDescent="0.2">
      <c r="A4975" s="1" t="s">
        <v>1098</v>
      </c>
    </row>
    <row r="4976" spans="1:1" x14ac:dyDescent="0.2">
      <c r="A4976" s="1" t="s">
        <v>1099</v>
      </c>
    </row>
    <row r="4977" spans="1:1" x14ac:dyDescent="0.2">
      <c r="A4977" s="1" t="s">
        <v>1100</v>
      </c>
    </row>
    <row r="4978" spans="1:1" x14ac:dyDescent="0.2">
      <c r="A4978" s="1" t="s">
        <v>1101</v>
      </c>
    </row>
    <row r="4979" spans="1:1" x14ac:dyDescent="0.2">
      <c r="A4979" s="1" t="s">
        <v>1102</v>
      </c>
    </row>
    <row r="4980" spans="1:1" x14ac:dyDescent="0.2">
      <c r="A4980" s="1" t="s">
        <v>1125</v>
      </c>
    </row>
    <row r="4981" spans="1:1" x14ac:dyDescent="0.2">
      <c r="A4981" s="1" t="s">
        <v>1126</v>
      </c>
    </row>
    <row r="4982" spans="1:1" x14ac:dyDescent="0.2">
      <c r="A4982" s="1" t="s">
        <v>1125</v>
      </c>
    </row>
    <row r="4983" spans="1:1" x14ac:dyDescent="0.2">
      <c r="A4983" s="1" t="s">
        <v>1126</v>
      </c>
    </row>
    <row r="4984" spans="1:1" x14ac:dyDescent="0.2">
      <c r="A4984" s="1" t="s">
        <v>1127</v>
      </c>
    </row>
    <row r="4985" spans="1:1" x14ac:dyDescent="0.2">
      <c r="A4985" s="1" t="s">
        <v>1128</v>
      </c>
    </row>
    <row r="4986" spans="1:1" x14ac:dyDescent="0.2">
      <c r="A4986" s="1" t="s">
        <v>1129</v>
      </c>
    </row>
    <row r="4987" spans="1:1" x14ac:dyDescent="0.2">
      <c r="A4987" s="1" t="s">
        <v>1130</v>
      </c>
    </row>
    <row r="4988" spans="1:1" x14ac:dyDescent="0.2">
      <c r="A4988" s="1" t="s">
        <v>1131</v>
      </c>
    </row>
    <row r="4989" spans="1:1" x14ac:dyDescent="0.2">
      <c r="A4989" s="1" t="s">
        <v>1132</v>
      </c>
    </row>
    <row r="4990" spans="1:1" x14ac:dyDescent="0.2">
      <c r="A4990" s="1" t="s">
        <v>1133</v>
      </c>
    </row>
    <row r="4991" spans="1:1" x14ac:dyDescent="0.2">
      <c r="A4991" s="1" t="s">
        <v>1134</v>
      </c>
    </row>
    <row r="4992" spans="1:1" x14ac:dyDescent="0.2">
      <c r="A4992" s="1" t="s">
        <v>1125</v>
      </c>
    </row>
    <row r="4993" spans="1:1" x14ac:dyDescent="0.2">
      <c r="A4993" s="1" t="s">
        <v>1126</v>
      </c>
    </row>
    <row r="4994" spans="1:1" x14ac:dyDescent="0.2">
      <c r="A4994" s="1" t="s">
        <v>1125</v>
      </c>
    </row>
    <row r="4995" spans="1:1" x14ac:dyDescent="0.2">
      <c r="A4995" s="1" t="s">
        <v>1126</v>
      </c>
    </row>
    <row r="4996" spans="1:1" x14ac:dyDescent="0.2">
      <c r="A4996" s="1" t="s">
        <v>1125</v>
      </c>
    </row>
    <row r="4997" spans="1:1" x14ac:dyDescent="0.2">
      <c r="A4997" s="1" t="s">
        <v>1126</v>
      </c>
    </row>
    <row r="4998" spans="1:1" x14ac:dyDescent="0.2">
      <c r="A4998" s="1" t="s">
        <v>1127</v>
      </c>
    </row>
    <row r="4999" spans="1:1" x14ac:dyDescent="0.2">
      <c r="A4999" s="1" t="s">
        <v>1128</v>
      </c>
    </row>
    <row r="5000" spans="1:1" x14ac:dyDescent="0.2">
      <c r="A5000" s="1" t="s">
        <v>1129</v>
      </c>
    </row>
    <row r="5001" spans="1:1" x14ac:dyDescent="0.2">
      <c r="A5001" s="1" t="s">
        <v>1130</v>
      </c>
    </row>
    <row r="5002" spans="1:1" x14ac:dyDescent="0.2">
      <c r="A5002" s="1" t="s">
        <v>1131</v>
      </c>
    </row>
    <row r="5003" spans="1:1" x14ac:dyDescent="0.2">
      <c r="A5003" s="1" t="s">
        <v>1132</v>
      </c>
    </row>
    <row r="5004" spans="1:1" x14ac:dyDescent="0.2">
      <c r="A5004" s="1" t="s">
        <v>1133</v>
      </c>
    </row>
    <row r="5005" spans="1:1" x14ac:dyDescent="0.2">
      <c r="A5005" s="1" t="s">
        <v>1134</v>
      </c>
    </row>
    <row r="5006" spans="1:1" x14ac:dyDescent="0.2">
      <c r="A5006" s="1" t="s">
        <v>1125</v>
      </c>
    </row>
    <row r="5007" spans="1:1" x14ac:dyDescent="0.2">
      <c r="A5007" s="1" t="s">
        <v>1126</v>
      </c>
    </row>
    <row r="5008" spans="1:1" x14ac:dyDescent="0.2">
      <c r="A5008" s="1" t="s">
        <v>1125</v>
      </c>
    </row>
    <row r="5009" spans="1:1" x14ac:dyDescent="0.2">
      <c r="A5009" s="1" t="s">
        <v>1126</v>
      </c>
    </row>
    <row r="5010" spans="1:1" x14ac:dyDescent="0.2">
      <c r="A5010" s="1" t="s">
        <v>1125</v>
      </c>
    </row>
    <row r="5011" spans="1:1" x14ac:dyDescent="0.2">
      <c r="A5011" s="1" t="s">
        <v>1126</v>
      </c>
    </row>
    <row r="5012" spans="1:1" x14ac:dyDescent="0.2">
      <c r="A5012" s="1" t="s">
        <v>1127</v>
      </c>
    </row>
    <row r="5013" spans="1:1" x14ac:dyDescent="0.2">
      <c r="A5013" s="1" t="s">
        <v>1128</v>
      </c>
    </row>
    <row r="5014" spans="1:1" x14ac:dyDescent="0.2">
      <c r="A5014" s="1" t="s">
        <v>1129</v>
      </c>
    </row>
    <row r="5015" spans="1:1" x14ac:dyDescent="0.2">
      <c r="A5015" s="1" t="s">
        <v>1130</v>
      </c>
    </row>
    <row r="5016" spans="1:1" x14ac:dyDescent="0.2">
      <c r="A5016" s="1" t="s">
        <v>1131</v>
      </c>
    </row>
    <row r="5017" spans="1:1" x14ac:dyDescent="0.2">
      <c r="A5017" s="1" t="s">
        <v>1132</v>
      </c>
    </row>
    <row r="5018" spans="1:1" x14ac:dyDescent="0.2">
      <c r="A5018" s="1" t="s">
        <v>1133</v>
      </c>
    </row>
    <row r="5019" spans="1:1" x14ac:dyDescent="0.2">
      <c r="A5019" s="1" t="s">
        <v>1134</v>
      </c>
    </row>
    <row r="5020" spans="1:1" x14ac:dyDescent="0.2">
      <c r="A5020" s="1" t="s">
        <v>1125</v>
      </c>
    </row>
    <row r="5021" spans="1:1" x14ac:dyDescent="0.2">
      <c r="A5021" s="1" t="s">
        <v>1126</v>
      </c>
    </row>
    <row r="5022" spans="1:1" x14ac:dyDescent="0.2">
      <c r="A5022" s="1" t="s">
        <v>1125</v>
      </c>
    </row>
    <row r="5023" spans="1:1" x14ac:dyDescent="0.2">
      <c r="A5023" s="1" t="s">
        <v>1126</v>
      </c>
    </row>
    <row r="5024" spans="1:1" x14ac:dyDescent="0.2">
      <c r="A5024" s="1" t="s">
        <v>1125</v>
      </c>
    </row>
    <row r="5025" spans="1:1" x14ac:dyDescent="0.2">
      <c r="A5025" s="1" t="s">
        <v>1126</v>
      </c>
    </row>
    <row r="5026" spans="1:1" x14ac:dyDescent="0.2">
      <c r="A5026" s="1" t="s">
        <v>1127</v>
      </c>
    </row>
    <row r="5027" spans="1:1" x14ac:dyDescent="0.2">
      <c r="A5027" s="1" t="s">
        <v>1128</v>
      </c>
    </row>
    <row r="5028" spans="1:1" x14ac:dyDescent="0.2">
      <c r="A5028" s="1" t="s">
        <v>1129</v>
      </c>
    </row>
    <row r="5029" spans="1:1" x14ac:dyDescent="0.2">
      <c r="A5029" s="1" t="s">
        <v>1130</v>
      </c>
    </row>
    <row r="5030" spans="1:1" x14ac:dyDescent="0.2">
      <c r="A5030" s="1" t="s">
        <v>1131</v>
      </c>
    </row>
    <row r="5031" spans="1:1" x14ac:dyDescent="0.2">
      <c r="A5031" s="1" t="s">
        <v>1132</v>
      </c>
    </row>
    <row r="5032" spans="1:1" x14ac:dyDescent="0.2">
      <c r="A5032" s="1" t="s">
        <v>1133</v>
      </c>
    </row>
    <row r="5033" spans="1:1" x14ac:dyDescent="0.2">
      <c r="A5033" s="1" t="s">
        <v>1134</v>
      </c>
    </row>
    <row r="5034" spans="1:1" x14ac:dyDescent="0.2">
      <c r="A5034" s="1" t="s">
        <v>1125</v>
      </c>
    </row>
    <row r="5035" spans="1:1" x14ac:dyDescent="0.2">
      <c r="A5035" s="1" t="s">
        <v>1126</v>
      </c>
    </row>
    <row r="5036" spans="1:1" x14ac:dyDescent="0.2">
      <c r="A5036" s="1" t="s">
        <v>1125</v>
      </c>
    </row>
    <row r="5037" spans="1:1" x14ac:dyDescent="0.2">
      <c r="A5037" s="1" t="s">
        <v>1126</v>
      </c>
    </row>
    <row r="5038" spans="1:1" x14ac:dyDescent="0.2">
      <c r="A5038" s="1" t="s">
        <v>1125</v>
      </c>
    </row>
    <row r="5039" spans="1:1" x14ac:dyDescent="0.2">
      <c r="A5039" s="1" t="s">
        <v>1126</v>
      </c>
    </row>
    <row r="5040" spans="1:1" x14ac:dyDescent="0.2">
      <c r="A5040" s="1" t="s">
        <v>1127</v>
      </c>
    </row>
    <row r="5041" spans="1:1" x14ac:dyDescent="0.2">
      <c r="A5041" s="1" t="s">
        <v>1128</v>
      </c>
    </row>
    <row r="5042" spans="1:1" x14ac:dyDescent="0.2">
      <c r="A5042" s="1" t="s">
        <v>1129</v>
      </c>
    </row>
    <row r="5043" spans="1:1" x14ac:dyDescent="0.2">
      <c r="A5043" s="1" t="s">
        <v>1130</v>
      </c>
    </row>
    <row r="5044" spans="1:1" x14ac:dyDescent="0.2">
      <c r="A5044" s="1" t="s">
        <v>1131</v>
      </c>
    </row>
    <row r="5045" spans="1:1" x14ac:dyDescent="0.2">
      <c r="A5045" s="1" t="s">
        <v>1132</v>
      </c>
    </row>
    <row r="5046" spans="1:1" x14ac:dyDescent="0.2">
      <c r="A5046" s="1" t="s">
        <v>1133</v>
      </c>
    </row>
    <row r="5047" spans="1:1" x14ac:dyDescent="0.2">
      <c r="A5047" s="1" t="s">
        <v>1134</v>
      </c>
    </row>
    <row r="5048" spans="1:1" x14ac:dyDescent="0.2">
      <c r="A5048" s="1" t="s">
        <v>1125</v>
      </c>
    </row>
    <row r="5049" spans="1:1" x14ac:dyDescent="0.2">
      <c r="A5049" s="1" t="s">
        <v>1126</v>
      </c>
    </row>
    <row r="5050" spans="1:1" x14ac:dyDescent="0.2">
      <c r="A5050" s="1" t="s">
        <v>1125</v>
      </c>
    </row>
    <row r="5051" spans="1:1" x14ac:dyDescent="0.2">
      <c r="A5051" s="1" t="s">
        <v>1126</v>
      </c>
    </row>
    <row r="5052" spans="1:1" x14ac:dyDescent="0.2">
      <c r="A5052" s="1" t="s">
        <v>1125</v>
      </c>
    </row>
    <row r="5053" spans="1:1" x14ac:dyDescent="0.2">
      <c r="A5053" s="1" t="s">
        <v>1126</v>
      </c>
    </row>
    <row r="5054" spans="1:1" x14ac:dyDescent="0.2">
      <c r="A5054" s="1" t="s">
        <v>1127</v>
      </c>
    </row>
    <row r="5055" spans="1:1" x14ac:dyDescent="0.2">
      <c r="A5055" s="1" t="s">
        <v>1128</v>
      </c>
    </row>
    <row r="5056" spans="1:1" x14ac:dyDescent="0.2">
      <c r="A5056" s="1" t="s">
        <v>1129</v>
      </c>
    </row>
    <row r="5057" spans="1:1" x14ac:dyDescent="0.2">
      <c r="A5057" s="1" t="s">
        <v>1130</v>
      </c>
    </row>
    <row r="5058" spans="1:1" x14ac:dyDescent="0.2">
      <c r="A5058" s="1" t="s">
        <v>1131</v>
      </c>
    </row>
    <row r="5059" spans="1:1" x14ac:dyDescent="0.2">
      <c r="A5059" s="1" t="s">
        <v>1132</v>
      </c>
    </row>
    <row r="5060" spans="1:1" x14ac:dyDescent="0.2">
      <c r="A5060" s="1" t="s">
        <v>1133</v>
      </c>
    </row>
    <row r="5061" spans="1:1" x14ac:dyDescent="0.2">
      <c r="A5061" s="1" t="s">
        <v>1134</v>
      </c>
    </row>
    <row r="5062" spans="1:1" x14ac:dyDescent="0.2">
      <c r="A5062" s="1" t="s">
        <v>1125</v>
      </c>
    </row>
    <row r="5063" spans="1:1" x14ac:dyDescent="0.2">
      <c r="A5063" s="1" t="s">
        <v>1126</v>
      </c>
    </row>
    <row r="5064" spans="1:1" x14ac:dyDescent="0.2">
      <c r="A5064" s="1" t="s">
        <v>1125</v>
      </c>
    </row>
    <row r="5065" spans="1:1" x14ac:dyDescent="0.2">
      <c r="A5065" s="1" t="s">
        <v>1126</v>
      </c>
    </row>
    <row r="5066" spans="1:1" x14ac:dyDescent="0.2">
      <c r="A5066" s="1" t="s">
        <v>1125</v>
      </c>
    </row>
    <row r="5067" spans="1:1" x14ac:dyDescent="0.2">
      <c r="A5067" s="1" t="s">
        <v>1126</v>
      </c>
    </row>
    <row r="5068" spans="1:1" x14ac:dyDescent="0.2">
      <c r="A5068" s="1" t="s">
        <v>1127</v>
      </c>
    </row>
    <row r="5069" spans="1:1" x14ac:dyDescent="0.2">
      <c r="A5069" s="1" t="s">
        <v>1128</v>
      </c>
    </row>
    <row r="5070" spans="1:1" x14ac:dyDescent="0.2">
      <c r="A5070" s="1" t="s">
        <v>1129</v>
      </c>
    </row>
    <row r="5071" spans="1:1" x14ac:dyDescent="0.2">
      <c r="A5071" s="1" t="s">
        <v>1130</v>
      </c>
    </row>
    <row r="5072" spans="1:1" x14ac:dyDescent="0.2">
      <c r="A5072" s="1" t="s">
        <v>1131</v>
      </c>
    </row>
    <row r="5073" spans="1:1" x14ac:dyDescent="0.2">
      <c r="A5073" s="1" t="s">
        <v>1132</v>
      </c>
    </row>
    <row r="5074" spans="1:1" x14ac:dyDescent="0.2">
      <c r="A5074" s="1" t="s">
        <v>1133</v>
      </c>
    </row>
    <row r="5075" spans="1:1" x14ac:dyDescent="0.2">
      <c r="A5075" s="1" t="s">
        <v>1135</v>
      </c>
    </row>
    <row r="5076" spans="1:1" x14ac:dyDescent="0.2">
      <c r="A5076" s="1" t="s">
        <v>1136</v>
      </c>
    </row>
    <row r="5077" spans="1:1" x14ac:dyDescent="0.2">
      <c r="A5077" s="1" t="s">
        <v>1137</v>
      </c>
    </row>
    <row r="5078" spans="1:1" x14ac:dyDescent="0.2">
      <c r="A5078" s="1" t="s">
        <v>1138</v>
      </c>
    </row>
    <row r="5079" spans="1:1" x14ac:dyDescent="0.2">
      <c r="A5079" s="1" t="s">
        <v>1139</v>
      </c>
    </row>
    <row r="5080" spans="1:1" x14ac:dyDescent="0.2">
      <c r="A5080" s="1" t="s">
        <v>1138</v>
      </c>
    </row>
    <row r="5081" spans="1:1" x14ac:dyDescent="0.2">
      <c r="A5081" s="1" t="s">
        <v>1139</v>
      </c>
    </row>
    <row r="5082" spans="1:1" x14ac:dyDescent="0.2">
      <c r="A5082" s="1" t="s">
        <v>1140</v>
      </c>
    </row>
    <row r="5083" spans="1:1" x14ac:dyDescent="0.2">
      <c r="A5083" s="1" t="s">
        <v>1141</v>
      </c>
    </row>
    <row r="5084" spans="1:1" x14ac:dyDescent="0.2">
      <c r="A5084" s="1" t="s">
        <v>1142</v>
      </c>
    </row>
    <row r="5085" spans="1:1" x14ac:dyDescent="0.2">
      <c r="A5085" s="1" t="s">
        <v>1143</v>
      </c>
    </row>
    <row r="5086" spans="1:1" x14ac:dyDescent="0.2">
      <c r="A5086" s="1" t="s">
        <v>1144</v>
      </c>
    </row>
    <row r="5087" spans="1:1" x14ac:dyDescent="0.2">
      <c r="A5087" s="1" t="s">
        <v>1145</v>
      </c>
    </row>
    <row r="5088" spans="1:1" x14ac:dyDescent="0.2">
      <c r="A5088" s="1" t="s">
        <v>1146</v>
      </c>
    </row>
    <row r="5089" spans="1:1" x14ac:dyDescent="0.2">
      <c r="A5089" s="1" t="s">
        <v>1147</v>
      </c>
    </row>
    <row r="5090" spans="1:1" x14ac:dyDescent="0.2">
      <c r="A5090" s="1" t="s">
        <v>1138</v>
      </c>
    </row>
    <row r="5091" spans="1:1" x14ac:dyDescent="0.2">
      <c r="A5091" s="1" t="s">
        <v>1139</v>
      </c>
    </row>
    <row r="5092" spans="1:1" x14ac:dyDescent="0.2">
      <c r="A5092" s="1" t="s">
        <v>1138</v>
      </c>
    </row>
    <row r="5093" spans="1:1" x14ac:dyDescent="0.2">
      <c r="A5093" s="1" t="s">
        <v>1139</v>
      </c>
    </row>
    <row r="5094" spans="1:1" x14ac:dyDescent="0.2">
      <c r="A5094" s="1" t="s">
        <v>1138</v>
      </c>
    </row>
    <row r="5095" spans="1:1" x14ac:dyDescent="0.2">
      <c r="A5095" s="1" t="s">
        <v>1139</v>
      </c>
    </row>
    <row r="5096" spans="1:1" x14ac:dyDescent="0.2">
      <c r="A5096" s="1" t="s">
        <v>1140</v>
      </c>
    </row>
    <row r="5097" spans="1:1" x14ac:dyDescent="0.2">
      <c r="A5097" s="1" t="s">
        <v>1141</v>
      </c>
    </row>
    <row r="5098" spans="1:1" x14ac:dyDescent="0.2">
      <c r="A5098" s="1" t="s">
        <v>1142</v>
      </c>
    </row>
    <row r="5099" spans="1:1" x14ac:dyDescent="0.2">
      <c r="A5099" s="1" t="s">
        <v>1143</v>
      </c>
    </row>
    <row r="5100" spans="1:1" x14ac:dyDescent="0.2">
      <c r="A5100" s="1" t="s">
        <v>1144</v>
      </c>
    </row>
    <row r="5101" spans="1:1" x14ac:dyDescent="0.2">
      <c r="A5101" s="1" t="s">
        <v>1145</v>
      </c>
    </row>
    <row r="5102" spans="1:1" x14ac:dyDescent="0.2">
      <c r="A5102" s="1" t="s">
        <v>1146</v>
      </c>
    </row>
    <row r="5103" spans="1:1" x14ac:dyDescent="0.2">
      <c r="A5103" s="1" t="s">
        <v>1147</v>
      </c>
    </row>
    <row r="5104" spans="1:1" x14ac:dyDescent="0.2">
      <c r="A5104" s="1" t="s">
        <v>1138</v>
      </c>
    </row>
    <row r="5105" spans="1:1" x14ac:dyDescent="0.2">
      <c r="A5105" s="1" t="s">
        <v>1139</v>
      </c>
    </row>
    <row r="5106" spans="1:1" x14ac:dyDescent="0.2">
      <c r="A5106" s="1" t="s">
        <v>1138</v>
      </c>
    </row>
    <row r="5107" spans="1:1" x14ac:dyDescent="0.2">
      <c r="A5107" s="1" t="s">
        <v>1139</v>
      </c>
    </row>
    <row r="5108" spans="1:1" x14ac:dyDescent="0.2">
      <c r="A5108" s="1" t="s">
        <v>1138</v>
      </c>
    </row>
    <row r="5109" spans="1:1" x14ac:dyDescent="0.2">
      <c r="A5109" s="1" t="s">
        <v>1139</v>
      </c>
    </row>
    <row r="5110" spans="1:1" x14ac:dyDescent="0.2">
      <c r="A5110" s="1" t="s">
        <v>1140</v>
      </c>
    </row>
    <row r="5111" spans="1:1" x14ac:dyDescent="0.2">
      <c r="A5111" s="1" t="s">
        <v>1141</v>
      </c>
    </row>
    <row r="5112" spans="1:1" x14ac:dyDescent="0.2">
      <c r="A5112" s="1" t="s">
        <v>1142</v>
      </c>
    </row>
    <row r="5113" spans="1:1" x14ac:dyDescent="0.2">
      <c r="A5113" s="1" t="s">
        <v>1143</v>
      </c>
    </row>
    <row r="5114" spans="1:1" x14ac:dyDescent="0.2">
      <c r="A5114" s="1" t="s">
        <v>1144</v>
      </c>
    </row>
    <row r="5115" spans="1:1" x14ac:dyDescent="0.2">
      <c r="A5115" s="1" t="s">
        <v>1145</v>
      </c>
    </row>
    <row r="5116" spans="1:1" x14ac:dyDescent="0.2">
      <c r="A5116" s="1" t="s">
        <v>1146</v>
      </c>
    </row>
    <row r="5117" spans="1:1" x14ac:dyDescent="0.2">
      <c r="A5117" s="1" t="s">
        <v>1147</v>
      </c>
    </row>
    <row r="5118" spans="1:1" x14ac:dyDescent="0.2">
      <c r="A5118" s="1" t="s">
        <v>1138</v>
      </c>
    </row>
    <row r="5119" spans="1:1" x14ac:dyDescent="0.2">
      <c r="A5119" s="1" t="s">
        <v>1139</v>
      </c>
    </row>
    <row r="5120" spans="1:1" x14ac:dyDescent="0.2">
      <c r="A5120" s="1" t="s">
        <v>1138</v>
      </c>
    </row>
    <row r="5121" spans="1:1" x14ac:dyDescent="0.2">
      <c r="A5121" s="1" t="s">
        <v>1139</v>
      </c>
    </row>
    <row r="5122" spans="1:1" x14ac:dyDescent="0.2">
      <c r="A5122" s="1" t="s">
        <v>1138</v>
      </c>
    </row>
    <row r="5123" spans="1:1" x14ac:dyDescent="0.2">
      <c r="A5123" s="1" t="s">
        <v>1139</v>
      </c>
    </row>
    <row r="5124" spans="1:1" x14ac:dyDescent="0.2">
      <c r="A5124" s="1" t="s">
        <v>1140</v>
      </c>
    </row>
    <row r="5125" spans="1:1" x14ac:dyDescent="0.2">
      <c r="A5125" s="1" t="s">
        <v>1141</v>
      </c>
    </row>
    <row r="5126" spans="1:1" x14ac:dyDescent="0.2">
      <c r="A5126" s="1" t="s">
        <v>1142</v>
      </c>
    </row>
    <row r="5127" spans="1:1" x14ac:dyDescent="0.2">
      <c r="A5127" s="1" t="s">
        <v>1143</v>
      </c>
    </row>
    <row r="5128" spans="1:1" x14ac:dyDescent="0.2">
      <c r="A5128" s="1" t="s">
        <v>1144</v>
      </c>
    </row>
    <row r="5129" spans="1:1" x14ac:dyDescent="0.2">
      <c r="A5129" s="1" t="s">
        <v>1145</v>
      </c>
    </row>
    <row r="5130" spans="1:1" x14ac:dyDescent="0.2">
      <c r="A5130" s="1" t="s">
        <v>1146</v>
      </c>
    </row>
    <row r="5131" spans="1:1" x14ac:dyDescent="0.2">
      <c r="A5131" s="1" t="s">
        <v>1147</v>
      </c>
    </row>
    <row r="5132" spans="1:1" x14ac:dyDescent="0.2">
      <c r="A5132" s="1" t="s">
        <v>1138</v>
      </c>
    </row>
    <row r="5133" spans="1:1" x14ac:dyDescent="0.2">
      <c r="A5133" s="1" t="s">
        <v>1139</v>
      </c>
    </row>
    <row r="5134" spans="1:1" x14ac:dyDescent="0.2">
      <c r="A5134" s="1" t="s">
        <v>1138</v>
      </c>
    </row>
    <row r="5135" spans="1:1" x14ac:dyDescent="0.2">
      <c r="A5135" s="1" t="s">
        <v>1139</v>
      </c>
    </row>
    <row r="5136" spans="1:1" x14ac:dyDescent="0.2">
      <c r="A5136" s="1" t="s">
        <v>1138</v>
      </c>
    </row>
    <row r="5137" spans="1:1" x14ac:dyDescent="0.2">
      <c r="A5137" s="1" t="s">
        <v>1139</v>
      </c>
    </row>
    <row r="5138" spans="1:1" x14ac:dyDescent="0.2">
      <c r="A5138" s="1" t="s">
        <v>1140</v>
      </c>
    </row>
    <row r="5139" spans="1:1" x14ac:dyDescent="0.2">
      <c r="A5139" s="1" t="s">
        <v>1141</v>
      </c>
    </row>
    <row r="5140" spans="1:1" x14ac:dyDescent="0.2">
      <c r="A5140" s="1" t="s">
        <v>1142</v>
      </c>
    </row>
    <row r="5141" spans="1:1" x14ac:dyDescent="0.2">
      <c r="A5141" s="1" t="s">
        <v>1143</v>
      </c>
    </row>
    <row r="5142" spans="1:1" x14ac:dyDescent="0.2">
      <c r="A5142" s="1" t="s">
        <v>1144</v>
      </c>
    </row>
    <row r="5143" spans="1:1" x14ac:dyDescent="0.2">
      <c r="A5143" s="1" t="s">
        <v>1145</v>
      </c>
    </row>
    <row r="5144" spans="1:1" x14ac:dyDescent="0.2">
      <c r="A5144" s="1" t="s">
        <v>1146</v>
      </c>
    </row>
    <row r="5145" spans="1:1" x14ac:dyDescent="0.2">
      <c r="A5145" s="1" t="s">
        <v>1147</v>
      </c>
    </row>
    <row r="5146" spans="1:1" x14ac:dyDescent="0.2">
      <c r="A5146" s="1" t="s">
        <v>1138</v>
      </c>
    </row>
    <row r="5147" spans="1:1" x14ac:dyDescent="0.2">
      <c r="A5147" s="1" t="s">
        <v>1139</v>
      </c>
    </row>
    <row r="5148" spans="1:1" x14ac:dyDescent="0.2">
      <c r="A5148" s="1" t="s">
        <v>1138</v>
      </c>
    </row>
    <row r="5149" spans="1:1" x14ac:dyDescent="0.2">
      <c r="A5149" s="1" t="s">
        <v>1139</v>
      </c>
    </row>
    <row r="5150" spans="1:1" x14ac:dyDescent="0.2">
      <c r="A5150" s="1" t="s">
        <v>1138</v>
      </c>
    </row>
    <row r="5151" spans="1:1" x14ac:dyDescent="0.2">
      <c r="A5151" s="1" t="s">
        <v>1139</v>
      </c>
    </row>
    <row r="5152" spans="1:1" x14ac:dyDescent="0.2">
      <c r="A5152" s="1" t="s">
        <v>1140</v>
      </c>
    </row>
    <row r="5153" spans="1:1" x14ac:dyDescent="0.2">
      <c r="A5153" s="1" t="s">
        <v>1141</v>
      </c>
    </row>
    <row r="5154" spans="1:1" x14ac:dyDescent="0.2">
      <c r="A5154" s="1" t="s">
        <v>1142</v>
      </c>
    </row>
    <row r="5155" spans="1:1" x14ac:dyDescent="0.2">
      <c r="A5155" s="1" t="s">
        <v>1143</v>
      </c>
    </row>
    <row r="5156" spans="1:1" x14ac:dyDescent="0.2">
      <c r="A5156" s="1" t="s">
        <v>1144</v>
      </c>
    </row>
    <row r="5157" spans="1:1" x14ac:dyDescent="0.2">
      <c r="A5157" s="1" t="s">
        <v>1145</v>
      </c>
    </row>
    <row r="5158" spans="1:1" x14ac:dyDescent="0.2">
      <c r="A5158" s="1" t="s">
        <v>1146</v>
      </c>
    </row>
    <row r="5159" spans="1:1" x14ac:dyDescent="0.2">
      <c r="A5159" s="1" t="s">
        <v>1147</v>
      </c>
    </row>
    <row r="5160" spans="1:1" x14ac:dyDescent="0.2">
      <c r="A5160" s="1" t="s">
        <v>1138</v>
      </c>
    </row>
    <row r="5161" spans="1:1" x14ac:dyDescent="0.2">
      <c r="A5161" s="1" t="s">
        <v>1139</v>
      </c>
    </row>
    <row r="5162" spans="1:1" x14ac:dyDescent="0.2">
      <c r="A5162" s="1" t="s">
        <v>1138</v>
      </c>
    </row>
    <row r="5163" spans="1:1" x14ac:dyDescent="0.2">
      <c r="A5163" s="1" t="s">
        <v>1139</v>
      </c>
    </row>
    <row r="5164" spans="1:1" x14ac:dyDescent="0.2">
      <c r="A5164" s="1" t="s">
        <v>1138</v>
      </c>
    </row>
    <row r="5165" spans="1:1" x14ac:dyDescent="0.2">
      <c r="A5165" s="1" t="s">
        <v>1139</v>
      </c>
    </row>
    <row r="5166" spans="1:1" x14ac:dyDescent="0.2">
      <c r="A5166" s="1" t="s">
        <v>1140</v>
      </c>
    </row>
    <row r="5167" spans="1:1" x14ac:dyDescent="0.2">
      <c r="A5167" s="1" t="s">
        <v>1141</v>
      </c>
    </row>
    <row r="5168" spans="1:1" x14ac:dyDescent="0.2">
      <c r="A5168" s="1" t="s">
        <v>1142</v>
      </c>
    </row>
    <row r="5169" spans="1:1" x14ac:dyDescent="0.2">
      <c r="A5169" s="1" t="s">
        <v>1143</v>
      </c>
    </row>
    <row r="5170" spans="1:1" x14ac:dyDescent="0.2">
      <c r="A5170" s="1" t="s">
        <v>1144</v>
      </c>
    </row>
    <row r="5171" spans="1:1" x14ac:dyDescent="0.2">
      <c r="A5171" s="1" t="s">
        <v>1145</v>
      </c>
    </row>
    <row r="5172" spans="1:1" x14ac:dyDescent="0.2">
      <c r="A5172" s="1" t="s">
        <v>1146</v>
      </c>
    </row>
    <row r="5173" spans="1:1" x14ac:dyDescent="0.2">
      <c r="A5173" s="1" t="s">
        <v>1148</v>
      </c>
    </row>
    <row r="5174" spans="1:1" x14ac:dyDescent="0.2">
      <c r="A5174" s="1" t="s">
        <v>1149</v>
      </c>
    </row>
    <row r="5175" spans="1:1" x14ac:dyDescent="0.2">
      <c r="A5175" s="1" t="s">
        <v>1150</v>
      </c>
    </row>
    <row r="5176" spans="1:1" x14ac:dyDescent="0.2">
      <c r="A5176" s="1" t="s">
        <v>1149</v>
      </c>
    </row>
    <row r="5177" spans="1:1" x14ac:dyDescent="0.2">
      <c r="A5177" s="1" t="s">
        <v>1150</v>
      </c>
    </row>
    <row r="5178" spans="1:1" x14ac:dyDescent="0.2">
      <c r="A5178" s="1" t="s">
        <v>1149</v>
      </c>
    </row>
    <row r="5179" spans="1:1" x14ac:dyDescent="0.2">
      <c r="A5179" s="1" t="s">
        <v>1150</v>
      </c>
    </row>
    <row r="5180" spans="1:1" x14ac:dyDescent="0.2">
      <c r="A5180" s="1" t="s">
        <v>1151</v>
      </c>
    </row>
    <row r="5181" spans="1:1" x14ac:dyDescent="0.2">
      <c r="A5181" s="1" t="s">
        <v>1152</v>
      </c>
    </row>
    <row r="5182" spans="1:1" x14ac:dyDescent="0.2">
      <c r="A5182" s="1" t="s">
        <v>1153</v>
      </c>
    </row>
    <row r="5183" spans="1:1" x14ac:dyDescent="0.2">
      <c r="A5183" s="1" t="s">
        <v>1154</v>
      </c>
    </row>
    <row r="5184" spans="1:1" x14ac:dyDescent="0.2">
      <c r="A5184" s="1" t="s">
        <v>1155</v>
      </c>
    </row>
    <row r="5185" spans="1:1" x14ac:dyDescent="0.2">
      <c r="A5185" s="1" t="s">
        <v>1156</v>
      </c>
    </row>
    <row r="5186" spans="1:1" x14ac:dyDescent="0.2">
      <c r="A5186" s="1" t="s">
        <v>1157</v>
      </c>
    </row>
    <row r="5187" spans="1:1" x14ac:dyDescent="0.2">
      <c r="A5187" s="1" t="s">
        <v>1148</v>
      </c>
    </row>
    <row r="5188" spans="1:1" x14ac:dyDescent="0.2">
      <c r="A5188" s="1" t="s">
        <v>1149</v>
      </c>
    </row>
    <row r="5189" spans="1:1" x14ac:dyDescent="0.2">
      <c r="A5189" s="1" t="s">
        <v>1150</v>
      </c>
    </row>
    <row r="5190" spans="1:1" x14ac:dyDescent="0.2">
      <c r="A5190" s="1" t="s">
        <v>1158</v>
      </c>
    </row>
    <row r="5191" spans="1:1" x14ac:dyDescent="0.2">
      <c r="A5191" s="1" t="s">
        <v>1159</v>
      </c>
    </row>
    <row r="5192" spans="1:1" x14ac:dyDescent="0.2">
      <c r="A5192" s="1" t="s">
        <v>1149</v>
      </c>
    </row>
    <row r="5193" spans="1:1" x14ac:dyDescent="0.2">
      <c r="A5193" s="1" t="s">
        <v>1150</v>
      </c>
    </row>
    <row r="5194" spans="1:1" x14ac:dyDescent="0.2">
      <c r="A5194" s="1" t="s">
        <v>1160</v>
      </c>
    </row>
    <row r="5195" spans="1:1" x14ac:dyDescent="0.2">
      <c r="A5195" s="1" t="s">
        <v>1161</v>
      </c>
    </row>
    <row r="5196" spans="1:1" x14ac:dyDescent="0.2">
      <c r="A5196" s="1" t="s">
        <v>1162</v>
      </c>
    </row>
    <row r="5197" spans="1:1" x14ac:dyDescent="0.2">
      <c r="A5197" s="1" t="s">
        <v>1163</v>
      </c>
    </row>
    <row r="5198" spans="1:1" x14ac:dyDescent="0.2">
      <c r="A5198" s="1" t="s">
        <v>1164</v>
      </c>
    </row>
    <row r="5199" spans="1:1" x14ac:dyDescent="0.2">
      <c r="A5199" s="1" t="s">
        <v>1165</v>
      </c>
    </row>
    <row r="5200" spans="1:1" x14ac:dyDescent="0.2">
      <c r="A5200" s="1" t="s">
        <v>1166</v>
      </c>
    </row>
    <row r="5201" spans="1:1" x14ac:dyDescent="0.2">
      <c r="A5201" s="1" t="s">
        <v>1167</v>
      </c>
    </row>
    <row r="5202" spans="1:1" x14ac:dyDescent="0.2">
      <c r="A5202" s="1" t="s">
        <v>1168</v>
      </c>
    </row>
    <row r="5203" spans="1:1" x14ac:dyDescent="0.2">
      <c r="A5203" s="1" t="s">
        <v>1169</v>
      </c>
    </row>
    <row r="5204" spans="1:1" x14ac:dyDescent="0.2">
      <c r="A5204" s="1" t="s">
        <v>1170</v>
      </c>
    </row>
    <row r="5205" spans="1:1" x14ac:dyDescent="0.2">
      <c r="A5205" s="1" t="s">
        <v>1171</v>
      </c>
    </row>
    <row r="5206" spans="1:1" x14ac:dyDescent="0.2">
      <c r="A5206" s="1" t="s">
        <v>1172</v>
      </c>
    </row>
    <row r="5207" spans="1:1" x14ac:dyDescent="0.2">
      <c r="A5207" s="1" t="s">
        <v>1173</v>
      </c>
    </row>
    <row r="5208" spans="1:1" x14ac:dyDescent="0.2">
      <c r="A5208" s="1" t="s">
        <v>1174</v>
      </c>
    </row>
    <row r="5209" spans="1:1" x14ac:dyDescent="0.2">
      <c r="A5209" s="1" t="s">
        <v>1175</v>
      </c>
    </row>
    <row r="5210" spans="1:1" x14ac:dyDescent="0.2">
      <c r="A5210" s="1" t="s">
        <v>1176</v>
      </c>
    </row>
    <row r="5211" spans="1:1" x14ac:dyDescent="0.2">
      <c r="A5211" s="1" t="s">
        <v>1177</v>
      </c>
    </row>
    <row r="5212" spans="1:1" x14ac:dyDescent="0.2">
      <c r="A5212" s="1" t="s">
        <v>1178</v>
      </c>
    </row>
    <row r="5213" spans="1:1" x14ac:dyDescent="0.2">
      <c r="A5213" s="1" t="s">
        <v>1179</v>
      </c>
    </row>
    <row r="5214" spans="1:1" x14ac:dyDescent="0.2">
      <c r="A5214" s="1" t="s">
        <v>1168</v>
      </c>
    </row>
    <row r="5215" spans="1:1" x14ac:dyDescent="0.2">
      <c r="A5215" s="1" t="s">
        <v>1180</v>
      </c>
    </row>
    <row r="5216" spans="1:1" x14ac:dyDescent="0.2">
      <c r="A5216" s="1" t="s">
        <v>1170</v>
      </c>
    </row>
    <row r="5217" spans="1:1" x14ac:dyDescent="0.2">
      <c r="A5217" s="1" t="s">
        <v>1171</v>
      </c>
    </row>
    <row r="5218" spans="1:1" x14ac:dyDescent="0.2">
      <c r="A5218" s="1" t="s">
        <v>1172</v>
      </c>
    </row>
    <row r="5219" spans="1:1" x14ac:dyDescent="0.2">
      <c r="A5219" s="1" t="s">
        <v>1173</v>
      </c>
    </row>
    <row r="5220" spans="1:1" x14ac:dyDescent="0.2">
      <c r="A5220" s="1" t="s">
        <v>1181</v>
      </c>
    </row>
    <row r="5221" spans="1:1" x14ac:dyDescent="0.2">
      <c r="A5221" s="1" t="s">
        <v>1175</v>
      </c>
    </row>
    <row r="5222" spans="1:1" x14ac:dyDescent="0.2">
      <c r="A5222" s="1" t="s">
        <v>1176</v>
      </c>
    </row>
    <row r="5223" spans="1:1" x14ac:dyDescent="0.2">
      <c r="A5223" s="1" t="s">
        <v>1177</v>
      </c>
    </row>
    <row r="5224" spans="1:1" x14ac:dyDescent="0.2">
      <c r="A5224" s="1" t="s">
        <v>1178</v>
      </c>
    </row>
    <row r="5225" spans="1:1" x14ac:dyDescent="0.2">
      <c r="A5225" s="1" t="s">
        <v>1179</v>
      </c>
    </row>
    <row r="5226" spans="1:1" x14ac:dyDescent="0.2">
      <c r="A5226" s="1" t="s">
        <v>1168</v>
      </c>
    </row>
    <row r="5227" spans="1:1" x14ac:dyDescent="0.2">
      <c r="A5227" s="1" t="s">
        <v>1182</v>
      </c>
    </row>
    <row r="5228" spans="1:1" x14ac:dyDescent="0.2">
      <c r="A5228" s="1" t="s">
        <v>1170</v>
      </c>
    </row>
    <row r="5229" spans="1:1" x14ac:dyDescent="0.2">
      <c r="A5229" s="1" t="s">
        <v>1171</v>
      </c>
    </row>
    <row r="5230" spans="1:1" x14ac:dyDescent="0.2">
      <c r="A5230" s="1" t="s">
        <v>1172</v>
      </c>
    </row>
    <row r="5231" spans="1:1" x14ac:dyDescent="0.2">
      <c r="A5231" s="1" t="s">
        <v>1173</v>
      </c>
    </row>
    <row r="5232" spans="1:1" x14ac:dyDescent="0.2">
      <c r="A5232" s="1" t="s">
        <v>1183</v>
      </c>
    </row>
    <row r="5233" spans="1:1" x14ac:dyDescent="0.2">
      <c r="A5233" s="1" t="s">
        <v>1175</v>
      </c>
    </row>
    <row r="5234" spans="1:1" x14ac:dyDescent="0.2">
      <c r="A5234" s="1" t="s">
        <v>1176</v>
      </c>
    </row>
    <row r="5235" spans="1:1" x14ac:dyDescent="0.2">
      <c r="A5235" s="1" t="s">
        <v>1177</v>
      </c>
    </row>
    <row r="5236" spans="1:1" x14ac:dyDescent="0.2">
      <c r="A5236" s="1" t="s">
        <v>1178</v>
      </c>
    </row>
    <row r="5237" spans="1:1" x14ac:dyDescent="0.2">
      <c r="A5237" s="1" t="s">
        <v>1179</v>
      </c>
    </row>
    <row r="5238" spans="1:1" x14ac:dyDescent="0.2">
      <c r="A5238" s="1" t="s">
        <v>1168</v>
      </c>
    </row>
    <row r="5239" spans="1:1" x14ac:dyDescent="0.2">
      <c r="A5239" s="1" t="s">
        <v>1184</v>
      </c>
    </row>
    <row r="5240" spans="1:1" x14ac:dyDescent="0.2">
      <c r="A5240" s="1" t="s">
        <v>1170</v>
      </c>
    </row>
    <row r="5241" spans="1:1" x14ac:dyDescent="0.2">
      <c r="A5241" s="1" t="s">
        <v>1171</v>
      </c>
    </row>
    <row r="5242" spans="1:1" x14ac:dyDescent="0.2">
      <c r="A5242" s="1" t="s">
        <v>1172</v>
      </c>
    </row>
    <row r="5243" spans="1:1" x14ac:dyDescent="0.2">
      <c r="A5243" s="1" t="s">
        <v>1173</v>
      </c>
    </row>
    <row r="5244" spans="1:1" x14ac:dyDescent="0.2">
      <c r="A5244" s="1" t="s">
        <v>1185</v>
      </c>
    </row>
    <row r="5245" spans="1:1" x14ac:dyDescent="0.2">
      <c r="A5245" s="1" t="s">
        <v>1175</v>
      </c>
    </row>
    <row r="5246" spans="1:1" x14ac:dyDescent="0.2">
      <c r="A5246" s="1" t="s">
        <v>1176</v>
      </c>
    </row>
    <row r="5247" spans="1:1" x14ac:dyDescent="0.2">
      <c r="A5247" s="1" t="s">
        <v>1177</v>
      </c>
    </row>
    <row r="5248" spans="1:1" x14ac:dyDescent="0.2">
      <c r="A5248" s="1" t="s">
        <v>1178</v>
      </c>
    </row>
    <row r="5249" spans="1:1" x14ac:dyDescent="0.2">
      <c r="A5249" s="1" t="s">
        <v>1179</v>
      </c>
    </row>
    <row r="5250" spans="1:1" x14ac:dyDescent="0.2">
      <c r="A5250" s="1" t="s">
        <v>1168</v>
      </c>
    </row>
    <row r="5251" spans="1:1" x14ac:dyDescent="0.2">
      <c r="A5251" s="1" t="s">
        <v>1186</v>
      </c>
    </row>
    <row r="5252" spans="1:1" x14ac:dyDescent="0.2">
      <c r="A5252" s="1" t="s">
        <v>1170</v>
      </c>
    </row>
    <row r="5253" spans="1:1" x14ac:dyDescent="0.2">
      <c r="A5253" s="1" t="s">
        <v>1171</v>
      </c>
    </row>
    <row r="5254" spans="1:1" x14ac:dyDescent="0.2">
      <c r="A5254" s="1" t="s">
        <v>1172</v>
      </c>
    </row>
    <row r="5255" spans="1:1" x14ac:dyDescent="0.2">
      <c r="A5255" s="1" t="s">
        <v>1173</v>
      </c>
    </row>
    <row r="5256" spans="1:1" x14ac:dyDescent="0.2">
      <c r="A5256" s="1" t="s">
        <v>1187</v>
      </c>
    </row>
    <row r="5257" spans="1:1" x14ac:dyDescent="0.2">
      <c r="A5257" s="1" t="s">
        <v>1175</v>
      </c>
    </row>
    <row r="5258" spans="1:1" x14ac:dyDescent="0.2">
      <c r="A5258" s="1" t="s">
        <v>1176</v>
      </c>
    </row>
    <row r="5259" spans="1:1" x14ac:dyDescent="0.2">
      <c r="A5259" s="1" t="s">
        <v>1177</v>
      </c>
    </row>
    <row r="5260" spans="1:1" x14ac:dyDescent="0.2">
      <c r="A5260" s="1" t="s">
        <v>1178</v>
      </c>
    </row>
    <row r="5261" spans="1:1" x14ac:dyDescent="0.2">
      <c r="A5261" s="1" t="s">
        <v>1179</v>
      </c>
    </row>
    <row r="5262" spans="1:1" x14ac:dyDescent="0.2">
      <c r="A5262" s="1" t="s">
        <v>1168</v>
      </c>
    </row>
    <row r="5263" spans="1:1" x14ac:dyDescent="0.2">
      <c r="A5263" s="1" t="s">
        <v>1188</v>
      </c>
    </row>
    <row r="5264" spans="1:1" x14ac:dyDescent="0.2">
      <c r="A5264" s="1" t="s">
        <v>1170</v>
      </c>
    </row>
    <row r="5265" spans="1:1" x14ac:dyDescent="0.2">
      <c r="A5265" s="1" t="s">
        <v>1171</v>
      </c>
    </row>
    <row r="5266" spans="1:1" x14ac:dyDescent="0.2">
      <c r="A5266" s="1" t="s">
        <v>1172</v>
      </c>
    </row>
    <row r="5267" spans="1:1" x14ac:dyDescent="0.2">
      <c r="A5267" s="1" t="s">
        <v>1173</v>
      </c>
    </row>
    <row r="5268" spans="1:1" x14ac:dyDescent="0.2">
      <c r="A5268" s="1" t="s">
        <v>1189</v>
      </c>
    </row>
    <row r="5269" spans="1:1" x14ac:dyDescent="0.2">
      <c r="A5269" s="1" t="s">
        <v>1175</v>
      </c>
    </row>
    <row r="5270" spans="1:1" x14ac:dyDescent="0.2">
      <c r="A5270" s="1" t="s">
        <v>1176</v>
      </c>
    </row>
    <row r="5271" spans="1:1" x14ac:dyDescent="0.2">
      <c r="A5271" s="1" t="s">
        <v>1177</v>
      </c>
    </row>
    <row r="5272" spans="1:1" x14ac:dyDescent="0.2">
      <c r="A5272" s="1" t="s">
        <v>1178</v>
      </c>
    </row>
    <row r="5273" spans="1:1" x14ac:dyDescent="0.2">
      <c r="A5273" s="1" t="s">
        <v>1179</v>
      </c>
    </row>
    <row r="5274" spans="1:1" x14ac:dyDescent="0.2">
      <c r="A5274" s="1" t="s">
        <v>1168</v>
      </c>
    </row>
    <row r="5275" spans="1:1" x14ac:dyDescent="0.2">
      <c r="A5275" s="1" t="s">
        <v>1190</v>
      </c>
    </row>
    <row r="5276" spans="1:1" x14ac:dyDescent="0.2">
      <c r="A5276" s="1" t="s">
        <v>1170</v>
      </c>
    </row>
    <row r="5277" spans="1:1" x14ac:dyDescent="0.2">
      <c r="A5277" s="1" t="s">
        <v>1171</v>
      </c>
    </row>
    <row r="5278" spans="1:1" x14ac:dyDescent="0.2">
      <c r="A5278" s="1" t="s">
        <v>1172</v>
      </c>
    </row>
    <row r="5279" spans="1:1" x14ac:dyDescent="0.2">
      <c r="A5279" s="1" t="s">
        <v>1173</v>
      </c>
    </row>
    <row r="5280" spans="1:1" x14ac:dyDescent="0.2">
      <c r="A5280" s="1" t="s">
        <v>1191</v>
      </c>
    </row>
    <row r="5281" spans="1:1" x14ac:dyDescent="0.2">
      <c r="A5281" s="1" t="s">
        <v>1175</v>
      </c>
    </row>
    <row r="5282" spans="1:1" x14ac:dyDescent="0.2">
      <c r="A5282" s="1" t="s">
        <v>1176</v>
      </c>
    </row>
    <row r="5283" spans="1:1" x14ac:dyDescent="0.2">
      <c r="A5283" s="1" t="s">
        <v>1177</v>
      </c>
    </row>
    <row r="5284" spans="1:1" x14ac:dyDescent="0.2">
      <c r="A5284" s="1" t="s">
        <v>1178</v>
      </c>
    </row>
    <row r="5285" spans="1:1" x14ac:dyDescent="0.2">
      <c r="A5285" s="1" t="s">
        <v>1179</v>
      </c>
    </row>
    <row r="5286" spans="1:1" x14ac:dyDescent="0.2">
      <c r="A5286" s="1" t="s">
        <v>1168</v>
      </c>
    </row>
    <row r="5287" spans="1:1" x14ac:dyDescent="0.2">
      <c r="A5287" s="1" t="s">
        <v>1192</v>
      </c>
    </row>
    <row r="5288" spans="1:1" x14ac:dyDescent="0.2">
      <c r="A5288" s="1" t="s">
        <v>1170</v>
      </c>
    </row>
    <row r="5289" spans="1:1" x14ac:dyDescent="0.2">
      <c r="A5289" s="1" t="s">
        <v>1171</v>
      </c>
    </row>
    <row r="5290" spans="1:1" x14ac:dyDescent="0.2">
      <c r="A5290" s="1" t="s">
        <v>1172</v>
      </c>
    </row>
    <row r="5291" spans="1:1" x14ac:dyDescent="0.2">
      <c r="A5291" s="1" t="s">
        <v>1173</v>
      </c>
    </row>
    <row r="5292" spans="1:1" x14ac:dyDescent="0.2">
      <c r="A5292" s="1" t="s">
        <v>1193</v>
      </c>
    </row>
    <row r="5293" spans="1:1" x14ac:dyDescent="0.2">
      <c r="A5293" s="1" t="s">
        <v>1175</v>
      </c>
    </row>
    <row r="5294" spans="1:1" x14ac:dyDescent="0.2">
      <c r="A5294" s="1" t="s">
        <v>1176</v>
      </c>
    </row>
    <row r="5295" spans="1:1" x14ac:dyDescent="0.2">
      <c r="A5295" s="1" t="s">
        <v>1177</v>
      </c>
    </row>
    <row r="5296" spans="1:1" x14ac:dyDescent="0.2">
      <c r="A5296" s="1" t="s">
        <v>1178</v>
      </c>
    </row>
    <row r="5297" spans="1:1" x14ac:dyDescent="0.2">
      <c r="A5297" s="1" t="s">
        <v>1179</v>
      </c>
    </row>
    <row r="5298" spans="1:1" x14ac:dyDescent="0.2">
      <c r="A5298" s="1" t="s">
        <v>1168</v>
      </c>
    </row>
    <row r="5299" spans="1:1" x14ac:dyDescent="0.2">
      <c r="A5299" s="1" t="s">
        <v>1194</v>
      </c>
    </row>
    <row r="5300" spans="1:1" x14ac:dyDescent="0.2">
      <c r="A5300" s="1" t="s">
        <v>1170</v>
      </c>
    </row>
    <row r="5301" spans="1:1" x14ac:dyDescent="0.2">
      <c r="A5301" s="1" t="s">
        <v>1171</v>
      </c>
    </row>
    <row r="5302" spans="1:1" x14ac:dyDescent="0.2">
      <c r="A5302" s="1" t="s">
        <v>1172</v>
      </c>
    </row>
    <row r="5303" spans="1:1" x14ac:dyDescent="0.2">
      <c r="A5303" s="1" t="s">
        <v>1173</v>
      </c>
    </row>
    <row r="5304" spans="1:1" x14ac:dyDescent="0.2">
      <c r="A5304" s="1" t="s">
        <v>1195</v>
      </c>
    </row>
    <row r="5305" spans="1:1" x14ac:dyDescent="0.2">
      <c r="A5305" s="1" t="s">
        <v>1175</v>
      </c>
    </row>
    <row r="5306" spans="1:1" x14ac:dyDescent="0.2">
      <c r="A5306" s="1" t="s">
        <v>1176</v>
      </c>
    </row>
    <row r="5307" spans="1:1" x14ac:dyDescent="0.2">
      <c r="A5307" s="1" t="s">
        <v>1177</v>
      </c>
    </row>
    <row r="5308" spans="1:1" x14ac:dyDescent="0.2">
      <c r="A5308" s="1" t="s">
        <v>1178</v>
      </c>
    </row>
    <row r="5309" spans="1:1" x14ac:dyDescent="0.2">
      <c r="A5309" s="1" t="s">
        <v>1179</v>
      </c>
    </row>
    <row r="5310" spans="1:1" x14ac:dyDescent="0.2">
      <c r="A5310" s="1" t="s">
        <v>1168</v>
      </c>
    </row>
    <row r="5311" spans="1:1" x14ac:dyDescent="0.2">
      <c r="A5311" s="1" t="s">
        <v>1196</v>
      </c>
    </row>
    <row r="5312" spans="1:1" x14ac:dyDescent="0.2">
      <c r="A5312" s="1" t="s">
        <v>1170</v>
      </c>
    </row>
    <row r="5313" spans="1:1" x14ac:dyDescent="0.2">
      <c r="A5313" s="1" t="s">
        <v>1171</v>
      </c>
    </row>
    <row r="5314" spans="1:1" x14ac:dyDescent="0.2">
      <c r="A5314" s="1" t="s">
        <v>1172</v>
      </c>
    </row>
    <row r="5315" spans="1:1" x14ac:dyDescent="0.2">
      <c r="A5315" s="1" t="s">
        <v>1173</v>
      </c>
    </row>
    <row r="5316" spans="1:1" x14ac:dyDescent="0.2">
      <c r="A5316" s="1" t="s">
        <v>1197</v>
      </c>
    </row>
    <row r="5317" spans="1:1" x14ac:dyDescent="0.2">
      <c r="A5317" s="1" t="s">
        <v>1175</v>
      </c>
    </row>
    <row r="5318" spans="1:1" x14ac:dyDescent="0.2">
      <c r="A5318" s="1" t="s">
        <v>1176</v>
      </c>
    </row>
    <row r="5319" spans="1:1" x14ac:dyDescent="0.2">
      <c r="A5319" s="1" t="s">
        <v>1177</v>
      </c>
    </row>
    <row r="5320" spans="1:1" x14ac:dyDescent="0.2">
      <c r="A5320" s="1" t="s">
        <v>1178</v>
      </c>
    </row>
    <row r="5321" spans="1:1" x14ac:dyDescent="0.2">
      <c r="A5321" s="1" t="s">
        <v>1179</v>
      </c>
    </row>
    <row r="5322" spans="1:1" x14ac:dyDescent="0.2">
      <c r="A5322" s="1" t="s">
        <v>1168</v>
      </c>
    </row>
    <row r="5323" spans="1:1" x14ac:dyDescent="0.2">
      <c r="A5323" s="1" t="s">
        <v>1198</v>
      </c>
    </row>
    <row r="5324" spans="1:1" x14ac:dyDescent="0.2">
      <c r="A5324" s="1" t="s">
        <v>1170</v>
      </c>
    </row>
    <row r="5325" spans="1:1" x14ac:dyDescent="0.2">
      <c r="A5325" s="1" t="s">
        <v>1171</v>
      </c>
    </row>
    <row r="5326" spans="1:1" x14ac:dyDescent="0.2">
      <c r="A5326" s="1" t="s">
        <v>1172</v>
      </c>
    </row>
    <row r="5327" spans="1:1" x14ac:dyDescent="0.2">
      <c r="A5327" s="1" t="s">
        <v>1173</v>
      </c>
    </row>
    <row r="5328" spans="1:1" x14ac:dyDescent="0.2">
      <c r="A5328" s="1" t="s">
        <v>1199</v>
      </c>
    </row>
    <row r="5329" spans="1:1" x14ac:dyDescent="0.2">
      <c r="A5329" s="1" t="s">
        <v>1175</v>
      </c>
    </row>
    <row r="5330" spans="1:1" x14ac:dyDescent="0.2">
      <c r="A5330" s="1" t="s">
        <v>1176</v>
      </c>
    </row>
    <row r="5331" spans="1:1" x14ac:dyDescent="0.2">
      <c r="A5331" s="1" t="s">
        <v>1177</v>
      </c>
    </row>
    <row r="5332" spans="1:1" x14ac:dyDescent="0.2">
      <c r="A5332" s="1" t="s">
        <v>1178</v>
      </c>
    </row>
    <row r="5333" spans="1:1" x14ac:dyDescent="0.2">
      <c r="A5333" s="1" t="s">
        <v>1179</v>
      </c>
    </row>
    <row r="5334" spans="1:1" x14ac:dyDescent="0.2">
      <c r="A5334" s="1" t="s">
        <v>1168</v>
      </c>
    </row>
    <row r="5335" spans="1:1" x14ac:dyDescent="0.2">
      <c r="A5335" s="1" t="s">
        <v>1200</v>
      </c>
    </row>
    <row r="5336" spans="1:1" x14ac:dyDescent="0.2">
      <c r="A5336" s="1" t="s">
        <v>1170</v>
      </c>
    </row>
    <row r="5337" spans="1:1" x14ac:dyDescent="0.2">
      <c r="A5337" s="1" t="s">
        <v>1171</v>
      </c>
    </row>
    <row r="5338" spans="1:1" x14ac:dyDescent="0.2">
      <c r="A5338" s="1" t="s">
        <v>1172</v>
      </c>
    </row>
    <row r="5339" spans="1:1" x14ac:dyDescent="0.2">
      <c r="A5339" s="1" t="s">
        <v>1173</v>
      </c>
    </row>
    <row r="5340" spans="1:1" x14ac:dyDescent="0.2">
      <c r="A5340" s="1" t="s">
        <v>1201</v>
      </c>
    </row>
    <row r="5341" spans="1:1" x14ac:dyDescent="0.2">
      <c r="A5341" s="1" t="s">
        <v>1175</v>
      </c>
    </row>
    <row r="5342" spans="1:1" x14ac:dyDescent="0.2">
      <c r="A5342" s="1" t="s">
        <v>1176</v>
      </c>
    </row>
    <row r="5343" spans="1:1" x14ac:dyDescent="0.2">
      <c r="A5343" s="1" t="s">
        <v>1177</v>
      </c>
    </row>
    <row r="5344" spans="1:1" x14ac:dyDescent="0.2">
      <c r="A5344" s="1" t="s">
        <v>1178</v>
      </c>
    </row>
    <row r="5345" spans="1:1" x14ac:dyDescent="0.2">
      <c r="A5345" s="1" t="s">
        <v>1179</v>
      </c>
    </row>
    <row r="5346" spans="1:1" x14ac:dyDescent="0.2">
      <c r="A5346" s="1" t="s">
        <v>1202</v>
      </c>
    </row>
    <row r="5347" spans="1:1" x14ac:dyDescent="0.2">
      <c r="A5347" s="1" t="s">
        <v>1203</v>
      </c>
    </row>
    <row r="5348" spans="1:1" x14ac:dyDescent="0.2">
      <c r="A5348" s="1" t="s">
        <v>1204</v>
      </c>
    </row>
    <row r="5349" spans="1:1" x14ac:dyDescent="0.2">
      <c r="A5349" s="1" t="s">
        <v>1205</v>
      </c>
    </row>
    <row r="5350" spans="1:1" x14ac:dyDescent="0.2">
      <c r="A5350" s="1" t="s">
        <v>1206</v>
      </c>
    </row>
    <row r="5351" spans="1:1" x14ac:dyDescent="0.2">
      <c r="A5351" s="1" t="s">
        <v>1207</v>
      </c>
    </row>
    <row r="5352" spans="1:1" x14ac:dyDescent="0.2">
      <c r="A5352" s="1" t="s">
        <v>1208</v>
      </c>
    </row>
    <row r="5353" spans="1:1" x14ac:dyDescent="0.2">
      <c r="A5353" s="1" t="s">
        <v>1209</v>
      </c>
    </row>
    <row r="5354" spans="1:1" x14ac:dyDescent="0.2">
      <c r="A5354" s="1" t="s">
        <v>1210</v>
      </c>
    </row>
    <row r="5355" spans="1:1" x14ac:dyDescent="0.2">
      <c r="A5355" s="1" t="s">
        <v>1211</v>
      </c>
    </row>
    <row r="5356" spans="1:1" x14ac:dyDescent="0.2">
      <c r="A5356" s="1" t="s">
        <v>1212</v>
      </c>
    </row>
    <row r="5357" spans="1:1" x14ac:dyDescent="0.2">
      <c r="A5357" s="1" t="s">
        <v>1213</v>
      </c>
    </row>
    <row r="5358" spans="1:1" x14ac:dyDescent="0.2">
      <c r="A5358" s="1" t="s">
        <v>1202</v>
      </c>
    </row>
    <row r="5359" spans="1:1" x14ac:dyDescent="0.2">
      <c r="A5359" s="1" t="s">
        <v>1214</v>
      </c>
    </row>
    <row r="5360" spans="1:1" x14ac:dyDescent="0.2">
      <c r="A5360" s="1" t="s">
        <v>1204</v>
      </c>
    </row>
    <row r="5361" spans="1:1" x14ac:dyDescent="0.2">
      <c r="A5361" s="1" t="s">
        <v>1205</v>
      </c>
    </row>
    <row r="5362" spans="1:1" x14ac:dyDescent="0.2">
      <c r="A5362" s="1" t="s">
        <v>1206</v>
      </c>
    </row>
    <row r="5363" spans="1:1" x14ac:dyDescent="0.2">
      <c r="A5363" s="1" t="s">
        <v>1207</v>
      </c>
    </row>
    <row r="5364" spans="1:1" x14ac:dyDescent="0.2">
      <c r="A5364" s="1" t="s">
        <v>1215</v>
      </c>
    </row>
    <row r="5365" spans="1:1" x14ac:dyDescent="0.2">
      <c r="A5365" s="1" t="s">
        <v>1209</v>
      </c>
    </row>
    <row r="5366" spans="1:1" x14ac:dyDescent="0.2">
      <c r="A5366" s="1" t="s">
        <v>1210</v>
      </c>
    </row>
    <row r="5367" spans="1:1" x14ac:dyDescent="0.2">
      <c r="A5367" s="1" t="s">
        <v>1211</v>
      </c>
    </row>
    <row r="5368" spans="1:1" x14ac:dyDescent="0.2">
      <c r="A5368" s="1" t="s">
        <v>1212</v>
      </c>
    </row>
    <row r="5369" spans="1:1" x14ac:dyDescent="0.2">
      <c r="A5369" s="1" t="s">
        <v>1213</v>
      </c>
    </row>
    <row r="5370" spans="1:1" x14ac:dyDescent="0.2">
      <c r="A5370" s="1" t="s">
        <v>1202</v>
      </c>
    </row>
    <row r="5371" spans="1:1" x14ac:dyDescent="0.2">
      <c r="A5371" s="1" t="s">
        <v>1216</v>
      </c>
    </row>
    <row r="5372" spans="1:1" x14ac:dyDescent="0.2">
      <c r="A5372" s="1" t="s">
        <v>1204</v>
      </c>
    </row>
    <row r="5373" spans="1:1" x14ac:dyDescent="0.2">
      <c r="A5373" s="1" t="s">
        <v>1205</v>
      </c>
    </row>
    <row r="5374" spans="1:1" x14ac:dyDescent="0.2">
      <c r="A5374" s="1" t="s">
        <v>1206</v>
      </c>
    </row>
    <row r="5375" spans="1:1" x14ac:dyDescent="0.2">
      <c r="A5375" s="1" t="s">
        <v>1207</v>
      </c>
    </row>
    <row r="5376" spans="1:1" x14ac:dyDescent="0.2">
      <c r="A5376" s="1" t="s">
        <v>1217</v>
      </c>
    </row>
    <row r="5377" spans="1:1" x14ac:dyDescent="0.2">
      <c r="A5377" s="1" t="s">
        <v>1209</v>
      </c>
    </row>
    <row r="5378" spans="1:1" x14ac:dyDescent="0.2">
      <c r="A5378" s="1" t="s">
        <v>1210</v>
      </c>
    </row>
    <row r="5379" spans="1:1" x14ac:dyDescent="0.2">
      <c r="A5379" s="1" t="s">
        <v>1211</v>
      </c>
    </row>
    <row r="5380" spans="1:1" x14ac:dyDescent="0.2">
      <c r="A5380" s="1" t="s">
        <v>1212</v>
      </c>
    </row>
    <row r="5381" spans="1:1" x14ac:dyDescent="0.2">
      <c r="A5381" s="1" t="s">
        <v>1213</v>
      </c>
    </row>
    <row r="5382" spans="1:1" x14ac:dyDescent="0.2">
      <c r="A5382" s="1" t="s">
        <v>1202</v>
      </c>
    </row>
    <row r="5383" spans="1:1" x14ac:dyDescent="0.2">
      <c r="A5383" s="1" t="s">
        <v>1218</v>
      </c>
    </row>
    <row r="5384" spans="1:1" x14ac:dyDescent="0.2">
      <c r="A5384" s="1" t="s">
        <v>1204</v>
      </c>
    </row>
    <row r="5385" spans="1:1" x14ac:dyDescent="0.2">
      <c r="A5385" s="1" t="s">
        <v>1205</v>
      </c>
    </row>
    <row r="5386" spans="1:1" x14ac:dyDescent="0.2">
      <c r="A5386" s="1" t="s">
        <v>1206</v>
      </c>
    </row>
    <row r="5387" spans="1:1" x14ac:dyDescent="0.2">
      <c r="A5387" s="1" t="s">
        <v>1207</v>
      </c>
    </row>
    <row r="5388" spans="1:1" x14ac:dyDescent="0.2">
      <c r="A5388" s="1" t="s">
        <v>1219</v>
      </c>
    </row>
    <row r="5389" spans="1:1" x14ac:dyDescent="0.2">
      <c r="A5389" s="1" t="s">
        <v>1209</v>
      </c>
    </row>
    <row r="5390" spans="1:1" x14ac:dyDescent="0.2">
      <c r="A5390" s="1" t="s">
        <v>1210</v>
      </c>
    </row>
    <row r="5391" spans="1:1" x14ac:dyDescent="0.2">
      <c r="A5391" s="1" t="s">
        <v>1211</v>
      </c>
    </row>
    <row r="5392" spans="1:1" x14ac:dyDescent="0.2">
      <c r="A5392" s="1" t="s">
        <v>1212</v>
      </c>
    </row>
    <row r="5393" spans="1:1" x14ac:dyDescent="0.2">
      <c r="A5393" s="1" t="s">
        <v>1213</v>
      </c>
    </row>
    <row r="5394" spans="1:1" x14ac:dyDescent="0.2">
      <c r="A5394" s="1" t="s">
        <v>1202</v>
      </c>
    </row>
    <row r="5395" spans="1:1" x14ac:dyDescent="0.2">
      <c r="A5395" s="1" t="s">
        <v>1220</v>
      </c>
    </row>
    <row r="5396" spans="1:1" x14ac:dyDescent="0.2">
      <c r="A5396" s="1" t="s">
        <v>1204</v>
      </c>
    </row>
    <row r="5397" spans="1:1" x14ac:dyDescent="0.2">
      <c r="A5397" s="1" t="s">
        <v>1205</v>
      </c>
    </row>
    <row r="5398" spans="1:1" x14ac:dyDescent="0.2">
      <c r="A5398" s="1" t="s">
        <v>1206</v>
      </c>
    </row>
    <row r="5399" spans="1:1" x14ac:dyDescent="0.2">
      <c r="A5399" s="1" t="s">
        <v>1207</v>
      </c>
    </row>
    <row r="5400" spans="1:1" x14ac:dyDescent="0.2">
      <c r="A5400" s="1" t="s">
        <v>1221</v>
      </c>
    </row>
    <row r="5401" spans="1:1" x14ac:dyDescent="0.2">
      <c r="A5401" s="1" t="s">
        <v>1209</v>
      </c>
    </row>
    <row r="5402" spans="1:1" x14ac:dyDescent="0.2">
      <c r="A5402" s="1" t="s">
        <v>1210</v>
      </c>
    </row>
    <row r="5403" spans="1:1" x14ac:dyDescent="0.2">
      <c r="A5403" s="1" t="s">
        <v>1211</v>
      </c>
    </row>
    <row r="5404" spans="1:1" x14ac:dyDescent="0.2">
      <c r="A5404" s="1" t="s">
        <v>1212</v>
      </c>
    </row>
    <row r="5405" spans="1:1" x14ac:dyDescent="0.2">
      <c r="A5405" s="1" t="s">
        <v>1213</v>
      </c>
    </row>
    <row r="5406" spans="1:1" x14ac:dyDescent="0.2">
      <c r="A5406" s="1" t="s">
        <v>1222</v>
      </c>
    </row>
    <row r="5407" spans="1:1" x14ac:dyDescent="0.2">
      <c r="A5407" s="1" t="s">
        <v>1223</v>
      </c>
    </row>
    <row r="5408" spans="1:1" x14ac:dyDescent="0.2">
      <c r="A5408" s="1" t="s">
        <v>1224</v>
      </c>
    </row>
    <row r="5409" spans="1:1" x14ac:dyDescent="0.2">
      <c r="A5409" s="1" t="s">
        <v>1225</v>
      </c>
    </row>
    <row r="5410" spans="1:1" x14ac:dyDescent="0.2">
      <c r="A5410" s="1" t="s">
        <v>1226</v>
      </c>
    </row>
    <row r="5411" spans="1:1" x14ac:dyDescent="0.2">
      <c r="A5411" s="1" t="s">
        <v>1227</v>
      </c>
    </row>
    <row r="5412" spans="1:1" x14ac:dyDescent="0.2">
      <c r="A5412" s="1" t="s">
        <v>1228</v>
      </c>
    </row>
    <row r="5413" spans="1:1" x14ac:dyDescent="0.2">
      <c r="A5413" s="1" t="s">
        <v>1229</v>
      </c>
    </row>
    <row r="5414" spans="1:1" x14ac:dyDescent="0.2">
      <c r="A5414" s="1" t="s">
        <v>1230</v>
      </c>
    </row>
    <row r="5415" spans="1:1" x14ac:dyDescent="0.2">
      <c r="A5415" s="1" t="s">
        <v>1231</v>
      </c>
    </row>
    <row r="5416" spans="1:1" x14ac:dyDescent="0.2">
      <c r="A5416" s="1" t="s">
        <v>1232</v>
      </c>
    </row>
    <row r="5417" spans="1:1" x14ac:dyDescent="0.2">
      <c r="A5417" s="1" t="s">
        <v>1233</v>
      </c>
    </row>
    <row r="5418" spans="1:1" x14ac:dyDescent="0.2">
      <c r="A5418" s="1" t="s">
        <v>1222</v>
      </c>
    </row>
    <row r="5419" spans="1:1" x14ac:dyDescent="0.2">
      <c r="A5419" s="1" t="s">
        <v>1234</v>
      </c>
    </row>
    <row r="5420" spans="1:1" x14ac:dyDescent="0.2">
      <c r="A5420" s="1" t="s">
        <v>1224</v>
      </c>
    </row>
    <row r="5421" spans="1:1" x14ac:dyDescent="0.2">
      <c r="A5421" s="1" t="s">
        <v>1225</v>
      </c>
    </row>
    <row r="5422" spans="1:1" x14ac:dyDescent="0.2">
      <c r="A5422" s="1" t="s">
        <v>1226</v>
      </c>
    </row>
    <row r="5423" spans="1:1" x14ac:dyDescent="0.2">
      <c r="A5423" s="1" t="s">
        <v>1227</v>
      </c>
    </row>
    <row r="5424" spans="1:1" x14ac:dyDescent="0.2">
      <c r="A5424" s="1" t="s">
        <v>1235</v>
      </c>
    </row>
    <row r="5425" spans="1:1" x14ac:dyDescent="0.2">
      <c r="A5425" s="1" t="s">
        <v>1236</v>
      </c>
    </row>
    <row r="5426" spans="1:1" x14ac:dyDescent="0.2">
      <c r="A5426" s="1" t="s">
        <v>1235</v>
      </c>
    </row>
    <row r="5427" spans="1:1" x14ac:dyDescent="0.2">
      <c r="A5427" s="1" t="s">
        <v>1236</v>
      </c>
    </row>
    <row r="5428" spans="1:1" x14ac:dyDescent="0.2">
      <c r="A5428" s="1" t="s">
        <v>1237</v>
      </c>
    </row>
    <row r="5429" spans="1:1" x14ac:dyDescent="0.2">
      <c r="A5429" s="1" t="s">
        <v>1238</v>
      </c>
    </row>
    <row r="5430" spans="1:1" x14ac:dyDescent="0.2">
      <c r="A5430" s="1" t="s">
        <v>1239</v>
      </c>
    </row>
    <row r="5431" spans="1:1" x14ac:dyDescent="0.2">
      <c r="A5431" s="1" t="s">
        <v>1240</v>
      </c>
    </row>
    <row r="5432" spans="1:1" x14ac:dyDescent="0.2">
      <c r="A5432" s="1" t="s">
        <v>1241</v>
      </c>
    </row>
    <row r="5433" spans="1:1" x14ac:dyDescent="0.2">
      <c r="A5433" s="1" t="s">
        <v>1242</v>
      </c>
    </row>
    <row r="5434" spans="1:1" x14ac:dyDescent="0.2">
      <c r="A5434" s="1" t="s">
        <v>1243</v>
      </c>
    </row>
    <row r="5435" spans="1:1" x14ac:dyDescent="0.2">
      <c r="A5435" s="1" t="s">
        <v>1244</v>
      </c>
    </row>
    <row r="5436" spans="1:1" x14ac:dyDescent="0.2">
      <c r="A5436" s="1" t="s">
        <v>1235</v>
      </c>
    </row>
    <row r="5437" spans="1:1" x14ac:dyDescent="0.2">
      <c r="A5437" s="1" t="s">
        <v>1236</v>
      </c>
    </row>
    <row r="5438" spans="1:1" x14ac:dyDescent="0.2">
      <c r="A5438" s="1" t="s">
        <v>1235</v>
      </c>
    </row>
    <row r="5439" spans="1:1" x14ac:dyDescent="0.2">
      <c r="A5439" s="1" t="s">
        <v>1236</v>
      </c>
    </row>
    <row r="5440" spans="1:1" x14ac:dyDescent="0.2">
      <c r="A5440" s="1" t="s">
        <v>1235</v>
      </c>
    </row>
    <row r="5441" spans="1:1" x14ac:dyDescent="0.2">
      <c r="A5441" s="1" t="s">
        <v>1236</v>
      </c>
    </row>
    <row r="5442" spans="1:1" x14ac:dyDescent="0.2">
      <c r="A5442" s="1" t="s">
        <v>1237</v>
      </c>
    </row>
    <row r="5443" spans="1:1" x14ac:dyDescent="0.2">
      <c r="A5443" s="1" t="s">
        <v>1238</v>
      </c>
    </row>
    <row r="5444" spans="1:1" x14ac:dyDescent="0.2">
      <c r="A5444" s="1" t="s">
        <v>1239</v>
      </c>
    </row>
    <row r="5445" spans="1:1" x14ac:dyDescent="0.2">
      <c r="A5445" s="1" t="s">
        <v>1240</v>
      </c>
    </row>
    <row r="5446" spans="1:1" x14ac:dyDescent="0.2">
      <c r="A5446" s="1" t="s">
        <v>1241</v>
      </c>
    </row>
    <row r="5447" spans="1:1" x14ac:dyDescent="0.2">
      <c r="A5447" s="1" t="s">
        <v>1242</v>
      </c>
    </row>
    <row r="5448" spans="1:1" x14ac:dyDescent="0.2">
      <c r="A5448" s="1" t="s">
        <v>1243</v>
      </c>
    </row>
    <row r="5449" spans="1:1" x14ac:dyDescent="0.2">
      <c r="A5449" s="1" t="s">
        <v>1244</v>
      </c>
    </row>
    <row r="5450" spans="1:1" x14ac:dyDescent="0.2">
      <c r="A5450" s="1" t="s">
        <v>1235</v>
      </c>
    </row>
    <row r="5451" spans="1:1" x14ac:dyDescent="0.2">
      <c r="A5451" s="1" t="s">
        <v>1236</v>
      </c>
    </row>
    <row r="5452" spans="1:1" x14ac:dyDescent="0.2">
      <c r="A5452" s="1" t="s">
        <v>1235</v>
      </c>
    </row>
    <row r="5453" spans="1:1" x14ac:dyDescent="0.2">
      <c r="A5453" s="1" t="s">
        <v>1236</v>
      </c>
    </row>
    <row r="5454" spans="1:1" x14ac:dyDescent="0.2">
      <c r="A5454" s="1" t="s">
        <v>1235</v>
      </c>
    </row>
    <row r="5455" spans="1:1" x14ac:dyDescent="0.2">
      <c r="A5455" s="1" t="s">
        <v>1236</v>
      </c>
    </row>
    <row r="5456" spans="1:1" x14ac:dyDescent="0.2">
      <c r="A5456" s="1" t="s">
        <v>1237</v>
      </c>
    </row>
    <row r="5457" spans="1:1" x14ac:dyDescent="0.2">
      <c r="A5457" s="1" t="s">
        <v>1238</v>
      </c>
    </row>
    <row r="5458" spans="1:1" x14ac:dyDescent="0.2">
      <c r="A5458" s="1" t="s">
        <v>1239</v>
      </c>
    </row>
    <row r="5459" spans="1:1" x14ac:dyDescent="0.2">
      <c r="A5459" s="1" t="s">
        <v>1240</v>
      </c>
    </row>
    <row r="5460" spans="1:1" x14ac:dyDescent="0.2">
      <c r="A5460" s="1" t="s">
        <v>1241</v>
      </c>
    </row>
    <row r="5461" spans="1:1" x14ac:dyDescent="0.2">
      <c r="A5461" s="1" t="s">
        <v>1242</v>
      </c>
    </row>
    <row r="5462" spans="1:1" x14ac:dyDescent="0.2">
      <c r="A5462" s="1" t="s">
        <v>1243</v>
      </c>
    </row>
    <row r="5463" spans="1:1" x14ac:dyDescent="0.2">
      <c r="A5463" s="1" t="s">
        <v>1244</v>
      </c>
    </row>
    <row r="5464" spans="1:1" x14ac:dyDescent="0.2">
      <c r="A5464" s="1" t="s">
        <v>1235</v>
      </c>
    </row>
    <row r="5465" spans="1:1" x14ac:dyDescent="0.2">
      <c r="A5465" s="1" t="s">
        <v>1236</v>
      </c>
    </row>
    <row r="5466" spans="1:1" x14ac:dyDescent="0.2">
      <c r="A5466" s="1" t="s">
        <v>1235</v>
      </c>
    </row>
    <row r="5467" spans="1:1" x14ac:dyDescent="0.2">
      <c r="A5467" s="1" t="s">
        <v>1236</v>
      </c>
    </row>
    <row r="5468" spans="1:1" x14ac:dyDescent="0.2">
      <c r="A5468" s="1" t="s">
        <v>1235</v>
      </c>
    </row>
    <row r="5469" spans="1:1" x14ac:dyDescent="0.2">
      <c r="A5469" s="1" t="s">
        <v>1236</v>
      </c>
    </row>
    <row r="5470" spans="1:1" x14ac:dyDescent="0.2">
      <c r="A5470" s="1" t="s">
        <v>1237</v>
      </c>
    </row>
    <row r="5471" spans="1:1" x14ac:dyDescent="0.2">
      <c r="A5471" s="1" t="s">
        <v>1238</v>
      </c>
    </row>
    <row r="5472" spans="1:1" x14ac:dyDescent="0.2">
      <c r="A5472" s="1" t="s">
        <v>1239</v>
      </c>
    </row>
    <row r="5473" spans="1:1" x14ac:dyDescent="0.2">
      <c r="A5473" s="1" t="s">
        <v>1240</v>
      </c>
    </row>
    <row r="5474" spans="1:1" x14ac:dyDescent="0.2">
      <c r="A5474" s="1" t="s">
        <v>1241</v>
      </c>
    </row>
    <row r="5475" spans="1:1" x14ac:dyDescent="0.2">
      <c r="A5475" s="1" t="s">
        <v>1242</v>
      </c>
    </row>
    <row r="5476" spans="1:1" x14ac:dyDescent="0.2">
      <c r="A5476" s="1" t="s">
        <v>1243</v>
      </c>
    </row>
    <row r="5477" spans="1:1" x14ac:dyDescent="0.2">
      <c r="A5477" s="1" t="s">
        <v>1244</v>
      </c>
    </row>
    <row r="5478" spans="1:1" x14ac:dyDescent="0.2">
      <c r="A5478" s="1" t="s">
        <v>1235</v>
      </c>
    </row>
    <row r="5479" spans="1:1" x14ac:dyDescent="0.2">
      <c r="A5479" s="1" t="s">
        <v>1236</v>
      </c>
    </row>
    <row r="5480" spans="1:1" x14ac:dyDescent="0.2">
      <c r="A5480" s="1" t="s">
        <v>1235</v>
      </c>
    </row>
    <row r="5481" spans="1:1" x14ac:dyDescent="0.2">
      <c r="A5481" s="1" t="s">
        <v>1236</v>
      </c>
    </row>
    <row r="5482" spans="1:1" x14ac:dyDescent="0.2">
      <c r="A5482" s="1" t="s">
        <v>1235</v>
      </c>
    </row>
    <row r="5483" spans="1:1" x14ac:dyDescent="0.2">
      <c r="A5483" s="1" t="s">
        <v>1236</v>
      </c>
    </row>
    <row r="5484" spans="1:1" x14ac:dyDescent="0.2">
      <c r="A5484" s="1" t="s">
        <v>1237</v>
      </c>
    </row>
    <row r="5485" spans="1:1" x14ac:dyDescent="0.2">
      <c r="A5485" s="1" t="s">
        <v>1238</v>
      </c>
    </row>
    <row r="5486" spans="1:1" x14ac:dyDescent="0.2">
      <c r="A5486" s="1" t="s">
        <v>1239</v>
      </c>
    </row>
    <row r="5487" spans="1:1" x14ac:dyDescent="0.2">
      <c r="A5487" s="1" t="s">
        <v>1240</v>
      </c>
    </row>
    <row r="5488" spans="1:1" x14ac:dyDescent="0.2">
      <c r="A5488" s="1" t="s">
        <v>1241</v>
      </c>
    </row>
    <row r="5489" spans="1:1" x14ac:dyDescent="0.2">
      <c r="A5489" s="1" t="s">
        <v>1242</v>
      </c>
    </row>
    <row r="5490" spans="1:1" x14ac:dyDescent="0.2">
      <c r="A5490" s="1" t="s">
        <v>1243</v>
      </c>
    </row>
    <row r="5491" spans="1:1" x14ac:dyDescent="0.2">
      <c r="A5491" s="1" t="s">
        <v>1244</v>
      </c>
    </row>
    <row r="5492" spans="1:1" x14ac:dyDescent="0.2">
      <c r="A5492" s="1" t="s">
        <v>1235</v>
      </c>
    </row>
    <row r="5493" spans="1:1" x14ac:dyDescent="0.2">
      <c r="A5493" s="1" t="s">
        <v>1236</v>
      </c>
    </row>
    <row r="5494" spans="1:1" x14ac:dyDescent="0.2">
      <c r="A5494" s="1" t="s">
        <v>1235</v>
      </c>
    </row>
    <row r="5495" spans="1:1" x14ac:dyDescent="0.2">
      <c r="A5495" s="1" t="s">
        <v>1236</v>
      </c>
    </row>
    <row r="5496" spans="1:1" x14ac:dyDescent="0.2">
      <c r="A5496" s="1" t="s">
        <v>1235</v>
      </c>
    </row>
    <row r="5497" spans="1:1" x14ac:dyDescent="0.2">
      <c r="A5497" s="1" t="s">
        <v>1236</v>
      </c>
    </row>
    <row r="5498" spans="1:1" x14ac:dyDescent="0.2">
      <c r="A5498" s="1" t="s">
        <v>1245</v>
      </c>
    </row>
    <row r="5499" spans="1:1" x14ac:dyDescent="0.2">
      <c r="A5499" s="1" t="s">
        <v>1246</v>
      </c>
    </row>
    <row r="5500" spans="1:1" x14ac:dyDescent="0.2">
      <c r="A5500" s="1" t="s">
        <v>1247</v>
      </c>
    </row>
    <row r="5501" spans="1:1" x14ac:dyDescent="0.2">
      <c r="A5501" s="1" t="s">
        <v>1248</v>
      </c>
    </row>
    <row r="5502" spans="1:1" x14ac:dyDescent="0.2">
      <c r="A5502" s="1" t="s">
        <v>1249</v>
      </c>
    </row>
    <row r="5503" spans="1:1" x14ac:dyDescent="0.2">
      <c r="A5503" s="1" t="s">
        <v>1250</v>
      </c>
    </row>
    <row r="5504" spans="1:1" x14ac:dyDescent="0.2">
      <c r="A5504" s="1" t="s">
        <v>1251</v>
      </c>
    </row>
    <row r="5505" spans="1:1" x14ac:dyDescent="0.2">
      <c r="A5505" s="1" t="s">
        <v>1252</v>
      </c>
    </row>
    <row r="5506" spans="1:1" x14ac:dyDescent="0.2">
      <c r="A5506" s="1" t="s">
        <v>1253</v>
      </c>
    </row>
    <row r="5507" spans="1:1" x14ac:dyDescent="0.2">
      <c r="A5507" s="1" t="s">
        <v>1254</v>
      </c>
    </row>
    <row r="5508" spans="1:1" x14ac:dyDescent="0.2">
      <c r="A5508" s="1" t="s">
        <v>1253</v>
      </c>
    </row>
    <row r="5509" spans="1:1" x14ac:dyDescent="0.2">
      <c r="A5509" s="1" t="s">
        <v>1254</v>
      </c>
    </row>
    <row r="5510" spans="1:1" x14ac:dyDescent="0.2">
      <c r="A5510" s="1" t="s">
        <v>1253</v>
      </c>
    </row>
    <row r="5511" spans="1:1" x14ac:dyDescent="0.2">
      <c r="A5511" s="1" t="s">
        <v>1254</v>
      </c>
    </row>
    <row r="5512" spans="1:1" x14ac:dyDescent="0.2">
      <c r="A5512" s="1" t="s">
        <v>1245</v>
      </c>
    </row>
    <row r="5513" spans="1:1" x14ac:dyDescent="0.2">
      <c r="A5513" s="1" t="s">
        <v>1246</v>
      </c>
    </row>
    <row r="5514" spans="1:1" x14ac:dyDescent="0.2">
      <c r="A5514" s="1" t="s">
        <v>1247</v>
      </c>
    </row>
    <row r="5515" spans="1:1" x14ac:dyDescent="0.2">
      <c r="A5515" s="1" t="s">
        <v>1248</v>
      </c>
    </row>
    <row r="5516" spans="1:1" x14ac:dyDescent="0.2">
      <c r="A5516" s="1" t="s">
        <v>1249</v>
      </c>
    </row>
    <row r="5517" spans="1:1" x14ac:dyDescent="0.2">
      <c r="A5517" s="1" t="s">
        <v>1250</v>
      </c>
    </row>
    <row r="5518" spans="1:1" x14ac:dyDescent="0.2">
      <c r="A5518" s="1" t="s">
        <v>1251</v>
      </c>
    </row>
    <row r="5519" spans="1:1" x14ac:dyDescent="0.2">
      <c r="A5519" s="1" t="s">
        <v>1252</v>
      </c>
    </row>
    <row r="5520" spans="1:1" x14ac:dyDescent="0.2">
      <c r="A5520" s="1" t="s">
        <v>1253</v>
      </c>
    </row>
    <row r="5521" spans="1:1" x14ac:dyDescent="0.2">
      <c r="A5521" s="1" t="s">
        <v>1254</v>
      </c>
    </row>
    <row r="5522" spans="1:1" x14ac:dyDescent="0.2">
      <c r="A5522" s="1" t="s">
        <v>1253</v>
      </c>
    </row>
    <row r="5523" spans="1:1" x14ac:dyDescent="0.2">
      <c r="A5523" s="1" t="s">
        <v>1254</v>
      </c>
    </row>
    <row r="5524" spans="1:1" x14ac:dyDescent="0.2">
      <c r="A5524" s="1" t="s">
        <v>1253</v>
      </c>
    </row>
    <row r="5525" spans="1:1" x14ac:dyDescent="0.2">
      <c r="A5525" s="1" t="s">
        <v>1254</v>
      </c>
    </row>
    <row r="5526" spans="1:1" x14ac:dyDescent="0.2">
      <c r="A5526" s="1" t="s">
        <v>1245</v>
      </c>
    </row>
    <row r="5527" spans="1:1" x14ac:dyDescent="0.2">
      <c r="A5527" s="1" t="s">
        <v>1246</v>
      </c>
    </row>
    <row r="5528" spans="1:1" x14ac:dyDescent="0.2">
      <c r="A5528" s="1" t="s">
        <v>1247</v>
      </c>
    </row>
    <row r="5529" spans="1:1" x14ac:dyDescent="0.2">
      <c r="A5529" s="1" t="s">
        <v>1248</v>
      </c>
    </row>
    <row r="5530" spans="1:1" x14ac:dyDescent="0.2">
      <c r="A5530" s="1" t="s">
        <v>1249</v>
      </c>
    </row>
    <row r="5531" spans="1:1" x14ac:dyDescent="0.2">
      <c r="A5531" s="1" t="s">
        <v>1250</v>
      </c>
    </row>
    <row r="5532" spans="1:1" x14ac:dyDescent="0.2">
      <c r="A5532" s="1" t="s">
        <v>1251</v>
      </c>
    </row>
    <row r="5533" spans="1:1" x14ac:dyDescent="0.2">
      <c r="A5533" s="1" t="s">
        <v>1252</v>
      </c>
    </row>
    <row r="5534" spans="1:1" x14ac:dyDescent="0.2">
      <c r="A5534" s="1" t="s">
        <v>1253</v>
      </c>
    </row>
    <row r="5535" spans="1:1" x14ac:dyDescent="0.2">
      <c r="A5535" s="1" t="s">
        <v>1254</v>
      </c>
    </row>
    <row r="5536" spans="1:1" x14ac:dyDescent="0.2">
      <c r="A5536" s="1" t="s">
        <v>1255</v>
      </c>
    </row>
    <row r="5537" spans="1:1" x14ac:dyDescent="0.2">
      <c r="A5537" s="1" t="s">
        <v>1256</v>
      </c>
    </row>
    <row r="5538" spans="1:1" x14ac:dyDescent="0.2">
      <c r="A5538" s="1" t="s">
        <v>1257</v>
      </c>
    </row>
    <row r="5539" spans="1:1" x14ac:dyDescent="0.2">
      <c r="A5539" s="1" t="s">
        <v>1258</v>
      </c>
    </row>
    <row r="5540" spans="1:1" x14ac:dyDescent="0.2">
      <c r="A5540" s="1" t="s">
        <v>1259</v>
      </c>
    </row>
    <row r="5541" spans="1:1" x14ac:dyDescent="0.2">
      <c r="A5541" s="1" t="s">
        <v>1260</v>
      </c>
    </row>
    <row r="5542" spans="1:1" x14ac:dyDescent="0.2">
      <c r="A5542" s="1" t="s">
        <v>1261</v>
      </c>
    </row>
    <row r="5543" spans="1:1" x14ac:dyDescent="0.2">
      <c r="A5543" s="1" t="s">
        <v>1262</v>
      </c>
    </row>
    <row r="5544" spans="1:1" x14ac:dyDescent="0.2">
      <c r="A5544" s="1" t="s">
        <v>1263</v>
      </c>
    </row>
    <row r="5545" spans="1:1" x14ac:dyDescent="0.2">
      <c r="A5545" s="1" t="s">
        <v>1264</v>
      </c>
    </row>
    <row r="5546" spans="1:1" x14ac:dyDescent="0.2">
      <c r="A5546" s="1" t="s">
        <v>1265</v>
      </c>
    </row>
    <row r="5547" spans="1:1" x14ac:dyDescent="0.2">
      <c r="A5547" s="1" t="s">
        <v>1266</v>
      </c>
    </row>
    <row r="5548" spans="1:1" x14ac:dyDescent="0.2">
      <c r="A5548" s="1" t="s">
        <v>1255</v>
      </c>
    </row>
    <row r="5549" spans="1:1" x14ac:dyDescent="0.2">
      <c r="A5549" s="1" t="s">
        <v>1267</v>
      </c>
    </row>
    <row r="5550" spans="1:1" x14ac:dyDescent="0.2">
      <c r="A5550" s="1" t="s">
        <v>1257</v>
      </c>
    </row>
    <row r="5551" spans="1:1" x14ac:dyDescent="0.2">
      <c r="A5551" s="1" t="s">
        <v>1258</v>
      </c>
    </row>
    <row r="5552" spans="1:1" x14ac:dyDescent="0.2">
      <c r="A5552" s="1" t="s">
        <v>1259</v>
      </c>
    </row>
    <row r="5553" spans="1:1" x14ac:dyDescent="0.2">
      <c r="A5553" s="1" t="s">
        <v>1260</v>
      </c>
    </row>
    <row r="5554" spans="1:1" x14ac:dyDescent="0.2">
      <c r="A5554" s="1" t="s">
        <v>1268</v>
      </c>
    </row>
    <row r="5555" spans="1:1" x14ac:dyDescent="0.2">
      <c r="A5555" s="1" t="s">
        <v>1262</v>
      </c>
    </row>
    <row r="5556" spans="1:1" x14ac:dyDescent="0.2">
      <c r="A5556" s="1" t="s">
        <v>1263</v>
      </c>
    </row>
    <row r="5557" spans="1:1" x14ac:dyDescent="0.2">
      <c r="A5557" s="1" t="s">
        <v>1264</v>
      </c>
    </row>
    <row r="5558" spans="1:1" x14ac:dyDescent="0.2">
      <c r="A5558" s="1" t="s">
        <v>1265</v>
      </c>
    </row>
    <row r="5559" spans="1:1" x14ac:dyDescent="0.2">
      <c r="A5559" s="1" t="s">
        <v>1266</v>
      </c>
    </row>
    <row r="5560" spans="1:1" x14ac:dyDescent="0.2">
      <c r="A5560" s="1" t="s">
        <v>1255</v>
      </c>
    </row>
    <row r="5561" spans="1:1" x14ac:dyDescent="0.2">
      <c r="A5561" s="1" t="s">
        <v>1269</v>
      </c>
    </row>
    <row r="5562" spans="1:1" x14ac:dyDescent="0.2">
      <c r="A5562" s="1" t="s">
        <v>1257</v>
      </c>
    </row>
    <row r="5563" spans="1:1" x14ac:dyDescent="0.2">
      <c r="A5563" s="1" t="s">
        <v>1258</v>
      </c>
    </row>
    <row r="5564" spans="1:1" x14ac:dyDescent="0.2">
      <c r="A5564" s="1" t="s">
        <v>1259</v>
      </c>
    </row>
    <row r="5565" spans="1:1" x14ac:dyDescent="0.2">
      <c r="A5565" s="1" t="s">
        <v>1260</v>
      </c>
    </row>
    <row r="5566" spans="1:1" x14ac:dyDescent="0.2">
      <c r="A5566" s="1" t="s">
        <v>1270</v>
      </c>
    </row>
    <row r="5567" spans="1:1" x14ac:dyDescent="0.2">
      <c r="A5567" s="1" t="s">
        <v>1262</v>
      </c>
    </row>
    <row r="5568" spans="1:1" x14ac:dyDescent="0.2">
      <c r="A5568" s="1" t="s">
        <v>1263</v>
      </c>
    </row>
    <row r="5569" spans="1:1" x14ac:dyDescent="0.2">
      <c r="A5569" s="1" t="s">
        <v>1264</v>
      </c>
    </row>
    <row r="5570" spans="1:1" x14ac:dyDescent="0.2">
      <c r="A5570" s="1" t="s">
        <v>1265</v>
      </c>
    </row>
    <row r="5571" spans="1:1" x14ac:dyDescent="0.2">
      <c r="A5571" s="1" t="s">
        <v>1266</v>
      </c>
    </row>
    <row r="5572" spans="1:1" x14ac:dyDescent="0.2">
      <c r="A5572" s="1" t="s">
        <v>1271</v>
      </c>
    </row>
    <row r="5573" spans="1:1" x14ac:dyDescent="0.2">
      <c r="A5573" s="1" t="s">
        <v>1272</v>
      </c>
    </row>
    <row r="5574" spans="1:1" x14ac:dyDescent="0.2">
      <c r="A5574" s="1" t="s">
        <v>1271</v>
      </c>
    </row>
    <row r="5575" spans="1:1" x14ac:dyDescent="0.2">
      <c r="A5575" s="1" t="s">
        <v>1272</v>
      </c>
    </row>
    <row r="5576" spans="1:1" x14ac:dyDescent="0.2">
      <c r="A5576" s="1" t="s">
        <v>1273</v>
      </c>
    </row>
    <row r="5577" spans="1:1" x14ac:dyDescent="0.2">
      <c r="A5577" s="1" t="s">
        <v>1274</v>
      </c>
    </row>
    <row r="5578" spans="1:1" x14ac:dyDescent="0.2">
      <c r="A5578" s="1" t="s">
        <v>1275</v>
      </c>
    </row>
    <row r="5579" spans="1:1" x14ac:dyDescent="0.2">
      <c r="A5579" s="1" t="s">
        <v>1276</v>
      </c>
    </row>
    <row r="5580" spans="1:1" x14ac:dyDescent="0.2">
      <c r="A5580" s="1" t="s">
        <v>1277</v>
      </c>
    </row>
    <row r="5581" spans="1:1" x14ac:dyDescent="0.2">
      <c r="A5581" s="1" t="s">
        <v>1278</v>
      </c>
    </row>
    <row r="5582" spans="1:1" x14ac:dyDescent="0.2">
      <c r="A5582" s="1" t="s">
        <v>1279</v>
      </c>
    </row>
    <row r="5583" spans="1:1" x14ac:dyDescent="0.2">
      <c r="A5583" s="1" t="s">
        <v>1280</v>
      </c>
    </row>
    <row r="5584" spans="1:1" x14ac:dyDescent="0.2">
      <c r="A5584" s="1" t="s">
        <v>1271</v>
      </c>
    </row>
    <row r="5585" spans="1:1" x14ac:dyDescent="0.2">
      <c r="A5585" s="1" t="s">
        <v>1272</v>
      </c>
    </row>
    <row r="5586" spans="1:1" x14ac:dyDescent="0.2">
      <c r="A5586" s="1" t="s">
        <v>1271</v>
      </c>
    </row>
    <row r="5587" spans="1:1" x14ac:dyDescent="0.2">
      <c r="A5587" s="1" t="s">
        <v>1272</v>
      </c>
    </row>
    <row r="5588" spans="1:1" x14ac:dyDescent="0.2">
      <c r="A5588" s="1" t="s">
        <v>1271</v>
      </c>
    </row>
    <row r="5589" spans="1:1" x14ac:dyDescent="0.2">
      <c r="A5589" s="1" t="s">
        <v>1272</v>
      </c>
    </row>
    <row r="5590" spans="1:1" x14ac:dyDescent="0.2">
      <c r="A5590" s="1" t="s">
        <v>1273</v>
      </c>
    </row>
    <row r="5591" spans="1:1" x14ac:dyDescent="0.2">
      <c r="A5591" s="1" t="s">
        <v>1274</v>
      </c>
    </row>
    <row r="5592" spans="1:1" x14ac:dyDescent="0.2">
      <c r="A5592" s="1" t="s">
        <v>1275</v>
      </c>
    </row>
    <row r="5593" spans="1:1" x14ac:dyDescent="0.2">
      <c r="A5593" s="1" t="s">
        <v>1276</v>
      </c>
    </row>
    <row r="5594" spans="1:1" x14ac:dyDescent="0.2">
      <c r="A5594" s="1" t="s">
        <v>1277</v>
      </c>
    </row>
    <row r="5595" spans="1:1" x14ac:dyDescent="0.2">
      <c r="A5595" s="1" t="s">
        <v>1278</v>
      </c>
    </row>
    <row r="5596" spans="1:1" x14ac:dyDescent="0.2">
      <c r="A5596" s="1" t="s">
        <v>1279</v>
      </c>
    </row>
    <row r="5597" spans="1:1" x14ac:dyDescent="0.2">
      <c r="A5597" s="1" t="s">
        <v>1280</v>
      </c>
    </row>
    <row r="5598" spans="1:1" x14ac:dyDescent="0.2">
      <c r="A5598" s="1" t="s">
        <v>1271</v>
      </c>
    </row>
    <row r="5599" spans="1:1" x14ac:dyDescent="0.2">
      <c r="A5599" s="1" t="s">
        <v>1272</v>
      </c>
    </row>
    <row r="5600" spans="1:1" x14ac:dyDescent="0.2">
      <c r="A5600" s="1" t="s">
        <v>1271</v>
      </c>
    </row>
    <row r="5601" spans="1:1" x14ac:dyDescent="0.2">
      <c r="A5601" s="1" t="s">
        <v>1272</v>
      </c>
    </row>
    <row r="5602" spans="1:1" x14ac:dyDescent="0.2">
      <c r="A5602" s="1" t="s">
        <v>1271</v>
      </c>
    </row>
    <row r="5603" spans="1:1" x14ac:dyDescent="0.2">
      <c r="A5603" s="1" t="s">
        <v>1272</v>
      </c>
    </row>
    <row r="5604" spans="1:1" x14ac:dyDescent="0.2">
      <c r="A5604" s="1" t="s">
        <v>1273</v>
      </c>
    </row>
    <row r="5605" spans="1:1" x14ac:dyDescent="0.2">
      <c r="A5605" s="1" t="s">
        <v>1274</v>
      </c>
    </row>
    <row r="5606" spans="1:1" x14ac:dyDescent="0.2">
      <c r="A5606" s="1" t="s">
        <v>1275</v>
      </c>
    </row>
    <row r="5607" spans="1:1" x14ac:dyDescent="0.2">
      <c r="A5607" s="1" t="s">
        <v>1276</v>
      </c>
    </row>
    <row r="5608" spans="1:1" x14ac:dyDescent="0.2">
      <c r="A5608" s="1" t="s">
        <v>1277</v>
      </c>
    </row>
    <row r="5609" spans="1:1" x14ac:dyDescent="0.2">
      <c r="A5609" s="1" t="s">
        <v>1278</v>
      </c>
    </row>
    <row r="5610" spans="1:1" x14ac:dyDescent="0.2">
      <c r="A5610" s="1" t="s">
        <v>1279</v>
      </c>
    </row>
    <row r="5611" spans="1:1" x14ac:dyDescent="0.2">
      <c r="A5611" s="1" t="s">
        <v>1280</v>
      </c>
    </row>
    <row r="5612" spans="1:1" x14ac:dyDescent="0.2">
      <c r="A5612" s="1" t="s">
        <v>1271</v>
      </c>
    </row>
    <row r="5613" spans="1:1" x14ac:dyDescent="0.2">
      <c r="A5613" s="1" t="s">
        <v>1272</v>
      </c>
    </row>
    <row r="5614" spans="1:1" x14ac:dyDescent="0.2">
      <c r="A5614" s="1" t="s">
        <v>1271</v>
      </c>
    </row>
    <row r="5615" spans="1:1" x14ac:dyDescent="0.2">
      <c r="A5615" s="1" t="s">
        <v>1272</v>
      </c>
    </row>
    <row r="5616" spans="1:1" x14ac:dyDescent="0.2">
      <c r="A5616" s="1" t="s">
        <v>1271</v>
      </c>
    </row>
    <row r="5617" spans="1:1" x14ac:dyDescent="0.2">
      <c r="A5617" s="1" t="s">
        <v>1272</v>
      </c>
    </row>
    <row r="5618" spans="1:1" x14ac:dyDescent="0.2">
      <c r="A5618" s="1" t="s">
        <v>1273</v>
      </c>
    </row>
    <row r="5619" spans="1:1" x14ac:dyDescent="0.2">
      <c r="A5619" s="1" t="s">
        <v>1274</v>
      </c>
    </row>
    <row r="5620" spans="1:1" x14ac:dyDescent="0.2">
      <c r="A5620" s="1" t="s">
        <v>1275</v>
      </c>
    </row>
    <row r="5621" spans="1:1" x14ac:dyDescent="0.2">
      <c r="A5621" s="1" t="s">
        <v>1276</v>
      </c>
    </row>
    <row r="5622" spans="1:1" x14ac:dyDescent="0.2">
      <c r="A5622" s="1" t="s">
        <v>1277</v>
      </c>
    </row>
    <row r="5623" spans="1:1" x14ac:dyDescent="0.2">
      <c r="A5623" s="1" t="s">
        <v>1278</v>
      </c>
    </row>
    <row r="5624" spans="1:1" x14ac:dyDescent="0.2">
      <c r="A5624" s="1" t="s">
        <v>1279</v>
      </c>
    </row>
    <row r="5625" spans="1:1" x14ac:dyDescent="0.2">
      <c r="A5625" s="1" t="s">
        <v>1280</v>
      </c>
    </row>
    <row r="5626" spans="1:1" x14ac:dyDescent="0.2">
      <c r="A5626" s="1" t="s">
        <v>1271</v>
      </c>
    </row>
    <row r="5627" spans="1:1" x14ac:dyDescent="0.2">
      <c r="A5627" s="1" t="s">
        <v>1272</v>
      </c>
    </row>
    <row r="5628" spans="1:1" x14ac:dyDescent="0.2">
      <c r="A5628" s="1" t="s">
        <v>1271</v>
      </c>
    </row>
    <row r="5629" spans="1:1" x14ac:dyDescent="0.2">
      <c r="A5629" s="1" t="s">
        <v>1272</v>
      </c>
    </row>
    <row r="5630" spans="1:1" x14ac:dyDescent="0.2">
      <c r="A5630" s="1" t="s">
        <v>1271</v>
      </c>
    </row>
    <row r="5631" spans="1:1" x14ac:dyDescent="0.2">
      <c r="A5631" s="1" t="s">
        <v>1272</v>
      </c>
    </row>
    <row r="5632" spans="1:1" x14ac:dyDescent="0.2">
      <c r="A5632" s="1" t="s">
        <v>1273</v>
      </c>
    </row>
    <row r="5633" spans="1:1" x14ac:dyDescent="0.2">
      <c r="A5633" s="1" t="s">
        <v>1274</v>
      </c>
    </row>
    <row r="5634" spans="1:1" x14ac:dyDescent="0.2">
      <c r="A5634" s="1" t="s">
        <v>1275</v>
      </c>
    </row>
    <row r="5635" spans="1:1" x14ac:dyDescent="0.2">
      <c r="A5635" s="1" t="s">
        <v>1276</v>
      </c>
    </row>
    <row r="5636" spans="1:1" x14ac:dyDescent="0.2">
      <c r="A5636" s="1" t="s">
        <v>1277</v>
      </c>
    </row>
    <row r="5637" spans="1:1" x14ac:dyDescent="0.2">
      <c r="A5637" s="1" t="s">
        <v>1278</v>
      </c>
    </row>
    <row r="5638" spans="1:1" x14ac:dyDescent="0.2">
      <c r="A5638" s="1" t="s">
        <v>1279</v>
      </c>
    </row>
    <row r="5639" spans="1:1" x14ac:dyDescent="0.2">
      <c r="A5639" s="1" t="s">
        <v>1280</v>
      </c>
    </row>
    <row r="5640" spans="1:1" x14ac:dyDescent="0.2">
      <c r="A5640" s="1" t="s">
        <v>1271</v>
      </c>
    </row>
    <row r="5641" spans="1:1" x14ac:dyDescent="0.2">
      <c r="A5641" s="1" t="s">
        <v>1272</v>
      </c>
    </row>
    <row r="5642" spans="1:1" x14ac:dyDescent="0.2">
      <c r="A5642" s="1" t="s">
        <v>1271</v>
      </c>
    </row>
    <row r="5643" spans="1:1" x14ac:dyDescent="0.2">
      <c r="A5643" s="1" t="s">
        <v>1272</v>
      </c>
    </row>
    <row r="5644" spans="1:1" x14ac:dyDescent="0.2">
      <c r="A5644" s="1" t="s">
        <v>1271</v>
      </c>
    </row>
    <row r="5645" spans="1:1" x14ac:dyDescent="0.2">
      <c r="A5645" s="1" t="s">
        <v>1272</v>
      </c>
    </row>
    <row r="5646" spans="1:1" x14ac:dyDescent="0.2">
      <c r="A5646" s="1" t="s">
        <v>1273</v>
      </c>
    </row>
    <row r="5647" spans="1:1" x14ac:dyDescent="0.2">
      <c r="A5647" s="1" t="s">
        <v>1274</v>
      </c>
    </row>
    <row r="5648" spans="1:1" x14ac:dyDescent="0.2">
      <c r="A5648" s="1" t="s">
        <v>1275</v>
      </c>
    </row>
    <row r="5649" spans="1:1" x14ac:dyDescent="0.2">
      <c r="A5649" s="1" t="s">
        <v>1276</v>
      </c>
    </row>
    <row r="5650" spans="1:1" x14ac:dyDescent="0.2">
      <c r="A5650" s="1" t="s">
        <v>1277</v>
      </c>
    </row>
    <row r="5651" spans="1:1" x14ac:dyDescent="0.2">
      <c r="A5651" s="1" t="s">
        <v>1278</v>
      </c>
    </row>
    <row r="5652" spans="1:1" x14ac:dyDescent="0.2">
      <c r="A5652" s="1" t="s">
        <v>1279</v>
      </c>
    </row>
    <row r="5653" spans="1:1" x14ac:dyDescent="0.2">
      <c r="A5653" s="1" t="s">
        <v>1280</v>
      </c>
    </row>
    <row r="5654" spans="1:1" x14ac:dyDescent="0.2">
      <c r="A5654" s="1" t="s">
        <v>1271</v>
      </c>
    </row>
    <row r="5655" spans="1:1" x14ac:dyDescent="0.2">
      <c r="A5655" s="1" t="s">
        <v>1272</v>
      </c>
    </row>
    <row r="5656" spans="1:1" x14ac:dyDescent="0.2">
      <c r="A5656" s="1" t="s">
        <v>1271</v>
      </c>
    </row>
    <row r="5657" spans="1:1" x14ac:dyDescent="0.2">
      <c r="A5657" s="1" t="s">
        <v>1272</v>
      </c>
    </row>
    <row r="5658" spans="1:1" x14ac:dyDescent="0.2">
      <c r="A5658" s="1" t="s">
        <v>1271</v>
      </c>
    </row>
    <row r="5659" spans="1:1" x14ac:dyDescent="0.2">
      <c r="A5659" s="1" t="s">
        <v>1272</v>
      </c>
    </row>
    <row r="5660" spans="1:1" x14ac:dyDescent="0.2">
      <c r="A5660" s="1" t="s">
        <v>1273</v>
      </c>
    </row>
    <row r="5661" spans="1:1" x14ac:dyDescent="0.2">
      <c r="A5661" s="1" t="s">
        <v>1274</v>
      </c>
    </row>
    <row r="5662" spans="1:1" x14ac:dyDescent="0.2">
      <c r="A5662" s="1" t="s">
        <v>1275</v>
      </c>
    </row>
    <row r="5663" spans="1:1" x14ac:dyDescent="0.2">
      <c r="A5663" s="1" t="s">
        <v>1276</v>
      </c>
    </row>
    <row r="5664" spans="1:1" x14ac:dyDescent="0.2">
      <c r="A5664" s="1" t="s">
        <v>1277</v>
      </c>
    </row>
    <row r="5665" spans="1:1" x14ac:dyDescent="0.2">
      <c r="A5665" s="1" t="s">
        <v>1278</v>
      </c>
    </row>
    <row r="5666" spans="1:1" x14ac:dyDescent="0.2">
      <c r="A5666" s="1" t="s">
        <v>1279</v>
      </c>
    </row>
    <row r="5667" spans="1:1" x14ac:dyDescent="0.2">
      <c r="A5667" s="1" t="s">
        <v>1280</v>
      </c>
    </row>
    <row r="5668" spans="1:1" x14ac:dyDescent="0.2">
      <c r="A5668" s="1" t="s">
        <v>1271</v>
      </c>
    </row>
    <row r="5669" spans="1:1" x14ac:dyDescent="0.2">
      <c r="A5669" s="1" t="s">
        <v>1272</v>
      </c>
    </row>
    <row r="5670" spans="1:1" x14ac:dyDescent="0.2">
      <c r="A5670" s="1" t="s">
        <v>1271</v>
      </c>
    </row>
    <row r="5671" spans="1:1" x14ac:dyDescent="0.2">
      <c r="A5671" s="1" t="s">
        <v>1272</v>
      </c>
    </row>
    <row r="5672" spans="1:1" x14ac:dyDescent="0.2">
      <c r="A5672" s="1" t="s">
        <v>1271</v>
      </c>
    </row>
    <row r="5673" spans="1:1" x14ac:dyDescent="0.2">
      <c r="A5673" s="1" t="s">
        <v>1272</v>
      </c>
    </row>
    <row r="5674" spans="1:1" x14ac:dyDescent="0.2">
      <c r="A5674" s="1" t="s">
        <v>1273</v>
      </c>
    </row>
    <row r="5675" spans="1:1" x14ac:dyDescent="0.2">
      <c r="A5675" s="1" t="s">
        <v>1274</v>
      </c>
    </row>
    <row r="5676" spans="1:1" x14ac:dyDescent="0.2">
      <c r="A5676" s="1" t="s">
        <v>1275</v>
      </c>
    </row>
    <row r="5677" spans="1:1" x14ac:dyDescent="0.2">
      <c r="A5677" s="1" t="s">
        <v>1276</v>
      </c>
    </row>
    <row r="5678" spans="1:1" x14ac:dyDescent="0.2">
      <c r="A5678" s="1" t="s">
        <v>1277</v>
      </c>
    </row>
    <row r="5679" spans="1:1" x14ac:dyDescent="0.2">
      <c r="A5679" s="1" t="s">
        <v>1278</v>
      </c>
    </row>
    <row r="5680" spans="1:1" x14ac:dyDescent="0.2">
      <c r="A5680" s="1" t="s">
        <v>1279</v>
      </c>
    </row>
    <row r="5681" spans="1:1" x14ac:dyDescent="0.2">
      <c r="A5681" s="1" t="s">
        <v>1280</v>
      </c>
    </row>
    <row r="5682" spans="1:1" x14ac:dyDescent="0.2">
      <c r="A5682" s="1" t="s">
        <v>1271</v>
      </c>
    </row>
    <row r="5683" spans="1:1" x14ac:dyDescent="0.2">
      <c r="A5683" s="1" t="s">
        <v>1272</v>
      </c>
    </row>
    <row r="5684" spans="1:1" x14ac:dyDescent="0.2">
      <c r="A5684" s="1" t="s">
        <v>1281</v>
      </c>
    </row>
    <row r="5685" spans="1:1" x14ac:dyDescent="0.2">
      <c r="A5685" s="1" t="s">
        <v>1282</v>
      </c>
    </row>
    <row r="5686" spans="1:1" x14ac:dyDescent="0.2">
      <c r="A5686" s="1" t="s">
        <v>1283</v>
      </c>
    </row>
    <row r="5687" spans="1:1" x14ac:dyDescent="0.2">
      <c r="A5687" s="1" t="s">
        <v>1284</v>
      </c>
    </row>
    <row r="5688" spans="1:1" x14ac:dyDescent="0.2">
      <c r="A5688" s="1" t="s">
        <v>1285</v>
      </c>
    </row>
    <row r="5689" spans="1:1" x14ac:dyDescent="0.2">
      <c r="A5689" s="1" t="s">
        <v>1286</v>
      </c>
    </row>
    <row r="5690" spans="1:1" x14ac:dyDescent="0.2">
      <c r="A5690" s="1" t="s">
        <v>1287</v>
      </c>
    </row>
    <row r="5691" spans="1:1" x14ac:dyDescent="0.2">
      <c r="A5691" s="1" t="s">
        <v>1288</v>
      </c>
    </row>
    <row r="5692" spans="1:1" x14ac:dyDescent="0.2">
      <c r="A5692" s="1" t="s">
        <v>1289</v>
      </c>
    </row>
    <row r="5693" spans="1:1" x14ac:dyDescent="0.2">
      <c r="A5693" s="1" t="s">
        <v>1290</v>
      </c>
    </row>
    <row r="5694" spans="1:1" x14ac:dyDescent="0.2">
      <c r="A5694" s="1" t="s">
        <v>1291</v>
      </c>
    </row>
    <row r="5695" spans="1:1" x14ac:dyDescent="0.2">
      <c r="A5695" s="1" t="s">
        <v>1292</v>
      </c>
    </row>
    <row r="5696" spans="1:1" x14ac:dyDescent="0.2">
      <c r="A5696" s="1" t="s">
        <v>1281</v>
      </c>
    </row>
    <row r="5697" spans="1:1" x14ac:dyDescent="0.2">
      <c r="A5697" s="1" t="s">
        <v>1293</v>
      </c>
    </row>
    <row r="5698" spans="1:1" x14ac:dyDescent="0.2">
      <c r="A5698" s="1" t="s">
        <v>1283</v>
      </c>
    </row>
    <row r="5699" spans="1:1" x14ac:dyDescent="0.2">
      <c r="A5699" s="1" t="s">
        <v>1284</v>
      </c>
    </row>
    <row r="5700" spans="1:1" x14ac:dyDescent="0.2">
      <c r="A5700" s="1" t="s">
        <v>1285</v>
      </c>
    </row>
    <row r="5701" spans="1:1" x14ac:dyDescent="0.2">
      <c r="A5701" s="1" t="s">
        <v>1286</v>
      </c>
    </row>
    <row r="5702" spans="1:1" x14ac:dyDescent="0.2">
      <c r="A5702" s="1" t="s">
        <v>1294</v>
      </c>
    </row>
    <row r="5703" spans="1:1" x14ac:dyDescent="0.2">
      <c r="A5703" s="1" t="s">
        <v>1288</v>
      </c>
    </row>
    <row r="5704" spans="1:1" x14ac:dyDescent="0.2">
      <c r="A5704" s="1" t="s">
        <v>1289</v>
      </c>
    </row>
    <row r="5705" spans="1:1" x14ac:dyDescent="0.2">
      <c r="A5705" s="1" t="s">
        <v>1290</v>
      </c>
    </row>
    <row r="5706" spans="1:1" x14ac:dyDescent="0.2">
      <c r="A5706" s="1" t="s">
        <v>1291</v>
      </c>
    </row>
    <row r="5707" spans="1:1" x14ac:dyDescent="0.2">
      <c r="A5707" s="1" t="s">
        <v>1292</v>
      </c>
    </row>
    <row r="5708" spans="1:1" x14ac:dyDescent="0.2">
      <c r="A5708" s="1" t="s">
        <v>1295</v>
      </c>
    </row>
    <row r="5709" spans="1:1" x14ac:dyDescent="0.2">
      <c r="A5709" s="1" t="s">
        <v>1296</v>
      </c>
    </row>
    <row r="5710" spans="1:1" x14ac:dyDescent="0.2">
      <c r="A5710" s="1" t="s">
        <v>1295</v>
      </c>
    </row>
    <row r="5711" spans="1:1" x14ac:dyDescent="0.2">
      <c r="A5711" s="1" t="s">
        <v>1296</v>
      </c>
    </row>
    <row r="5712" spans="1:1" x14ac:dyDescent="0.2">
      <c r="A5712" s="1" t="s">
        <v>1297</v>
      </c>
    </row>
    <row r="5713" spans="1:1" x14ac:dyDescent="0.2">
      <c r="A5713" s="1" t="s">
        <v>1298</v>
      </c>
    </row>
    <row r="5714" spans="1:1" x14ac:dyDescent="0.2">
      <c r="A5714" s="1" t="s">
        <v>1299</v>
      </c>
    </row>
    <row r="5715" spans="1:1" x14ac:dyDescent="0.2">
      <c r="A5715" s="1" t="s">
        <v>1300</v>
      </c>
    </row>
    <row r="5716" spans="1:1" x14ac:dyDescent="0.2">
      <c r="A5716" s="1" t="s">
        <v>1301</v>
      </c>
    </row>
    <row r="5717" spans="1:1" x14ac:dyDescent="0.2">
      <c r="A5717" s="1" t="s">
        <v>1302</v>
      </c>
    </row>
    <row r="5718" spans="1:1" x14ac:dyDescent="0.2">
      <c r="A5718" s="1" t="s">
        <v>1303</v>
      </c>
    </row>
    <row r="5719" spans="1:1" x14ac:dyDescent="0.2">
      <c r="A5719" s="1" t="s">
        <v>1304</v>
      </c>
    </row>
    <row r="5720" spans="1:1" x14ac:dyDescent="0.2">
      <c r="A5720" s="1" t="s">
        <v>1295</v>
      </c>
    </row>
    <row r="5721" spans="1:1" x14ac:dyDescent="0.2">
      <c r="A5721" s="1" t="s">
        <v>1296</v>
      </c>
    </row>
    <row r="5722" spans="1:1" x14ac:dyDescent="0.2">
      <c r="A5722" s="1" t="s">
        <v>1295</v>
      </c>
    </row>
    <row r="5723" spans="1:1" x14ac:dyDescent="0.2">
      <c r="A5723" s="1" t="s">
        <v>1296</v>
      </c>
    </row>
    <row r="5724" spans="1:1" x14ac:dyDescent="0.2">
      <c r="A5724" s="1" t="s">
        <v>1295</v>
      </c>
    </row>
    <row r="5725" spans="1:1" x14ac:dyDescent="0.2">
      <c r="A5725" s="1" t="s">
        <v>1296</v>
      </c>
    </row>
    <row r="5726" spans="1:1" x14ac:dyDescent="0.2">
      <c r="A5726" s="1" t="s">
        <v>1297</v>
      </c>
    </row>
    <row r="5727" spans="1:1" x14ac:dyDescent="0.2">
      <c r="A5727" s="1" t="s">
        <v>1298</v>
      </c>
    </row>
    <row r="5728" spans="1:1" x14ac:dyDescent="0.2">
      <c r="A5728" s="1" t="s">
        <v>1299</v>
      </c>
    </row>
    <row r="5729" spans="1:1" x14ac:dyDescent="0.2">
      <c r="A5729" s="1" t="s">
        <v>1300</v>
      </c>
    </row>
    <row r="5730" spans="1:1" x14ac:dyDescent="0.2">
      <c r="A5730" s="1" t="s">
        <v>1301</v>
      </c>
    </row>
    <row r="5731" spans="1:1" x14ac:dyDescent="0.2">
      <c r="A5731" s="1" t="s">
        <v>1302</v>
      </c>
    </row>
    <row r="5732" spans="1:1" x14ac:dyDescent="0.2">
      <c r="A5732" s="1" t="s">
        <v>1303</v>
      </c>
    </row>
    <row r="5733" spans="1:1" x14ac:dyDescent="0.2">
      <c r="A5733" s="1" t="s">
        <v>1304</v>
      </c>
    </row>
    <row r="5734" spans="1:1" x14ac:dyDescent="0.2">
      <c r="A5734" s="1" t="s">
        <v>1295</v>
      </c>
    </row>
    <row r="5735" spans="1:1" x14ac:dyDescent="0.2">
      <c r="A5735" s="1" t="s">
        <v>1296</v>
      </c>
    </row>
    <row r="5736" spans="1:1" x14ac:dyDescent="0.2">
      <c r="A5736" s="1" t="s">
        <v>1295</v>
      </c>
    </row>
    <row r="5737" spans="1:1" x14ac:dyDescent="0.2">
      <c r="A5737" s="1" t="s">
        <v>1296</v>
      </c>
    </row>
    <row r="5738" spans="1:1" x14ac:dyDescent="0.2">
      <c r="A5738" s="1" t="s">
        <v>1295</v>
      </c>
    </row>
    <row r="5739" spans="1:1" x14ac:dyDescent="0.2">
      <c r="A5739" s="1" t="s">
        <v>1296</v>
      </c>
    </row>
    <row r="5740" spans="1:1" x14ac:dyDescent="0.2">
      <c r="A5740" s="1" t="s">
        <v>1297</v>
      </c>
    </row>
    <row r="5741" spans="1:1" x14ac:dyDescent="0.2">
      <c r="A5741" s="1" t="s">
        <v>1298</v>
      </c>
    </row>
    <row r="5742" spans="1:1" x14ac:dyDescent="0.2">
      <c r="A5742" s="1" t="s">
        <v>1299</v>
      </c>
    </row>
    <row r="5743" spans="1:1" x14ac:dyDescent="0.2">
      <c r="A5743" s="1" t="s">
        <v>1300</v>
      </c>
    </row>
    <row r="5744" spans="1:1" x14ac:dyDescent="0.2">
      <c r="A5744" s="1" t="s">
        <v>1301</v>
      </c>
    </row>
    <row r="5745" spans="1:1" x14ac:dyDescent="0.2">
      <c r="A5745" s="1" t="s">
        <v>1302</v>
      </c>
    </row>
    <row r="5746" spans="1:1" x14ac:dyDescent="0.2">
      <c r="A5746" s="1" t="s">
        <v>1303</v>
      </c>
    </row>
    <row r="5747" spans="1:1" x14ac:dyDescent="0.2">
      <c r="A5747" s="1" t="s">
        <v>1304</v>
      </c>
    </row>
    <row r="5748" spans="1:1" x14ac:dyDescent="0.2">
      <c r="A5748" s="1" t="s">
        <v>1295</v>
      </c>
    </row>
    <row r="5749" spans="1:1" x14ac:dyDescent="0.2">
      <c r="A5749" s="1" t="s">
        <v>1296</v>
      </c>
    </row>
    <row r="5750" spans="1:1" x14ac:dyDescent="0.2">
      <c r="A5750" s="1" t="s">
        <v>1295</v>
      </c>
    </row>
    <row r="5751" spans="1:1" x14ac:dyDescent="0.2">
      <c r="A5751" s="1" t="s">
        <v>1296</v>
      </c>
    </row>
    <row r="5752" spans="1:1" x14ac:dyDescent="0.2">
      <c r="A5752" s="1" t="s">
        <v>1295</v>
      </c>
    </row>
    <row r="5753" spans="1:1" x14ac:dyDescent="0.2">
      <c r="A5753" s="1" t="s">
        <v>1296</v>
      </c>
    </row>
    <row r="5754" spans="1:1" x14ac:dyDescent="0.2">
      <c r="A5754" s="1" t="s">
        <v>1297</v>
      </c>
    </row>
    <row r="5755" spans="1:1" x14ac:dyDescent="0.2">
      <c r="A5755" s="1" t="s">
        <v>1298</v>
      </c>
    </row>
    <row r="5756" spans="1:1" x14ac:dyDescent="0.2">
      <c r="A5756" s="1" t="s">
        <v>1299</v>
      </c>
    </row>
    <row r="5757" spans="1:1" x14ac:dyDescent="0.2">
      <c r="A5757" s="1" t="s">
        <v>1300</v>
      </c>
    </row>
    <row r="5758" spans="1:1" x14ac:dyDescent="0.2">
      <c r="A5758" s="1" t="s">
        <v>1301</v>
      </c>
    </row>
    <row r="5759" spans="1:1" x14ac:dyDescent="0.2">
      <c r="A5759" s="1" t="s">
        <v>1302</v>
      </c>
    </row>
    <row r="5760" spans="1:1" x14ac:dyDescent="0.2">
      <c r="A5760" s="1" t="s">
        <v>1303</v>
      </c>
    </row>
    <row r="5761" spans="1:1" x14ac:dyDescent="0.2">
      <c r="A5761" s="1" t="s">
        <v>1304</v>
      </c>
    </row>
    <row r="5762" spans="1:1" x14ac:dyDescent="0.2">
      <c r="A5762" s="1" t="s">
        <v>1295</v>
      </c>
    </row>
    <row r="5763" spans="1:1" x14ac:dyDescent="0.2">
      <c r="A5763" s="1" t="s">
        <v>1296</v>
      </c>
    </row>
    <row r="5764" spans="1:1" x14ac:dyDescent="0.2">
      <c r="A5764" s="1" t="s">
        <v>1295</v>
      </c>
    </row>
    <row r="5765" spans="1:1" x14ac:dyDescent="0.2">
      <c r="A5765" s="1" t="s">
        <v>1296</v>
      </c>
    </row>
    <row r="5766" spans="1:1" x14ac:dyDescent="0.2">
      <c r="A5766" s="1" t="s">
        <v>1295</v>
      </c>
    </row>
    <row r="5767" spans="1:1" x14ac:dyDescent="0.2">
      <c r="A5767" s="1" t="s">
        <v>1296</v>
      </c>
    </row>
    <row r="5768" spans="1:1" x14ac:dyDescent="0.2">
      <c r="A5768" s="1" t="s">
        <v>1297</v>
      </c>
    </row>
    <row r="5769" spans="1:1" x14ac:dyDescent="0.2">
      <c r="A5769" s="1" t="s">
        <v>1298</v>
      </c>
    </row>
    <row r="5770" spans="1:1" x14ac:dyDescent="0.2">
      <c r="A5770" s="1" t="s">
        <v>1299</v>
      </c>
    </row>
    <row r="5771" spans="1:1" x14ac:dyDescent="0.2">
      <c r="A5771" s="1" t="s">
        <v>1300</v>
      </c>
    </row>
    <row r="5772" spans="1:1" x14ac:dyDescent="0.2">
      <c r="A5772" s="1" t="s">
        <v>1301</v>
      </c>
    </row>
    <row r="5773" spans="1:1" x14ac:dyDescent="0.2">
      <c r="A5773" s="1" t="s">
        <v>1302</v>
      </c>
    </row>
    <row r="5774" spans="1:1" x14ac:dyDescent="0.2">
      <c r="A5774" s="1" t="s">
        <v>1303</v>
      </c>
    </row>
    <row r="5775" spans="1:1" x14ac:dyDescent="0.2">
      <c r="A5775" s="1" t="s">
        <v>1304</v>
      </c>
    </row>
    <row r="5776" spans="1:1" x14ac:dyDescent="0.2">
      <c r="A5776" s="1" t="s">
        <v>1295</v>
      </c>
    </row>
    <row r="5777" spans="1:1" x14ac:dyDescent="0.2">
      <c r="A5777" s="1" t="s">
        <v>1296</v>
      </c>
    </row>
    <row r="5778" spans="1:1" x14ac:dyDescent="0.2">
      <c r="A5778" s="1" t="s">
        <v>1295</v>
      </c>
    </row>
    <row r="5779" spans="1:1" x14ac:dyDescent="0.2">
      <c r="A5779" s="1" t="s">
        <v>1296</v>
      </c>
    </row>
    <row r="5780" spans="1:1" x14ac:dyDescent="0.2">
      <c r="A5780" s="1" t="s">
        <v>1295</v>
      </c>
    </row>
    <row r="5781" spans="1:1" x14ac:dyDescent="0.2">
      <c r="A5781" s="1" t="s">
        <v>1296</v>
      </c>
    </row>
    <row r="5782" spans="1:1" x14ac:dyDescent="0.2">
      <c r="A5782" s="1" t="s">
        <v>1297</v>
      </c>
    </row>
    <row r="5783" spans="1:1" x14ac:dyDescent="0.2">
      <c r="A5783" s="1" t="s">
        <v>1298</v>
      </c>
    </row>
    <row r="5784" spans="1:1" x14ac:dyDescent="0.2">
      <c r="A5784" s="1" t="s">
        <v>1299</v>
      </c>
    </row>
    <row r="5785" spans="1:1" x14ac:dyDescent="0.2">
      <c r="A5785" s="1" t="s">
        <v>1300</v>
      </c>
    </row>
    <row r="5786" spans="1:1" x14ac:dyDescent="0.2">
      <c r="A5786" s="1" t="s">
        <v>1301</v>
      </c>
    </row>
    <row r="5787" spans="1:1" x14ac:dyDescent="0.2">
      <c r="A5787" s="1" t="s">
        <v>1302</v>
      </c>
    </row>
    <row r="5788" spans="1:1" x14ac:dyDescent="0.2">
      <c r="A5788" s="1" t="s">
        <v>1303</v>
      </c>
    </row>
    <row r="5789" spans="1:1" x14ac:dyDescent="0.2">
      <c r="A5789" s="1" t="s">
        <v>1304</v>
      </c>
    </row>
    <row r="5790" spans="1:1" x14ac:dyDescent="0.2">
      <c r="A5790" s="1" t="s">
        <v>1295</v>
      </c>
    </row>
    <row r="5791" spans="1:1" x14ac:dyDescent="0.2">
      <c r="A5791" s="1" t="s">
        <v>1296</v>
      </c>
    </row>
    <row r="5792" spans="1:1" x14ac:dyDescent="0.2">
      <c r="A5792" s="1" t="s">
        <v>1295</v>
      </c>
    </row>
    <row r="5793" spans="1:1" x14ac:dyDescent="0.2">
      <c r="A5793" s="1" t="s">
        <v>1296</v>
      </c>
    </row>
    <row r="5794" spans="1:1" x14ac:dyDescent="0.2">
      <c r="A5794" s="1" t="s">
        <v>1295</v>
      </c>
    </row>
    <row r="5795" spans="1:1" x14ac:dyDescent="0.2">
      <c r="A5795" s="1" t="s">
        <v>1296</v>
      </c>
    </row>
    <row r="5796" spans="1:1" x14ac:dyDescent="0.2">
      <c r="A5796" s="1" t="s">
        <v>1297</v>
      </c>
    </row>
    <row r="5797" spans="1:1" x14ac:dyDescent="0.2">
      <c r="A5797" s="1" t="s">
        <v>1298</v>
      </c>
    </row>
    <row r="5798" spans="1:1" x14ac:dyDescent="0.2">
      <c r="A5798" s="1" t="s">
        <v>1299</v>
      </c>
    </row>
    <row r="5799" spans="1:1" x14ac:dyDescent="0.2">
      <c r="A5799" s="1" t="s">
        <v>1300</v>
      </c>
    </row>
    <row r="5800" spans="1:1" x14ac:dyDescent="0.2">
      <c r="A5800" s="1" t="s">
        <v>1301</v>
      </c>
    </row>
    <row r="5801" spans="1:1" x14ac:dyDescent="0.2">
      <c r="A5801" s="1" t="s">
        <v>1302</v>
      </c>
    </row>
    <row r="5802" spans="1:1" x14ac:dyDescent="0.2">
      <c r="A5802" s="1" t="s">
        <v>1303</v>
      </c>
    </row>
    <row r="5803" spans="1:1" x14ac:dyDescent="0.2">
      <c r="A5803" s="1" t="s">
        <v>1305</v>
      </c>
    </row>
    <row r="5804" spans="1:1" x14ac:dyDescent="0.2">
      <c r="A5804" s="1" t="s">
        <v>1306</v>
      </c>
    </row>
    <row r="5805" spans="1:1" x14ac:dyDescent="0.2">
      <c r="A5805" s="1" t="s">
        <v>1307</v>
      </c>
    </row>
    <row r="5806" spans="1:1" x14ac:dyDescent="0.2">
      <c r="A5806" s="1" t="s">
        <v>1306</v>
      </c>
    </row>
    <row r="5807" spans="1:1" x14ac:dyDescent="0.2">
      <c r="A5807" s="1" t="s">
        <v>1307</v>
      </c>
    </row>
    <row r="5808" spans="1:1" x14ac:dyDescent="0.2">
      <c r="A5808" s="1" t="s">
        <v>1306</v>
      </c>
    </row>
    <row r="5809" spans="1:1" x14ac:dyDescent="0.2">
      <c r="A5809" s="1" t="s">
        <v>1307</v>
      </c>
    </row>
    <row r="5810" spans="1:1" x14ac:dyDescent="0.2">
      <c r="A5810" s="1" t="s">
        <v>1308</v>
      </c>
    </row>
    <row r="5811" spans="1:1" x14ac:dyDescent="0.2">
      <c r="A5811" s="1" t="s">
        <v>1309</v>
      </c>
    </row>
    <row r="5812" spans="1:1" x14ac:dyDescent="0.2">
      <c r="A5812" s="1" t="s">
        <v>1310</v>
      </c>
    </row>
    <row r="5813" spans="1:1" x14ac:dyDescent="0.2">
      <c r="A5813" s="1" t="s">
        <v>1311</v>
      </c>
    </row>
    <row r="5814" spans="1:1" x14ac:dyDescent="0.2">
      <c r="A5814" s="1" t="s">
        <v>1312</v>
      </c>
    </row>
    <row r="5815" spans="1:1" x14ac:dyDescent="0.2">
      <c r="A5815" s="1" t="s">
        <v>1313</v>
      </c>
    </row>
    <row r="5816" spans="1:1" x14ac:dyDescent="0.2">
      <c r="A5816" s="1" t="s">
        <v>1314</v>
      </c>
    </row>
    <row r="5817" spans="1:1" x14ac:dyDescent="0.2">
      <c r="A5817" s="1" t="s">
        <v>1305</v>
      </c>
    </row>
    <row r="5818" spans="1:1" x14ac:dyDescent="0.2">
      <c r="A5818" s="1" t="s">
        <v>1315</v>
      </c>
    </row>
    <row r="5819" spans="1:1" x14ac:dyDescent="0.2">
      <c r="A5819" s="1" t="s">
        <v>1316</v>
      </c>
    </row>
    <row r="5820" spans="1:1" x14ac:dyDescent="0.2">
      <c r="A5820" s="1" t="s">
        <v>1317</v>
      </c>
    </row>
    <row r="5821" spans="1:1" x14ac:dyDescent="0.2">
      <c r="A5821" s="1" t="s">
        <v>1318</v>
      </c>
    </row>
    <row r="5822" spans="1:1" x14ac:dyDescent="0.2">
      <c r="A5822" s="1" t="s">
        <v>1319</v>
      </c>
    </row>
    <row r="5823" spans="1:1" x14ac:dyDescent="0.2">
      <c r="A5823" s="1" t="s">
        <v>1320</v>
      </c>
    </row>
    <row r="5824" spans="1:1" x14ac:dyDescent="0.2">
      <c r="A5824" s="1" t="s">
        <v>1321</v>
      </c>
    </row>
    <row r="5825" spans="1:1" x14ac:dyDescent="0.2">
      <c r="A5825" s="1" t="s">
        <v>1322</v>
      </c>
    </row>
    <row r="5826" spans="1:1" x14ac:dyDescent="0.2">
      <c r="A5826" s="1" t="s">
        <v>1323</v>
      </c>
    </row>
    <row r="5827" spans="1:1" x14ac:dyDescent="0.2">
      <c r="A5827" s="1" t="s">
        <v>1324</v>
      </c>
    </row>
    <row r="5828" spans="1:1" x14ac:dyDescent="0.2">
      <c r="A5828" s="1" t="s">
        <v>1325</v>
      </c>
    </row>
    <row r="5829" spans="1:1" x14ac:dyDescent="0.2">
      <c r="A5829" s="1" t="s">
        <v>1326</v>
      </c>
    </row>
    <row r="5830" spans="1:1" x14ac:dyDescent="0.2">
      <c r="A5830" s="1" t="s">
        <v>1327</v>
      </c>
    </row>
    <row r="5831" spans="1:1" x14ac:dyDescent="0.2">
      <c r="A5831" s="1" t="s">
        <v>1328</v>
      </c>
    </row>
    <row r="5832" spans="1:1" x14ac:dyDescent="0.2">
      <c r="A5832" s="1" t="s">
        <v>1317</v>
      </c>
    </row>
    <row r="5833" spans="1:1" x14ac:dyDescent="0.2">
      <c r="A5833" s="1" t="s">
        <v>1329</v>
      </c>
    </row>
    <row r="5834" spans="1:1" x14ac:dyDescent="0.2">
      <c r="A5834" s="1" t="s">
        <v>1319</v>
      </c>
    </row>
    <row r="5835" spans="1:1" x14ac:dyDescent="0.2">
      <c r="A5835" s="1" t="s">
        <v>1320</v>
      </c>
    </row>
    <row r="5836" spans="1:1" x14ac:dyDescent="0.2">
      <c r="A5836" s="1" t="s">
        <v>1321</v>
      </c>
    </row>
    <row r="5837" spans="1:1" x14ac:dyDescent="0.2">
      <c r="A5837" s="1" t="s">
        <v>1322</v>
      </c>
    </row>
    <row r="5838" spans="1:1" x14ac:dyDescent="0.2">
      <c r="A5838" s="1" t="s">
        <v>1330</v>
      </c>
    </row>
    <row r="5839" spans="1:1" x14ac:dyDescent="0.2">
      <c r="A5839" s="1" t="s">
        <v>1324</v>
      </c>
    </row>
    <row r="5840" spans="1:1" x14ac:dyDescent="0.2">
      <c r="A5840" s="1" t="s">
        <v>1325</v>
      </c>
    </row>
    <row r="5841" spans="1:1" x14ac:dyDescent="0.2">
      <c r="A5841" s="1" t="s">
        <v>1326</v>
      </c>
    </row>
    <row r="5842" spans="1:1" x14ac:dyDescent="0.2">
      <c r="A5842" s="1" t="s">
        <v>1327</v>
      </c>
    </row>
    <row r="5843" spans="1:1" x14ac:dyDescent="0.2">
      <c r="A5843" s="1" t="s">
        <v>1328</v>
      </c>
    </row>
    <row r="5844" spans="1:1" x14ac:dyDescent="0.2">
      <c r="A5844" s="1" t="s">
        <v>1317</v>
      </c>
    </row>
    <row r="5845" spans="1:1" x14ac:dyDescent="0.2">
      <c r="A5845" s="1" t="s">
        <v>1331</v>
      </c>
    </row>
    <row r="5846" spans="1:1" x14ac:dyDescent="0.2">
      <c r="A5846" s="1" t="s">
        <v>1319</v>
      </c>
    </row>
    <row r="5847" spans="1:1" x14ac:dyDescent="0.2">
      <c r="A5847" s="1" t="s">
        <v>1320</v>
      </c>
    </row>
    <row r="5848" spans="1:1" x14ac:dyDescent="0.2">
      <c r="A5848" s="1" t="s">
        <v>1321</v>
      </c>
    </row>
    <row r="5849" spans="1:1" x14ac:dyDescent="0.2">
      <c r="A5849" s="1" t="s">
        <v>1322</v>
      </c>
    </row>
    <row r="5850" spans="1:1" x14ac:dyDescent="0.2">
      <c r="A5850" s="1" t="s">
        <v>1332</v>
      </c>
    </row>
    <row r="5851" spans="1:1" x14ac:dyDescent="0.2">
      <c r="A5851" s="1" t="s">
        <v>1324</v>
      </c>
    </row>
    <row r="5852" spans="1:1" x14ac:dyDescent="0.2">
      <c r="A5852" s="1" t="s">
        <v>1325</v>
      </c>
    </row>
    <row r="5853" spans="1:1" x14ac:dyDescent="0.2">
      <c r="A5853" s="1" t="s">
        <v>1326</v>
      </c>
    </row>
    <row r="5854" spans="1:1" x14ac:dyDescent="0.2">
      <c r="A5854" s="1" t="s">
        <v>1327</v>
      </c>
    </row>
    <row r="5855" spans="1:1" x14ac:dyDescent="0.2">
      <c r="A5855" s="1" t="s">
        <v>1328</v>
      </c>
    </row>
    <row r="5856" spans="1:1" x14ac:dyDescent="0.2">
      <c r="A5856" s="1" t="s">
        <v>1317</v>
      </c>
    </row>
    <row r="5857" spans="1:1" x14ac:dyDescent="0.2">
      <c r="A5857" s="1" t="s">
        <v>1333</v>
      </c>
    </row>
    <row r="5858" spans="1:1" x14ac:dyDescent="0.2">
      <c r="A5858" s="1" t="s">
        <v>1319</v>
      </c>
    </row>
    <row r="5859" spans="1:1" x14ac:dyDescent="0.2">
      <c r="A5859" s="1" t="s">
        <v>1320</v>
      </c>
    </row>
    <row r="5860" spans="1:1" x14ac:dyDescent="0.2">
      <c r="A5860" s="1" t="s">
        <v>1321</v>
      </c>
    </row>
    <row r="5861" spans="1:1" x14ac:dyDescent="0.2">
      <c r="A5861" s="1" t="s">
        <v>1322</v>
      </c>
    </row>
    <row r="5862" spans="1:1" x14ac:dyDescent="0.2">
      <c r="A5862" s="1" t="s">
        <v>1334</v>
      </c>
    </row>
    <row r="5863" spans="1:1" x14ac:dyDescent="0.2">
      <c r="A5863" s="1" t="s">
        <v>1324</v>
      </c>
    </row>
    <row r="5864" spans="1:1" x14ac:dyDescent="0.2">
      <c r="A5864" s="1" t="s">
        <v>1325</v>
      </c>
    </row>
    <row r="5865" spans="1:1" x14ac:dyDescent="0.2">
      <c r="A5865" s="1" t="s">
        <v>1326</v>
      </c>
    </row>
    <row r="5866" spans="1:1" x14ac:dyDescent="0.2">
      <c r="A5866" s="1" t="s">
        <v>1327</v>
      </c>
    </row>
    <row r="5867" spans="1:1" x14ac:dyDescent="0.2">
      <c r="A5867" s="1" t="s">
        <v>1328</v>
      </c>
    </row>
    <row r="5868" spans="1:1" x14ac:dyDescent="0.2">
      <c r="A5868" s="1" t="s">
        <v>1317</v>
      </c>
    </row>
    <row r="5869" spans="1:1" x14ac:dyDescent="0.2">
      <c r="A5869" s="1" t="s">
        <v>1335</v>
      </c>
    </row>
    <row r="5870" spans="1:1" x14ac:dyDescent="0.2">
      <c r="A5870" s="1" t="s">
        <v>1319</v>
      </c>
    </row>
    <row r="5871" spans="1:1" x14ac:dyDescent="0.2">
      <c r="A5871" s="1" t="s">
        <v>1320</v>
      </c>
    </row>
    <row r="5872" spans="1:1" x14ac:dyDescent="0.2">
      <c r="A5872" s="1" t="s">
        <v>1321</v>
      </c>
    </row>
    <row r="5873" spans="1:1" x14ac:dyDescent="0.2">
      <c r="A5873" s="1" t="s">
        <v>1322</v>
      </c>
    </row>
    <row r="5874" spans="1:1" x14ac:dyDescent="0.2">
      <c r="A5874" s="1" t="s">
        <v>1336</v>
      </c>
    </row>
    <row r="5875" spans="1:1" x14ac:dyDescent="0.2">
      <c r="A5875" s="1" t="s">
        <v>1324</v>
      </c>
    </row>
    <row r="5876" spans="1:1" x14ac:dyDescent="0.2">
      <c r="A5876" s="1" t="s">
        <v>1325</v>
      </c>
    </row>
    <row r="5877" spans="1:1" x14ac:dyDescent="0.2">
      <c r="A5877" s="1" t="s">
        <v>1326</v>
      </c>
    </row>
    <row r="5878" spans="1:1" x14ac:dyDescent="0.2">
      <c r="A5878" s="1" t="s">
        <v>1327</v>
      </c>
    </row>
    <row r="5879" spans="1:1" x14ac:dyDescent="0.2">
      <c r="A5879" s="1" t="s">
        <v>1328</v>
      </c>
    </row>
    <row r="5880" spans="1:1" x14ac:dyDescent="0.2">
      <c r="A5880" s="1" t="s">
        <v>1317</v>
      </c>
    </row>
    <row r="5881" spans="1:1" x14ac:dyDescent="0.2">
      <c r="A5881" s="1" t="s">
        <v>1337</v>
      </c>
    </row>
    <row r="5882" spans="1:1" x14ac:dyDescent="0.2">
      <c r="A5882" s="1" t="s">
        <v>1319</v>
      </c>
    </row>
    <row r="5883" spans="1:1" x14ac:dyDescent="0.2">
      <c r="A5883" s="1" t="s">
        <v>1320</v>
      </c>
    </row>
    <row r="5884" spans="1:1" x14ac:dyDescent="0.2">
      <c r="A5884" s="1" t="s">
        <v>1321</v>
      </c>
    </row>
    <row r="5885" spans="1:1" x14ac:dyDescent="0.2">
      <c r="A5885" s="1" t="s">
        <v>1322</v>
      </c>
    </row>
    <row r="5886" spans="1:1" x14ac:dyDescent="0.2">
      <c r="A5886" s="1" t="s">
        <v>1338</v>
      </c>
    </row>
    <row r="5887" spans="1:1" x14ac:dyDescent="0.2">
      <c r="A5887" s="1" t="s">
        <v>1324</v>
      </c>
    </row>
    <row r="5888" spans="1:1" x14ac:dyDescent="0.2">
      <c r="A5888" s="1" t="s">
        <v>1325</v>
      </c>
    </row>
    <row r="5889" spans="1:1" x14ac:dyDescent="0.2">
      <c r="A5889" s="1" t="s">
        <v>1326</v>
      </c>
    </row>
    <row r="5890" spans="1:1" x14ac:dyDescent="0.2">
      <c r="A5890" s="1" t="s">
        <v>1327</v>
      </c>
    </row>
    <row r="5891" spans="1:1" x14ac:dyDescent="0.2">
      <c r="A5891" s="1" t="s">
        <v>1328</v>
      </c>
    </row>
    <row r="5892" spans="1:1" x14ac:dyDescent="0.2">
      <c r="A5892" s="1" t="s">
        <v>1317</v>
      </c>
    </row>
    <row r="5893" spans="1:1" x14ac:dyDescent="0.2">
      <c r="A5893" s="1" t="s">
        <v>1339</v>
      </c>
    </row>
    <row r="5894" spans="1:1" x14ac:dyDescent="0.2">
      <c r="A5894" s="1" t="s">
        <v>1319</v>
      </c>
    </row>
    <row r="5895" spans="1:1" x14ac:dyDescent="0.2">
      <c r="A5895" s="1" t="s">
        <v>1320</v>
      </c>
    </row>
    <row r="5896" spans="1:1" x14ac:dyDescent="0.2">
      <c r="A5896" s="1" t="s">
        <v>1321</v>
      </c>
    </row>
    <row r="5897" spans="1:1" x14ac:dyDescent="0.2">
      <c r="A5897" s="1" t="s">
        <v>1322</v>
      </c>
    </row>
    <row r="5898" spans="1:1" x14ac:dyDescent="0.2">
      <c r="A5898" s="1" t="s">
        <v>1340</v>
      </c>
    </row>
    <row r="5899" spans="1:1" x14ac:dyDescent="0.2">
      <c r="A5899" s="1" t="s">
        <v>1324</v>
      </c>
    </row>
    <row r="5900" spans="1:1" x14ac:dyDescent="0.2">
      <c r="A5900" s="1" t="s">
        <v>1325</v>
      </c>
    </row>
    <row r="5901" spans="1:1" x14ac:dyDescent="0.2">
      <c r="A5901" s="1" t="s">
        <v>1326</v>
      </c>
    </row>
    <row r="5902" spans="1:1" x14ac:dyDescent="0.2">
      <c r="A5902" s="1" t="s">
        <v>1327</v>
      </c>
    </row>
    <row r="5903" spans="1:1" x14ac:dyDescent="0.2">
      <c r="A5903" s="1" t="s">
        <v>1328</v>
      </c>
    </row>
    <row r="5904" spans="1:1" x14ac:dyDescent="0.2">
      <c r="A5904" s="1" t="s">
        <v>1341</v>
      </c>
    </row>
    <row r="5905" spans="1:1" x14ac:dyDescent="0.2">
      <c r="A5905" s="1" t="s">
        <v>1342</v>
      </c>
    </row>
    <row r="5906" spans="1:1" x14ac:dyDescent="0.2">
      <c r="A5906" s="1" t="s">
        <v>1343</v>
      </c>
    </row>
    <row r="5907" spans="1:1" x14ac:dyDescent="0.2">
      <c r="A5907" s="1" t="s">
        <v>1344</v>
      </c>
    </row>
    <row r="5908" spans="1:1" x14ac:dyDescent="0.2">
      <c r="A5908" s="1" t="s">
        <v>1345</v>
      </c>
    </row>
    <row r="5909" spans="1:1" x14ac:dyDescent="0.2">
      <c r="A5909" s="1" t="s">
        <v>1346</v>
      </c>
    </row>
    <row r="5910" spans="1:1" x14ac:dyDescent="0.2">
      <c r="A5910" s="1" t="s">
        <v>1347</v>
      </c>
    </row>
    <row r="5911" spans="1:1" x14ac:dyDescent="0.2">
      <c r="A5911" s="1" t="s">
        <v>1348</v>
      </c>
    </row>
    <row r="5912" spans="1:1" x14ac:dyDescent="0.2">
      <c r="A5912" s="1" t="s">
        <v>1349</v>
      </c>
    </row>
    <row r="5913" spans="1:1" x14ac:dyDescent="0.2">
      <c r="A5913" s="1" t="s">
        <v>1350</v>
      </c>
    </row>
    <row r="5914" spans="1:1" x14ac:dyDescent="0.2">
      <c r="A5914" s="1" t="s">
        <v>1351</v>
      </c>
    </row>
    <row r="5915" spans="1:1" x14ac:dyDescent="0.2">
      <c r="A5915" s="1" t="s">
        <v>1352</v>
      </c>
    </row>
    <row r="5916" spans="1:1" x14ac:dyDescent="0.2">
      <c r="A5916" s="1" t="s">
        <v>1341</v>
      </c>
    </row>
    <row r="5917" spans="1:1" x14ac:dyDescent="0.2">
      <c r="A5917" s="1" t="s">
        <v>1353</v>
      </c>
    </row>
    <row r="5918" spans="1:1" x14ac:dyDescent="0.2">
      <c r="A5918" s="1" t="s">
        <v>1343</v>
      </c>
    </row>
    <row r="5919" spans="1:1" x14ac:dyDescent="0.2">
      <c r="A5919" s="1" t="s">
        <v>1344</v>
      </c>
    </row>
    <row r="5920" spans="1:1" x14ac:dyDescent="0.2">
      <c r="A5920" s="1" t="s">
        <v>1345</v>
      </c>
    </row>
    <row r="5921" spans="1:1" x14ac:dyDescent="0.2">
      <c r="A5921" s="1" t="s">
        <v>1346</v>
      </c>
    </row>
    <row r="5922" spans="1:1" x14ac:dyDescent="0.2">
      <c r="A5922" s="1" t="s">
        <v>1354</v>
      </c>
    </row>
    <row r="5923" spans="1:1" x14ac:dyDescent="0.2">
      <c r="A5923" s="1" t="s">
        <v>1348</v>
      </c>
    </row>
    <row r="5924" spans="1:1" x14ac:dyDescent="0.2">
      <c r="A5924" s="1" t="s">
        <v>1349</v>
      </c>
    </row>
    <row r="5925" spans="1:1" x14ac:dyDescent="0.2">
      <c r="A5925" s="1" t="s">
        <v>1350</v>
      </c>
    </row>
    <row r="5926" spans="1:1" x14ac:dyDescent="0.2">
      <c r="A5926" s="1" t="s">
        <v>1351</v>
      </c>
    </row>
    <row r="5927" spans="1:1" x14ac:dyDescent="0.2">
      <c r="A5927" s="1" t="s">
        <v>1352</v>
      </c>
    </row>
    <row r="5928" spans="1:1" x14ac:dyDescent="0.2">
      <c r="A5928" s="1" t="s">
        <v>1341</v>
      </c>
    </row>
    <row r="5929" spans="1:1" x14ac:dyDescent="0.2">
      <c r="A5929" s="1" t="s">
        <v>1355</v>
      </c>
    </row>
    <row r="5930" spans="1:1" x14ac:dyDescent="0.2">
      <c r="A5930" s="1" t="s">
        <v>1343</v>
      </c>
    </row>
    <row r="5931" spans="1:1" x14ac:dyDescent="0.2">
      <c r="A5931" s="1" t="s">
        <v>1344</v>
      </c>
    </row>
    <row r="5932" spans="1:1" x14ac:dyDescent="0.2">
      <c r="A5932" s="1" t="s">
        <v>1345</v>
      </c>
    </row>
    <row r="5933" spans="1:1" x14ac:dyDescent="0.2">
      <c r="A5933" s="1" t="s">
        <v>1346</v>
      </c>
    </row>
    <row r="5934" spans="1:1" x14ac:dyDescent="0.2">
      <c r="A5934" s="1" t="s">
        <v>1356</v>
      </c>
    </row>
    <row r="5935" spans="1:1" x14ac:dyDescent="0.2">
      <c r="A5935" s="1" t="s">
        <v>1348</v>
      </c>
    </row>
    <row r="5936" spans="1:1" x14ac:dyDescent="0.2">
      <c r="A5936" s="1" t="s">
        <v>1349</v>
      </c>
    </row>
    <row r="5937" spans="1:1" x14ac:dyDescent="0.2">
      <c r="A5937" s="1" t="s">
        <v>1350</v>
      </c>
    </row>
    <row r="5938" spans="1:1" x14ac:dyDescent="0.2">
      <c r="A5938" s="1" t="s">
        <v>1351</v>
      </c>
    </row>
    <row r="5939" spans="1:1" x14ac:dyDescent="0.2">
      <c r="A5939" s="1" t="s">
        <v>1352</v>
      </c>
    </row>
    <row r="5940" spans="1:1" x14ac:dyDescent="0.2">
      <c r="A5940" s="1" t="s">
        <v>1357</v>
      </c>
    </row>
    <row r="5941" spans="1:1" x14ac:dyDescent="0.2">
      <c r="A5941" s="1" t="s">
        <v>1358</v>
      </c>
    </row>
    <row r="5942" spans="1:1" x14ac:dyDescent="0.2">
      <c r="A5942" s="1" t="s">
        <v>1359</v>
      </c>
    </row>
    <row r="5943" spans="1:1" x14ac:dyDescent="0.2">
      <c r="A5943" s="1" t="s">
        <v>1360</v>
      </c>
    </row>
    <row r="5944" spans="1:1" x14ac:dyDescent="0.2">
      <c r="A5944" s="1" t="s">
        <v>1361</v>
      </c>
    </row>
    <row r="5945" spans="1:1" x14ac:dyDescent="0.2">
      <c r="A5945" s="1" t="s">
        <v>1362</v>
      </c>
    </row>
    <row r="5946" spans="1:1" x14ac:dyDescent="0.2">
      <c r="A5946" s="1" t="s">
        <v>1363</v>
      </c>
    </row>
    <row r="5947" spans="1:1" x14ac:dyDescent="0.2">
      <c r="A5947" s="1" t="s">
        <v>1364</v>
      </c>
    </row>
    <row r="5948" spans="1:1" x14ac:dyDescent="0.2">
      <c r="A5948" s="1" t="s">
        <v>1365</v>
      </c>
    </row>
    <row r="5949" spans="1:1" x14ac:dyDescent="0.2">
      <c r="A5949" s="1" t="s">
        <v>1366</v>
      </c>
    </row>
    <row r="5950" spans="1:1" x14ac:dyDescent="0.2">
      <c r="A5950" s="1" t="s">
        <v>1367</v>
      </c>
    </row>
    <row r="5951" spans="1:1" x14ac:dyDescent="0.2">
      <c r="A5951" s="1" t="s">
        <v>1368</v>
      </c>
    </row>
    <row r="5952" spans="1:1" x14ac:dyDescent="0.2">
      <c r="A5952" s="1" t="s">
        <v>1357</v>
      </c>
    </row>
    <row r="5953" spans="1:1" x14ac:dyDescent="0.2">
      <c r="A5953" s="1" t="s">
        <v>1369</v>
      </c>
    </row>
    <row r="5954" spans="1:1" x14ac:dyDescent="0.2">
      <c r="A5954" s="1" t="s">
        <v>1359</v>
      </c>
    </row>
    <row r="5955" spans="1:1" x14ac:dyDescent="0.2">
      <c r="A5955" s="1" t="s">
        <v>1360</v>
      </c>
    </row>
    <row r="5956" spans="1:1" x14ac:dyDescent="0.2">
      <c r="A5956" s="1" t="s">
        <v>1361</v>
      </c>
    </row>
    <row r="5957" spans="1:1" x14ac:dyDescent="0.2">
      <c r="A5957" s="1" t="s">
        <v>1362</v>
      </c>
    </row>
    <row r="5958" spans="1:1" x14ac:dyDescent="0.2">
      <c r="A5958" s="1" t="s">
        <v>1370</v>
      </c>
    </row>
    <row r="5959" spans="1:1" x14ac:dyDescent="0.2">
      <c r="A5959" s="1" t="s">
        <v>1364</v>
      </c>
    </row>
    <row r="5960" spans="1:1" x14ac:dyDescent="0.2">
      <c r="A5960" s="1" t="s">
        <v>1365</v>
      </c>
    </row>
    <row r="5961" spans="1:1" x14ac:dyDescent="0.2">
      <c r="A5961" s="1" t="s">
        <v>1366</v>
      </c>
    </row>
    <row r="5962" spans="1:1" x14ac:dyDescent="0.2">
      <c r="A5962" s="1" t="s">
        <v>1367</v>
      </c>
    </row>
    <row r="5963" spans="1:1" x14ac:dyDescent="0.2">
      <c r="A5963" s="1" t="s">
        <v>1368</v>
      </c>
    </row>
    <row r="5964" spans="1:1" x14ac:dyDescent="0.2">
      <c r="A5964" s="1" t="s">
        <v>1357</v>
      </c>
    </row>
    <row r="5965" spans="1:1" x14ac:dyDescent="0.2">
      <c r="A5965" s="1" t="s">
        <v>1371</v>
      </c>
    </row>
    <row r="5966" spans="1:1" x14ac:dyDescent="0.2">
      <c r="A5966" s="1" t="s">
        <v>1359</v>
      </c>
    </row>
    <row r="5967" spans="1:1" x14ac:dyDescent="0.2">
      <c r="A5967" s="1" t="s">
        <v>1360</v>
      </c>
    </row>
    <row r="5968" spans="1:1" x14ac:dyDescent="0.2">
      <c r="A5968" s="1" t="s">
        <v>1361</v>
      </c>
    </row>
    <row r="5969" spans="1:1" x14ac:dyDescent="0.2">
      <c r="A5969" s="1" t="s">
        <v>1362</v>
      </c>
    </row>
    <row r="5970" spans="1:1" x14ac:dyDescent="0.2">
      <c r="A5970" s="1" t="s">
        <v>1372</v>
      </c>
    </row>
    <row r="5971" spans="1:1" x14ac:dyDescent="0.2">
      <c r="A5971" s="1" t="s">
        <v>1364</v>
      </c>
    </row>
    <row r="5972" spans="1:1" x14ac:dyDescent="0.2">
      <c r="A5972" s="1" t="s">
        <v>1365</v>
      </c>
    </row>
    <row r="5973" spans="1:1" x14ac:dyDescent="0.2">
      <c r="A5973" s="1" t="s">
        <v>1366</v>
      </c>
    </row>
    <row r="5974" spans="1:1" x14ac:dyDescent="0.2">
      <c r="A5974" s="1" t="s">
        <v>1367</v>
      </c>
    </row>
    <row r="5975" spans="1:1" x14ac:dyDescent="0.2">
      <c r="A5975" s="1" t="s">
        <v>1368</v>
      </c>
    </row>
    <row r="5976" spans="1:1" x14ac:dyDescent="0.2">
      <c r="A5976" s="1" t="s">
        <v>1357</v>
      </c>
    </row>
    <row r="5977" spans="1:1" x14ac:dyDescent="0.2">
      <c r="A5977" s="1" t="s">
        <v>1373</v>
      </c>
    </row>
    <row r="5978" spans="1:1" x14ac:dyDescent="0.2">
      <c r="A5978" s="1" t="s">
        <v>1359</v>
      </c>
    </row>
    <row r="5979" spans="1:1" x14ac:dyDescent="0.2">
      <c r="A5979" s="1" t="s">
        <v>1360</v>
      </c>
    </row>
    <row r="5980" spans="1:1" x14ac:dyDescent="0.2">
      <c r="A5980" s="1" t="s">
        <v>1361</v>
      </c>
    </row>
    <row r="5981" spans="1:1" x14ac:dyDescent="0.2">
      <c r="A5981" s="1" t="s">
        <v>1362</v>
      </c>
    </row>
    <row r="5982" spans="1:1" x14ac:dyDescent="0.2">
      <c r="A5982" s="1" t="s">
        <v>1374</v>
      </c>
    </row>
    <row r="5983" spans="1:1" x14ac:dyDescent="0.2">
      <c r="A5983" s="1" t="s">
        <v>1364</v>
      </c>
    </row>
    <row r="5984" spans="1:1" x14ac:dyDescent="0.2">
      <c r="A5984" s="1" t="s">
        <v>1365</v>
      </c>
    </row>
    <row r="5985" spans="1:1" x14ac:dyDescent="0.2">
      <c r="A5985" s="1" t="s">
        <v>1366</v>
      </c>
    </row>
    <row r="5986" spans="1:1" x14ac:dyDescent="0.2">
      <c r="A5986" s="1" t="s">
        <v>1367</v>
      </c>
    </row>
    <row r="5987" spans="1:1" x14ac:dyDescent="0.2">
      <c r="A5987" s="1" t="s">
        <v>1368</v>
      </c>
    </row>
    <row r="5988" spans="1:1" x14ac:dyDescent="0.2">
      <c r="A5988" s="1" t="s">
        <v>1375</v>
      </c>
    </row>
    <row r="5989" spans="1:1" x14ac:dyDescent="0.2">
      <c r="A5989" s="1" t="s">
        <v>1376</v>
      </c>
    </row>
    <row r="5990" spans="1:1" x14ac:dyDescent="0.2">
      <c r="A5990" s="1" t="s">
        <v>1377</v>
      </c>
    </row>
    <row r="5991" spans="1:1" x14ac:dyDescent="0.2">
      <c r="A5991" s="1" t="s">
        <v>1378</v>
      </c>
    </row>
    <row r="5992" spans="1:1" x14ac:dyDescent="0.2">
      <c r="A5992" s="1" t="s">
        <v>1379</v>
      </c>
    </row>
    <row r="5993" spans="1:1" x14ac:dyDescent="0.2">
      <c r="A5993" s="1" t="s">
        <v>1380</v>
      </c>
    </row>
    <row r="5994" spans="1:1" x14ac:dyDescent="0.2">
      <c r="A5994" s="1" t="s">
        <v>1379</v>
      </c>
    </row>
    <row r="5995" spans="1:1" x14ac:dyDescent="0.2">
      <c r="A5995" s="1" t="s">
        <v>1381</v>
      </c>
    </row>
    <row r="5996" spans="1:1" x14ac:dyDescent="0.2">
      <c r="A5996" s="1" t="s">
        <v>1382</v>
      </c>
    </row>
    <row r="5997" spans="1:1" x14ac:dyDescent="0.2">
      <c r="A5997" s="1" t="s">
        <v>1383</v>
      </c>
    </row>
    <row r="5998" spans="1:1" x14ac:dyDescent="0.2">
      <c r="A5998" s="1" t="s">
        <v>1384</v>
      </c>
    </row>
    <row r="5999" spans="1:1" x14ac:dyDescent="0.2">
      <c r="A5999" s="1" t="s">
        <v>1385</v>
      </c>
    </row>
    <row r="6000" spans="1:1" x14ac:dyDescent="0.2">
      <c r="A6000" s="1" t="s">
        <v>1386</v>
      </c>
    </row>
    <row r="6001" spans="1:1" x14ac:dyDescent="0.2">
      <c r="A6001" s="1" t="s">
        <v>1387</v>
      </c>
    </row>
    <row r="6002" spans="1:1" x14ac:dyDescent="0.2">
      <c r="A6002" s="1" t="s">
        <v>1388</v>
      </c>
    </row>
    <row r="6003" spans="1:1" x14ac:dyDescent="0.2">
      <c r="A6003" s="1" t="s">
        <v>1389</v>
      </c>
    </row>
    <row r="6004" spans="1:1" x14ac:dyDescent="0.2">
      <c r="A6004" s="1" t="s">
        <v>1390</v>
      </c>
    </row>
    <row r="6005" spans="1:1" x14ac:dyDescent="0.2">
      <c r="A6005" s="1" t="s">
        <v>1391</v>
      </c>
    </row>
    <row r="6006" spans="1:1" x14ac:dyDescent="0.2">
      <c r="A6006" s="1" t="s">
        <v>1392</v>
      </c>
    </row>
    <row r="6007" spans="1:1" x14ac:dyDescent="0.2">
      <c r="A6007" s="1" t="s">
        <v>1393</v>
      </c>
    </row>
    <row r="6008" spans="1:1" x14ac:dyDescent="0.2">
      <c r="A6008" s="1" t="s">
        <v>1394</v>
      </c>
    </row>
    <row r="6009" spans="1:1" x14ac:dyDescent="0.2">
      <c r="A6009" s="1" t="s">
        <v>1395</v>
      </c>
    </row>
    <row r="6010" spans="1:1" x14ac:dyDescent="0.2">
      <c r="A6010" s="1" t="s">
        <v>1396</v>
      </c>
    </row>
    <row r="6011" spans="1:1" x14ac:dyDescent="0.2">
      <c r="A6011" s="1" t="s">
        <v>1397</v>
      </c>
    </row>
    <row r="6012" spans="1:1" x14ac:dyDescent="0.2">
      <c r="A6012" s="1" t="s">
        <v>1398</v>
      </c>
    </row>
    <row r="6013" spans="1:1" x14ac:dyDescent="0.2">
      <c r="A6013" s="1" t="s">
        <v>1399</v>
      </c>
    </row>
    <row r="6014" spans="1:1" x14ac:dyDescent="0.2">
      <c r="A6014" s="1" t="s">
        <v>1400</v>
      </c>
    </row>
    <row r="6015" spans="1:1" x14ac:dyDescent="0.2">
      <c r="A6015" s="1" t="s">
        <v>1401</v>
      </c>
    </row>
    <row r="6016" spans="1:1" x14ac:dyDescent="0.2">
      <c r="A6016" s="1" t="s">
        <v>1402</v>
      </c>
    </row>
    <row r="6017" spans="1:1" x14ac:dyDescent="0.2">
      <c r="A6017" s="1" t="s">
        <v>1403</v>
      </c>
    </row>
    <row r="6018" spans="1:1" x14ac:dyDescent="0.2">
      <c r="A6018" s="1" t="s">
        <v>1404</v>
      </c>
    </row>
    <row r="6019" spans="1:1" x14ac:dyDescent="0.2">
      <c r="A6019" s="1" t="s">
        <v>1405</v>
      </c>
    </row>
    <row r="6020" spans="1:1" x14ac:dyDescent="0.2">
      <c r="A6020" s="1" t="s">
        <v>1406</v>
      </c>
    </row>
    <row r="6021" spans="1:1" x14ac:dyDescent="0.2">
      <c r="A6021" s="1" t="s">
        <v>1407</v>
      </c>
    </row>
    <row r="6022" spans="1:1" x14ac:dyDescent="0.2">
      <c r="A6022" s="1" t="s">
        <v>1408</v>
      </c>
    </row>
    <row r="6023" spans="1:1" x14ac:dyDescent="0.2">
      <c r="A6023" s="1" t="s">
        <v>1397</v>
      </c>
    </row>
    <row r="6024" spans="1:1" x14ac:dyDescent="0.2">
      <c r="A6024" s="1" t="s">
        <v>1409</v>
      </c>
    </row>
    <row r="6025" spans="1:1" x14ac:dyDescent="0.2">
      <c r="A6025" s="1" t="s">
        <v>1410</v>
      </c>
    </row>
    <row r="6026" spans="1:1" x14ac:dyDescent="0.2">
      <c r="A6026" s="1" t="s">
        <v>1411</v>
      </c>
    </row>
    <row r="6027" spans="1:1" x14ac:dyDescent="0.2">
      <c r="A6027" s="1" t="s">
        <v>1412</v>
      </c>
    </row>
    <row r="6028" spans="1:1" x14ac:dyDescent="0.2">
      <c r="A6028" s="1" t="s">
        <v>1413</v>
      </c>
    </row>
    <row r="6029" spans="1:1" x14ac:dyDescent="0.2">
      <c r="A6029" s="1" t="s">
        <v>1414</v>
      </c>
    </row>
    <row r="6030" spans="1:1" x14ac:dyDescent="0.2">
      <c r="A6030" s="1" t="s">
        <v>1415</v>
      </c>
    </row>
    <row r="6031" spans="1:1" x14ac:dyDescent="0.2">
      <c r="A6031" s="1" t="s">
        <v>1416</v>
      </c>
    </row>
    <row r="6032" spans="1:1" x14ac:dyDescent="0.2">
      <c r="A6032" s="1" t="s">
        <v>1417</v>
      </c>
    </row>
    <row r="6033" spans="1:1" x14ac:dyDescent="0.2">
      <c r="A6033" s="1" t="s">
        <v>1418</v>
      </c>
    </row>
    <row r="6034" spans="1:1" x14ac:dyDescent="0.2">
      <c r="A6034" s="1" t="s">
        <v>1419</v>
      </c>
    </row>
    <row r="6035" spans="1:1" x14ac:dyDescent="0.2">
      <c r="A6035" s="1" t="s">
        <v>1420</v>
      </c>
    </row>
    <row r="6036" spans="1:1" x14ac:dyDescent="0.2">
      <c r="A6036" s="1" t="s">
        <v>1421</v>
      </c>
    </row>
    <row r="6037" spans="1:1" x14ac:dyDescent="0.2">
      <c r="A6037" s="1" t="s">
        <v>1422</v>
      </c>
    </row>
    <row r="6038" spans="1:1" x14ac:dyDescent="0.2">
      <c r="A6038" s="1" t="s">
        <v>1423</v>
      </c>
    </row>
    <row r="6039" spans="1:1" x14ac:dyDescent="0.2">
      <c r="A6039" s="1" t="s">
        <v>1424</v>
      </c>
    </row>
    <row r="6040" spans="1:1" x14ac:dyDescent="0.2">
      <c r="A6040" s="1" t="s">
        <v>1425</v>
      </c>
    </row>
    <row r="6041" spans="1:1" x14ac:dyDescent="0.2">
      <c r="A6041" s="1" t="s">
        <v>1426</v>
      </c>
    </row>
    <row r="6042" spans="1:1" x14ac:dyDescent="0.2">
      <c r="A6042" s="1" t="s">
        <v>1427</v>
      </c>
    </row>
    <row r="6043" spans="1:1" x14ac:dyDescent="0.2">
      <c r="A6043" s="1" t="s">
        <v>1428</v>
      </c>
    </row>
    <row r="6044" spans="1:1" x14ac:dyDescent="0.2">
      <c r="A6044" s="1" t="s">
        <v>1429</v>
      </c>
    </row>
    <row r="6045" spans="1:1" x14ac:dyDescent="0.2">
      <c r="A6045" s="1" t="s">
        <v>1430</v>
      </c>
    </row>
    <row r="6046" spans="1:1" x14ac:dyDescent="0.2">
      <c r="A6046" s="1" t="s">
        <v>1431</v>
      </c>
    </row>
    <row r="6047" spans="1:1" x14ac:dyDescent="0.2">
      <c r="A6047" s="1" t="s">
        <v>1432</v>
      </c>
    </row>
    <row r="6048" spans="1:1" x14ac:dyDescent="0.2">
      <c r="A6048" s="1" t="s">
        <v>1433</v>
      </c>
    </row>
    <row r="6049" spans="1:1" x14ac:dyDescent="0.2">
      <c r="A6049" s="1" t="s">
        <v>1434</v>
      </c>
    </row>
    <row r="6050" spans="1:1" x14ac:dyDescent="0.2">
      <c r="A6050" s="1" t="s">
        <v>1435</v>
      </c>
    </row>
    <row r="6051" spans="1:1" x14ac:dyDescent="0.2">
      <c r="A6051" s="1" t="s">
        <v>1436</v>
      </c>
    </row>
    <row r="6052" spans="1:1" x14ac:dyDescent="0.2">
      <c r="A6052" s="1" t="s">
        <v>1437</v>
      </c>
    </row>
    <row r="6053" spans="1:1" x14ac:dyDescent="0.2">
      <c r="A6053" s="1" t="s">
        <v>1438</v>
      </c>
    </row>
    <row r="6054" spans="1:1" x14ac:dyDescent="0.2">
      <c r="A6054" s="1" t="s">
        <v>1439</v>
      </c>
    </row>
    <row r="6055" spans="1:1" x14ac:dyDescent="0.2">
      <c r="A6055" s="1" t="s">
        <v>1440</v>
      </c>
    </row>
    <row r="6056" spans="1:1" x14ac:dyDescent="0.2">
      <c r="A6056" s="1" t="s">
        <v>1439</v>
      </c>
    </row>
    <row r="6057" spans="1:1" x14ac:dyDescent="0.2">
      <c r="A6057" s="1" t="s">
        <v>1441</v>
      </c>
    </row>
    <row r="6058" spans="1:1" x14ac:dyDescent="0.2">
      <c r="A6058" s="1" t="s">
        <v>1442</v>
      </c>
    </row>
    <row r="6059" spans="1:1" x14ac:dyDescent="0.2">
      <c r="A6059" s="1" t="s">
        <v>1443</v>
      </c>
    </row>
    <row r="6060" spans="1:1" x14ac:dyDescent="0.2">
      <c r="A6060" s="1" t="s">
        <v>1444</v>
      </c>
    </row>
    <row r="6061" spans="1:1" x14ac:dyDescent="0.2">
      <c r="A6061" s="1" t="s">
        <v>1442</v>
      </c>
    </row>
    <row r="6062" spans="1:1" x14ac:dyDescent="0.2">
      <c r="A6062" s="1" t="s">
        <v>1445</v>
      </c>
    </row>
    <row r="6063" spans="1:1" x14ac:dyDescent="0.2">
      <c r="A6063" s="1" t="s">
        <v>1442</v>
      </c>
    </row>
    <row r="6064" spans="1:1" x14ac:dyDescent="0.2">
      <c r="A6064" s="1" t="s">
        <v>1446</v>
      </c>
    </row>
    <row r="6065" spans="1:1" x14ac:dyDescent="0.2">
      <c r="A6065" s="1" t="s">
        <v>1447</v>
      </c>
    </row>
    <row r="6066" spans="1:1" x14ac:dyDescent="0.2">
      <c r="A6066" s="1" t="s">
        <v>1448</v>
      </c>
    </row>
    <row r="6067" spans="1:1" x14ac:dyDescent="0.2">
      <c r="A6067" s="1" t="s">
        <v>1449</v>
      </c>
    </row>
    <row r="6068" spans="1:1" x14ac:dyDescent="0.2">
      <c r="A6068" s="1" t="s">
        <v>1447</v>
      </c>
    </row>
    <row r="6069" spans="1:1" x14ac:dyDescent="0.2">
      <c r="A6069" s="1" t="s">
        <v>1450</v>
      </c>
    </row>
    <row r="6070" spans="1:1" x14ac:dyDescent="0.2">
      <c r="A6070" s="1" t="s">
        <v>1449</v>
      </c>
    </row>
    <row r="6071" spans="1:1" x14ac:dyDescent="0.2">
      <c r="A6071" s="1" t="s">
        <v>1447</v>
      </c>
    </row>
    <row r="6072" spans="1:1" x14ac:dyDescent="0.2">
      <c r="A6072" s="1" t="s">
        <v>1451</v>
      </c>
    </row>
    <row r="6073" spans="1:1" x14ac:dyDescent="0.2">
      <c r="A6073" s="1" t="s">
        <v>1449</v>
      </c>
    </row>
    <row r="6074" spans="1:1" x14ac:dyDescent="0.2">
      <c r="A6074" s="1" t="s">
        <v>1452</v>
      </c>
    </row>
    <row r="6075" spans="1:1" x14ac:dyDescent="0.2">
      <c r="A6075" s="1" t="s">
        <v>1453</v>
      </c>
    </row>
    <row r="6076" spans="1:1" x14ac:dyDescent="0.2">
      <c r="A6076" s="1" t="s">
        <v>1454</v>
      </c>
    </row>
    <row r="6077" spans="1:1" x14ac:dyDescent="0.2">
      <c r="A6077" s="1" t="s">
        <v>1452</v>
      </c>
    </row>
    <row r="6078" spans="1:1" x14ac:dyDescent="0.2">
      <c r="A6078" s="1" t="s">
        <v>1455</v>
      </c>
    </row>
    <row r="6079" spans="1:1" x14ac:dyDescent="0.2">
      <c r="A6079" s="1" t="s">
        <v>1454</v>
      </c>
    </row>
    <row r="6080" spans="1:1" x14ac:dyDescent="0.2">
      <c r="A6080" s="1" t="s">
        <v>1452</v>
      </c>
    </row>
    <row r="6081" spans="1:1" x14ac:dyDescent="0.2">
      <c r="A6081" s="1" t="s">
        <v>1456</v>
      </c>
    </row>
    <row r="6082" spans="1:1" x14ac:dyDescent="0.2">
      <c r="A6082" s="1" t="s">
        <v>1454</v>
      </c>
    </row>
    <row r="6083" spans="1:1" x14ac:dyDescent="0.2">
      <c r="A6083" s="1" t="s">
        <v>1457</v>
      </c>
    </row>
    <row r="6084" spans="1:1" x14ac:dyDescent="0.2">
      <c r="A6084" s="1" t="s">
        <v>1458</v>
      </c>
    </row>
    <row r="6085" spans="1:1" x14ac:dyDescent="0.2">
      <c r="A6085" s="1" t="s">
        <v>1459</v>
      </c>
    </row>
    <row r="6086" spans="1:1" x14ac:dyDescent="0.2">
      <c r="A6086" s="1" t="s">
        <v>1460</v>
      </c>
    </row>
    <row r="6087" spans="1:1" x14ac:dyDescent="0.2">
      <c r="A6087" s="1" t="s">
        <v>1461</v>
      </c>
    </row>
    <row r="6088" spans="1:1" x14ac:dyDescent="0.2">
      <c r="A6088" s="1" t="s">
        <v>1462</v>
      </c>
    </row>
    <row r="6089" spans="1:1" x14ac:dyDescent="0.2">
      <c r="A6089" s="1" t="s">
        <v>1463</v>
      </c>
    </row>
    <row r="6090" spans="1:1" x14ac:dyDescent="0.2">
      <c r="A6090" s="1" t="s">
        <v>1464</v>
      </c>
    </row>
    <row r="6091" spans="1:1" x14ac:dyDescent="0.2">
      <c r="A6091" s="1" t="s">
        <v>1465</v>
      </c>
    </row>
    <row r="6092" spans="1:1" x14ac:dyDescent="0.2">
      <c r="A6092" s="1" t="s">
        <v>1466</v>
      </c>
    </row>
    <row r="6093" spans="1:1" x14ac:dyDescent="0.2">
      <c r="A6093" s="1" t="s">
        <v>1467</v>
      </c>
    </row>
    <row r="6094" spans="1:1" x14ac:dyDescent="0.2">
      <c r="A6094" s="1" t="s">
        <v>1468</v>
      </c>
    </row>
    <row r="6095" spans="1:1" x14ac:dyDescent="0.2">
      <c r="A6095" s="1" t="s">
        <v>1457</v>
      </c>
    </row>
    <row r="6096" spans="1:1" x14ac:dyDescent="0.2">
      <c r="A6096" s="1" t="s">
        <v>1469</v>
      </c>
    </row>
    <row r="6097" spans="1:1" x14ac:dyDescent="0.2">
      <c r="A6097" s="1" t="s">
        <v>1459</v>
      </c>
    </row>
    <row r="6098" spans="1:1" x14ac:dyDescent="0.2">
      <c r="A6098" s="1" t="s">
        <v>1460</v>
      </c>
    </row>
    <row r="6099" spans="1:1" x14ac:dyDescent="0.2">
      <c r="A6099" s="1" t="s">
        <v>1461</v>
      </c>
    </row>
    <row r="6100" spans="1:1" x14ac:dyDescent="0.2">
      <c r="A6100" s="1" t="s">
        <v>1462</v>
      </c>
    </row>
    <row r="6101" spans="1:1" x14ac:dyDescent="0.2">
      <c r="A6101" s="1" t="s">
        <v>1470</v>
      </c>
    </row>
    <row r="6102" spans="1:1" x14ac:dyDescent="0.2">
      <c r="A6102" s="1" t="s">
        <v>1464</v>
      </c>
    </row>
    <row r="6103" spans="1:1" x14ac:dyDescent="0.2">
      <c r="A6103" s="1" t="s">
        <v>1465</v>
      </c>
    </row>
    <row r="6104" spans="1:1" x14ac:dyDescent="0.2">
      <c r="A6104" s="1" t="s">
        <v>1466</v>
      </c>
    </row>
    <row r="6105" spans="1:1" x14ac:dyDescent="0.2">
      <c r="A6105" s="1" t="s">
        <v>1467</v>
      </c>
    </row>
    <row r="6106" spans="1:1" x14ac:dyDescent="0.2">
      <c r="A6106" s="1" t="s">
        <v>1468</v>
      </c>
    </row>
    <row r="6107" spans="1:1" x14ac:dyDescent="0.2">
      <c r="A6107" s="1" t="s">
        <v>1457</v>
      </c>
    </row>
    <row r="6108" spans="1:1" x14ac:dyDescent="0.2">
      <c r="A6108" s="1" t="s">
        <v>1471</v>
      </c>
    </row>
    <row r="6109" spans="1:1" x14ac:dyDescent="0.2">
      <c r="A6109" s="1" t="s">
        <v>1459</v>
      </c>
    </row>
    <row r="6110" spans="1:1" x14ac:dyDescent="0.2">
      <c r="A6110" s="1" t="s">
        <v>1460</v>
      </c>
    </row>
    <row r="6111" spans="1:1" x14ac:dyDescent="0.2">
      <c r="A6111" s="1" t="s">
        <v>1461</v>
      </c>
    </row>
    <row r="6112" spans="1:1" x14ac:dyDescent="0.2">
      <c r="A6112" s="1" t="s">
        <v>1462</v>
      </c>
    </row>
    <row r="6113" spans="1:1" x14ac:dyDescent="0.2">
      <c r="A6113" s="1" t="s">
        <v>1472</v>
      </c>
    </row>
    <row r="6114" spans="1:1" x14ac:dyDescent="0.2">
      <c r="A6114" s="1" t="s">
        <v>1464</v>
      </c>
    </row>
    <row r="6115" spans="1:1" x14ac:dyDescent="0.2">
      <c r="A6115" s="1" t="s">
        <v>1465</v>
      </c>
    </row>
    <row r="6116" spans="1:1" x14ac:dyDescent="0.2">
      <c r="A6116" s="1" t="s">
        <v>1466</v>
      </c>
    </row>
    <row r="6117" spans="1:1" x14ac:dyDescent="0.2">
      <c r="A6117" s="1" t="s">
        <v>1467</v>
      </c>
    </row>
    <row r="6118" spans="1:1" x14ac:dyDescent="0.2">
      <c r="A6118" s="1" t="s">
        <v>1468</v>
      </c>
    </row>
    <row r="6119" spans="1:1" x14ac:dyDescent="0.2">
      <c r="A6119" s="1" t="s">
        <v>1473</v>
      </c>
    </row>
    <row r="6120" spans="1:1" x14ac:dyDescent="0.2">
      <c r="A6120" s="1" t="s">
        <v>1474</v>
      </c>
    </row>
    <row r="6121" spans="1:1" x14ac:dyDescent="0.2">
      <c r="A6121" s="1" t="s">
        <v>1475</v>
      </c>
    </row>
    <row r="6122" spans="1:1" x14ac:dyDescent="0.2">
      <c r="A6122" s="1" t="s">
        <v>1476</v>
      </c>
    </row>
    <row r="6123" spans="1:1" x14ac:dyDescent="0.2">
      <c r="A6123" s="1" t="s">
        <v>1477</v>
      </c>
    </row>
    <row r="6124" spans="1:1" x14ac:dyDescent="0.2">
      <c r="A6124" s="1" t="s">
        <v>1478</v>
      </c>
    </row>
    <row r="6125" spans="1:1" x14ac:dyDescent="0.2">
      <c r="A6125" s="1" t="s">
        <v>1479</v>
      </c>
    </row>
    <row r="6126" spans="1:1" x14ac:dyDescent="0.2">
      <c r="A6126" s="1" t="s">
        <v>1480</v>
      </c>
    </row>
    <row r="6127" spans="1:1" x14ac:dyDescent="0.2">
      <c r="A6127" s="1" t="s">
        <v>1481</v>
      </c>
    </row>
    <row r="6128" spans="1:1" x14ac:dyDescent="0.2">
      <c r="A6128" s="1" t="s">
        <v>1482</v>
      </c>
    </row>
    <row r="6129" spans="1:1" x14ac:dyDescent="0.2">
      <c r="A6129" s="1" t="s">
        <v>1483</v>
      </c>
    </row>
    <row r="6130" spans="1:1" x14ac:dyDescent="0.2">
      <c r="A6130" s="1" t="s">
        <v>1484</v>
      </c>
    </row>
    <row r="6131" spans="1:1" x14ac:dyDescent="0.2">
      <c r="A6131" s="1" t="s">
        <v>1473</v>
      </c>
    </row>
    <row r="6132" spans="1:1" x14ac:dyDescent="0.2">
      <c r="A6132" s="1" t="s">
        <v>1485</v>
      </c>
    </row>
    <row r="6133" spans="1:1" x14ac:dyDescent="0.2">
      <c r="A6133" s="1" t="s">
        <v>1475</v>
      </c>
    </row>
    <row r="6134" spans="1:1" x14ac:dyDescent="0.2">
      <c r="A6134" s="1" t="s">
        <v>1476</v>
      </c>
    </row>
    <row r="6135" spans="1:1" x14ac:dyDescent="0.2">
      <c r="A6135" s="1" t="s">
        <v>1477</v>
      </c>
    </row>
    <row r="6136" spans="1:1" x14ac:dyDescent="0.2">
      <c r="A6136" s="1" t="s">
        <v>1478</v>
      </c>
    </row>
    <row r="6137" spans="1:1" x14ac:dyDescent="0.2">
      <c r="A6137" s="1" t="s">
        <v>1486</v>
      </c>
    </row>
    <row r="6138" spans="1:1" x14ac:dyDescent="0.2">
      <c r="A6138" s="1" t="s">
        <v>1480</v>
      </c>
    </row>
    <row r="6139" spans="1:1" x14ac:dyDescent="0.2">
      <c r="A6139" s="1" t="s">
        <v>1481</v>
      </c>
    </row>
    <row r="6140" spans="1:1" x14ac:dyDescent="0.2">
      <c r="A6140" s="1" t="s">
        <v>1482</v>
      </c>
    </row>
    <row r="6141" spans="1:1" x14ac:dyDescent="0.2">
      <c r="A6141" s="1" t="s">
        <v>1483</v>
      </c>
    </row>
    <row r="6142" spans="1:1" x14ac:dyDescent="0.2">
      <c r="A6142" s="1" t="s">
        <v>1484</v>
      </c>
    </row>
    <row r="6143" spans="1:1" x14ac:dyDescent="0.2">
      <c r="A6143" s="1" t="s">
        <v>1473</v>
      </c>
    </row>
    <row r="6144" spans="1:1" x14ac:dyDescent="0.2">
      <c r="A6144" s="1" t="s">
        <v>1487</v>
      </c>
    </row>
    <row r="6145" spans="1:1" x14ac:dyDescent="0.2">
      <c r="A6145" s="1" t="s">
        <v>1475</v>
      </c>
    </row>
    <row r="6146" spans="1:1" x14ac:dyDescent="0.2">
      <c r="A6146" s="1" t="s">
        <v>1476</v>
      </c>
    </row>
    <row r="6147" spans="1:1" x14ac:dyDescent="0.2">
      <c r="A6147" s="1" t="s">
        <v>1477</v>
      </c>
    </row>
    <row r="6148" spans="1:1" x14ac:dyDescent="0.2">
      <c r="A6148" s="1" t="s">
        <v>1478</v>
      </c>
    </row>
    <row r="6149" spans="1:1" x14ac:dyDescent="0.2">
      <c r="A6149" s="1" t="s">
        <v>1488</v>
      </c>
    </row>
    <row r="6150" spans="1:1" x14ac:dyDescent="0.2">
      <c r="A6150" s="1" t="s">
        <v>1480</v>
      </c>
    </row>
    <row r="6151" spans="1:1" x14ac:dyDescent="0.2">
      <c r="A6151" s="1" t="s">
        <v>1481</v>
      </c>
    </row>
    <row r="6152" spans="1:1" x14ac:dyDescent="0.2">
      <c r="A6152" s="1" t="s">
        <v>1482</v>
      </c>
    </row>
    <row r="6153" spans="1:1" x14ac:dyDescent="0.2">
      <c r="A6153" s="1" t="s">
        <v>1483</v>
      </c>
    </row>
    <row r="6154" spans="1:1" x14ac:dyDescent="0.2">
      <c r="A6154" s="1" t="s">
        <v>1484</v>
      </c>
    </row>
    <row r="6155" spans="1:1" x14ac:dyDescent="0.2">
      <c r="A6155" s="1" t="s">
        <v>1489</v>
      </c>
    </row>
    <row r="6156" spans="1:1" x14ac:dyDescent="0.2">
      <c r="A6156" s="1" t="s">
        <v>1490</v>
      </c>
    </row>
    <row r="6157" spans="1:1" x14ac:dyDescent="0.2">
      <c r="A6157" s="1" t="s">
        <v>1491</v>
      </c>
    </row>
    <row r="6158" spans="1:1" x14ac:dyDescent="0.2">
      <c r="A6158" s="1" t="s">
        <v>1492</v>
      </c>
    </row>
    <row r="6159" spans="1:1" x14ac:dyDescent="0.2">
      <c r="A6159" s="1" t="s">
        <v>1493</v>
      </c>
    </row>
    <row r="6160" spans="1:1" x14ac:dyDescent="0.2">
      <c r="A6160" s="1" t="s">
        <v>1494</v>
      </c>
    </row>
    <row r="6161" spans="1:1" x14ac:dyDescent="0.2">
      <c r="A6161" s="1" t="s">
        <v>1495</v>
      </c>
    </row>
    <row r="6162" spans="1:1" x14ac:dyDescent="0.2">
      <c r="A6162" s="1" t="s">
        <v>1496</v>
      </c>
    </row>
    <row r="6163" spans="1:1" x14ac:dyDescent="0.2">
      <c r="A6163" s="1" t="s">
        <v>1497</v>
      </c>
    </row>
    <row r="6164" spans="1:1" x14ac:dyDescent="0.2">
      <c r="A6164" s="1" t="s">
        <v>1498</v>
      </c>
    </row>
    <row r="6165" spans="1:1" x14ac:dyDescent="0.2">
      <c r="A6165" s="1" t="s">
        <v>1499</v>
      </c>
    </row>
    <row r="6166" spans="1:1" x14ac:dyDescent="0.2">
      <c r="A6166" s="1" t="s">
        <v>1500</v>
      </c>
    </row>
    <row r="6167" spans="1:1" x14ac:dyDescent="0.2">
      <c r="A6167" s="1" t="s">
        <v>1489</v>
      </c>
    </row>
    <row r="6168" spans="1:1" x14ac:dyDescent="0.2">
      <c r="A6168" s="1" t="s">
        <v>1501</v>
      </c>
    </row>
    <row r="6169" spans="1:1" x14ac:dyDescent="0.2">
      <c r="A6169" s="1" t="s">
        <v>1491</v>
      </c>
    </row>
    <row r="6170" spans="1:1" x14ac:dyDescent="0.2">
      <c r="A6170" s="1" t="s">
        <v>1492</v>
      </c>
    </row>
    <row r="6171" spans="1:1" x14ac:dyDescent="0.2">
      <c r="A6171" s="1" t="s">
        <v>1493</v>
      </c>
    </row>
    <row r="6172" spans="1:1" x14ac:dyDescent="0.2">
      <c r="A6172" s="1" t="s">
        <v>1494</v>
      </c>
    </row>
    <row r="6173" spans="1:1" x14ac:dyDescent="0.2">
      <c r="A6173" s="1" t="s">
        <v>1502</v>
      </c>
    </row>
    <row r="6174" spans="1:1" x14ac:dyDescent="0.2">
      <c r="A6174" s="1" t="s">
        <v>1496</v>
      </c>
    </row>
    <row r="6175" spans="1:1" x14ac:dyDescent="0.2">
      <c r="A6175" s="1" t="s">
        <v>1497</v>
      </c>
    </row>
    <row r="6176" spans="1:1" x14ac:dyDescent="0.2">
      <c r="A6176" s="1" t="s">
        <v>1498</v>
      </c>
    </row>
    <row r="6177" spans="1:1" x14ac:dyDescent="0.2">
      <c r="A6177" s="1" t="s">
        <v>1499</v>
      </c>
    </row>
    <row r="6178" spans="1:1" x14ac:dyDescent="0.2">
      <c r="A6178" s="1" t="s">
        <v>1500</v>
      </c>
    </row>
    <row r="6179" spans="1:1" x14ac:dyDescent="0.2">
      <c r="A6179" s="1" t="s">
        <v>1503</v>
      </c>
    </row>
    <row r="6180" spans="1:1" x14ac:dyDescent="0.2">
      <c r="A6180" s="1" t="s">
        <v>1504</v>
      </c>
    </row>
    <row r="6181" spans="1:1" x14ac:dyDescent="0.2">
      <c r="A6181" s="1" t="s">
        <v>1505</v>
      </c>
    </row>
    <row r="6182" spans="1:1" x14ac:dyDescent="0.2">
      <c r="A6182" s="1" t="s">
        <v>1506</v>
      </c>
    </row>
    <row r="6183" spans="1:1" x14ac:dyDescent="0.2">
      <c r="A6183" s="1" t="s">
        <v>1507</v>
      </c>
    </row>
    <row r="6184" spans="1:1" x14ac:dyDescent="0.2">
      <c r="A6184" s="1" t="s">
        <v>1508</v>
      </c>
    </row>
    <row r="6185" spans="1:1" x14ac:dyDescent="0.2">
      <c r="A6185" s="1" t="s">
        <v>1509</v>
      </c>
    </row>
    <row r="6186" spans="1:1" x14ac:dyDescent="0.2">
      <c r="A6186" s="1" t="s">
        <v>1510</v>
      </c>
    </row>
    <row r="6187" spans="1:1" x14ac:dyDescent="0.2">
      <c r="A6187" s="1" t="s">
        <v>1511</v>
      </c>
    </row>
    <row r="6188" spans="1:1" x14ac:dyDescent="0.2">
      <c r="A6188" s="1" t="s">
        <v>1512</v>
      </c>
    </row>
    <row r="6189" spans="1:1" x14ac:dyDescent="0.2">
      <c r="A6189" s="1" t="s">
        <v>1513</v>
      </c>
    </row>
    <row r="6190" spans="1:1" x14ac:dyDescent="0.2">
      <c r="A6190" s="1" t="s">
        <v>1514</v>
      </c>
    </row>
    <row r="6191" spans="1:1" x14ac:dyDescent="0.2">
      <c r="A6191" s="1" t="s">
        <v>1515</v>
      </c>
    </row>
    <row r="6192" spans="1:1" x14ac:dyDescent="0.2">
      <c r="A6192" s="1" t="s">
        <v>1516</v>
      </c>
    </row>
    <row r="6193" spans="1:1" x14ac:dyDescent="0.2">
      <c r="A6193" s="1" t="s">
        <v>1517</v>
      </c>
    </row>
    <row r="6194" spans="1:1" x14ac:dyDescent="0.2">
      <c r="A6194" s="1" t="s">
        <v>1518</v>
      </c>
    </row>
    <row r="6195" spans="1:1" x14ac:dyDescent="0.2">
      <c r="A6195" s="1" t="s">
        <v>1519</v>
      </c>
    </row>
    <row r="6196" spans="1:1" x14ac:dyDescent="0.2">
      <c r="A6196" s="1" t="s">
        <v>1520</v>
      </c>
    </row>
    <row r="6197" spans="1:1" x14ac:dyDescent="0.2">
      <c r="A6197" s="1" t="s">
        <v>1521</v>
      </c>
    </row>
    <row r="6198" spans="1:1" x14ac:dyDescent="0.2">
      <c r="A6198" s="1" t="s">
        <v>1522</v>
      </c>
    </row>
    <row r="6199" spans="1:1" x14ac:dyDescent="0.2">
      <c r="A6199" s="1" t="s">
        <v>1523</v>
      </c>
    </row>
    <row r="6200" spans="1:1" x14ac:dyDescent="0.2">
      <c r="A6200" s="1" t="s">
        <v>1524</v>
      </c>
    </row>
    <row r="6201" spans="1:1" x14ac:dyDescent="0.2">
      <c r="A6201" s="1" t="s">
        <v>1525</v>
      </c>
    </row>
    <row r="6202" spans="1:1" x14ac:dyDescent="0.2">
      <c r="A6202" s="1" t="s">
        <v>1526</v>
      </c>
    </row>
    <row r="6203" spans="1:1" x14ac:dyDescent="0.2">
      <c r="A6203" s="1" t="s">
        <v>1515</v>
      </c>
    </row>
    <row r="6204" spans="1:1" x14ac:dyDescent="0.2">
      <c r="A6204" s="1" t="s">
        <v>1527</v>
      </c>
    </row>
    <row r="6205" spans="1:1" x14ac:dyDescent="0.2">
      <c r="A6205" s="1" t="s">
        <v>1517</v>
      </c>
    </row>
    <row r="6206" spans="1:1" x14ac:dyDescent="0.2">
      <c r="A6206" s="1" t="s">
        <v>1518</v>
      </c>
    </row>
    <row r="6207" spans="1:1" x14ac:dyDescent="0.2">
      <c r="A6207" s="1" t="s">
        <v>1519</v>
      </c>
    </row>
    <row r="6208" spans="1:1" x14ac:dyDescent="0.2">
      <c r="A6208" s="1" t="s">
        <v>1520</v>
      </c>
    </row>
    <row r="6209" spans="1:1" x14ac:dyDescent="0.2">
      <c r="A6209" s="1" t="s">
        <v>1528</v>
      </c>
    </row>
    <row r="6210" spans="1:1" x14ac:dyDescent="0.2">
      <c r="A6210" s="1" t="s">
        <v>1522</v>
      </c>
    </row>
    <row r="6211" spans="1:1" x14ac:dyDescent="0.2">
      <c r="A6211" s="1" t="s">
        <v>1523</v>
      </c>
    </row>
    <row r="6212" spans="1:1" x14ac:dyDescent="0.2">
      <c r="A6212" s="1" t="s">
        <v>1524</v>
      </c>
    </row>
    <row r="6213" spans="1:1" x14ac:dyDescent="0.2">
      <c r="A6213" s="1" t="s">
        <v>1525</v>
      </c>
    </row>
    <row r="6214" spans="1:1" x14ac:dyDescent="0.2">
      <c r="A6214" s="1" t="s">
        <v>1526</v>
      </c>
    </row>
    <row r="6215" spans="1:1" x14ac:dyDescent="0.2">
      <c r="A6215" s="1" t="s">
        <v>1515</v>
      </c>
    </row>
    <row r="6216" spans="1:1" x14ac:dyDescent="0.2">
      <c r="A6216" s="1" t="s">
        <v>1529</v>
      </c>
    </row>
    <row r="6217" spans="1:1" x14ac:dyDescent="0.2">
      <c r="A6217" s="1" t="s">
        <v>1517</v>
      </c>
    </row>
    <row r="6218" spans="1:1" x14ac:dyDescent="0.2">
      <c r="A6218" s="1" t="s">
        <v>1518</v>
      </c>
    </row>
    <row r="6219" spans="1:1" x14ac:dyDescent="0.2">
      <c r="A6219" s="1" t="s">
        <v>1519</v>
      </c>
    </row>
    <row r="6220" spans="1:1" x14ac:dyDescent="0.2">
      <c r="A6220" s="1" t="s">
        <v>1520</v>
      </c>
    </row>
    <row r="6221" spans="1:1" x14ac:dyDescent="0.2">
      <c r="A6221" s="1" t="s">
        <v>1530</v>
      </c>
    </row>
    <row r="6222" spans="1:1" x14ac:dyDescent="0.2">
      <c r="A6222" s="1" t="s">
        <v>1522</v>
      </c>
    </row>
    <row r="6223" spans="1:1" x14ac:dyDescent="0.2">
      <c r="A6223" s="1" t="s">
        <v>1523</v>
      </c>
    </row>
    <row r="6224" spans="1:1" x14ac:dyDescent="0.2">
      <c r="A6224" s="1" t="s">
        <v>1524</v>
      </c>
    </row>
    <row r="6225" spans="1:1" x14ac:dyDescent="0.2">
      <c r="A6225" s="1" t="s">
        <v>1525</v>
      </c>
    </row>
    <row r="6226" spans="1:1" x14ac:dyDescent="0.2">
      <c r="A6226" s="1" t="s">
        <v>1526</v>
      </c>
    </row>
    <row r="6227" spans="1:1" x14ac:dyDescent="0.2">
      <c r="A6227" s="1" t="s">
        <v>1531</v>
      </c>
    </row>
    <row r="6228" spans="1:1" x14ac:dyDescent="0.2">
      <c r="A6228" s="1" t="s">
        <v>1532</v>
      </c>
    </row>
    <row r="6229" spans="1:1" x14ac:dyDescent="0.2">
      <c r="A6229" s="1" t="s">
        <v>1533</v>
      </c>
    </row>
    <row r="6230" spans="1:1" x14ac:dyDescent="0.2">
      <c r="A6230" s="1" t="s">
        <v>1534</v>
      </c>
    </row>
    <row r="6231" spans="1:1" x14ac:dyDescent="0.2">
      <c r="A6231" s="1" t="s">
        <v>1533</v>
      </c>
    </row>
    <row r="6232" spans="1:1" x14ac:dyDescent="0.2">
      <c r="A6232" s="1" t="s">
        <v>1534</v>
      </c>
    </row>
    <row r="6233" spans="1:1" x14ac:dyDescent="0.2">
      <c r="A6233" s="1" t="s">
        <v>1535</v>
      </c>
    </row>
    <row r="6234" spans="1:1" x14ac:dyDescent="0.2">
      <c r="A6234" s="1" t="s">
        <v>1536</v>
      </c>
    </row>
    <row r="6235" spans="1:1" x14ac:dyDescent="0.2">
      <c r="A6235" s="1" t="s">
        <v>1537</v>
      </c>
    </row>
    <row r="6236" spans="1:1" x14ac:dyDescent="0.2">
      <c r="A6236" s="1" t="s">
        <v>1538</v>
      </c>
    </row>
    <row r="6237" spans="1:1" x14ac:dyDescent="0.2">
      <c r="A6237" s="1" t="s">
        <v>1539</v>
      </c>
    </row>
    <row r="6238" spans="1:1" x14ac:dyDescent="0.2">
      <c r="A6238" s="1" t="s">
        <v>1540</v>
      </c>
    </row>
    <row r="6239" spans="1:1" x14ac:dyDescent="0.2">
      <c r="A6239" s="1" t="s">
        <v>1541</v>
      </c>
    </row>
    <row r="6240" spans="1:1" x14ac:dyDescent="0.2">
      <c r="A6240" s="1" t="s">
        <v>1542</v>
      </c>
    </row>
    <row r="6241" spans="1:1" x14ac:dyDescent="0.2">
      <c r="A6241" s="1" t="s">
        <v>1533</v>
      </c>
    </row>
    <row r="6242" spans="1:1" x14ac:dyDescent="0.2">
      <c r="A6242" s="1" t="s">
        <v>1534</v>
      </c>
    </row>
    <row r="6243" spans="1:1" x14ac:dyDescent="0.2">
      <c r="A6243" s="1" t="s">
        <v>1533</v>
      </c>
    </row>
    <row r="6244" spans="1:1" x14ac:dyDescent="0.2">
      <c r="A6244" s="1" t="s">
        <v>1534</v>
      </c>
    </row>
    <row r="6245" spans="1:1" x14ac:dyDescent="0.2">
      <c r="A6245" s="1" t="s">
        <v>1533</v>
      </c>
    </row>
    <row r="6246" spans="1:1" x14ac:dyDescent="0.2">
      <c r="A6246" s="1" t="s">
        <v>1534</v>
      </c>
    </row>
    <row r="6247" spans="1:1" x14ac:dyDescent="0.2">
      <c r="A6247" s="1" t="s">
        <v>1535</v>
      </c>
    </row>
    <row r="6248" spans="1:1" x14ac:dyDescent="0.2">
      <c r="A6248" s="1" t="s">
        <v>1536</v>
      </c>
    </row>
    <row r="6249" spans="1:1" x14ac:dyDescent="0.2">
      <c r="A6249" s="1" t="s">
        <v>1537</v>
      </c>
    </row>
    <row r="6250" spans="1:1" x14ac:dyDescent="0.2">
      <c r="A6250" s="1" t="s">
        <v>1538</v>
      </c>
    </row>
    <row r="6251" spans="1:1" x14ac:dyDescent="0.2">
      <c r="A6251" s="1" t="s">
        <v>1539</v>
      </c>
    </row>
    <row r="6252" spans="1:1" x14ac:dyDescent="0.2">
      <c r="A6252" s="1" t="s">
        <v>1540</v>
      </c>
    </row>
    <row r="6253" spans="1:1" x14ac:dyDescent="0.2">
      <c r="A6253" s="1" t="s">
        <v>1541</v>
      </c>
    </row>
    <row r="6254" spans="1:1" x14ac:dyDescent="0.2">
      <c r="A6254" s="1" t="s">
        <v>1542</v>
      </c>
    </row>
    <row r="6255" spans="1:1" x14ac:dyDescent="0.2">
      <c r="A6255" s="1" t="s">
        <v>1533</v>
      </c>
    </row>
    <row r="6256" spans="1:1" x14ac:dyDescent="0.2">
      <c r="A6256" s="1" t="s">
        <v>1534</v>
      </c>
    </row>
    <row r="6257" spans="1:1" x14ac:dyDescent="0.2">
      <c r="A6257" s="1" t="s">
        <v>1533</v>
      </c>
    </row>
    <row r="6258" spans="1:1" x14ac:dyDescent="0.2">
      <c r="A6258" s="1" t="s">
        <v>1534</v>
      </c>
    </row>
    <row r="6259" spans="1:1" x14ac:dyDescent="0.2">
      <c r="A6259" s="1" t="s">
        <v>1533</v>
      </c>
    </row>
    <row r="6260" spans="1:1" x14ac:dyDescent="0.2">
      <c r="A6260" s="1" t="s">
        <v>1534</v>
      </c>
    </row>
    <row r="6261" spans="1:1" x14ac:dyDescent="0.2">
      <c r="A6261" s="1" t="s">
        <v>1535</v>
      </c>
    </row>
    <row r="6262" spans="1:1" x14ac:dyDescent="0.2">
      <c r="A6262" s="1" t="s">
        <v>1536</v>
      </c>
    </row>
    <row r="6263" spans="1:1" x14ac:dyDescent="0.2">
      <c r="A6263" s="1" t="s">
        <v>1537</v>
      </c>
    </row>
    <row r="6264" spans="1:1" x14ac:dyDescent="0.2">
      <c r="A6264" s="1" t="s">
        <v>1538</v>
      </c>
    </row>
    <row r="6265" spans="1:1" x14ac:dyDescent="0.2">
      <c r="A6265" s="1" t="s">
        <v>1539</v>
      </c>
    </row>
    <row r="6266" spans="1:1" x14ac:dyDescent="0.2">
      <c r="A6266" s="1" t="s">
        <v>1540</v>
      </c>
    </row>
    <row r="6267" spans="1:1" x14ac:dyDescent="0.2">
      <c r="A6267" s="1" t="s">
        <v>1541</v>
      </c>
    </row>
    <row r="6268" spans="1:1" x14ac:dyDescent="0.2">
      <c r="A6268" s="1" t="s">
        <v>1542</v>
      </c>
    </row>
    <row r="6269" spans="1:1" x14ac:dyDescent="0.2">
      <c r="A6269" s="1" t="s">
        <v>1533</v>
      </c>
    </row>
    <row r="6270" spans="1:1" x14ac:dyDescent="0.2">
      <c r="A6270" s="1" t="s">
        <v>1534</v>
      </c>
    </row>
    <row r="6271" spans="1:1" x14ac:dyDescent="0.2">
      <c r="A6271" s="1" t="s">
        <v>1533</v>
      </c>
    </row>
    <row r="6272" spans="1:1" x14ac:dyDescent="0.2">
      <c r="A6272" s="1" t="s">
        <v>1534</v>
      </c>
    </row>
    <row r="6273" spans="1:1" x14ac:dyDescent="0.2">
      <c r="A6273" s="1" t="s">
        <v>1533</v>
      </c>
    </row>
    <row r="6274" spans="1:1" x14ac:dyDescent="0.2">
      <c r="A6274" s="1" t="s">
        <v>1534</v>
      </c>
    </row>
    <row r="6275" spans="1:1" x14ac:dyDescent="0.2">
      <c r="A6275" s="1" t="s">
        <v>1535</v>
      </c>
    </row>
    <row r="6276" spans="1:1" x14ac:dyDescent="0.2">
      <c r="A6276" s="1" t="s">
        <v>1536</v>
      </c>
    </row>
    <row r="6277" spans="1:1" x14ac:dyDescent="0.2">
      <c r="A6277" s="1" t="s">
        <v>1537</v>
      </c>
    </row>
    <row r="6278" spans="1:1" x14ac:dyDescent="0.2">
      <c r="A6278" s="1" t="s">
        <v>1538</v>
      </c>
    </row>
    <row r="6279" spans="1:1" x14ac:dyDescent="0.2">
      <c r="A6279" s="1" t="s">
        <v>1539</v>
      </c>
    </row>
    <row r="6280" spans="1:1" x14ac:dyDescent="0.2">
      <c r="A6280" s="1" t="s">
        <v>1540</v>
      </c>
    </row>
    <row r="6281" spans="1:1" x14ac:dyDescent="0.2">
      <c r="A6281" s="1" t="s">
        <v>1541</v>
      </c>
    </row>
    <row r="6282" spans="1:1" x14ac:dyDescent="0.2">
      <c r="A6282" s="1" t="s">
        <v>1542</v>
      </c>
    </row>
    <row r="6283" spans="1:1" x14ac:dyDescent="0.2">
      <c r="A6283" s="1" t="s">
        <v>1533</v>
      </c>
    </row>
    <row r="6284" spans="1:1" x14ac:dyDescent="0.2">
      <c r="A6284" s="1" t="s">
        <v>1534</v>
      </c>
    </row>
    <row r="6285" spans="1:1" x14ac:dyDescent="0.2">
      <c r="A6285" s="1" t="s">
        <v>1533</v>
      </c>
    </row>
    <row r="6286" spans="1:1" x14ac:dyDescent="0.2">
      <c r="A6286" s="1" t="s">
        <v>1534</v>
      </c>
    </row>
    <row r="6287" spans="1:1" x14ac:dyDescent="0.2">
      <c r="A6287" s="1" t="s">
        <v>1533</v>
      </c>
    </row>
    <row r="6288" spans="1:1" x14ac:dyDescent="0.2">
      <c r="A6288" s="1" t="s">
        <v>1534</v>
      </c>
    </row>
    <row r="6289" spans="1:1" x14ac:dyDescent="0.2">
      <c r="A6289" s="1" t="s">
        <v>1535</v>
      </c>
    </row>
    <row r="6290" spans="1:1" x14ac:dyDescent="0.2">
      <c r="A6290" s="1" t="s">
        <v>1536</v>
      </c>
    </row>
    <row r="6291" spans="1:1" x14ac:dyDescent="0.2">
      <c r="A6291" s="1" t="s">
        <v>1537</v>
      </c>
    </row>
    <row r="6292" spans="1:1" x14ac:dyDescent="0.2">
      <c r="A6292" s="1" t="s">
        <v>1538</v>
      </c>
    </row>
    <row r="6293" spans="1:1" x14ac:dyDescent="0.2">
      <c r="A6293" s="1" t="s">
        <v>1539</v>
      </c>
    </row>
    <row r="6294" spans="1:1" x14ac:dyDescent="0.2">
      <c r="A6294" s="1" t="s">
        <v>1540</v>
      </c>
    </row>
    <row r="6295" spans="1:1" x14ac:dyDescent="0.2">
      <c r="A6295" s="1" t="s">
        <v>1541</v>
      </c>
    </row>
    <row r="6296" spans="1:1" x14ac:dyDescent="0.2">
      <c r="A6296" s="1" t="s">
        <v>1542</v>
      </c>
    </row>
    <row r="6297" spans="1:1" x14ac:dyDescent="0.2">
      <c r="A6297" s="1" t="s">
        <v>1533</v>
      </c>
    </row>
    <row r="6298" spans="1:1" x14ac:dyDescent="0.2">
      <c r="A6298" s="1" t="s">
        <v>1534</v>
      </c>
    </row>
    <row r="6299" spans="1:1" x14ac:dyDescent="0.2">
      <c r="A6299" s="1" t="s">
        <v>1533</v>
      </c>
    </row>
    <row r="6300" spans="1:1" x14ac:dyDescent="0.2">
      <c r="A6300" s="1" t="s">
        <v>1534</v>
      </c>
    </row>
    <row r="6301" spans="1:1" x14ac:dyDescent="0.2">
      <c r="A6301" s="1" t="s">
        <v>1533</v>
      </c>
    </row>
    <row r="6302" spans="1:1" x14ac:dyDescent="0.2">
      <c r="A6302" s="1" t="s">
        <v>1534</v>
      </c>
    </row>
    <row r="6303" spans="1:1" x14ac:dyDescent="0.2">
      <c r="A6303" s="1" t="s">
        <v>1535</v>
      </c>
    </row>
    <row r="6304" spans="1:1" x14ac:dyDescent="0.2">
      <c r="A6304" s="1" t="s">
        <v>1536</v>
      </c>
    </row>
    <row r="6305" spans="1:1" x14ac:dyDescent="0.2">
      <c r="A6305" s="1" t="s">
        <v>1537</v>
      </c>
    </row>
    <row r="6306" spans="1:1" x14ac:dyDescent="0.2">
      <c r="A6306" s="1" t="s">
        <v>1538</v>
      </c>
    </row>
    <row r="6307" spans="1:1" x14ac:dyDescent="0.2">
      <c r="A6307" s="1" t="s">
        <v>1539</v>
      </c>
    </row>
    <row r="6308" spans="1:1" x14ac:dyDescent="0.2">
      <c r="A6308" s="1" t="s">
        <v>1540</v>
      </c>
    </row>
    <row r="6309" spans="1:1" x14ac:dyDescent="0.2">
      <c r="A6309" s="1" t="s">
        <v>1541</v>
      </c>
    </row>
    <row r="6310" spans="1:1" x14ac:dyDescent="0.2">
      <c r="A6310" s="1" t="s">
        <v>1542</v>
      </c>
    </row>
    <row r="6311" spans="1:1" x14ac:dyDescent="0.2">
      <c r="A6311" s="1" t="s">
        <v>1533</v>
      </c>
    </row>
    <row r="6312" spans="1:1" x14ac:dyDescent="0.2">
      <c r="A6312" s="1" t="s">
        <v>1534</v>
      </c>
    </row>
    <row r="6313" spans="1:1" x14ac:dyDescent="0.2">
      <c r="A6313" s="1" t="s">
        <v>1533</v>
      </c>
    </row>
    <row r="6314" spans="1:1" x14ac:dyDescent="0.2">
      <c r="A6314" s="1" t="s">
        <v>1534</v>
      </c>
    </row>
    <row r="6315" spans="1:1" x14ac:dyDescent="0.2">
      <c r="A6315" s="1" t="s">
        <v>1533</v>
      </c>
    </row>
    <row r="6316" spans="1:1" x14ac:dyDescent="0.2">
      <c r="A6316" s="1" t="s">
        <v>1534</v>
      </c>
    </row>
    <row r="6317" spans="1:1" x14ac:dyDescent="0.2">
      <c r="A6317" s="1" t="s">
        <v>1535</v>
      </c>
    </row>
    <row r="6318" spans="1:1" x14ac:dyDescent="0.2">
      <c r="A6318" s="1" t="s">
        <v>1536</v>
      </c>
    </row>
    <row r="6319" spans="1:1" x14ac:dyDescent="0.2">
      <c r="A6319" s="1" t="s">
        <v>1537</v>
      </c>
    </row>
    <row r="6320" spans="1:1" x14ac:dyDescent="0.2">
      <c r="A6320" s="1" t="s">
        <v>1538</v>
      </c>
    </row>
    <row r="6321" spans="1:1" x14ac:dyDescent="0.2">
      <c r="A6321" s="1" t="s">
        <v>1539</v>
      </c>
    </row>
    <row r="6322" spans="1:1" x14ac:dyDescent="0.2">
      <c r="A6322" s="1" t="s">
        <v>1540</v>
      </c>
    </row>
    <row r="6323" spans="1:1" x14ac:dyDescent="0.2">
      <c r="A6323" s="1" t="s">
        <v>1541</v>
      </c>
    </row>
    <row r="6324" spans="1:1" x14ac:dyDescent="0.2">
      <c r="A6324" s="1" t="s">
        <v>1542</v>
      </c>
    </row>
    <row r="6325" spans="1:1" x14ac:dyDescent="0.2">
      <c r="A6325" s="1" t="s">
        <v>1533</v>
      </c>
    </row>
    <row r="6326" spans="1:1" x14ac:dyDescent="0.2">
      <c r="A6326" s="1" t="s">
        <v>1534</v>
      </c>
    </row>
    <row r="6327" spans="1:1" x14ac:dyDescent="0.2">
      <c r="A6327" s="1" t="s">
        <v>1533</v>
      </c>
    </row>
    <row r="6328" spans="1:1" x14ac:dyDescent="0.2">
      <c r="A6328" s="1" t="s">
        <v>1534</v>
      </c>
    </row>
    <row r="6329" spans="1:1" x14ac:dyDescent="0.2">
      <c r="A6329" s="1" t="s">
        <v>1533</v>
      </c>
    </row>
    <row r="6330" spans="1:1" x14ac:dyDescent="0.2">
      <c r="A6330" s="1" t="s">
        <v>1534</v>
      </c>
    </row>
    <row r="6331" spans="1:1" x14ac:dyDescent="0.2">
      <c r="A6331" s="1" t="s">
        <v>1535</v>
      </c>
    </row>
    <row r="6332" spans="1:1" x14ac:dyDescent="0.2">
      <c r="A6332" s="1" t="s">
        <v>1536</v>
      </c>
    </row>
    <row r="6333" spans="1:1" x14ac:dyDescent="0.2">
      <c r="A6333" s="1" t="s">
        <v>1537</v>
      </c>
    </row>
    <row r="6334" spans="1:1" x14ac:dyDescent="0.2">
      <c r="A6334" s="1" t="s">
        <v>1538</v>
      </c>
    </row>
    <row r="6335" spans="1:1" x14ac:dyDescent="0.2">
      <c r="A6335" s="1" t="s">
        <v>1539</v>
      </c>
    </row>
    <row r="6336" spans="1:1" x14ac:dyDescent="0.2">
      <c r="A6336" s="1" t="s">
        <v>1540</v>
      </c>
    </row>
    <row r="6337" spans="1:1" x14ac:dyDescent="0.2">
      <c r="A6337" s="1" t="s">
        <v>1541</v>
      </c>
    </row>
    <row r="6338" spans="1:1" x14ac:dyDescent="0.2">
      <c r="A6338" s="1" t="s">
        <v>1542</v>
      </c>
    </row>
    <row r="6339" spans="1:1" x14ac:dyDescent="0.2">
      <c r="A6339" s="1" t="s">
        <v>1533</v>
      </c>
    </row>
    <row r="6340" spans="1:1" x14ac:dyDescent="0.2">
      <c r="A6340" s="1" t="s">
        <v>1534</v>
      </c>
    </row>
    <row r="6341" spans="1:1" x14ac:dyDescent="0.2">
      <c r="A6341" s="1" t="s">
        <v>1543</v>
      </c>
    </row>
    <row r="6342" spans="1:1" x14ac:dyDescent="0.2">
      <c r="A6342" s="1" t="s">
        <v>1544</v>
      </c>
    </row>
    <row r="6343" spans="1:1" x14ac:dyDescent="0.2">
      <c r="A6343" s="1" t="s">
        <v>1545</v>
      </c>
    </row>
    <row r="6344" spans="1:1" x14ac:dyDescent="0.2">
      <c r="A6344" s="1" t="s">
        <v>1546</v>
      </c>
    </row>
    <row r="6345" spans="1:1" x14ac:dyDescent="0.2">
      <c r="A6345" s="1" t="s">
        <v>1547</v>
      </c>
    </row>
    <row r="6346" spans="1:1" x14ac:dyDescent="0.2">
      <c r="A6346" s="1" t="s">
        <v>1548</v>
      </c>
    </row>
    <row r="6347" spans="1:1" x14ac:dyDescent="0.2">
      <c r="A6347" s="1" t="s">
        <v>1549</v>
      </c>
    </row>
    <row r="6348" spans="1:1" x14ac:dyDescent="0.2">
      <c r="A6348" s="1" t="s">
        <v>1550</v>
      </c>
    </row>
    <row r="6349" spans="1:1" x14ac:dyDescent="0.2">
      <c r="A6349" s="1" t="s">
        <v>1551</v>
      </c>
    </row>
    <row r="6350" spans="1:1" x14ac:dyDescent="0.2">
      <c r="A6350" s="1" t="s">
        <v>1552</v>
      </c>
    </row>
    <row r="6351" spans="1:1" x14ac:dyDescent="0.2">
      <c r="A6351" s="1" t="s">
        <v>1551</v>
      </c>
    </row>
    <row r="6352" spans="1:1" x14ac:dyDescent="0.2">
      <c r="A6352" s="1" t="s">
        <v>1552</v>
      </c>
    </row>
    <row r="6353" spans="1:1" x14ac:dyDescent="0.2">
      <c r="A6353" s="1" t="s">
        <v>1553</v>
      </c>
    </row>
    <row r="6354" spans="1:1" x14ac:dyDescent="0.2">
      <c r="A6354" s="1" t="s">
        <v>1554</v>
      </c>
    </row>
    <row r="6355" spans="1:1" x14ac:dyDescent="0.2">
      <c r="A6355" s="1" t="s">
        <v>1555</v>
      </c>
    </row>
    <row r="6356" spans="1:1" x14ac:dyDescent="0.2">
      <c r="A6356" s="1" t="s">
        <v>1556</v>
      </c>
    </row>
    <row r="6357" spans="1:1" x14ac:dyDescent="0.2">
      <c r="A6357" s="1" t="s">
        <v>1557</v>
      </c>
    </row>
    <row r="6358" spans="1:1" x14ac:dyDescent="0.2">
      <c r="A6358" s="1" t="s">
        <v>1558</v>
      </c>
    </row>
    <row r="6359" spans="1:1" x14ac:dyDescent="0.2">
      <c r="A6359" s="1" t="s">
        <v>1559</v>
      </c>
    </row>
    <row r="6360" spans="1:1" x14ac:dyDescent="0.2">
      <c r="A6360" s="1" t="s">
        <v>1560</v>
      </c>
    </row>
    <row r="6361" spans="1:1" x14ac:dyDescent="0.2">
      <c r="A6361" s="1" t="s">
        <v>1551</v>
      </c>
    </row>
    <row r="6362" spans="1:1" x14ac:dyDescent="0.2">
      <c r="A6362" s="1" t="s">
        <v>1552</v>
      </c>
    </row>
    <row r="6363" spans="1:1" x14ac:dyDescent="0.2">
      <c r="A6363" s="1" t="s">
        <v>1551</v>
      </c>
    </row>
    <row r="6364" spans="1:1" x14ac:dyDescent="0.2">
      <c r="A6364" s="1" t="s">
        <v>1552</v>
      </c>
    </row>
    <row r="6365" spans="1:1" x14ac:dyDescent="0.2">
      <c r="A6365" s="1" t="s">
        <v>1551</v>
      </c>
    </row>
    <row r="6366" spans="1:1" x14ac:dyDescent="0.2">
      <c r="A6366" s="1" t="s">
        <v>1552</v>
      </c>
    </row>
    <row r="6367" spans="1:1" x14ac:dyDescent="0.2">
      <c r="A6367" s="1" t="s">
        <v>1553</v>
      </c>
    </row>
    <row r="6368" spans="1:1" x14ac:dyDescent="0.2">
      <c r="A6368" s="1" t="s">
        <v>1554</v>
      </c>
    </row>
    <row r="6369" spans="1:1" x14ac:dyDescent="0.2">
      <c r="A6369" s="1" t="s">
        <v>1555</v>
      </c>
    </row>
    <row r="6370" spans="1:1" x14ac:dyDescent="0.2">
      <c r="A6370" s="1" t="s">
        <v>1556</v>
      </c>
    </row>
    <row r="6371" spans="1:1" x14ac:dyDescent="0.2">
      <c r="A6371" s="1" t="s">
        <v>1557</v>
      </c>
    </row>
    <row r="6372" spans="1:1" x14ac:dyDescent="0.2">
      <c r="A6372" s="1" t="s">
        <v>1558</v>
      </c>
    </row>
    <row r="6373" spans="1:1" x14ac:dyDescent="0.2">
      <c r="A6373" s="1" t="s">
        <v>1559</v>
      </c>
    </row>
    <row r="6374" spans="1:1" x14ac:dyDescent="0.2">
      <c r="A6374" s="1" t="s">
        <v>1560</v>
      </c>
    </row>
    <row r="6375" spans="1:1" x14ac:dyDescent="0.2">
      <c r="A6375" s="1" t="s">
        <v>1551</v>
      </c>
    </row>
    <row r="6376" spans="1:1" x14ac:dyDescent="0.2">
      <c r="A6376" s="1" t="s">
        <v>1552</v>
      </c>
    </row>
    <row r="6377" spans="1:1" x14ac:dyDescent="0.2">
      <c r="A6377" s="1" t="s">
        <v>1551</v>
      </c>
    </row>
    <row r="6378" spans="1:1" x14ac:dyDescent="0.2">
      <c r="A6378" s="1" t="s">
        <v>1552</v>
      </c>
    </row>
    <row r="6379" spans="1:1" x14ac:dyDescent="0.2">
      <c r="A6379" s="1" t="s">
        <v>1551</v>
      </c>
    </row>
    <row r="6380" spans="1:1" x14ac:dyDescent="0.2">
      <c r="A6380" s="1" t="s">
        <v>1552</v>
      </c>
    </row>
    <row r="6381" spans="1:1" x14ac:dyDescent="0.2">
      <c r="A6381" s="1" t="s">
        <v>1553</v>
      </c>
    </row>
    <row r="6382" spans="1:1" x14ac:dyDescent="0.2">
      <c r="A6382" s="1" t="s">
        <v>1554</v>
      </c>
    </row>
    <row r="6383" spans="1:1" x14ac:dyDescent="0.2">
      <c r="A6383" s="1" t="s">
        <v>1555</v>
      </c>
    </row>
    <row r="6384" spans="1:1" x14ac:dyDescent="0.2">
      <c r="A6384" s="1" t="s">
        <v>1556</v>
      </c>
    </row>
    <row r="6385" spans="1:1" x14ac:dyDescent="0.2">
      <c r="A6385" s="1" t="s">
        <v>1557</v>
      </c>
    </row>
    <row r="6386" spans="1:1" x14ac:dyDescent="0.2">
      <c r="A6386" s="1" t="s">
        <v>1558</v>
      </c>
    </row>
    <row r="6387" spans="1:1" x14ac:dyDescent="0.2">
      <c r="A6387" s="1" t="s">
        <v>1559</v>
      </c>
    </row>
    <row r="6388" spans="1:1" x14ac:dyDescent="0.2">
      <c r="A6388" s="1" t="s">
        <v>1560</v>
      </c>
    </row>
    <row r="6389" spans="1:1" x14ac:dyDescent="0.2">
      <c r="A6389" s="1" t="s">
        <v>1551</v>
      </c>
    </row>
    <row r="6390" spans="1:1" x14ac:dyDescent="0.2">
      <c r="A6390" s="1" t="s">
        <v>1552</v>
      </c>
    </row>
    <row r="6391" spans="1:1" x14ac:dyDescent="0.2">
      <c r="A6391" s="1" t="s">
        <v>1551</v>
      </c>
    </row>
    <row r="6392" spans="1:1" x14ac:dyDescent="0.2">
      <c r="A6392" s="1" t="s">
        <v>1552</v>
      </c>
    </row>
    <row r="6393" spans="1:1" x14ac:dyDescent="0.2">
      <c r="A6393" s="1" t="s">
        <v>1551</v>
      </c>
    </row>
    <row r="6394" spans="1:1" x14ac:dyDescent="0.2">
      <c r="A6394" s="1" t="s">
        <v>1552</v>
      </c>
    </row>
    <row r="6395" spans="1:1" x14ac:dyDescent="0.2">
      <c r="A6395" s="1" t="s">
        <v>1553</v>
      </c>
    </row>
    <row r="6396" spans="1:1" x14ac:dyDescent="0.2">
      <c r="A6396" s="1" t="s">
        <v>1554</v>
      </c>
    </row>
    <row r="6397" spans="1:1" x14ac:dyDescent="0.2">
      <c r="A6397" s="1" t="s">
        <v>1555</v>
      </c>
    </row>
    <row r="6398" spans="1:1" x14ac:dyDescent="0.2">
      <c r="A6398" s="1" t="s">
        <v>1556</v>
      </c>
    </row>
    <row r="6399" spans="1:1" x14ac:dyDescent="0.2">
      <c r="A6399" s="1" t="s">
        <v>1557</v>
      </c>
    </row>
    <row r="6400" spans="1:1" x14ac:dyDescent="0.2">
      <c r="A6400" s="1" t="s">
        <v>1558</v>
      </c>
    </row>
    <row r="6401" spans="1:1" x14ac:dyDescent="0.2">
      <c r="A6401" s="1" t="s">
        <v>1559</v>
      </c>
    </row>
    <row r="6402" spans="1:1" x14ac:dyDescent="0.2">
      <c r="A6402" s="1" t="s">
        <v>1560</v>
      </c>
    </row>
    <row r="6403" spans="1:1" x14ac:dyDescent="0.2">
      <c r="A6403" s="1" t="s">
        <v>1551</v>
      </c>
    </row>
    <row r="6404" spans="1:1" x14ac:dyDescent="0.2">
      <c r="A6404" s="1" t="s">
        <v>1552</v>
      </c>
    </row>
    <row r="6405" spans="1:1" x14ac:dyDescent="0.2">
      <c r="A6405" s="1" t="s">
        <v>1551</v>
      </c>
    </row>
    <row r="6406" spans="1:1" x14ac:dyDescent="0.2">
      <c r="A6406" s="1" t="s">
        <v>1552</v>
      </c>
    </row>
    <row r="6407" spans="1:1" x14ac:dyDescent="0.2">
      <c r="A6407" s="1" t="s">
        <v>1551</v>
      </c>
    </row>
    <row r="6408" spans="1:1" x14ac:dyDescent="0.2">
      <c r="A6408" s="1" t="s">
        <v>1552</v>
      </c>
    </row>
    <row r="6409" spans="1:1" x14ac:dyDescent="0.2">
      <c r="A6409" s="1" t="s">
        <v>1553</v>
      </c>
    </row>
    <row r="6410" spans="1:1" x14ac:dyDescent="0.2">
      <c r="A6410" s="1" t="s">
        <v>1554</v>
      </c>
    </row>
    <row r="6411" spans="1:1" x14ac:dyDescent="0.2">
      <c r="A6411" s="1" t="s">
        <v>1555</v>
      </c>
    </row>
    <row r="6412" spans="1:1" x14ac:dyDescent="0.2">
      <c r="A6412" s="1" t="s">
        <v>1556</v>
      </c>
    </row>
    <row r="6413" spans="1:1" x14ac:dyDescent="0.2">
      <c r="A6413" s="1" t="s">
        <v>1557</v>
      </c>
    </row>
    <row r="6414" spans="1:1" x14ac:dyDescent="0.2">
      <c r="A6414" s="1" t="s">
        <v>1558</v>
      </c>
    </row>
    <row r="6415" spans="1:1" x14ac:dyDescent="0.2">
      <c r="A6415" s="1" t="s">
        <v>1559</v>
      </c>
    </row>
    <row r="6416" spans="1:1" x14ac:dyDescent="0.2">
      <c r="A6416" s="1" t="s">
        <v>1560</v>
      </c>
    </row>
    <row r="6417" spans="1:1" x14ac:dyDescent="0.2">
      <c r="A6417" s="1" t="s">
        <v>1551</v>
      </c>
    </row>
    <row r="6418" spans="1:1" x14ac:dyDescent="0.2">
      <c r="A6418" s="1" t="s">
        <v>1552</v>
      </c>
    </row>
    <row r="6419" spans="1:1" x14ac:dyDescent="0.2">
      <c r="A6419" s="1" t="s">
        <v>1551</v>
      </c>
    </row>
    <row r="6420" spans="1:1" x14ac:dyDescent="0.2">
      <c r="A6420" s="1" t="s">
        <v>1552</v>
      </c>
    </row>
    <row r="6421" spans="1:1" x14ac:dyDescent="0.2">
      <c r="A6421" s="1" t="s">
        <v>1551</v>
      </c>
    </row>
    <row r="6422" spans="1:1" x14ac:dyDescent="0.2">
      <c r="A6422" s="1" t="s">
        <v>1552</v>
      </c>
    </row>
    <row r="6423" spans="1:1" x14ac:dyDescent="0.2">
      <c r="A6423" s="1" t="s">
        <v>1553</v>
      </c>
    </row>
    <row r="6424" spans="1:1" x14ac:dyDescent="0.2">
      <c r="A6424" s="1" t="s">
        <v>1554</v>
      </c>
    </row>
    <row r="6425" spans="1:1" x14ac:dyDescent="0.2">
      <c r="A6425" s="1" t="s">
        <v>1555</v>
      </c>
    </row>
    <row r="6426" spans="1:1" x14ac:dyDescent="0.2">
      <c r="A6426" s="1" t="s">
        <v>1556</v>
      </c>
    </row>
    <row r="6427" spans="1:1" x14ac:dyDescent="0.2">
      <c r="A6427" s="1" t="s">
        <v>1557</v>
      </c>
    </row>
    <row r="6428" spans="1:1" x14ac:dyDescent="0.2">
      <c r="A6428" s="1" t="s">
        <v>1558</v>
      </c>
    </row>
    <row r="6429" spans="1:1" x14ac:dyDescent="0.2">
      <c r="A6429" s="1" t="s">
        <v>1559</v>
      </c>
    </row>
    <row r="6430" spans="1:1" x14ac:dyDescent="0.2">
      <c r="A6430" s="1" t="s">
        <v>1560</v>
      </c>
    </row>
    <row r="6431" spans="1:1" x14ac:dyDescent="0.2">
      <c r="A6431" s="1" t="s">
        <v>1551</v>
      </c>
    </row>
    <row r="6432" spans="1:1" x14ac:dyDescent="0.2">
      <c r="A6432" s="1" t="s">
        <v>1552</v>
      </c>
    </row>
    <row r="6433" spans="1:1" x14ac:dyDescent="0.2">
      <c r="A6433" s="1" t="s">
        <v>1551</v>
      </c>
    </row>
    <row r="6434" spans="1:1" x14ac:dyDescent="0.2">
      <c r="A6434" s="1" t="s">
        <v>1552</v>
      </c>
    </row>
    <row r="6435" spans="1:1" x14ac:dyDescent="0.2">
      <c r="A6435" s="1" t="s">
        <v>1551</v>
      </c>
    </row>
    <row r="6436" spans="1:1" x14ac:dyDescent="0.2">
      <c r="A6436" s="1" t="s">
        <v>1552</v>
      </c>
    </row>
    <row r="6437" spans="1:1" x14ac:dyDescent="0.2">
      <c r="A6437" s="1" t="s">
        <v>1553</v>
      </c>
    </row>
    <row r="6438" spans="1:1" x14ac:dyDescent="0.2">
      <c r="A6438" s="1" t="s">
        <v>1554</v>
      </c>
    </row>
    <row r="6439" spans="1:1" x14ac:dyDescent="0.2">
      <c r="A6439" s="1" t="s">
        <v>1555</v>
      </c>
    </row>
    <row r="6440" spans="1:1" x14ac:dyDescent="0.2">
      <c r="A6440" s="1" t="s">
        <v>1556</v>
      </c>
    </row>
    <row r="6441" spans="1:1" x14ac:dyDescent="0.2">
      <c r="A6441" s="1" t="s">
        <v>1557</v>
      </c>
    </row>
    <row r="6442" spans="1:1" x14ac:dyDescent="0.2">
      <c r="A6442" s="1" t="s">
        <v>1558</v>
      </c>
    </row>
    <row r="6443" spans="1:1" x14ac:dyDescent="0.2">
      <c r="A6443" s="1" t="s">
        <v>1559</v>
      </c>
    </row>
    <row r="6444" spans="1:1" x14ac:dyDescent="0.2">
      <c r="A6444" s="1" t="s">
        <v>1560</v>
      </c>
    </row>
    <row r="6445" spans="1:1" x14ac:dyDescent="0.2">
      <c r="A6445" s="1" t="s">
        <v>1551</v>
      </c>
    </row>
    <row r="6446" spans="1:1" x14ac:dyDescent="0.2">
      <c r="A6446" s="1" t="s">
        <v>1552</v>
      </c>
    </row>
    <row r="6447" spans="1:1" x14ac:dyDescent="0.2">
      <c r="A6447" s="1" t="s">
        <v>1551</v>
      </c>
    </row>
    <row r="6448" spans="1:1" x14ac:dyDescent="0.2">
      <c r="A6448" s="1" t="s">
        <v>1552</v>
      </c>
    </row>
    <row r="6449" spans="1:1" x14ac:dyDescent="0.2">
      <c r="A6449" s="1" t="s">
        <v>1551</v>
      </c>
    </row>
    <row r="6450" spans="1:1" x14ac:dyDescent="0.2">
      <c r="A6450" s="1" t="s">
        <v>1552</v>
      </c>
    </row>
    <row r="6451" spans="1:1" x14ac:dyDescent="0.2">
      <c r="A6451" s="1" t="s">
        <v>1553</v>
      </c>
    </row>
    <row r="6452" spans="1:1" x14ac:dyDescent="0.2">
      <c r="A6452" s="1" t="s">
        <v>1554</v>
      </c>
    </row>
    <row r="6453" spans="1:1" x14ac:dyDescent="0.2">
      <c r="A6453" s="1" t="s">
        <v>1555</v>
      </c>
    </row>
    <row r="6454" spans="1:1" x14ac:dyDescent="0.2">
      <c r="A6454" s="1" t="s">
        <v>1556</v>
      </c>
    </row>
    <row r="6455" spans="1:1" x14ac:dyDescent="0.2">
      <c r="A6455" s="1" t="s">
        <v>1557</v>
      </c>
    </row>
    <row r="6456" spans="1:1" x14ac:dyDescent="0.2">
      <c r="A6456" s="1" t="s">
        <v>1558</v>
      </c>
    </row>
    <row r="6457" spans="1:1" x14ac:dyDescent="0.2">
      <c r="A6457" s="1" t="s">
        <v>1559</v>
      </c>
    </row>
    <row r="6458" spans="1:1" x14ac:dyDescent="0.2">
      <c r="A6458" s="1" t="s">
        <v>1560</v>
      </c>
    </row>
    <row r="6459" spans="1:1" x14ac:dyDescent="0.2">
      <c r="A6459" s="1" t="s">
        <v>1551</v>
      </c>
    </row>
    <row r="6460" spans="1:1" x14ac:dyDescent="0.2">
      <c r="A6460" s="1" t="s">
        <v>1552</v>
      </c>
    </row>
    <row r="6461" spans="1:1" x14ac:dyDescent="0.2">
      <c r="A6461" s="1" t="s">
        <v>1561</v>
      </c>
    </row>
    <row r="6462" spans="1:1" x14ac:dyDescent="0.2">
      <c r="A6462" s="1" t="s">
        <v>1562</v>
      </c>
    </row>
    <row r="6463" spans="1:1" x14ac:dyDescent="0.2">
      <c r="A6463" s="1" t="s">
        <v>1563</v>
      </c>
    </row>
    <row r="6464" spans="1:1" x14ac:dyDescent="0.2">
      <c r="A6464" s="1" t="s">
        <v>1564</v>
      </c>
    </row>
    <row r="6465" spans="1:1" x14ac:dyDescent="0.2">
      <c r="A6465" s="1" t="s">
        <v>1563</v>
      </c>
    </row>
    <row r="6466" spans="1:1" x14ac:dyDescent="0.2">
      <c r="A6466" s="1" t="s">
        <v>1565</v>
      </c>
    </row>
    <row r="6467" spans="1:1" x14ac:dyDescent="0.2">
      <c r="A6467" s="1" t="s">
        <v>1566</v>
      </c>
    </row>
    <row r="6468" spans="1:1" x14ac:dyDescent="0.2">
      <c r="A6468" s="1" t="s">
        <v>1567</v>
      </c>
    </row>
    <row r="6469" spans="1:1" x14ac:dyDescent="0.2">
      <c r="A6469" s="1" t="s">
        <v>1568</v>
      </c>
    </row>
    <row r="6470" spans="1:1" x14ac:dyDescent="0.2">
      <c r="A6470" s="1" t="s">
        <v>1569</v>
      </c>
    </row>
    <row r="6471" spans="1:1" x14ac:dyDescent="0.2">
      <c r="A6471" s="1" t="s">
        <v>1570</v>
      </c>
    </row>
    <row r="6472" spans="1:1" x14ac:dyDescent="0.2">
      <c r="A6472" s="1" t="s">
        <v>1571</v>
      </c>
    </row>
    <row r="6473" spans="1:1" x14ac:dyDescent="0.2">
      <c r="A6473" s="1" t="s">
        <v>1572</v>
      </c>
    </row>
    <row r="6474" spans="1:1" x14ac:dyDescent="0.2">
      <c r="A6474" s="1" t="s">
        <v>1573</v>
      </c>
    </row>
    <row r="6475" spans="1:1" x14ac:dyDescent="0.2">
      <c r="A6475" s="1" t="s">
        <v>1574</v>
      </c>
    </row>
    <row r="6476" spans="1:1" x14ac:dyDescent="0.2">
      <c r="A6476" s="1" t="s">
        <v>1575</v>
      </c>
    </row>
    <row r="6477" spans="1:1" x14ac:dyDescent="0.2">
      <c r="A6477" s="1" t="s">
        <v>1576</v>
      </c>
    </row>
    <row r="6478" spans="1:1" x14ac:dyDescent="0.2">
      <c r="A6478" s="1" t="s">
        <v>1577</v>
      </c>
    </row>
    <row r="6479" spans="1:1" x14ac:dyDescent="0.2">
      <c r="A6479" s="1" t="s">
        <v>1578</v>
      </c>
    </row>
    <row r="6480" spans="1:1" x14ac:dyDescent="0.2">
      <c r="A6480" s="1" t="s">
        <v>1579</v>
      </c>
    </row>
    <row r="6481" spans="1:1" x14ac:dyDescent="0.2">
      <c r="A6481" s="1" t="s">
        <v>1580</v>
      </c>
    </row>
    <row r="6482" spans="1:1" x14ac:dyDescent="0.2">
      <c r="A6482" s="1" t="s">
        <v>1581</v>
      </c>
    </row>
    <row r="6483" spans="1:1" x14ac:dyDescent="0.2">
      <c r="A6483" s="1" t="s">
        <v>1582</v>
      </c>
    </row>
    <row r="6484" spans="1:1" x14ac:dyDescent="0.2">
      <c r="A6484" s="1" t="s">
        <v>1583</v>
      </c>
    </row>
    <row r="6485" spans="1:1" x14ac:dyDescent="0.2">
      <c r="A6485" s="1" t="s">
        <v>1584</v>
      </c>
    </row>
    <row r="6486" spans="1:1" x14ac:dyDescent="0.2">
      <c r="A6486" s="1" t="s">
        <v>1585</v>
      </c>
    </row>
    <row r="6487" spans="1:1" x14ac:dyDescent="0.2">
      <c r="A6487" s="1" t="s">
        <v>1586</v>
      </c>
    </row>
    <row r="6488" spans="1:1" x14ac:dyDescent="0.2">
      <c r="A6488" s="1" t="s">
        <v>1587</v>
      </c>
    </row>
    <row r="6489" spans="1:1" x14ac:dyDescent="0.2">
      <c r="A6489" s="1" t="s">
        <v>1588</v>
      </c>
    </row>
    <row r="6490" spans="1:1" x14ac:dyDescent="0.2">
      <c r="A6490" s="1" t="s">
        <v>1589</v>
      </c>
    </row>
    <row r="6491" spans="1:1" x14ac:dyDescent="0.2">
      <c r="A6491" s="1" t="s">
        <v>1590</v>
      </c>
    </row>
    <row r="6492" spans="1:1" x14ac:dyDescent="0.2">
      <c r="A6492" s="1" t="s">
        <v>1591</v>
      </c>
    </row>
    <row r="6493" spans="1:1" x14ac:dyDescent="0.2">
      <c r="A6493" s="1" t="s">
        <v>1592</v>
      </c>
    </row>
    <row r="6494" spans="1:1" x14ac:dyDescent="0.2">
      <c r="A6494" s="1" t="s">
        <v>1591</v>
      </c>
    </row>
    <row r="6495" spans="1:1" x14ac:dyDescent="0.2">
      <c r="A6495" s="1" t="s">
        <v>1592</v>
      </c>
    </row>
    <row r="6496" spans="1:1" x14ac:dyDescent="0.2">
      <c r="A6496" s="1" t="s">
        <v>1593</v>
      </c>
    </row>
    <row r="6497" spans="1:1" x14ac:dyDescent="0.2">
      <c r="A6497" s="1" t="s">
        <v>1594</v>
      </c>
    </row>
    <row r="6498" spans="1:1" x14ac:dyDescent="0.2">
      <c r="A6498" s="1" t="s">
        <v>1595</v>
      </c>
    </row>
    <row r="6499" spans="1:1" x14ac:dyDescent="0.2">
      <c r="A6499" s="1" t="s">
        <v>1596</v>
      </c>
    </row>
    <row r="6500" spans="1:1" x14ac:dyDescent="0.2">
      <c r="A6500" s="1" t="s">
        <v>1597</v>
      </c>
    </row>
    <row r="6501" spans="1:1" x14ac:dyDescent="0.2">
      <c r="A6501" s="1" t="s">
        <v>1598</v>
      </c>
    </row>
    <row r="6502" spans="1:1" x14ac:dyDescent="0.2">
      <c r="A6502" s="1" t="s">
        <v>1599</v>
      </c>
    </row>
    <row r="6503" spans="1:1" x14ac:dyDescent="0.2">
      <c r="A6503" s="1" t="s">
        <v>1600</v>
      </c>
    </row>
    <row r="6504" spans="1:1" x14ac:dyDescent="0.2">
      <c r="A6504" s="1" t="s">
        <v>1601</v>
      </c>
    </row>
    <row r="6505" spans="1:1" x14ac:dyDescent="0.2">
      <c r="A6505" s="1" t="s">
        <v>1602</v>
      </c>
    </row>
    <row r="6506" spans="1:1" x14ac:dyDescent="0.2">
      <c r="A6506" s="1" t="s">
        <v>1601</v>
      </c>
    </row>
    <row r="6507" spans="1:1" x14ac:dyDescent="0.2">
      <c r="A6507" s="1" t="s">
        <v>1602</v>
      </c>
    </row>
    <row r="6508" spans="1:1" x14ac:dyDescent="0.2">
      <c r="A6508" s="1" t="s">
        <v>1601</v>
      </c>
    </row>
    <row r="6509" spans="1:1" x14ac:dyDescent="0.2">
      <c r="A6509" s="1" t="s">
        <v>1602</v>
      </c>
    </row>
    <row r="6510" spans="1:1" x14ac:dyDescent="0.2">
      <c r="A6510" s="1" t="s">
        <v>1603</v>
      </c>
    </row>
    <row r="6511" spans="1:1" x14ac:dyDescent="0.2">
      <c r="A6511" s="1" t="s">
        <v>1594</v>
      </c>
    </row>
    <row r="6512" spans="1:1" x14ac:dyDescent="0.2">
      <c r="A6512" s="1" t="s">
        <v>1595</v>
      </c>
    </row>
    <row r="6513" spans="1:1" x14ac:dyDescent="0.2">
      <c r="A6513" s="1" t="s">
        <v>1596</v>
      </c>
    </row>
    <row r="6514" spans="1:1" x14ac:dyDescent="0.2">
      <c r="A6514" s="1" t="s">
        <v>1597</v>
      </c>
    </row>
    <row r="6515" spans="1:1" x14ac:dyDescent="0.2">
      <c r="A6515" s="1" t="s">
        <v>1598</v>
      </c>
    </row>
    <row r="6516" spans="1:1" x14ac:dyDescent="0.2">
      <c r="A6516" s="1" t="s">
        <v>1599</v>
      </c>
    </row>
    <row r="6517" spans="1:1" x14ac:dyDescent="0.2">
      <c r="A6517" s="1" t="s">
        <v>1600</v>
      </c>
    </row>
    <row r="6518" spans="1:1" x14ac:dyDescent="0.2">
      <c r="A6518" s="1" t="s">
        <v>1601</v>
      </c>
    </row>
    <row r="6519" spans="1:1" x14ac:dyDescent="0.2">
      <c r="A6519" s="1" t="s">
        <v>1602</v>
      </c>
    </row>
    <row r="6520" spans="1:1" x14ac:dyDescent="0.2">
      <c r="A6520" s="1" t="s">
        <v>1601</v>
      </c>
    </row>
    <row r="6521" spans="1:1" x14ac:dyDescent="0.2">
      <c r="A6521" s="1" t="s">
        <v>1602</v>
      </c>
    </row>
    <row r="6522" spans="1:1" x14ac:dyDescent="0.2">
      <c r="A6522" s="1" t="s">
        <v>1601</v>
      </c>
    </row>
    <row r="6523" spans="1:1" x14ac:dyDescent="0.2">
      <c r="A6523" s="1" t="s">
        <v>1602</v>
      </c>
    </row>
    <row r="6524" spans="1:1" x14ac:dyDescent="0.2">
      <c r="A6524" s="1" t="s">
        <v>1603</v>
      </c>
    </row>
    <row r="6525" spans="1:1" x14ac:dyDescent="0.2">
      <c r="A6525" s="1" t="s">
        <v>1594</v>
      </c>
    </row>
    <row r="6526" spans="1:1" x14ac:dyDescent="0.2">
      <c r="A6526" s="1" t="s">
        <v>1595</v>
      </c>
    </row>
    <row r="6527" spans="1:1" x14ac:dyDescent="0.2">
      <c r="A6527" s="1" t="s">
        <v>1596</v>
      </c>
    </row>
    <row r="6528" spans="1:1" x14ac:dyDescent="0.2">
      <c r="A6528" s="1" t="s">
        <v>1597</v>
      </c>
    </row>
    <row r="6529" spans="1:1" x14ac:dyDescent="0.2">
      <c r="A6529" s="1" t="s">
        <v>1598</v>
      </c>
    </row>
    <row r="6530" spans="1:1" x14ac:dyDescent="0.2">
      <c r="A6530" s="1" t="s">
        <v>1599</v>
      </c>
    </row>
    <row r="6531" spans="1:1" x14ac:dyDescent="0.2">
      <c r="A6531" s="1" t="s">
        <v>1600</v>
      </c>
    </row>
    <row r="6532" spans="1:1" x14ac:dyDescent="0.2">
      <c r="A6532" s="1" t="s">
        <v>1601</v>
      </c>
    </row>
    <row r="6533" spans="1:1" x14ac:dyDescent="0.2">
      <c r="A6533" s="1" t="s">
        <v>1602</v>
      </c>
    </row>
    <row r="6534" spans="1:1" x14ac:dyDescent="0.2">
      <c r="A6534" s="1" t="s">
        <v>1601</v>
      </c>
    </row>
    <row r="6535" spans="1:1" x14ac:dyDescent="0.2">
      <c r="A6535" s="1" t="s">
        <v>1602</v>
      </c>
    </row>
    <row r="6536" spans="1:1" x14ac:dyDescent="0.2">
      <c r="A6536" s="1" t="s">
        <v>1601</v>
      </c>
    </row>
    <row r="6537" spans="1:1" x14ac:dyDescent="0.2">
      <c r="A6537" s="1" t="s">
        <v>1602</v>
      </c>
    </row>
    <row r="6538" spans="1:1" x14ac:dyDescent="0.2">
      <c r="A6538" s="1" t="s">
        <v>1603</v>
      </c>
    </row>
    <row r="6539" spans="1:1" x14ac:dyDescent="0.2">
      <c r="A6539" s="1" t="s">
        <v>1594</v>
      </c>
    </row>
    <row r="6540" spans="1:1" x14ac:dyDescent="0.2">
      <c r="A6540" s="1" t="s">
        <v>1595</v>
      </c>
    </row>
    <row r="6541" spans="1:1" x14ac:dyDescent="0.2">
      <c r="A6541" s="1" t="s">
        <v>1596</v>
      </c>
    </row>
    <row r="6542" spans="1:1" x14ac:dyDescent="0.2">
      <c r="A6542" s="1" t="s">
        <v>1597</v>
      </c>
    </row>
    <row r="6543" spans="1:1" x14ac:dyDescent="0.2">
      <c r="A6543" s="1" t="s">
        <v>1598</v>
      </c>
    </row>
    <row r="6544" spans="1:1" x14ac:dyDescent="0.2">
      <c r="A6544" s="1" t="s">
        <v>1599</v>
      </c>
    </row>
    <row r="6545" spans="1:1" x14ac:dyDescent="0.2">
      <c r="A6545" s="1" t="s">
        <v>1600</v>
      </c>
    </row>
    <row r="6546" spans="1:1" x14ac:dyDescent="0.2">
      <c r="A6546" s="1" t="s">
        <v>1601</v>
      </c>
    </row>
    <row r="6547" spans="1:1" x14ac:dyDescent="0.2">
      <c r="A6547" s="1" t="s">
        <v>1602</v>
      </c>
    </row>
    <row r="6548" spans="1:1" x14ac:dyDescent="0.2">
      <c r="A6548" s="1" t="s">
        <v>1601</v>
      </c>
    </row>
    <row r="6549" spans="1:1" x14ac:dyDescent="0.2">
      <c r="A6549" s="1" t="s">
        <v>1602</v>
      </c>
    </row>
    <row r="6550" spans="1:1" x14ac:dyDescent="0.2">
      <c r="A6550" s="1" t="s">
        <v>1601</v>
      </c>
    </row>
    <row r="6551" spans="1:1" x14ac:dyDescent="0.2">
      <c r="A6551" s="1" t="s">
        <v>1602</v>
      </c>
    </row>
    <row r="6552" spans="1:1" x14ac:dyDescent="0.2">
      <c r="A6552" s="1" t="s">
        <v>1603</v>
      </c>
    </row>
    <row r="6553" spans="1:1" x14ac:dyDescent="0.2">
      <c r="A6553" s="1" t="s">
        <v>1594</v>
      </c>
    </row>
    <row r="6554" spans="1:1" x14ac:dyDescent="0.2">
      <c r="A6554" s="1" t="s">
        <v>1595</v>
      </c>
    </row>
    <row r="6555" spans="1:1" x14ac:dyDescent="0.2">
      <c r="A6555" s="1" t="s">
        <v>1596</v>
      </c>
    </row>
    <row r="6556" spans="1:1" x14ac:dyDescent="0.2">
      <c r="A6556" s="1" t="s">
        <v>1597</v>
      </c>
    </row>
    <row r="6557" spans="1:1" x14ac:dyDescent="0.2">
      <c r="A6557" s="1" t="s">
        <v>1598</v>
      </c>
    </row>
    <row r="6558" spans="1:1" x14ac:dyDescent="0.2">
      <c r="A6558" s="1" t="s">
        <v>1599</v>
      </c>
    </row>
    <row r="6559" spans="1:1" x14ac:dyDescent="0.2">
      <c r="A6559" s="1" t="s">
        <v>1600</v>
      </c>
    </row>
    <row r="6560" spans="1:1" x14ac:dyDescent="0.2">
      <c r="A6560" s="1" t="s">
        <v>1601</v>
      </c>
    </row>
    <row r="6561" spans="1:1" x14ac:dyDescent="0.2">
      <c r="A6561" s="1" t="s">
        <v>1602</v>
      </c>
    </row>
    <row r="6562" spans="1:1" x14ac:dyDescent="0.2">
      <c r="A6562" s="1" t="s">
        <v>1601</v>
      </c>
    </row>
    <row r="6563" spans="1:1" x14ac:dyDescent="0.2">
      <c r="A6563" s="1" t="s">
        <v>1602</v>
      </c>
    </row>
    <row r="6564" spans="1:1" x14ac:dyDescent="0.2">
      <c r="A6564" s="1" t="s">
        <v>1601</v>
      </c>
    </row>
    <row r="6565" spans="1:1" x14ac:dyDescent="0.2">
      <c r="A6565" s="1" t="s">
        <v>1602</v>
      </c>
    </row>
    <row r="6566" spans="1:1" x14ac:dyDescent="0.2">
      <c r="A6566" s="1" t="s">
        <v>1603</v>
      </c>
    </row>
    <row r="6567" spans="1:1" x14ac:dyDescent="0.2">
      <c r="A6567" s="1" t="s">
        <v>1594</v>
      </c>
    </row>
    <row r="6568" spans="1:1" x14ac:dyDescent="0.2">
      <c r="A6568" s="1" t="s">
        <v>1595</v>
      </c>
    </row>
    <row r="6569" spans="1:1" x14ac:dyDescent="0.2">
      <c r="A6569" s="1" t="s">
        <v>1596</v>
      </c>
    </row>
    <row r="6570" spans="1:1" x14ac:dyDescent="0.2">
      <c r="A6570" s="1" t="s">
        <v>1597</v>
      </c>
    </row>
    <row r="6571" spans="1:1" x14ac:dyDescent="0.2">
      <c r="A6571" s="1" t="s">
        <v>1598</v>
      </c>
    </row>
    <row r="6572" spans="1:1" x14ac:dyDescent="0.2">
      <c r="A6572" s="1" t="s">
        <v>1599</v>
      </c>
    </row>
    <row r="6573" spans="1:1" x14ac:dyDescent="0.2">
      <c r="A6573" s="1" t="s">
        <v>1600</v>
      </c>
    </row>
    <row r="6574" spans="1:1" x14ac:dyDescent="0.2">
      <c r="A6574" s="1" t="s">
        <v>1601</v>
      </c>
    </row>
    <row r="6575" spans="1:1" x14ac:dyDescent="0.2">
      <c r="A6575" s="1" t="s">
        <v>1602</v>
      </c>
    </row>
    <row r="6576" spans="1:1" x14ac:dyDescent="0.2">
      <c r="A6576" s="1" t="s">
        <v>1601</v>
      </c>
    </row>
    <row r="6577" spans="1:1" x14ac:dyDescent="0.2">
      <c r="A6577" s="1" t="s">
        <v>1602</v>
      </c>
    </row>
    <row r="6578" spans="1:1" x14ac:dyDescent="0.2">
      <c r="A6578" s="1" t="s">
        <v>1601</v>
      </c>
    </row>
    <row r="6579" spans="1:1" x14ac:dyDescent="0.2">
      <c r="A6579" s="1" t="s">
        <v>1602</v>
      </c>
    </row>
    <row r="6580" spans="1:1" x14ac:dyDescent="0.2">
      <c r="A6580" s="1" t="s">
        <v>1603</v>
      </c>
    </row>
    <row r="6581" spans="1:1" x14ac:dyDescent="0.2">
      <c r="A6581" s="1" t="s">
        <v>1594</v>
      </c>
    </row>
    <row r="6582" spans="1:1" x14ac:dyDescent="0.2">
      <c r="A6582" s="1" t="s">
        <v>1595</v>
      </c>
    </row>
    <row r="6583" spans="1:1" x14ac:dyDescent="0.2">
      <c r="A6583" s="1" t="s">
        <v>1596</v>
      </c>
    </row>
    <row r="6584" spans="1:1" x14ac:dyDescent="0.2">
      <c r="A6584" s="1" t="s">
        <v>1597</v>
      </c>
    </row>
    <row r="6585" spans="1:1" x14ac:dyDescent="0.2">
      <c r="A6585" s="1" t="s">
        <v>1598</v>
      </c>
    </row>
    <row r="6586" spans="1:1" x14ac:dyDescent="0.2">
      <c r="A6586" s="1" t="s">
        <v>1599</v>
      </c>
    </row>
    <row r="6587" spans="1:1" x14ac:dyDescent="0.2">
      <c r="A6587" s="1" t="s">
        <v>1600</v>
      </c>
    </row>
    <row r="6588" spans="1:1" x14ac:dyDescent="0.2">
      <c r="A6588" s="1" t="s">
        <v>1601</v>
      </c>
    </row>
    <row r="6589" spans="1:1" x14ac:dyDescent="0.2">
      <c r="A6589" s="1" t="s">
        <v>1602</v>
      </c>
    </row>
    <row r="6590" spans="1:1" x14ac:dyDescent="0.2">
      <c r="A6590" s="1" t="s">
        <v>1601</v>
      </c>
    </row>
    <row r="6591" spans="1:1" x14ac:dyDescent="0.2">
      <c r="A6591" s="1" t="s">
        <v>1602</v>
      </c>
    </row>
    <row r="6592" spans="1:1" x14ac:dyDescent="0.2">
      <c r="A6592" s="1" t="s">
        <v>1601</v>
      </c>
    </row>
    <row r="6593" spans="1:1" x14ac:dyDescent="0.2">
      <c r="A6593" s="1" t="s">
        <v>1602</v>
      </c>
    </row>
    <row r="6594" spans="1:1" x14ac:dyDescent="0.2">
      <c r="A6594" s="1" t="s">
        <v>1603</v>
      </c>
    </row>
    <row r="6595" spans="1:1" x14ac:dyDescent="0.2">
      <c r="A6595" s="1" t="s">
        <v>1594</v>
      </c>
    </row>
    <row r="6596" spans="1:1" x14ac:dyDescent="0.2">
      <c r="A6596" s="1" t="s">
        <v>1595</v>
      </c>
    </row>
    <row r="6597" spans="1:1" x14ac:dyDescent="0.2">
      <c r="A6597" s="1" t="s">
        <v>1596</v>
      </c>
    </row>
    <row r="6598" spans="1:1" x14ac:dyDescent="0.2">
      <c r="A6598" s="1" t="s">
        <v>1597</v>
      </c>
    </row>
    <row r="6599" spans="1:1" x14ac:dyDescent="0.2">
      <c r="A6599" s="1" t="s">
        <v>1598</v>
      </c>
    </row>
    <row r="6600" spans="1:1" x14ac:dyDescent="0.2">
      <c r="A6600" s="1" t="s">
        <v>1599</v>
      </c>
    </row>
    <row r="6601" spans="1:1" x14ac:dyDescent="0.2">
      <c r="A6601" s="1" t="s">
        <v>1600</v>
      </c>
    </row>
    <row r="6602" spans="1:1" x14ac:dyDescent="0.2">
      <c r="A6602" s="1" t="s">
        <v>1601</v>
      </c>
    </row>
    <row r="6603" spans="1:1" x14ac:dyDescent="0.2">
      <c r="A6603" s="1" t="s">
        <v>1602</v>
      </c>
    </row>
    <row r="6604" spans="1:1" x14ac:dyDescent="0.2">
      <c r="A6604" s="1" t="s">
        <v>1604</v>
      </c>
    </row>
    <row r="6605" spans="1:1" x14ac:dyDescent="0.2">
      <c r="A6605" s="1" t="s">
        <v>1605</v>
      </c>
    </row>
    <row r="6606" spans="1:1" x14ac:dyDescent="0.2">
      <c r="A6606" s="1" t="s">
        <v>1604</v>
      </c>
    </row>
    <row r="6607" spans="1:1" x14ac:dyDescent="0.2">
      <c r="A6607" s="1" t="s">
        <v>1605</v>
      </c>
    </row>
    <row r="6608" spans="1:1" x14ac:dyDescent="0.2">
      <c r="A6608" s="1" t="s">
        <v>1606</v>
      </c>
    </row>
    <row r="6609" spans="1:1" x14ac:dyDescent="0.2">
      <c r="A6609" s="1" t="s">
        <v>1607</v>
      </c>
    </row>
    <row r="6610" spans="1:1" x14ac:dyDescent="0.2">
      <c r="A6610" s="1" t="s">
        <v>1608</v>
      </c>
    </row>
    <row r="6611" spans="1:1" x14ac:dyDescent="0.2">
      <c r="A6611" s="1" t="s">
        <v>1609</v>
      </c>
    </row>
    <row r="6612" spans="1:1" x14ac:dyDescent="0.2">
      <c r="A6612" s="1" t="s">
        <v>1610</v>
      </c>
    </row>
    <row r="6613" spans="1:1" x14ac:dyDescent="0.2">
      <c r="A6613" s="1" t="s">
        <v>1611</v>
      </c>
    </row>
    <row r="6614" spans="1:1" x14ac:dyDescent="0.2">
      <c r="A6614" s="1" t="s">
        <v>1612</v>
      </c>
    </row>
    <row r="6615" spans="1:1" x14ac:dyDescent="0.2">
      <c r="A6615" s="1" t="s">
        <v>1613</v>
      </c>
    </row>
    <row r="6616" spans="1:1" x14ac:dyDescent="0.2">
      <c r="A6616" s="1" t="s">
        <v>1604</v>
      </c>
    </row>
    <row r="6617" spans="1:1" x14ac:dyDescent="0.2">
      <c r="A6617" s="1" t="s">
        <v>1605</v>
      </c>
    </row>
    <row r="6618" spans="1:1" x14ac:dyDescent="0.2">
      <c r="A6618" s="1" t="s">
        <v>1604</v>
      </c>
    </row>
    <row r="6619" spans="1:1" x14ac:dyDescent="0.2">
      <c r="A6619" s="1" t="s">
        <v>1605</v>
      </c>
    </row>
    <row r="6620" spans="1:1" x14ac:dyDescent="0.2">
      <c r="A6620" s="1" t="s">
        <v>1604</v>
      </c>
    </row>
    <row r="6621" spans="1:1" x14ac:dyDescent="0.2">
      <c r="A6621" s="1" t="s">
        <v>1605</v>
      </c>
    </row>
    <row r="6622" spans="1:1" x14ac:dyDescent="0.2">
      <c r="A6622" s="1" t="s">
        <v>1606</v>
      </c>
    </row>
    <row r="6623" spans="1:1" x14ac:dyDescent="0.2">
      <c r="A6623" s="1" t="s">
        <v>1607</v>
      </c>
    </row>
    <row r="6624" spans="1:1" x14ac:dyDescent="0.2">
      <c r="A6624" s="1" t="s">
        <v>1608</v>
      </c>
    </row>
    <row r="6625" spans="1:1" x14ac:dyDescent="0.2">
      <c r="A6625" s="1" t="s">
        <v>1609</v>
      </c>
    </row>
    <row r="6626" spans="1:1" x14ac:dyDescent="0.2">
      <c r="A6626" s="1" t="s">
        <v>1610</v>
      </c>
    </row>
    <row r="6627" spans="1:1" x14ac:dyDescent="0.2">
      <c r="A6627" s="1" t="s">
        <v>1611</v>
      </c>
    </row>
    <row r="6628" spans="1:1" x14ac:dyDescent="0.2">
      <c r="A6628" s="1" t="s">
        <v>1612</v>
      </c>
    </row>
    <row r="6629" spans="1:1" x14ac:dyDescent="0.2">
      <c r="A6629" s="1" t="s">
        <v>1613</v>
      </c>
    </row>
    <row r="6630" spans="1:1" x14ac:dyDescent="0.2">
      <c r="A6630" s="1" t="s">
        <v>1604</v>
      </c>
    </row>
    <row r="6631" spans="1:1" x14ac:dyDescent="0.2">
      <c r="A6631" s="1" t="s">
        <v>1605</v>
      </c>
    </row>
    <row r="6632" spans="1:1" x14ac:dyDescent="0.2">
      <c r="A6632" s="1" t="s">
        <v>1604</v>
      </c>
    </row>
    <row r="6633" spans="1:1" x14ac:dyDescent="0.2">
      <c r="A6633" s="1" t="s">
        <v>1605</v>
      </c>
    </row>
    <row r="6634" spans="1:1" x14ac:dyDescent="0.2">
      <c r="A6634" s="1" t="s">
        <v>1604</v>
      </c>
    </row>
    <row r="6635" spans="1:1" x14ac:dyDescent="0.2">
      <c r="A6635" s="1" t="s">
        <v>1605</v>
      </c>
    </row>
    <row r="6636" spans="1:1" x14ac:dyDescent="0.2">
      <c r="A6636" s="1" t="s">
        <v>1606</v>
      </c>
    </row>
    <row r="6637" spans="1:1" x14ac:dyDescent="0.2">
      <c r="A6637" s="1" t="s">
        <v>1607</v>
      </c>
    </row>
    <row r="6638" spans="1:1" x14ac:dyDescent="0.2">
      <c r="A6638" s="1" t="s">
        <v>1608</v>
      </c>
    </row>
    <row r="6639" spans="1:1" x14ac:dyDescent="0.2">
      <c r="A6639" s="1" t="s">
        <v>1609</v>
      </c>
    </row>
    <row r="6640" spans="1:1" x14ac:dyDescent="0.2">
      <c r="A6640" s="1" t="s">
        <v>1610</v>
      </c>
    </row>
    <row r="6641" spans="1:1" x14ac:dyDescent="0.2">
      <c r="A6641" s="1" t="s">
        <v>1611</v>
      </c>
    </row>
    <row r="6642" spans="1:1" x14ac:dyDescent="0.2">
      <c r="A6642" s="1" t="s">
        <v>1612</v>
      </c>
    </row>
    <row r="6643" spans="1:1" x14ac:dyDescent="0.2">
      <c r="A6643" s="1" t="s">
        <v>1613</v>
      </c>
    </row>
    <row r="6644" spans="1:1" x14ac:dyDescent="0.2">
      <c r="A6644" s="1" t="s">
        <v>1604</v>
      </c>
    </row>
    <row r="6645" spans="1:1" x14ac:dyDescent="0.2">
      <c r="A6645" s="1" t="s">
        <v>1605</v>
      </c>
    </row>
    <row r="6646" spans="1:1" x14ac:dyDescent="0.2">
      <c r="A6646" s="1" t="s">
        <v>1604</v>
      </c>
    </row>
    <row r="6647" spans="1:1" x14ac:dyDescent="0.2">
      <c r="A6647" s="1" t="s">
        <v>1605</v>
      </c>
    </row>
    <row r="6648" spans="1:1" x14ac:dyDescent="0.2">
      <c r="A6648" s="1" t="s">
        <v>1604</v>
      </c>
    </row>
    <row r="6649" spans="1:1" x14ac:dyDescent="0.2">
      <c r="A6649" s="1" t="s">
        <v>1605</v>
      </c>
    </row>
    <row r="6650" spans="1:1" x14ac:dyDescent="0.2">
      <c r="A6650" s="1" t="s">
        <v>1606</v>
      </c>
    </row>
    <row r="6651" spans="1:1" x14ac:dyDescent="0.2">
      <c r="A6651" s="1" t="s">
        <v>1607</v>
      </c>
    </row>
    <row r="6652" spans="1:1" x14ac:dyDescent="0.2">
      <c r="A6652" s="1" t="s">
        <v>1608</v>
      </c>
    </row>
    <row r="6653" spans="1:1" x14ac:dyDescent="0.2">
      <c r="A6653" s="1" t="s">
        <v>1609</v>
      </c>
    </row>
    <row r="6654" spans="1:1" x14ac:dyDescent="0.2">
      <c r="A6654" s="1" t="s">
        <v>1610</v>
      </c>
    </row>
    <row r="6655" spans="1:1" x14ac:dyDescent="0.2">
      <c r="A6655" s="1" t="s">
        <v>1611</v>
      </c>
    </row>
    <row r="6656" spans="1:1" x14ac:dyDescent="0.2">
      <c r="A6656" s="1" t="s">
        <v>1612</v>
      </c>
    </row>
    <row r="6657" spans="1:1" x14ac:dyDescent="0.2">
      <c r="A6657" s="1" t="s">
        <v>1613</v>
      </c>
    </row>
    <row r="6658" spans="1:1" x14ac:dyDescent="0.2">
      <c r="A6658" s="1" t="s">
        <v>1604</v>
      </c>
    </row>
    <row r="6659" spans="1:1" x14ac:dyDescent="0.2">
      <c r="A6659" s="1" t="s">
        <v>1605</v>
      </c>
    </row>
    <row r="6660" spans="1:1" x14ac:dyDescent="0.2">
      <c r="A6660" s="1" t="s">
        <v>1604</v>
      </c>
    </row>
    <row r="6661" spans="1:1" x14ac:dyDescent="0.2">
      <c r="A6661" s="1" t="s">
        <v>1605</v>
      </c>
    </row>
    <row r="6662" spans="1:1" x14ac:dyDescent="0.2">
      <c r="A6662" s="1" t="s">
        <v>1604</v>
      </c>
    </row>
    <row r="6663" spans="1:1" x14ac:dyDescent="0.2">
      <c r="A6663" s="1" t="s">
        <v>1605</v>
      </c>
    </row>
    <row r="6664" spans="1:1" x14ac:dyDescent="0.2">
      <c r="A6664" s="1" t="s">
        <v>1606</v>
      </c>
    </row>
    <row r="6665" spans="1:1" x14ac:dyDescent="0.2">
      <c r="A6665" s="1" t="s">
        <v>1607</v>
      </c>
    </row>
    <row r="6666" spans="1:1" x14ac:dyDescent="0.2">
      <c r="A6666" s="1" t="s">
        <v>1608</v>
      </c>
    </row>
    <row r="6667" spans="1:1" x14ac:dyDescent="0.2">
      <c r="A6667" s="1" t="s">
        <v>1609</v>
      </c>
    </row>
    <row r="6668" spans="1:1" x14ac:dyDescent="0.2">
      <c r="A6668" s="1" t="s">
        <v>1610</v>
      </c>
    </row>
    <row r="6669" spans="1:1" x14ac:dyDescent="0.2">
      <c r="A6669" s="1" t="s">
        <v>1611</v>
      </c>
    </row>
    <row r="6670" spans="1:1" x14ac:dyDescent="0.2">
      <c r="A6670" s="1" t="s">
        <v>1612</v>
      </c>
    </row>
    <row r="6671" spans="1:1" x14ac:dyDescent="0.2">
      <c r="A6671" s="1" t="s">
        <v>1613</v>
      </c>
    </row>
    <row r="6672" spans="1:1" x14ac:dyDescent="0.2">
      <c r="A6672" s="1" t="s">
        <v>1604</v>
      </c>
    </row>
    <row r="6673" spans="1:1" x14ac:dyDescent="0.2">
      <c r="A6673" s="1" t="s">
        <v>1605</v>
      </c>
    </row>
    <row r="6674" spans="1:1" x14ac:dyDescent="0.2">
      <c r="A6674" s="1" t="s">
        <v>1604</v>
      </c>
    </row>
    <row r="6675" spans="1:1" x14ac:dyDescent="0.2">
      <c r="A6675" s="1" t="s">
        <v>1605</v>
      </c>
    </row>
    <row r="6676" spans="1:1" x14ac:dyDescent="0.2">
      <c r="A6676" s="1" t="s">
        <v>1604</v>
      </c>
    </row>
    <row r="6677" spans="1:1" x14ac:dyDescent="0.2">
      <c r="A6677" s="1" t="s">
        <v>1605</v>
      </c>
    </row>
    <row r="6678" spans="1:1" x14ac:dyDescent="0.2">
      <c r="A6678" s="1" t="s">
        <v>1606</v>
      </c>
    </row>
    <row r="6679" spans="1:1" x14ac:dyDescent="0.2">
      <c r="A6679" s="1" t="s">
        <v>1607</v>
      </c>
    </row>
    <row r="6680" spans="1:1" x14ac:dyDescent="0.2">
      <c r="A6680" s="1" t="s">
        <v>1608</v>
      </c>
    </row>
    <row r="6681" spans="1:1" x14ac:dyDescent="0.2">
      <c r="A6681" s="1" t="s">
        <v>1609</v>
      </c>
    </row>
    <row r="6682" spans="1:1" x14ac:dyDescent="0.2">
      <c r="A6682" s="1" t="s">
        <v>1610</v>
      </c>
    </row>
    <row r="6683" spans="1:1" x14ac:dyDescent="0.2">
      <c r="A6683" s="1" t="s">
        <v>1611</v>
      </c>
    </row>
    <row r="6684" spans="1:1" x14ac:dyDescent="0.2">
      <c r="A6684" s="1" t="s">
        <v>1612</v>
      </c>
    </row>
    <row r="6685" spans="1:1" x14ac:dyDescent="0.2">
      <c r="A6685" s="1" t="s">
        <v>1613</v>
      </c>
    </row>
    <row r="6686" spans="1:1" x14ac:dyDescent="0.2">
      <c r="A6686" s="1" t="s">
        <v>1604</v>
      </c>
    </row>
    <row r="6687" spans="1:1" x14ac:dyDescent="0.2">
      <c r="A6687" s="1" t="s">
        <v>1605</v>
      </c>
    </row>
    <row r="6688" spans="1:1" x14ac:dyDescent="0.2">
      <c r="A6688" s="1" t="s">
        <v>1604</v>
      </c>
    </row>
    <row r="6689" spans="1:1" x14ac:dyDescent="0.2">
      <c r="A6689" s="1" t="s">
        <v>1605</v>
      </c>
    </row>
    <row r="6690" spans="1:1" x14ac:dyDescent="0.2">
      <c r="A6690" s="1" t="s">
        <v>1604</v>
      </c>
    </row>
    <row r="6691" spans="1:1" x14ac:dyDescent="0.2">
      <c r="A6691" s="1" t="s">
        <v>1605</v>
      </c>
    </row>
    <row r="6692" spans="1:1" x14ac:dyDescent="0.2">
      <c r="A6692" s="1" t="s">
        <v>1606</v>
      </c>
    </row>
    <row r="6693" spans="1:1" x14ac:dyDescent="0.2">
      <c r="A6693" s="1" t="s">
        <v>1607</v>
      </c>
    </row>
    <row r="6694" spans="1:1" x14ac:dyDescent="0.2">
      <c r="A6694" s="1" t="s">
        <v>1608</v>
      </c>
    </row>
    <row r="6695" spans="1:1" x14ac:dyDescent="0.2">
      <c r="A6695" s="1" t="s">
        <v>1609</v>
      </c>
    </row>
    <row r="6696" spans="1:1" x14ac:dyDescent="0.2">
      <c r="A6696" s="1" t="s">
        <v>1610</v>
      </c>
    </row>
    <row r="6697" spans="1:1" x14ac:dyDescent="0.2">
      <c r="A6697" s="1" t="s">
        <v>1611</v>
      </c>
    </row>
    <row r="6698" spans="1:1" x14ac:dyDescent="0.2">
      <c r="A6698" s="1" t="s">
        <v>1612</v>
      </c>
    </row>
    <row r="6699" spans="1:1" x14ac:dyDescent="0.2">
      <c r="A6699" s="1" t="s">
        <v>1613</v>
      </c>
    </row>
    <row r="6700" spans="1:1" x14ac:dyDescent="0.2">
      <c r="A6700" s="1" t="s">
        <v>1604</v>
      </c>
    </row>
    <row r="6701" spans="1:1" x14ac:dyDescent="0.2">
      <c r="A6701" s="1" t="s">
        <v>1605</v>
      </c>
    </row>
    <row r="6702" spans="1:1" x14ac:dyDescent="0.2">
      <c r="A6702" s="1" t="s">
        <v>1604</v>
      </c>
    </row>
    <row r="6703" spans="1:1" x14ac:dyDescent="0.2">
      <c r="A6703" s="1" t="s">
        <v>1605</v>
      </c>
    </row>
    <row r="6704" spans="1:1" x14ac:dyDescent="0.2">
      <c r="A6704" s="1" t="s">
        <v>1604</v>
      </c>
    </row>
    <row r="6705" spans="1:1" x14ac:dyDescent="0.2">
      <c r="A6705" s="1" t="s">
        <v>1605</v>
      </c>
    </row>
    <row r="6706" spans="1:1" x14ac:dyDescent="0.2">
      <c r="A6706" s="1" t="s">
        <v>1606</v>
      </c>
    </row>
    <row r="6707" spans="1:1" x14ac:dyDescent="0.2">
      <c r="A6707" s="1" t="s">
        <v>1607</v>
      </c>
    </row>
    <row r="6708" spans="1:1" x14ac:dyDescent="0.2">
      <c r="A6708" s="1" t="s">
        <v>1608</v>
      </c>
    </row>
    <row r="6709" spans="1:1" x14ac:dyDescent="0.2">
      <c r="A6709" s="1" t="s">
        <v>1609</v>
      </c>
    </row>
    <row r="6710" spans="1:1" x14ac:dyDescent="0.2">
      <c r="A6710" s="1" t="s">
        <v>1610</v>
      </c>
    </row>
    <row r="6711" spans="1:1" x14ac:dyDescent="0.2">
      <c r="A6711" s="1" t="s">
        <v>1611</v>
      </c>
    </row>
    <row r="6712" spans="1:1" x14ac:dyDescent="0.2">
      <c r="A6712" s="1" t="s">
        <v>1612</v>
      </c>
    </row>
    <row r="6713" spans="1:1" x14ac:dyDescent="0.2">
      <c r="A6713" s="1" t="s">
        <v>1613</v>
      </c>
    </row>
    <row r="6714" spans="1:1" x14ac:dyDescent="0.2">
      <c r="A6714" s="1" t="s">
        <v>1604</v>
      </c>
    </row>
    <row r="6715" spans="1:1" x14ac:dyDescent="0.2">
      <c r="A6715" s="1" t="s">
        <v>1605</v>
      </c>
    </row>
    <row r="6716" spans="1:1" x14ac:dyDescent="0.2">
      <c r="A6716" s="1" t="s">
        <v>1614</v>
      </c>
    </row>
    <row r="6717" spans="1:1" x14ac:dyDescent="0.2">
      <c r="A6717" s="1" t="s">
        <v>1615</v>
      </c>
    </row>
    <row r="6718" spans="1:1" x14ac:dyDescent="0.2">
      <c r="A6718" s="1" t="s">
        <v>1614</v>
      </c>
    </row>
    <row r="6719" spans="1:1" x14ac:dyDescent="0.2">
      <c r="A6719" s="1" t="s">
        <v>1615</v>
      </c>
    </row>
    <row r="6720" spans="1:1" x14ac:dyDescent="0.2">
      <c r="A6720" s="1" t="s">
        <v>1616</v>
      </c>
    </row>
    <row r="6721" spans="1:1" x14ac:dyDescent="0.2">
      <c r="A6721" s="1" t="s">
        <v>1617</v>
      </c>
    </row>
    <row r="6722" spans="1:1" x14ac:dyDescent="0.2">
      <c r="A6722" s="1" t="s">
        <v>1618</v>
      </c>
    </row>
    <row r="6723" spans="1:1" x14ac:dyDescent="0.2">
      <c r="A6723" s="1" t="s">
        <v>1619</v>
      </c>
    </row>
    <row r="6724" spans="1:1" x14ac:dyDescent="0.2">
      <c r="A6724" s="1" t="s">
        <v>1620</v>
      </c>
    </row>
    <row r="6725" spans="1:1" x14ac:dyDescent="0.2">
      <c r="A6725" s="1" t="s">
        <v>1621</v>
      </c>
    </row>
    <row r="6726" spans="1:1" x14ac:dyDescent="0.2">
      <c r="A6726" s="1" t="s">
        <v>1622</v>
      </c>
    </row>
    <row r="6727" spans="1:1" x14ac:dyDescent="0.2">
      <c r="A6727" s="1" t="s">
        <v>1623</v>
      </c>
    </row>
    <row r="6728" spans="1:1" x14ac:dyDescent="0.2">
      <c r="A6728" s="1" t="s">
        <v>1614</v>
      </c>
    </row>
    <row r="6729" spans="1:1" x14ac:dyDescent="0.2">
      <c r="A6729" s="1" t="s">
        <v>1615</v>
      </c>
    </row>
    <row r="6730" spans="1:1" x14ac:dyDescent="0.2">
      <c r="A6730" s="1" t="s">
        <v>1614</v>
      </c>
    </row>
    <row r="6731" spans="1:1" x14ac:dyDescent="0.2">
      <c r="A6731" s="1" t="s">
        <v>1615</v>
      </c>
    </row>
    <row r="6732" spans="1:1" x14ac:dyDescent="0.2">
      <c r="A6732" s="1" t="s">
        <v>1614</v>
      </c>
    </row>
    <row r="6733" spans="1:1" x14ac:dyDescent="0.2">
      <c r="A6733" s="1" t="s">
        <v>1615</v>
      </c>
    </row>
    <row r="6734" spans="1:1" x14ac:dyDescent="0.2">
      <c r="A6734" s="1" t="s">
        <v>1616</v>
      </c>
    </row>
    <row r="6735" spans="1:1" x14ac:dyDescent="0.2">
      <c r="A6735" s="1" t="s">
        <v>1617</v>
      </c>
    </row>
    <row r="6736" spans="1:1" x14ac:dyDescent="0.2">
      <c r="A6736" s="1" t="s">
        <v>1618</v>
      </c>
    </row>
    <row r="6737" spans="1:1" x14ac:dyDescent="0.2">
      <c r="A6737" s="1" t="s">
        <v>1619</v>
      </c>
    </row>
    <row r="6738" spans="1:1" x14ac:dyDescent="0.2">
      <c r="A6738" s="1" t="s">
        <v>1620</v>
      </c>
    </row>
    <row r="6739" spans="1:1" x14ac:dyDescent="0.2">
      <c r="A6739" s="1" t="s">
        <v>1621</v>
      </c>
    </row>
    <row r="6740" spans="1:1" x14ac:dyDescent="0.2">
      <c r="A6740" s="1" t="s">
        <v>1622</v>
      </c>
    </row>
    <row r="6741" spans="1:1" x14ac:dyDescent="0.2">
      <c r="A6741" s="1" t="s">
        <v>1623</v>
      </c>
    </row>
    <row r="6742" spans="1:1" x14ac:dyDescent="0.2">
      <c r="A6742" s="1" t="s">
        <v>1614</v>
      </c>
    </row>
    <row r="6743" spans="1:1" x14ac:dyDescent="0.2">
      <c r="A6743" s="1" t="s">
        <v>1615</v>
      </c>
    </row>
    <row r="6744" spans="1:1" x14ac:dyDescent="0.2">
      <c r="A6744" s="1" t="s">
        <v>1614</v>
      </c>
    </row>
    <row r="6745" spans="1:1" x14ac:dyDescent="0.2">
      <c r="A6745" s="1" t="s">
        <v>1615</v>
      </c>
    </row>
    <row r="6746" spans="1:1" x14ac:dyDescent="0.2">
      <c r="A6746" s="1" t="s">
        <v>1614</v>
      </c>
    </row>
    <row r="6747" spans="1:1" x14ac:dyDescent="0.2">
      <c r="A6747" s="1" t="s">
        <v>1615</v>
      </c>
    </row>
    <row r="6748" spans="1:1" x14ac:dyDescent="0.2">
      <c r="A6748" s="1" t="s">
        <v>1616</v>
      </c>
    </row>
    <row r="6749" spans="1:1" x14ac:dyDescent="0.2">
      <c r="A6749" s="1" t="s">
        <v>1617</v>
      </c>
    </row>
    <row r="6750" spans="1:1" x14ac:dyDescent="0.2">
      <c r="A6750" s="1" t="s">
        <v>1618</v>
      </c>
    </row>
    <row r="6751" spans="1:1" x14ac:dyDescent="0.2">
      <c r="A6751" s="1" t="s">
        <v>1619</v>
      </c>
    </row>
    <row r="6752" spans="1:1" x14ac:dyDescent="0.2">
      <c r="A6752" s="1" t="s">
        <v>1620</v>
      </c>
    </row>
    <row r="6753" spans="1:1" x14ac:dyDescent="0.2">
      <c r="A6753" s="1" t="s">
        <v>1621</v>
      </c>
    </row>
    <row r="6754" spans="1:1" x14ac:dyDescent="0.2">
      <c r="A6754" s="1" t="s">
        <v>1622</v>
      </c>
    </row>
    <row r="6755" spans="1:1" x14ac:dyDescent="0.2">
      <c r="A6755" s="1" t="s">
        <v>1623</v>
      </c>
    </row>
    <row r="6756" spans="1:1" x14ac:dyDescent="0.2">
      <c r="A6756" s="1" t="s">
        <v>1614</v>
      </c>
    </row>
    <row r="6757" spans="1:1" x14ac:dyDescent="0.2">
      <c r="A6757" s="1" t="s">
        <v>1615</v>
      </c>
    </row>
    <row r="6758" spans="1:1" x14ac:dyDescent="0.2">
      <c r="A6758" s="1" t="s">
        <v>1614</v>
      </c>
    </row>
    <row r="6759" spans="1:1" x14ac:dyDescent="0.2">
      <c r="A6759" s="1" t="s">
        <v>1615</v>
      </c>
    </row>
    <row r="6760" spans="1:1" x14ac:dyDescent="0.2">
      <c r="A6760" s="1" t="s">
        <v>1614</v>
      </c>
    </row>
    <row r="6761" spans="1:1" x14ac:dyDescent="0.2">
      <c r="A6761" s="1" t="s">
        <v>1615</v>
      </c>
    </row>
    <row r="6762" spans="1:1" x14ac:dyDescent="0.2">
      <c r="A6762" s="1" t="s">
        <v>1616</v>
      </c>
    </row>
    <row r="6763" spans="1:1" x14ac:dyDescent="0.2">
      <c r="A6763" s="1" t="s">
        <v>1617</v>
      </c>
    </row>
    <row r="6764" spans="1:1" x14ac:dyDescent="0.2">
      <c r="A6764" s="1" t="s">
        <v>1618</v>
      </c>
    </row>
    <row r="6765" spans="1:1" x14ac:dyDescent="0.2">
      <c r="A6765" s="1" t="s">
        <v>1619</v>
      </c>
    </row>
    <row r="6766" spans="1:1" x14ac:dyDescent="0.2">
      <c r="A6766" s="1" t="s">
        <v>1620</v>
      </c>
    </row>
    <row r="6767" spans="1:1" x14ac:dyDescent="0.2">
      <c r="A6767" s="1" t="s">
        <v>1621</v>
      </c>
    </row>
    <row r="6768" spans="1:1" x14ac:dyDescent="0.2">
      <c r="A6768" s="1" t="s">
        <v>1622</v>
      </c>
    </row>
    <row r="6769" spans="1:1" x14ac:dyDescent="0.2">
      <c r="A6769" s="1" t="s">
        <v>1623</v>
      </c>
    </row>
    <row r="6770" spans="1:1" x14ac:dyDescent="0.2">
      <c r="A6770" s="1" t="s">
        <v>1614</v>
      </c>
    </row>
    <row r="6771" spans="1:1" x14ac:dyDescent="0.2">
      <c r="A6771" s="1" t="s">
        <v>1615</v>
      </c>
    </row>
    <row r="6772" spans="1:1" x14ac:dyDescent="0.2">
      <c r="A6772" s="1" t="s">
        <v>1614</v>
      </c>
    </row>
    <row r="6773" spans="1:1" x14ac:dyDescent="0.2">
      <c r="A6773" s="1" t="s">
        <v>1615</v>
      </c>
    </row>
    <row r="6774" spans="1:1" x14ac:dyDescent="0.2">
      <c r="A6774" s="1" t="s">
        <v>1614</v>
      </c>
    </row>
    <row r="6775" spans="1:1" x14ac:dyDescent="0.2">
      <c r="A6775" s="1" t="s">
        <v>1615</v>
      </c>
    </row>
    <row r="6776" spans="1:1" x14ac:dyDescent="0.2">
      <c r="A6776" s="1" t="s">
        <v>1616</v>
      </c>
    </row>
    <row r="6777" spans="1:1" x14ac:dyDescent="0.2">
      <c r="A6777" s="1" t="s">
        <v>1617</v>
      </c>
    </row>
    <row r="6778" spans="1:1" x14ac:dyDescent="0.2">
      <c r="A6778" s="1" t="s">
        <v>1618</v>
      </c>
    </row>
    <row r="6779" spans="1:1" x14ac:dyDescent="0.2">
      <c r="A6779" s="1" t="s">
        <v>1619</v>
      </c>
    </row>
    <row r="6780" spans="1:1" x14ac:dyDescent="0.2">
      <c r="A6780" s="1" t="s">
        <v>1620</v>
      </c>
    </row>
    <row r="6781" spans="1:1" x14ac:dyDescent="0.2">
      <c r="A6781" s="1" t="s">
        <v>1621</v>
      </c>
    </row>
    <row r="6782" spans="1:1" x14ac:dyDescent="0.2">
      <c r="A6782" s="1" t="s">
        <v>1622</v>
      </c>
    </row>
    <row r="6783" spans="1:1" x14ac:dyDescent="0.2">
      <c r="A6783" s="1" t="s">
        <v>1623</v>
      </c>
    </row>
    <row r="6784" spans="1:1" x14ac:dyDescent="0.2">
      <c r="A6784" s="1" t="s">
        <v>1614</v>
      </c>
    </row>
    <row r="6785" spans="1:1" x14ac:dyDescent="0.2">
      <c r="A6785" s="1" t="s">
        <v>1615</v>
      </c>
    </row>
    <row r="6786" spans="1:1" x14ac:dyDescent="0.2">
      <c r="A6786" s="1" t="s">
        <v>1614</v>
      </c>
    </row>
    <row r="6787" spans="1:1" x14ac:dyDescent="0.2">
      <c r="A6787" s="1" t="s">
        <v>1615</v>
      </c>
    </row>
    <row r="6788" spans="1:1" x14ac:dyDescent="0.2">
      <c r="A6788" s="1" t="s">
        <v>1614</v>
      </c>
    </row>
    <row r="6789" spans="1:1" x14ac:dyDescent="0.2">
      <c r="A6789" s="1" t="s">
        <v>1615</v>
      </c>
    </row>
    <row r="6790" spans="1:1" x14ac:dyDescent="0.2">
      <c r="A6790" s="1" t="s">
        <v>1616</v>
      </c>
    </row>
    <row r="6791" spans="1:1" x14ac:dyDescent="0.2">
      <c r="A6791" s="1" t="s">
        <v>1617</v>
      </c>
    </row>
    <row r="6792" spans="1:1" x14ac:dyDescent="0.2">
      <c r="A6792" s="1" t="s">
        <v>1618</v>
      </c>
    </row>
    <row r="6793" spans="1:1" x14ac:dyDescent="0.2">
      <c r="A6793" s="1" t="s">
        <v>1619</v>
      </c>
    </row>
    <row r="6794" spans="1:1" x14ac:dyDescent="0.2">
      <c r="A6794" s="1" t="s">
        <v>1620</v>
      </c>
    </row>
    <row r="6795" spans="1:1" x14ac:dyDescent="0.2">
      <c r="A6795" s="1" t="s">
        <v>1621</v>
      </c>
    </row>
    <row r="6796" spans="1:1" x14ac:dyDescent="0.2">
      <c r="A6796" s="1" t="s">
        <v>1622</v>
      </c>
    </row>
    <row r="6797" spans="1:1" x14ac:dyDescent="0.2">
      <c r="A6797" s="1" t="s">
        <v>1623</v>
      </c>
    </row>
    <row r="6798" spans="1:1" x14ac:dyDescent="0.2">
      <c r="A6798" s="1" t="s">
        <v>1614</v>
      </c>
    </row>
    <row r="6799" spans="1:1" x14ac:dyDescent="0.2">
      <c r="A6799" s="1" t="s">
        <v>1615</v>
      </c>
    </row>
    <row r="6800" spans="1:1" x14ac:dyDescent="0.2">
      <c r="A6800" s="1" t="s">
        <v>1614</v>
      </c>
    </row>
    <row r="6801" spans="1:1" x14ac:dyDescent="0.2">
      <c r="A6801" s="1" t="s">
        <v>1615</v>
      </c>
    </row>
    <row r="6802" spans="1:1" x14ac:dyDescent="0.2">
      <c r="A6802" s="1" t="s">
        <v>1614</v>
      </c>
    </row>
    <row r="6803" spans="1:1" x14ac:dyDescent="0.2">
      <c r="A6803" s="1" t="s">
        <v>1615</v>
      </c>
    </row>
    <row r="6804" spans="1:1" x14ac:dyDescent="0.2">
      <c r="A6804" s="1" t="s">
        <v>1616</v>
      </c>
    </row>
    <row r="6805" spans="1:1" x14ac:dyDescent="0.2">
      <c r="A6805" s="1" t="s">
        <v>1617</v>
      </c>
    </row>
    <row r="6806" spans="1:1" x14ac:dyDescent="0.2">
      <c r="A6806" s="1" t="s">
        <v>1618</v>
      </c>
    </row>
    <row r="6807" spans="1:1" x14ac:dyDescent="0.2">
      <c r="A6807" s="1" t="s">
        <v>1619</v>
      </c>
    </row>
    <row r="6808" spans="1:1" x14ac:dyDescent="0.2">
      <c r="A6808" s="1" t="s">
        <v>1620</v>
      </c>
    </row>
    <row r="6809" spans="1:1" x14ac:dyDescent="0.2">
      <c r="A6809" s="1" t="s">
        <v>1621</v>
      </c>
    </row>
    <row r="6810" spans="1:1" x14ac:dyDescent="0.2">
      <c r="A6810" s="1" t="s">
        <v>1622</v>
      </c>
    </row>
    <row r="6811" spans="1:1" x14ac:dyDescent="0.2">
      <c r="A6811" s="1" t="s">
        <v>1624</v>
      </c>
    </row>
    <row r="6812" spans="1:1" x14ac:dyDescent="0.2">
      <c r="A6812" s="1" t="s">
        <v>1625</v>
      </c>
    </row>
    <row r="6813" spans="1:1" x14ac:dyDescent="0.2">
      <c r="A6813" s="1" t="s">
        <v>1626</v>
      </c>
    </row>
    <row r="6814" spans="1:1" x14ac:dyDescent="0.2">
      <c r="A6814" s="1" t="s">
        <v>1625</v>
      </c>
    </row>
    <row r="6815" spans="1:1" x14ac:dyDescent="0.2">
      <c r="A6815" s="1" t="s">
        <v>1626</v>
      </c>
    </row>
    <row r="6816" spans="1:1" x14ac:dyDescent="0.2">
      <c r="A6816" s="1" t="s">
        <v>1625</v>
      </c>
    </row>
    <row r="6817" spans="1:1" x14ac:dyDescent="0.2">
      <c r="A6817" s="1" t="s">
        <v>1626</v>
      </c>
    </row>
    <row r="6818" spans="1:1" x14ac:dyDescent="0.2">
      <c r="A6818" s="1" t="s">
        <v>1627</v>
      </c>
    </row>
    <row r="6819" spans="1:1" x14ac:dyDescent="0.2">
      <c r="A6819" s="1" t="s">
        <v>1628</v>
      </c>
    </row>
    <row r="6820" spans="1:1" x14ac:dyDescent="0.2">
      <c r="A6820" s="1" t="s">
        <v>1629</v>
      </c>
    </row>
    <row r="6821" spans="1:1" x14ac:dyDescent="0.2">
      <c r="A6821" s="1" t="s">
        <v>1630</v>
      </c>
    </row>
    <row r="6822" spans="1:1" x14ac:dyDescent="0.2">
      <c r="A6822" s="1" t="s">
        <v>1631</v>
      </c>
    </row>
    <row r="6823" spans="1:1" x14ac:dyDescent="0.2">
      <c r="A6823" s="1" t="s">
        <v>1632</v>
      </c>
    </row>
    <row r="6824" spans="1:1" x14ac:dyDescent="0.2">
      <c r="A6824" s="1" t="s">
        <v>1633</v>
      </c>
    </row>
    <row r="6825" spans="1:1" x14ac:dyDescent="0.2">
      <c r="A6825" s="1" t="s">
        <v>1624</v>
      </c>
    </row>
    <row r="6826" spans="1:1" x14ac:dyDescent="0.2">
      <c r="A6826" s="1" t="s">
        <v>1625</v>
      </c>
    </row>
    <row r="6827" spans="1:1" x14ac:dyDescent="0.2">
      <c r="A6827" s="1" t="s">
        <v>1626</v>
      </c>
    </row>
    <row r="6828" spans="1:1" x14ac:dyDescent="0.2">
      <c r="A6828" s="1" t="s">
        <v>1634</v>
      </c>
    </row>
    <row r="6829" spans="1:1" x14ac:dyDescent="0.2">
      <c r="A6829" s="1" t="s">
        <v>1635</v>
      </c>
    </row>
    <row r="6830" spans="1:1" x14ac:dyDescent="0.2">
      <c r="A6830" s="1" t="s">
        <v>1636</v>
      </c>
    </row>
    <row r="6831" spans="1:1" x14ac:dyDescent="0.2">
      <c r="A6831" s="1" t="s">
        <v>1637</v>
      </c>
    </row>
    <row r="6832" spans="1:1" x14ac:dyDescent="0.2">
      <c r="A6832" s="1" t="s">
        <v>1643</v>
      </c>
    </row>
    <row r="6833" spans="1:1" x14ac:dyDescent="0.2">
      <c r="A6833" s="1" t="s">
        <v>1644</v>
      </c>
    </row>
    <row r="6834" spans="1:1" x14ac:dyDescent="0.2">
      <c r="A6834" s="1" t="s">
        <v>1645</v>
      </c>
    </row>
    <row r="6835" spans="1:1" x14ac:dyDescent="0.2">
      <c r="A6835" s="1" t="s">
        <v>1646</v>
      </c>
    </row>
    <row r="6836" spans="1:1" x14ac:dyDescent="0.2">
      <c r="A6836" s="1" t="s">
        <v>1645</v>
      </c>
    </row>
    <row r="6837" spans="1:1" x14ac:dyDescent="0.2">
      <c r="A6837" s="1" t="s">
        <v>1647</v>
      </c>
    </row>
    <row r="6838" spans="1:1" x14ac:dyDescent="0.2">
      <c r="A6838" s="1" t="s">
        <v>1648</v>
      </c>
    </row>
    <row r="6839" spans="1:1" x14ac:dyDescent="0.2">
      <c r="A6839" s="1" t="s">
        <v>1649</v>
      </c>
    </row>
    <row r="6840" spans="1:1" x14ac:dyDescent="0.2">
      <c r="A6840" s="1" t="s">
        <v>1650</v>
      </c>
    </row>
    <row r="6841" spans="1:1" x14ac:dyDescent="0.2">
      <c r="A6841" s="1" t="s">
        <v>1651</v>
      </c>
    </row>
    <row r="6842" spans="1:1" x14ac:dyDescent="0.2">
      <c r="A6842" s="1" t="s">
        <v>1652</v>
      </c>
    </row>
    <row r="6843" spans="1:1" x14ac:dyDescent="0.2">
      <c r="A6843" s="1" t="s">
        <v>1653</v>
      </c>
    </row>
    <row r="6844" spans="1:1" x14ac:dyDescent="0.2">
      <c r="A6844" s="1" t="s">
        <v>1652</v>
      </c>
    </row>
    <row r="6845" spans="1:1" x14ac:dyDescent="0.2">
      <c r="A6845" s="1" t="s">
        <v>1654</v>
      </c>
    </row>
    <row r="6846" spans="1:1" x14ac:dyDescent="0.2">
      <c r="A6846" s="1" t="s">
        <v>1655</v>
      </c>
    </row>
    <row r="6847" spans="1:1" x14ac:dyDescent="0.2">
      <c r="A6847" s="1" t="s">
        <v>1656</v>
      </c>
    </row>
    <row r="6848" spans="1:1" x14ac:dyDescent="0.2">
      <c r="A6848" s="1" t="s">
        <v>1657</v>
      </c>
    </row>
    <row r="6849" spans="1:1" x14ac:dyDescent="0.2">
      <c r="A6849" s="1" t="s">
        <v>1658</v>
      </c>
    </row>
    <row r="6850" spans="1:1" x14ac:dyDescent="0.2">
      <c r="A6850" s="1" t="s">
        <v>1659</v>
      </c>
    </row>
    <row r="6851" spans="1:1" x14ac:dyDescent="0.2">
      <c r="A6851" s="1" t="s">
        <v>1660</v>
      </c>
    </row>
    <row r="6852" spans="1:1" x14ac:dyDescent="0.2">
      <c r="A6852" s="1" t="s">
        <v>1659</v>
      </c>
    </row>
    <row r="6853" spans="1:1" x14ac:dyDescent="0.2">
      <c r="A6853" s="1" t="s">
        <v>1661</v>
      </c>
    </row>
    <row r="6854" spans="1:1" x14ac:dyDescent="0.2">
      <c r="A6854" s="1" t="s">
        <v>1662</v>
      </c>
    </row>
    <row r="6855" spans="1:1" x14ac:dyDescent="0.2">
      <c r="A6855" s="1" t="s">
        <v>1663</v>
      </c>
    </row>
    <row r="6856" spans="1:1" x14ac:dyDescent="0.2">
      <c r="A6856" s="1" t="s">
        <v>1664</v>
      </c>
    </row>
    <row r="6857" spans="1:1" x14ac:dyDescent="0.2">
      <c r="A6857" s="1" t="s">
        <v>1665</v>
      </c>
    </row>
    <row r="6858" spans="1:1" x14ac:dyDescent="0.2">
      <c r="A6858" s="1" t="s">
        <v>1666</v>
      </c>
    </row>
    <row r="6859" spans="1:1" x14ac:dyDescent="0.2">
      <c r="A6859" s="1" t="s">
        <v>1667</v>
      </c>
    </row>
    <row r="6860" spans="1:1" x14ac:dyDescent="0.2">
      <c r="A6860" s="1" t="s">
        <v>1668</v>
      </c>
    </row>
    <row r="6861" spans="1:1" x14ac:dyDescent="0.2">
      <c r="A6861" s="1" t="s">
        <v>1669</v>
      </c>
    </row>
    <row r="6862" spans="1:1" x14ac:dyDescent="0.2">
      <c r="A6862" s="1" t="s">
        <v>1670</v>
      </c>
    </row>
    <row r="6863" spans="1:1" x14ac:dyDescent="0.2">
      <c r="A6863" s="1" t="s">
        <v>1671</v>
      </c>
    </row>
    <row r="6864" spans="1:1" x14ac:dyDescent="0.2">
      <c r="A6864" s="1" t="s">
        <v>1673</v>
      </c>
    </row>
    <row r="6865" spans="1:1" x14ac:dyDescent="0.2">
      <c r="A6865" s="1" t="s">
        <v>1674</v>
      </c>
    </row>
    <row r="6866" spans="1:1" x14ac:dyDescent="0.2">
      <c r="A6866" s="1" t="s">
        <v>1673</v>
      </c>
    </row>
    <row r="6867" spans="1:1" x14ac:dyDescent="0.2">
      <c r="A6867" s="1" t="s">
        <v>1674</v>
      </c>
    </row>
    <row r="6868" spans="1:1" x14ac:dyDescent="0.2">
      <c r="A6868" s="1" t="s">
        <v>1675</v>
      </c>
    </row>
    <row r="6869" spans="1:1" x14ac:dyDescent="0.2">
      <c r="A6869" s="1" t="s">
        <v>1676</v>
      </c>
    </row>
    <row r="6870" spans="1:1" x14ac:dyDescent="0.2">
      <c r="A6870" s="1" t="s">
        <v>1677</v>
      </c>
    </row>
    <row r="6871" spans="1:1" x14ac:dyDescent="0.2">
      <c r="A6871" s="1" t="s">
        <v>1678</v>
      </c>
    </row>
    <row r="6872" spans="1:1" x14ac:dyDescent="0.2">
      <c r="A6872" s="1" t="s">
        <v>1679</v>
      </c>
    </row>
    <row r="6873" spans="1:1" x14ac:dyDescent="0.2">
      <c r="A6873" s="1" t="s">
        <v>1680</v>
      </c>
    </row>
    <row r="6874" spans="1:1" x14ac:dyDescent="0.2">
      <c r="A6874" s="1" t="s">
        <v>1681</v>
      </c>
    </row>
    <row r="6875" spans="1:1" x14ac:dyDescent="0.2">
      <c r="A6875" s="1" t="s">
        <v>1682</v>
      </c>
    </row>
    <row r="6876" spans="1:1" x14ac:dyDescent="0.2">
      <c r="A6876" s="1" t="s">
        <v>1673</v>
      </c>
    </row>
    <row r="6877" spans="1:1" x14ac:dyDescent="0.2">
      <c r="A6877" s="1" t="s">
        <v>1674</v>
      </c>
    </row>
    <row r="6878" spans="1:1" x14ac:dyDescent="0.2">
      <c r="A6878" s="1" t="s">
        <v>1673</v>
      </c>
    </row>
    <row r="6879" spans="1:1" x14ac:dyDescent="0.2">
      <c r="A6879" s="1" t="s">
        <v>1674</v>
      </c>
    </row>
    <row r="6880" spans="1:1" x14ac:dyDescent="0.2">
      <c r="A6880" s="1" t="s">
        <v>1673</v>
      </c>
    </row>
    <row r="6881" spans="1:1" x14ac:dyDescent="0.2">
      <c r="A6881" s="1" t="s">
        <v>1674</v>
      </c>
    </row>
    <row r="6882" spans="1:1" x14ac:dyDescent="0.2">
      <c r="A6882" s="1" t="s">
        <v>1675</v>
      </c>
    </row>
    <row r="6883" spans="1:1" x14ac:dyDescent="0.2">
      <c r="A6883" s="1" t="s">
        <v>1676</v>
      </c>
    </row>
    <row r="6884" spans="1:1" x14ac:dyDescent="0.2">
      <c r="A6884" s="1" t="s">
        <v>1677</v>
      </c>
    </row>
    <row r="6885" spans="1:1" x14ac:dyDescent="0.2">
      <c r="A6885" s="1" t="s">
        <v>1678</v>
      </c>
    </row>
    <row r="6886" spans="1:1" x14ac:dyDescent="0.2">
      <c r="A6886" s="1" t="s">
        <v>1679</v>
      </c>
    </row>
    <row r="6887" spans="1:1" x14ac:dyDescent="0.2">
      <c r="A6887" s="1" t="s">
        <v>1680</v>
      </c>
    </row>
    <row r="6888" spans="1:1" x14ac:dyDescent="0.2">
      <c r="A6888" s="1" t="s">
        <v>1681</v>
      </c>
    </row>
    <row r="6889" spans="1:1" x14ac:dyDescent="0.2">
      <c r="A6889" s="1" t="s">
        <v>1682</v>
      </c>
    </row>
    <row r="6890" spans="1:1" x14ac:dyDescent="0.2">
      <c r="A6890" s="1" t="s">
        <v>1673</v>
      </c>
    </row>
    <row r="6891" spans="1:1" x14ac:dyDescent="0.2">
      <c r="A6891" s="1" t="s">
        <v>1674</v>
      </c>
    </row>
    <row r="6892" spans="1:1" x14ac:dyDescent="0.2">
      <c r="A6892" s="1" t="s">
        <v>1673</v>
      </c>
    </row>
    <row r="6893" spans="1:1" x14ac:dyDescent="0.2">
      <c r="A6893" s="1" t="s">
        <v>1674</v>
      </c>
    </row>
    <row r="6894" spans="1:1" x14ac:dyDescent="0.2">
      <c r="A6894" s="1" t="s">
        <v>1673</v>
      </c>
    </row>
    <row r="6895" spans="1:1" x14ac:dyDescent="0.2">
      <c r="A6895" s="1" t="s">
        <v>1674</v>
      </c>
    </row>
    <row r="6896" spans="1:1" x14ac:dyDescent="0.2">
      <c r="A6896" s="1" t="s">
        <v>1675</v>
      </c>
    </row>
    <row r="6897" spans="1:1" x14ac:dyDescent="0.2">
      <c r="A6897" s="1" t="s">
        <v>1676</v>
      </c>
    </row>
    <row r="6898" spans="1:1" x14ac:dyDescent="0.2">
      <c r="A6898" s="1" t="s">
        <v>1677</v>
      </c>
    </row>
    <row r="6899" spans="1:1" x14ac:dyDescent="0.2">
      <c r="A6899" s="1" t="s">
        <v>1678</v>
      </c>
    </row>
    <row r="6900" spans="1:1" x14ac:dyDescent="0.2">
      <c r="A6900" s="1" t="s">
        <v>1679</v>
      </c>
    </row>
    <row r="6901" spans="1:1" x14ac:dyDescent="0.2">
      <c r="A6901" s="1" t="s">
        <v>1680</v>
      </c>
    </row>
    <row r="6902" spans="1:1" x14ac:dyDescent="0.2">
      <c r="A6902" s="1" t="s">
        <v>1681</v>
      </c>
    </row>
    <row r="6903" spans="1:1" x14ac:dyDescent="0.2">
      <c r="A6903" s="1" t="s">
        <v>1682</v>
      </c>
    </row>
    <row r="6904" spans="1:1" x14ac:dyDescent="0.2">
      <c r="A6904" s="1" t="s">
        <v>1673</v>
      </c>
    </row>
    <row r="6905" spans="1:1" x14ac:dyDescent="0.2">
      <c r="A6905" s="1" t="s">
        <v>1674</v>
      </c>
    </row>
    <row r="6906" spans="1:1" x14ac:dyDescent="0.2">
      <c r="A6906" s="1" t="s">
        <v>1673</v>
      </c>
    </row>
    <row r="6907" spans="1:1" x14ac:dyDescent="0.2">
      <c r="A6907" s="1" t="s">
        <v>1674</v>
      </c>
    </row>
    <row r="6908" spans="1:1" x14ac:dyDescent="0.2">
      <c r="A6908" s="1" t="s">
        <v>1673</v>
      </c>
    </row>
    <row r="6909" spans="1:1" x14ac:dyDescent="0.2">
      <c r="A6909" s="1" t="s">
        <v>1674</v>
      </c>
    </row>
    <row r="6910" spans="1:1" x14ac:dyDescent="0.2">
      <c r="A6910" s="1" t="s">
        <v>1675</v>
      </c>
    </row>
    <row r="6911" spans="1:1" x14ac:dyDescent="0.2">
      <c r="A6911" s="1" t="s">
        <v>1676</v>
      </c>
    </row>
    <row r="6912" spans="1:1" x14ac:dyDescent="0.2">
      <c r="A6912" s="1" t="s">
        <v>1677</v>
      </c>
    </row>
    <row r="6913" spans="1:1" x14ac:dyDescent="0.2">
      <c r="A6913" s="1" t="s">
        <v>1678</v>
      </c>
    </row>
    <row r="6914" spans="1:1" x14ac:dyDescent="0.2">
      <c r="A6914" s="1" t="s">
        <v>1679</v>
      </c>
    </row>
    <row r="6915" spans="1:1" x14ac:dyDescent="0.2">
      <c r="A6915" s="1" t="s">
        <v>1680</v>
      </c>
    </row>
    <row r="6916" spans="1:1" x14ac:dyDescent="0.2">
      <c r="A6916" s="1" t="s">
        <v>1681</v>
      </c>
    </row>
    <row r="6917" spans="1:1" x14ac:dyDescent="0.2">
      <c r="A6917" s="1" t="s">
        <v>1682</v>
      </c>
    </row>
    <row r="6918" spans="1:1" x14ac:dyDescent="0.2">
      <c r="A6918" s="1" t="s">
        <v>1673</v>
      </c>
    </row>
    <row r="6919" spans="1:1" x14ac:dyDescent="0.2">
      <c r="A6919" s="1" t="s">
        <v>1674</v>
      </c>
    </row>
    <row r="6920" spans="1:1" x14ac:dyDescent="0.2">
      <c r="A6920" s="1" t="s">
        <v>1673</v>
      </c>
    </row>
    <row r="6921" spans="1:1" x14ac:dyDescent="0.2">
      <c r="A6921" s="1" t="s">
        <v>1674</v>
      </c>
    </row>
    <row r="6922" spans="1:1" x14ac:dyDescent="0.2">
      <c r="A6922" s="1" t="s">
        <v>1673</v>
      </c>
    </row>
    <row r="6923" spans="1:1" x14ac:dyDescent="0.2">
      <c r="A6923" s="1" t="s">
        <v>1674</v>
      </c>
    </row>
    <row r="6924" spans="1:1" x14ac:dyDescent="0.2">
      <c r="A6924" s="1" t="s">
        <v>1675</v>
      </c>
    </row>
    <row r="6925" spans="1:1" x14ac:dyDescent="0.2">
      <c r="A6925" s="1" t="s">
        <v>1676</v>
      </c>
    </row>
    <row r="6926" spans="1:1" x14ac:dyDescent="0.2">
      <c r="A6926" s="1" t="s">
        <v>1677</v>
      </c>
    </row>
    <row r="6927" spans="1:1" x14ac:dyDescent="0.2">
      <c r="A6927" s="1" t="s">
        <v>1678</v>
      </c>
    </row>
    <row r="6928" spans="1:1" x14ac:dyDescent="0.2">
      <c r="A6928" s="1" t="s">
        <v>1679</v>
      </c>
    </row>
    <row r="6929" spans="1:1" x14ac:dyDescent="0.2">
      <c r="A6929" s="1" t="s">
        <v>1680</v>
      </c>
    </row>
    <row r="6930" spans="1:1" x14ac:dyDescent="0.2">
      <c r="A6930" s="1" t="s">
        <v>1681</v>
      </c>
    </row>
    <row r="6931" spans="1:1" x14ac:dyDescent="0.2">
      <c r="A6931" s="1" t="s">
        <v>1682</v>
      </c>
    </row>
    <row r="6932" spans="1:1" x14ac:dyDescent="0.2">
      <c r="A6932" s="1" t="s">
        <v>1673</v>
      </c>
    </row>
    <row r="6933" spans="1:1" x14ac:dyDescent="0.2">
      <c r="A6933" s="1" t="s">
        <v>1674</v>
      </c>
    </row>
    <row r="6934" spans="1:1" x14ac:dyDescent="0.2">
      <c r="A6934" s="1" t="s">
        <v>1673</v>
      </c>
    </row>
    <row r="6935" spans="1:1" x14ac:dyDescent="0.2">
      <c r="A6935" s="1" t="s">
        <v>1674</v>
      </c>
    </row>
    <row r="6936" spans="1:1" x14ac:dyDescent="0.2">
      <c r="A6936" s="1" t="s">
        <v>1673</v>
      </c>
    </row>
    <row r="6937" spans="1:1" x14ac:dyDescent="0.2">
      <c r="A6937" s="1" t="s">
        <v>1674</v>
      </c>
    </row>
    <row r="6938" spans="1:1" x14ac:dyDescent="0.2">
      <c r="A6938" s="1" t="s">
        <v>1675</v>
      </c>
    </row>
    <row r="6939" spans="1:1" x14ac:dyDescent="0.2">
      <c r="A6939" s="1" t="s">
        <v>1676</v>
      </c>
    </row>
    <row r="6940" spans="1:1" x14ac:dyDescent="0.2">
      <c r="A6940" s="1" t="s">
        <v>1677</v>
      </c>
    </row>
    <row r="6941" spans="1:1" x14ac:dyDescent="0.2">
      <c r="A6941" s="1" t="s">
        <v>1678</v>
      </c>
    </row>
    <row r="6942" spans="1:1" x14ac:dyDescent="0.2">
      <c r="A6942" s="1" t="s">
        <v>1679</v>
      </c>
    </row>
    <row r="6943" spans="1:1" x14ac:dyDescent="0.2">
      <c r="A6943" s="1" t="s">
        <v>1680</v>
      </c>
    </row>
    <row r="6944" spans="1:1" x14ac:dyDescent="0.2">
      <c r="A6944" s="1" t="s">
        <v>1681</v>
      </c>
    </row>
    <row r="6945" spans="1:1" x14ac:dyDescent="0.2">
      <c r="A6945" s="1" t="s">
        <v>1682</v>
      </c>
    </row>
    <row r="6946" spans="1:1" x14ac:dyDescent="0.2">
      <c r="A6946" s="1" t="s">
        <v>1673</v>
      </c>
    </row>
    <row r="6947" spans="1:1" x14ac:dyDescent="0.2">
      <c r="A6947" s="1" t="s">
        <v>1674</v>
      </c>
    </row>
    <row r="6948" spans="1:1" x14ac:dyDescent="0.2">
      <c r="A6948" s="1" t="s">
        <v>1673</v>
      </c>
    </row>
    <row r="6949" spans="1:1" x14ac:dyDescent="0.2">
      <c r="A6949" s="1" t="s">
        <v>1674</v>
      </c>
    </row>
    <row r="6950" spans="1:1" x14ac:dyDescent="0.2">
      <c r="A6950" s="1" t="s">
        <v>1673</v>
      </c>
    </row>
    <row r="6951" spans="1:1" x14ac:dyDescent="0.2">
      <c r="A6951" s="1" t="s">
        <v>1674</v>
      </c>
    </row>
    <row r="6952" spans="1:1" x14ac:dyDescent="0.2">
      <c r="A6952" s="1" t="s">
        <v>1675</v>
      </c>
    </row>
    <row r="6953" spans="1:1" x14ac:dyDescent="0.2">
      <c r="A6953" s="1" t="s">
        <v>1676</v>
      </c>
    </row>
    <row r="6954" spans="1:1" x14ac:dyDescent="0.2">
      <c r="A6954" s="1" t="s">
        <v>1677</v>
      </c>
    </row>
    <row r="6955" spans="1:1" x14ac:dyDescent="0.2">
      <c r="A6955" s="1" t="s">
        <v>1678</v>
      </c>
    </row>
    <row r="6956" spans="1:1" x14ac:dyDescent="0.2">
      <c r="A6956" s="1" t="s">
        <v>1679</v>
      </c>
    </row>
    <row r="6957" spans="1:1" x14ac:dyDescent="0.2">
      <c r="A6957" s="1" t="s">
        <v>1680</v>
      </c>
    </row>
    <row r="6958" spans="1:1" x14ac:dyDescent="0.2">
      <c r="A6958" s="1" t="s">
        <v>1681</v>
      </c>
    </row>
    <row r="6959" spans="1:1" x14ac:dyDescent="0.2">
      <c r="A6959" s="1" t="s">
        <v>1682</v>
      </c>
    </row>
    <row r="6960" spans="1:1" x14ac:dyDescent="0.2">
      <c r="A6960" s="1" t="s">
        <v>1673</v>
      </c>
    </row>
    <row r="6961" spans="1:1" x14ac:dyDescent="0.2">
      <c r="A6961" s="1" t="s">
        <v>1674</v>
      </c>
    </row>
    <row r="6962" spans="1:1" x14ac:dyDescent="0.2">
      <c r="A6962" s="1" t="s">
        <v>1673</v>
      </c>
    </row>
    <row r="6963" spans="1:1" x14ac:dyDescent="0.2">
      <c r="A6963" s="1" t="s">
        <v>1674</v>
      </c>
    </row>
    <row r="6964" spans="1:1" x14ac:dyDescent="0.2">
      <c r="A6964" s="1" t="s">
        <v>1673</v>
      </c>
    </row>
    <row r="6965" spans="1:1" x14ac:dyDescent="0.2">
      <c r="A6965" s="1" t="s">
        <v>1674</v>
      </c>
    </row>
    <row r="6966" spans="1:1" x14ac:dyDescent="0.2">
      <c r="A6966" s="1" t="s">
        <v>1675</v>
      </c>
    </row>
    <row r="6967" spans="1:1" x14ac:dyDescent="0.2">
      <c r="A6967" s="1" t="s">
        <v>1676</v>
      </c>
    </row>
    <row r="6968" spans="1:1" x14ac:dyDescent="0.2">
      <c r="A6968" s="1" t="s">
        <v>1677</v>
      </c>
    </row>
    <row r="6969" spans="1:1" x14ac:dyDescent="0.2">
      <c r="A6969" s="1" t="s">
        <v>1678</v>
      </c>
    </row>
    <row r="6970" spans="1:1" x14ac:dyDescent="0.2">
      <c r="A6970" s="1" t="s">
        <v>1679</v>
      </c>
    </row>
    <row r="6971" spans="1:1" x14ac:dyDescent="0.2">
      <c r="A6971" s="1" t="s">
        <v>1680</v>
      </c>
    </row>
    <row r="6972" spans="1:1" x14ac:dyDescent="0.2">
      <c r="A6972" s="1" t="s">
        <v>1681</v>
      </c>
    </row>
    <row r="6973" spans="1:1" x14ac:dyDescent="0.2">
      <c r="A6973" s="1" t="s">
        <v>1682</v>
      </c>
    </row>
    <row r="6974" spans="1:1" x14ac:dyDescent="0.2">
      <c r="A6974" s="1" t="s">
        <v>1673</v>
      </c>
    </row>
    <row r="6975" spans="1:1" x14ac:dyDescent="0.2">
      <c r="A6975" s="1" t="s">
        <v>1674</v>
      </c>
    </row>
    <row r="6976" spans="1:1" x14ac:dyDescent="0.2">
      <c r="A6976" s="1" t="s">
        <v>1683</v>
      </c>
    </row>
    <row r="6977" spans="1:1" x14ac:dyDescent="0.2">
      <c r="A6977" s="1" t="s">
        <v>1684</v>
      </c>
    </row>
    <row r="6978" spans="1:1" x14ac:dyDescent="0.2">
      <c r="A6978" s="1" t="s">
        <v>1685</v>
      </c>
    </row>
    <row r="6979" spans="1:1" x14ac:dyDescent="0.2">
      <c r="A6979" s="1" t="s">
        <v>1686</v>
      </c>
    </row>
    <row r="6980" spans="1:1" x14ac:dyDescent="0.2">
      <c r="A6980" s="1" t="s">
        <v>1687</v>
      </c>
    </row>
    <row r="6981" spans="1:1" x14ac:dyDescent="0.2">
      <c r="A6981" s="1" t="s">
        <v>1688</v>
      </c>
    </row>
    <row r="6982" spans="1:1" x14ac:dyDescent="0.2">
      <c r="A6982" s="1" t="s">
        <v>1689</v>
      </c>
    </row>
    <row r="6983" spans="1:1" x14ac:dyDescent="0.2">
      <c r="A6983" s="1" t="s">
        <v>1690</v>
      </c>
    </row>
    <row r="6984" spans="1:1" x14ac:dyDescent="0.2">
      <c r="A6984" s="1" t="s">
        <v>1691</v>
      </c>
    </row>
    <row r="6985" spans="1:1" x14ac:dyDescent="0.2">
      <c r="A6985" s="1" t="s">
        <v>1692</v>
      </c>
    </row>
    <row r="6986" spans="1:1" x14ac:dyDescent="0.2">
      <c r="A6986" s="1" t="s">
        <v>1693</v>
      </c>
    </row>
    <row r="6987" spans="1:1" x14ac:dyDescent="0.2">
      <c r="A6987" s="1" t="s">
        <v>1694</v>
      </c>
    </row>
    <row r="6988" spans="1:1" x14ac:dyDescent="0.2">
      <c r="A6988" s="1" t="s">
        <v>1693</v>
      </c>
    </row>
    <row r="6989" spans="1:1" x14ac:dyDescent="0.2">
      <c r="A6989" s="1" t="s">
        <v>1695</v>
      </c>
    </row>
    <row r="6990" spans="1:1" x14ac:dyDescent="0.2">
      <c r="A6990" s="1" t="s">
        <v>1696</v>
      </c>
    </row>
    <row r="6991" spans="1:1" x14ac:dyDescent="0.2">
      <c r="A6991" s="1" t="s">
        <v>1697</v>
      </c>
    </row>
    <row r="6992" spans="1:1" x14ac:dyDescent="0.2">
      <c r="A6992" s="1" t="s">
        <v>1698</v>
      </c>
    </row>
    <row r="6993" spans="1:1" x14ac:dyDescent="0.2">
      <c r="A6993" s="1" t="s">
        <v>1699</v>
      </c>
    </row>
    <row r="6994" spans="1:1" x14ac:dyDescent="0.2">
      <c r="A6994" s="1" t="s">
        <v>1698</v>
      </c>
    </row>
    <row r="6995" spans="1:1" x14ac:dyDescent="0.2">
      <c r="A6995" s="1" t="s">
        <v>1700</v>
      </c>
    </row>
    <row r="6996" spans="1:1" x14ac:dyDescent="0.2">
      <c r="A6996" s="1" t="s">
        <v>1701</v>
      </c>
    </row>
    <row r="6997" spans="1:1" x14ac:dyDescent="0.2">
      <c r="A6997" s="1" t="s">
        <v>1702</v>
      </c>
    </row>
    <row r="6998" spans="1:1" x14ac:dyDescent="0.2">
      <c r="A6998" s="1" t="s">
        <v>1703</v>
      </c>
    </row>
    <row r="6999" spans="1:1" x14ac:dyDescent="0.2">
      <c r="A6999" s="1" t="s">
        <v>1704</v>
      </c>
    </row>
    <row r="7000" spans="1:1" x14ac:dyDescent="0.2">
      <c r="A7000" s="1" t="s">
        <v>1705</v>
      </c>
    </row>
    <row r="7001" spans="1:1" x14ac:dyDescent="0.2">
      <c r="A7001" s="1" t="s">
        <v>1706</v>
      </c>
    </row>
    <row r="7002" spans="1:1" x14ac:dyDescent="0.2">
      <c r="A7002" s="1" t="s">
        <v>1707</v>
      </c>
    </row>
    <row r="7003" spans="1:1" x14ac:dyDescent="0.2">
      <c r="A7003" s="1" t="s">
        <v>1708</v>
      </c>
    </row>
    <row r="7004" spans="1:1" x14ac:dyDescent="0.2">
      <c r="A7004" s="1" t="s">
        <v>1709</v>
      </c>
    </row>
    <row r="7005" spans="1:1" x14ac:dyDescent="0.2">
      <c r="A7005" s="1" t="s">
        <v>1710</v>
      </c>
    </row>
    <row r="7006" spans="1:1" x14ac:dyDescent="0.2">
      <c r="A7006" s="1" t="s">
        <v>1711</v>
      </c>
    </row>
    <row r="7007" spans="1:1" x14ac:dyDescent="0.2">
      <c r="A7007" s="1" t="s">
        <v>1712</v>
      </c>
    </row>
    <row r="7008" spans="1:1" x14ac:dyDescent="0.2">
      <c r="A7008" s="1" t="s">
        <v>1713</v>
      </c>
    </row>
    <row r="7009" spans="1:1" x14ac:dyDescent="0.2">
      <c r="A7009" s="1" t="s">
        <v>1714</v>
      </c>
    </row>
    <row r="7010" spans="1:1" x14ac:dyDescent="0.2">
      <c r="A7010" s="1" t="s">
        <v>1715</v>
      </c>
    </row>
    <row r="7011" spans="1:1" x14ac:dyDescent="0.2">
      <c r="A7011" s="1" t="s">
        <v>1716</v>
      </c>
    </row>
    <row r="7012" spans="1:1" x14ac:dyDescent="0.2">
      <c r="A7012" s="1" t="s">
        <v>1717</v>
      </c>
    </row>
    <row r="7013" spans="1:1" x14ac:dyDescent="0.2">
      <c r="A7013" s="1" t="s">
        <v>1718</v>
      </c>
    </row>
    <row r="7014" spans="1:1" x14ac:dyDescent="0.2">
      <c r="A7014" s="1" t="s">
        <v>1719</v>
      </c>
    </row>
    <row r="7015" spans="1:1" x14ac:dyDescent="0.2">
      <c r="A7015" s="1" t="s">
        <v>1720</v>
      </c>
    </row>
    <row r="7016" spans="1:1" x14ac:dyDescent="0.2">
      <c r="A7016" s="1" t="s">
        <v>1721</v>
      </c>
    </row>
    <row r="7017" spans="1:1" x14ac:dyDescent="0.2">
      <c r="A7017" s="1" t="s">
        <v>1722</v>
      </c>
    </row>
    <row r="7018" spans="1:1" x14ac:dyDescent="0.2">
      <c r="A7018" s="1" t="s">
        <v>1723</v>
      </c>
    </row>
    <row r="7019" spans="1:1" x14ac:dyDescent="0.2">
      <c r="A7019" s="1" t="s">
        <v>1724</v>
      </c>
    </row>
    <row r="7020" spans="1:1" x14ac:dyDescent="0.2">
      <c r="A7020" s="1" t="s">
        <v>1725</v>
      </c>
    </row>
    <row r="7021" spans="1:1" x14ac:dyDescent="0.2">
      <c r="A7021" s="1" t="s">
        <v>1726</v>
      </c>
    </row>
    <row r="7022" spans="1:1" x14ac:dyDescent="0.2">
      <c r="A7022" s="1" t="s">
        <v>1727</v>
      </c>
    </row>
    <row r="7023" spans="1:1" x14ac:dyDescent="0.2">
      <c r="A7023" s="1" t="s">
        <v>1728</v>
      </c>
    </row>
    <row r="7024" spans="1:1" x14ac:dyDescent="0.2">
      <c r="A7024" s="1" t="s">
        <v>1729</v>
      </c>
    </row>
    <row r="7025" spans="1:1" x14ac:dyDescent="0.2">
      <c r="A7025" s="1" t="s">
        <v>1730</v>
      </c>
    </row>
    <row r="7026" spans="1:1" x14ac:dyDescent="0.2">
      <c r="A7026" s="1" t="s">
        <v>1731</v>
      </c>
    </row>
    <row r="7027" spans="1:1" x14ac:dyDescent="0.2">
      <c r="A7027" s="1" t="s">
        <v>1732</v>
      </c>
    </row>
    <row r="7028" spans="1:1" x14ac:dyDescent="0.2">
      <c r="A7028" s="1" t="s">
        <v>1733</v>
      </c>
    </row>
    <row r="7029" spans="1:1" x14ac:dyDescent="0.2">
      <c r="A7029" s="1" t="s">
        <v>1734</v>
      </c>
    </row>
    <row r="7030" spans="1:1" x14ac:dyDescent="0.2">
      <c r="A7030" s="1" t="s">
        <v>1735</v>
      </c>
    </row>
    <row r="7031" spans="1:1" x14ac:dyDescent="0.2">
      <c r="A7031" s="1" t="s">
        <v>1736</v>
      </c>
    </row>
    <row r="7032" spans="1:1" x14ac:dyDescent="0.2">
      <c r="A7032" s="1" t="s">
        <v>1737</v>
      </c>
    </row>
    <row r="7033" spans="1:1" x14ac:dyDescent="0.2">
      <c r="A7033" s="1" t="s">
        <v>1738</v>
      </c>
    </row>
    <row r="7034" spans="1:1" x14ac:dyDescent="0.2">
      <c r="A7034" s="1" t="s">
        <v>1739</v>
      </c>
    </row>
    <row r="7035" spans="1:1" x14ac:dyDescent="0.2">
      <c r="A7035" s="1" t="s">
        <v>1740</v>
      </c>
    </row>
    <row r="7036" spans="1:1" x14ac:dyDescent="0.2">
      <c r="A7036" s="1" t="s">
        <v>1741</v>
      </c>
    </row>
    <row r="7037" spans="1:1" x14ac:dyDescent="0.2">
      <c r="A7037" s="1" t="s">
        <v>1742</v>
      </c>
    </row>
    <row r="7038" spans="1:1" x14ac:dyDescent="0.2">
      <c r="A7038" s="1" t="s">
        <v>1743</v>
      </c>
    </row>
    <row r="7039" spans="1:1" x14ac:dyDescent="0.2">
      <c r="A7039" s="1" t="s">
        <v>1744</v>
      </c>
    </row>
    <row r="7040" spans="1:1" x14ac:dyDescent="0.2">
      <c r="A7040" s="1" t="s">
        <v>1745</v>
      </c>
    </row>
    <row r="7041" spans="1:1" x14ac:dyDescent="0.2">
      <c r="A7041" s="1" t="s">
        <v>1746</v>
      </c>
    </row>
    <row r="7042" spans="1:1" x14ac:dyDescent="0.2">
      <c r="A7042" s="1" t="s">
        <v>1747</v>
      </c>
    </row>
    <row r="7043" spans="1:1" x14ac:dyDescent="0.2">
      <c r="A7043" s="1" t="s">
        <v>1748</v>
      </c>
    </row>
    <row r="7044" spans="1:1" x14ac:dyDescent="0.2">
      <c r="A7044" s="1" t="s">
        <v>1749</v>
      </c>
    </row>
    <row r="7045" spans="1:1" x14ac:dyDescent="0.2">
      <c r="A7045" s="1" t="s">
        <v>1750</v>
      </c>
    </row>
    <row r="7046" spans="1:1" x14ac:dyDescent="0.2">
      <c r="A7046" s="1" t="s">
        <v>1751</v>
      </c>
    </row>
    <row r="7047" spans="1:1" x14ac:dyDescent="0.2">
      <c r="A7047" s="1" t="s">
        <v>1752</v>
      </c>
    </row>
    <row r="7048" spans="1:1" x14ac:dyDescent="0.2">
      <c r="A7048" s="1" t="s">
        <v>1753</v>
      </c>
    </row>
    <row r="7049" spans="1:1" x14ac:dyDescent="0.2">
      <c r="A7049" s="1" t="s">
        <v>1754</v>
      </c>
    </row>
    <row r="7050" spans="1:1" x14ac:dyDescent="0.2">
      <c r="A7050" s="1" t="s">
        <v>1755</v>
      </c>
    </row>
    <row r="7051" spans="1:1" x14ac:dyDescent="0.2">
      <c r="A7051" s="1" t="s">
        <v>1756</v>
      </c>
    </row>
    <row r="7052" spans="1:1" x14ac:dyDescent="0.2">
      <c r="A7052" s="1" t="s">
        <v>1757</v>
      </c>
    </row>
    <row r="7053" spans="1:1" x14ac:dyDescent="0.2">
      <c r="A7053" s="1" t="s">
        <v>1758</v>
      </c>
    </row>
    <row r="7054" spans="1:1" x14ac:dyDescent="0.2">
      <c r="A7054" s="1" t="s">
        <v>1759</v>
      </c>
    </row>
    <row r="7055" spans="1:1" x14ac:dyDescent="0.2">
      <c r="A7055" s="1" t="s">
        <v>1760</v>
      </c>
    </row>
    <row r="7056" spans="1:1" x14ac:dyDescent="0.2">
      <c r="A7056" s="1" t="s">
        <v>1761</v>
      </c>
    </row>
    <row r="7057" spans="1:1" x14ac:dyDescent="0.2">
      <c r="A7057" s="1" t="s">
        <v>1762</v>
      </c>
    </row>
    <row r="7058" spans="1:1" x14ac:dyDescent="0.2">
      <c r="A7058" s="1" t="s">
        <v>1763</v>
      </c>
    </row>
    <row r="7059" spans="1:1" x14ac:dyDescent="0.2">
      <c r="A7059" s="1" t="s">
        <v>1764</v>
      </c>
    </row>
    <row r="7060" spans="1:1" x14ac:dyDescent="0.2">
      <c r="A7060" s="1" t="s">
        <v>1765</v>
      </c>
    </row>
    <row r="7061" spans="1:1" x14ac:dyDescent="0.2">
      <c r="A7061" s="1" t="s">
        <v>1766</v>
      </c>
    </row>
    <row r="7062" spans="1:1" x14ac:dyDescent="0.2">
      <c r="A7062" s="1" t="s">
        <v>1767</v>
      </c>
    </row>
    <row r="7063" spans="1:1" x14ac:dyDescent="0.2">
      <c r="A7063" s="1" t="s">
        <v>1768</v>
      </c>
    </row>
    <row r="7064" spans="1:1" x14ac:dyDescent="0.2">
      <c r="A7064" s="1" t="s">
        <v>1769</v>
      </c>
    </row>
    <row r="7065" spans="1:1" x14ac:dyDescent="0.2">
      <c r="A7065" s="1" t="s">
        <v>1770</v>
      </c>
    </row>
    <row r="7066" spans="1:1" x14ac:dyDescent="0.2">
      <c r="A7066" s="1" t="s">
        <v>1771</v>
      </c>
    </row>
    <row r="7067" spans="1:1" x14ac:dyDescent="0.2">
      <c r="A7067" s="1" t="s">
        <v>1772</v>
      </c>
    </row>
    <row r="7068" spans="1:1" x14ac:dyDescent="0.2">
      <c r="A7068" s="1" t="s">
        <v>1773</v>
      </c>
    </row>
    <row r="7069" spans="1:1" x14ac:dyDescent="0.2">
      <c r="A7069" s="1" t="s">
        <v>1774</v>
      </c>
    </row>
    <row r="7070" spans="1:1" x14ac:dyDescent="0.2">
      <c r="A7070" s="1" t="s">
        <v>1775</v>
      </c>
    </row>
    <row r="7071" spans="1:1" x14ac:dyDescent="0.2">
      <c r="A7071" s="1" t="s">
        <v>1776</v>
      </c>
    </row>
    <row r="7072" spans="1:1" x14ac:dyDescent="0.2">
      <c r="A7072" s="1" t="s">
        <v>1777</v>
      </c>
    </row>
    <row r="7073" spans="1:1" x14ac:dyDescent="0.2">
      <c r="A7073" s="1" t="s">
        <v>1778</v>
      </c>
    </row>
    <row r="7074" spans="1:1" x14ac:dyDescent="0.2">
      <c r="A7074" s="1" t="s">
        <v>1779</v>
      </c>
    </row>
    <row r="7075" spans="1:1" x14ac:dyDescent="0.2">
      <c r="A7075" s="1" t="s">
        <v>1780</v>
      </c>
    </row>
    <row r="7076" spans="1:1" x14ac:dyDescent="0.2">
      <c r="A7076" s="1" t="s">
        <v>1781</v>
      </c>
    </row>
    <row r="7077" spans="1:1" x14ac:dyDescent="0.2">
      <c r="A7077" s="1" t="s">
        <v>1782</v>
      </c>
    </row>
    <row r="7078" spans="1:1" x14ac:dyDescent="0.2">
      <c r="A7078" s="1" t="s">
        <v>1783</v>
      </c>
    </row>
    <row r="7079" spans="1:1" x14ac:dyDescent="0.2">
      <c r="A7079" s="1" t="s">
        <v>1784</v>
      </c>
    </row>
    <row r="7080" spans="1:1" x14ac:dyDescent="0.2">
      <c r="A7080" s="1" t="s">
        <v>1785</v>
      </c>
    </row>
    <row r="7081" spans="1:1" x14ac:dyDescent="0.2">
      <c r="A7081" s="1" t="s">
        <v>1786</v>
      </c>
    </row>
    <row r="7082" spans="1:1" x14ac:dyDescent="0.2">
      <c r="A7082" s="1" t="s">
        <v>1787</v>
      </c>
    </row>
    <row r="7083" spans="1:1" x14ac:dyDescent="0.2">
      <c r="A7083" s="1" t="s">
        <v>1788</v>
      </c>
    </row>
    <row r="7084" spans="1:1" x14ac:dyDescent="0.2">
      <c r="A7084" s="1" t="s">
        <v>1789</v>
      </c>
    </row>
    <row r="7085" spans="1:1" x14ac:dyDescent="0.2">
      <c r="A7085" s="1" t="s">
        <v>1790</v>
      </c>
    </row>
    <row r="7086" spans="1:1" x14ac:dyDescent="0.2">
      <c r="A7086" s="1" t="s">
        <v>1791</v>
      </c>
    </row>
    <row r="7087" spans="1:1" x14ac:dyDescent="0.2">
      <c r="A7087" s="1" t="s">
        <v>1792</v>
      </c>
    </row>
    <row r="7088" spans="1:1" x14ac:dyDescent="0.2">
      <c r="A7088" s="1" t="s">
        <v>1793</v>
      </c>
    </row>
    <row r="7089" spans="1:1" x14ac:dyDescent="0.2">
      <c r="A7089" s="1" t="s">
        <v>1794</v>
      </c>
    </row>
    <row r="7090" spans="1:1" x14ac:dyDescent="0.2">
      <c r="A7090" s="1" t="s">
        <v>1795</v>
      </c>
    </row>
    <row r="7091" spans="1:1" x14ac:dyDescent="0.2">
      <c r="A7091" s="1" t="s">
        <v>1793</v>
      </c>
    </row>
    <row r="7092" spans="1:1" x14ac:dyDescent="0.2">
      <c r="A7092" s="1" t="s">
        <v>1796</v>
      </c>
    </row>
    <row r="7093" spans="1:1" x14ac:dyDescent="0.2">
      <c r="A7093" s="1" t="s">
        <v>1795</v>
      </c>
    </row>
    <row r="7094" spans="1:1" x14ac:dyDescent="0.2">
      <c r="A7094" s="1" t="s">
        <v>1793</v>
      </c>
    </row>
    <row r="7095" spans="1:1" x14ac:dyDescent="0.2">
      <c r="A7095" s="1" t="s">
        <v>1797</v>
      </c>
    </row>
    <row r="7096" spans="1:1" x14ac:dyDescent="0.2">
      <c r="A7096" s="1" t="s">
        <v>1795</v>
      </c>
    </row>
    <row r="7097" spans="1:1" x14ac:dyDescent="0.2">
      <c r="A7097" s="1" t="s">
        <v>1798</v>
      </c>
    </row>
    <row r="7098" spans="1:1" x14ac:dyDescent="0.2">
      <c r="A7098" s="1" t="s">
        <v>1799</v>
      </c>
    </row>
    <row r="7099" spans="1:1" x14ac:dyDescent="0.2">
      <c r="A7099" s="1" t="s">
        <v>1800</v>
      </c>
    </row>
    <row r="7100" spans="1:1" x14ac:dyDescent="0.2">
      <c r="A7100" s="1" t="s">
        <v>1802</v>
      </c>
    </row>
    <row r="7101" spans="1:1" x14ac:dyDescent="0.2">
      <c r="A7101" s="1" t="s">
        <v>1803</v>
      </c>
    </row>
    <row r="7102" spans="1:1" x14ac:dyDescent="0.2">
      <c r="A7102" s="1" t="s">
        <v>1804</v>
      </c>
    </row>
    <row r="7103" spans="1:1" x14ac:dyDescent="0.2">
      <c r="A7103" s="1" t="s">
        <v>1805</v>
      </c>
    </row>
    <row r="7104" spans="1:1" x14ac:dyDescent="0.2">
      <c r="A7104" s="1" t="s">
        <v>1806</v>
      </c>
    </row>
    <row r="7105" spans="1:1" x14ac:dyDescent="0.2">
      <c r="A7105" s="1" t="s">
        <v>1807</v>
      </c>
    </row>
    <row r="7106" spans="1:1" x14ac:dyDescent="0.2">
      <c r="A7106" s="1" t="s">
        <v>1808</v>
      </c>
    </row>
    <row r="7107" spans="1:1" x14ac:dyDescent="0.2">
      <c r="A7107" s="1" t="s">
        <v>1809</v>
      </c>
    </row>
    <row r="7108" spans="1:1" x14ac:dyDescent="0.2">
      <c r="A7108" s="1" t="s">
        <v>1808</v>
      </c>
    </row>
    <row r="7109" spans="1:1" x14ac:dyDescent="0.2">
      <c r="A7109" s="1" t="s">
        <v>1810</v>
      </c>
    </row>
    <row r="7110" spans="1:1" x14ac:dyDescent="0.2">
      <c r="A7110" s="1" t="s">
        <v>1811</v>
      </c>
    </row>
    <row r="7111" spans="1:1" x14ac:dyDescent="0.2">
      <c r="A7111" s="1" t="s">
        <v>1812</v>
      </c>
    </row>
    <row r="7112" spans="1:1" x14ac:dyDescent="0.2">
      <c r="A7112" s="1" t="s">
        <v>1811</v>
      </c>
    </row>
    <row r="7113" spans="1:1" x14ac:dyDescent="0.2">
      <c r="A7113" s="1" t="s">
        <v>1813</v>
      </c>
    </row>
    <row r="7114" spans="1:1" x14ac:dyDescent="0.2">
      <c r="A7114" s="1" t="s">
        <v>1814</v>
      </c>
    </row>
    <row r="7115" spans="1:1" x14ac:dyDescent="0.2">
      <c r="A7115" s="1" t="s">
        <v>1815</v>
      </c>
    </row>
    <row r="7116" spans="1:1" x14ac:dyDescent="0.2">
      <c r="A7116" s="1" t="s">
        <v>1816</v>
      </c>
    </row>
    <row r="7117" spans="1:1" x14ac:dyDescent="0.2">
      <c r="A7117" s="1" t="s">
        <v>1817</v>
      </c>
    </row>
    <row r="7118" spans="1:1" x14ac:dyDescent="0.2">
      <c r="A7118" s="1" t="s">
        <v>1818</v>
      </c>
    </row>
    <row r="7119" spans="1:1" x14ac:dyDescent="0.2">
      <c r="A7119" s="1" t="s">
        <v>1819</v>
      </c>
    </row>
    <row r="7120" spans="1:1" x14ac:dyDescent="0.2">
      <c r="A7120" s="1" t="s">
        <v>1818</v>
      </c>
    </row>
    <row r="7121" spans="1:1" x14ac:dyDescent="0.2">
      <c r="A7121" s="1" t="s">
        <v>1820</v>
      </c>
    </row>
    <row r="7122" spans="1:1" x14ac:dyDescent="0.2">
      <c r="A7122" s="1" t="s">
        <v>1821</v>
      </c>
    </row>
    <row r="7123" spans="1:1" x14ac:dyDescent="0.2">
      <c r="A7123" s="1" t="s">
        <v>1818</v>
      </c>
    </row>
    <row r="7124" spans="1:1" x14ac:dyDescent="0.2">
      <c r="A7124" s="1" t="s">
        <v>1822</v>
      </c>
    </row>
    <row r="7125" spans="1:1" x14ac:dyDescent="0.2">
      <c r="A7125" s="1" t="s">
        <v>1821</v>
      </c>
    </row>
    <row r="7126" spans="1:1" x14ac:dyDescent="0.2">
      <c r="A7126" s="1" t="s">
        <v>1823</v>
      </c>
    </row>
    <row r="7127" spans="1:1" x14ac:dyDescent="0.2">
      <c r="A7127" s="1" t="s">
        <v>1824</v>
      </c>
    </row>
    <row r="7128" spans="1:1" x14ac:dyDescent="0.2">
      <c r="A7128" s="1" t="s">
        <v>1825</v>
      </c>
    </row>
    <row r="7129" spans="1:1" x14ac:dyDescent="0.2">
      <c r="A7129" s="1" t="s">
        <v>1826</v>
      </c>
    </row>
    <row r="7130" spans="1:1" x14ac:dyDescent="0.2">
      <c r="A7130" s="1" t="s">
        <v>1827</v>
      </c>
    </row>
    <row r="7131" spans="1:1" x14ac:dyDescent="0.2">
      <c r="A7131" s="1" t="s">
        <v>1828</v>
      </c>
    </row>
    <row r="7132" spans="1:1" x14ac:dyDescent="0.2">
      <c r="A7132" s="1" t="s">
        <v>1829</v>
      </c>
    </row>
    <row r="7133" spans="1:1" x14ac:dyDescent="0.2">
      <c r="A7133" s="1" t="s">
        <v>1830</v>
      </c>
    </row>
    <row r="7134" spans="1:1" x14ac:dyDescent="0.2">
      <c r="A7134" s="1" t="s">
        <v>1831</v>
      </c>
    </row>
    <row r="7135" spans="1:1" x14ac:dyDescent="0.2">
      <c r="A7135" s="1" t="s">
        <v>1832</v>
      </c>
    </row>
    <row r="7136" spans="1:1" x14ac:dyDescent="0.2">
      <c r="A7136" s="1" t="s">
        <v>1833</v>
      </c>
    </row>
    <row r="7137" spans="1:1" x14ac:dyDescent="0.2">
      <c r="A7137" s="1" t="s">
        <v>1834</v>
      </c>
    </row>
    <row r="7138" spans="1:1" x14ac:dyDescent="0.2">
      <c r="A7138" s="1" t="s">
        <v>1823</v>
      </c>
    </row>
    <row r="7139" spans="1:1" x14ac:dyDescent="0.2">
      <c r="A7139" s="1" t="s">
        <v>1835</v>
      </c>
    </row>
    <row r="7140" spans="1:1" x14ac:dyDescent="0.2">
      <c r="A7140" s="1" t="s">
        <v>1825</v>
      </c>
    </row>
    <row r="7141" spans="1:1" x14ac:dyDescent="0.2">
      <c r="A7141" s="1" t="s">
        <v>1826</v>
      </c>
    </row>
    <row r="7142" spans="1:1" x14ac:dyDescent="0.2">
      <c r="A7142" s="1" t="s">
        <v>1827</v>
      </c>
    </row>
    <row r="7143" spans="1:1" x14ac:dyDescent="0.2">
      <c r="A7143" s="1" t="s">
        <v>1828</v>
      </c>
    </row>
    <row r="7144" spans="1:1" x14ac:dyDescent="0.2">
      <c r="A7144" s="1" t="s">
        <v>1836</v>
      </c>
    </row>
    <row r="7145" spans="1:1" x14ac:dyDescent="0.2">
      <c r="A7145" s="1" t="s">
        <v>1830</v>
      </c>
    </row>
    <row r="7146" spans="1:1" x14ac:dyDescent="0.2">
      <c r="A7146" s="1" t="s">
        <v>1831</v>
      </c>
    </row>
    <row r="7147" spans="1:1" x14ac:dyDescent="0.2">
      <c r="A7147" s="1" t="s">
        <v>1832</v>
      </c>
    </row>
    <row r="7148" spans="1:1" x14ac:dyDescent="0.2">
      <c r="A7148" s="1" t="s">
        <v>1833</v>
      </c>
    </row>
    <row r="7149" spans="1:1" x14ac:dyDescent="0.2">
      <c r="A7149" s="1" t="s">
        <v>1834</v>
      </c>
    </row>
    <row r="7150" spans="1:1" x14ac:dyDescent="0.2">
      <c r="A7150" s="1" t="s">
        <v>1837</v>
      </c>
    </row>
    <row r="7151" spans="1:1" x14ac:dyDescent="0.2">
      <c r="A7151" s="1" t="s">
        <v>1838</v>
      </c>
    </row>
    <row r="7152" spans="1:1" x14ac:dyDescent="0.2">
      <c r="A7152" s="1" t="s">
        <v>1839</v>
      </c>
    </row>
    <row r="7153" spans="1:1" x14ac:dyDescent="0.2">
      <c r="A7153" s="1" t="s">
        <v>1837</v>
      </c>
    </row>
    <row r="7154" spans="1:1" x14ac:dyDescent="0.2">
      <c r="A7154" s="1" t="s">
        <v>1840</v>
      </c>
    </row>
    <row r="7155" spans="1:1" x14ac:dyDescent="0.2">
      <c r="A7155" s="1" t="s">
        <v>1839</v>
      </c>
    </row>
    <row r="7156" spans="1:1" x14ac:dyDescent="0.2">
      <c r="A7156" s="1" t="s">
        <v>1841</v>
      </c>
    </row>
    <row r="7157" spans="1:1" x14ac:dyDescent="0.2">
      <c r="A7157" s="1" t="s">
        <v>1842</v>
      </c>
    </row>
    <row r="7158" spans="1:1" x14ac:dyDescent="0.2">
      <c r="A7158" s="1" t="s">
        <v>1843</v>
      </c>
    </row>
    <row r="7159" spans="1:1" x14ac:dyDescent="0.2">
      <c r="A7159" s="1" t="s">
        <v>1844</v>
      </c>
    </row>
    <row r="7160" spans="1:1" x14ac:dyDescent="0.2">
      <c r="A7160" s="1" t="s">
        <v>1845</v>
      </c>
    </row>
    <row r="7161" spans="1:1" x14ac:dyDescent="0.2">
      <c r="A7161" s="1" t="s">
        <v>1846</v>
      </c>
    </row>
    <row r="7162" spans="1:1" x14ac:dyDescent="0.2">
      <c r="A7162" s="1" t="s">
        <v>1847</v>
      </c>
    </row>
    <row r="7163" spans="1:1" x14ac:dyDescent="0.2">
      <c r="A7163" s="1" t="s">
        <v>1848</v>
      </c>
    </row>
    <row r="7164" spans="1:1" x14ac:dyDescent="0.2">
      <c r="A7164" s="1" t="s">
        <v>1849</v>
      </c>
    </row>
    <row r="7165" spans="1:1" x14ac:dyDescent="0.2">
      <c r="A7165" s="1" t="s">
        <v>1850</v>
      </c>
    </row>
    <row r="7166" spans="1:1" x14ac:dyDescent="0.2">
      <c r="A7166" s="1" t="s">
        <v>1851</v>
      </c>
    </row>
    <row r="7167" spans="1:1" x14ac:dyDescent="0.2">
      <c r="A7167" s="1" t="s">
        <v>1852</v>
      </c>
    </row>
    <row r="7168" spans="1:1" x14ac:dyDescent="0.2">
      <c r="A7168" s="1" t="s">
        <v>1841</v>
      </c>
    </row>
    <row r="7169" spans="1:1" x14ac:dyDescent="0.2">
      <c r="A7169" s="1" t="s">
        <v>1853</v>
      </c>
    </row>
    <row r="7170" spans="1:1" x14ac:dyDescent="0.2">
      <c r="A7170" s="1" t="s">
        <v>1843</v>
      </c>
    </row>
    <row r="7171" spans="1:1" x14ac:dyDescent="0.2">
      <c r="A7171" s="1" t="s">
        <v>1844</v>
      </c>
    </row>
    <row r="7172" spans="1:1" x14ac:dyDescent="0.2">
      <c r="A7172" s="1" t="s">
        <v>1845</v>
      </c>
    </row>
    <row r="7173" spans="1:1" x14ac:dyDescent="0.2">
      <c r="A7173" s="1" t="s">
        <v>1846</v>
      </c>
    </row>
    <row r="7174" spans="1:1" x14ac:dyDescent="0.2">
      <c r="A7174" s="1" t="s">
        <v>1854</v>
      </c>
    </row>
    <row r="7175" spans="1:1" x14ac:dyDescent="0.2">
      <c r="A7175" s="1" t="s">
        <v>1848</v>
      </c>
    </row>
    <row r="7176" spans="1:1" x14ac:dyDescent="0.2">
      <c r="A7176" s="1" t="s">
        <v>1849</v>
      </c>
    </row>
    <row r="7177" spans="1:1" x14ac:dyDescent="0.2">
      <c r="A7177" s="1" t="s">
        <v>1850</v>
      </c>
    </row>
    <row r="7178" spans="1:1" x14ac:dyDescent="0.2">
      <c r="A7178" s="1" t="s">
        <v>1851</v>
      </c>
    </row>
    <row r="7179" spans="1:1" x14ac:dyDescent="0.2">
      <c r="A7179" s="1" t="s">
        <v>1852</v>
      </c>
    </row>
    <row r="7180" spans="1:1" x14ac:dyDescent="0.2">
      <c r="A7180" s="1" t="s">
        <v>1855</v>
      </c>
    </row>
    <row r="7181" spans="1:1" x14ac:dyDescent="0.2">
      <c r="A7181" s="1" t="s">
        <v>1856</v>
      </c>
    </row>
    <row r="7182" spans="1:1" x14ac:dyDescent="0.2">
      <c r="A7182" s="1" t="s">
        <v>1857</v>
      </c>
    </row>
    <row r="7183" spans="1:1" x14ac:dyDescent="0.2">
      <c r="A7183" s="1" t="s">
        <v>1858</v>
      </c>
    </row>
    <row r="7184" spans="1:1" x14ac:dyDescent="0.2">
      <c r="A7184" s="1" t="s">
        <v>1859</v>
      </c>
    </row>
    <row r="7185" spans="1:1" x14ac:dyDescent="0.2">
      <c r="A7185" s="1" t="s">
        <v>1860</v>
      </c>
    </row>
    <row r="7186" spans="1:1" x14ac:dyDescent="0.2">
      <c r="A7186" s="1" t="s">
        <v>1861</v>
      </c>
    </row>
    <row r="7187" spans="1:1" x14ac:dyDescent="0.2">
      <c r="A7187" s="1" t="s">
        <v>1862</v>
      </c>
    </row>
    <row r="7188" spans="1:1" x14ac:dyDescent="0.2">
      <c r="A7188" s="1" t="s">
        <v>1863</v>
      </c>
    </row>
    <row r="7189" spans="1:1" x14ac:dyDescent="0.2">
      <c r="A7189" s="1" t="s">
        <v>1864</v>
      </c>
    </row>
    <row r="7190" spans="1:1" x14ac:dyDescent="0.2">
      <c r="A7190" s="1" t="s">
        <v>1865</v>
      </c>
    </row>
    <row r="7191" spans="1:1" x14ac:dyDescent="0.2">
      <c r="A7191" s="1" t="s">
        <v>1866</v>
      </c>
    </row>
    <row r="7192" spans="1:1" x14ac:dyDescent="0.2">
      <c r="A7192" s="1" t="s">
        <v>1867</v>
      </c>
    </row>
    <row r="7193" spans="1:1" x14ac:dyDescent="0.2">
      <c r="A7193" s="1" t="s">
        <v>1868</v>
      </c>
    </row>
    <row r="7194" spans="1:1" x14ac:dyDescent="0.2">
      <c r="A7194" s="1" t="s">
        <v>1869</v>
      </c>
    </row>
    <row r="7195" spans="1:1" x14ac:dyDescent="0.2">
      <c r="A7195" s="1" t="s">
        <v>1870</v>
      </c>
    </row>
    <row r="7196" spans="1:1" x14ac:dyDescent="0.2">
      <c r="A7196" s="1" t="s">
        <v>1871</v>
      </c>
    </row>
    <row r="7197" spans="1:1" x14ac:dyDescent="0.2">
      <c r="A7197" s="1" t="s">
        <v>1872</v>
      </c>
    </row>
    <row r="7198" spans="1:1" x14ac:dyDescent="0.2">
      <c r="A7198" s="1" t="s">
        <v>1873</v>
      </c>
    </row>
    <row r="7199" spans="1:1" x14ac:dyDescent="0.2">
      <c r="A7199" s="1" t="s">
        <v>1874</v>
      </c>
    </row>
    <row r="7200" spans="1:1" x14ac:dyDescent="0.2">
      <c r="A7200" s="1" t="s">
        <v>1875</v>
      </c>
    </row>
    <row r="7201" spans="1:1" x14ac:dyDescent="0.2">
      <c r="A7201" s="1" t="s">
        <v>1876</v>
      </c>
    </row>
    <row r="7202" spans="1:1" x14ac:dyDescent="0.2">
      <c r="A7202" s="1" t="s">
        <v>1877</v>
      </c>
    </row>
    <row r="7203" spans="1:1" x14ac:dyDescent="0.2">
      <c r="A7203" s="1" t="s">
        <v>1878</v>
      </c>
    </row>
    <row r="7204" spans="1:1" x14ac:dyDescent="0.2">
      <c r="A7204" s="1" t="s">
        <v>1879</v>
      </c>
    </row>
    <row r="7205" spans="1:1" x14ac:dyDescent="0.2">
      <c r="A7205" s="1" t="s">
        <v>1880</v>
      </c>
    </row>
    <row r="7206" spans="1:1" x14ac:dyDescent="0.2">
      <c r="A7206" s="1" t="s">
        <v>1881</v>
      </c>
    </row>
    <row r="7207" spans="1:1" x14ac:dyDescent="0.2">
      <c r="A7207" s="1" t="s">
        <v>1882</v>
      </c>
    </row>
    <row r="7208" spans="1:1" x14ac:dyDescent="0.2">
      <c r="A7208" s="1" t="s">
        <v>1883</v>
      </c>
    </row>
    <row r="7209" spans="1:1" x14ac:dyDescent="0.2">
      <c r="A7209" s="1" t="s">
        <v>1884</v>
      </c>
    </row>
    <row r="7210" spans="1:1" x14ac:dyDescent="0.2">
      <c r="A7210" s="1" t="s">
        <v>1885</v>
      </c>
    </row>
    <row r="7211" spans="1:1" x14ac:dyDescent="0.2">
      <c r="A7211" s="1" t="s">
        <v>1886</v>
      </c>
    </row>
    <row r="7212" spans="1:1" x14ac:dyDescent="0.2">
      <c r="A7212" s="1" t="s">
        <v>1887</v>
      </c>
    </row>
    <row r="7213" spans="1:1" x14ac:dyDescent="0.2">
      <c r="A7213" s="1" t="s">
        <v>1888</v>
      </c>
    </row>
    <row r="7214" spans="1:1" x14ac:dyDescent="0.2">
      <c r="A7214" s="1" t="s">
        <v>1889</v>
      </c>
    </row>
    <row r="7215" spans="1:1" x14ac:dyDescent="0.2">
      <c r="A7215" s="1" t="s">
        <v>1890</v>
      </c>
    </row>
    <row r="7216" spans="1:1" x14ac:dyDescent="0.2">
      <c r="A7216" s="1" t="s">
        <v>1891</v>
      </c>
    </row>
    <row r="7217" spans="1:1" x14ac:dyDescent="0.2">
      <c r="A7217" s="1" t="s">
        <v>1892</v>
      </c>
    </row>
    <row r="7218" spans="1:1" x14ac:dyDescent="0.2">
      <c r="A7218" s="1" t="s">
        <v>1893</v>
      </c>
    </row>
    <row r="7219" spans="1:1" x14ac:dyDescent="0.2">
      <c r="A7219" s="1" t="s">
        <v>1894</v>
      </c>
    </row>
    <row r="7220" spans="1:1" x14ac:dyDescent="0.2">
      <c r="A7220" s="1" t="s">
        <v>1895</v>
      </c>
    </row>
    <row r="7221" spans="1:1" x14ac:dyDescent="0.2">
      <c r="A7221" s="1" t="s">
        <v>1884</v>
      </c>
    </row>
    <row r="7222" spans="1:1" x14ac:dyDescent="0.2">
      <c r="A7222" s="1" t="s">
        <v>1896</v>
      </c>
    </row>
    <row r="7223" spans="1:1" x14ac:dyDescent="0.2">
      <c r="A7223" s="1" t="s">
        <v>1886</v>
      </c>
    </row>
    <row r="7224" spans="1:1" x14ac:dyDescent="0.2">
      <c r="A7224" s="1" t="s">
        <v>1887</v>
      </c>
    </row>
    <row r="7225" spans="1:1" x14ac:dyDescent="0.2">
      <c r="A7225" s="1" t="s">
        <v>1888</v>
      </c>
    </row>
    <row r="7226" spans="1:1" x14ac:dyDescent="0.2">
      <c r="A7226" s="1" t="s">
        <v>1889</v>
      </c>
    </row>
    <row r="7227" spans="1:1" x14ac:dyDescent="0.2">
      <c r="A7227" s="1" t="s">
        <v>1897</v>
      </c>
    </row>
    <row r="7228" spans="1:1" x14ac:dyDescent="0.2">
      <c r="A7228" s="1" t="s">
        <v>1891</v>
      </c>
    </row>
    <row r="7229" spans="1:1" x14ac:dyDescent="0.2">
      <c r="A7229" s="1" t="s">
        <v>1892</v>
      </c>
    </row>
    <row r="7230" spans="1:1" x14ac:dyDescent="0.2">
      <c r="A7230" s="1" t="s">
        <v>1893</v>
      </c>
    </row>
    <row r="7231" spans="1:1" x14ac:dyDescent="0.2">
      <c r="A7231" s="1" t="s">
        <v>1894</v>
      </c>
    </row>
    <row r="7232" spans="1:1" x14ac:dyDescent="0.2">
      <c r="A7232" s="1" t="s">
        <v>1895</v>
      </c>
    </row>
    <row r="7233" spans="1:1" x14ac:dyDescent="0.2">
      <c r="A7233" s="1" t="s">
        <v>1898</v>
      </c>
    </row>
    <row r="7234" spans="1:1" x14ac:dyDescent="0.2">
      <c r="A7234" s="1" t="s">
        <v>1899</v>
      </c>
    </row>
    <row r="7235" spans="1:1" x14ac:dyDescent="0.2">
      <c r="A7235" s="1" t="s">
        <v>1898</v>
      </c>
    </row>
    <row r="7236" spans="1:1" x14ac:dyDescent="0.2">
      <c r="A7236" s="1" t="s">
        <v>1899</v>
      </c>
    </row>
    <row r="7237" spans="1:1" x14ac:dyDescent="0.2">
      <c r="A7237" s="1" t="s">
        <v>1900</v>
      </c>
    </row>
    <row r="7238" spans="1:1" x14ac:dyDescent="0.2">
      <c r="A7238" s="1" t="s">
        <v>1901</v>
      </c>
    </row>
    <row r="7239" spans="1:1" x14ac:dyDescent="0.2">
      <c r="A7239" s="1" t="s">
        <v>1902</v>
      </c>
    </row>
    <row r="7240" spans="1:1" x14ac:dyDescent="0.2">
      <c r="A7240" s="1" t="s">
        <v>1901</v>
      </c>
    </row>
    <row r="7241" spans="1:1" x14ac:dyDescent="0.2">
      <c r="A7241" s="1" t="s">
        <v>1902</v>
      </c>
    </row>
    <row r="7242" spans="1:1" x14ac:dyDescent="0.2">
      <c r="A7242" s="1" t="s">
        <v>1903</v>
      </c>
    </row>
    <row r="7243" spans="1:1" x14ac:dyDescent="0.2">
      <c r="A7243" s="1" t="s">
        <v>1904</v>
      </c>
    </row>
    <row r="7244" spans="1:1" x14ac:dyDescent="0.2">
      <c r="A7244" s="1" t="s">
        <v>1905</v>
      </c>
    </row>
    <row r="7245" spans="1:1" x14ac:dyDescent="0.2">
      <c r="A7245" s="1" t="s">
        <v>1904</v>
      </c>
    </row>
    <row r="7246" spans="1:1" x14ac:dyDescent="0.2">
      <c r="A7246" s="1" t="s">
        <v>1905</v>
      </c>
    </row>
    <row r="7247" spans="1:1" x14ac:dyDescent="0.2">
      <c r="A7247" s="1" t="s">
        <v>1906</v>
      </c>
    </row>
    <row r="7248" spans="1:1" x14ac:dyDescent="0.2">
      <c r="A7248" s="1" t="s">
        <v>1907</v>
      </c>
    </row>
    <row r="7249" spans="1:1" x14ac:dyDescent="0.2">
      <c r="A7249" s="1" t="s">
        <v>1908</v>
      </c>
    </row>
    <row r="7250" spans="1:1" x14ac:dyDescent="0.2">
      <c r="A7250" s="1" t="s">
        <v>1907</v>
      </c>
    </row>
    <row r="7251" spans="1:1" x14ac:dyDescent="0.2">
      <c r="A7251" s="1" t="s">
        <v>1908</v>
      </c>
    </row>
    <row r="7252" spans="1:1" x14ac:dyDescent="0.2">
      <c r="A7252" s="1" t="s">
        <v>1909</v>
      </c>
    </row>
    <row r="7253" spans="1:1" x14ac:dyDescent="0.2">
      <c r="A7253" s="1" t="s">
        <v>1910</v>
      </c>
    </row>
    <row r="7254" spans="1:1" x14ac:dyDescent="0.2">
      <c r="A7254" s="1" t="s">
        <v>1911</v>
      </c>
    </row>
    <row r="7255" spans="1:1" x14ac:dyDescent="0.2">
      <c r="A7255" s="1" t="s">
        <v>1912</v>
      </c>
    </row>
    <row r="7256" spans="1:1" x14ac:dyDescent="0.2">
      <c r="A7256" s="1" t="s">
        <v>1913</v>
      </c>
    </row>
    <row r="7257" spans="1:1" x14ac:dyDescent="0.2">
      <c r="A7257" s="1" t="s">
        <v>1914</v>
      </c>
    </row>
    <row r="7258" spans="1:1" x14ac:dyDescent="0.2">
      <c r="A7258" s="1" t="s">
        <v>1915</v>
      </c>
    </row>
    <row r="7259" spans="1:1" x14ac:dyDescent="0.2">
      <c r="A7259" s="1" t="s">
        <v>1916</v>
      </c>
    </row>
    <row r="7260" spans="1:1" x14ac:dyDescent="0.2">
      <c r="A7260" s="1" t="s">
        <v>1916</v>
      </c>
    </row>
    <row r="7261" spans="1:1" x14ac:dyDescent="0.2">
      <c r="A7261" s="1" t="s">
        <v>1917</v>
      </c>
    </row>
    <row r="7262" spans="1:1" x14ac:dyDescent="0.2">
      <c r="A7262" s="1" t="s">
        <v>1918</v>
      </c>
    </row>
    <row r="7263" spans="1:1" x14ac:dyDescent="0.2">
      <c r="A7263" s="1" t="s">
        <v>1917</v>
      </c>
    </row>
    <row r="7264" spans="1:1" x14ac:dyDescent="0.2">
      <c r="A7264" s="1" t="s">
        <v>1918</v>
      </c>
    </row>
    <row r="7265" spans="1:1" x14ac:dyDescent="0.2">
      <c r="A7265" s="1" t="s">
        <v>1919</v>
      </c>
    </row>
    <row r="7266" spans="1:1" x14ac:dyDescent="0.2">
      <c r="A7266" s="1" t="s">
        <v>1920</v>
      </c>
    </row>
    <row r="7267" spans="1:1" x14ac:dyDescent="0.2">
      <c r="A7267" s="1" t="s">
        <v>1921</v>
      </c>
    </row>
    <row r="7268" spans="1:1" x14ac:dyDescent="0.2">
      <c r="A7268" s="1" t="s">
        <v>1922</v>
      </c>
    </row>
    <row r="7269" spans="1:1" x14ac:dyDescent="0.2">
      <c r="A7269" s="1" t="s">
        <v>1923</v>
      </c>
    </row>
    <row r="7270" spans="1:1" x14ac:dyDescent="0.2">
      <c r="A7270" s="1" t="s">
        <v>1924</v>
      </c>
    </row>
    <row r="7271" spans="1:1" x14ac:dyDescent="0.2">
      <c r="A7271" s="1" t="s">
        <v>1925</v>
      </c>
    </row>
    <row r="7272" spans="1:1" x14ac:dyDescent="0.2">
      <c r="A7272" s="1" t="s">
        <v>1926</v>
      </c>
    </row>
    <row r="7273" spans="1:1" x14ac:dyDescent="0.2">
      <c r="A7273" s="1" t="s">
        <v>1926</v>
      </c>
    </row>
    <row r="7274" spans="1:1" x14ac:dyDescent="0.2">
      <c r="A7274" s="1" t="s">
        <v>1927</v>
      </c>
    </row>
    <row r="7275" spans="1:1" x14ac:dyDescent="0.2">
      <c r="A7275" s="1" t="s">
        <v>1928</v>
      </c>
    </row>
    <row r="7276" spans="1:1" x14ac:dyDescent="0.2">
      <c r="A7276" s="1" t="s">
        <v>1927</v>
      </c>
    </row>
    <row r="7277" spans="1:1" x14ac:dyDescent="0.2">
      <c r="A7277" s="1" t="s">
        <v>1928</v>
      </c>
    </row>
    <row r="7278" spans="1:1" x14ac:dyDescent="0.2">
      <c r="A7278" s="1" t="s">
        <v>1927</v>
      </c>
    </row>
    <row r="7279" spans="1:1" x14ac:dyDescent="0.2">
      <c r="A7279" s="1" t="s">
        <v>1928</v>
      </c>
    </row>
    <row r="7280" spans="1:1" x14ac:dyDescent="0.2">
      <c r="A7280" s="1" t="s">
        <v>1929</v>
      </c>
    </row>
    <row r="7281" spans="1:1" x14ac:dyDescent="0.2">
      <c r="A7281" s="1" t="s">
        <v>1930</v>
      </c>
    </row>
    <row r="7282" spans="1:1" x14ac:dyDescent="0.2">
      <c r="A7282" s="1" t="s">
        <v>1929</v>
      </c>
    </row>
    <row r="7283" spans="1:1" x14ac:dyDescent="0.2">
      <c r="A7283" s="1" t="s">
        <v>1930</v>
      </c>
    </row>
    <row r="7284" spans="1:1" x14ac:dyDescent="0.2">
      <c r="A7284" s="1" t="s">
        <v>1931</v>
      </c>
    </row>
    <row r="7285" spans="1:1" x14ac:dyDescent="0.2">
      <c r="A7285" s="1" t="s">
        <v>1932</v>
      </c>
    </row>
    <row r="7286" spans="1:1" x14ac:dyDescent="0.2">
      <c r="A7286" s="1" t="s">
        <v>1933</v>
      </c>
    </row>
    <row r="7287" spans="1:1" x14ac:dyDescent="0.2">
      <c r="A7287" s="1" t="s">
        <v>1934</v>
      </c>
    </row>
    <row r="7288" spans="1:1" x14ac:dyDescent="0.2">
      <c r="A7288" s="1" t="s">
        <v>1935</v>
      </c>
    </row>
    <row r="7289" spans="1:1" x14ac:dyDescent="0.2">
      <c r="A7289" s="1" t="s">
        <v>1936</v>
      </c>
    </row>
    <row r="7290" spans="1:1" x14ac:dyDescent="0.2">
      <c r="A7290" s="1" t="s">
        <v>1937</v>
      </c>
    </row>
    <row r="7291" spans="1:1" x14ac:dyDescent="0.2">
      <c r="A7291" s="1" t="s">
        <v>1938</v>
      </c>
    </row>
    <row r="7292" spans="1:1" x14ac:dyDescent="0.2">
      <c r="A7292" s="1" t="s">
        <v>1938</v>
      </c>
    </row>
    <row r="7293" spans="1:1" x14ac:dyDescent="0.2">
      <c r="A7293" s="1" t="s">
        <v>1929</v>
      </c>
    </row>
    <row r="7294" spans="1:1" x14ac:dyDescent="0.2">
      <c r="A7294" s="1" t="s">
        <v>1930</v>
      </c>
    </row>
    <row r="7295" spans="1:1" x14ac:dyDescent="0.2">
      <c r="A7295" s="1" t="s">
        <v>1929</v>
      </c>
    </row>
    <row r="7296" spans="1:1" x14ac:dyDescent="0.2">
      <c r="A7296" s="1" t="s">
        <v>1930</v>
      </c>
    </row>
    <row r="7297" spans="1:1" x14ac:dyDescent="0.2">
      <c r="A7297" s="1" t="s">
        <v>1929</v>
      </c>
    </row>
    <row r="7298" spans="1:1" x14ac:dyDescent="0.2">
      <c r="A7298" s="1" t="s">
        <v>1930</v>
      </c>
    </row>
    <row r="7299" spans="1:1" x14ac:dyDescent="0.2">
      <c r="A7299" s="1" t="s">
        <v>1931</v>
      </c>
    </row>
    <row r="7300" spans="1:1" x14ac:dyDescent="0.2">
      <c r="A7300" s="1" t="s">
        <v>1932</v>
      </c>
    </row>
    <row r="7301" spans="1:1" x14ac:dyDescent="0.2">
      <c r="A7301" s="1" t="s">
        <v>1933</v>
      </c>
    </row>
    <row r="7302" spans="1:1" x14ac:dyDescent="0.2">
      <c r="A7302" s="1" t="s">
        <v>1934</v>
      </c>
    </row>
    <row r="7303" spans="1:1" x14ac:dyDescent="0.2">
      <c r="A7303" s="1" t="s">
        <v>1935</v>
      </c>
    </row>
    <row r="7304" spans="1:1" x14ac:dyDescent="0.2">
      <c r="A7304" s="1" t="s">
        <v>1936</v>
      </c>
    </row>
    <row r="7305" spans="1:1" x14ac:dyDescent="0.2">
      <c r="A7305" s="1" t="s">
        <v>1937</v>
      </c>
    </row>
    <row r="7306" spans="1:1" x14ac:dyDescent="0.2">
      <c r="A7306" s="1" t="s">
        <v>1938</v>
      </c>
    </row>
    <row r="7307" spans="1:1" x14ac:dyDescent="0.2">
      <c r="A7307" s="1" t="s">
        <v>1938</v>
      </c>
    </row>
    <row r="7308" spans="1:1" x14ac:dyDescent="0.2">
      <c r="A7308" s="1" t="s">
        <v>1929</v>
      </c>
    </row>
    <row r="7309" spans="1:1" x14ac:dyDescent="0.2">
      <c r="A7309" s="1" t="s">
        <v>1930</v>
      </c>
    </row>
    <row r="7310" spans="1:1" x14ac:dyDescent="0.2">
      <c r="A7310" s="1" t="s">
        <v>1929</v>
      </c>
    </row>
    <row r="7311" spans="1:1" x14ac:dyDescent="0.2">
      <c r="A7311" s="1" t="s">
        <v>1930</v>
      </c>
    </row>
    <row r="7312" spans="1:1" x14ac:dyDescent="0.2">
      <c r="A7312" s="1" t="s">
        <v>1929</v>
      </c>
    </row>
    <row r="7313" spans="1:1" x14ac:dyDescent="0.2">
      <c r="A7313" s="1" t="s">
        <v>1930</v>
      </c>
    </row>
    <row r="7314" spans="1:1" x14ac:dyDescent="0.2">
      <c r="A7314" s="1" t="s">
        <v>1931</v>
      </c>
    </row>
    <row r="7315" spans="1:1" x14ac:dyDescent="0.2">
      <c r="A7315" s="1" t="s">
        <v>1932</v>
      </c>
    </row>
    <row r="7316" spans="1:1" x14ac:dyDescent="0.2">
      <c r="A7316" s="1" t="s">
        <v>1933</v>
      </c>
    </row>
    <row r="7317" spans="1:1" x14ac:dyDescent="0.2">
      <c r="A7317" s="1" t="s">
        <v>1934</v>
      </c>
    </row>
    <row r="7318" spans="1:1" x14ac:dyDescent="0.2">
      <c r="A7318" s="1" t="s">
        <v>1935</v>
      </c>
    </row>
    <row r="7319" spans="1:1" x14ac:dyDescent="0.2">
      <c r="A7319" s="1" t="s">
        <v>1936</v>
      </c>
    </row>
    <row r="7320" spans="1:1" x14ac:dyDescent="0.2">
      <c r="A7320" s="1" t="s">
        <v>1937</v>
      </c>
    </row>
    <row r="7321" spans="1:1" x14ac:dyDescent="0.2">
      <c r="A7321" s="1" t="s">
        <v>1938</v>
      </c>
    </row>
    <row r="7322" spans="1:1" x14ac:dyDescent="0.2">
      <c r="A7322" s="1" t="s">
        <v>1938</v>
      </c>
    </row>
    <row r="7323" spans="1:1" x14ac:dyDescent="0.2">
      <c r="A7323" s="1" t="s">
        <v>1929</v>
      </c>
    </row>
    <row r="7324" spans="1:1" x14ac:dyDescent="0.2">
      <c r="A7324" s="1" t="s">
        <v>1930</v>
      </c>
    </row>
    <row r="7325" spans="1:1" x14ac:dyDescent="0.2">
      <c r="A7325" s="1" t="s">
        <v>1929</v>
      </c>
    </row>
    <row r="7326" spans="1:1" x14ac:dyDescent="0.2">
      <c r="A7326" s="1" t="s">
        <v>1930</v>
      </c>
    </row>
    <row r="7327" spans="1:1" x14ac:dyDescent="0.2">
      <c r="A7327" s="1" t="s">
        <v>1929</v>
      </c>
    </row>
    <row r="7328" spans="1:1" x14ac:dyDescent="0.2">
      <c r="A7328" s="1" t="s">
        <v>1930</v>
      </c>
    </row>
    <row r="7329" spans="1:1" x14ac:dyDescent="0.2">
      <c r="A7329" s="1" t="s">
        <v>1931</v>
      </c>
    </row>
    <row r="7330" spans="1:1" x14ac:dyDescent="0.2">
      <c r="A7330" s="1" t="s">
        <v>1932</v>
      </c>
    </row>
    <row r="7331" spans="1:1" x14ac:dyDescent="0.2">
      <c r="A7331" s="1" t="s">
        <v>1933</v>
      </c>
    </row>
    <row r="7332" spans="1:1" x14ac:dyDescent="0.2">
      <c r="A7332" s="1" t="s">
        <v>1934</v>
      </c>
    </row>
    <row r="7333" spans="1:1" x14ac:dyDescent="0.2">
      <c r="A7333" s="1" t="s">
        <v>1935</v>
      </c>
    </row>
    <row r="7334" spans="1:1" x14ac:dyDescent="0.2">
      <c r="A7334" s="1" t="s">
        <v>1936</v>
      </c>
    </row>
    <row r="7335" spans="1:1" x14ac:dyDescent="0.2">
      <c r="A7335" s="1" t="s">
        <v>1937</v>
      </c>
    </row>
    <row r="7336" spans="1:1" x14ac:dyDescent="0.2">
      <c r="A7336" s="1" t="s">
        <v>1938</v>
      </c>
    </row>
    <row r="7337" spans="1:1" x14ac:dyDescent="0.2">
      <c r="A7337" s="1" t="s">
        <v>1938</v>
      </c>
    </row>
    <row r="7338" spans="1:1" x14ac:dyDescent="0.2">
      <c r="A7338" s="1" t="s">
        <v>1929</v>
      </c>
    </row>
    <row r="7339" spans="1:1" x14ac:dyDescent="0.2">
      <c r="A7339" s="1" t="s">
        <v>1930</v>
      </c>
    </row>
    <row r="7340" spans="1:1" x14ac:dyDescent="0.2">
      <c r="A7340" s="1" t="s">
        <v>1929</v>
      </c>
    </row>
    <row r="7341" spans="1:1" x14ac:dyDescent="0.2">
      <c r="A7341" s="1" t="s">
        <v>1930</v>
      </c>
    </row>
    <row r="7342" spans="1:1" x14ac:dyDescent="0.2">
      <c r="A7342" s="1" t="s">
        <v>1929</v>
      </c>
    </row>
    <row r="7343" spans="1:1" x14ac:dyDescent="0.2">
      <c r="A7343" s="1" t="s">
        <v>1930</v>
      </c>
    </row>
    <row r="7344" spans="1:1" x14ac:dyDescent="0.2">
      <c r="A7344" s="1" t="s">
        <v>1931</v>
      </c>
    </row>
    <row r="7345" spans="1:1" x14ac:dyDescent="0.2">
      <c r="A7345" s="1" t="s">
        <v>1932</v>
      </c>
    </row>
    <row r="7346" spans="1:1" x14ac:dyDescent="0.2">
      <c r="A7346" s="1" t="s">
        <v>1933</v>
      </c>
    </row>
    <row r="7347" spans="1:1" x14ac:dyDescent="0.2">
      <c r="A7347" s="1" t="s">
        <v>1934</v>
      </c>
    </row>
    <row r="7348" spans="1:1" x14ac:dyDescent="0.2">
      <c r="A7348" s="1" t="s">
        <v>1935</v>
      </c>
    </row>
    <row r="7349" spans="1:1" x14ac:dyDescent="0.2">
      <c r="A7349" s="1" t="s">
        <v>1936</v>
      </c>
    </row>
    <row r="7350" spans="1:1" x14ac:dyDescent="0.2">
      <c r="A7350" s="1" t="s">
        <v>1937</v>
      </c>
    </row>
    <row r="7351" spans="1:1" x14ac:dyDescent="0.2">
      <c r="A7351" s="1" t="s">
        <v>1938</v>
      </c>
    </row>
    <row r="7352" spans="1:1" x14ac:dyDescent="0.2">
      <c r="A7352" s="1" t="s">
        <v>1938</v>
      </c>
    </row>
    <row r="7353" spans="1:1" x14ac:dyDescent="0.2">
      <c r="A7353" s="1" t="s">
        <v>1929</v>
      </c>
    </row>
    <row r="7354" spans="1:1" x14ac:dyDescent="0.2">
      <c r="A7354" s="1" t="s">
        <v>1930</v>
      </c>
    </row>
    <row r="7355" spans="1:1" x14ac:dyDescent="0.2">
      <c r="A7355" s="1" t="s">
        <v>1929</v>
      </c>
    </row>
    <row r="7356" spans="1:1" x14ac:dyDescent="0.2">
      <c r="A7356" s="1" t="s">
        <v>1930</v>
      </c>
    </row>
    <row r="7357" spans="1:1" x14ac:dyDescent="0.2">
      <c r="A7357" s="1" t="s">
        <v>1929</v>
      </c>
    </row>
    <row r="7358" spans="1:1" x14ac:dyDescent="0.2">
      <c r="A7358" s="1" t="s">
        <v>1930</v>
      </c>
    </row>
    <row r="7359" spans="1:1" x14ac:dyDescent="0.2">
      <c r="A7359" s="1" t="s">
        <v>1931</v>
      </c>
    </row>
    <row r="7360" spans="1:1" x14ac:dyDescent="0.2">
      <c r="A7360" s="1" t="s">
        <v>1932</v>
      </c>
    </row>
    <row r="7361" spans="1:1" x14ac:dyDescent="0.2">
      <c r="A7361" s="1" t="s">
        <v>1933</v>
      </c>
    </row>
    <row r="7362" spans="1:1" x14ac:dyDescent="0.2">
      <c r="A7362" s="1" t="s">
        <v>1934</v>
      </c>
    </row>
    <row r="7363" spans="1:1" x14ac:dyDescent="0.2">
      <c r="A7363" s="1" t="s">
        <v>1935</v>
      </c>
    </row>
    <row r="7364" spans="1:1" x14ac:dyDescent="0.2">
      <c r="A7364" s="1" t="s">
        <v>1936</v>
      </c>
    </row>
    <row r="7365" spans="1:1" x14ac:dyDescent="0.2">
      <c r="A7365" s="1" t="s">
        <v>1937</v>
      </c>
    </row>
    <row r="7366" spans="1:1" x14ac:dyDescent="0.2">
      <c r="A7366" s="1" t="s">
        <v>1938</v>
      </c>
    </row>
    <row r="7367" spans="1:1" x14ac:dyDescent="0.2">
      <c r="A7367" s="1" t="s">
        <v>1938</v>
      </c>
    </row>
    <row r="7368" spans="1:1" x14ac:dyDescent="0.2">
      <c r="A7368" s="1" t="s">
        <v>1929</v>
      </c>
    </row>
    <row r="7369" spans="1:1" x14ac:dyDescent="0.2">
      <c r="A7369" s="1" t="s">
        <v>1930</v>
      </c>
    </row>
    <row r="7370" spans="1:1" x14ac:dyDescent="0.2">
      <c r="A7370" s="1" t="s">
        <v>1929</v>
      </c>
    </row>
    <row r="7371" spans="1:1" x14ac:dyDescent="0.2">
      <c r="A7371" s="1" t="s">
        <v>1930</v>
      </c>
    </row>
    <row r="7372" spans="1:1" x14ac:dyDescent="0.2">
      <c r="A7372" s="1" t="s">
        <v>1929</v>
      </c>
    </row>
    <row r="7373" spans="1:1" x14ac:dyDescent="0.2">
      <c r="A7373" s="1" t="s">
        <v>1930</v>
      </c>
    </row>
    <row r="7374" spans="1:1" x14ac:dyDescent="0.2">
      <c r="A7374" s="1" t="s">
        <v>1931</v>
      </c>
    </row>
    <row r="7375" spans="1:1" x14ac:dyDescent="0.2">
      <c r="A7375" s="1" t="s">
        <v>1932</v>
      </c>
    </row>
    <row r="7376" spans="1:1" x14ac:dyDescent="0.2">
      <c r="A7376" s="1" t="s">
        <v>1933</v>
      </c>
    </row>
    <row r="7377" spans="1:1" x14ac:dyDescent="0.2">
      <c r="A7377" s="1" t="s">
        <v>1934</v>
      </c>
    </row>
    <row r="7378" spans="1:1" x14ac:dyDescent="0.2">
      <c r="A7378" s="1" t="s">
        <v>1935</v>
      </c>
    </row>
    <row r="7379" spans="1:1" x14ac:dyDescent="0.2">
      <c r="A7379" s="1" t="s">
        <v>1936</v>
      </c>
    </row>
    <row r="7380" spans="1:1" x14ac:dyDescent="0.2">
      <c r="A7380" s="1" t="s">
        <v>1937</v>
      </c>
    </row>
    <row r="7381" spans="1:1" x14ac:dyDescent="0.2">
      <c r="A7381" s="1" t="s">
        <v>1938</v>
      </c>
    </row>
    <row r="7382" spans="1:1" x14ac:dyDescent="0.2">
      <c r="A7382" s="1" t="s">
        <v>1938</v>
      </c>
    </row>
    <row r="7383" spans="1:1" x14ac:dyDescent="0.2">
      <c r="A7383" s="1" t="s">
        <v>1929</v>
      </c>
    </row>
    <row r="7384" spans="1:1" x14ac:dyDescent="0.2">
      <c r="A7384" s="1" t="s">
        <v>1930</v>
      </c>
    </row>
    <row r="7385" spans="1:1" x14ac:dyDescent="0.2">
      <c r="A7385" s="1" t="s">
        <v>1929</v>
      </c>
    </row>
    <row r="7386" spans="1:1" x14ac:dyDescent="0.2">
      <c r="A7386" s="1" t="s">
        <v>1930</v>
      </c>
    </row>
    <row r="7387" spans="1:1" x14ac:dyDescent="0.2">
      <c r="A7387" s="1" t="s">
        <v>1929</v>
      </c>
    </row>
    <row r="7388" spans="1:1" x14ac:dyDescent="0.2">
      <c r="A7388" s="1" t="s">
        <v>1930</v>
      </c>
    </row>
    <row r="7389" spans="1:1" x14ac:dyDescent="0.2">
      <c r="A7389" s="1" t="s">
        <v>1931</v>
      </c>
    </row>
    <row r="7390" spans="1:1" x14ac:dyDescent="0.2">
      <c r="A7390" s="1" t="s">
        <v>1932</v>
      </c>
    </row>
    <row r="7391" spans="1:1" x14ac:dyDescent="0.2">
      <c r="A7391" s="1" t="s">
        <v>1933</v>
      </c>
    </row>
    <row r="7392" spans="1:1" x14ac:dyDescent="0.2">
      <c r="A7392" s="1" t="s">
        <v>1934</v>
      </c>
    </row>
    <row r="7393" spans="1:1" x14ac:dyDescent="0.2">
      <c r="A7393" s="1" t="s">
        <v>1935</v>
      </c>
    </row>
    <row r="7394" spans="1:1" x14ac:dyDescent="0.2">
      <c r="A7394" s="1" t="s">
        <v>1936</v>
      </c>
    </row>
    <row r="7395" spans="1:1" x14ac:dyDescent="0.2">
      <c r="A7395" s="1" t="s">
        <v>1937</v>
      </c>
    </row>
    <row r="7396" spans="1:1" x14ac:dyDescent="0.2">
      <c r="A7396" s="1" t="s">
        <v>1938</v>
      </c>
    </row>
    <row r="7397" spans="1:1" x14ac:dyDescent="0.2">
      <c r="A7397" s="1" t="s">
        <v>1938</v>
      </c>
    </row>
    <row r="7398" spans="1:1" x14ac:dyDescent="0.2">
      <c r="A7398" s="1" t="s">
        <v>1929</v>
      </c>
    </row>
    <row r="7399" spans="1:1" x14ac:dyDescent="0.2">
      <c r="A7399" s="1" t="s">
        <v>1930</v>
      </c>
    </row>
    <row r="7400" spans="1:1" x14ac:dyDescent="0.2">
      <c r="A7400" s="1" t="s">
        <v>1939</v>
      </c>
    </row>
    <row r="7401" spans="1:1" x14ac:dyDescent="0.2">
      <c r="A7401" s="1" t="s">
        <v>1940</v>
      </c>
    </row>
    <row r="7402" spans="1:1" x14ac:dyDescent="0.2">
      <c r="A7402" s="1" t="s">
        <v>1939</v>
      </c>
    </row>
    <row r="7403" spans="1:1" x14ac:dyDescent="0.2">
      <c r="A7403" s="1" t="s">
        <v>1940</v>
      </c>
    </row>
    <row r="7404" spans="1:1" x14ac:dyDescent="0.2">
      <c r="A7404" s="1" t="s">
        <v>1941</v>
      </c>
    </row>
    <row r="7405" spans="1:1" x14ac:dyDescent="0.2">
      <c r="A7405" s="1" t="s">
        <v>1942</v>
      </c>
    </row>
    <row r="7406" spans="1:1" x14ac:dyDescent="0.2">
      <c r="A7406" s="1" t="s">
        <v>1943</v>
      </c>
    </row>
    <row r="7407" spans="1:1" x14ac:dyDescent="0.2">
      <c r="A7407" s="1" t="s">
        <v>1944</v>
      </c>
    </row>
    <row r="7408" spans="1:1" x14ac:dyDescent="0.2">
      <c r="A7408" s="1" t="s">
        <v>1945</v>
      </c>
    </row>
    <row r="7409" spans="1:1" x14ac:dyDescent="0.2">
      <c r="A7409" s="1" t="s">
        <v>1946</v>
      </c>
    </row>
    <row r="7410" spans="1:1" x14ac:dyDescent="0.2">
      <c r="A7410" s="1" t="s">
        <v>1947</v>
      </c>
    </row>
    <row r="7411" spans="1:1" x14ac:dyDescent="0.2">
      <c r="A7411" s="1" t="s">
        <v>1948</v>
      </c>
    </row>
    <row r="7412" spans="1:1" x14ac:dyDescent="0.2">
      <c r="A7412" s="1" t="s">
        <v>1948</v>
      </c>
    </row>
    <row r="7413" spans="1:1" x14ac:dyDescent="0.2">
      <c r="A7413" s="1" t="s">
        <v>1949</v>
      </c>
    </row>
    <row r="7414" spans="1:1" x14ac:dyDescent="0.2">
      <c r="A7414" s="1" t="s">
        <v>1950</v>
      </c>
    </row>
    <row r="7415" spans="1:1" x14ac:dyDescent="0.2">
      <c r="A7415" s="1" t="s">
        <v>1949</v>
      </c>
    </row>
    <row r="7416" spans="1:1" x14ac:dyDescent="0.2">
      <c r="A7416" s="1" t="s">
        <v>1950</v>
      </c>
    </row>
    <row r="7417" spans="1:1" x14ac:dyDescent="0.2">
      <c r="A7417" s="1" t="s">
        <v>1949</v>
      </c>
    </row>
    <row r="7418" spans="1:1" x14ac:dyDescent="0.2">
      <c r="A7418" s="1" t="s">
        <v>1950</v>
      </c>
    </row>
    <row r="7419" spans="1:1" x14ac:dyDescent="0.2">
      <c r="A7419" s="1" t="s">
        <v>1951</v>
      </c>
    </row>
    <row r="7420" spans="1:1" x14ac:dyDescent="0.2">
      <c r="A7420" s="1" t="s">
        <v>1952</v>
      </c>
    </row>
    <row r="7421" spans="1:1" x14ac:dyDescent="0.2">
      <c r="A7421" s="1" t="s">
        <v>1953</v>
      </c>
    </row>
    <row r="7422" spans="1:1" x14ac:dyDescent="0.2">
      <c r="A7422" s="1" t="s">
        <v>1954</v>
      </c>
    </row>
    <row r="7423" spans="1:1" x14ac:dyDescent="0.2">
      <c r="A7423" s="1" t="s">
        <v>1955</v>
      </c>
    </row>
    <row r="7424" spans="1:1" x14ac:dyDescent="0.2">
      <c r="A7424" s="1" t="s">
        <v>1956</v>
      </c>
    </row>
    <row r="7425" spans="1:1" x14ac:dyDescent="0.2">
      <c r="A7425" s="1" t="s">
        <v>1957</v>
      </c>
    </row>
    <row r="7426" spans="1:1" x14ac:dyDescent="0.2">
      <c r="A7426" s="1" t="s">
        <v>1958</v>
      </c>
    </row>
    <row r="7427" spans="1:1" x14ac:dyDescent="0.2">
      <c r="A7427" s="1" t="s">
        <v>1958</v>
      </c>
    </row>
    <row r="7428" spans="1:1" x14ac:dyDescent="0.2">
      <c r="A7428" s="1" t="s">
        <v>1949</v>
      </c>
    </row>
    <row r="7429" spans="1:1" x14ac:dyDescent="0.2">
      <c r="A7429" s="1" t="s">
        <v>1950</v>
      </c>
    </row>
    <row r="7430" spans="1:1" x14ac:dyDescent="0.2">
      <c r="A7430" s="1" t="s">
        <v>1949</v>
      </c>
    </row>
    <row r="7431" spans="1:1" x14ac:dyDescent="0.2">
      <c r="A7431" s="1" t="s">
        <v>1950</v>
      </c>
    </row>
    <row r="7432" spans="1:1" x14ac:dyDescent="0.2">
      <c r="A7432" s="1" t="s">
        <v>1949</v>
      </c>
    </row>
    <row r="7433" spans="1:1" x14ac:dyDescent="0.2">
      <c r="A7433" s="1" t="s">
        <v>1950</v>
      </c>
    </row>
    <row r="7434" spans="1:1" x14ac:dyDescent="0.2">
      <c r="A7434" s="1" t="s">
        <v>1951</v>
      </c>
    </row>
    <row r="7435" spans="1:1" x14ac:dyDescent="0.2">
      <c r="A7435" s="1" t="s">
        <v>1952</v>
      </c>
    </row>
    <row r="7436" spans="1:1" x14ac:dyDescent="0.2">
      <c r="A7436" s="1" t="s">
        <v>1953</v>
      </c>
    </row>
    <row r="7437" spans="1:1" x14ac:dyDescent="0.2">
      <c r="A7437" s="1" t="s">
        <v>1954</v>
      </c>
    </row>
    <row r="7438" spans="1:1" x14ac:dyDescent="0.2">
      <c r="A7438" s="1" t="s">
        <v>1955</v>
      </c>
    </row>
    <row r="7439" spans="1:1" x14ac:dyDescent="0.2">
      <c r="A7439" s="1" t="s">
        <v>1956</v>
      </c>
    </row>
    <row r="7440" spans="1:1" x14ac:dyDescent="0.2">
      <c r="A7440" s="1" t="s">
        <v>1957</v>
      </c>
    </row>
    <row r="7441" spans="1:1" x14ac:dyDescent="0.2">
      <c r="A7441" s="1" t="s">
        <v>1958</v>
      </c>
    </row>
    <row r="7442" spans="1:1" x14ac:dyDescent="0.2">
      <c r="A7442" s="1" t="s">
        <v>1958</v>
      </c>
    </row>
    <row r="7443" spans="1:1" x14ac:dyDescent="0.2">
      <c r="A7443" s="1" t="s">
        <v>1949</v>
      </c>
    </row>
    <row r="7444" spans="1:1" x14ac:dyDescent="0.2">
      <c r="A7444" s="1" t="s">
        <v>1950</v>
      </c>
    </row>
    <row r="7445" spans="1:1" x14ac:dyDescent="0.2">
      <c r="A7445" s="1" t="s">
        <v>1949</v>
      </c>
    </row>
    <row r="7446" spans="1:1" x14ac:dyDescent="0.2">
      <c r="A7446" s="1" t="s">
        <v>1950</v>
      </c>
    </row>
    <row r="7447" spans="1:1" x14ac:dyDescent="0.2">
      <c r="A7447" s="1" t="s">
        <v>1949</v>
      </c>
    </row>
    <row r="7448" spans="1:1" x14ac:dyDescent="0.2">
      <c r="A7448" s="1" t="s">
        <v>1950</v>
      </c>
    </row>
    <row r="7449" spans="1:1" x14ac:dyDescent="0.2">
      <c r="A7449" s="1" t="s">
        <v>1951</v>
      </c>
    </row>
    <row r="7450" spans="1:1" x14ac:dyDescent="0.2">
      <c r="A7450" s="1" t="s">
        <v>1952</v>
      </c>
    </row>
    <row r="7451" spans="1:1" x14ac:dyDescent="0.2">
      <c r="A7451" s="1" t="s">
        <v>1953</v>
      </c>
    </row>
    <row r="7452" spans="1:1" x14ac:dyDescent="0.2">
      <c r="A7452" s="1" t="s">
        <v>1954</v>
      </c>
    </row>
    <row r="7453" spans="1:1" x14ac:dyDescent="0.2">
      <c r="A7453" s="1" t="s">
        <v>1955</v>
      </c>
    </row>
    <row r="7454" spans="1:1" x14ac:dyDescent="0.2">
      <c r="A7454" s="1" t="s">
        <v>1956</v>
      </c>
    </row>
    <row r="7455" spans="1:1" x14ac:dyDescent="0.2">
      <c r="A7455" s="1" t="s">
        <v>1957</v>
      </c>
    </row>
    <row r="7456" spans="1:1" x14ac:dyDescent="0.2">
      <c r="A7456" s="1" t="s">
        <v>1958</v>
      </c>
    </row>
    <row r="7457" spans="1:1" x14ac:dyDescent="0.2">
      <c r="A7457" s="1" t="s">
        <v>1958</v>
      </c>
    </row>
    <row r="7458" spans="1:1" x14ac:dyDescent="0.2">
      <c r="A7458" s="1" t="s">
        <v>1949</v>
      </c>
    </row>
    <row r="7459" spans="1:1" x14ac:dyDescent="0.2">
      <c r="A7459" s="1" t="s">
        <v>1950</v>
      </c>
    </row>
    <row r="7460" spans="1:1" x14ac:dyDescent="0.2">
      <c r="A7460" s="1" t="s">
        <v>1949</v>
      </c>
    </row>
    <row r="7461" spans="1:1" x14ac:dyDescent="0.2">
      <c r="A7461" s="1" t="s">
        <v>1950</v>
      </c>
    </row>
    <row r="7462" spans="1:1" x14ac:dyDescent="0.2">
      <c r="A7462" s="1" t="s">
        <v>1949</v>
      </c>
    </row>
    <row r="7463" spans="1:1" x14ac:dyDescent="0.2">
      <c r="A7463" s="1" t="s">
        <v>1950</v>
      </c>
    </row>
    <row r="7464" spans="1:1" x14ac:dyDescent="0.2">
      <c r="A7464" s="1" t="s">
        <v>1951</v>
      </c>
    </row>
    <row r="7465" spans="1:1" x14ac:dyDescent="0.2">
      <c r="A7465" s="1" t="s">
        <v>1952</v>
      </c>
    </row>
    <row r="7466" spans="1:1" x14ac:dyDescent="0.2">
      <c r="A7466" s="1" t="s">
        <v>1953</v>
      </c>
    </row>
    <row r="7467" spans="1:1" x14ac:dyDescent="0.2">
      <c r="A7467" s="1" t="s">
        <v>1954</v>
      </c>
    </row>
    <row r="7468" spans="1:1" x14ac:dyDescent="0.2">
      <c r="A7468" s="1" t="s">
        <v>1955</v>
      </c>
    </row>
    <row r="7469" spans="1:1" x14ac:dyDescent="0.2">
      <c r="A7469" s="1" t="s">
        <v>1956</v>
      </c>
    </row>
    <row r="7470" spans="1:1" x14ac:dyDescent="0.2">
      <c r="A7470" s="1" t="s">
        <v>1957</v>
      </c>
    </row>
    <row r="7471" spans="1:1" x14ac:dyDescent="0.2">
      <c r="A7471" s="1" t="s">
        <v>1958</v>
      </c>
    </row>
    <row r="7472" spans="1:1" x14ac:dyDescent="0.2">
      <c r="A7472" s="1" t="s">
        <v>1958</v>
      </c>
    </row>
    <row r="7473" spans="1:1" x14ac:dyDescent="0.2">
      <c r="A7473" s="1" t="s">
        <v>1949</v>
      </c>
    </row>
    <row r="7474" spans="1:1" x14ac:dyDescent="0.2">
      <c r="A7474" s="1" t="s">
        <v>1950</v>
      </c>
    </row>
    <row r="7475" spans="1:1" x14ac:dyDescent="0.2">
      <c r="A7475" s="1" t="s">
        <v>1949</v>
      </c>
    </row>
    <row r="7476" spans="1:1" x14ac:dyDescent="0.2">
      <c r="A7476" s="1" t="s">
        <v>1950</v>
      </c>
    </row>
    <row r="7477" spans="1:1" x14ac:dyDescent="0.2">
      <c r="A7477" s="1" t="s">
        <v>1949</v>
      </c>
    </row>
    <row r="7478" spans="1:1" x14ac:dyDescent="0.2">
      <c r="A7478" s="1" t="s">
        <v>1950</v>
      </c>
    </row>
    <row r="7479" spans="1:1" x14ac:dyDescent="0.2">
      <c r="A7479" s="1" t="s">
        <v>1951</v>
      </c>
    </row>
    <row r="7480" spans="1:1" x14ac:dyDescent="0.2">
      <c r="A7480" s="1" t="s">
        <v>1952</v>
      </c>
    </row>
    <row r="7481" spans="1:1" x14ac:dyDescent="0.2">
      <c r="A7481" s="1" t="s">
        <v>1953</v>
      </c>
    </row>
    <row r="7482" spans="1:1" x14ac:dyDescent="0.2">
      <c r="A7482" s="1" t="s">
        <v>1954</v>
      </c>
    </row>
    <row r="7483" spans="1:1" x14ac:dyDescent="0.2">
      <c r="A7483" s="1" t="s">
        <v>1955</v>
      </c>
    </row>
    <row r="7484" spans="1:1" x14ac:dyDescent="0.2">
      <c r="A7484" s="1" t="s">
        <v>1956</v>
      </c>
    </row>
    <row r="7485" spans="1:1" x14ac:dyDescent="0.2">
      <c r="A7485" s="1" t="s">
        <v>1957</v>
      </c>
    </row>
    <row r="7486" spans="1:1" x14ac:dyDescent="0.2">
      <c r="A7486" s="1" t="s">
        <v>1958</v>
      </c>
    </row>
    <row r="7487" spans="1:1" x14ac:dyDescent="0.2">
      <c r="A7487" s="1" t="s">
        <v>1958</v>
      </c>
    </row>
    <row r="7488" spans="1:1" x14ac:dyDescent="0.2">
      <c r="A7488" s="1" t="s">
        <v>1949</v>
      </c>
    </row>
    <row r="7489" spans="1:1" x14ac:dyDescent="0.2">
      <c r="A7489" s="1" t="s">
        <v>1950</v>
      </c>
    </row>
    <row r="7490" spans="1:1" x14ac:dyDescent="0.2">
      <c r="A7490" s="1" t="s">
        <v>1949</v>
      </c>
    </row>
    <row r="7491" spans="1:1" x14ac:dyDescent="0.2">
      <c r="A7491" s="1" t="s">
        <v>1950</v>
      </c>
    </row>
    <row r="7492" spans="1:1" x14ac:dyDescent="0.2">
      <c r="A7492" s="1" t="s">
        <v>1949</v>
      </c>
    </row>
    <row r="7493" spans="1:1" x14ac:dyDescent="0.2">
      <c r="A7493" s="1" t="s">
        <v>1950</v>
      </c>
    </row>
    <row r="7494" spans="1:1" x14ac:dyDescent="0.2">
      <c r="A7494" s="1" t="s">
        <v>1951</v>
      </c>
    </row>
    <row r="7495" spans="1:1" x14ac:dyDescent="0.2">
      <c r="A7495" s="1" t="s">
        <v>1952</v>
      </c>
    </row>
    <row r="7496" spans="1:1" x14ac:dyDescent="0.2">
      <c r="A7496" s="1" t="s">
        <v>1953</v>
      </c>
    </row>
    <row r="7497" spans="1:1" x14ac:dyDescent="0.2">
      <c r="A7497" s="1" t="s">
        <v>1954</v>
      </c>
    </row>
    <row r="7498" spans="1:1" x14ac:dyDescent="0.2">
      <c r="A7498" s="1" t="s">
        <v>1955</v>
      </c>
    </row>
    <row r="7499" spans="1:1" x14ac:dyDescent="0.2">
      <c r="A7499" s="1" t="s">
        <v>1956</v>
      </c>
    </row>
    <row r="7500" spans="1:1" x14ac:dyDescent="0.2">
      <c r="A7500" s="1" t="s">
        <v>1957</v>
      </c>
    </row>
    <row r="7501" spans="1:1" x14ac:dyDescent="0.2">
      <c r="A7501" s="1" t="s">
        <v>1958</v>
      </c>
    </row>
    <row r="7502" spans="1:1" x14ac:dyDescent="0.2">
      <c r="A7502" s="1" t="s">
        <v>1958</v>
      </c>
    </row>
    <row r="7503" spans="1:1" x14ac:dyDescent="0.2">
      <c r="A7503" s="1" t="s">
        <v>1949</v>
      </c>
    </row>
    <row r="7504" spans="1:1" x14ac:dyDescent="0.2">
      <c r="A7504" s="1" t="s">
        <v>1950</v>
      </c>
    </row>
    <row r="7505" spans="1:1" x14ac:dyDescent="0.2">
      <c r="A7505" s="1" t="s">
        <v>1949</v>
      </c>
    </row>
    <row r="7506" spans="1:1" x14ac:dyDescent="0.2">
      <c r="A7506" s="1" t="s">
        <v>1950</v>
      </c>
    </row>
    <row r="7507" spans="1:1" x14ac:dyDescent="0.2">
      <c r="A7507" s="1" t="s">
        <v>1949</v>
      </c>
    </row>
    <row r="7508" spans="1:1" x14ac:dyDescent="0.2">
      <c r="A7508" s="1" t="s">
        <v>1950</v>
      </c>
    </row>
    <row r="7509" spans="1:1" x14ac:dyDescent="0.2">
      <c r="A7509" s="1" t="s">
        <v>1951</v>
      </c>
    </row>
    <row r="7510" spans="1:1" x14ac:dyDescent="0.2">
      <c r="A7510" s="1" t="s">
        <v>1952</v>
      </c>
    </row>
    <row r="7511" spans="1:1" x14ac:dyDescent="0.2">
      <c r="A7511" s="1" t="s">
        <v>1953</v>
      </c>
    </row>
    <row r="7512" spans="1:1" x14ac:dyDescent="0.2">
      <c r="A7512" s="1" t="s">
        <v>1954</v>
      </c>
    </row>
    <row r="7513" spans="1:1" x14ac:dyDescent="0.2">
      <c r="A7513" s="1" t="s">
        <v>1955</v>
      </c>
    </row>
    <row r="7514" spans="1:1" x14ac:dyDescent="0.2">
      <c r="A7514" s="1" t="s">
        <v>1956</v>
      </c>
    </row>
    <row r="7515" spans="1:1" x14ac:dyDescent="0.2">
      <c r="A7515" s="1" t="s">
        <v>1957</v>
      </c>
    </row>
    <row r="7516" spans="1:1" x14ac:dyDescent="0.2">
      <c r="A7516" s="1" t="s">
        <v>1958</v>
      </c>
    </row>
    <row r="7517" spans="1:1" x14ac:dyDescent="0.2">
      <c r="A7517" s="1" t="s">
        <v>1958</v>
      </c>
    </row>
    <row r="7518" spans="1:1" x14ac:dyDescent="0.2">
      <c r="A7518" s="1" t="s">
        <v>1949</v>
      </c>
    </row>
    <row r="7519" spans="1:1" x14ac:dyDescent="0.2">
      <c r="A7519" s="1" t="s">
        <v>1950</v>
      </c>
    </row>
    <row r="7520" spans="1:1" x14ac:dyDescent="0.2">
      <c r="A7520" s="1" t="s">
        <v>1959</v>
      </c>
    </row>
    <row r="7521" spans="1:1" x14ac:dyDescent="0.2">
      <c r="A7521" s="1" t="s">
        <v>1960</v>
      </c>
    </row>
    <row r="7522" spans="1:1" x14ac:dyDescent="0.2">
      <c r="A7522" s="1" t="s">
        <v>1959</v>
      </c>
    </row>
    <row r="7523" spans="1:1" x14ac:dyDescent="0.2">
      <c r="A7523" s="1" t="s">
        <v>1960</v>
      </c>
    </row>
    <row r="7524" spans="1:1" x14ac:dyDescent="0.2">
      <c r="A7524" s="1" t="s">
        <v>1961</v>
      </c>
    </row>
    <row r="7525" spans="1:1" x14ac:dyDescent="0.2">
      <c r="A7525" s="1" t="s">
        <v>1962</v>
      </c>
    </row>
    <row r="7526" spans="1:1" x14ac:dyDescent="0.2">
      <c r="A7526" s="1" t="s">
        <v>1963</v>
      </c>
    </row>
    <row r="7527" spans="1:1" x14ac:dyDescent="0.2">
      <c r="A7527" s="1" t="s">
        <v>1964</v>
      </c>
    </row>
    <row r="7528" spans="1:1" x14ac:dyDescent="0.2">
      <c r="A7528" s="1" t="s">
        <v>1965</v>
      </c>
    </row>
    <row r="7529" spans="1:1" x14ac:dyDescent="0.2">
      <c r="A7529" s="1" t="s">
        <v>1966</v>
      </c>
    </row>
    <row r="7530" spans="1:1" x14ac:dyDescent="0.2">
      <c r="A7530" s="1" t="s">
        <v>1967</v>
      </c>
    </row>
    <row r="7531" spans="1:1" x14ac:dyDescent="0.2">
      <c r="A7531" s="1" t="s">
        <v>1968</v>
      </c>
    </row>
    <row r="7532" spans="1:1" x14ac:dyDescent="0.2">
      <c r="A7532" s="1" t="s">
        <v>1968</v>
      </c>
    </row>
    <row r="7533" spans="1:1" x14ac:dyDescent="0.2">
      <c r="A7533" s="1" t="s">
        <v>1959</v>
      </c>
    </row>
    <row r="7534" spans="1:1" x14ac:dyDescent="0.2">
      <c r="A7534" s="1" t="s">
        <v>1960</v>
      </c>
    </row>
    <row r="7535" spans="1:1" x14ac:dyDescent="0.2">
      <c r="A7535" s="1" t="s">
        <v>1959</v>
      </c>
    </row>
    <row r="7536" spans="1:1" x14ac:dyDescent="0.2">
      <c r="A7536" s="1" t="s">
        <v>1960</v>
      </c>
    </row>
    <row r="7537" spans="1:1" x14ac:dyDescent="0.2">
      <c r="A7537" s="1" t="s">
        <v>1959</v>
      </c>
    </row>
    <row r="7538" spans="1:1" x14ac:dyDescent="0.2">
      <c r="A7538" s="1" t="s">
        <v>1960</v>
      </c>
    </row>
    <row r="7539" spans="1:1" x14ac:dyDescent="0.2">
      <c r="A7539" s="1" t="s">
        <v>1961</v>
      </c>
    </row>
    <row r="7540" spans="1:1" x14ac:dyDescent="0.2">
      <c r="A7540" s="1" t="s">
        <v>1962</v>
      </c>
    </row>
    <row r="7541" spans="1:1" x14ac:dyDescent="0.2">
      <c r="A7541" s="1" t="s">
        <v>1963</v>
      </c>
    </row>
    <row r="7542" spans="1:1" x14ac:dyDescent="0.2">
      <c r="A7542" s="1" t="s">
        <v>1964</v>
      </c>
    </row>
    <row r="7543" spans="1:1" x14ac:dyDescent="0.2">
      <c r="A7543" s="1" t="s">
        <v>1965</v>
      </c>
    </row>
    <row r="7544" spans="1:1" x14ac:dyDescent="0.2">
      <c r="A7544" s="1" t="s">
        <v>1966</v>
      </c>
    </row>
    <row r="7545" spans="1:1" x14ac:dyDescent="0.2">
      <c r="A7545" s="1" t="s">
        <v>1967</v>
      </c>
    </row>
    <row r="7546" spans="1:1" x14ac:dyDescent="0.2">
      <c r="A7546" s="1" t="s">
        <v>1968</v>
      </c>
    </row>
    <row r="7547" spans="1:1" x14ac:dyDescent="0.2">
      <c r="A7547" s="1" t="s">
        <v>1968</v>
      </c>
    </row>
    <row r="7548" spans="1:1" x14ac:dyDescent="0.2">
      <c r="A7548" s="1" t="s">
        <v>1959</v>
      </c>
    </row>
    <row r="7549" spans="1:1" x14ac:dyDescent="0.2">
      <c r="A7549" s="1" t="s">
        <v>1960</v>
      </c>
    </row>
    <row r="7550" spans="1:1" x14ac:dyDescent="0.2">
      <c r="A7550" s="1" t="s">
        <v>1959</v>
      </c>
    </row>
    <row r="7551" spans="1:1" x14ac:dyDescent="0.2">
      <c r="A7551" s="1" t="s">
        <v>1960</v>
      </c>
    </row>
    <row r="7552" spans="1:1" x14ac:dyDescent="0.2">
      <c r="A7552" s="1" t="s">
        <v>1959</v>
      </c>
    </row>
    <row r="7553" spans="1:1" x14ac:dyDescent="0.2">
      <c r="A7553" s="1" t="s">
        <v>1960</v>
      </c>
    </row>
    <row r="7554" spans="1:1" x14ac:dyDescent="0.2">
      <c r="A7554" s="1" t="s">
        <v>1961</v>
      </c>
    </row>
    <row r="7555" spans="1:1" x14ac:dyDescent="0.2">
      <c r="A7555" s="1" t="s">
        <v>1962</v>
      </c>
    </row>
    <row r="7556" spans="1:1" x14ac:dyDescent="0.2">
      <c r="A7556" s="1" t="s">
        <v>1963</v>
      </c>
    </row>
    <row r="7557" spans="1:1" x14ac:dyDescent="0.2">
      <c r="A7557" s="1" t="s">
        <v>1964</v>
      </c>
    </row>
    <row r="7558" spans="1:1" x14ac:dyDescent="0.2">
      <c r="A7558" s="1" t="s">
        <v>1965</v>
      </c>
    </row>
    <row r="7559" spans="1:1" x14ac:dyDescent="0.2">
      <c r="A7559" s="1" t="s">
        <v>1966</v>
      </c>
    </row>
    <row r="7560" spans="1:1" x14ac:dyDescent="0.2">
      <c r="A7560" s="1" t="s">
        <v>1967</v>
      </c>
    </row>
    <row r="7561" spans="1:1" x14ac:dyDescent="0.2">
      <c r="A7561" s="1" t="s">
        <v>1968</v>
      </c>
    </row>
    <row r="7562" spans="1:1" x14ac:dyDescent="0.2">
      <c r="A7562" s="1" t="s">
        <v>1968</v>
      </c>
    </row>
    <row r="7563" spans="1:1" x14ac:dyDescent="0.2">
      <c r="A7563" s="1" t="s">
        <v>1959</v>
      </c>
    </row>
    <row r="7564" spans="1:1" x14ac:dyDescent="0.2">
      <c r="A7564" s="1" t="s">
        <v>1960</v>
      </c>
    </row>
    <row r="7565" spans="1:1" x14ac:dyDescent="0.2">
      <c r="A7565" s="1" t="s">
        <v>1959</v>
      </c>
    </row>
    <row r="7566" spans="1:1" x14ac:dyDescent="0.2">
      <c r="A7566" s="1" t="s">
        <v>1960</v>
      </c>
    </row>
    <row r="7567" spans="1:1" x14ac:dyDescent="0.2">
      <c r="A7567" s="1" t="s">
        <v>1959</v>
      </c>
    </row>
    <row r="7568" spans="1:1" x14ac:dyDescent="0.2">
      <c r="A7568" s="1" t="s">
        <v>1960</v>
      </c>
    </row>
    <row r="7569" spans="1:1" x14ac:dyDescent="0.2">
      <c r="A7569" s="1" t="s">
        <v>1961</v>
      </c>
    </row>
    <row r="7570" spans="1:1" x14ac:dyDescent="0.2">
      <c r="A7570" s="1" t="s">
        <v>1962</v>
      </c>
    </row>
    <row r="7571" spans="1:1" x14ac:dyDescent="0.2">
      <c r="A7571" s="1" t="s">
        <v>1963</v>
      </c>
    </row>
    <row r="7572" spans="1:1" x14ac:dyDescent="0.2">
      <c r="A7572" s="1" t="s">
        <v>1964</v>
      </c>
    </row>
    <row r="7573" spans="1:1" x14ac:dyDescent="0.2">
      <c r="A7573" s="1" t="s">
        <v>1965</v>
      </c>
    </row>
    <row r="7574" spans="1:1" x14ac:dyDescent="0.2">
      <c r="A7574" s="1" t="s">
        <v>1966</v>
      </c>
    </row>
    <row r="7575" spans="1:1" x14ac:dyDescent="0.2">
      <c r="A7575" s="1" t="s">
        <v>1967</v>
      </c>
    </row>
    <row r="7576" spans="1:1" x14ac:dyDescent="0.2">
      <c r="A7576" s="1" t="s">
        <v>1968</v>
      </c>
    </row>
    <row r="7577" spans="1:1" x14ac:dyDescent="0.2">
      <c r="A7577" s="1" t="s">
        <v>1968</v>
      </c>
    </row>
    <row r="7578" spans="1:1" x14ac:dyDescent="0.2">
      <c r="A7578" s="1" t="s">
        <v>1959</v>
      </c>
    </row>
    <row r="7579" spans="1:1" x14ac:dyDescent="0.2">
      <c r="A7579" s="1" t="s">
        <v>1960</v>
      </c>
    </row>
    <row r="7580" spans="1:1" x14ac:dyDescent="0.2">
      <c r="A7580" s="1" t="s">
        <v>1959</v>
      </c>
    </row>
    <row r="7581" spans="1:1" x14ac:dyDescent="0.2">
      <c r="A7581" s="1" t="s">
        <v>1960</v>
      </c>
    </row>
    <row r="7582" spans="1:1" x14ac:dyDescent="0.2">
      <c r="A7582" s="1" t="s">
        <v>1959</v>
      </c>
    </row>
    <row r="7583" spans="1:1" x14ac:dyDescent="0.2">
      <c r="A7583" s="1" t="s">
        <v>1960</v>
      </c>
    </row>
    <row r="7584" spans="1:1" x14ac:dyDescent="0.2">
      <c r="A7584" s="1" t="s">
        <v>1961</v>
      </c>
    </row>
    <row r="7585" spans="1:1" x14ac:dyDescent="0.2">
      <c r="A7585" s="1" t="s">
        <v>1962</v>
      </c>
    </row>
    <row r="7586" spans="1:1" x14ac:dyDescent="0.2">
      <c r="A7586" s="1" t="s">
        <v>1963</v>
      </c>
    </row>
    <row r="7587" spans="1:1" x14ac:dyDescent="0.2">
      <c r="A7587" s="1" t="s">
        <v>1964</v>
      </c>
    </row>
    <row r="7588" spans="1:1" x14ac:dyDescent="0.2">
      <c r="A7588" s="1" t="s">
        <v>1965</v>
      </c>
    </row>
    <row r="7589" spans="1:1" x14ac:dyDescent="0.2">
      <c r="A7589" s="1" t="s">
        <v>1966</v>
      </c>
    </row>
    <row r="7590" spans="1:1" x14ac:dyDescent="0.2">
      <c r="A7590" s="1" t="s">
        <v>1967</v>
      </c>
    </row>
    <row r="7591" spans="1:1" x14ac:dyDescent="0.2">
      <c r="A7591" s="1" t="s">
        <v>1968</v>
      </c>
    </row>
    <row r="7592" spans="1:1" x14ac:dyDescent="0.2">
      <c r="A7592" s="1" t="s">
        <v>1968</v>
      </c>
    </row>
    <row r="7593" spans="1:1" x14ac:dyDescent="0.2">
      <c r="A7593" s="1" t="s">
        <v>1959</v>
      </c>
    </row>
    <row r="7594" spans="1:1" x14ac:dyDescent="0.2">
      <c r="A7594" s="1" t="s">
        <v>1960</v>
      </c>
    </row>
    <row r="7595" spans="1:1" x14ac:dyDescent="0.2">
      <c r="A7595" s="1" t="s">
        <v>1959</v>
      </c>
    </row>
    <row r="7596" spans="1:1" x14ac:dyDescent="0.2">
      <c r="A7596" s="1" t="s">
        <v>1960</v>
      </c>
    </row>
    <row r="7597" spans="1:1" x14ac:dyDescent="0.2">
      <c r="A7597" s="1" t="s">
        <v>1959</v>
      </c>
    </row>
    <row r="7598" spans="1:1" x14ac:dyDescent="0.2">
      <c r="A7598" s="1" t="s">
        <v>1960</v>
      </c>
    </row>
    <row r="7599" spans="1:1" x14ac:dyDescent="0.2">
      <c r="A7599" s="1" t="s">
        <v>1961</v>
      </c>
    </row>
    <row r="7600" spans="1:1" x14ac:dyDescent="0.2">
      <c r="A7600" s="1" t="s">
        <v>1962</v>
      </c>
    </row>
    <row r="7601" spans="1:1" x14ac:dyDescent="0.2">
      <c r="A7601" s="1" t="s">
        <v>1963</v>
      </c>
    </row>
    <row r="7602" spans="1:1" x14ac:dyDescent="0.2">
      <c r="A7602" s="1" t="s">
        <v>1964</v>
      </c>
    </row>
    <row r="7603" spans="1:1" x14ac:dyDescent="0.2">
      <c r="A7603" s="1" t="s">
        <v>1965</v>
      </c>
    </row>
    <row r="7604" spans="1:1" x14ac:dyDescent="0.2">
      <c r="A7604" s="1" t="s">
        <v>1966</v>
      </c>
    </row>
    <row r="7605" spans="1:1" x14ac:dyDescent="0.2">
      <c r="A7605" s="1" t="s">
        <v>1967</v>
      </c>
    </row>
    <row r="7606" spans="1:1" x14ac:dyDescent="0.2">
      <c r="A7606" s="1" t="s">
        <v>1968</v>
      </c>
    </row>
    <row r="7607" spans="1:1" x14ac:dyDescent="0.2">
      <c r="A7607" s="1" t="s">
        <v>1968</v>
      </c>
    </row>
    <row r="7608" spans="1:1" x14ac:dyDescent="0.2">
      <c r="A7608" s="1" t="s">
        <v>1959</v>
      </c>
    </row>
    <row r="7609" spans="1:1" x14ac:dyDescent="0.2">
      <c r="A7609" s="1" t="s">
        <v>1960</v>
      </c>
    </row>
    <row r="7610" spans="1:1" x14ac:dyDescent="0.2">
      <c r="A7610" s="1" t="s">
        <v>1959</v>
      </c>
    </row>
    <row r="7611" spans="1:1" x14ac:dyDescent="0.2">
      <c r="A7611" s="1" t="s">
        <v>1960</v>
      </c>
    </row>
    <row r="7612" spans="1:1" x14ac:dyDescent="0.2">
      <c r="A7612" s="1" t="s">
        <v>1959</v>
      </c>
    </row>
    <row r="7613" spans="1:1" x14ac:dyDescent="0.2">
      <c r="A7613" s="1" t="s">
        <v>1960</v>
      </c>
    </row>
    <row r="7614" spans="1:1" x14ac:dyDescent="0.2">
      <c r="A7614" s="1" t="s">
        <v>1961</v>
      </c>
    </row>
    <row r="7615" spans="1:1" x14ac:dyDescent="0.2">
      <c r="A7615" s="1" t="s">
        <v>1962</v>
      </c>
    </row>
    <row r="7616" spans="1:1" x14ac:dyDescent="0.2">
      <c r="A7616" s="1" t="s">
        <v>1963</v>
      </c>
    </row>
    <row r="7617" spans="1:1" x14ac:dyDescent="0.2">
      <c r="A7617" s="1" t="s">
        <v>1964</v>
      </c>
    </row>
    <row r="7618" spans="1:1" x14ac:dyDescent="0.2">
      <c r="A7618" s="1" t="s">
        <v>1965</v>
      </c>
    </row>
    <row r="7619" spans="1:1" x14ac:dyDescent="0.2">
      <c r="A7619" s="1" t="s">
        <v>1966</v>
      </c>
    </row>
    <row r="7620" spans="1:1" x14ac:dyDescent="0.2">
      <c r="A7620" s="1" t="s">
        <v>1967</v>
      </c>
    </row>
    <row r="7621" spans="1:1" x14ac:dyDescent="0.2">
      <c r="A7621" s="1" t="s">
        <v>1968</v>
      </c>
    </row>
    <row r="7622" spans="1:1" x14ac:dyDescent="0.2">
      <c r="A7622" s="1" t="s">
        <v>1968</v>
      </c>
    </row>
    <row r="7623" spans="1:1" x14ac:dyDescent="0.2">
      <c r="A7623" s="1" t="s">
        <v>1959</v>
      </c>
    </row>
    <row r="7624" spans="1:1" x14ac:dyDescent="0.2">
      <c r="A7624" s="1" t="s">
        <v>1960</v>
      </c>
    </row>
    <row r="7625" spans="1:1" x14ac:dyDescent="0.2">
      <c r="A7625" s="1" t="s">
        <v>1959</v>
      </c>
    </row>
    <row r="7626" spans="1:1" x14ac:dyDescent="0.2">
      <c r="A7626" s="1" t="s">
        <v>1960</v>
      </c>
    </row>
    <row r="7627" spans="1:1" x14ac:dyDescent="0.2">
      <c r="A7627" s="1" t="s">
        <v>1959</v>
      </c>
    </row>
    <row r="7628" spans="1:1" x14ac:dyDescent="0.2">
      <c r="A7628" s="1" t="s">
        <v>1960</v>
      </c>
    </row>
    <row r="7629" spans="1:1" x14ac:dyDescent="0.2">
      <c r="A7629" s="1" t="s">
        <v>1961</v>
      </c>
    </row>
    <row r="7630" spans="1:1" x14ac:dyDescent="0.2">
      <c r="A7630" s="1" t="s">
        <v>1962</v>
      </c>
    </row>
    <row r="7631" spans="1:1" x14ac:dyDescent="0.2">
      <c r="A7631" s="1" t="s">
        <v>1963</v>
      </c>
    </row>
    <row r="7632" spans="1:1" x14ac:dyDescent="0.2">
      <c r="A7632" s="1" t="s">
        <v>1964</v>
      </c>
    </row>
    <row r="7633" spans="1:1" x14ac:dyDescent="0.2">
      <c r="A7633" s="1" t="s">
        <v>1965</v>
      </c>
    </row>
    <row r="7634" spans="1:1" x14ac:dyDescent="0.2">
      <c r="A7634" s="1" t="s">
        <v>1966</v>
      </c>
    </row>
    <row r="7635" spans="1:1" x14ac:dyDescent="0.2">
      <c r="A7635" s="1" t="s">
        <v>1967</v>
      </c>
    </row>
    <row r="7636" spans="1:1" x14ac:dyDescent="0.2">
      <c r="A7636" s="1" t="s">
        <v>1968</v>
      </c>
    </row>
    <row r="7637" spans="1:1" x14ac:dyDescent="0.2">
      <c r="A7637" s="1" t="s">
        <v>1968</v>
      </c>
    </row>
    <row r="7638" spans="1:1" x14ac:dyDescent="0.2">
      <c r="A7638" s="1" t="s">
        <v>1959</v>
      </c>
    </row>
    <row r="7639" spans="1:1" x14ac:dyDescent="0.2">
      <c r="A7639" s="1" t="s">
        <v>1960</v>
      </c>
    </row>
    <row r="7640" spans="1:1" x14ac:dyDescent="0.2">
      <c r="A7640" s="1" t="s">
        <v>1969</v>
      </c>
    </row>
    <row r="7641" spans="1:1" x14ac:dyDescent="0.2">
      <c r="A7641" s="1" t="s">
        <v>1970</v>
      </c>
    </row>
    <row r="7642" spans="1:1" x14ac:dyDescent="0.2">
      <c r="A7642" s="1" t="s">
        <v>1971</v>
      </c>
    </row>
    <row r="7643" spans="1:1" x14ac:dyDescent="0.2">
      <c r="A7643" s="1" t="s">
        <v>1972</v>
      </c>
    </row>
    <row r="7644" spans="1:1" x14ac:dyDescent="0.2">
      <c r="A7644" s="1" t="s">
        <v>1971</v>
      </c>
    </row>
    <row r="7645" spans="1:1" x14ac:dyDescent="0.2">
      <c r="A7645" s="1" t="s">
        <v>1972</v>
      </c>
    </row>
    <row r="7646" spans="1:1" x14ac:dyDescent="0.2">
      <c r="A7646" s="1" t="s">
        <v>1973</v>
      </c>
    </row>
    <row r="7647" spans="1:1" x14ac:dyDescent="0.2">
      <c r="A7647" s="1" t="s">
        <v>1974</v>
      </c>
    </row>
    <row r="7648" spans="1:1" x14ac:dyDescent="0.2">
      <c r="A7648" s="1" t="s">
        <v>1975</v>
      </c>
    </row>
    <row r="7649" spans="1:1" x14ac:dyDescent="0.2">
      <c r="A7649" s="1" t="s">
        <v>1976</v>
      </c>
    </row>
    <row r="7650" spans="1:1" x14ac:dyDescent="0.2">
      <c r="A7650" s="1" t="s">
        <v>1977</v>
      </c>
    </row>
    <row r="7651" spans="1:1" x14ac:dyDescent="0.2">
      <c r="A7651" s="1" t="s">
        <v>1978</v>
      </c>
    </row>
    <row r="7652" spans="1:1" x14ac:dyDescent="0.2">
      <c r="A7652" s="1" t="s">
        <v>1979</v>
      </c>
    </row>
    <row r="7653" spans="1:1" x14ac:dyDescent="0.2">
      <c r="A7653" s="1" t="s">
        <v>1980</v>
      </c>
    </row>
    <row r="7654" spans="1:1" x14ac:dyDescent="0.2">
      <c r="A7654" s="1" t="s">
        <v>1980</v>
      </c>
    </row>
    <row r="7655" spans="1:1" x14ac:dyDescent="0.2">
      <c r="A7655" s="1" t="s">
        <v>1981</v>
      </c>
    </row>
    <row r="7656" spans="1:1" x14ac:dyDescent="0.2">
      <c r="A7656" s="1" t="s">
        <v>1982</v>
      </c>
    </row>
    <row r="7657" spans="1:1" x14ac:dyDescent="0.2">
      <c r="A7657" s="1" t="s">
        <v>1981</v>
      </c>
    </row>
    <row r="7658" spans="1:1" x14ac:dyDescent="0.2">
      <c r="A7658" s="1" t="s">
        <v>1982</v>
      </c>
    </row>
    <row r="7659" spans="1:1" x14ac:dyDescent="0.2">
      <c r="A7659" s="1" t="s">
        <v>1981</v>
      </c>
    </row>
    <row r="7660" spans="1:1" x14ac:dyDescent="0.2">
      <c r="A7660" s="1" t="s">
        <v>1982</v>
      </c>
    </row>
    <row r="7661" spans="1:1" x14ac:dyDescent="0.2">
      <c r="A7661" s="1" t="s">
        <v>1983</v>
      </c>
    </row>
    <row r="7662" spans="1:1" x14ac:dyDescent="0.2">
      <c r="A7662" s="1" t="s">
        <v>1984</v>
      </c>
    </row>
    <row r="7663" spans="1:1" x14ac:dyDescent="0.2">
      <c r="A7663" s="1" t="s">
        <v>1985</v>
      </c>
    </row>
    <row r="7664" spans="1:1" x14ac:dyDescent="0.2">
      <c r="A7664" s="1" t="s">
        <v>1986</v>
      </c>
    </row>
    <row r="7665" spans="1:1" x14ac:dyDescent="0.2">
      <c r="A7665" s="1" t="s">
        <v>1987</v>
      </c>
    </row>
    <row r="7666" spans="1:1" x14ac:dyDescent="0.2">
      <c r="A7666" s="1" t="s">
        <v>1988</v>
      </c>
    </row>
    <row r="7667" spans="1:1" x14ac:dyDescent="0.2">
      <c r="A7667" s="1" t="s">
        <v>1989</v>
      </c>
    </row>
    <row r="7668" spans="1:1" x14ac:dyDescent="0.2">
      <c r="A7668" s="1" t="s">
        <v>1990</v>
      </c>
    </row>
    <row r="7669" spans="1:1" x14ac:dyDescent="0.2">
      <c r="A7669" s="1" t="s">
        <v>1990</v>
      </c>
    </row>
    <row r="7670" spans="1:1" x14ac:dyDescent="0.2">
      <c r="A7670" s="1" t="s">
        <v>1981</v>
      </c>
    </row>
    <row r="7671" spans="1:1" x14ac:dyDescent="0.2">
      <c r="A7671" s="1" t="s">
        <v>1982</v>
      </c>
    </row>
    <row r="7672" spans="1:1" x14ac:dyDescent="0.2">
      <c r="A7672" s="1" t="s">
        <v>1981</v>
      </c>
    </row>
    <row r="7673" spans="1:1" x14ac:dyDescent="0.2">
      <c r="A7673" s="1" t="s">
        <v>1982</v>
      </c>
    </row>
    <row r="7674" spans="1:1" x14ac:dyDescent="0.2">
      <c r="A7674" s="1" t="s">
        <v>1981</v>
      </c>
    </row>
    <row r="7675" spans="1:1" x14ac:dyDescent="0.2">
      <c r="A7675" s="1" t="s">
        <v>1982</v>
      </c>
    </row>
    <row r="7676" spans="1:1" x14ac:dyDescent="0.2">
      <c r="A7676" s="1" t="s">
        <v>1983</v>
      </c>
    </row>
    <row r="7677" spans="1:1" x14ac:dyDescent="0.2">
      <c r="A7677" s="1" t="s">
        <v>1984</v>
      </c>
    </row>
    <row r="7678" spans="1:1" x14ac:dyDescent="0.2">
      <c r="A7678" s="1" t="s">
        <v>1985</v>
      </c>
    </row>
    <row r="7679" spans="1:1" x14ac:dyDescent="0.2">
      <c r="A7679" s="1" t="s">
        <v>1986</v>
      </c>
    </row>
    <row r="7680" spans="1:1" x14ac:dyDescent="0.2">
      <c r="A7680" s="1" t="s">
        <v>1987</v>
      </c>
    </row>
    <row r="7681" spans="1:1" x14ac:dyDescent="0.2">
      <c r="A7681" s="1" t="s">
        <v>1988</v>
      </c>
    </row>
    <row r="7682" spans="1:1" x14ac:dyDescent="0.2">
      <c r="A7682" s="1" t="s">
        <v>1989</v>
      </c>
    </row>
    <row r="7683" spans="1:1" x14ac:dyDescent="0.2">
      <c r="A7683" s="1" t="s">
        <v>1990</v>
      </c>
    </row>
    <row r="7684" spans="1:1" x14ac:dyDescent="0.2">
      <c r="A7684" s="1" t="s">
        <v>1990</v>
      </c>
    </row>
    <row r="7685" spans="1:1" x14ac:dyDescent="0.2">
      <c r="A7685" s="1" t="s">
        <v>1981</v>
      </c>
    </row>
    <row r="7686" spans="1:1" x14ac:dyDescent="0.2">
      <c r="A7686" s="1" t="s">
        <v>1982</v>
      </c>
    </row>
    <row r="7687" spans="1:1" x14ac:dyDescent="0.2">
      <c r="A7687" s="1" t="s">
        <v>1981</v>
      </c>
    </row>
    <row r="7688" spans="1:1" x14ac:dyDescent="0.2">
      <c r="A7688" s="1" t="s">
        <v>1982</v>
      </c>
    </row>
    <row r="7689" spans="1:1" x14ac:dyDescent="0.2">
      <c r="A7689" s="1" t="s">
        <v>1981</v>
      </c>
    </row>
    <row r="7690" spans="1:1" x14ac:dyDescent="0.2">
      <c r="A7690" s="1" t="s">
        <v>1982</v>
      </c>
    </row>
    <row r="7691" spans="1:1" x14ac:dyDescent="0.2">
      <c r="A7691" s="1" t="s">
        <v>1983</v>
      </c>
    </row>
    <row r="7692" spans="1:1" x14ac:dyDescent="0.2">
      <c r="A7692" s="1" t="s">
        <v>1984</v>
      </c>
    </row>
    <row r="7693" spans="1:1" x14ac:dyDescent="0.2">
      <c r="A7693" s="1" t="s">
        <v>1985</v>
      </c>
    </row>
    <row r="7694" spans="1:1" x14ac:dyDescent="0.2">
      <c r="A7694" s="1" t="s">
        <v>1986</v>
      </c>
    </row>
    <row r="7695" spans="1:1" x14ac:dyDescent="0.2">
      <c r="A7695" s="1" t="s">
        <v>1987</v>
      </c>
    </row>
    <row r="7696" spans="1:1" x14ac:dyDescent="0.2">
      <c r="A7696" s="1" t="s">
        <v>1988</v>
      </c>
    </row>
    <row r="7697" spans="1:1" x14ac:dyDescent="0.2">
      <c r="A7697" s="1" t="s">
        <v>1989</v>
      </c>
    </row>
    <row r="7698" spans="1:1" x14ac:dyDescent="0.2">
      <c r="A7698" s="1" t="s">
        <v>1990</v>
      </c>
    </row>
    <row r="7699" spans="1:1" x14ac:dyDescent="0.2">
      <c r="A7699" s="1" t="s">
        <v>1990</v>
      </c>
    </row>
    <row r="7700" spans="1:1" x14ac:dyDescent="0.2">
      <c r="A7700" s="1" t="s">
        <v>1981</v>
      </c>
    </row>
    <row r="7701" spans="1:1" x14ac:dyDescent="0.2">
      <c r="A7701" s="1" t="s">
        <v>1982</v>
      </c>
    </row>
    <row r="7702" spans="1:1" x14ac:dyDescent="0.2">
      <c r="A7702" s="1" t="s">
        <v>1981</v>
      </c>
    </row>
    <row r="7703" spans="1:1" x14ac:dyDescent="0.2">
      <c r="A7703" s="1" t="s">
        <v>1982</v>
      </c>
    </row>
    <row r="7704" spans="1:1" x14ac:dyDescent="0.2">
      <c r="A7704" s="1" t="s">
        <v>1981</v>
      </c>
    </row>
    <row r="7705" spans="1:1" x14ac:dyDescent="0.2">
      <c r="A7705" s="1" t="s">
        <v>1982</v>
      </c>
    </row>
    <row r="7706" spans="1:1" x14ac:dyDescent="0.2">
      <c r="A7706" s="1" t="s">
        <v>1983</v>
      </c>
    </row>
    <row r="7707" spans="1:1" x14ac:dyDescent="0.2">
      <c r="A7707" s="1" t="s">
        <v>1984</v>
      </c>
    </row>
    <row r="7708" spans="1:1" x14ac:dyDescent="0.2">
      <c r="A7708" s="1" t="s">
        <v>1985</v>
      </c>
    </row>
    <row r="7709" spans="1:1" x14ac:dyDescent="0.2">
      <c r="A7709" s="1" t="s">
        <v>1986</v>
      </c>
    </row>
    <row r="7710" spans="1:1" x14ac:dyDescent="0.2">
      <c r="A7710" s="1" t="s">
        <v>1987</v>
      </c>
    </row>
    <row r="7711" spans="1:1" x14ac:dyDescent="0.2">
      <c r="A7711" s="1" t="s">
        <v>1988</v>
      </c>
    </row>
    <row r="7712" spans="1:1" x14ac:dyDescent="0.2">
      <c r="A7712" s="1" t="s">
        <v>1989</v>
      </c>
    </row>
    <row r="7713" spans="1:1" x14ac:dyDescent="0.2">
      <c r="A7713" s="1" t="s">
        <v>1990</v>
      </c>
    </row>
    <row r="7714" spans="1:1" x14ac:dyDescent="0.2">
      <c r="A7714" s="1" t="s">
        <v>1990</v>
      </c>
    </row>
    <row r="7715" spans="1:1" x14ac:dyDescent="0.2">
      <c r="A7715" s="1" t="s">
        <v>1981</v>
      </c>
    </row>
    <row r="7716" spans="1:1" x14ac:dyDescent="0.2">
      <c r="A7716" s="1" t="s">
        <v>1982</v>
      </c>
    </row>
    <row r="7717" spans="1:1" x14ac:dyDescent="0.2">
      <c r="A7717" s="1" t="s">
        <v>1981</v>
      </c>
    </row>
    <row r="7718" spans="1:1" x14ac:dyDescent="0.2">
      <c r="A7718" s="1" t="s">
        <v>1982</v>
      </c>
    </row>
    <row r="7719" spans="1:1" x14ac:dyDescent="0.2">
      <c r="A7719" s="1" t="s">
        <v>1981</v>
      </c>
    </row>
    <row r="7720" spans="1:1" x14ac:dyDescent="0.2">
      <c r="A7720" s="1" t="s">
        <v>1982</v>
      </c>
    </row>
    <row r="7721" spans="1:1" x14ac:dyDescent="0.2">
      <c r="A7721" s="1" t="s">
        <v>1983</v>
      </c>
    </row>
    <row r="7722" spans="1:1" x14ac:dyDescent="0.2">
      <c r="A7722" s="1" t="s">
        <v>1984</v>
      </c>
    </row>
    <row r="7723" spans="1:1" x14ac:dyDescent="0.2">
      <c r="A7723" s="1" t="s">
        <v>1985</v>
      </c>
    </row>
    <row r="7724" spans="1:1" x14ac:dyDescent="0.2">
      <c r="A7724" s="1" t="s">
        <v>1986</v>
      </c>
    </row>
    <row r="7725" spans="1:1" x14ac:dyDescent="0.2">
      <c r="A7725" s="1" t="s">
        <v>1987</v>
      </c>
    </row>
    <row r="7726" spans="1:1" x14ac:dyDescent="0.2">
      <c r="A7726" s="1" t="s">
        <v>1988</v>
      </c>
    </row>
    <row r="7727" spans="1:1" x14ac:dyDescent="0.2">
      <c r="A7727" s="1" t="s">
        <v>1989</v>
      </c>
    </row>
    <row r="7728" spans="1:1" x14ac:dyDescent="0.2">
      <c r="A7728" s="1" t="s">
        <v>1990</v>
      </c>
    </row>
    <row r="7729" spans="1:1" x14ac:dyDescent="0.2">
      <c r="A7729" s="1" t="s">
        <v>1990</v>
      </c>
    </row>
    <row r="7730" spans="1:1" x14ac:dyDescent="0.2">
      <c r="A7730" s="1" t="s">
        <v>1981</v>
      </c>
    </row>
    <row r="7731" spans="1:1" x14ac:dyDescent="0.2">
      <c r="A7731" s="1" t="s">
        <v>1982</v>
      </c>
    </row>
    <row r="7732" spans="1:1" x14ac:dyDescent="0.2">
      <c r="A7732" s="1" t="s">
        <v>1981</v>
      </c>
    </row>
    <row r="7733" spans="1:1" x14ac:dyDescent="0.2">
      <c r="A7733" s="1" t="s">
        <v>1982</v>
      </c>
    </row>
    <row r="7734" spans="1:1" x14ac:dyDescent="0.2">
      <c r="A7734" s="1" t="s">
        <v>1981</v>
      </c>
    </row>
    <row r="7735" spans="1:1" x14ac:dyDescent="0.2">
      <c r="A7735" s="1" t="s">
        <v>1982</v>
      </c>
    </row>
    <row r="7736" spans="1:1" x14ac:dyDescent="0.2">
      <c r="A7736" s="1" t="s">
        <v>1983</v>
      </c>
    </row>
    <row r="7737" spans="1:1" x14ac:dyDescent="0.2">
      <c r="A7737" s="1" t="s">
        <v>1984</v>
      </c>
    </row>
    <row r="7738" spans="1:1" x14ac:dyDescent="0.2">
      <c r="A7738" s="1" t="s">
        <v>1985</v>
      </c>
    </row>
    <row r="7739" spans="1:1" x14ac:dyDescent="0.2">
      <c r="A7739" s="1" t="s">
        <v>1986</v>
      </c>
    </row>
    <row r="7740" spans="1:1" x14ac:dyDescent="0.2">
      <c r="A7740" s="1" t="s">
        <v>1987</v>
      </c>
    </row>
    <row r="7741" spans="1:1" x14ac:dyDescent="0.2">
      <c r="A7741" s="1" t="s">
        <v>1988</v>
      </c>
    </row>
    <row r="7742" spans="1:1" x14ac:dyDescent="0.2">
      <c r="A7742" s="1" t="s">
        <v>1989</v>
      </c>
    </row>
    <row r="7743" spans="1:1" x14ac:dyDescent="0.2">
      <c r="A7743" s="1" t="s">
        <v>1990</v>
      </c>
    </row>
    <row r="7744" spans="1:1" x14ac:dyDescent="0.2">
      <c r="A7744" s="1" t="s">
        <v>1990</v>
      </c>
    </row>
    <row r="7745" spans="1:1" x14ac:dyDescent="0.2">
      <c r="A7745" s="1" t="s">
        <v>1981</v>
      </c>
    </row>
    <row r="7746" spans="1:1" x14ac:dyDescent="0.2">
      <c r="A7746" s="1" t="s">
        <v>1982</v>
      </c>
    </row>
    <row r="7747" spans="1:1" x14ac:dyDescent="0.2">
      <c r="A7747" s="1" t="s">
        <v>1981</v>
      </c>
    </row>
    <row r="7748" spans="1:1" x14ac:dyDescent="0.2">
      <c r="A7748" s="1" t="s">
        <v>1982</v>
      </c>
    </row>
    <row r="7749" spans="1:1" x14ac:dyDescent="0.2">
      <c r="A7749" s="1" t="s">
        <v>1981</v>
      </c>
    </row>
    <row r="7750" spans="1:1" x14ac:dyDescent="0.2">
      <c r="A7750" s="1" t="s">
        <v>1982</v>
      </c>
    </row>
    <row r="7751" spans="1:1" x14ac:dyDescent="0.2">
      <c r="A7751" s="1" t="s">
        <v>1983</v>
      </c>
    </row>
    <row r="7752" spans="1:1" x14ac:dyDescent="0.2">
      <c r="A7752" s="1" t="s">
        <v>1984</v>
      </c>
    </row>
    <row r="7753" spans="1:1" x14ac:dyDescent="0.2">
      <c r="A7753" s="1" t="s">
        <v>1985</v>
      </c>
    </row>
    <row r="7754" spans="1:1" x14ac:dyDescent="0.2">
      <c r="A7754" s="1" t="s">
        <v>1986</v>
      </c>
    </row>
    <row r="7755" spans="1:1" x14ac:dyDescent="0.2">
      <c r="A7755" s="1" t="s">
        <v>1987</v>
      </c>
    </row>
    <row r="7756" spans="1:1" x14ac:dyDescent="0.2">
      <c r="A7756" s="1" t="s">
        <v>1988</v>
      </c>
    </row>
    <row r="7757" spans="1:1" x14ac:dyDescent="0.2">
      <c r="A7757" s="1" t="s">
        <v>1989</v>
      </c>
    </row>
    <row r="7758" spans="1:1" x14ac:dyDescent="0.2">
      <c r="A7758" s="1" t="s">
        <v>1990</v>
      </c>
    </row>
    <row r="7759" spans="1:1" x14ac:dyDescent="0.2">
      <c r="A7759" s="1" t="s">
        <v>1990</v>
      </c>
    </row>
    <row r="7760" spans="1:1" x14ac:dyDescent="0.2">
      <c r="A7760" s="1" t="s">
        <v>1981</v>
      </c>
    </row>
    <row r="7761" spans="1:1" x14ac:dyDescent="0.2">
      <c r="A7761" s="1" t="s">
        <v>1982</v>
      </c>
    </row>
    <row r="7762" spans="1:1" x14ac:dyDescent="0.2">
      <c r="A7762" s="1" t="s">
        <v>1991</v>
      </c>
    </row>
    <row r="7763" spans="1:1" x14ac:dyDescent="0.2">
      <c r="A7763" s="1" t="s">
        <v>1992</v>
      </c>
    </row>
    <row r="7764" spans="1:1" x14ac:dyDescent="0.2">
      <c r="A7764" s="1" t="s">
        <v>1993</v>
      </c>
    </row>
    <row r="7765" spans="1:1" x14ac:dyDescent="0.2">
      <c r="A7765" s="1" t="s">
        <v>1994</v>
      </c>
    </row>
    <row r="7766" spans="1:1" x14ac:dyDescent="0.2">
      <c r="A7766" s="1" t="s">
        <v>1995</v>
      </c>
    </row>
    <row r="7767" spans="1:1" x14ac:dyDescent="0.2">
      <c r="A7767" s="1" t="s">
        <v>1996</v>
      </c>
    </row>
    <row r="7768" spans="1:1" x14ac:dyDescent="0.2">
      <c r="A7768" s="1" t="s">
        <v>1997</v>
      </c>
    </row>
    <row r="7769" spans="1:1" x14ac:dyDescent="0.2">
      <c r="A7769" s="1" t="s">
        <v>1998</v>
      </c>
    </row>
    <row r="7770" spans="1:1" x14ac:dyDescent="0.2">
      <c r="A7770" s="1" t="s">
        <v>1999</v>
      </c>
    </row>
    <row r="7771" spans="1:1" x14ac:dyDescent="0.2">
      <c r="A7771" s="1" t="s">
        <v>2000</v>
      </c>
    </row>
    <row r="7772" spans="1:1" x14ac:dyDescent="0.2">
      <c r="A7772" s="1" t="s">
        <v>2001</v>
      </c>
    </row>
    <row r="7773" spans="1:1" x14ac:dyDescent="0.2">
      <c r="A7773" s="1" t="s">
        <v>2002</v>
      </c>
    </row>
    <row r="7774" spans="1:1" x14ac:dyDescent="0.2">
      <c r="A7774" s="1" t="s">
        <v>2003</v>
      </c>
    </row>
    <row r="7775" spans="1:1" x14ac:dyDescent="0.2">
      <c r="A7775" s="1" t="s">
        <v>2004</v>
      </c>
    </row>
    <row r="7776" spans="1:1" x14ac:dyDescent="0.2">
      <c r="A7776" s="1" t="s">
        <v>2005</v>
      </c>
    </row>
    <row r="7777" spans="1:1" x14ac:dyDescent="0.2">
      <c r="A7777" s="1" t="s">
        <v>2006</v>
      </c>
    </row>
    <row r="7778" spans="1:1" x14ac:dyDescent="0.2">
      <c r="A7778" s="1" t="s">
        <v>2007</v>
      </c>
    </row>
    <row r="7779" spans="1:1" x14ac:dyDescent="0.2">
      <c r="A7779" s="1" t="s">
        <v>2008</v>
      </c>
    </row>
    <row r="7780" spans="1:1" x14ac:dyDescent="0.2">
      <c r="A7780" s="1" t="s">
        <v>2009</v>
      </c>
    </row>
    <row r="7781" spans="1:1" x14ac:dyDescent="0.2">
      <c r="A7781" s="1" t="s">
        <v>2010</v>
      </c>
    </row>
    <row r="7782" spans="1:1" x14ac:dyDescent="0.2">
      <c r="A7782" s="1" t="s">
        <v>2011</v>
      </c>
    </row>
    <row r="7783" spans="1:1" x14ac:dyDescent="0.2">
      <c r="A7783" s="1" t="s">
        <v>2012</v>
      </c>
    </row>
    <row r="7784" spans="1:1" x14ac:dyDescent="0.2">
      <c r="A7784" s="1" t="s">
        <v>2013</v>
      </c>
    </row>
    <row r="7785" spans="1:1" x14ac:dyDescent="0.2">
      <c r="A7785" s="1" t="s">
        <v>2014</v>
      </c>
    </row>
    <row r="7786" spans="1:1" x14ac:dyDescent="0.2">
      <c r="A7786" s="1" t="s">
        <v>2015</v>
      </c>
    </row>
    <row r="7787" spans="1:1" x14ac:dyDescent="0.2">
      <c r="A7787" s="1" t="s">
        <v>2016</v>
      </c>
    </row>
    <row r="7788" spans="1:1" x14ac:dyDescent="0.2">
      <c r="A7788" s="1" t="s">
        <v>2005</v>
      </c>
    </row>
    <row r="7789" spans="1:1" x14ac:dyDescent="0.2">
      <c r="A7789" s="1" t="s">
        <v>2017</v>
      </c>
    </row>
    <row r="7790" spans="1:1" x14ac:dyDescent="0.2">
      <c r="A7790" s="1" t="s">
        <v>2018</v>
      </c>
    </row>
    <row r="7791" spans="1:1" x14ac:dyDescent="0.2">
      <c r="A7791" s="1" t="s">
        <v>2019</v>
      </c>
    </row>
    <row r="7792" spans="1:1" x14ac:dyDescent="0.2">
      <c r="A7792" s="1" t="s">
        <v>2020</v>
      </c>
    </row>
    <row r="7793" spans="1:1" x14ac:dyDescent="0.2">
      <c r="A7793" s="1" t="s">
        <v>2021</v>
      </c>
    </row>
    <row r="7794" spans="1:1" x14ac:dyDescent="0.2">
      <c r="A7794" s="1" t="s">
        <v>2022</v>
      </c>
    </row>
    <row r="7795" spans="1:1" x14ac:dyDescent="0.2">
      <c r="A7795" s="1" t="s">
        <v>2023</v>
      </c>
    </row>
    <row r="7796" spans="1:1" x14ac:dyDescent="0.2">
      <c r="A7796" s="1" t="s">
        <v>2024</v>
      </c>
    </row>
    <row r="7797" spans="1:1" x14ac:dyDescent="0.2">
      <c r="A7797" s="1" t="s">
        <v>2025</v>
      </c>
    </row>
    <row r="7798" spans="1:1" x14ac:dyDescent="0.2">
      <c r="A7798" s="1" t="s">
        <v>2026</v>
      </c>
    </row>
    <row r="7799" spans="1:1" x14ac:dyDescent="0.2">
      <c r="A7799" s="1" t="s">
        <v>2027</v>
      </c>
    </row>
    <row r="7800" spans="1:1" x14ac:dyDescent="0.2">
      <c r="A7800" s="1" t="s">
        <v>2028</v>
      </c>
    </row>
    <row r="7801" spans="1:1" x14ac:dyDescent="0.2">
      <c r="A7801" s="1" t="s">
        <v>2029</v>
      </c>
    </row>
    <row r="7802" spans="1:1" x14ac:dyDescent="0.2">
      <c r="A7802" s="1" t="s">
        <v>2018</v>
      </c>
    </row>
    <row r="7803" spans="1:1" x14ac:dyDescent="0.2">
      <c r="A7803" s="1" t="s">
        <v>2030</v>
      </c>
    </row>
    <row r="7804" spans="1:1" x14ac:dyDescent="0.2">
      <c r="A7804" s="1" t="s">
        <v>2020</v>
      </c>
    </row>
    <row r="7805" spans="1:1" x14ac:dyDescent="0.2">
      <c r="A7805" s="1" t="s">
        <v>2021</v>
      </c>
    </row>
    <row r="7806" spans="1:1" x14ac:dyDescent="0.2">
      <c r="A7806" s="1" t="s">
        <v>2022</v>
      </c>
    </row>
    <row r="7807" spans="1:1" x14ac:dyDescent="0.2">
      <c r="A7807" s="1" t="s">
        <v>2023</v>
      </c>
    </row>
    <row r="7808" spans="1:1" x14ac:dyDescent="0.2">
      <c r="A7808" s="1" t="s">
        <v>2031</v>
      </c>
    </row>
    <row r="7809" spans="1:1" x14ac:dyDescent="0.2">
      <c r="A7809" s="1" t="s">
        <v>2025</v>
      </c>
    </row>
    <row r="7810" spans="1:1" x14ac:dyDescent="0.2">
      <c r="A7810" s="1" t="s">
        <v>2026</v>
      </c>
    </row>
    <row r="7811" spans="1:1" x14ac:dyDescent="0.2">
      <c r="A7811" s="1" t="s">
        <v>2027</v>
      </c>
    </row>
    <row r="7812" spans="1:1" x14ac:dyDescent="0.2">
      <c r="A7812" s="1" t="s">
        <v>2028</v>
      </c>
    </row>
    <row r="7813" spans="1:1" x14ac:dyDescent="0.2">
      <c r="A7813" s="1" t="s">
        <v>2029</v>
      </c>
    </row>
    <row r="7814" spans="1:1" x14ac:dyDescent="0.2">
      <c r="A7814" s="1" t="s">
        <v>2032</v>
      </c>
    </row>
    <row r="7815" spans="1:1" x14ac:dyDescent="0.2">
      <c r="A7815" s="1" t="s">
        <v>2033</v>
      </c>
    </row>
    <row r="7816" spans="1:1" x14ac:dyDescent="0.2">
      <c r="A7816" s="1" t="s">
        <v>2032</v>
      </c>
    </row>
    <row r="7817" spans="1:1" x14ac:dyDescent="0.2">
      <c r="A7817" s="1" t="s">
        <v>2033</v>
      </c>
    </row>
    <row r="7818" spans="1:1" x14ac:dyDescent="0.2">
      <c r="A7818" s="1" t="s">
        <v>2034</v>
      </c>
    </row>
    <row r="7819" spans="1:1" x14ac:dyDescent="0.2">
      <c r="A7819" s="1" t="s">
        <v>2035</v>
      </c>
    </row>
    <row r="7820" spans="1:1" x14ac:dyDescent="0.2">
      <c r="A7820" s="1" t="s">
        <v>2036</v>
      </c>
    </row>
    <row r="7821" spans="1:1" x14ac:dyDescent="0.2">
      <c r="A7821" s="1" t="s">
        <v>2037</v>
      </c>
    </row>
    <row r="7822" spans="1:1" x14ac:dyDescent="0.2">
      <c r="A7822" s="1" t="s">
        <v>2038</v>
      </c>
    </row>
    <row r="7823" spans="1:1" x14ac:dyDescent="0.2">
      <c r="A7823" s="1" t="s">
        <v>2039</v>
      </c>
    </row>
    <row r="7824" spans="1:1" x14ac:dyDescent="0.2">
      <c r="A7824" s="1" t="s">
        <v>2040</v>
      </c>
    </row>
    <row r="7825" spans="1:1" x14ac:dyDescent="0.2">
      <c r="A7825" s="1" t="s">
        <v>2041</v>
      </c>
    </row>
    <row r="7826" spans="1:1" x14ac:dyDescent="0.2">
      <c r="A7826" s="1" t="s">
        <v>2041</v>
      </c>
    </row>
    <row r="7827" spans="1:1" x14ac:dyDescent="0.2">
      <c r="A7827" s="1" t="s">
        <v>2032</v>
      </c>
    </row>
    <row r="7828" spans="1:1" x14ac:dyDescent="0.2">
      <c r="A7828" s="1" t="s">
        <v>2033</v>
      </c>
    </row>
    <row r="7829" spans="1:1" x14ac:dyDescent="0.2">
      <c r="A7829" s="1" t="s">
        <v>2032</v>
      </c>
    </row>
    <row r="7830" spans="1:1" x14ac:dyDescent="0.2">
      <c r="A7830" s="1" t="s">
        <v>2033</v>
      </c>
    </row>
    <row r="7831" spans="1:1" x14ac:dyDescent="0.2">
      <c r="A7831" s="1" t="s">
        <v>2032</v>
      </c>
    </row>
    <row r="7832" spans="1:1" x14ac:dyDescent="0.2">
      <c r="A7832" s="1" t="s">
        <v>2033</v>
      </c>
    </row>
    <row r="7833" spans="1:1" x14ac:dyDescent="0.2">
      <c r="A7833" s="1" t="s">
        <v>2034</v>
      </c>
    </row>
    <row r="7834" spans="1:1" x14ac:dyDescent="0.2">
      <c r="A7834" s="1" t="s">
        <v>2035</v>
      </c>
    </row>
    <row r="7835" spans="1:1" x14ac:dyDescent="0.2">
      <c r="A7835" s="1" t="s">
        <v>2036</v>
      </c>
    </row>
    <row r="7836" spans="1:1" x14ac:dyDescent="0.2">
      <c r="A7836" s="1" t="s">
        <v>2037</v>
      </c>
    </row>
    <row r="7837" spans="1:1" x14ac:dyDescent="0.2">
      <c r="A7837" s="1" t="s">
        <v>2038</v>
      </c>
    </row>
    <row r="7838" spans="1:1" x14ac:dyDescent="0.2">
      <c r="A7838" s="1" t="s">
        <v>2039</v>
      </c>
    </row>
    <row r="7839" spans="1:1" x14ac:dyDescent="0.2">
      <c r="A7839" s="1" t="s">
        <v>2040</v>
      </c>
    </row>
    <row r="7840" spans="1:1" x14ac:dyDescent="0.2">
      <c r="A7840" s="1" t="s">
        <v>2041</v>
      </c>
    </row>
    <row r="7841" spans="1:1" x14ac:dyDescent="0.2">
      <c r="A7841" s="1" t="s">
        <v>2041</v>
      </c>
    </row>
    <row r="7842" spans="1:1" x14ac:dyDescent="0.2">
      <c r="A7842" s="1" t="s">
        <v>2032</v>
      </c>
    </row>
    <row r="7843" spans="1:1" x14ac:dyDescent="0.2">
      <c r="A7843" s="1" t="s">
        <v>2033</v>
      </c>
    </row>
    <row r="7844" spans="1:1" x14ac:dyDescent="0.2">
      <c r="A7844" s="1" t="s">
        <v>2032</v>
      </c>
    </row>
    <row r="7845" spans="1:1" x14ac:dyDescent="0.2">
      <c r="A7845" s="1" t="s">
        <v>2033</v>
      </c>
    </row>
    <row r="7846" spans="1:1" x14ac:dyDescent="0.2">
      <c r="A7846" s="1" t="s">
        <v>2032</v>
      </c>
    </row>
    <row r="7847" spans="1:1" x14ac:dyDescent="0.2">
      <c r="A7847" s="1" t="s">
        <v>2033</v>
      </c>
    </row>
    <row r="7848" spans="1:1" x14ac:dyDescent="0.2">
      <c r="A7848" s="1" t="s">
        <v>2034</v>
      </c>
    </row>
    <row r="7849" spans="1:1" x14ac:dyDescent="0.2">
      <c r="A7849" s="1" t="s">
        <v>2035</v>
      </c>
    </row>
    <row r="7850" spans="1:1" x14ac:dyDescent="0.2">
      <c r="A7850" s="1" t="s">
        <v>2036</v>
      </c>
    </row>
    <row r="7851" spans="1:1" x14ac:dyDescent="0.2">
      <c r="A7851" s="1" t="s">
        <v>2037</v>
      </c>
    </row>
    <row r="7852" spans="1:1" x14ac:dyDescent="0.2">
      <c r="A7852" s="1" t="s">
        <v>2038</v>
      </c>
    </row>
    <row r="7853" spans="1:1" x14ac:dyDescent="0.2">
      <c r="A7853" s="1" t="s">
        <v>2039</v>
      </c>
    </row>
    <row r="7854" spans="1:1" x14ac:dyDescent="0.2">
      <c r="A7854" s="1" t="s">
        <v>2040</v>
      </c>
    </row>
    <row r="7855" spans="1:1" x14ac:dyDescent="0.2">
      <c r="A7855" s="1" t="s">
        <v>2041</v>
      </c>
    </row>
    <row r="7856" spans="1:1" x14ac:dyDescent="0.2">
      <c r="A7856" s="1" t="s">
        <v>2041</v>
      </c>
    </row>
    <row r="7857" spans="1:1" x14ac:dyDescent="0.2">
      <c r="A7857" s="1" t="s">
        <v>2032</v>
      </c>
    </row>
    <row r="7858" spans="1:1" x14ac:dyDescent="0.2">
      <c r="A7858" s="1" t="s">
        <v>2033</v>
      </c>
    </row>
    <row r="7859" spans="1:1" x14ac:dyDescent="0.2">
      <c r="A7859" s="1" t="s">
        <v>2032</v>
      </c>
    </row>
    <row r="7860" spans="1:1" x14ac:dyDescent="0.2">
      <c r="A7860" s="1" t="s">
        <v>2033</v>
      </c>
    </row>
    <row r="7861" spans="1:1" x14ac:dyDescent="0.2">
      <c r="A7861" s="1" t="s">
        <v>2032</v>
      </c>
    </row>
    <row r="7862" spans="1:1" x14ac:dyDescent="0.2">
      <c r="A7862" s="1" t="s">
        <v>2033</v>
      </c>
    </row>
    <row r="7863" spans="1:1" x14ac:dyDescent="0.2">
      <c r="A7863" s="1" t="s">
        <v>2034</v>
      </c>
    </row>
    <row r="7864" spans="1:1" x14ac:dyDescent="0.2">
      <c r="A7864" s="1" t="s">
        <v>2035</v>
      </c>
    </row>
    <row r="7865" spans="1:1" x14ac:dyDescent="0.2">
      <c r="A7865" s="1" t="s">
        <v>2036</v>
      </c>
    </row>
    <row r="7866" spans="1:1" x14ac:dyDescent="0.2">
      <c r="A7866" s="1" t="s">
        <v>2037</v>
      </c>
    </row>
    <row r="7867" spans="1:1" x14ac:dyDescent="0.2">
      <c r="A7867" s="1" t="s">
        <v>2038</v>
      </c>
    </row>
    <row r="7868" spans="1:1" x14ac:dyDescent="0.2">
      <c r="A7868" s="1" t="s">
        <v>2039</v>
      </c>
    </row>
    <row r="7869" spans="1:1" x14ac:dyDescent="0.2">
      <c r="A7869" s="1" t="s">
        <v>2040</v>
      </c>
    </row>
    <row r="7870" spans="1:1" x14ac:dyDescent="0.2">
      <c r="A7870" s="1" t="s">
        <v>2041</v>
      </c>
    </row>
    <row r="7871" spans="1:1" x14ac:dyDescent="0.2">
      <c r="A7871" s="1" t="s">
        <v>2041</v>
      </c>
    </row>
    <row r="7872" spans="1:1" x14ac:dyDescent="0.2">
      <c r="A7872" s="1" t="s">
        <v>2032</v>
      </c>
    </row>
    <row r="7873" spans="1:1" x14ac:dyDescent="0.2">
      <c r="A7873" s="1" t="s">
        <v>2033</v>
      </c>
    </row>
    <row r="7874" spans="1:1" x14ac:dyDescent="0.2">
      <c r="A7874" s="1" t="s">
        <v>2032</v>
      </c>
    </row>
    <row r="7875" spans="1:1" x14ac:dyDescent="0.2">
      <c r="A7875" s="1" t="s">
        <v>2033</v>
      </c>
    </row>
    <row r="7876" spans="1:1" x14ac:dyDescent="0.2">
      <c r="A7876" s="1" t="s">
        <v>2032</v>
      </c>
    </row>
    <row r="7877" spans="1:1" x14ac:dyDescent="0.2">
      <c r="A7877" s="1" t="s">
        <v>2033</v>
      </c>
    </row>
    <row r="7878" spans="1:1" x14ac:dyDescent="0.2">
      <c r="A7878" s="1" t="s">
        <v>2034</v>
      </c>
    </row>
    <row r="7879" spans="1:1" x14ac:dyDescent="0.2">
      <c r="A7879" s="1" t="s">
        <v>2035</v>
      </c>
    </row>
    <row r="7880" spans="1:1" x14ac:dyDescent="0.2">
      <c r="A7880" s="1" t="s">
        <v>2036</v>
      </c>
    </row>
    <row r="7881" spans="1:1" x14ac:dyDescent="0.2">
      <c r="A7881" s="1" t="s">
        <v>2037</v>
      </c>
    </row>
    <row r="7882" spans="1:1" x14ac:dyDescent="0.2">
      <c r="A7882" s="1" t="s">
        <v>2038</v>
      </c>
    </row>
    <row r="7883" spans="1:1" x14ac:dyDescent="0.2">
      <c r="A7883" s="1" t="s">
        <v>2039</v>
      </c>
    </row>
    <row r="7884" spans="1:1" x14ac:dyDescent="0.2">
      <c r="A7884" s="1" t="s">
        <v>2040</v>
      </c>
    </row>
    <row r="7885" spans="1:1" x14ac:dyDescent="0.2">
      <c r="A7885" s="1" t="s">
        <v>2041</v>
      </c>
    </row>
    <row r="7886" spans="1:1" x14ac:dyDescent="0.2">
      <c r="A7886" s="1" t="s">
        <v>2041</v>
      </c>
    </row>
    <row r="7887" spans="1:1" x14ac:dyDescent="0.2">
      <c r="A7887" s="1" t="s">
        <v>2032</v>
      </c>
    </row>
    <row r="7888" spans="1:1" x14ac:dyDescent="0.2">
      <c r="A7888" s="1" t="s">
        <v>2033</v>
      </c>
    </row>
    <row r="7889" spans="1:1" x14ac:dyDescent="0.2">
      <c r="A7889" s="1" t="s">
        <v>2032</v>
      </c>
    </row>
    <row r="7890" spans="1:1" x14ac:dyDescent="0.2">
      <c r="A7890" s="1" t="s">
        <v>2033</v>
      </c>
    </row>
    <row r="7891" spans="1:1" x14ac:dyDescent="0.2">
      <c r="A7891" s="1" t="s">
        <v>2032</v>
      </c>
    </row>
    <row r="7892" spans="1:1" x14ac:dyDescent="0.2">
      <c r="A7892" s="1" t="s">
        <v>2033</v>
      </c>
    </row>
    <row r="7893" spans="1:1" x14ac:dyDescent="0.2">
      <c r="A7893" s="1" t="s">
        <v>2034</v>
      </c>
    </row>
    <row r="7894" spans="1:1" x14ac:dyDescent="0.2">
      <c r="A7894" s="1" t="s">
        <v>2035</v>
      </c>
    </row>
    <row r="7895" spans="1:1" x14ac:dyDescent="0.2">
      <c r="A7895" s="1" t="s">
        <v>2036</v>
      </c>
    </row>
    <row r="7896" spans="1:1" x14ac:dyDescent="0.2">
      <c r="A7896" s="1" t="s">
        <v>2037</v>
      </c>
    </row>
    <row r="7897" spans="1:1" x14ac:dyDescent="0.2">
      <c r="A7897" s="1" t="s">
        <v>2038</v>
      </c>
    </row>
    <row r="7898" spans="1:1" x14ac:dyDescent="0.2">
      <c r="A7898" s="1" t="s">
        <v>2039</v>
      </c>
    </row>
    <row r="7899" spans="1:1" x14ac:dyDescent="0.2">
      <c r="A7899" s="1" t="s">
        <v>2040</v>
      </c>
    </row>
    <row r="7900" spans="1:1" x14ac:dyDescent="0.2">
      <c r="A7900" s="1" t="s">
        <v>2041</v>
      </c>
    </row>
    <row r="7901" spans="1:1" x14ac:dyDescent="0.2">
      <c r="A7901" s="1" t="s">
        <v>2041</v>
      </c>
    </row>
    <row r="7902" spans="1:1" x14ac:dyDescent="0.2">
      <c r="A7902" s="1" t="s">
        <v>2032</v>
      </c>
    </row>
    <row r="7903" spans="1:1" x14ac:dyDescent="0.2">
      <c r="A7903" s="1" t="s">
        <v>2033</v>
      </c>
    </row>
    <row r="7904" spans="1:1" x14ac:dyDescent="0.2">
      <c r="A7904" s="1" t="s">
        <v>2032</v>
      </c>
    </row>
    <row r="7905" spans="1:1" x14ac:dyDescent="0.2">
      <c r="A7905" s="1" t="s">
        <v>2033</v>
      </c>
    </row>
    <row r="7906" spans="1:1" x14ac:dyDescent="0.2">
      <c r="A7906" s="1" t="s">
        <v>2032</v>
      </c>
    </row>
    <row r="7907" spans="1:1" x14ac:dyDescent="0.2">
      <c r="A7907" s="1" t="s">
        <v>2033</v>
      </c>
    </row>
    <row r="7908" spans="1:1" x14ac:dyDescent="0.2">
      <c r="A7908" s="1" t="s">
        <v>2034</v>
      </c>
    </row>
    <row r="7909" spans="1:1" x14ac:dyDescent="0.2">
      <c r="A7909" s="1" t="s">
        <v>2035</v>
      </c>
    </row>
    <row r="7910" spans="1:1" x14ac:dyDescent="0.2">
      <c r="A7910" s="1" t="s">
        <v>2036</v>
      </c>
    </row>
    <row r="7911" spans="1:1" x14ac:dyDescent="0.2">
      <c r="A7911" s="1" t="s">
        <v>2037</v>
      </c>
    </row>
    <row r="7912" spans="1:1" x14ac:dyDescent="0.2">
      <c r="A7912" s="1" t="s">
        <v>2038</v>
      </c>
    </row>
    <row r="7913" spans="1:1" x14ac:dyDescent="0.2">
      <c r="A7913" s="1" t="s">
        <v>2039</v>
      </c>
    </row>
    <row r="7914" spans="1:1" x14ac:dyDescent="0.2">
      <c r="A7914" s="1" t="s">
        <v>2040</v>
      </c>
    </row>
    <row r="7915" spans="1:1" x14ac:dyDescent="0.2">
      <c r="A7915" s="1" t="s">
        <v>2042</v>
      </c>
    </row>
    <row r="7916" spans="1:1" x14ac:dyDescent="0.2">
      <c r="A7916" s="1" t="s">
        <v>2042</v>
      </c>
    </row>
    <row r="7917" spans="1:1" x14ac:dyDescent="0.2">
      <c r="A7917" s="1" t="s">
        <v>2043</v>
      </c>
    </row>
    <row r="7918" spans="1:1" x14ac:dyDescent="0.2">
      <c r="A7918" s="1" t="s">
        <v>2044</v>
      </c>
    </row>
    <row r="7919" spans="1:1" x14ac:dyDescent="0.2">
      <c r="A7919" s="1" t="s">
        <v>2043</v>
      </c>
    </row>
    <row r="7920" spans="1:1" x14ac:dyDescent="0.2">
      <c r="A7920" s="1" t="s">
        <v>2044</v>
      </c>
    </row>
    <row r="7921" spans="1:1" x14ac:dyDescent="0.2">
      <c r="A7921" s="1" t="s">
        <v>2043</v>
      </c>
    </row>
    <row r="7922" spans="1:1" x14ac:dyDescent="0.2">
      <c r="A7922" s="1" t="s">
        <v>2044</v>
      </c>
    </row>
    <row r="7923" spans="1:1" x14ac:dyDescent="0.2">
      <c r="A7923" s="1" t="s">
        <v>2045</v>
      </c>
    </row>
    <row r="7924" spans="1:1" x14ac:dyDescent="0.2">
      <c r="A7924" s="1" t="s">
        <v>2046</v>
      </c>
    </row>
    <row r="7925" spans="1:1" x14ac:dyDescent="0.2">
      <c r="A7925" s="1" t="s">
        <v>2047</v>
      </c>
    </row>
    <row r="7926" spans="1:1" x14ac:dyDescent="0.2">
      <c r="A7926" s="1" t="s">
        <v>2048</v>
      </c>
    </row>
    <row r="7927" spans="1:1" x14ac:dyDescent="0.2">
      <c r="A7927" s="1" t="s">
        <v>2049</v>
      </c>
    </row>
    <row r="7928" spans="1:1" x14ac:dyDescent="0.2">
      <c r="A7928" s="1" t="s">
        <v>2050</v>
      </c>
    </row>
    <row r="7929" spans="1:1" x14ac:dyDescent="0.2">
      <c r="A7929" s="1" t="s">
        <v>2051</v>
      </c>
    </row>
    <row r="7930" spans="1:1" x14ac:dyDescent="0.2">
      <c r="A7930" s="1" t="s">
        <v>2042</v>
      </c>
    </row>
    <row r="7931" spans="1:1" x14ac:dyDescent="0.2">
      <c r="A7931" s="1" t="s">
        <v>2042</v>
      </c>
    </row>
    <row r="7932" spans="1:1" x14ac:dyDescent="0.2">
      <c r="A7932" s="1" t="s">
        <v>2043</v>
      </c>
    </row>
    <row r="7933" spans="1:1" x14ac:dyDescent="0.2">
      <c r="A7933" s="1" t="s">
        <v>2044</v>
      </c>
    </row>
    <row r="7934" spans="1:1" x14ac:dyDescent="0.2">
      <c r="A7934" s="1" t="s">
        <v>2062</v>
      </c>
    </row>
    <row r="7935" spans="1:1" x14ac:dyDescent="0.2">
      <c r="A7935" s="1" t="s">
        <v>2062</v>
      </c>
    </row>
    <row r="7936" spans="1:1" x14ac:dyDescent="0.2">
      <c r="A7936" s="1" t="s">
        <v>2062</v>
      </c>
    </row>
    <row r="7937" spans="1:1" x14ac:dyDescent="0.2">
      <c r="A7937" s="1" t="s">
        <v>2063</v>
      </c>
    </row>
    <row r="7938" spans="1:1" x14ac:dyDescent="0.2">
      <c r="A7938" s="1" t="s">
        <v>2063</v>
      </c>
    </row>
    <row r="7939" spans="1:1" x14ac:dyDescent="0.2">
      <c r="A7939" s="1" t="s">
        <v>2063</v>
      </c>
    </row>
    <row r="7940" spans="1:1" x14ac:dyDescent="0.2">
      <c r="A7940" s="1" t="s">
        <v>2063</v>
      </c>
    </row>
    <row r="7941" spans="1:1" x14ac:dyDescent="0.2">
      <c r="A7941" s="1" t="s">
        <v>2063</v>
      </c>
    </row>
    <row r="7942" spans="1:1" x14ac:dyDescent="0.2">
      <c r="A7942" s="1" t="s">
        <v>2064</v>
      </c>
    </row>
    <row r="7943" spans="1:1" x14ac:dyDescent="0.2">
      <c r="A7943" s="1" t="s">
        <v>2064</v>
      </c>
    </row>
    <row r="7944" spans="1:1" x14ac:dyDescent="0.2">
      <c r="A7944" s="1" t="s">
        <v>2065</v>
      </c>
    </row>
    <row r="7945" spans="1:1" x14ac:dyDescent="0.2">
      <c r="A7945" s="1" t="s">
        <v>2066</v>
      </c>
    </row>
    <row r="7946" spans="1:1" x14ac:dyDescent="0.2">
      <c r="A7946" s="1" t="s">
        <v>2067</v>
      </c>
    </row>
    <row r="7947" spans="1:1" x14ac:dyDescent="0.2">
      <c r="A7947" s="1" t="s">
        <v>2068</v>
      </c>
    </row>
    <row r="7948" spans="1:1" x14ac:dyDescent="0.2">
      <c r="A7948" s="1" t="s">
        <v>2069</v>
      </c>
    </row>
    <row r="7949" spans="1:1" x14ac:dyDescent="0.2">
      <c r="A7949" s="1" t="s">
        <v>2070</v>
      </c>
    </row>
    <row r="7950" spans="1:1" x14ac:dyDescent="0.2">
      <c r="A7950" s="1" t="s">
        <v>2071</v>
      </c>
    </row>
    <row r="7951" spans="1:1" x14ac:dyDescent="0.2">
      <c r="A7951" s="1" t="s">
        <v>2072</v>
      </c>
    </row>
    <row r="7952" spans="1:1" x14ac:dyDescent="0.2">
      <c r="A7952" s="1" t="s">
        <v>2072</v>
      </c>
    </row>
    <row r="7953" spans="1:1" x14ac:dyDescent="0.2">
      <c r="A7953" s="1" t="s">
        <v>2064</v>
      </c>
    </row>
    <row r="7954" spans="1:1" x14ac:dyDescent="0.2">
      <c r="A7954" s="1" t="s">
        <v>2064</v>
      </c>
    </row>
    <row r="7955" spans="1:1" x14ac:dyDescent="0.2">
      <c r="A7955" s="1" t="s">
        <v>2064</v>
      </c>
    </row>
    <row r="7956" spans="1:1" x14ac:dyDescent="0.2">
      <c r="A7956" s="1" t="s">
        <v>2065</v>
      </c>
    </row>
    <row r="7957" spans="1:1" x14ac:dyDescent="0.2">
      <c r="A7957" s="1" t="s">
        <v>2066</v>
      </c>
    </row>
    <row r="7958" spans="1:1" x14ac:dyDescent="0.2">
      <c r="A7958" s="1" t="s">
        <v>2067</v>
      </c>
    </row>
    <row r="7959" spans="1:1" x14ac:dyDescent="0.2">
      <c r="A7959" s="1" t="s">
        <v>2068</v>
      </c>
    </row>
    <row r="7960" spans="1:1" x14ac:dyDescent="0.2">
      <c r="A7960" s="1" t="s">
        <v>2069</v>
      </c>
    </row>
    <row r="7961" spans="1:1" x14ac:dyDescent="0.2">
      <c r="A7961" s="1" t="s">
        <v>2070</v>
      </c>
    </row>
    <row r="7962" spans="1:1" x14ac:dyDescent="0.2">
      <c r="A7962" s="1" t="s">
        <v>2071</v>
      </c>
    </row>
    <row r="7963" spans="1:1" x14ac:dyDescent="0.2">
      <c r="A7963" s="1" t="s">
        <v>2072</v>
      </c>
    </row>
    <row r="7964" spans="1:1" x14ac:dyDescent="0.2">
      <c r="A7964" s="1" t="s">
        <v>2072</v>
      </c>
    </row>
    <row r="7965" spans="1:1" x14ac:dyDescent="0.2">
      <c r="A7965" s="1" t="s">
        <v>2064</v>
      </c>
    </row>
    <row r="7966" spans="1:1" x14ac:dyDescent="0.2">
      <c r="A7966" s="1" t="s">
        <v>2064</v>
      </c>
    </row>
    <row r="7967" spans="1:1" x14ac:dyDescent="0.2">
      <c r="A7967" s="1" t="s">
        <v>2064</v>
      </c>
    </row>
    <row r="7968" spans="1:1" x14ac:dyDescent="0.2">
      <c r="A7968" s="1" t="s">
        <v>2065</v>
      </c>
    </row>
    <row r="7969" spans="1:1" x14ac:dyDescent="0.2">
      <c r="A7969" s="1" t="s">
        <v>2066</v>
      </c>
    </row>
    <row r="7970" spans="1:1" x14ac:dyDescent="0.2">
      <c r="A7970" s="1" t="s">
        <v>2067</v>
      </c>
    </row>
    <row r="7971" spans="1:1" x14ac:dyDescent="0.2">
      <c r="A7971" s="1" t="s">
        <v>2068</v>
      </c>
    </row>
    <row r="7972" spans="1:1" x14ac:dyDescent="0.2">
      <c r="A7972" s="1" t="s">
        <v>2069</v>
      </c>
    </row>
    <row r="7973" spans="1:1" x14ac:dyDescent="0.2">
      <c r="A7973" s="1" t="s">
        <v>2070</v>
      </c>
    </row>
    <row r="7974" spans="1:1" x14ac:dyDescent="0.2">
      <c r="A7974" s="1" t="s">
        <v>2071</v>
      </c>
    </row>
    <row r="7975" spans="1:1" x14ac:dyDescent="0.2">
      <c r="A7975" s="1" t="s">
        <v>2072</v>
      </c>
    </row>
    <row r="7976" spans="1:1" x14ac:dyDescent="0.2">
      <c r="A7976" s="1" t="s">
        <v>2072</v>
      </c>
    </row>
    <row r="7977" spans="1:1" x14ac:dyDescent="0.2">
      <c r="A7977" s="1" t="s">
        <v>2064</v>
      </c>
    </row>
    <row r="7978" spans="1:1" x14ac:dyDescent="0.2">
      <c r="A7978" s="1" t="s">
        <v>2064</v>
      </c>
    </row>
    <row r="7979" spans="1:1" x14ac:dyDescent="0.2">
      <c r="A7979" s="1" t="s">
        <v>2064</v>
      </c>
    </row>
    <row r="7980" spans="1:1" x14ac:dyDescent="0.2">
      <c r="A7980" s="1" t="s">
        <v>2065</v>
      </c>
    </row>
    <row r="7981" spans="1:1" x14ac:dyDescent="0.2">
      <c r="A7981" s="1" t="s">
        <v>2066</v>
      </c>
    </row>
    <row r="7982" spans="1:1" x14ac:dyDescent="0.2">
      <c r="A7982" s="1" t="s">
        <v>2067</v>
      </c>
    </row>
    <row r="7983" spans="1:1" x14ac:dyDescent="0.2">
      <c r="A7983" s="1" t="s">
        <v>2068</v>
      </c>
    </row>
    <row r="7984" spans="1:1" x14ac:dyDescent="0.2">
      <c r="A7984" s="1" t="s">
        <v>2069</v>
      </c>
    </row>
    <row r="7985" spans="1:1" x14ac:dyDescent="0.2">
      <c r="A7985" s="1" t="s">
        <v>2070</v>
      </c>
    </row>
    <row r="7986" spans="1:1" x14ac:dyDescent="0.2">
      <c r="A7986" s="1" t="s">
        <v>2071</v>
      </c>
    </row>
    <row r="7987" spans="1:1" x14ac:dyDescent="0.2">
      <c r="A7987" s="1" t="s">
        <v>2072</v>
      </c>
    </row>
    <row r="7988" spans="1:1" x14ac:dyDescent="0.2">
      <c r="A7988" s="1" t="s">
        <v>2072</v>
      </c>
    </row>
    <row r="7989" spans="1:1" x14ac:dyDescent="0.2">
      <c r="A7989" s="1" t="s">
        <v>2064</v>
      </c>
    </row>
    <row r="7990" spans="1:1" x14ac:dyDescent="0.2">
      <c r="A7990" s="1" t="s">
        <v>2064</v>
      </c>
    </row>
    <row r="7991" spans="1:1" x14ac:dyDescent="0.2">
      <c r="A7991" s="1" t="s">
        <v>2064</v>
      </c>
    </row>
    <row r="7992" spans="1:1" x14ac:dyDescent="0.2">
      <c r="A7992" s="1" t="s">
        <v>2065</v>
      </c>
    </row>
    <row r="7993" spans="1:1" x14ac:dyDescent="0.2">
      <c r="A7993" s="1" t="s">
        <v>2066</v>
      </c>
    </row>
    <row r="7994" spans="1:1" x14ac:dyDescent="0.2">
      <c r="A7994" s="1" t="s">
        <v>2067</v>
      </c>
    </row>
    <row r="7995" spans="1:1" x14ac:dyDescent="0.2">
      <c r="A7995" s="1" t="s">
        <v>2068</v>
      </c>
    </row>
    <row r="7996" spans="1:1" x14ac:dyDescent="0.2">
      <c r="A7996" s="1" t="s">
        <v>2069</v>
      </c>
    </row>
    <row r="7997" spans="1:1" x14ac:dyDescent="0.2">
      <c r="A7997" s="1" t="s">
        <v>2070</v>
      </c>
    </row>
    <row r="7998" spans="1:1" x14ac:dyDescent="0.2">
      <c r="A7998" s="1" t="s">
        <v>2071</v>
      </c>
    </row>
    <row r="7999" spans="1:1" x14ac:dyDescent="0.2">
      <c r="A7999" s="1" t="s">
        <v>2072</v>
      </c>
    </row>
    <row r="8000" spans="1:1" x14ac:dyDescent="0.2">
      <c r="A8000" s="1" t="s">
        <v>2072</v>
      </c>
    </row>
    <row r="8001" spans="1:1" x14ac:dyDescent="0.2">
      <c r="A8001" s="1" t="s">
        <v>2064</v>
      </c>
    </row>
    <row r="8002" spans="1:1" x14ac:dyDescent="0.2">
      <c r="A8002" s="1" t="s">
        <v>2064</v>
      </c>
    </row>
    <row r="8003" spans="1:1" x14ac:dyDescent="0.2">
      <c r="A8003" s="1" t="s">
        <v>2064</v>
      </c>
    </row>
    <row r="8004" spans="1:1" x14ac:dyDescent="0.2">
      <c r="A8004" s="1" t="s">
        <v>2065</v>
      </c>
    </row>
    <row r="8005" spans="1:1" x14ac:dyDescent="0.2">
      <c r="A8005" s="1" t="s">
        <v>2066</v>
      </c>
    </row>
    <row r="8006" spans="1:1" x14ac:dyDescent="0.2">
      <c r="A8006" s="1" t="s">
        <v>2067</v>
      </c>
    </row>
    <row r="8007" spans="1:1" x14ac:dyDescent="0.2">
      <c r="A8007" s="1" t="s">
        <v>2068</v>
      </c>
    </row>
    <row r="8008" spans="1:1" x14ac:dyDescent="0.2">
      <c r="A8008" s="1" t="s">
        <v>2069</v>
      </c>
    </row>
    <row r="8009" spans="1:1" x14ac:dyDescent="0.2">
      <c r="A8009" s="1" t="s">
        <v>2070</v>
      </c>
    </row>
    <row r="8010" spans="1:1" x14ac:dyDescent="0.2">
      <c r="A8010" s="1" t="s">
        <v>2071</v>
      </c>
    </row>
    <row r="8011" spans="1:1" x14ac:dyDescent="0.2">
      <c r="A8011" s="1" t="s">
        <v>2072</v>
      </c>
    </row>
    <row r="8012" spans="1:1" x14ac:dyDescent="0.2">
      <c r="A8012" s="1" t="s">
        <v>2072</v>
      </c>
    </row>
    <row r="8013" spans="1:1" x14ac:dyDescent="0.2">
      <c r="A8013" s="1" t="s">
        <v>2064</v>
      </c>
    </row>
    <row r="8014" spans="1:1" x14ac:dyDescent="0.2">
      <c r="A8014" s="1" t="s">
        <v>2064</v>
      </c>
    </row>
    <row r="8015" spans="1:1" x14ac:dyDescent="0.2">
      <c r="A8015" s="1" t="s">
        <v>2064</v>
      </c>
    </row>
    <row r="8016" spans="1:1" x14ac:dyDescent="0.2">
      <c r="A8016" s="1" t="s">
        <v>2065</v>
      </c>
    </row>
    <row r="8017" spans="1:1" x14ac:dyDescent="0.2">
      <c r="A8017" s="1" t="s">
        <v>2066</v>
      </c>
    </row>
    <row r="8018" spans="1:1" x14ac:dyDescent="0.2">
      <c r="A8018" s="1" t="s">
        <v>2067</v>
      </c>
    </row>
    <row r="8019" spans="1:1" x14ac:dyDescent="0.2">
      <c r="A8019" s="1" t="s">
        <v>2068</v>
      </c>
    </row>
    <row r="8020" spans="1:1" x14ac:dyDescent="0.2">
      <c r="A8020" s="1" t="s">
        <v>2069</v>
      </c>
    </row>
    <row r="8021" spans="1:1" x14ac:dyDescent="0.2">
      <c r="A8021" s="1" t="s">
        <v>2070</v>
      </c>
    </row>
    <row r="8022" spans="1:1" x14ac:dyDescent="0.2">
      <c r="A8022" s="1" t="s">
        <v>2071</v>
      </c>
    </row>
    <row r="8023" spans="1:1" x14ac:dyDescent="0.2">
      <c r="A8023" s="1" t="s">
        <v>2072</v>
      </c>
    </row>
    <row r="8024" spans="1:1" x14ac:dyDescent="0.2">
      <c r="A8024" s="1" t="s">
        <v>2072</v>
      </c>
    </row>
    <row r="8025" spans="1:1" x14ac:dyDescent="0.2">
      <c r="A8025" s="1" t="s">
        <v>2064</v>
      </c>
    </row>
    <row r="8026" spans="1:1" x14ac:dyDescent="0.2">
      <c r="A8026" s="1" t="s">
        <v>2073</v>
      </c>
    </row>
    <row r="8027" spans="1:1" x14ac:dyDescent="0.2">
      <c r="A8027" s="1" t="s">
        <v>2073</v>
      </c>
    </row>
    <row r="8028" spans="1:1" x14ac:dyDescent="0.2">
      <c r="A8028" s="1" t="s">
        <v>2074</v>
      </c>
    </row>
    <row r="8029" spans="1:1" x14ac:dyDescent="0.2">
      <c r="A8029" s="1" t="s">
        <v>2075</v>
      </c>
    </row>
    <row r="8030" spans="1:1" x14ac:dyDescent="0.2">
      <c r="A8030" s="1" t="s">
        <v>2076</v>
      </c>
    </row>
    <row r="8031" spans="1:1" x14ac:dyDescent="0.2">
      <c r="A8031" s="1" t="s">
        <v>2077</v>
      </c>
    </row>
    <row r="8032" spans="1:1" x14ac:dyDescent="0.2">
      <c r="A8032" s="1" t="s">
        <v>2078</v>
      </c>
    </row>
    <row r="8033" spans="1:1" x14ac:dyDescent="0.2">
      <c r="A8033" s="1" t="s">
        <v>2079</v>
      </c>
    </row>
    <row r="8034" spans="1:1" x14ac:dyDescent="0.2">
      <c r="A8034" s="1" t="s">
        <v>2080</v>
      </c>
    </row>
    <row r="8035" spans="1:1" x14ac:dyDescent="0.2">
      <c r="A8035" s="1" t="s">
        <v>2081</v>
      </c>
    </row>
    <row r="8036" spans="1:1" x14ac:dyDescent="0.2">
      <c r="A8036" s="1" t="s">
        <v>2081</v>
      </c>
    </row>
    <row r="8037" spans="1:1" x14ac:dyDescent="0.2">
      <c r="A8037" s="1" t="s">
        <v>2073</v>
      </c>
    </row>
    <row r="8038" spans="1:1" x14ac:dyDescent="0.2">
      <c r="A8038" s="1" t="s">
        <v>2073</v>
      </c>
    </row>
    <row r="8039" spans="1:1" x14ac:dyDescent="0.2">
      <c r="A8039" s="1" t="s">
        <v>2073</v>
      </c>
    </row>
    <row r="8040" spans="1:1" x14ac:dyDescent="0.2">
      <c r="A8040" s="1" t="s">
        <v>2074</v>
      </c>
    </row>
    <row r="8041" spans="1:1" x14ac:dyDescent="0.2">
      <c r="A8041" s="1" t="s">
        <v>2075</v>
      </c>
    </row>
    <row r="8042" spans="1:1" x14ac:dyDescent="0.2">
      <c r="A8042" s="1" t="s">
        <v>2076</v>
      </c>
    </row>
    <row r="8043" spans="1:1" x14ac:dyDescent="0.2">
      <c r="A8043" s="1" t="s">
        <v>2077</v>
      </c>
    </row>
    <row r="8044" spans="1:1" x14ac:dyDescent="0.2">
      <c r="A8044" s="1" t="s">
        <v>2078</v>
      </c>
    </row>
    <row r="8045" spans="1:1" x14ac:dyDescent="0.2">
      <c r="A8045" s="1" t="s">
        <v>2079</v>
      </c>
    </row>
    <row r="8046" spans="1:1" x14ac:dyDescent="0.2">
      <c r="A8046" s="1" t="s">
        <v>2080</v>
      </c>
    </row>
    <row r="8047" spans="1:1" x14ac:dyDescent="0.2">
      <c r="A8047" s="1" t="s">
        <v>2081</v>
      </c>
    </row>
    <row r="8048" spans="1:1" x14ac:dyDescent="0.2">
      <c r="A8048" s="1" t="s">
        <v>2081</v>
      </c>
    </row>
    <row r="8049" spans="1:1" x14ac:dyDescent="0.2">
      <c r="A8049" s="1" t="s">
        <v>2073</v>
      </c>
    </row>
    <row r="8050" spans="1:1" x14ac:dyDescent="0.2">
      <c r="A8050" s="1" t="s">
        <v>2073</v>
      </c>
    </row>
    <row r="8051" spans="1:1" x14ac:dyDescent="0.2">
      <c r="A8051" s="1" t="s">
        <v>2073</v>
      </c>
    </row>
    <row r="8052" spans="1:1" x14ac:dyDescent="0.2">
      <c r="A8052" s="1" t="s">
        <v>2074</v>
      </c>
    </row>
    <row r="8053" spans="1:1" x14ac:dyDescent="0.2">
      <c r="A8053" s="1" t="s">
        <v>2075</v>
      </c>
    </row>
    <row r="8054" spans="1:1" x14ac:dyDescent="0.2">
      <c r="A8054" s="1" t="s">
        <v>2076</v>
      </c>
    </row>
    <row r="8055" spans="1:1" x14ac:dyDescent="0.2">
      <c r="A8055" s="1" t="s">
        <v>2077</v>
      </c>
    </row>
    <row r="8056" spans="1:1" x14ac:dyDescent="0.2">
      <c r="A8056" s="1" t="s">
        <v>2078</v>
      </c>
    </row>
    <row r="8057" spans="1:1" x14ac:dyDescent="0.2">
      <c r="A8057" s="1" t="s">
        <v>2079</v>
      </c>
    </row>
    <row r="8058" spans="1:1" x14ac:dyDescent="0.2">
      <c r="A8058" s="1" t="s">
        <v>2080</v>
      </c>
    </row>
    <row r="8059" spans="1:1" x14ac:dyDescent="0.2">
      <c r="A8059" s="1" t="s">
        <v>2081</v>
      </c>
    </row>
    <row r="8060" spans="1:1" x14ac:dyDescent="0.2">
      <c r="A8060" s="1" t="s">
        <v>2081</v>
      </c>
    </row>
    <row r="8061" spans="1:1" x14ac:dyDescent="0.2">
      <c r="A8061" s="1" t="s">
        <v>2073</v>
      </c>
    </row>
    <row r="8062" spans="1:1" x14ac:dyDescent="0.2">
      <c r="A8062" s="1" t="s">
        <v>2073</v>
      </c>
    </row>
    <row r="8063" spans="1:1" x14ac:dyDescent="0.2">
      <c r="A8063" s="1" t="s">
        <v>2073</v>
      </c>
    </row>
    <row r="8064" spans="1:1" x14ac:dyDescent="0.2">
      <c r="A8064" s="1" t="s">
        <v>2074</v>
      </c>
    </row>
    <row r="8065" spans="1:1" x14ac:dyDescent="0.2">
      <c r="A8065" s="1" t="s">
        <v>2075</v>
      </c>
    </row>
    <row r="8066" spans="1:1" x14ac:dyDescent="0.2">
      <c r="A8066" s="1" t="s">
        <v>2076</v>
      </c>
    </row>
    <row r="8067" spans="1:1" x14ac:dyDescent="0.2">
      <c r="A8067" s="1" t="s">
        <v>2077</v>
      </c>
    </row>
    <row r="8068" spans="1:1" x14ac:dyDescent="0.2">
      <c r="A8068" s="1" t="s">
        <v>2078</v>
      </c>
    </row>
    <row r="8069" spans="1:1" x14ac:dyDescent="0.2">
      <c r="A8069" s="1" t="s">
        <v>2079</v>
      </c>
    </row>
    <row r="8070" spans="1:1" x14ac:dyDescent="0.2">
      <c r="A8070" s="1" t="s">
        <v>2080</v>
      </c>
    </row>
    <row r="8071" spans="1:1" x14ac:dyDescent="0.2">
      <c r="A8071" s="1" t="s">
        <v>2081</v>
      </c>
    </row>
    <row r="8072" spans="1:1" x14ac:dyDescent="0.2">
      <c r="A8072" s="1" t="s">
        <v>2081</v>
      </c>
    </row>
    <row r="8073" spans="1:1" x14ac:dyDescent="0.2">
      <c r="A8073" s="1" t="s">
        <v>2073</v>
      </c>
    </row>
    <row r="8074" spans="1:1" x14ac:dyDescent="0.2">
      <c r="A8074" s="1" t="s">
        <v>2073</v>
      </c>
    </row>
    <row r="8075" spans="1:1" x14ac:dyDescent="0.2">
      <c r="A8075" s="1" t="s">
        <v>2073</v>
      </c>
    </row>
    <row r="8076" spans="1:1" x14ac:dyDescent="0.2">
      <c r="A8076" s="1" t="s">
        <v>2074</v>
      </c>
    </row>
    <row r="8077" spans="1:1" x14ac:dyDescent="0.2">
      <c r="A8077" s="1" t="s">
        <v>2075</v>
      </c>
    </row>
    <row r="8078" spans="1:1" x14ac:dyDescent="0.2">
      <c r="A8078" s="1" t="s">
        <v>2076</v>
      </c>
    </row>
    <row r="8079" spans="1:1" x14ac:dyDescent="0.2">
      <c r="A8079" s="1" t="s">
        <v>2077</v>
      </c>
    </row>
    <row r="8080" spans="1:1" x14ac:dyDescent="0.2">
      <c r="A8080" s="1" t="s">
        <v>2078</v>
      </c>
    </row>
    <row r="8081" spans="1:1" x14ac:dyDescent="0.2">
      <c r="A8081" s="1" t="s">
        <v>2079</v>
      </c>
    </row>
    <row r="8082" spans="1:1" x14ac:dyDescent="0.2">
      <c r="A8082" s="1" t="s">
        <v>2080</v>
      </c>
    </row>
    <row r="8083" spans="1:1" x14ac:dyDescent="0.2">
      <c r="A8083" s="1" t="s">
        <v>2081</v>
      </c>
    </row>
    <row r="8084" spans="1:1" x14ac:dyDescent="0.2">
      <c r="A8084" s="1" t="s">
        <v>2081</v>
      </c>
    </row>
    <row r="8085" spans="1:1" x14ac:dyDescent="0.2">
      <c r="A8085" s="1" t="s">
        <v>2073</v>
      </c>
    </row>
    <row r="8086" spans="1:1" x14ac:dyDescent="0.2">
      <c r="A8086" s="1" t="s">
        <v>2073</v>
      </c>
    </row>
    <row r="8087" spans="1:1" x14ac:dyDescent="0.2">
      <c r="A8087" s="1" t="s">
        <v>2073</v>
      </c>
    </row>
    <row r="8088" spans="1:1" x14ac:dyDescent="0.2">
      <c r="A8088" s="1" t="s">
        <v>2074</v>
      </c>
    </row>
    <row r="8089" spans="1:1" x14ac:dyDescent="0.2">
      <c r="A8089" s="1" t="s">
        <v>2075</v>
      </c>
    </row>
    <row r="8090" spans="1:1" x14ac:dyDescent="0.2">
      <c r="A8090" s="1" t="s">
        <v>2076</v>
      </c>
    </row>
    <row r="8091" spans="1:1" x14ac:dyDescent="0.2">
      <c r="A8091" s="1" t="s">
        <v>2077</v>
      </c>
    </row>
    <row r="8092" spans="1:1" x14ac:dyDescent="0.2">
      <c r="A8092" s="1" t="s">
        <v>2078</v>
      </c>
    </row>
    <row r="8093" spans="1:1" x14ac:dyDescent="0.2">
      <c r="A8093" s="1" t="s">
        <v>2079</v>
      </c>
    </row>
    <row r="8094" spans="1:1" x14ac:dyDescent="0.2">
      <c r="A8094" s="1" t="s">
        <v>2080</v>
      </c>
    </row>
    <row r="8095" spans="1:1" x14ac:dyDescent="0.2">
      <c r="A8095" s="1" t="s">
        <v>2081</v>
      </c>
    </row>
    <row r="8096" spans="1:1" x14ac:dyDescent="0.2">
      <c r="A8096" s="1" t="s">
        <v>2081</v>
      </c>
    </row>
    <row r="8097" spans="1:1" x14ac:dyDescent="0.2">
      <c r="A8097" s="1" t="s">
        <v>2073</v>
      </c>
    </row>
    <row r="8098" spans="1:1" x14ac:dyDescent="0.2">
      <c r="A8098" s="1" t="s">
        <v>2073</v>
      </c>
    </row>
    <row r="8099" spans="1:1" x14ac:dyDescent="0.2">
      <c r="A8099" s="1" t="s">
        <v>2073</v>
      </c>
    </row>
    <row r="8100" spans="1:1" x14ac:dyDescent="0.2">
      <c r="A8100" s="1" t="s">
        <v>2074</v>
      </c>
    </row>
    <row r="8101" spans="1:1" x14ac:dyDescent="0.2">
      <c r="A8101" s="1" t="s">
        <v>2075</v>
      </c>
    </row>
    <row r="8102" spans="1:1" x14ac:dyDescent="0.2">
      <c r="A8102" s="1" t="s">
        <v>2076</v>
      </c>
    </row>
    <row r="8103" spans="1:1" x14ac:dyDescent="0.2">
      <c r="A8103" s="1" t="s">
        <v>2077</v>
      </c>
    </row>
    <row r="8104" spans="1:1" x14ac:dyDescent="0.2">
      <c r="A8104" s="1" t="s">
        <v>2078</v>
      </c>
    </row>
    <row r="8105" spans="1:1" x14ac:dyDescent="0.2">
      <c r="A8105" s="1" t="s">
        <v>2079</v>
      </c>
    </row>
    <row r="8106" spans="1:1" x14ac:dyDescent="0.2">
      <c r="A8106" s="1" t="s">
        <v>2080</v>
      </c>
    </row>
    <row r="8107" spans="1:1" x14ac:dyDescent="0.2">
      <c r="A8107" s="1" t="s">
        <v>2081</v>
      </c>
    </row>
    <row r="8108" spans="1:1" x14ac:dyDescent="0.2">
      <c r="A8108" s="1" t="s">
        <v>2081</v>
      </c>
    </row>
    <row r="8109" spans="1:1" x14ac:dyDescent="0.2">
      <c r="A8109" s="1" t="s">
        <v>2073</v>
      </c>
    </row>
    <row r="8110" spans="1:1" x14ac:dyDescent="0.2">
      <c r="A8110" s="1" t="s">
        <v>2082</v>
      </c>
    </row>
    <row r="8111" spans="1:1" x14ac:dyDescent="0.2">
      <c r="A8111" s="1" t="s">
        <v>2082</v>
      </c>
    </row>
    <row r="8112" spans="1:1" x14ac:dyDescent="0.2">
      <c r="A8112" s="1" t="s">
        <v>2083</v>
      </c>
    </row>
    <row r="8113" spans="1:1" x14ac:dyDescent="0.2">
      <c r="A8113" s="1" t="s">
        <v>2084</v>
      </c>
    </row>
    <row r="8114" spans="1:1" x14ac:dyDescent="0.2">
      <c r="A8114" s="1" t="s">
        <v>2085</v>
      </c>
    </row>
    <row r="8115" spans="1:1" x14ac:dyDescent="0.2">
      <c r="A8115" s="1" t="s">
        <v>2086</v>
      </c>
    </row>
    <row r="8116" spans="1:1" x14ac:dyDescent="0.2">
      <c r="A8116" s="1" t="s">
        <v>2087</v>
      </c>
    </row>
    <row r="8117" spans="1:1" x14ac:dyDescent="0.2">
      <c r="A8117" s="1" t="s">
        <v>2088</v>
      </c>
    </row>
    <row r="8118" spans="1:1" x14ac:dyDescent="0.2">
      <c r="A8118" s="1" t="s">
        <v>2089</v>
      </c>
    </row>
    <row r="8119" spans="1:1" x14ac:dyDescent="0.2">
      <c r="A8119" s="1" t="s">
        <v>2090</v>
      </c>
    </row>
    <row r="8120" spans="1:1" x14ac:dyDescent="0.2">
      <c r="A8120" s="1" t="s">
        <v>2090</v>
      </c>
    </row>
    <row r="8121" spans="1:1" x14ac:dyDescent="0.2">
      <c r="A8121" s="1" t="s">
        <v>2082</v>
      </c>
    </row>
    <row r="8122" spans="1:1" x14ac:dyDescent="0.2">
      <c r="A8122" s="1" t="s">
        <v>2082</v>
      </c>
    </row>
    <row r="8123" spans="1:1" x14ac:dyDescent="0.2">
      <c r="A8123" s="1" t="s">
        <v>2082</v>
      </c>
    </row>
    <row r="8124" spans="1:1" x14ac:dyDescent="0.2">
      <c r="A8124" s="1" t="s">
        <v>2083</v>
      </c>
    </row>
    <row r="8125" spans="1:1" x14ac:dyDescent="0.2">
      <c r="A8125" s="1" t="s">
        <v>2084</v>
      </c>
    </row>
    <row r="8126" spans="1:1" x14ac:dyDescent="0.2">
      <c r="A8126" s="1" t="s">
        <v>2085</v>
      </c>
    </row>
    <row r="8127" spans="1:1" x14ac:dyDescent="0.2">
      <c r="A8127" s="1" t="s">
        <v>2086</v>
      </c>
    </row>
    <row r="8128" spans="1:1" x14ac:dyDescent="0.2">
      <c r="A8128" s="1" t="s">
        <v>2087</v>
      </c>
    </row>
    <row r="8129" spans="1:1" x14ac:dyDescent="0.2">
      <c r="A8129" s="1" t="s">
        <v>2088</v>
      </c>
    </row>
    <row r="8130" spans="1:1" x14ac:dyDescent="0.2">
      <c r="A8130" s="1" t="s">
        <v>2089</v>
      </c>
    </row>
    <row r="8131" spans="1:1" x14ac:dyDescent="0.2">
      <c r="A8131" s="1" t="s">
        <v>2090</v>
      </c>
    </row>
    <row r="8132" spans="1:1" x14ac:dyDescent="0.2">
      <c r="A8132" s="1" t="s">
        <v>2090</v>
      </c>
    </row>
    <row r="8133" spans="1:1" x14ac:dyDescent="0.2">
      <c r="A8133" s="1" t="s">
        <v>2082</v>
      </c>
    </row>
    <row r="8134" spans="1:1" x14ac:dyDescent="0.2">
      <c r="A8134" s="1" t="s">
        <v>2082</v>
      </c>
    </row>
    <row r="8135" spans="1:1" x14ac:dyDescent="0.2">
      <c r="A8135" s="1" t="s">
        <v>2082</v>
      </c>
    </row>
    <row r="8136" spans="1:1" x14ac:dyDescent="0.2">
      <c r="A8136" s="1" t="s">
        <v>2083</v>
      </c>
    </row>
    <row r="8137" spans="1:1" x14ac:dyDescent="0.2">
      <c r="A8137" s="1" t="s">
        <v>2084</v>
      </c>
    </row>
    <row r="8138" spans="1:1" x14ac:dyDescent="0.2">
      <c r="A8138" s="1" t="s">
        <v>2085</v>
      </c>
    </row>
    <row r="8139" spans="1:1" x14ac:dyDescent="0.2">
      <c r="A8139" s="1" t="s">
        <v>2086</v>
      </c>
    </row>
    <row r="8140" spans="1:1" x14ac:dyDescent="0.2">
      <c r="A8140" s="1" t="s">
        <v>2087</v>
      </c>
    </row>
    <row r="8141" spans="1:1" x14ac:dyDescent="0.2">
      <c r="A8141" s="1" t="s">
        <v>2088</v>
      </c>
    </row>
    <row r="8142" spans="1:1" x14ac:dyDescent="0.2">
      <c r="A8142" s="1" t="s">
        <v>2089</v>
      </c>
    </row>
    <row r="8143" spans="1:1" x14ac:dyDescent="0.2">
      <c r="A8143" s="1" t="s">
        <v>2090</v>
      </c>
    </row>
    <row r="8144" spans="1:1" x14ac:dyDescent="0.2">
      <c r="A8144" s="1" t="s">
        <v>2090</v>
      </c>
    </row>
    <row r="8145" spans="1:1" x14ac:dyDescent="0.2">
      <c r="A8145" s="1" t="s">
        <v>2082</v>
      </c>
    </row>
    <row r="8146" spans="1:1" x14ac:dyDescent="0.2">
      <c r="A8146" s="1" t="s">
        <v>2082</v>
      </c>
    </row>
    <row r="8147" spans="1:1" x14ac:dyDescent="0.2">
      <c r="A8147" s="1" t="s">
        <v>2082</v>
      </c>
    </row>
    <row r="8148" spans="1:1" x14ac:dyDescent="0.2">
      <c r="A8148" s="1" t="s">
        <v>2083</v>
      </c>
    </row>
    <row r="8149" spans="1:1" x14ac:dyDescent="0.2">
      <c r="A8149" s="1" t="s">
        <v>2084</v>
      </c>
    </row>
    <row r="8150" spans="1:1" x14ac:dyDescent="0.2">
      <c r="A8150" s="1" t="s">
        <v>2085</v>
      </c>
    </row>
    <row r="8151" spans="1:1" x14ac:dyDescent="0.2">
      <c r="A8151" s="1" t="s">
        <v>2086</v>
      </c>
    </row>
    <row r="8152" spans="1:1" x14ac:dyDescent="0.2">
      <c r="A8152" s="1" t="s">
        <v>2087</v>
      </c>
    </row>
    <row r="8153" spans="1:1" x14ac:dyDescent="0.2">
      <c r="A8153" s="1" t="s">
        <v>2088</v>
      </c>
    </row>
    <row r="8154" spans="1:1" x14ac:dyDescent="0.2">
      <c r="A8154" s="1" t="s">
        <v>2089</v>
      </c>
    </row>
    <row r="8155" spans="1:1" x14ac:dyDescent="0.2">
      <c r="A8155" s="1" t="s">
        <v>2090</v>
      </c>
    </row>
    <row r="8156" spans="1:1" x14ac:dyDescent="0.2">
      <c r="A8156" s="1" t="s">
        <v>2090</v>
      </c>
    </row>
    <row r="8157" spans="1:1" x14ac:dyDescent="0.2">
      <c r="A8157" s="1" t="s">
        <v>2082</v>
      </c>
    </row>
    <row r="8158" spans="1:1" x14ac:dyDescent="0.2">
      <c r="A8158" s="1" t="s">
        <v>2082</v>
      </c>
    </row>
    <row r="8159" spans="1:1" x14ac:dyDescent="0.2">
      <c r="A8159" s="1" t="s">
        <v>2082</v>
      </c>
    </row>
    <row r="8160" spans="1:1" x14ac:dyDescent="0.2">
      <c r="A8160" s="1" t="s">
        <v>2083</v>
      </c>
    </row>
    <row r="8161" spans="1:1" x14ac:dyDescent="0.2">
      <c r="A8161" s="1" t="s">
        <v>2084</v>
      </c>
    </row>
    <row r="8162" spans="1:1" x14ac:dyDescent="0.2">
      <c r="A8162" s="1" t="s">
        <v>2085</v>
      </c>
    </row>
    <row r="8163" spans="1:1" x14ac:dyDescent="0.2">
      <c r="A8163" s="1" t="s">
        <v>2086</v>
      </c>
    </row>
    <row r="8164" spans="1:1" x14ac:dyDescent="0.2">
      <c r="A8164" s="1" t="s">
        <v>2087</v>
      </c>
    </row>
    <row r="8165" spans="1:1" x14ac:dyDescent="0.2">
      <c r="A8165" s="1" t="s">
        <v>2088</v>
      </c>
    </row>
    <row r="8166" spans="1:1" x14ac:dyDescent="0.2">
      <c r="A8166" s="1" t="s">
        <v>2089</v>
      </c>
    </row>
    <row r="8167" spans="1:1" x14ac:dyDescent="0.2">
      <c r="A8167" s="1" t="s">
        <v>2090</v>
      </c>
    </row>
    <row r="8168" spans="1:1" x14ac:dyDescent="0.2">
      <c r="A8168" s="1" t="s">
        <v>2090</v>
      </c>
    </row>
    <row r="8169" spans="1:1" x14ac:dyDescent="0.2">
      <c r="A8169" s="1" t="s">
        <v>2082</v>
      </c>
    </row>
    <row r="8170" spans="1:1" x14ac:dyDescent="0.2">
      <c r="A8170" s="1" t="s">
        <v>2082</v>
      </c>
    </row>
    <row r="8171" spans="1:1" x14ac:dyDescent="0.2">
      <c r="A8171" s="1" t="s">
        <v>2082</v>
      </c>
    </row>
    <row r="8172" spans="1:1" x14ac:dyDescent="0.2">
      <c r="A8172" s="1" t="s">
        <v>2083</v>
      </c>
    </row>
    <row r="8173" spans="1:1" x14ac:dyDescent="0.2">
      <c r="A8173" s="1" t="s">
        <v>2084</v>
      </c>
    </row>
    <row r="8174" spans="1:1" x14ac:dyDescent="0.2">
      <c r="A8174" s="1" t="s">
        <v>2085</v>
      </c>
    </row>
    <row r="8175" spans="1:1" x14ac:dyDescent="0.2">
      <c r="A8175" s="1" t="s">
        <v>2086</v>
      </c>
    </row>
    <row r="8176" spans="1:1" x14ac:dyDescent="0.2">
      <c r="A8176" s="1" t="s">
        <v>2087</v>
      </c>
    </row>
    <row r="8177" spans="1:1" x14ac:dyDescent="0.2">
      <c r="A8177" s="1" t="s">
        <v>2088</v>
      </c>
    </row>
    <row r="8178" spans="1:1" x14ac:dyDescent="0.2">
      <c r="A8178" s="1" t="s">
        <v>2089</v>
      </c>
    </row>
    <row r="8179" spans="1:1" x14ac:dyDescent="0.2">
      <c r="A8179" s="1" t="s">
        <v>2090</v>
      </c>
    </row>
    <row r="8180" spans="1:1" x14ac:dyDescent="0.2">
      <c r="A8180" s="1" t="s">
        <v>2090</v>
      </c>
    </row>
    <row r="8181" spans="1:1" x14ac:dyDescent="0.2">
      <c r="A8181" s="1" t="s">
        <v>2082</v>
      </c>
    </row>
    <row r="8182" spans="1:1" x14ac:dyDescent="0.2">
      <c r="A8182" s="1" t="s">
        <v>2082</v>
      </c>
    </row>
    <row r="8183" spans="1:1" x14ac:dyDescent="0.2">
      <c r="A8183" s="1" t="s">
        <v>2082</v>
      </c>
    </row>
    <row r="8184" spans="1:1" x14ac:dyDescent="0.2">
      <c r="A8184" s="1" t="s">
        <v>2083</v>
      </c>
    </row>
    <row r="8185" spans="1:1" x14ac:dyDescent="0.2">
      <c r="A8185" s="1" t="s">
        <v>2084</v>
      </c>
    </row>
    <row r="8186" spans="1:1" x14ac:dyDescent="0.2">
      <c r="A8186" s="1" t="s">
        <v>2085</v>
      </c>
    </row>
    <row r="8187" spans="1:1" x14ac:dyDescent="0.2">
      <c r="A8187" s="1" t="s">
        <v>2086</v>
      </c>
    </row>
    <row r="8188" spans="1:1" x14ac:dyDescent="0.2">
      <c r="A8188" s="1" t="s">
        <v>2087</v>
      </c>
    </row>
    <row r="8189" spans="1:1" x14ac:dyDescent="0.2">
      <c r="A8189" s="1" t="s">
        <v>2088</v>
      </c>
    </row>
    <row r="8190" spans="1:1" x14ac:dyDescent="0.2">
      <c r="A8190" s="1" t="s">
        <v>2089</v>
      </c>
    </row>
    <row r="8191" spans="1:1" x14ac:dyDescent="0.2">
      <c r="A8191" s="1" t="s">
        <v>2090</v>
      </c>
    </row>
    <row r="8192" spans="1:1" x14ac:dyDescent="0.2">
      <c r="A8192" s="1" t="s">
        <v>2090</v>
      </c>
    </row>
    <row r="8193" spans="1:1" x14ac:dyDescent="0.2">
      <c r="A8193" s="1" t="s">
        <v>2082</v>
      </c>
    </row>
    <row r="8194" spans="1:1" x14ac:dyDescent="0.2">
      <c r="A8194" s="1" t="s">
        <v>2091</v>
      </c>
    </row>
    <row r="8195" spans="1:1" x14ac:dyDescent="0.2">
      <c r="A8195" s="1" t="s">
        <v>2091</v>
      </c>
    </row>
    <row r="8196" spans="1:1" x14ac:dyDescent="0.2">
      <c r="A8196" s="1" t="s">
        <v>2092</v>
      </c>
    </row>
    <row r="8197" spans="1:1" x14ac:dyDescent="0.2">
      <c r="A8197" s="1" t="s">
        <v>2093</v>
      </c>
    </row>
    <row r="8198" spans="1:1" x14ac:dyDescent="0.2">
      <c r="A8198" s="1" t="s">
        <v>2094</v>
      </c>
    </row>
    <row r="8199" spans="1:1" x14ac:dyDescent="0.2">
      <c r="A8199" s="1" t="s">
        <v>2095</v>
      </c>
    </row>
    <row r="8200" spans="1:1" x14ac:dyDescent="0.2">
      <c r="A8200" s="1" t="s">
        <v>2096</v>
      </c>
    </row>
    <row r="8201" spans="1:1" x14ac:dyDescent="0.2">
      <c r="A8201" s="1" t="s">
        <v>2097</v>
      </c>
    </row>
    <row r="8202" spans="1:1" x14ac:dyDescent="0.2">
      <c r="A8202" s="1" t="s">
        <v>2098</v>
      </c>
    </row>
    <row r="8203" spans="1:1" x14ac:dyDescent="0.2">
      <c r="A8203" s="1" t="s">
        <v>2099</v>
      </c>
    </row>
    <row r="8204" spans="1:1" x14ac:dyDescent="0.2">
      <c r="A8204" s="1" t="s">
        <v>2099</v>
      </c>
    </row>
    <row r="8205" spans="1:1" x14ac:dyDescent="0.2">
      <c r="A8205" s="1" t="s">
        <v>2099</v>
      </c>
    </row>
    <row r="8206" spans="1:1" x14ac:dyDescent="0.2">
      <c r="A8206" s="1" t="s">
        <v>2091</v>
      </c>
    </row>
    <row r="8207" spans="1:1" x14ac:dyDescent="0.2">
      <c r="A8207" s="1" t="s">
        <v>2091</v>
      </c>
    </row>
    <row r="8208" spans="1:1" x14ac:dyDescent="0.2">
      <c r="A8208" s="1" t="s">
        <v>2091</v>
      </c>
    </row>
    <row r="8209" spans="1:1" x14ac:dyDescent="0.2">
      <c r="A8209" s="1" t="s">
        <v>2092</v>
      </c>
    </row>
    <row r="8210" spans="1:1" x14ac:dyDescent="0.2">
      <c r="A8210" s="1" t="s">
        <v>2093</v>
      </c>
    </row>
    <row r="8211" spans="1:1" x14ac:dyDescent="0.2">
      <c r="A8211" s="1" t="s">
        <v>2094</v>
      </c>
    </row>
    <row r="8212" spans="1:1" x14ac:dyDescent="0.2">
      <c r="A8212" s="1" t="s">
        <v>2095</v>
      </c>
    </row>
    <row r="8213" spans="1:1" x14ac:dyDescent="0.2">
      <c r="A8213" s="1" t="s">
        <v>2096</v>
      </c>
    </row>
    <row r="8214" spans="1:1" x14ac:dyDescent="0.2">
      <c r="A8214" s="1" t="s">
        <v>2097</v>
      </c>
    </row>
    <row r="8215" spans="1:1" x14ac:dyDescent="0.2">
      <c r="A8215" s="1" t="s">
        <v>2098</v>
      </c>
    </row>
    <row r="8216" spans="1:1" x14ac:dyDescent="0.2">
      <c r="A8216" s="1" t="s">
        <v>2099</v>
      </c>
    </row>
    <row r="8217" spans="1:1" x14ac:dyDescent="0.2">
      <c r="A8217" s="1" t="s">
        <v>2099</v>
      </c>
    </row>
    <row r="8218" spans="1:1" x14ac:dyDescent="0.2">
      <c r="A8218" s="1" t="s">
        <v>2099</v>
      </c>
    </row>
    <row r="8219" spans="1:1" x14ac:dyDescent="0.2">
      <c r="A8219" s="1" t="s">
        <v>2091</v>
      </c>
    </row>
    <row r="8220" spans="1:1" x14ac:dyDescent="0.2">
      <c r="A8220" s="1" t="s">
        <v>2091</v>
      </c>
    </row>
    <row r="8221" spans="1:1" x14ac:dyDescent="0.2">
      <c r="A8221" s="1" t="s">
        <v>2091</v>
      </c>
    </row>
    <row r="8222" spans="1:1" x14ac:dyDescent="0.2">
      <c r="A8222" s="1" t="s">
        <v>2092</v>
      </c>
    </row>
    <row r="8223" spans="1:1" x14ac:dyDescent="0.2">
      <c r="A8223" s="1" t="s">
        <v>2093</v>
      </c>
    </row>
    <row r="8224" spans="1:1" x14ac:dyDescent="0.2">
      <c r="A8224" s="1" t="s">
        <v>2094</v>
      </c>
    </row>
    <row r="8225" spans="1:1" x14ac:dyDescent="0.2">
      <c r="A8225" s="1" t="s">
        <v>2095</v>
      </c>
    </row>
    <row r="8226" spans="1:1" x14ac:dyDescent="0.2">
      <c r="A8226" s="1" t="s">
        <v>2096</v>
      </c>
    </row>
    <row r="8227" spans="1:1" x14ac:dyDescent="0.2">
      <c r="A8227" s="1" t="s">
        <v>2097</v>
      </c>
    </row>
    <row r="8228" spans="1:1" x14ac:dyDescent="0.2">
      <c r="A8228" s="1" t="s">
        <v>2098</v>
      </c>
    </row>
    <row r="8229" spans="1:1" x14ac:dyDescent="0.2">
      <c r="A8229" s="1" t="s">
        <v>2099</v>
      </c>
    </row>
    <row r="8230" spans="1:1" x14ac:dyDescent="0.2">
      <c r="A8230" s="1" t="s">
        <v>2099</v>
      </c>
    </row>
    <row r="8231" spans="1:1" x14ac:dyDescent="0.2">
      <c r="A8231" s="1" t="s">
        <v>2099</v>
      </c>
    </row>
    <row r="8232" spans="1:1" x14ac:dyDescent="0.2">
      <c r="A8232" s="1" t="s">
        <v>2091</v>
      </c>
    </row>
    <row r="8233" spans="1:1" x14ac:dyDescent="0.2">
      <c r="A8233" s="1" t="s">
        <v>2091</v>
      </c>
    </row>
    <row r="8234" spans="1:1" x14ac:dyDescent="0.2">
      <c r="A8234" s="1" t="s">
        <v>2091</v>
      </c>
    </row>
    <row r="8235" spans="1:1" x14ac:dyDescent="0.2">
      <c r="A8235" s="1" t="s">
        <v>2092</v>
      </c>
    </row>
    <row r="8236" spans="1:1" x14ac:dyDescent="0.2">
      <c r="A8236" s="1" t="s">
        <v>2093</v>
      </c>
    </row>
    <row r="8237" spans="1:1" x14ac:dyDescent="0.2">
      <c r="A8237" s="1" t="s">
        <v>2094</v>
      </c>
    </row>
    <row r="8238" spans="1:1" x14ac:dyDescent="0.2">
      <c r="A8238" s="1" t="s">
        <v>2095</v>
      </c>
    </row>
    <row r="8239" spans="1:1" x14ac:dyDescent="0.2">
      <c r="A8239" s="1" t="s">
        <v>2096</v>
      </c>
    </row>
    <row r="8240" spans="1:1" x14ac:dyDescent="0.2">
      <c r="A8240" s="1" t="s">
        <v>2097</v>
      </c>
    </row>
    <row r="8241" spans="1:1" x14ac:dyDescent="0.2">
      <c r="A8241" s="1" t="s">
        <v>2098</v>
      </c>
    </row>
    <row r="8242" spans="1:1" x14ac:dyDescent="0.2">
      <c r="A8242" s="1" t="s">
        <v>2099</v>
      </c>
    </row>
    <row r="8243" spans="1:1" x14ac:dyDescent="0.2">
      <c r="A8243" s="1" t="s">
        <v>2099</v>
      </c>
    </row>
    <row r="8244" spans="1:1" x14ac:dyDescent="0.2">
      <c r="A8244" s="1" t="s">
        <v>2099</v>
      </c>
    </row>
    <row r="8245" spans="1:1" x14ac:dyDescent="0.2">
      <c r="A8245" s="1" t="s">
        <v>2091</v>
      </c>
    </row>
    <row r="8246" spans="1:1" x14ac:dyDescent="0.2">
      <c r="A8246" s="1" t="s">
        <v>2091</v>
      </c>
    </row>
    <row r="8247" spans="1:1" x14ac:dyDescent="0.2">
      <c r="A8247" s="1" t="s">
        <v>2091</v>
      </c>
    </row>
    <row r="8248" spans="1:1" x14ac:dyDescent="0.2">
      <c r="A8248" s="1" t="s">
        <v>2092</v>
      </c>
    </row>
    <row r="8249" spans="1:1" x14ac:dyDescent="0.2">
      <c r="A8249" s="1" t="s">
        <v>2093</v>
      </c>
    </row>
    <row r="8250" spans="1:1" x14ac:dyDescent="0.2">
      <c r="A8250" s="1" t="s">
        <v>2094</v>
      </c>
    </row>
    <row r="8251" spans="1:1" x14ac:dyDescent="0.2">
      <c r="A8251" s="1" t="s">
        <v>2095</v>
      </c>
    </row>
    <row r="8252" spans="1:1" x14ac:dyDescent="0.2">
      <c r="A8252" s="1" t="s">
        <v>2096</v>
      </c>
    </row>
    <row r="8253" spans="1:1" x14ac:dyDescent="0.2">
      <c r="A8253" s="1" t="s">
        <v>2097</v>
      </c>
    </row>
    <row r="8254" spans="1:1" x14ac:dyDescent="0.2">
      <c r="A8254" s="1" t="s">
        <v>2098</v>
      </c>
    </row>
    <row r="8255" spans="1:1" x14ac:dyDescent="0.2">
      <c r="A8255" s="1" t="s">
        <v>2099</v>
      </c>
    </row>
    <row r="8256" spans="1:1" x14ac:dyDescent="0.2">
      <c r="A8256" s="1" t="s">
        <v>2099</v>
      </c>
    </row>
    <row r="8257" spans="1:1" x14ac:dyDescent="0.2">
      <c r="A8257" s="1" t="s">
        <v>2099</v>
      </c>
    </row>
    <row r="8258" spans="1:1" x14ac:dyDescent="0.2">
      <c r="A8258" s="1" t="s">
        <v>2091</v>
      </c>
    </row>
    <row r="8259" spans="1:1" x14ac:dyDescent="0.2">
      <c r="A8259" s="1" t="s">
        <v>2091</v>
      </c>
    </row>
    <row r="8260" spans="1:1" x14ac:dyDescent="0.2">
      <c r="A8260" s="1" t="s">
        <v>2091</v>
      </c>
    </row>
    <row r="8261" spans="1:1" x14ac:dyDescent="0.2">
      <c r="A8261" s="1" t="s">
        <v>2092</v>
      </c>
    </row>
    <row r="8262" spans="1:1" x14ac:dyDescent="0.2">
      <c r="A8262" s="1" t="s">
        <v>2093</v>
      </c>
    </row>
    <row r="8263" spans="1:1" x14ac:dyDescent="0.2">
      <c r="A8263" s="1" t="s">
        <v>2094</v>
      </c>
    </row>
    <row r="8264" spans="1:1" x14ac:dyDescent="0.2">
      <c r="A8264" s="1" t="s">
        <v>2095</v>
      </c>
    </row>
    <row r="8265" spans="1:1" x14ac:dyDescent="0.2">
      <c r="A8265" s="1" t="s">
        <v>2096</v>
      </c>
    </row>
    <row r="8266" spans="1:1" x14ac:dyDescent="0.2">
      <c r="A8266" s="1" t="s">
        <v>2097</v>
      </c>
    </row>
    <row r="8267" spans="1:1" x14ac:dyDescent="0.2">
      <c r="A8267" s="1" t="s">
        <v>2098</v>
      </c>
    </row>
    <row r="8268" spans="1:1" x14ac:dyDescent="0.2">
      <c r="A8268" s="1" t="s">
        <v>2099</v>
      </c>
    </row>
    <row r="8269" spans="1:1" x14ac:dyDescent="0.2">
      <c r="A8269" s="1" t="s">
        <v>2099</v>
      </c>
    </row>
    <row r="8270" spans="1:1" x14ac:dyDescent="0.2">
      <c r="A8270" s="1" t="s">
        <v>2099</v>
      </c>
    </row>
    <row r="8271" spans="1:1" x14ac:dyDescent="0.2">
      <c r="A8271" s="1" t="s">
        <v>2091</v>
      </c>
    </row>
    <row r="8272" spans="1:1" x14ac:dyDescent="0.2">
      <c r="A8272" s="1" t="s">
        <v>2091</v>
      </c>
    </row>
    <row r="8273" spans="1:1" x14ac:dyDescent="0.2">
      <c r="A8273" s="1" t="s">
        <v>2091</v>
      </c>
    </row>
    <row r="8274" spans="1:1" x14ac:dyDescent="0.2">
      <c r="A8274" s="1" t="s">
        <v>2092</v>
      </c>
    </row>
    <row r="8275" spans="1:1" x14ac:dyDescent="0.2">
      <c r="A8275" s="1" t="s">
        <v>2093</v>
      </c>
    </row>
    <row r="8276" spans="1:1" x14ac:dyDescent="0.2">
      <c r="A8276" s="1" t="s">
        <v>2094</v>
      </c>
    </row>
    <row r="8277" spans="1:1" x14ac:dyDescent="0.2">
      <c r="A8277" s="1" t="s">
        <v>2095</v>
      </c>
    </row>
    <row r="8278" spans="1:1" x14ac:dyDescent="0.2">
      <c r="A8278" s="1" t="s">
        <v>2096</v>
      </c>
    </row>
    <row r="8279" spans="1:1" x14ac:dyDescent="0.2">
      <c r="A8279" s="1" t="s">
        <v>2097</v>
      </c>
    </row>
    <row r="8280" spans="1:1" x14ac:dyDescent="0.2">
      <c r="A8280" s="1" t="s">
        <v>2098</v>
      </c>
    </row>
    <row r="8281" spans="1:1" x14ac:dyDescent="0.2">
      <c r="A8281" s="1" t="s">
        <v>2099</v>
      </c>
    </row>
    <row r="8282" spans="1:1" x14ac:dyDescent="0.2">
      <c r="A8282" s="1" t="s">
        <v>2099</v>
      </c>
    </row>
    <row r="8283" spans="1:1" x14ac:dyDescent="0.2">
      <c r="A8283" s="1" t="s">
        <v>2099</v>
      </c>
    </row>
    <row r="8284" spans="1:1" x14ac:dyDescent="0.2">
      <c r="A8284" s="1" t="s">
        <v>2091</v>
      </c>
    </row>
    <row r="8285" spans="1:1" x14ac:dyDescent="0.2">
      <c r="A8285" s="1" t="s">
        <v>2100</v>
      </c>
    </row>
    <row r="8286" spans="1:1" x14ac:dyDescent="0.2">
      <c r="A8286" s="1" t="s">
        <v>2100</v>
      </c>
    </row>
    <row r="8287" spans="1:1" x14ac:dyDescent="0.2">
      <c r="A8287" s="1" t="s">
        <v>2101</v>
      </c>
    </row>
    <row r="8288" spans="1:1" x14ac:dyDescent="0.2">
      <c r="A8288" s="1" t="s">
        <v>2102</v>
      </c>
    </row>
    <row r="8289" spans="1:1" x14ac:dyDescent="0.2">
      <c r="A8289" s="1" t="s">
        <v>2103</v>
      </c>
    </row>
    <row r="8290" spans="1:1" x14ac:dyDescent="0.2">
      <c r="A8290" s="1" t="s">
        <v>2104</v>
      </c>
    </row>
    <row r="8291" spans="1:1" x14ac:dyDescent="0.2">
      <c r="A8291" s="1" t="s">
        <v>2105</v>
      </c>
    </row>
    <row r="8292" spans="1:1" x14ac:dyDescent="0.2">
      <c r="A8292" s="1" t="s">
        <v>2106</v>
      </c>
    </row>
    <row r="8293" spans="1:1" x14ac:dyDescent="0.2">
      <c r="A8293" s="1" t="s">
        <v>2107</v>
      </c>
    </row>
    <row r="8294" spans="1:1" x14ac:dyDescent="0.2">
      <c r="A8294" s="1" t="s">
        <v>2108</v>
      </c>
    </row>
    <row r="8295" spans="1:1" x14ac:dyDescent="0.2">
      <c r="A8295" s="1" t="s">
        <v>2108</v>
      </c>
    </row>
    <row r="8296" spans="1:1" x14ac:dyDescent="0.2">
      <c r="A8296" s="1" t="s">
        <v>2108</v>
      </c>
    </row>
    <row r="8297" spans="1:1" x14ac:dyDescent="0.2">
      <c r="A8297" s="1" t="s">
        <v>2100</v>
      </c>
    </row>
    <row r="8298" spans="1:1" x14ac:dyDescent="0.2">
      <c r="A8298" s="1" t="s">
        <v>2100</v>
      </c>
    </row>
    <row r="8299" spans="1:1" x14ac:dyDescent="0.2">
      <c r="A8299" s="1" t="s">
        <v>2100</v>
      </c>
    </row>
    <row r="8300" spans="1:1" x14ac:dyDescent="0.2">
      <c r="A8300" s="1" t="s">
        <v>2101</v>
      </c>
    </row>
    <row r="8301" spans="1:1" x14ac:dyDescent="0.2">
      <c r="A8301" s="1" t="s">
        <v>2102</v>
      </c>
    </row>
    <row r="8302" spans="1:1" x14ac:dyDescent="0.2">
      <c r="A8302" s="1" t="s">
        <v>2103</v>
      </c>
    </row>
    <row r="8303" spans="1:1" x14ac:dyDescent="0.2">
      <c r="A8303" s="1" t="s">
        <v>2104</v>
      </c>
    </row>
    <row r="8304" spans="1:1" x14ac:dyDescent="0.2">
      <c r="A8304" s="1" t="s">
        <v>2105</v>
      </c>
    </row>
    <row r="8305" spans="1:1" x14ac:dyDescent="0.2">
      <c r="A8305" s="1" t="s">
        <v>2106</v>
      </c>
    </row>
    <row r="8306" spans="1:1" x14ac:dyDescent="0.2">
      <c r="A8306" s="1" t="s">
        <v>2107</v>
      </c>
    </row>
    <row r="8307" spans="1:1" x14ac:dyDescent="0.2">
      <c r="A8307" s="1" t="s">
        <v>2108</v>
      </c>
    </row>
    <row r="8308" spans="1:1" x14ac:dyDescent="0.2">
      <c r="A8308" s="1" t="s">
        <v>2108</v>
      </c>
    </row>
    <row r="8309" spans="1:1" x14ac:dyDescent="0.2">
      <c r="A8309" s="1" t="s">
        <v>2108</v>
      </c>
    </row>
    <row r="8310" spans="1:1" x14ac:dyDescent="0.2">
      <c r="A8310" s="1" t="s">
        <v>2100</v>
      </c>
    </row>
    <row r="8311" spans="1:1" x14ac:dyDescent="0.2">
      <c r="A8311" s="1" t="s">
        <v>2100</v>
      </c>
    </row>
    <row r="8312" spans="1:1" x14ac:dyDescent="0.2">
      <c r="A8312" s="1" t="s">
        <v>2100</v>
      </c>
    </row>
    <row r="8313" spans="1:1" x14ac:dyDescent="0.2">
      <c r="A8313" s="1" t="s">
        <v>2101</v>
      </c>
    </row>
    <row r="8314" spans="1:1" x14ac:dyDescent="0.2">
      <c r="A8314" s="1" t="s">
        <v>2102</v>
      </c>
    </row>
    <row r="8315" spans="1:1" x14ac:dyDescent="0.2">
      <c r="A8315" s="1" t="s">
        <v>2103</v>
      </c>
    </row>
    <row r="8316" spans="1:1" x14ac:dyDescent="0.2">
      <c r="A8316" s="1" t="s">
        <v>2104</v>
      </c>
    </row>
    <row r="8317" spans="1:1" x14ac:dyDescent="0.2">
      <c r="A8317" s="1" t="s">
        <v>2105</v>
      </c>
    </row>
    <row r="8318" spans="1:1" x14ac:dyDescent="0.2">
      <c r="A8318" s="1" t="s">
        <v>2106</v>
      </c>
    </row>
    <row r="8319" spans="1:1" x14ac:dyDescent="0.2">
      <c r="A8319" s="1" t="s">
        <v>2107</v>
      </c>
    </row>
    <row r="8320" spans="1:1" x14ac:dyDescent="0.2">
      <c r="A8320" s="1" t="s">
        <v>2108</v>
      </c>
    </row>
    <row r="8321" spans="1:1" x14ac:dyDescent="0.2">
      <c r="A8321" s="1" t="s">
        <v>2108</v>
      </c>
    </row>
    <row r="8322" spans="1:1" x14ac:dyDescent="0.2">
      <c r="A8322" s="1" t="s">
        <v>2108</v>
      </c>
    </row>
    <row r="8323" spans="1:1" x14ac:dyDescent="0.2">
      <c r="A8323" s="1" t="s">
        <v>2100</v>
      </c>
    </row>
    <row r="8324" spans="1:1" x14ac:dyDescent="0.2">
      <c r="A8324" s="1" t="s">
        <v>2100</v>
      </c>
    </row>
    <row r="8325" spans="1:1" x14ac:dyDescent="0.2">
      <c r="A8325" s="1" t="s">
        <v>2100</v>
      </c>
    </row>
    <row r="8326" spans="1:1" x14ac:dyDescent="0.2">
      <c r="A8326" s="1" t="s">
        <v>2101</v>
      </c>
    </row>
    <row r="8327" spans="1:1" x14ac:dyDescent="0.2">
      <c r="A8327" s="1" t="s">
        <v>2102</v>
      </c>
    </row>
    <row r="8328" spans="1:1" x14ac:dyDescent="0.2">
      <c r="A8328" s="1" t="s">
        <v>2103</v>
      </c>
    </row>
    <row r="8329" spans="1:1" x14ac:dyDescent="0.2">
      <c r="A8329" s="1" t="s">
        <v>2104</v>
      </c>
    </row>
    <row r="8330" spans="1:1" x14ac:dyDescent="0.2">
      <c r="A8330" s="1" t="s">
        <v>2105</v>
      </c>
    </row>
    <row r="8331" spans="1:1" x14ac:dyDescent="0.2">
      <c r="A8331" s="1" t="s">
        <v>2106</v>
      </c>
    </row>
    <row r="8332" spans="1:1" x14ac:dyDescent="0.2">
      <c r="A8332" s="1" t="s">
        <v>2107</v>
      </c>
    </row>
    <row r="8333" spans="1:1" x14ac:dyDescent="0.2">
      <c r="A8333" s="1" t="s">
        <v>2108</v>
      </c>
    </row>
    <row r="8334" spans="1:1" x14ac:dyDescent="0.2">
      <c r="A8334" s="1" t="s">
        <v>2108</v>
      </c>
    </row>
    <row r="8335" spans="1:1" x14ac:dyDescent="0.2">
      <c r="A8335" s="1" t="s">
        <v>2108</v>
      </c>
    </row>
    <row r="8336" spans="1:1" x14ac:dyDescent="0.2">
      <c r="A8336" s="1" t="s">
        <v>2100</v>
      </c>
    </row>
    <row r="8337" spans="1:1" x14ac:dyDescent="0.2">
      <c r="A8337" s="1" t="s">
        <v>2109</v>
      </c>
    </row>
    <row r="8338" spans="1:1" x14ac:dyDescent="0.2">
      <c r="A8338" s="1" t="s">
        <v>2109</v>
      </c>
    </row>
    <row r="8339" spans="1:1" x14ac:dyDescent="0.2">
      <c r="A8339" s="1" t="s">
        <v>2110</v>
      </c>
    </row>
    <row r="8340" spans="1:1" x14ac:dyDescent="0.2">
      <c r="A8340" s="1" t="s">
        <v>2111</v>
      </c>
    </row>
    <row r="8341" spans="1:1" x14ac:dyDescent="0.2">
      <c r="A8341" s="1" t="s">
        <v>2112</v>
      </c>
    </row>
    <row r="8342" spans="1:1" x14ac:dyDescent="0.2">
      <c r="A8342" s="1" t="s">
        <v>2113</v>
      </c>
    </row>
    <row r="8343" spans="1:1" x14ac:dyDescent="0.2">
      <c r="A8343" s="1" t="s">
        <v>2114</v>
      </c>
    </row>
    <row r="8344" spans="1:1" x14ac:dyDescent="0.2">
      <c r="A8344" s="1" t="s">
        <v>2115</v>
      </c>
    </row>
    <row r="8345" spans="1:1" x14ac:dyDescent="0.2">
      <c r="A8345" s="1" t="s">
        <v>2116</v>
      </c>
    </row>
    <row r="8346" spans="1:1" x14ac:dyDescent="0.2">
      <c r="A8346" s="1" t="s">
        <v>2117</v>
      </c>
    </row>
    <row r="8347" spans="1:1" x14ac:dyDescent="0.2">
      <c r="A8347" s="1" t="s">
        <v>2117</v>
      </c>
    </row>
    <row r="8348" spans="1:1" x14ac:dyDescent="0.2">
      <c r="A8348" s="1" t="s">
        <v>2117</v>
      </c>
    </row>
    <row r="8349" spans="1:1" x14ac:dyDescent="0.2">
      <c r="A8349" s="1" t="s">
        <v>2109</v>
      </c>
    </row>
    <row r="8350" spans="1:1" x14ac:dyDescent="0.2">
      <c r="A8350" s="1" t="s">
        <v>2109</v>
      </c>
    </row>
    <row r="8351" spans="1:1" x14ac:dyDescent="0.2">
      <c r="A8351" s="1" t="s">
        <v>2109</v>
      </c>
    </row>
    <row r="8352" spans="1:1" x14ac:dyDescent="0.2">
      <c r="A8352" s="1" t="s">
        <v>2110</v>
      </c>
    </row>
    <row r="8353" spans="1:1" x14ac:dyDescent="0.2">
      <c r="A8353" s="1" t="s">
        <v>2111</v>
      </c>
    </row>
    <row r="8354" spans="1:1" x14ac:dyDescent="0.2">
      <c r="A8354" s="1" t="s">
        <v>2112</v>
      </c>
    </row>
    <row r="8355" spans="1:1" x14ac:dyDescent="0.2">
      <c r="A8355" s="1" t="s">
        <v>2113</v>
      </c>
    </row>
    <row r="8356" spans="1:1" x14ac:dyDescent="0.2">
      <c r="A8356" s="1" t="s">
        <v>2114</v>
      </c>
    </row>
    <row r="8357" spans="1:1" x14ac:dyDescent="0.2">
      <c r="A8357" s="1" t="s">
        <v>2115</v>
      </c>
    </row>
    <row r="8358" spans="1:1" x14ac:dyDescent="0.2">
      <c r="A8358" s="1" t="s">
        <v>2116</v>
      </c>
    </row>
    <row r="8359" spans="1:1" x14ac:dyDescent="0.2">
      <c r="A8359" s="1" t="s">
        <v>2117</v>
      </c>
    </row>
    <row r="8360" spans="1:1" x14ac:dyDescent="0.2">
      <c r="A8360" s="1" t="s">
        <v>2117</v>
      </c>
    </row>
    <row r="8361" spans="1:1" x14ac:dyDescent="0.2">
      <c r="A8361" s="1" t="s">
        <v>2117</v>
      </c>
    </row>
    <row r="8362" spans="1:1" x14ac:dyDescent="0.2">
      <c r="A8362" s="1" t="s">
        <v>2109</v>
      </c>
    </row>
    <row r="8363" spans="1:1" x14ac:dyDescent="0.2">
      <c r="A8363" s="1" t="s">
        <v>2109</v>
      </c>
    </row>
    <row r="8364" spans="1:1" x14ac:dyDescent="0.2">
      <c r="A8364" s="1" t="s">
        <v>2109</v>
      </c>
    </row>
    <row r="8365" spans="1:1" x14ac:dyDescent="0.2">
      <c r="A8365" s="1" t="s">
        <v>2110</v>
      </c>
    </row>
    <row r="8366" spans="1:1" x14ac:dyDescent="0.2">
      <c r="A8366" s="1" t="s">
        <v>2111</v>
      </c>
    </row>
    <row r="8367" spans="1:1" x14ac:dyDescent="0.2">
      <c r="A8367" s="1" t="s">
        <v>2112</v>
      </c>
    </row>
    <row r="8368" spans="1:1" x14ac:dyDescent="0.2">
      <c r="A8368" s="1" t="s">
        <v>2113</v>
      </c>
    </row>
    <row r="8369" spans="1:1" x14ac:dyDescent="0.2">
      <c r="A8369" s="1" t="s">
        <v>2114</v>
      </c>
    </row>
    <row r="8370" spans="1:1" x14ac:dyDescent="0.2">
      <c r="A8370" s="1" t="s">
        <v>2115</v>
      </c>
    </row>
    <row r="8371" spans="1:1" x14ac:dyDescent="0.2">
      <c r="A8371" s="1" t="s">
        <v>2116</v>
      </c>
    </row>
    <row r="8372" spans="1:1" x14ac:dyDescent="0.2">
      <c r="A8372" s="1" t="s">
        <v>2117</v>
      </c>
    </row>
    <row r="8373" spans="1:1" x14ac:dyDescent="0.2">
      <c r="A8373" s="1" t="s">
        <v>2117</v>
      </c>
    </row>
    <row r="8374" spans="1:1" x14ac:dyDescent="0.2">
      <c r="A8374" s="1" t="s">
        <v>2117</v>
      </c>
    </row>
    <row r="8375" spans="1:1" x14ac:dyDescent="0.2">
      <c r="A8375" s="1" t="s">
        <v>2109</v>
      </c>
    </row>
    <row r="8376" spans="1:1" x14ac:dyDescent="0.2">
      <c r="A8376" s="1" t="s">
        <v>2109</v>
      </c>
    </row>
    <row r="8377" spans="1:1" x14ac:dyDescent="0.2">
      <c r="A8377" s="1" t="s">
        <v>2109</v>
      </c>
    </row>
    <row r="8378" spans="1:1" x14ac:dyDescent="0.2">
      <c r="A8378" s="1" t="s">
        <v>2110</v>
      </c>
    </row>
    <row r="8379" spans="1:1" x14ac:dyDescent="0.2">
      <c r="A8379" s="1" t="s">
        <v>2111</v>
      </c>
    </row>
    <row r="8380" spans="1:1" x14ac:dyDescent="0.2">
      <c r="A8380" s="1" t="s">
        <v>2112</v>
      </c>
    </row>
    <row r="8381" spans="1:1" x14ac:dyDescent="0.2">
      <c r="A8381" s="1" t="s">
        <v>2113</v>
      </c>
    </row>
    <row r="8382" spans="1:1" x14ac:dyDescent="0.2">
      <c r="A8382" s="1" t="s">
        <v>2114</v>
      </c>
    </row>
    <row r="8383" spans="1:1" x14ac:dyDescent="0.2">
      <c r="A8383" s="1" t="s">
        <v>2115</v>
      </c>
    </row>
    <row r="8384" spans="1:1" x14ac:dyDescent="0.2">
      <c r="A8384" s="1" t="s">
        <v>2116</v>
      </c>
    </row>
    <row r="8385" spans="1:1" x14ac:dyDescent="0.2">
      <c r="A8385" s="1" t="s">
        <v>2117</v>
      </c>
    </row>
    <row r="8386" spans="1:1" x14ac:dyDescent="0.2">
      <c r="A8386" s="1" t="s">
        <v>2117</v>
      </c>
    </row>
    <row r="8387" spans="1:1" x14ac:dyDescent="0.2">
      <c r="A8387" s="1" t="s">
        <v>2117</v>
      </c>
    </row>
    <row r="8388" spans="1:1" x14ac:dyDescent="0.2">
      <c r="A8388" s="1" t="s">
        <v>2109</v>
      </c>
    </row>
    <row r="8389" spans="1:1" x14ac:dyDescent="0.2">
      <c r="A8389" s="1" t="s">
        <v>2118</v>
      </c>
    </row>
    <row r="8390" spans="1:1" x14ac:dyDescent="0.2">
      <c r="A8390" s="1" t="s">
        <v>2118</v>
      </c>
    </row>
    <row r="8391" spans="1:1" x14ac:dyDescent="0.2">
      <c r="A8391" s="1" t="s">
        <v>2119</v>
      </c>
    </row>
    <row r="8392" spans="1:1" x14ac:dyDescent="0.2">
      <c r="A8392" s="1" t="s">
        <v>2120</v>
      </c>
    </row>
    <row r="8393" spans="1:1" x14ac:dyDescent="0.2">
      <c r="A8393" s="1" t="s">
        <v>2121</v>
      </c>
    </row>
    <row r="8394" spans="1:1" x14ac:dyDescent="0.2">
      <c r="A8394" s="1" t="s">
        <v>2122</v>
      </c>
    </row>
    <row r="8395" spans="1:1" x14ac:dyDescent="0.2">
      <c r="A8395" s="1" t="s">
        <v>2123</v>
      </c>
    </row>
    <row r="8396" spans="1:1" x14ac:dyDescent="0.2">
      <c r="A8396" s="1" t="s">
        <v>2124</v>
      </c>
    </row>
    <row r="8397" spans="1:1" x14ac:dyDescent="0.2">
      <c r="A8397" s="1" t="s">
        <v>2125</v>
      </c>
    </row>
    <row r="8398" spans="1:1" x14ac:dyDescent="0.2">
      <c r="A8398" s="1" t="s">
        <v>2126</v>
      </c>
    </row>
    <row r="8399" spans="1:1" x14ac:dyDescent="0.2">
      <c r="A8399" s="1" t="s">
        <v>2126</v>
      </c>
    </row>
    <row r="8400" spans="1:1" x14ac:dyDescent="0.2">
      <c r="A8400" s="1" t="s">
        <v>2126</v>
      </c>
    </row>
    <row r="8401" spans="1:1" x14ac:dyDescent="0.2">
      <c r="A8401" s="1" t="s">
        <v>2126</v>
      </c>
    </row>
    <row r="8402" spans="1:1" x14ac:dyDescent="0.2">
      <c r="A8402" s="1" t="s">
        <v>2118</v>
      </c>
    </row>
    <row r="8403" spans="1:1" x14ac:dyDescent="0.2">
      <c r="A8403" s="1" t="s">
        <v>2118</v>
      </c>
    </row>
    <row r="8404" spans="1:1" x14ac:dyDescent="0.2">
      <c r="A8404" s="1" t="s">
        <v>2118</v>
      </c>
    </row>
    <row r="8405" spans="1:1" x14ac:dyDescent="0.2">
      <c r="A8405" s="1" t="s">
        <v>2119</v>
      </c>
    </row>
    <row r="8406" spans="1:1" x14ac:dyDescent="0.2">
      <c r="A8406" s="1" t="s">
        <v>2120</v>
      </c>
    </row>
    <row r="8407" spans="1:1" x14ac:dyDescent="0.2">
      <c r="A8407" s="1" t="s">
        <v>2121</v>
      </c>
    </row>
    <row r="8408" spans="1:1" x14ac:dyDescent="0.2">
      <c r="A8408" s="1" t="s">
        <v>2122</v>
      </c>
    </row>
    <row r="8409" spans="1:1" x14ac:dyDescent="0.2">
      <c r="A8409" s="1" t="s">
        <v>2123</v>
      </c>
    </row>
    <row r="8410" spans="1:1" x14ac:dyDescent="0.2">
      <c r="A8410" s="1" t="s">
        <v>2124</v>
      </c>
    </row>
    <row r="8411" spans="1:1" x14ac:dyDescent="0.2">
      <c r="A8411" s="1" t="s">
        <v>2125</v>
      </c>
    </row>
    <row r="8412" spans="1:1" x14ac:dyDescent="0.2">
      <c r="A8412" s="1" t="s">
        <v>2126</v>
      </c>
    </row>
    <row r="8413" spans="1:1" x14ac:dyDescent="0.2">
      <c r="A8413" s="1" t="s">
        <v>2126</v>
      </c>
    </row>
    <row r="8414" spans="1:1" x14ac:dyDescent="0.2">
      <c r="A8414" s="1" t="s">
        <v>2126</v>
      </c>
    </row>
    <row r="8415" spans="1:1" x14ac:dyDescent="0.2">
      <c r="A8415" s="1" t="s">
        <v>2126</v>
      </c>
    </row>
    <row r="8416" spans="1:1" x14ac:dyDescent="0.2">
      <c r="A8416" s="1" t="s">
        <v>2118</v>
      </c>
    </row>
    <row r="8417" spans="1:1" x14ac:dyDescent="0.2">
      <c r="A8417" s="1" t="s">
        <v>2118</v>
      </c>
    </row>
    <row r="8418" spans="1:1" x14ac:dyDescent="0.2">
      <c r="A8418" s="1" t="s">
        <v>2118</v>
      </c>
    </row>
    <row r="8419" spans="1:1" x14ac:dyDescent="0.2">
      <c r="A8419" s="1" t="s">
        <v>2119</v>
      </c>
    </row>
    <row r="8420" spans="1:1" x14ac:dyDescent="0.2">
      <c r="A8420" s="1" t="s">
        <v>2120</v>
      </c>
    </row>
    <row r="8421" spans="1:1" x14ac:dyDescent="0.2">
      <c r="A8421" s="1" t="s">
        <v>2121</v>
      </c>
    </row>
    <row r="8422" spans="1:1" x14ac:dyDescent="0.2">
      <c r="A8422" s="1" t="s">
        <v>2122</v>
      </c>
    </row>
    <row r="8423" spans="1:1" x14ac:dyDescent="0.2">
      <c r="A8423" s="1" t="s">
        <v>2123</v>
      </c>
    </row>
    <row r="8424" spans="1:1" x14ac:dyDescent="0.2">
      <c r="A8424" s="1" t="s">
        <v>2124</v>
      </c>
    </row>
    <row r="8425" spans="1:1" x14ac:dyDescent="0.2">
      <c r="A8425" s="1" t="s">
        <v>2125</v>
      </c>
    </row>
    <row r="8426" spans="1:1" x14ac:dyDescent="0.2">
      <c r="A8426" s="1" t="s">
        <v>2126</v>
      </c>
    </row>
    <row r="8427" spans="1:1" x14ac:dyDescent="0.2">
      <c r="A8427" s="1" t="s">
        <v>2126</v>
      </c>
    </row>
    <row r="8428" spans="1:1" x14ac:dyDescent="0.2">
      <c r="A8428" s="1" t="s">
        <v>2126</v>
      </c>
    </row>
    <row r="8429" spans="1:1" x14ac:dyDescent="0.2">
      <c r="A8429" s="1" t="s">
        <v>2126</v>
      </c>
    </row>
    <row r="8430" spans="1:1" x14ac:dyDescent="0.2">
      <c r="A8430" s="1" t="s">
        <v>2118</v>
      </c>
    </row>
    <row r="8431" spans="1:1" x14ac:dyDescent="0.2">
      <c r="A8431" s="1" t="s">
        <v>2118</v>
      </c>
    </row>
    <row r="8432" spans="1:1" x14ac:dyDescent="0.2">
      <c r="A8432" s="1" t="s">
        <v>2118</v>
      </c>
    </row>
    <row r="8433" spans="1:1" x14ac:dyDescent="0.2">
      <c r="A8433" s="1" t="s">
        <v>2119</v>
      </c>
    </row>
    <row r="8434" spans="1:1" x14ac:dyDescent="0.2">
      <c r="A8434" s="1" t="s">
        <v>2120</v>
      </c>
    </row>
    <row r="8435" spans="1:1" x14ac:dyDescent="0.2">
      <c r="A8435" s="1" t="s">
        <v>2121</v>
      </c>
    </row>
    <row r="8436" spans="1:1" x14ac:dyDescent="0.2">
      <c r="A8436" s="1" t="s">
        <v>2122</v>
      </c>
    </row>
    <row r="8437" spans="1:1" x14ac:dyDescent="0.2">
      <c r="A8437" s="1" t="s">
        <v>2123</v>
      </c>
    </row>
    <row r="8438" spans="1:1" x14ac:dyDescent="0.2">
      <c r="A8438" s="1" t="s">
        <v>2124</v>
      </c>
    </row>
    <row r="8439" spans="1:1" x14ac:dyDescent="0.2">
      <c r="A8439" s="1" t="s">
        <v>2125</v>
      </c>
    </row>
    <row r="8440" spans="1:1" x14ac:dyDescent="0.2">
      <c r="A8440" s="1" t="s">
        <v>2126</v>
      </c>
    </row>
    <row r="8441" spans="1:1" x14ac:dyDescent="0.2">
      <c r="A8441" s="1" t="s">
        <v>2126</v>
      </c>
    </row>
    <row r="8442" spans="1:1" x14ac:dyDescent="0.2">
      <c r="A8442" s="1" t="s">
        <v>2126</v>
      </c>
    </row>
    <row r="8443" spans="1:1" x14ac:dyDescent="0.2">
      <c r="A8443" s="1" t="s">
        <v>2126</v>
      </c>
    </row>
    <row r="8444" spans="1:1" x14ac:dyDescent="0.2">
      <c r="A8444" s="1" t="s">
        <v>2118</v>
      </c>
    </row>
    <row r="8445" spans="1:1" x14ac:dyDescent="0.2">
      <c r="A8445" s="1" t="s">
        <v>2127</v>
      </c>
    </row>
    <row r="8446" spans="1:1" x14ac:dyDescent="0.2">
      <c r="A8446" s="1" t="s">
        <v>2127</v>
      </c>
    </row>
    <row r="8447" spans="1:1" x14ac:dyDescent="0.2">
      <c r="A8447" s="1" t="s">
        <v>2128</v>
      </c>
    </row>
    <row r="8448" spans="1:1" x14ac:dyDescent="0.2">
      <c r="A8448" s="1" t="s">
        <v>2129</v>
      </c>
    </row>
    <row r="8449" spans="1:1" x14ac:dyDescent="0.2">
      <c r="A8449" s="1" t="s">
        <v>2130</v>
      </c>
    </row>
    <row r="8450" spans="1:1" x14ac:dyDescent="0.2">
      <c r="A8450" s="1" t="s">
        <v>2131</v>
      </c>
    </row>
    <row r="8451" spans="1:1" x14ac:dyDescent="0.2">
      <c r="A8451" s="1" t="s">
        <v>2132</v>
      </c>
    </row>
    <row r="8452" spans="1:1" x14ac:dyDescent="0.2">
      <c r="A8452" s="1" t="s">
        <v>2133</v>
      </c>
    </row>
    <row r="8453" spans="1:1" x14ac:dyDescent="0.2">
      <c r="A8453" s="1" t="s">
        <v>2134</v>
      </c>
    </row>
    <row r="8454" spans="1:1" x14ac:dyDescent="0.2">
      <c r="A8454" s="1" t="s">
        <v>2135</v>
      </c>
    </row>
    <row r="8455" spans="1:1" x14ac:dyDescent="0.2">
      <c r="A8455" s="1" t="s">
        <v>2135</v>
      </c>
    </row>
    <row r="8456" spans="1:1" x14ac:dyDescent="0.2">
      <c r="A8456" s="1" t="s">
        <v>2135</v>
      </c>
    </row>
    <row r="8457" spans="1:1" x14ac:dyDescent="0.2">
      <c r="A8457" s="1" t="s">
        <v>2135</v>
      </c>
    </row>
    <row r="8458" spans="1:1" x14ac:dyDescent="0.2">
      <c r="A8458" s="1" t="s">
        <v>2127</v>
      </c>
    </row>
    <row r="8459" spans="1:1" x14ac:dyDescent="0.2">
      <c r="A8459" s="1" t="s">
        <v>2127</v>
      </c>
    </row>
    <row r="8460" spans="1:1" x14ac:dyDescent="0.2">
      <c r="A8460" s="1" t="s">
        <v>2127</v>
      </c>
    </row>
    <row r="8461" spans="1:1" x14ac:dyDescent="0.2">
      <c r="A8461" s="1" t="s">
        <v>2128</v>
      </c>
    </row>
    <row r="8462" spans="1:1" x14ac:dyDescent="0.2">
      <c r="A8462" s="1" t="s">
        <v>2129</v>
      </c>
    </row>
    <row r="8463" spans="1:1" x14ac:dyDescent="0.2">
      <c r="A8463" s="1" t="s">
        <v>2130</v>
      </c>
    </row>
    <row r="8464" spans="1:1" x14ac:dyDescent="0.2">
      <c r="A8464" s="1" t="s">
        <v>2131</v>
      </c>
    </row>
    <row r="8465" spans="1:1" x14ac:dyDescent="0.2">
      <c r="A8465" s="1" t="s">
        <v>2132</v>
      </c>
    </row>
    <row r="8466" spans="1:1" x14ac:dyDescent="0.2">
      <c r="A8466" s="1" t="s">
        <v>2133</v>
      </c>
    </row>
    <row r="8467" spans="1:1" x14ac:dyDescent="0.2">
      <c r="A8467" s="1" t="s">
        <v>2134</v>
      </c>
    </row>
    <row r="8468" spans="1:1" x14ac:dyDescent="0.2">
      <c r="A8468" s="1" t="s">
        <v>2135</v>
      </c>
    </row>
    <row r="8469" spans="1:1" x14ac:dyDescent="0.2">
      <c r="A8469" s="1" t="s">
        <v>2135</v>
      </c>
    </row>
    <row r="8470" spans="1:1" x14ac:dyDescent="0.2">
      <c r="A8470" s="1" t="s">
        <v>2135</v>
      </c>
    </row>
    <row r="8471" spans="1:1" x14ac:dyDescent="0.2">
      <c r="A8471" s="1" t="s">
        <v>2135</v>
      </c>
    </row>
    <row r="8472" spans="1:1" x14ac:dyDescent="0.2">
      <c r="A8472" s="1" t="s">
        <v>2127</v>
      </c>
    </row>
    <row r="8473" spans="1:1" x14ac:dyDescent="0.2">
      <c r="A8473" s="1" t="s">
        <v>2127</v>
      </c>
    </row>
    <row r="8474" spans="1:1" x14ac:dyDescent="0.2">
      <c r="A8474" s="1" t="s">
        <v>2127</v>
      </c>
    </row>
    <row r="8475" spans="1:1" x14ac:dyDescent="0.2">
      <c r="A8475" s="1" t="s">
        <v>2128</v>
      </c>
    </row>
    <row r="8476" spans="1:1" x14ac:dyDescent="0.2">
      <c r="A8476" s="1" t="s">
        <v>2129</v>
      </c>
    </row>
    <row r="8477" spans="1:1" x14ac:dyDescent="0.2">
      <c r="A8477" s="1" t="s">
        <v>2130</v>
      </c>
    </row>
    <row r="8478" spans="1:1" x14ac:dyDescent="0.2">
      <c r="A8478" s="1" t="s">
        <v>2131</v>
      </c>
    </row>
    <row r="8479" spans="1:1" x14ac:dyDescent="0.2">
      <c r="A8479" s="1" t="s">
        <v>2132</v>
      </c>
    </row>
    <row r="8480" spans="1:1" x14ac:dyDescent="0.2">
      <c r="A8480" s="1" t="s">
        <v>2133</v>
      </c>
    </row>
    <row r="8481" spans="1:1" x14ac:dyDescent="0.2">
      <c r="A8481" s="1" t="s">
        <v>2134</v>
      </c>
    </row>
    <row r="8482" spans="1:1" x14ac:dyDescent="0.2">
      <c r="A8482" s="1" t="s">
        <v>2135</v>
      </c>
    </row>
    <row r="8483" spans="1:1" x14ac:dyDescent="0.2">
      <c r="A8483" s="1" t="s">
        <v>2135</v>
      </c>
    </row>
    <row r="8484" spans="1:1" x14ac:dyDescent="0.2">
      <c r="A8484" s="1" t="s">
        <v>2135</v>
      </c>
    </row>
    <row r="8485" spans="1:1" x14ac:dyDescent="0.2">
      <c r="A8485" s="1" t="s">
        <v>2135</v>
      </c>
    </row>
    <row r="8486" spans="1:1" x14ac:dyDescent="0.2">
      <c r="A8486" s="1" t="s">
        <v>2127</v>
      </c>
    </row>
    <row r="8487" spans="1:1" x14ac:dyDescent="0.2">
      <c r="A8487" s="1" t="s">
        <v>2127</v>
      </c>
    </row>
    <row r="8488" spans="1:1" x14ac:dyDescent="0.2">
      <c r="A8488" s="1" t="s">
        <v>2127</v>
      </c>
    </row>
    <row r="8489" spans="1:1" x14ac:dyDescent="0.2">
      <c r="A8489" s="1" t="s">
        <v>2128</v>
      </c>
    </row>
    <row r="8490" spans="1:1" x14ac:dyDescent="0.2">
      <c r="A8490" s="1" t="s">
        <v>2129</v>
      </c>
    </row>
    <row r="8491" spans="1:1" x14ac:dyDescent="0.2">
      <c r="A8491" s="1" t="s">
        <v>2130</v>
      </c>
    </row>
    <row r="8492" spans="1:1" x14ac:dyDescent="0.2">
      <c r="A8492" s="1" t="s">
        <v>2131</v>
      </c>
    </row>
    <row r="8493" spans="1:1" x14ac:dyDescent="0.2">
      <c r="A8493" s="1" t="s">
        <v>2132</v>
      </c>
    </row>
    <row r="8494" spans="1:1" x14ac:dyDescent="0.2">
      <c r="A8494" s="1" t="s">
        <v>2133</v>
      </c>
    </row>
    <row r="8495" spans="1:1" x14ac:dyDescent="0.2">
      <c r="A8495" s="1" t="s">
        <v>2134</v>
      </c>
    </row>
    <row r="8496" spans="1:1" x14ac:dyDescent="0.2">
      <c r="A8496" s="1" t="s">
        <v>2135</v>
      </c>
    </row>
    <row r="8497" spans="1:1" x14ac:dyDescent="0.2">
      <c r="A8497" s="1" t="s">
        <v>2135</v>
      </c>
    </row>
    <row r="8498" spans="1:1" x14ac:dyDescent="0.2">
      <c r="A8498" s="1" t="s">
        <v>2135</v>
      </c>
    </row>
    <row r="8499" spans="1:1" x14ac:dyDescent="0.2">
      <c r="A8499" s="1" t="s">
        <v>2135</v>
      </c>
    </row>
    <row r="8500" spans="1:1" x14ac:dyDescent="0.2">
      <c r="A8500" s="1" t="s">
        <v>2127</v>
      </c>
    </row>
    <row r="8501" spans="1:1" x14ac:dyDescent="0.2">
      <c r="A8501" s="1" t="s">
        <v>2137</v>
      </c>
    </row>
    <row r="8502" spans="1:1" x14ac:dyDescent="0.2">
      <c r="A8502" s="1" t="s">
        <v>2138</v>
      </c>
    </row>
    <row r="8503" spans="1:1" x14ac:dyDescent="0.2">
      <c r="A8503" s="1" t="s">
        <v>2139</v>
      </c>
    </row>
    <row r="8504" spans="1:1" x14ac:dyDescent="0.2">
      <c r="A8504" s="1" t="s">
        <v>2140</v>
      </c>
    </row>
    <row r="8505" spans="1:1" x14ac:dyDescent="0.2">
      <c r="A8505" s="1" t="s">
        <v>2141</v>
      </c>
    </row>
    <row r="8506" spans="1:1" x14ac:dyDescent="0.2">
      <c r="A8506" s="1" t="s">
        <v>2142</v>
      </c>
    </row>
    <row r="8507" spans="1:1" x14ac:dyDescent="0.2">
      <c r="A8507" s="1" t="s">
        <v>2143</v>
      </c>
    </row>
    <row r="8508" spans="1:1" x14ac:dyDescent="0.2">
      <c r="A8508" s="1" t="s">
        <v>2144</v>
      </c>
    </row>
    <row r="8509" spans="1:1" x14ac:dyDescent="0.2">
      <c r="A8509" s="1" t="s">
        <v>2143</v>
      </c>
    </row>
    <row r="8510" spans="1:1" x14ac:dyDescent="0.2">
      <c r="A8510" s="1" t="s">
        <v>2145</v>
      </c>
    </row>
    <row r="8511" spans="1:1" x14ac:dyDescent="0.2">
      <c r="A8511" s="1" t="s">
        <v>2146</v>
      </c>
    </row>
    <row r="8512" spans="1:1" x14ac:dyDescent="0.2">
      <c r="A8512" s="1" t="s">
        <v>2147</v>
      </c>
    </row>
    <row r="8513" spans="1:1" x14ac:dyDescent="0.2">
      <c r="A8513" s="1" t="s">
        <v>2148</v>
      </c>
    </row>
    <row r="8514" spans="1:1" x14ac:dyDescent="0.2">
      <c r="A8514" s="1" t="s">
        <v>2149</v>
      </c>
    </row>
    <row r="8515" spans="1:1" x14ac:dyDescent="0.2">
      <c r="A8515" s="1" t="s">
        <v>2150</v>
      </c>
    </row>
    <row r="8516" spans="1:1" x14ac:dyDescent="0.2">
      <c r="A8516" s="1" t="s">
        <v>2151</v>
      </c>
    </row>
    <row r="8517" spans="1:1" x14ac:dyDescent="0.2">
      <c r="A8517" s="1" t="s">
        <v>2152</v>
      </c>
    </row>
    <row r="8518" spans="1:1" x14ac:dyDescent="0.2">
      <c r="A8518" s="1" t="s">
        <v>2153</v>
      </c>
    </row>
    <row r="8519" spans="1:1" x14ac:dyDescent="0.2">
      <c r="A8519" s="1" t="s">
        <v>2154</v>
      </c>
    </row>
    <row r="8520" spans="1:1" x14ac:dyDescent="0.2">
      <c r="A8520" s="1" t="s">
        <v>2155</v>
      </c>
    </row>
    <row r="8521" spans="1:1" x14ac:dyDescent="0.2">
      <c r="A8521" s="1" t="s">
        <v>2156</v>
      </c>
    </row>
    <row r="8522" spans="1:1" x14ac:dyDescent="0.2">
      <c r="A8522" s="1" t="s">
        <v>2157</v>
      </c>
    </row>
    <row r="8523" spans="1:1" x14ac:dyDescent="0.2">
      <c r="A8523" s="1" t="s">
        <v>2158</v>
      </c>
    </row>
    <row r="8524" spans="1:1" x14ac:dyDescent="0.2">
      <c r="A8524" s="1" t="s">
        <v>2159</v>
      </c>
    </row>
    <row r="8525" spans="1:1" x14ac:dyDescent="0.2">
      <c r="A8525" s="1" t="s">
        <v>2160</v>
      </c>
    </row>
    <row r="8526" spans="1:1" x14ac:dyDescent="0.2">
      <c r="A8526" s="1" t="s">
        <v>2161</v>
      </c>
    </row>
    <row r="8527" spans="1:1" x14ac:dyDescent="0.2">
      <c r="A8527" s="1" t="s">
        <v>2162</v>
      </c>
    </row>
    <row r="8528" spans="1:1" x14ac:dyDescent="0.2">
      <c r="A8528" s="1" t="s">
        <v>2163</v>
      </c>
    </row>
    <row r="8529" spans="1:1" x14ac:dyDescent="0.2">
      <c r="A8529" s="1" t="s">
        <v>2164</v>
      </c>
    </row>
    <row r="8530" spans="1:1" x14ac:dyDescent="0.2">
      <c r="A8530" s="1" t="s">
        <v>2165</v>
      </c>
    </row>
    <row r="8531" spans="1:1" x14ac:dyDescent="0.2">
      <c r="A8531" s="1" t="s">
        <v>2166</v>
      </c>
    </row>
    <row r="8532" spans="1:1" x14ac:dyDescent="0.2">
      <c r="A8532" s="1" t="s">
        <v>2167</v>
      </c>
    </row>
    <row r="8533" spans="1:1" x14ac:dyDescent="0.2">
      <c r="A8533" s="1" t="s">
        <v>2157</v>
      </c>
    </row>
    <row r="8534" spans="1:1" x14ac:dyDescent="0.2">
      <c r="A8534" s="1" t="s">
        <v>2168</v>
      </c>
    </row>
    <row r="8535" spans="1:1" x14ac:dyDescent="0.2">
      <c r="A8535" s="1" t="s">
        <v>2159</v>
      </c>
    </row>
    <row r="8536" spans="1:1" x14ac:dyDescent="0.2">
      <c r="A8536" s="1" t="s">
        <v>2160</v>
      </c>
    </row>
    <row r="8537" spans="1:1" x14ac:dyDescent="0.2">
      <c r="A8537" s="1" t="s">
        <v>2161</v>
      </c>
    </row>
    <row r="8538" spans="1:1" x14ac:dyDescent="0.2">
      <c r="A8538" s="1" t="s">
        <v>2169</v>
      </c>
    </row>
    <row r="8539" spans="1:1" x14ac:dyDescent="0.2">
      <c r="A8539" s="1" t="s">
        <v>2163</v>
      </c>
    </row>
    <row r="8540" spans="1:1" x14ac:dyDescent="0.2">
      <c r="A8540" s="1" t="s">
        <v>2164</v>
      </c>
    </row>
    <row r="8541" spans="1:1" x14ac:dyDescent="0.2">
      <c r="A8541" s="1" t="s">
        <v>2165</v>
      </c>
    </row>
    <row r="8542" spans="1:1" x14ac:dyDescent="0.2">
      <c r="A8542" s="1" t="s">
        <v>2166</v>
      </c>
    </row>
    <row r="8543" spans="1:1" x14ac:dyDescent="0.2">
      <c r="A8543" s="1" t="s">
        <v>2167</v>
      </c>
    </row>
    <row r="8544" spans="1:1" x14ac:dyDescent="0.2">
      <c r="A8544" s="1" t="s">
        <v>2170</v>
      </c>
    </row>
    <row r="8545" spans="1:1" x14ac:dyDescent="0.2">
      <c r="A8545" s="1" t="s">
        <v>2171</v>
      </c>
    </row>
    <row r="8546" spans="1:1" x14ac:dyDescent="0.2">
      <c r="A8546" s="1" t="s">
        <v>2172</v>
      </c>
    </row>
    <row r="8547" spans="1:1" x14ac:dyDescent="0.2">
      <c r="A8547" s="1" t="s">
        <v>2173</v>
      </c>
    </row>
    <row r="8548" spans="1:1" x14ac:dyDescent="0.2">
      <c r="A8548" s="1" t="s">
        <v>2174</v>
      </c>
    </row>
    <row r="8549" spans="1:1" x14ac:dyDescent="0.2">
      <c r="A8549" s="1" t="s">
        <v>2175</v>
      </c>
    </row>
    <row r="8550" spans="1:1" x14ac:dyDescent="0.2">
      <c r="A8550" s="1" t="s">
        <v>2176</v>
      </c>
    </row>
    <row r="8551" spans="1:1" x14ac:dyDescent="0.2">
      <c r="A8551" s="1" t="s">
        <v>2177</v>
      </c>
    </row>
    <row r="8552" spans="1:1" x14ac:dyDescent="0.2">
      <c r="A8552" s="1" t="s">
        <v>2178</v>
      </c>
    </row>
    <row r="8553" spans="1:1" x14ac:dyDescent="0.2">
      <c r="A8553" s="1" t="s">
        <v>2179</v>
      </c>
    </row>
    <row r="8554" spans="1:1" x14ac:dyDescent="0.2">
      <c r="A8554" s="1" t="s">
        <v>2180</v>
      </c>
    </row>
    <row r="8555" spans="1:1" x14ac:dyDescent="0.2">
      <c r="A8555" s="1" t="s">
        <v>2170</v>
      </c>
    </row>
    <row r="8556" spans="1:1" x14ac:dyDescent="0.2">
      <c r="A8556" s="1" t="s">
        <v>2181</v>
      </c>
    </row>
    <row r="8557" spans="1:1" x14ac:dyDescent="0.2">
      <c r="A8557" s="1" t="s">
        <v>2172</v>
      </c>
    </row>
    <row r="8558" spans="1:1" x14ac:dyDescent="0.2">
      <c r="A8558" s="1" t="s">
        <v>2173</v>
      </c>
    </row>
    <row r="8559" spans="1:1" x14ac:dyDescent="0.2">
      <c r="A8559" s="1" t="s">
        <v>2174</v>
      </c>
    </row>
    <row r="8560" spans="1:1" x14ac:dyDescent="0.2">
      <c r="A8560" s="1" t="s">
        <v>2182</v>
      </c>
    </row>
    <row r="8561" spans="1:1" x14ac:dyDescent="0.2">
      <c r="A8561" s="1" t="s">
        <v>2176</v>
      </c>
    </row>
    <row r="8562" spans="1:1" x14ac:dyDescent="0.2">
      <c r="A8562" s="1" t="s">
        <v>2177</v>
      </c>
    </row>
    <row r="8563" spans="1:1" x14ac:dyDescent="0.2">
      <c r="A8563" s="1" t="s">
        <v>2178</v>
      </c>
    </row>
    <row r="8564" spans="1:1" x14ac:dyDescent="0.2">
      <c r="A8564" s="1" t="s">
        <v>2179</v>
      </c>
    </row>
    <row r="8565" spans="1:1" x14ac:dyDescent="0.2">
      <c r="A8565" s="1" t="s">
        <v>2180</v>
      </c>
    </row>
    <row r="8566" spans="1:1" x14ac:dyDescent="0.2">
      <c r="A8566" s="1" t="s">
        <v>2183</v>
      </c>
    </row>
    <row r="8567" spans="1:1" x14ac:dyDescent="0.2">
      <c r="A8567" s="1" t="s">
        <v>2184</v>
      </c>
    </row>
    <row r="8568" spans="1:1" x14ac:dyDescent="0.2">
      <c r="A8568" s="1" t="s">
        <v>2185</v>
      </c>
    </row>
    <row r="8569" spans="1:1" x14ac:dyDescent="0.2">
      <c r="A8569" s="1" t="s">
        <v>2186</v>
      </c>
    </row>
    <row r="8570" spans="1:1" x14ac:dyDescent="0.2">
      <c r="A8570" s="1" t="s">
        <v>2187</v>
      </c>
    </row>
    <row r="8571" spans="1:1" x14ac:dyDescent="0.2">
      <c r="A8571" s="1" t="s">
        <v>2188</v>
      </c>
    </row>
    <row r="8572" spans="1:1" x14ac:dyDescent="0.2">
      <c r="A8572" s="1" t="s">
        <v>2189</v>
      </c>
    </row>
    <row r="8573" spans="1:1" x14ac:dyDescent="0.2">
      <c r="A8573" s="1" t="s">
        <v>2190</v>
      </c>
    </row>
    <row r="8574" spans="1:1" x14ac:dyDescent="0.2">
      <c r="A8574" s="1" t="s">
        <v>2191</v>
      </c>
    </row>
    <row r="8575" spans="1:1" x14ac:dyDescent="0.2">
      <c r="A8575" s="1" t="s">
        <v>2192</v>
      </c>
    </row>
    <row r="8576" spans="1:1" x14ac:dyDescent="0.2">
      <c r="A8576" s="1" t="s">
        <v>2193</v>
      </c>
    </row>
    <row r="8577" spans="1:1" x14ac:dyDescent="0.2">
      <c r="A8577" s="1" t="s">
        <v>2183</v>
      </c>
    </row>
    <row r="8578" spans="1:1" x14ac:dyDescent="0.2">
      <c r="A8578" s="1" t="s">
        <v>2194</v>
      </c>
    </row>
    <row r="8579" spans="1:1" x14ac:dyDescent="0.2">
      <c r="A8579" s="1" t="s">
        <v>2185</v>
      </c>
    </row>
    <row r="8580" spans="1:1" x14ac:dyDescent="0.2">
      <c r="A8580" s="1" t="s">
        <v>2186</v>
      </c>
    </row>
    <row r="8581" spans="1:1" x14ac:dyDescent="0.2">
      <c r="A8581" s="1" t="s">
        <v>2187</v>
      </c>
    </row>
    <row r="8582" spans="1:1" x14ac:dyDescent="0.2">
      <c r="A8582" s="1" t="s">
        <v>2195</v>
      </c>
    </row>
    <row r="8583" spans="1:1" x14ac:dyDescent="0.2">
      <c r="A8583" s="1" t="s">
        <v>2189</v>
      </c>
    </row>
    <row r="8584" spans="1:1" x14ac:dyDescent="0.2">
      <c r="A8584" s="1" t="s">
        <v>2190</v>
      </c>
    </row>
    <row r="8585" spans="1:1" x14ac:dyDescent="0.2">
      <c r="A8585" s="1" t="s">
        <v>2191</v>
      </c>
    </row>
    <row r="8586" spans="1:1" x14ac:dyDescent="0.2">
      <c r="A8586" s="1" t="s">
        <v>2192</v>
      </c>
    </row>
    <row r="8587" spans="1:1" x14ac:dyDescent="0.2">
      <c r="A8587" s="1" t="s">
        <v>2193</v>
      </c>
    </row>
    <row r="8588" spans="1:1" x14ac:dyDescent="0.2">
      <c r="A8588" s="1" t="s">
        <v>2196</v>
      </c>
    </row>
    <row r="8589" spans="1:1" x14ac:dyDescent="0.2">
      <c r="A8589" s="1" t="s">
        <v>2197</v>
      </c>
    </row>
    <row r="8590" spans="1:1" x14ac:dyDescent="0.2">
      <c r="A8590" s="1" t="s">
        <v>2198</v>
      </c>
    </row>
    <row r="8591" spans="1:1" x14ac:dyDescent="0.2">
      <c r="A8591" s="1" t="s">
        <v>2199</v>
      </c>
    </row>
    <row r="8592" spans="1:1" x14ac:dyDescent="0.2">
      <c r="A8592" s="1" t="s">
        <v>2200</v>
      </c>
    </row>
    <row r="8593" spans="1:1" x14ac:dyDescent="0.2">
      <c r="A8593" s="1" t="s">
        <v>2201</v>
      </c>
    </row>
    <row r="8594" spans="1:1" x14ac:dyDescent="0.2">
      <c r="A8594" s="1" t="s">
        <v>2202</v>
      </c>
    </row>
    <row r="8595" spans="1:1" x14ac:dyDescent="0.2">
      <c r="A8595" s="1" t="s">
        <v>2203</v>
      </c>
    </row>
    <row r="8596" spans="1:1" x14ac:dyDescent="0.2">
      <c r="A8596" s="1" t="s">
        <v>2204</v>
      </c>
    </row>
    <row r="8597" spans="1:1" x14ac:dyDescent="0.2">
      <c r="A8597" s="1" t="s">
        <v>2205</v>
      </c>
    </row>
    <row r="8598" spans="1:1" x14ac:dyDescent="0.2">
      <c r="A8598" s="1" t="s">
        <v>2206</v>
      </c>
    </row>
    <row r="8599" spans="1:1" x14ac:dyDescent="0.2">
      <c r="A8599" s="1" t="s">
        <v>2196</v>
      </c>
    </row>
    <row r="8600" spans="1:1" x14ac:dyDescent="0.2">
      <c r="A8600" s="1" t="s">
        <v>2207</v>
      </c>
    </row>
    <row r="8601" spans="1:1" x14ac:dyDescent="0.2">
      <c r="A8601" s="1" t="s">
        <v>2198</v>
      </c>
    </row>
    <row r="8602" spans="1:1" x14ac:dyDescent="0.2">
      <c r="A8602" s="1" t="s">
        <v>2199</v>
      </c>
    </row>
    <row r="8603" spans="1:1" x14ac:dyDescent="0.2">
      <c r="A8603" s="1" t="s">
        <v>2200</v>
      </c>
    </row>
    <row r="8604" spans="1:1" x14ac:dyDescent="0.2">
      <c r="A8604" s="1" t="s">
        <v>2208</v>
      </c>
    </row>
    <row r="8605" spans="1:1" x14ac:dyDescent="0.2">
      <c r="A8605" s="1" t="s">
        <v>2202</v>
      </c>
    </row>
    <row r="8606" spans="1:1" x14ac:dyDescent="0.2">
      <c r="A8606" s="1" t="s">
        <v>2203</v>
      </c>
    </row>
    <row r="8607" spans="1:1" x14ac:dyDescent="0.2">
      <c r="A8607" s="1" t="s">
        <v>2204</v>
      </c>
    </row>
    <row r="8608" spans="1:1" x14ac:dyDescent="0.2">
      <c r="A8608" s="1" t="s">
        <v>2205</v>
      </c>
    </row>
    <row r="8609" spans="1:1" x14ac:dyDescent="0.2">
      <c r="A8609" s="1" t="s">
        <v>2206</v>
      </c>
    </row>
    <row r="8610" spans="1:1" x14ac:dyDescent="0.2">
      <c r="A8610" s="1" t="s">
        <v>2209</v>
      </c>
    </row>
    <row r="8611" spans="1:1" x14ac:dyDescent="0.2">
      <c r="A8611" s="1" t="s">
        <v>2210</v>
      </c>
    </row>
    <row r="8612" spans="1:1" x14ac:dyDescent="0.2">
      <c r="A8612" s="1" t="s">
        <v>2211</v>
      </c>
    </row>
    <row r="8613" spans="1:1" x14ac:dyDescent="0.2">
      <c r="A8613" s="1" t="s">
        <v>2212</v>
      </c>
    </row>
    <row r="8614" spans="1:1" x14ac:dyDescent="0.2">
      <c r="A8614" s="1" t="s">
        <v>2213</v>
      </c>
    </row>
    <row r="8615" spans="1:1" x14ac:dyDescent="0.2">
      <c r="A8615" s="1" t="s">
        <v>2214</v>
      </c>
    </row>
    <row r="8616" spans="1:1" x14ac:dyDescent="0.2">
      <c r="A8616" s="1" t="s">
        <v>2215</v>
      </c>
    </row>
    <row r="8617" spans="1:1" x14ac:dyDescent="0.2">
      <c r="A8617" s="1" t="s">
        <v>2216</v>
      </c>
    </row>
    <row r="8618" spans="1:1" x14ac:dyDescent="0.2">
      <c r="A8618" s="1" t="s">
        <v>2217</v>
      </c>
    </row>
    <row r="8619" spans="1:1" x14ac:dyDescent="0.2">
      <c r="A8619" s="1" t="s">
        <v>2218</v>
      </c>
    </row>
    <row r="8620" spans="1:1" x14ac:dyDescent="0.2">
      <c r="A8620" s="1" t="s">
        <v>2219</v>
      </c>
    </row>
    <row r="8621" spans="1:1" x14ac:dyDescent="0.2">
      <c r="A8621" s="1" t="s">
        <v>2209</v>
      </c>
    </row>
    <row r="8622" spans="1:1" x14ac:dyDescent="0.2">
      <c r="A8622" s="1" t="s">
        <v>2220</v>
      </c>
    </row>
    <row r="8623" spans="1:1" x14ac:dyDescent="0.2">
      <c r="A8623" s="1" t="s">
        <v>2211</v>
      </c>
    </row>
    <row r="8624" spans="1:1" x14ac:dyDescent="0.2">
      <c r="A8624" s="1" t="s">
        <v>2212</v>
      </c>
    </row>
    <row r="8625" spans="1:1" x14ac:dyDescent="0.2">
      <c r="A8625" s="1" t="s">
        <v>2213</v>
      </c>
    </row>
    <row r="8626" spans="1:1" x14ac:dyDescent="0.2">
      <c r="A8626" s="1" t="s">
        <v>2221</v>
      </c>
    </row>
    <row r="8627" spans="1:1" x14ac:dyDescent="0.2">
      <c r="A8627" s="1" t="s">
        <v>2215</v>
      </c>
    </row>
    <row r="8628" spans="1:1" x14ac:dyDescent="0.2">
      <c r="A8628" s="1" t="s">
        <v>2216</v>
      </c>
    </row>
    <row r="8629" spans="1:1" x14ac:dyDescent="0.2">
      <c r="A8629" s="1" t="s">
        <v>2217</v>
      </c>
    </row>
    <row r="8630" spans="1:1" x14ac:dyDescent="0.2">
      <c r="A8630" s="1" t="s">
        <v>2218</v>
      </c>
    </row>
    <row r="8631" spans="1:1" x14ac:dyDescent="0.2">
      <c r="A8631" s="1" t="s">
        <v>2219</v>
      </c>
    </row>
    <row r="8632" spans="1:1" x14ac:dyDescent="0.2">
      <c r="A8632" s="1" t="s">
        <v>2222</v>
      </c>
    </row>
    <row r="8633" spans="1:1" x14ac:dyDescent="0.2">
      <c r="A8633" s="1" t="s">
        <v>2223</v>
      </c>
    </row>
    <row r="8634" spans="1:1" x14ac:dyDescent="0.2">
      <c r="A8634" s="1" t="s">
        <v>2224</v>
      </c>
    </row>
    <row r="8635" spans="1:1" x14ac:dyDescent="0.2">
      <c r="A8635" s="1" t="s">
        <v>2225</v>
      </c>
    </row>
    <row r="8636" spans="1:1" x14ac:dyDescent="0.2">
      <c r="A8636" s="1" t="s">
        <v>2226</v>
      </c>
    </row>
    <row r="8637" spans="1:1" x14ac:dyDescent="0.2">
      <c r="A8637" s="1" t="s">
        <v>2227</v>
      </c>
    </row>
    <row r="8638" spans="1:1" x14ac:dyDescent="0.2">
      <c r="A8638" s="1" t="s">
        <v>2228</v>
      </c>
    </row>
    <row r="8639" spans="1:1" x14ac:dyDescent="0.2">
      <c r="A8639" s="1" t="s">
        <v>2229</v>
      </c>
    </row>
    <row r="8640" spans="1:1" x14ac:dyDescent="0.2">
      <c r="A8640" s="1" t="s">
        <v>2230</v>
      </c>
    </row>
    <row r="8641" spans="1:1" x14ac:dyDescent="0.2">
      <c r="A8641" s="1" t="s">
        <v>2231</v>
      </c>
    </row>
    <row r="8642" spans="1:1" x14ac:dyDescent="0.2">
      <c r="A8642" s="1" t="s">
        <v>2232</v>
      </c>
    </row>
    <row r="8643" spans="1:1" x14ac:dyDescent="0.2">
      <c r="A8643" s="1" t="s">
        <v>2222</v>
      </c>
    </row>
    <row r="8644" spans="1:1" x14ac:dyDescent="0.2">
      <c r="A8644" s="1" t="s">
        <v>2233</v>
      </c>
    </row>
    <row r="8645" spans="1:1" x14ac:dyDescent="0.2">
      <c r="A8645" s="1" t="s">
        <v>2224</v>
      </c>
    </row>
    <row r="8646" spans="1:1" x14ac:dyDescent="0.2">
      <c r="A8646" s="1" t="s">
        <v>2225</v>
      </c>
    </row>
    <row r="8647" spans="1:1" x14ac:dyDescent="0.2">
      <c r="A8647" s="1" t="s">
        <v>2226</v>
      </c>
    </row>
    <row r="8648" spans="1:1" x14ac:dyDescent="0.2">
      <c r="A8648" s="1" t="s">
        <v>2234</v>
      </c>
    </row>
    <row r="8649" spans="1:1" x14ac:dyDescent="0.2">
      <c r="A8649" s="1" t="s">
        <v>2228</v>
      </c>
    </row>
    <row r="8650" spans="1:1" x14ac:dyDescent="0.2">
      <c r="A8650" s="1" t="s">
        <v>2229</v>
      </c>
    </row>
    <row r="8651" spans="1:1" x14ac:dyDescent="0.2">
      <c r="A8651" s="1" t="s">
        <v>2230</v>
      </c>
    </row>
    <row r="8652" spans="1:1" x14ac:dyDescent="0.2">
      <c r="A8652" s="1" t="s">
        <v>2231</v>
      </c>
    </row>
    <row r="8653" spans="1:1" x14ac:dyDescent="0.2">
      <c r="A8653" s="1" t="s">
        <v>2232</v>
      </c>
    </row>
    <row r="8654" spans="1:1" x14ac:dyDescent="0.2">
      <c r="A8654" s="1" t="s">
        <v>2235</v>
      </c>
    </row>
    <row r="8655" spans="1:1" x14ac:dyDescent="0.2">
      <c r="A8655" s="1" t="s">
        <v>2236</v>
      </c>
    </row>
    <row r="8656" spans="1:1" x14ac:dyDescent="0.2">
      <c r="A8656" s="1" t="s">
        <v>2237</v>
      </c>
    </row>
    <row r="8657" spans="1:1" x14ac:dyDescent="0.2">
      <c r="A8657" s="1" t="s">
        <v>2238</v>
      </c>
    </row>
    <row r="8658" spans="1:1" x14ac:dyDescent="0.2">
      <c r="A8658" s="1" t="s">
        <v>2239</v>
      </c>
    </row>
    <row r="8659" spans="1:1" x14ac:dyDescent="0.2">
      <c r="A8659" s="1" t="s">
        <v>2240</v>
      </c>
    </row>
    <row r="8660" spans="1:1" x14ac:dyDescent="0.2">
      <c r="A8660" s="1" t="s">
        <v>2241</v>
      </c>
    </row>
    <row r="8661" spans="1:1" x14ac:dyDescent="0.2">
      <c r="A8661" s="1" t="s">
        <v>2242</v>
      </c>
    </row>
    <row r="8662" spans="1:1" x14ac:dyDescent="0.2">
      <c r="A8662" s="1" t="s">
        <v>2243</v>
      </c>
    </row>
    <row r="8663" spans="1:1" x14ac:dyDescent="0.2">
      <c r="A8663" s="1" t="s">
        <v>2244</v>
      </c>
    </row>
    <row r="8664" spans="1:1" x14ac:dyDescent="0.2">
      <c r="A8664" s="1" t="s">
        <v>2245</v>
      </c>
    </row>
    <row r="8665" spans="1:1" x14ac:dyDescent="0.2">
      <c r="A8665" s="1" t="s">
        <v>2246</v>
      </c>
    </row>
    <row r="8666" spans="1:1" x14ac:dyDescent="0.2">
      <c r="A8666" s="1" t="s">
        <v>2247</v>
      </c>
    </row>
    <row r="8667" spans="1:1" x14ac:dyDescent="0.2">
      <c r="A8667" s="1" t="s">
        <v>2248</v>
      </c>
    </row>
    <row r="8668" spans="1:1" x14ac:dyDescent="0.2">
      <c r="A8668" s="1" t="s">
        <v>2249</v>
      </c>
    </row>
    <row r="8669" spans="1:1" x14ac:dyDescent="0.2">
      <c r="A8669" s="1" t="s">
        <v>2250</v>
      </c>
    </row>
    <row r="8670" spans="1:1" x14ac:dyDescent="0.2">
      <c r="A8670" s="1" t="s">
        <v>2251</v>
      </c>
    </row>
    <row r="8671" spans="1:1" x14ac:dyDescent="0.2">
      <c r="A8671" s="1" t="s">
        <v>2252</v>
      </c>
    </row>
    <row r="8672" spans="1:1" x14ac:dyDescent="0.2">
      <c r="A8672" s="1" t="s">
        <v>2253</v>
      </c>
    </row>
    <row r="8673" spans="1:1" x14ac:dyDescent="0.2">
      <c r="A8673" s="1" t="s">
        <v>2254</v>
      </c>
    </row>
    <row r="8674" spans="1:1" x14ac:dyDescent="0.2">
      <c r="A8674" s="1" t="s">
        <v>2255</v>
      </c>
    </row>
    <row r="8675" spans="1:1" x14ac:dyDescent="0.2">
      <c r="A8675" s="1" t="s">
        <v>2256</v>
      </c>
    </row>
    <row r="8676" spans="1:1" x14ac:dyDescent="0.2">
      <c r="A8676" s="1" t="s">
        <v>2257</v>
      </c>
    </row>
    <row r="8677" spans="1:1" x14ac:dyDescent="0.2">
      <c r="A8677" s="1" t="s">
        <v>2257</v>
      </c>
    </row>
    <row r="8678" spans="1:1" x14ac:dyDescent="0.2">
      <c r="A8678" s="1" t="s">
        <v>2258</v>
      </c>
    </row>
    <row r="8679" spans="1:1" x14ac:dyDescent="0.2">
      <c r="A8679" s="1" t="s">
        <v>2259</v>
      </c>
    </row>
    <row r="8680" spans="1:1" x14ac:dyDescent="0.2">
      <c r="A8680" s="1" t="s">
        <v>2260</v>
      </c>
    </row>
    <row r="8681" spans="1:1" x14ac:dyDescent="0.2">
      <c r="A8681" s="1" t="s">
        <v>2261</v>
      </c>
    </row>
    <row r="8682" spans="1:1" x14ac:dyDescent="0.2">
      <c r="A8682" s="1" t="s">
        <v>2262</v>
      </c>
    </row>
    <row r="8683" spans="1:1" x14ac:dyDescent="0.2">
      <c r="A8683" s="1" t="s">
        <v>2263</v>
      </c>
    </row>
    <row r="8684" spans="1:1" x14ac:dyDescent="0.2">
      <c r="A8684" s="1" t="s">
        <v>2264</v>
      </c>
    </row>
    <row r="8685" spans="1:1" x14ac:dyDescent="0.2">
      <c r="A8685" s="1" t="s">
        <v>2265</v>
      </c>
    </row>
    <row r="8686" spans="1:1" x14ac:dyDescent="0.2">
      <c r="A8686" s="1" t="s">
        <v>2265</v>
      </c>
    </row>
    <row r="8687" spans="1:1" x14ac:dyDescent="0.2">
      <c r="A8687" s="1" t="s">
        <v>2265</v>
      </c>
    </row>
    <row r="8688" spans="1:1" x14ac:dyDescent="0.2">
      <c r="A8688" s="1" t="s">
        <v>2265</v>
      </c>
    </row>
    <row r="8689" spans="1:1" x14ac:dyDescent="0.2">
      <c r="A8689" s="1" t="s">
        <v>2257</v>
      </c>
    </row>
    <row r="8690" spans="1:1" x14ac:dyDescent="0.2">
      <c r="A8690" s="1" t="s">
        <v>2257</v>
      </c>
    </row>
    <row r="8691" spans="1:1" x14ac:dyDescent="0.2">
      <c r="A8691" s="1" t="s">
        <v>2257</v>
      </c>
    </row>
    <row r="8692" spans="1:1" x14ac:dyDescent="0.2">
      <c r="A8692" s="1" t="s">
        <v>2258</v>
      </c>
    </row>
    <row r="8693" spans="1:1" x14ac:dyDescent="0.2">
      <c r="A8693" s="1" t="s">
        <v>2259</v>
      </c>
    </row>
    <row r="8694" spans="1:1" x14ac:dyDescent="0.2">
      <c r="A8694" s="1" t="s">
        <v>2260</v>
      </c>
    </row>
    <row r="8695" spans="1:1" x14ac:dyDescent="0.2">
      <c r="A8695" s="1" t="s">
        <v>2261</v>
      </c>
    </row>
    <row r="8696" spans="1:1" x14ac:dyDescent="0.2">
      <c r="A8696" s="1" t="s">
        <v>2262</v>
      </c>
    </row>
    <row r="8697" spans="1:1" x14ac:dyDescent="0.2">
      <c r="A8697" s="1" t="s">
        <v>2263</v>
      </c>
    </row>
    <row r="8698" spans="1:1" x14ac:dyDescent="0.2">
      <c r="A8698" s="1" t="s">
        <v>2264</v>
      </c>
    </row>
    <row r="8699" spans="1:1" x14ac:dyDescent="0.2">
      <c r="A8699" s="1" t="s">
        <v>2265</v>
      </c>
    </row>
    <row r="8700" spans="1:1" x14ac:dyDescent="0.2">
      <c r="A8700" s="1" t="s">
        <v>2265</v>
      </c>
    </row>
    <row r="8701" spans="1:1" x14ac:dyDescent="0.2">
      <c r="A8701" s="1" t="s">
        <v>2265</v>
      </c>
    </row>
    <row r="8702" spans="1:1" x14ac:dyDescent="0.2">
      <c r="A8702" s="1" t="s">
        <v>2265</v>
      </c>
    </row>
    <row r="8703" spans="1:1" x14ac:dyDescent="0.2">
      <c r="A8703" s="1" t="s">
        <v>2257</v>
      </c>
    </row>
    <row r="8704" spans="1:1" x14ac:dyDescent="0.2">
      <c r="A8704" s="1" t="s">
        <v>2257</v>
      </c>
    </row>
    <row r="8705" spans="1:1" x14ac:dyDescent="0.2">
      <c r="A8705" s="1" t="s">
        <v>2257</v>
      </c>
    </row>
    <row r="8706" spans="1:1" x14ac:dyDescent="0.2">
      <c r="A8706" s="1" t="s">
        <v>2258</v>
      </c>
    </row>
    <row r="8707" spans="1:1" x14ac:dyDescent="0.2">
      <c r="A8707" s="1" t="s">
        <v>2259</v>
      </c>
    </row>
    <row r="8708" spans="1:1" x14ac:dyDescent="0.2">
      <c r="A8708" s="1" t="s">
        <v>2260</v>
      </c>
    </row>
    <row r="8709" spans="1:1" x14ac:dyDescent="0.2">
      <c r="A8709" s="1" t="s">
        <v>2261</v>
      </c>
    </row>
    <row r="8710" spans="1:1" x14ac:dyDescent="0.2">
      <c r="A8710" s="1" t="s">
        <v>2262</v>
      </c>
    </row>
    <row r="8711" spans="1:1" x14ac:dyDescent="0.2">
      <c r="A8711" s="1" t="s">
        <v>2263</v>
      </c>
    </row>
    <row r="8712" spans="1:1" x14ac:dyDescent="0.2">
      <c r="A8712" s="1" t="s">
        <v>2264</v>
      </c>
    </row>
    <row r="8713" spans="1:1" x14ac:dyDescent="0.2">
      <c r="A8713" s="1" t="s">
        <v>2265</v>
      </c>
    </row>
    <row r="8714" spans="1:1" x14ac:dyDescent="0.2">
      <c r="A8714" s="1" t="s">
        <v>2265</v>
      </c>
    </row>
    <row r="8715" spans="1:1" x14ac:dyDescent="0.2">
      <c r="A8715" s="1" t="s">
        <v>2265</v>
      </c>
    </row>
    <row r="8716" spans="1:1" x14ac:dyDescent="0.2">
      <c r="A8716" s="1" t="s">
        <v>2265</v>
      </c>
    </row>
    <row r="8717" spans="1:1" x14ac:dyDescent="0.2">
      <c r="A8717" s="1" t="s">
        <v>2257</v>
      </c>
    </row>
    <row r="8718" spans="1:1" x14ac:dyDescent="0.2">
      <c r="A8718" s="1" t="s">
        <v>2257</v>
      </c>
    </row>
    <row r="8719" spans="1:1" x14ac:dyDescent="0.2">
      <c r="A8719" s="1" t="s">
        <v>2257</v>
      </c>
    </row>
    <row r="8720" spans="1:1" x14ac:dyDescent="0.2">
      <c r="A8720" s="1" t="s">
        <v>2258</v>
      </c>
    </row>
    <row r="8721" spans="1:1" x14ac:dyDescent="0.2">
      <c r="A8721" s="1" t="s">
        <v>2259</v>
      </c>
    </row>
    <row r="8722" spans="1:1" x14ac:dyDescent="0.2">
      <c r="A8722" s="1" t="s">
        <v>2260</v>
      </c>
    </row>
    <row r="8723" spans="1:1" x14ac:dyDescent="0.2">
      <c r="A8723" s="1" t="s">
        <v>2261</v>
      </c>
    </row>
    <row r="8724" spans="1:1" x14ac:dyDescent="0.2">
      <c r="A8724" s="1" t="s">
        <v>2262</v>
      </c>
    </row>
    <row r="8725" spans="1:1" x14ac:dyDescent="0.2">
      <c r="A8725" s="1" t="s">
        <v>2263</v>
      </c>
    </row>
    <row r="8726" spans="1:1" x14ac:dyDescent="0.2">
      <c r="A8726" s="1" t="s">
        <v>2264</v>
      </c>
    </row>
    <row r="8727" spans="1:1" x14ac:dyDescent="0.2">
      <c r="A8727" s="1" t="s">
        <v>2265</v>
      </c>
    </row>
    <row r="8728" spans="1:1" x14ac:dyDescent="0.2">
      <c r="A8728" s="1" t="s">
        <v>2265</v>
      </c>
    </row>
    <row r="8729" spans="1:1" x14ac:dyDescent="0.2">
      <c r="A8729" s="1" t="s">
        <v>2265</v>
      </c>
    </row>
    <row r="8730" spans="1:1" x14ac:dyDescent="0.2">
      <c r="A8730" s="1" t="s">
        <v>2265</v>
      </c>
    </row>
    <row r="8731" spans="1:1" x14ac:dyDescent="0.2">
      <c r="A8731" s="1" t="s">
        <v>2257</v>
      </c>
    </row>
    <row r="8732" spans="1:1" x14ac:dyDescent="0.2">
      <c r="A8732" s="1" t="s">
        <v>2266</v>
      </c>
    </row>
    <row r="8733" spans="1:1" x14ac:dyDescent="0.2">
      <c r="A8733" s="1" t="s">
        <v>2266</v>
      </c>
    </row>
    <row r="8734" spans="1:1" x14ac:dyDescent="0.2">
      <c r="A8734" s="1" t="s">
        <v>2267</v>
      </c>
    </row>
    <row r="8735" spans="1:1" x14ac:dyDescent="0.2">
      <c r="A8735" s="1" t="s">
        <v>2268</v>
      </c>
    </row>
    <row r="8736" spans="1:1" x14ac:dyDescent="0.2">
      <c r="A8736" s="1" t="s">
        <v>2269</v>
      </c>
    </row>
    <row r="8737" spans="1:1" x14ac:dyDescent="0.2">
      <c r="A8737" s="1" t="s">
        <v>2270</v>
      </c>
    </row>
    <row r="8738" spans="1:1" x14ac:dyDescent="0.2">
      <c r="A8738" s="1" t="s">
        <v>2271</v>
      </c>
    </row>
    <row r="8739" spans="1:1" x14ac:dyDescent="0.2">
      <c r="A8739" s="1" t="s">
        <v>2272</v>
      </c>
    </row>
    <row r="8740" spans="1:1" x14ac:dyDescent="0.2">
      <c r="A8740" s="1" t="s">
        <v>2273</v>
      </c>
    </row>
    <row r="8741" spans="1:1" x14ac:dyDescent="0.2">
      <c r="A8741" s="1" t="s">
        <v>2274</v>
      </c>
    </row>
    <row r="8742" spans="1:1" x14ac:dyDescent="0.2">
      <c r="A8742" s="1" t="s">
        <v>2274</v>
      </c>
    </row>
    <row r="8743" spans="1:1" x14ac:dyDescent="0.2">
      <c r="A8743" s="1" t="s">
        <v>2274</v>
      </c>
    </row>
    <row r="8744" spans="1:1" x14ac:dyDescent="0.2">
      <c r="A8744" s="1" t="s">
        <v>2274</v>
      </c>
    </row>
    <row r="8745" spans="1:1" x14ac:dyDescent="0.2">
      <c r="A8745" s="1" t="s">
        <v>2266</v>
      </c>
    </row>
    <row r="8746" spans="1:1" x14ac:dyDescent="0.2">
      <c r="A8746" s="1" t="s">
        <v>2266</v>
      </c>
    </row>
    <row r="8747" spans="1:1" x14ac:dyDescent="0.2">
      <c r="A8747" s="1" t="s">
        <v>2266</v>
      </c>
    </row>
    <row r="8748" spans="1:1" x14ac:dyDescent="0.2">
      <c r="A8748" s="1" t="s">
        <v>2267</v>
      </c>
    </row>
    <row r="8749" spans="1:1" x14ac:dyDescent="0.2">
      <c r="A8749" s="1" t="s">
        <v>2268</v>
      </c>
    </row>
    <row r="8750" spans="1:1" x14ac:dyDescent="0.2">
      <c r="A8750" s="1" t="s">
        <v>2269</v>
      </c>
    </row>
    <row r="8751" spans="1:1" x14ac:dyDescent="0.2">
      <c r="A8751" s="1" t="s">
        <v>2270</v>
      </c>
    </row>
    <row r="8752" spans="1:1" x14ac:dyDescent="0.2">
      <c r="A8752" s="1" t="s">
        <v>2271</v>
      </c>
    </row>
    <row r="8753" spans="1:1" x14ac:dyDescent="0.2">
      <c r="A8753" s="1" t="s">
        <v>2272</v>
      </c>
    </row>
    <row r="8754" spans="1:1" x14ac:dyDescent="0.2">
      <c r="A8754" s="1" t="s">
        <v>2273</v>
      </c>
    </row>
    <row r="8755" spans="1:1" x14ac:dyDescent="0.2">
      <c r="A8755" s="1" t="s">
        <v>2274</v>
      </c>
    </row>
    <row r="8756" spans="1:1" x14ac:dyDescent="0.2">
      <c r="A8756" s="1" t="s">
        <v>2274</v>
      </c>
    </row>
    <row r="8757" spans="1:1" x14ac:dyDescent="0.2">
      <c r="A8757" s="1" t="s">
        <v>2274</v>
      </c>
    </row>
    <row r="8758" spans="1:1" x14ac:dyDescent="0.2">
      <c r="A8758" s="1" t="s">
        <v>2274</v>
      </c>
    </row>
    <row r="8759" spans="1:1" x14ac:dyDescent="0.2">
      <c r="A8759" s="1" t="s">
        <v>2266</v>
      </c>
    </row>
    <row r="8760" spans="1:1" x14ac:dyDescent="0.2">
      <c r="A8760" s="1" t="s">
        <v>2266</v>
      </c>
    </row>
    <row r="8761" spans="1:1" x14ac:dyDescent="0.2">
      <c r="A8761" s="1" t="s">
        <v>2266</v>
      </c>
    </row>
    <row r="8762" spans="1:1" x14ac:dyDescent="0.2">
      <c r="A8762" s="1" t="s">
        <v>2267</v>
      </c>
    </row>
    <row r="8763" spans="1:1" x14ac:dyDescent="0.2">
      <c r="A8763" s="1" t="s">
        <v>2268</v>
      </c>
    </row>
    <row r="8764" spans="1:1" x14ac:dyDescent="0.2">
      <c r="A8764" s="1" t="s">
        <v>2269</v>
      </c>
    </row>
    <row r="8765" spans="1:1" x14ac:dyDescent="0.2">
      <c r="A8765" s="1" t="s">
        <v>2270</v>
      </c>
    </row>
    <row r="8766" spans="1:1" x14ac:dyDescent="0.2">
      <c r="A8766" s="1" t="s">
        <v>2271</v>
      </c>
    </row>
    <row r="8767" spans="1:1" x14ac:dyDescent="0.2">
      <c r="A8767" s="1" t="s">
        <v>2272</v>
      </c>
    </row>
    <row r="8768" spans="1:1" x14ac:dyDescent="0.2">
      <c r="A8768" s="1" t="s">
        <v>2273</v>
      </c>
    </row>
    <row r="8769" spans="1:1" x14ac:dyDescent="0.2">
      <c r="A8769" s="1" t="s">
        <v>2274</v>
      </c>
    </row>
    <row r="8770" spans="1:1" x14ac:dyDescent="0.2">
      <c r="A8770" s="1" t="s">
        <v>2274</v>
      </c>
    </row>
    <row r="8771" spans="1:1" x14ac:dyDescent="0.2">
      <c r="A8771" s="1" t="s">
        <v>2274</v>
      </c>
    </row>
    <row r="8772" spans="1:1" x14ac:dyDescent="0.2">
      <c r="A8772" s="1" t="s">
        <v>2274</v>
      </c>
    </row>
    <row r="8773" spans="1:1" x14ac:dyDescent="0.2">
      <c r="A8773" s="1" t="s">
        <v>2266</v>
      </c>
    </row>
    <row r="8774" spans="1:1" x14ac:dyDescent="0.2">
      <c r="A8774" s="1" t="s">
        <v>2266</v>
      </c>
    </row>
    <row r="8775" spans="1:1" x14ac:dyDescent="0.2">
      <c r="A8775" s="1" t="s">
        <v>2266</v>
      </c>
    </row>
    <row r="8776" spans="1:1" x14ac:dyDescent="0.2">
      <c r="A8776" s="1" t="s">
        <v>2267</v>
      </c>
    </row>
    <row r="8777" spans="1:1" x14ac:dyDescent="0.2">
      <c r="A8777" s="1" t="s">
        <v>2268</v>
      </c>
    </row>
    <row r="8778" spans="1:1" x14ac:dyDescent="0.2">
      <c r="A8778" s="1" t="s">
        <v>2269</v>
      </c>
    </row>
    <row r="8779" spans="1:1" x14ac:dyDescent="0.2">
      <c r="A8779" s="1" t="s">
        <v>2270</v>
      </c>
    </row>
    <row r="8780" spans="1:1" x14ac:dyDescent="0.2">
      <c r="A8780" s="1" t="s">
        <v>2271</v>
      </c>
    </row>
    <row r="8781" spans="1:1" x14ac:dyDescent="0.2">
      <c r="A8781" s="1" t="s">
        <v>2272</v>
      </c>
    </row>
    <row r="8782" spans="1:1" x14ac:dyDescent="0.2">
      <c r="A8782" s="1" t="s">
        <v>2273</v>
      </c>
    </row>
    <row r="8783" spans="1:1" x14ac:dyDescent="0.2">
      <c r="A8783" s="1" t="s">
        <v>2274</v>
      </c>
    </row>
    <row r="8784" spans="1:1" x14ac:dyDescent="0.2">
      <c r="A8784" s="1" t="s">
        <v>2274</v>
      </c>
    </row>
    <row r="8785" spans="1:1" x14ac:dyDescent="0.2">
      <c r="A8785" s="1" t="s">
        <v>2274</v>
      </c>
    </row>
    <row r="8786" spans="1:1" x14ac:dyDescent="0.2">
      <c r="A8786" s="1" t="s">
        <v>2274</v>
      </c>
    </row>
    <row r="8787" spans="1:1" x14ac:dyDescent="0.2">
      <c r="A8787" s="1" t="s">
        <v>2266</v>
      </c>
    </row>
    <row r="8788" spans="1:1" x14ac:dyDescent="0.2">
      <c r="A8788" s="1" t="s">
        <v>2275</v>
      </c>
    </row>
    <row r="8789" spans="1:1" x14ac:dyDescent="0.2">
      <c r="A8789" s="1" t="s">
        <v>2275</v>
      </c>
    </row>
    <row r="8790" spans="1:1" x14ac:dyDescent="0.2">
      <c r="A8790" s="1" t="s">
        <v>2276</v>
      </c>
    </row>
    <row r="8791" spans="1:1" x14ac:dyDescent="0.2">
      <c r="A8791" s="1" t="s">
        <v>2277</v>
      </c>
    </row>
    <row r="8792" spans="1:1" x14ac:dyDescent="0.2">
      <c r="A8792" s="1" t="s">
        <v>2278</v>
      </c>
    </row>
    <row r="8793" spans="1:1" x14ac:dyDescent="0.2">
      <c r="A8793" s="1" t="s">
        <v>2279</v>
      </c>
    </row>
    <row r="8794" spans="1:1" x14ac:dyDescent="0.2">
      <c r="A8794" s="1" t="s">
        <v>2280</v>
      </c>
    </row>
    <row r="8795" spans="1:1" x14ac:dyDescent="0.2">
      <c r="A8795" s="1" t="s">
        <v>2281</v>
      </c>
    </row>
    <row r="8796" spans="1:1" x14ac:dyDescent="0.2">
      <c r="A8796" s="1" t="s">
        <v>2282</v>
      </c>
    </row>
    <row r="8797" spans="1:1" x14ac:dyDescent="0.2">
      <c r="A8797" s="1" t="s">
        <v>2283</v>
      </c>
    </row>
    <row r="8798" spans="1:1" x14ac:dyDescent="0.2">
      <c r="A8798" s="1" t="s">
        <v>2283</v>
      </c>
    </row>
    <row r="8799" spans="1:1" x14ac:dyDescent="0.2">
      <c r="A8799" s="1" t="s">
        <v>2283</v>
      </c>
    </row>
    <row r="8800" spans="1:1" x14ac:dyDescent="0.2">
      <c r="A8800" s="1" t="s">
        <v>2283</v>
      </c>
    </row>
    <row r="8801" spans="1:1" x14ac:dyDescent="0.2">
      <c r="A8801" s="1" t="s">
        <v>2275</v>
      </c>
    </row>
    <row r="8802" spans="1:1" x14ac:dyDescent="0.2">
      <c r="A8802" s="1" t="s">
        <v>2275</v>
      </c>
    </row>
    <row r="8803" spans="1:1" x14ac:dyDescent="0.2">
      <c r="A8803" s="1" t="s">
        <v>2275</v>
      </c>
    </row>
    <row r="8804" spans="1:1" x14ac:dyDescent="0.2">
      <c r="A8804" s="1" t="s">
        <v>2276</v>
      </c>
    </row>
    <row r="8805" spans="1:1" x14ac:dyDescent="0.2">
      <c r="A8805" s="1" t="s">
        <v>2277</v>
      </c>
    </row>
    <row r="8806" spans="1:1" x14ac:dyDescent="0.2">
      <c r="A8806" s="1" t="s">
        <v>2278</v>
      </c>
    </row>
    <row r="8807" spans="1:1" x14ac:dyDescent="0.2">
      <c r="A8807" s="1" t="s">
        <v>2279</v>
      </c>
    </row>
    <row r="8808" spans="1:1" x14ac:dyDescent="0.2">
      <c r="A8808" s="1" t="s">
        <v>2280</v>
      </c>
    </row>
    <row r="8809" spans="1:1" x14ac:dyDescent="0.2">
      <c r="A8809" s="1" t="s">
        <v>2281</v>
      </c>
    </row>
    <row r="8810" spans="1:1" x14ac:dyDescent="0.2">
      <c r="A8810" s="1" t="s">
        <v>2282</v>
      </c>
    </row>
    <row r="8811" spans="1:1" x14ac:dyDescent="0.2">
      <c r="A8811" s="1" t="s">
        <v>2283</v>
      </c>
    </row>
    <row r="8812" spans="1:1" x14ac:dyDescent="0.2">
      <c r="A8812" s="1" t="s">
        <v>2284</v>
      </c>
    </row>
    <row r="8813" spans="1:1" x14ac:dyDescent="0.2">
      <c r="A8813" s="1" t="s">
        <v>2284</v>
      </c>
    </row>
    <row r="8814" spans="1:1" x14ac:dyDescent="0.2">
      <c r="A8814" s="1" t="s">
        <v>2284</v>
      </c>
    </row>
    <row r="8815" spans="1:1" x14ac:dyDescent="0.2">
      <c r="A8815" s="1" t="s">
        <v>2285</v>
      </c>
    </row>
    <row r="8816" spans="1:1" x14ac:dyDescent="0.2">
      <c r="A8816" s="1" t="s">
        <v>2285</v>
      </c>
    </row>
    <row r="8817" spans="1:1" x14ac:dyDescent="0.2">
      <c r="A8817" s="1" t="s">
        <v>2285</v>
      </c>
    </row>
    <row r="8818" spans="1:1" x14ac:dyDescent="0.2">
      <c r="A8818" s="1" t="s">
        <v>2286</v>
      </c>
    </row>
    <row r="8819" spans="1:1" x14ac:dyDescent="0.2">
      <c r="A8819" s="1" t="s">
        <v>2287</v>
      </c>
    </row>
    <row r="8820" spans="1:1" x14ac:dyDescent="0.2">
      <c r="A8820" s="1" t="s">
        <v>2288</v>
      </c>
    </row>
    <row r="8821" spans="1:1" x14ac:dyDescent="0.2">
      <c r="A8821" s="1" t="s">
        <v>2289</v>
      </c>
    </row>
    <row r="8822" spans="1:1" x14ac:dyDescent="0.2">
      <c r="A8822" s="1" t="s">
        <v>2290</v>
      </c>
    </row>
    <row r="8823" spans="1:1" x14ac:dyDescent="0.2">
      <c r="A8823" s="1" t="s">
        <v>2291</v>
      </c>
    </row>
    <row r="8824" spans="1:1" x14ac:dyDescent="0.2">
      <c r="A8824" s="1" t="s">
        <v>2292</v>
      </c>
    </row>
    <row r="8825" spans="1:1" x14ac:dyDescent="0.2">
      <c r="A8825" s="1" t="s">
        <v>2284</v>
      </c>
    </row>
    <row r="8826" spans="1:1" x14ac:dyDescent="0.2">
      <c r="A8826" s="1" t="s">
        <v>2284</v>
      </c>
    </row>
    <row r="8827" spans="1:1" x14ac:dyDescent="0.2">
      <c r="A8827" s="1" t="s">
        <v>2284</v>
      </c>
    </row>
    <row r="8828" spans="1:1" x14ac:dyDescent="0.2">
      <c r="A8828" s="1" t="s">
        <v>2284</v>
      </c>
    </row>
    <row r="8829" spans="1:1" x14ac:dyDescent="0.2">
      <c r="A8829" s="1" t="s">
        <v>2285</v>
      </c>
    </row>
    <row r="8830" spans="1:1" x14ac:dyDescent="0.2">
      <c r="A8830" s="1" t="s">
        <v>2285</v>
      </c>
    </row>
    <row r="8831" spans="1:1" x14ac:dyDescent="0.2">
      <c r="A8831" s="1" t="s">
        <v>2285</v>
      </c>
    </row>
    <row r="8832" spans="1:1" x14ac:dyDescent="0.2">
      <c r="A8832" s="1" t="s">
        <v>2286</v>
      </c>
    </row>
    <row r="8833" spans="1:1" x14ac:dyDescent="0.2">
      <c r="A8833" s="1" t="s">
        <v>2287</v>
      </c>
    </row>
    <row r="8834" spans="1:1" x14ac:dyDescent="0.2">
      <c r="A8834" s="1" t="s">
        <v>2288</v>
      </c>
    </row>
    <row r="8835" spans="1:1" x14ac:dyDescent="0.2">
      <c r="A8835" s="1" t="s">
        <v>2289</v>
      </c>
    </row>
    <row r="8836" spans="1:1" x14ac:dyDescent="0.2">
      <c r="A8836" s="1" t="s">
        <v>2290</v>
      </c>
    </row>
    <row r="8837" spans="1:1" x14ac:dyDescent="0.2">
      <c r="A8837" s="1" t="s">
        <v>2291</v>
      </c>
    </row>
    <row r="8838" spans="1:1" x14ac:dyDescent="0.2">
      <c r="A8838" s="1" t="s">
        <v>2292</v>
      </c>
    </row>
    <row r="8839" spans="1:1" x14ac:dyDescent="0.2">
      <c r="A8839" s="1" t="s">
        <v>2284</v>
      </c>
    </row>
    <row r="8840" spans="1:1" x14ac:dyDescent="0.2">
      <c r="A8840" s="1" t="s">
        <v>2284</v>
      </c>
    </row>
    <row r="8841" spans="1:1" x14ac:dyDescent="0.2">
      <c r="A8841" s="1" t="s">
        <v>2284</v>
      </c>
    </row>
    <row r="8842" spans="1:1" x14ac:dyDescent="0.2">
      <c r="A8842" s="1" t="s">
        <v>2284</v>
      </c>
    </row>
    <row r="8843" spans="1:1" x14ac:dyDescent="0.2">
      <c r="A8843" s="1" t="s">
        <v>2285</v>
      </c>
    </row>
    <row r="8844" spans="1:1" x14ac:dyDescent="0.2">
      <c r="A8844" s="1" t="s">
        <v>2293</v>
      </c>
    </row>
    <row r="8845" spans="1:1" x14ac:dyDescent="0.2">
      <c r="A8845" s="1" t="s">
        <v>2293</v>
      </c>
    </row>
    <row r="8846" spans="1:1" x14ac:dyDescent="0.2">
      <c r="A8846" s="1" t="s">
        <v>2294</v>
      </c>
    </row>
    <row r="8847" spans="1:1" x14ac:dyDescent="0.2">
      <c r="A8847" s="1" t="s">
        <v>2295</v>
      </c>
    </row>
    <row r="8848" spans="1:1" x14ac:dyDescent="0.2">
      <c r="A8848" s="1" t="s">
        <v>2296</v>
      </c>
    </row>
    <row r="8849" spans="1:1" x14ac:dyDescent="0.2">
      <c r="A8849" s="1" t="s">
        <v>2297</v>
      </c>
    </row>
    <row r="8850" spans="1:1" x14ac:dyDescent="0.2">
      <c r="A8850" s="1" t="s">
        <v>2298</v>
      </c>
    </row>
    <row r="8851" spans="1:1" x14ac:dyDescent="0.2">
      <c r="A8851" s="1" t="s">
        <v>2299</v>
      </c>
    </row>
    <row r="8852" spans="1:1" x14ac:dyDescent="0.2">
      <c r="A8852" s="1" t="s">
        <v>2300</v>
      </c>
    </row>
    <row r="8853" spans="1:1" x14ac:dyDescent="0.2">
      <c r="A8853" s="1" t="s">
        <v>2301</v>
      </c>
    </row>
    <row r="8854" spans="1:1" x14ac:dyDescent="0.2">
      <c r="A8854" s="1" t="s">
        <v>2301</v>
      </c>
    </row>
    <row r="8855" spans="1:1" x14ac:dyDescent="0.2">
      <c r="A8855" s="1" t="s">
        <v>2301</v>
      </c>
    </row>
    <row r="8856" spans="1:1" x14ac:dyDescent="0.2">
      <c r="A8856" s="1" t="s">
        <v>2301</v>
      </c>
    </row>
    <row r="8857" spans="1:1" x14ac:dyDescent="0.2">
      <c r="A8857" s="1" t="s">
        <v>2293</v>
      </c>
    </row>
    <row r="8858" spans="1:1" x14ac:dyDescent="0.2">
      <c r="A8858" s="1" t="s">
        <v>2293</v>
      </c>
    </row>
    <row r="8859" spans="1:1" x14ac:dyDescent="0.2">
      <c r="A8859" s="1" t="s">
        <v>2293</v>
      </c>
    </row>
    <row r="8860" spans="1:1" x14ac:dyDescent="0.2">
      <c r="A8860" s="1" t="s">
        <v>2294</v>
      </c>
    </row>
    <row r="8861" spans="1:1" x14ac:dyDescent="0.2">
      <c r="A8861" s="1" t="s">
        <v>2295</v>
      </c>
    </row>
    <row r="8862" spans="1:1" x14ac:dyDescent="0.2">
      <c r="A8862" s="1" t="s">
        <v>2296</v>
      </c>
    </row>
    <row r="8863" spans="1:1" x14ac:dyDescent="0.2">
      <c r="A8863" s="1" t="s">
        <v>2297</v>
      </c>
    </row>
    <row r="8864" spans="1:1" x14ac:dyDescent="0.2">
      <c r="A8864" s="1" t="s">
        <v>2298</v>
      </c>
    </row>
    <row r="8865" spans="1:1" x14ac:dyDescent="0.2">
      <c r="A8865" s="1" t="s">
        <v>2299</v>
      </c>
    </row>
    <row r="8866" spans="1:1" x14ac:dyDescent="0.2">
      <c r="A8866" s="1" t="s">
        <v>2300</v>
      </c>
    </row>
    <row r="8867" spans="1:1" x14ac:dyDescent="0.2">
      <c r="A8867" s="1" t="s">
        <v>2301</v>
      </c>
    </row>
    <row r="8868" spans="1:1" x14ac:dyDescent="0.2">
      <c r="A8868" s="1" t="s">
        <v>2301</v>
      </c>
    </row>
    <row r="8869" spans="1:1" x14ac:dyDescent="0.2">
      <c r="A8869" s="1" t="s">
        <v>2301</v>
      </c>
    </row>
    <row r="8870" spans="1:1" x14ac:dyDescent="0.2">
      <c r="A8870" s="1" t="s">
        <v>2301</v>
      </c>
    </row>
    <row r="8871" spans="1:1" x14ac:dyDescent="0.2">
      <c r="A8871" s="1" t="s">
        <v>2293</v>
      </c>
    </row>
    <row r="8872" spans="1:1" x14ac:dyDescent="0.2">
      <c r="A8872" s="1" t="s">
        <v>2293</v>
      </c>
    </row>
    <row r="8873" spans="1:1" x14ac:dyDescent="0.2">
      <c r="A8873" s="1" t="s">
        <v>2293</v>
      </c>
    </row>
    <row r="8874" spans="1:1" x14ac:dyDescent="0.2">
      <c r="A8874" s="1" t="s">
        <v>2294</v>
      </c>
    </row>
    <row r="8875" spans="1:1" x14ac:dyDescent="0.2">
      <c r="A8875" s="1" t="s">
        <v>2295</v>
      </c>
    </row>
    <row r="8876" spans="1:1" x14ac:dyDescent="0.2">
      <c r="A8876" s="1" t="s">
        <v>2296</v>
      </c>
    </row>
    <row r="8877" spans="1:1" x14ac:dyDescent="0.2">
      <c r="A8877" s="1" t="s">
        <v>2297</v>
      </c>
    </row>
    <row r="8878" spans="1:1" x14ac:dyDescent="0.2">
      <c r="A8878" s="1" t="s">
        <v>2298</v>
      </c>
    </row>
    <row r="8879" spans="1:1" x14ac:dyDescent="0.2">
      <c r="A8879" s="1" t="s">
        <v>2299</v>
      </c>
    </row>
    <row r="8880" spans="1:1" x14ac:dyDescent="0.2">
      <c r="A8880" s="1" t="s">
        <v>2300</v>
      </c>
    </row>
    <row r="8881" spans="1:1" x14ac:dyDescent="0.2">
      <c r="A8881" s="1" t="s">
        <v>2301</v>
      </c>
    </row>
    <row r="8882" spans="1:1" x14ac:dyDescent="0.2">
      <c r="A8882" s="1" t="s">
        <v>2301</v>
      </c>
    </row>
    <row r="8883" spans="1:1" x14ac:dyDescent="0.2">
      <c r="A8883" s="1" t="s">
        <v>2301</v>
      </c>
    </row>
    <row r="8884" spans="1:1" x14ac:dyDescent="0.2">
      <c r="A8884" s="1" t="s">
        <v>2301</v>
      </c>
    </row>
    <row r="8885" spans="1:1" x14ac:dyDescent="0.2">
      <c r="A8885" s="1" t="s">
        <v>2293</v>
      </c>
    </row>
    <row r="8886" spans="1:1" x14ac:dyDescent="0.2">
      <c r="A8886" s="1" t="s">
        <v>2293</v>
      </c>
    </row>
    <row r="8887" spans="1:1" x14ac:dyDescent="0.2">
      <c r="A8887" s="1" t="s">
        <v>2293</v>
      </c>
    </row>
    <row r="8888" spans="1:1" x14ac:dyDescent="0.2">
      <c r="A8888" s="1" t="s">
        <v>2294</v>
      </c>
    </row>
    <row r="8889" spans="1:1" x14ac:dyDescent="0.2">
      <c r="A8889" s="1" t="s">
        <v>2295</v>
      </c>
    </row>
    <row r="8890" spans="1:1" x14ac:dyDescent="0.2">
      <c r="A8890" s="1" t="s">
        <v>2296</v>
      </c>
    </row>
    <row r="8891" spans="1:1" x14ac:dyDescent="0.2">
      <c r="A8891" s="1" t="s">
        <v>2297</v>
      </c>
    </row>
    <row r="8892" spans="1:1" x14ac:dyDescent="0.2">
      <c r="A8892" s="1" t="s">
        <v>2298</v>
      </c>
    </row>
    <row r="8893" spans="1:1" x14ac:dyDescent="0.2">
      <c r="A8893" s="1" t="s">
        <v>2299</v>
      </c>
    </row>
    <row r="8894" spans="1:1" x14ac:dyDescent="0.2">
      <c r="A8894" s="1" t="s">
        <v>2300</v>
      </c>
    </row>
    <row r="8895" spans="1:1" x14ac:dyDescent="0.2">
      <c r="A8895" s="1" t="s">
        <v>2301</v>
      </c>
    </row>
    <row r="8896" spans="1:1" x14ac:dyDescent="0.2">
      <c r="A8896" s="1" t="s">
        <v>2301</v>
      </c>
    </row>
    <row r="8897" spans="1:1" x14ac:dyDescent="0.2">
      <c r="A8897" s="1" t="s">
        <v>2301</v>
      </c>
    </row>
    <row r="8898" spans="1:1" x14ac:dyDescent="0.2">
      <c r="A8898" s="1" t="s">
        <v>2301</v>
      </c>
    </row>
    <row r="8899" spans="1:1" x14ac:dyDescent="0.2">
      <c r="A8899" s="1" t="s">
        <v>2293</v>
      </c>
    </row>
    <row r="8900" spans="1:1" x14ac:dyDescent="0.2">
      <c r="A8900" s="1" t="s">
        <v>2303</v>
      </c>
    </row>
    <row r="8901" spans="1:1" x14ac:dyDescent="0.2">
      <c r="A8901" s="1" t="s">
        <v>2304</v>
      </c>
    </row>
    <row r="8902" spans="1:1" x14ac:dyDescent="0.2">
      <c r="A8902" s="1" t="s">
        <v>2305</v>
      </c>
    </row>
    <row r="8903" spans="1:1" x14ac:dyDescent="0.2">
      <c r="A8903" s="1" t="s">
        <v>2306</v>
      </c>
    </row>
    <row r="8904" spans="1:1" x14ac:dyDescent="0.2">
      <c r="A8904" s="1" t="s">
        <v>2307</v>
      </c>
    </row>
    <row r="8905" spans="1:1" x14ac:dyDescent="0.2">
      <c r="A8905" s="1" t="s">
        <v>2308</v>
      </c>
    </row>
    <row r="8906" spans="1:1" x14ac:dyDescent="0.2">
      <c r="A8906" s="1" t="s">
        <v>2309</v>
      </c>
    </row>
    <row r="8907" spans="1:1" x14ac:dyDescent="0.2">
      <c r="A8907" s="1" t="s">
        <v>2310</v>
      </c>
    </row>
    <row r="8908" spans="1:1" x14ac:dyDescent="0.2">
      <c r="A8908" s="1" t="s">
        <v>2311</v>
      </c>
    </row>
    <row r="8909" spans="1:1" x14ac:dyDescent="0.2">
      <c r="A8909" s="1" t="s">
        <v>2312</v>
      </c>
    </row>
    <row r="8910" spans="1:1" x14ac:dyDescent="0.2">
      <c r="A8910" s="1" t="s">
        <v>2313</v>
      </c>
    </row>
    <row r="8911" spans="1:1" x14ac:dyDescent="0.2">
      <c r="A8911" s="1" t="s">
        <v>2314</v>
      </c>
    </row>
    <row r="8912" spans="1:1" x14ac:dyDescent="0.2">
      <c r="A8912" s="1" t="s">
        <v>2317</v>
      </c>
    </row>
    <row r="8913" spans="1:1" x14ac:dyDescent="0.2">
      <c r="A8913" s="1" t="s">
        <v>2317</v>
      </c>
    </row>
    <row r="8914" spans="1:1" x14ac:dyDescent="0.2">
      <c r="A8914" s="1" t="s">
        <v>2318</v>
      </c>
    </row>
    <row r="8915" spans="1:1" x14ac:dyDescent="0.2">
      <c r="A8915" s="1" t="s">
        <v>2319</v>
      </c>
    </row>
    <row r="8916" spans="1:1" x14ac:dyDescent="0.2">
      <c r="A8916" s="1" t="s">
        <v>2320</v>
      </c>
    </row>
    <row r="8917" spans="1:1" x14ac:dyDescent="0.2">
      <c r="A8917" s="1" t="s">
        <v>2321</v>
      </c>
    </row>
    <row r="8918" spans="1:1" x14ac:dyDescent="0.2">
      <c r="A8918" s="1" t="s">
        <v>2322</v>
      </c>
    </row>
    <row r="8919" spans="1:1" x14ac:dyDescent="0.2">
      <c r="A8919" s="1" t="s">
        <v>2323</v>
      </c>
    </row>
    <row r="8920" spans="1:1" x14ac:dyDescent="0.2">
      <c r="A8920" s="1" t="s">
        <v>2324</v>
      </c>
    </row>
    <row r="8921" spans="1:1" x14ac:dyDescent="0.2">
      <c r="A8921" s="1" t="s">
        <v>2325</v>
      </c>
    </row>
    <row r="8922" spans="1:1" x14ac:dyDescent="0.2">
      <c r="A8922" s="1" t="s">
        <v>2325</v>
      </c>
    </row>
    <row r="8923" spans="1:1" x14ac:dyDescent="0.2">
      <c r="A8923" s="1" t="s">
        <v>2325</v>
      </c>
    </row>
    <row r="8924" spans="1:1" x14ac:dyDescent="0.2">
      <c r="A8924" s="1" t="s">
        <v>2325</v>
      </c>
    </row>
    <row r="8925" spans="1:1" x14ac:dyDescent="0.2">
      <c r="A8925" s="1" t="s">
        <v>2317</v>
      </c>
    </row>
    <row r="8926" spans="1:1" x14ac:dyDescent="0.2">
      <c r="A8926" s="1" t="s">
        <v>2317</v>
      </c>
    </row>
    <row r="8927" spans="1:1" x14ac:dyDescent="0.2">
      <c r="A8927" s="1" t="s">
        <v>2317</v>
      </c>
    </row>
    <row r="8928" spans="1:1" x14ac:dyDescent="0.2">
      <c r="A8928" s="1" t="s">
        <v>2318</v>
      </c>
    </row>
    <row r="8929" spans="1:1" x14ac:dyDescent="0.2">
      <c r="A8929" s="1" t="s">
        <v>2319</v>
      </c>
    </row>
    <row r="8930" spans="1:1" x14ac:dyDescent="0.2">
      <c r="A8930" s="1" t="s">
        <v>2320</v>
      </c>
    </row>
    <row r="8931" spans="1:1" x14ac:dyDescent="0.2">
      <c r="A8931" s="1" t="s">
        <v>2321</v>
      </c>
    </row>
    <row r="8932" spans="1:1" x14ac:dyDescent="0.2">
      <c r="A8932" s="1" t="s">
        <v>2322</v>
      </c>
    </row>
    <row r="8933" spans="1:1" x14ac:dyDescent="0.2">
      <c r="A8933" s="1" t="s">
        <v>2323</v>
      </c>
    </row>
    <row r="8934" spans="1:1" x14ac:dyDescent="0.2">
      <c r="A8934" s="1" t="s">
        <v>2324</v>
      </c>
    </row>
    <row r="8935" spans="1:1" x14ac:dyDescent="0.2">
      <c r="A8935" s="1" t="s">
        <v>2325</v>
      </c>
    </row>
    <row r="8936" spans="1:1" x14ac:dyDescent="0.2">
      <c r="A8936" s="1" t="s">
        <v>2325</v>
      </c>
    </row>
    <row r="8937" spans="1:1" x14ac:dyDescent="0.2">
      <c r="A8937" s="1" t="s">
        <v>2325</v>
      </c>
    </row>
    <row r="8938" spans="1:1" x14ac:dyDescent="0.2">
      <c r="A8938" s="1" t="s">
        <v>2325</v>
      </c>
    </row>
    <row r="8939" spans="1:1" x14ac:dyDescent="0.2">
      <c r="A8939" s="1" t="s">
        <v>2317</v>
      </c>
    </row>
    <row r="8940" spans="1:1" x14ac:dyDescent="0.2">
      <c r="A8940" s="1" t="s">
        <v>2317</v>
      </c>
    </row>
    <row r="8941" spans="1:1" x14ac:dyDescent="0.2">
      <c r="A8941" s="1" t="s">
        <v>2317</v>
      </c>
    </row>
    <row r="8942" spans="1:1" x14ac:dyDescent="0.2">
      <c r="A8942" s="1" t="s">
        <v>2318</v>
      </c>
    </row>
    <row r="8943" spans="1:1" x14ac:dyDescent="0.2">
      <c r="A8943" s="1" t="s">
        <v>2319</v>
      </c>
    </row>
    <row r="8944" spans="1:1" x14ac:dyDescent="0.2">
      <c r="A8944" s="1" t="s">
        <v>2320</v>
      </c>
    </row>
    <row r="8945" spans="1:1" x14ac:dyDescent="0.2">
      <c r="A8945" s="1" t="s">
        <v>2321</v>
      </c>
    </row>
    <row r="8946" spans="1:1" x14ac:dyDescent="0.2">
      <c r="A8946" s="1" t="s">
        <v>2322</v>
      </c>
    </row>
    <row r="8947" spans="1:1" x14ac:dyDescent="0.2">
      <c r="A8947" s="1" t="s">
        <v>2323</v>
      </c>
    </row>
    <row r="8948" spans="1:1" x14ac:dyDescent="0.2">
      <c r="A8948" s="1" t="s">
        <v>2324</v>
      </c>
    </row>
    <row r="8949" spans="1:1" x14ac:dyDescent="0.2">
      <c r="A8949" s="1" t="s">
        <v>2325</v>
      </c>
    </row>
    <row r="8950" spans="1:1" x14ac:dyDescent="0.2">
      <c r="A8950" s="1" t="s">
        <v>2325</v>
      </c>
    </row>
    <row r="8951" spans="1:1" x14ac:dyDescent="0.2">
      <c r="A8951" s="1" t="s">
        <v>2325</v>
      </c>
    </row>
    <row r="8952" spans="1:1" x14ac:dyDescent="0.2">
      <c r="A8952" s="1" t="s">
        <v>2325</v>
      </c>
    </row>
    <row r="8953" spans="1:1" x14ac:dyDescent="0.2">
      <c r="A8953" s="1" t="s">
        <v>2317</v>
      </c>
    </row>
    <row r="8954" spans="1:1" x14ac:dyDescent="0.2">
      <c r="A8954" s="1" t="s">
        <v>2317</v>
      </c>
    </row>
    <row r="8955" spans="1:1" x14ac:dyDescent="0.2">
      <c r="A8955" s="1" t="s">
        <v>2317</v>
      </c>
    </row>
    <row r="8956" spans="1:1" x14ac:dyDescent="0.2">
      <c r="A8956" s="1" t="s">
        <v>2318</v>
      </c>
    </row>
    <row r="8957" spans="1:1" x14ac:dyDescent="0.2">
      <c r="A8957" s="1" t="s">
        <v>2319</v>
      </c>
    </row>
    <row r="8958" spans="1:1" x14ac:dyDescent="0.2">
      <c r="A8958" s="1" t="s">
        <v>2320</v>
      </c>
    </row>
    <row r="8959" spans="1:1" x14ac:dyDescent="0.2">
      <c r="A8959" s="1" t="s">
        <v>2321</v>
      </c>
    </row>
    <row r="8960" spans="1:1" x14ac:dyDescent="0.2">
      <c r="A8960" s="1" t="s">
        <v>2322</v>
      </c>
    </row>
    <row r="8961" spans="1:1" x14ac:dyDescent="0.2">
      <c r="A8961" s="1" t="s">
        <v>2323</v>
      </c>
    </row>
    <row r="8962" spans="1:1" x14ac:dyDescent="0.2">
      <c r="A8962" s="1" t="s">
        <v>2324</v>
      </c>
    </row>
    <row r="8963" spans="1:1" x14ac:dyDescent="0.2">
      <c r="A8963" s="1" t="s">
        <v>2325</v>
      </c>
    </row>
    <row r="8964" spans="1:1" x14ac:dyDescent="0.2">
      <c r="A8964" s="1" t="s">
        <v>2325</v>
      </c>
    </row>
    <row r="8965" spans="1:1" x14ac:dyDescent="0.2">
      <c r="A8965" s="1" t="s">
        <v>2325</v>
      </c>
    </row>
    <row r="8966" spans="1:1" x14ac:dyDescent="0.2">
      <c r="A8966" s="1" t="s">
        <v>2325</v>
      </c>
    </row>
    <row r="8967" spans="1:1" x14ac:dyDescent="0.2">
      <c r="A8967" s="1" t="s">
        <v>2317</v>
      </c>
    </row>
    <row r="8968" spans="1:1" x14ac:dyDescent="0.2">
      <c r="A8968" s="1" t="s">
        <v>2326</v>
      </c>
    </row>
    <row r="8969" spans="1:1" x14ac:dyDescent="0.2">
      <c r="A8969" s="1" t="s">
        <v>2326</v>
      </c>
    </row>
    <row r="8970" spans="1:1" x14ac:dyDescent="0.2">
      <c r="A8970" s="1" t="s">
        <v>2327</v>
      </c>
    </row>
    <row r="8971" spans="1:1" x14ac:dyDescent="0.2">
      <c r="A8971" s="1" t="s">
        <v>2328</v>
      </c>
    </row>
    <row r="8972" spans="1:1" x14ac:dyDescent="0.2">
      <c r="A8972" s="1" t="s">
        <v>2329</v>
      </c>
    </row>
    <row r="8973" spans="1:1" x14ac:dyDescent="0.2">
      <c r="A8973" s="1" t="s">
        <v>2330</v>
      </c>
    </row>
    <row r="8974" spans="1:1" x14ac:dyDescent="0.2">
      <c r="A8974" s="1" t="s">
        <v>2331</v>
      </c>
    </row>
    <row r="8975" spans="1:1" x14ac:dyDescent="0.2">
      <c r="A8975" s="1" t="s">
        <v>2332</v>
      </c>
    </row>
    <row r="8976" spans="1:1" x14ac:dyDescent="0.2">
      <c r="A8976" s="1" t="s">
        <v>2333</v>
      </c>
    </row>
    <row r="8977" spans="1:1" x14ac:dyDescent="0.2">
      <c r="A8977" s="1" t="s">
        <v>2334</v>
      </c>
    </row>
    <row r="8978" spans="1:1" x14ac:dyDescent="0.2">
      <c r="A8978" s="1" t="s">
        <v>2334</v>
      </c>
    </row>
    <row r="8979" spans="1:1" x14ac:dyDescent="0.2">
      <c r="A8979" s="1" t="s">
        <v>2334</v>
      </c>
    </row>
    <row r="8980" spans="1:1" x14ac:dyDescent="0.2">
      <c r="A8980" s="1" t="s">
        <v>2334</v>
      </c>
    </row>
    <row r="8981" spans="1:1" x14ac:dyDescent="0.2">
      <c r="A8981" s="1" t="s">
        <v>2326</v>
      </c>
    </row>
    <row r="8982" spans="1:1" x14ac:dyDescent="0.2">
      <c r="A8982" s="1" t="s">
        <v>2326</v>
      </c>
    </row>
    <row r="8983" spans="1:1" x14ac:dyDescent="0.2">
      <c r="A8983" s="1" t="s">
        <v>2326</v>
      </c>
    </row>
    <row r="8984" spans="1:1" x14ac:dyDescent="0.2">
      <c r="A8984" s="1" t="s">
        <v>2327</v>
      </c>
    </row>
    <row r="8985" spans="1:1" x14ac:dyDescent="0.2">
      <c r="A8985" s="1" t="s">
        <v>2328</v>
      </c>
    </row>
    <row r="8986" spans="1:1" x14ac:dyDescent="0.2">
      <c r="A8986" s="1" t="s">
        <v>2329</v>
      </c>
    </row>
    <row r="8987" spans="1:1" x14ac:dyDescent="0.2">
      <c r="A8987" s="1" t="s">
        <v>2330</v>
      </c>
    </row>
    <row r="8988" spans="1:1" x14ac:dyDescent="0.2">
      <c r="A8988" s="1" t="s">
        <v>2331</v>
      </c>
    </row>
    <row r="8989" spans="1:1" x14ac:dyDescent="0.2">
      <c r="A8989" s="1" t="s">
        <v>2332</v>
      </c>
    </row>
    <row r="8990" spans="1:1" x14ac:dyDescent="0.2">
      <c r="A8990" s="1" t="s">
        <v>2333</v>
      </c>
    </row>
    <row r="8991" spans="1:1" x14ac:dyDescent="0.2">
      <c r="A8991" s="1" t="s">
        <v>2334</v>
      </c>
    </row>
    <row r="8992" spans="1:1" x14ac:dyDescent="0.2">
      <c r="A8992" s="1" t="s">
        <v>2334</v>
      </c>
    </row>
    <row r="8993" spans="1:1" x14ac:dyDescent="0.2">
      <c r="A8993" s="1" t="s">
        <v>2334</v>
      </c>
    </row>
    <row r="8994" spans="1:1" x14ac:dyDescent="0.2">
      <c r="A8994" s="1" t="s">
        <v>2334</v>
      </c>
    </row>
    <row r="8995" spans="1:1" x14ac:dyDescent="0.2">
      <c r="A8995" s="1" t="s">
        <v>2326</v>
      </c>
    </row>
    <row r="8996" spans="1:1" x14ac:dyDescent="0.2">
      <c r="A8996" s="1" t="s">
        <v>2326</v>
      </c>
    </row>
    <row r="8997" spans="1:1" x14ac:dyDescent="0.2">
      <c r="A8997" s="1" t="s">
        <v>2326</v>
      </c>
    </row>
    <row r="8998" spans="1:1" x14ac:dyDescent="0.2">
      <c r="A8998" s="1" t="s">
        <v>2327</v>
      </c>
    </row>
    <row r="8999" spans="1:1" x14ac:dyDescent="0.2">
      <c r="A8999" s="1" t="s">
        <v>2328</v>
      </c>
    </row>
    <row r="9000" spans="1:1" x14ac:dyDescent="0.2">
      <c r="A9000" s="1" t="s">
        <v>2329</v>
      </c>
    </row>
    <row r="9001" spans="1:1" x14ac:dyDescent="0.2">
      <c r="A9001" s="1" t="s">
        <v>2330</v>
      </c>
    </row>
    <row r="9002" spans="1:1" x14ac:dyDescent="0.2">
      <c r="A9002" s="1" t="s">
        <v>2331</v>
      </c>
    </row>
    <row r="9003" spans="1:1" x14ac:dyDescent="0.2">
      <c r="A9003" s="1" t="s">
        <v>2332</v>
      </c>
    </row>
    <row r="9004" spans="1:1" x14ac:dyDescent="0.2">
      <c r="A9004" s="1" t="s">
        <v>2333</v>
      </c>
    </row>
    <row r="9005" spans="1:1" x14ac:dyDescent="0.2">
      <c r="A9005" s="1" t="s">
        <v>2334</v>
      </c>
    </row>
    <row r="9006" spans="1:1" x14ac:dyDescent="0.2">
      <c r="A9006" s="1" t="s">
        <v>2334</v>
      </c>
    </row>
    <row r="9007" spans="1:1" x14ac:dyDescent="0.2">
      <c r="A9007" s="1" t="s">
        <v>2334</v>
      </c>
    </row>
    <row r="9008" spans="1:1" x14ac:dyDescent="0.2">
      <c r="A9008" s="1" t="s">
        <v>2334</v>
      </c>
    </row>
    <row r="9009" spans="1:1" x14ac:dyDescent="0.2">
      <c r="A9009" s="1" t="s">
        <v>2326</v>
      </c>
    </row>
    <row r="9010" spans="1:1" x14ac:dyDescent="0.2">
      <c r="A9010" s="1" t="s">
        <v>2326</v>
      </c>
    </row>
    <row r="9011" spans="1:1" x14ac:dyDescent="0.2">
      <c r="A9011" s="1" t="s">
        <v>2326</v>
      </c>
    </row>
    <row r="9012" spans="1:1" x14ac:dyDescent="0.2">
      <c r="A9012" s="1" t="s">
        <v>2327</v>
      </c>
    </row>
    <row r="9013" spans="1:1" x14ac:dyDescent="0.2">
      <c r="A9013" s="1" t="s">
        <v>2328</v>
      </c>
    </row>
    <row r="9014" spans="1:1" x14ac:dyDescent="0.2">
      <c r="A9014" s="1" t="s">
        <v>2329</v>
      </c>
    </row>
    <row r="9015" spans="1:1" x14ac:dyDescent="0.2">
      <c r="A9015" s="1" t="s">
        <v>2330</v>
      </c>
    </row>
    <row r="9016" spans="1:1" x14ac:dyDescent="0.2">
      <c r="A9016" s="1" t="s">
        <v>2331</v>
      </c>
    </row>
    <row r="9017" spans="1:1" x14ac:dyDescent="0.2">
      <c r="A9017" s="1" t="s">
        <v>2332</v>
      </c>
    </row>
    <row r="9018" spans="1:1" x14ac:dyDescent="0.2">
      <c r="A9018" s="1" t="s">
        <v>2333</v>
      </c>
    </row>
    <row r="9019" spans="1:1" x14ac:dyDescent="0.2">
      <c r="A9019" s="1" t="s">
        <v>2334</v>
      </c>
    </row>
    <row r="9020" spans="1:1" x14ac:dyDescent="0.2">
      <c r="A9020" s="1" t="s">
        <v>2334</v>
      </c>
    </row>
    <row r="9021" spans="1:1" x14ac:dyDescent="0.2">
      <c r="A9021" s="1" t="s">
        <v>2334</v>
      </c>
    </row>
    <row r="9022" spans="1:1" x14ac:dyDescent="0.2">
      <c r="A9022" s="1" t="s">
        <v>2334</v>
      </c>
    </row>
    <row r="9023" spans="1:1" x14ac:dyDescent="0.2">
      <c r="A9023" s="1" t="s">
        <v>2326</v>
      </c>
    </row>
    <row r="9024" spans="1:1" x14ac:dyDescent="0.2">
      <c r="A9024" s="1" t="s">
        <v>2335</v>
      </c>
    </row>
    <row r="9025" spans="1:1" x14ac:dyDescent="0.2">
      <c r="A9025" s="1" t="s">
        <v>2335</v>
      </c>
    </row>
    <row r="9026" spans="1:1" x14ac:dyDescent="0.2">
      <c r="A9026" s="1" t="s">
        <v>2336</v>
      </c>
    </row>
    <row r="9027" spans="1:1" x14ac:dyDescent="0.2">
      <c r="A9027" s="1" t="s">
        <v>2337</v>
      </c>
    </row>
    <row r="9028" spans="1:1" x14ac:dyDescent="0.2">
      <c r="A9028" s="1" t="s">
        <v>2338</v>
      </c>
    </row>
    <row r="9029" spans="1:1" x14ac:dyDescent="0.2">
      <c r="A9029" s="1" t="s">
        <v>2339</v>
      </c>
    </row>
    <row r="9030" spans="1:1" x14ac:dyDescent="0.2">
      <c r="A9030" s="1" t="s">
        <v>2340</v>
      </c>
    </row>
    <row r="9031" spans="1:1" x14ac:dyDescent="0.2">
      <c r="A9031" s="1" t="s">
        <v>2341</v>
      </c>
    </row>
    <row r="9032" spans="1:1" x14ac:dyDescent="0.2">
      <c r="A9032" s="1" t="s">
        <v>2342</v>
      </c>
    </row>
    <row r="9033" spans="1:1" x14ac:dyDescent="0.2">
      <c r="A9033" s="1" t="s">
        <v>2343</v>
      </c>
    </row>
    <row r="9034" spans="1:1" x14ac:dyDescent="0.2">
      <c r="A9034" s="1" t="s">
        <v>2343</v>
      </c>
    </row>
    <row r="9035" spans="1:1" x14ac:dyDescent="0.2">
      <c r="A9035" s="1" t="s">
        <v>2343</v>
      </c>
    </row>
    <row r="9036" spans="1:1" x14ac:dyDescent="0.2">
      <c r="A9036" s="1" t="s">
        <v>2343</v>
      </c>
    </row>
    <row r="9037" spans="1:1" x14ac:dyDescent="0.2">
      <c r="A9037" s="1" t="s">
        <v>2335</v>
      </c>
    </row>
    <row r="9038" spans="1:1" x14ac:dyDescent="0.2">
      <c r="A9038" s="1" t="s">
        <v>2335</v>
      </c>
    </row>
    <row r="9039" spans="1:1" x14ac:dyDescent="0.2">
      <c r="A9039" s="1" t="s">
        <v>2335</v>
      </c>
    </row>
    <row r="9040" spans="1:1" x14ac:dyDescent="0.2">
      <c r="A9040" s="1" t="s">
        <v>2336</v>
      </c>
    </row>
    <row r="9041" spans="1:1" x14ac:dyDescent="0.2">
      <c r="A9041" s="1" t="s">
        <v>2337</v>
      </c>
    </row>
    <row r="9042" spans="1:1" x14ac:dyDescent="0.2">
      <c r="A9042" s="1" t="s">
        <v>2338</v>
      </c>
    </row>
    <row r="9043" spans="1:1" x14ac:dyDescent="0.2">
      <c r="A9043" s="1" t="s">
        <v>2339</v>
      </c>
    </row>
    <row r="9044" spans="1:1" x14ac:dyDescent="0.2">
      <c r="A9044" s="1" t="s">
        <v>2340</v>
      </c>
    </row>
    <row r="9045" spans="1:1" x14ac:dyDescent="0.2">
      <c r="A9045" s="1" t="s">
        <v>2341</v>
      </c>
    </row>
    <row r="9046" spans="1:1" x14ac:dyDescent="0.2">
      <c r="A9046" s="1" t="s">
        <v>2342</v>
      </c>
    </row>
    <row r="9047" spans="1:1" x14ac:dyDescent="0.2">
      <c r="A9047" s="1" t="s">
        <v>2343</v>
      </c>
    </row>
    <row r="9048" spans="1:1" x14ac:dyDescent="0.2">
      <c r="A9048" s="1" t="s">
        <v>2344</v>
      </c>
    </row>
    <row r="9049" spans="1:1" x14ac:dyDescent="0.2">
      <c r="A9049" s="1" t="s">
        <v>2344</v>
      </c>
    </row>
    <row r="9050" spans="1:1" x14ac:dyDescent="0.2">
      <c r="A9050" s="1" t="s">
        <v>2344</v>
      </c>
    </row>
    <row r="9051" spans="1:1" x14ac:dyDescent="0.2">
      <c r="A9051" s="1" t="s">
        <v>2345</v>
      </c>
    </row>
    <row r="9052" spans="1:1" x14ac:dyDescent="0.2">
      <c r="A9052" s="1" t="s">
        <v>2345</v>
      </c>
    </row>
    <row r="9053" spans="1:1" x14ac:dyDescent="0.2">
      <c r="A9053" s="1" t="s">
        <v>2345</v>
      </c>
    </row>
    <row r="9054" spans="1:1" x14ac:dyDescent="0.2">
      <c r="A9054" s="1" t="s">
        <v>2346</v>
      </c>
    </row>
    <row r="9055" spans="1:1" x14ac:dyDescent="0.2">
      <c r="A9055" s="1" t="s">
        <v>2347</v>
      </c>
    </row>
    <row r="9056" spans="1:1" x14ac:dyDescent="0.2">
      <c r="A9056" s="1" t="s">
        <v>2348</v>
      </c>
    </row>
    <row r="9057" spans="1:1" x14ac:dyDescent="0.2">
      <c r="A9057" s="1" t="s">
        <v>2349</v>
      </c>
    </row>
    <row r="9058" spans="1:1" x14ac:dyDescent="0.2">
      <c r="A9058" s="1" t="s">
        <v>2350</v>
      </c>
    </row>
    <row r="9059" spans="1:1" x14ac:dyDescent="0.2">
      <c r="A9059" s="1" t="s">
        <v>2351</v>
      </c>
    </row>
    <row r="9060" spans="1:1" x14ac:dyDescent="0.2">
      <c r="A9060" s="1" t="s">
        <v>2352</v>
      </c>
    </row>
    <row r="9061" spans="1:1" x14ac:dyDescent="0.2">
      <c r="A9061" s="1" t="s">
        <v>2344</v>
      </c>
    </row>
    <row r="9062" spans="1:1" x14ac:dyDescent="0.2">
      <c r="A9062" s="1" t="s">
        <v>2344</v>
      </c>
    </row>
    <row r="9063" spans="1:1" x14ac:dyDescent="0.2">
      <c r="A9063" s="1" t="s">
        <v>2344</v>
      </c>
    </row>
    <row r="9064" spans="1:1" x14ac:dyDescent="0.2">
      <c r="A9064" s="1" t="s">
        <v>2344</v>
      </c>
    </row>
    <row r="9065" spans="1:1" x14ac:dyDescent="0.2">
      <c r="A9065" s="1" t="s">
        <v>2345</v>
      </c>
    </row>
    <row r="9066" spans="1:1" x14ac:dyDescent="0.2">
      <c r="A9066" s="1" t="s">
        <v>2345</v>
      </c>
    </row>
    <row r="9067" spans="1:1" x14ac:dyDescent="0.2">
      <c r="A9067" s="1" t="s">
        <v>2345</v>
      </c>
    </row>
    <row r="9068" spans="1:1" x14ac:dyDescent="0.2">
      <c r="A9068" s="1" t="s">
        <v>2346</v>
      </c>
    </row>
    <row r="9069" spans="1:1" x14ac:dyDescent="0.2">
      <c r="A9069" s="1" t="s">
        <v>2347</v>
      </c>
    </row>
    <row r="9070" spans="1:1" x14ac:dyDescent="0.2">
      <c r="A9070" s="1" t="s">
        <v>2348</v>
      </c>
    </row>
    <row r="9071" spans="1:1" x14ac:dyDescent="0.2">
      <c r="A9071" s="1" t="s">
        <v>2349</v>
      </c>
    </row>
    <row r="9072" spans="1:1" x14ac:dyDescent="0.2">
      <c r="A9072" s="1" t="s">
        <v>2350</v>
      </c>
    </row>
    <row r="9073" spans="1:1" x14ac:dyDescent="0.2">
      <c r="A9073" s="1" t="s">
        <v>2351</v>
      </c>
    </row>
    <row r="9074" spans="1:1" x14ac:dyDescent="0.2">
      <c r="A9074" s="1" t="s">
        <v>2352</v>
      </c>
    </row>
    <row r="9075" spans="1:1" x14ac:dyDescent="0.2">
      <c r="A9075" s="1" t="s">
        <v>2344</v>
      </c>
    </row>
    <row r="9076" spans="1:1" x14ac:dyDescent="0.2">
      <c r="A9076" s="1" t="s">
        <v>2344</v>
      </c>
    </row>
    <row r="9077" spans="1:1" x14ac:dyDescent="0.2">
      <c r="A9077" s="1" t="s">
        <v>2344</v>
      </c>
    </row>
    <row r="9078" spans="1:1" x14ac:dyDescent="0.2">
      <c r="A9078" s="1" t="s">
        <v>2344</v>
      </c>
    </row>
    <row r="9079" spans="1:1" x14ac:dyDescent="0.2">
      <c r="A9079" s="1" t="s">
        <v>2345</v>
      </c>
    </row>
    <row r="9080" spans="1:1" x14ac:dyDescent="0.2">
      <c r="A9080" s="1" t="s">
        <v>2353</v>
      </c>
    </row>
    <row r="9081" spans="1:1" x14ac:dyDescent="0.2">
      <c r="A9081" s="1" t="s">
        <v>2353</v>
      </c>
    </row>
    <row r="9082" spans="1:1" x14ac:dyDescent="0.2">
      <c r="A9082" s="1" t="s">
        <v>2354</v>
      </c>
    </row>
    <row r="9083" spans="1:1" x14ac:dyDescent="0.2">
      <c r="A9083" s="1" t="s">
        <v>2355</v>
      </c>
    </row>
    <row r="9084" spans="1:1" x14ac:dyDescent="0.2">
      <c r="A9084" s="1" t="s">
        <v>2356</v>
      </c>
    </row>
    <row r="9085" spans="1:1" x14ac:dyDescent="0.2">
      <c r="A9085" s="1" t="s">
        <v>2357</v>
      </c>
    </row>
    <row r="9086" spans="1:1" x14ac:dyDescent="0.2">
      <c r="A9086" s="1" t="s">
        <v>2358</v>
      </c>
    </row>
    <row r="9087" spans="1:1" x14ac:dyDescent="0.2">
      <c r="A9087" s="1" t="s">
        <v>2359</v>
      </c>
    </row>
    <row r="9088" spans="1:1" x14ac:dyDescent="0.2">
      <c r="A9088" s="1" t="s">
        <v>2360</v>
      </c>
    </row>
    <row r="9089" spans="1:1" x14ac:dyDescent="0.2">
      <c r="A9089" s="1" t="s">
        <v>2361</v>
      </c>
    </row>
    <row r="9090" spans="1:1" x14ac:dyDescent="0.2">
      <c r="A9090" s="1" t="s">
        <v>2361</v>
      </c>
    </row>
    <row r="9091" spans="1:1" x14ac:dyDescent="0.2">
      <c r="A9091" s="1" t="s">
        <v>2361</v>
      </c>
    </row>
    <row r="9092" spans="1:1" x14ac:dyDescent="0.2">
      <c r="A9092" s="1" t="s">
        <v>2361</v>
      </c>
    </row>
    <row r="9093" spans="1:1" x14ac:dyDescent="0.2">
      <c r="A9093" s="1" t="s">
        <v>2353</v>
      </c>
    </row>
    <row r="9094" spans="1:1" x14ac:dyDescent="0.2">
      <c r="A9094" s="1" t="s">
        <v>2353</v>
      </c>
    </row>
    <row r="9095" spans="1:1" x14ac:dyDescent="0.2">
      <c r="A9095" s="1" t="s">
        <v>2353</v>
      </c>
    </row>
    <row r="9096" spans="1:1" x14ac:dyDescent="0.2">
      <c r="A9096" s="1" t="s">
        <v>2354</v>
      </c>
    </row>
    <row r="9097" spans="1:1" x14ac:dyDescent="0.2">
      <c r="A9097" s="1" t="s">
        <v>2355</v>
      </c>
    </row>
    <row r="9098" spans="1:1" x14ac:dyDescent="0.2">
      <c r="A9098" s="1" t="s">
        <v>2356</v>
      </c>
    </row>
    <row r="9099" spans="1:1" x14ac:dyDescent="0.2">
      <c r="A9099" s="1" t="s">
        <v>2357</v>
      </c>
    </row>
    <row r="9100" spans="1:1" x14ac:dyDescent="0.2">
      <c r="A9100" s="1" t="s">
        <v>2358</v>
      </c>
    </row>
    <row r="9101" spans="1:1" x14ac:dyDescent="0.2">
      <c r="A9101" s="1" t="s">
        <v>2359</v>
      </c>
    </row>
    <row r="9102" spans="1:1" x14ac:dyDescent="0.2">
      <c r="A9102" s="1" t="s">
        <v>2360</v>
      </c>
    </row>
    <row r="9103" spans="1:1" x14ac:dyDescent="0.2">
      <c r="A9103" s="1" t="s">
        <v>2361</v>
      </c>
    </row>
    <row r="9104" spans="1:1" x14ac:dyDescent="0.2">
      <c r="A9104" s="1" t="s">
        <v>2361</v>
      </c>
    </row>
    <row r="9105" spans="1:1" x14ac:dyDescent="0.2">
      <c r="A9105" s="1" t="s">
        <v>2361</v>
      </c>
    </row>
    <row r="9106" spans="1:1" x14ac:dyDescent="0.2">
      <c r="A9106" s="1" t="s">
        <v>2361</v>
      </c>
    </row>
    <row r="9107" spans="1:1" x14ac:dyDescent="0.2">
      <c r="A9107" s="1" t="s">
        <v>2353</v>
      </c>
    </row>
    <row r="9108" spans="1:1" x14ac:dyDescent="0.2">
      <c r="A9108" s="1" t="s">
        <v>2353</v>
      </c>
    </row>
    <row r="9109" spans="1:1" x14ac:dyDescent="0.2">
      <c r="A9109" s="1" t="s">
        <v>2353</v>
      </c>
    </row>
    <row r="9110" spans="1:1" x14ac:dyDescent="0.2">
      <c r="A9110" s="1" t="s">
        <v>2354</v>
      </c>
    </row>
    <row r="9111" spans="1:1" x14ac:dyDescent="0.2">
      <c r="A9111" s="1" t="s">
        <v>2355</v>
      </c>
    </row>
    <row r="9112" spans="1:1" x14ac:dyDescent="0.2">
      <c r="A9112" s="1" t="s">
        <v>2356</v>
      </c>
    </row>
    <row r="9113" spans="1:1" x14ac:dyDescent="0.2">
      <c r="A9113" s="1" t="s">
        <v>2357</v>
      </c>
    </row>
    <row r="9114" spans="1:1" x14ac:dyDescent="0.2">
      <c r="A9114" s="1" t="s">
        <v>2358</v>
      </c>
    </row>
    <row r="9115" spans="1:1" x14ac:dyDescent="0.2">
      <c r="A9115" s="1" t="s">
        <v>2359</v>
      </c>
    </row>
    <row r="9116" spans="1:1" x14ac:dyDescent="0.2">
      <c r="A9116" s="1" t="s">
        <v>2360</v>
      </c>
    </row>
    <row r="9117" spans="1:1" x14ac:dyDescent="0.2">
      <c r="A9117" s="1" t="s">
        <v>2361</v>
      </c>
    </row>
    <row r="9118" spans="1:1" x14ac:dyDescent="0.2">
      <c r="A9118" s="1" t="s">
        <v>2361</v>
      </c>
    </row>
    <row r="9119" spans="1:1" x14ac:dyDescent="0.2">
      <c r="A9119" s="1" t="s">
        <v>2361</v>
      </c>
    </row>
    <row r="9120" spans="1:1" x14ac:dyDescent="0.2">
      <c r="A9120" s="1" t="s">
        <v>2361</v>
      </c>
    </row>
    <row r="9121" spans="1:1" x14ac:dyDescent="0.2">
      <c r="A9121" s="1" t="s">
        <v>2353</v>
      </c>
    </row>
    <row r="9122" spans="1:1" x14ac:dyDescent="0.2">
      <c r="A9122" s="1" t="s">
        <v>2353</v>
      </c>
    </row>
    <row r="9123" spans="1:1" x14ac:dyDescent="0.2">
      <c r="A9123" s="1" t="s">
        <v>2353</v>
      </c>
    </row>
    <row r="9124" spans="1:1" x14ac:dyDescent="0.2">
      <c r="A9124" s="1" t="s">
        <v>2354</v>
      </c>
    </row>
    <row r="9125" spans="1:1" x14ac:dyDescent="0.2">
      <c r="A9125" s="1" t="s">
        <v>2355</v>
      </c>
    </row>
    <row r="9126" spans="1:1" x14ac:dyDescent="0.2">
      <c r="A9126" s="1" t="s">
        <v>2356</v>
      </c>
    </row>
    <row r="9127" spans="1:1" x14ac:dyDescent="0.2">
      <c r="A9127" s="1" t="s">
        <v>2357</v>
      </c>
    </row>
    <row r="9128" spans="1:1" x14ac:dyDescent="0.2">
      <c r="A9128" s="1" t="s">
        <v>2358</v>
      </c>
    </row>
    <row r="9129" spans="1:1" x14ac:dyDescent="0.2">
      <c r="A9129" s="1" t="s">
        <v>2359</v>
      </c>
    </row>
    <row r="9130" spans="1:1" x14ac:dyDescent="0.2">
      <c r="A9130" s="1" t="s">
        <v>2360</v>
      </c>
    </row>
    <row r="9131" spans="1:1" x14ac:dyDescent="0.2">
      <c r="A9131" s="1" t="s">
        <v>2361</v>
      </c>
    </row>
    <row r="9132" spans="1:1" x14ac:dyDescent="0.2">
      <c r="A9132" s="1" t="s">
        <v>2361</v>
      </c>
    </row>
    <row r="9133" spans="1:1" x14ac:dyDescent="0.2">
      <c r="A9133" s="1" t="s">
        <v>2361</v>
      </c>
    </row>
    <row r="9134" spans="1:1" x14ac:dyDescent="0.2">
      <c r="A9134" s="1" t="s">
        <v>2361</v>
      </c>
    </row>
    <row r="9135" spans="1:1" x14ac:dyDescent="0.2">
      <c r="A9135" s="1" t="s">
        <v>2353</v>
      </c>
    </row>
    <row r="9136" spans="1:1" x14ac:dyDescent="0.2">
      <c r="A9136" s="1" t="s">
        <v>2362</v>
      </c>
    </row>
    <row r="9137" spans="1:1" x14ac:dyDescent="0.2">
      <c r="A9137" s="1" t="s">
        <v>2362</v>
      </c>
    </row>
    <row r="9138" spans="1:1" x14ac:dyDescent="0.2">
      <c r="A9138" s="1" t="s">
        <v>2363</v>
      </c>
    </row>
    <row r="9139" spans="1:1" x14ac:dyDescent="0.2">
      <c r="A9139" s="1" t="s">
        <v>2364</v>
      </c>
    </row>
    <row r="9140" spans="1:1" x14ac:dyDescent="0.2">
      <c r="A9140" s="1" t="s">
        <v>2365</v>
      </c>
    </row>
    <row r="9141" spans="1:1" x14ac:dyDescent="0.2">
      <c r="A9141" s="1" t="s">
        <v>2366</v>
      </c>
    </row>
    <row r="9142" spans="1:1" x14ac:dyDescent="0.2">
      <c r="A9142" s="1" t="s">
        <v>2367</v>
      </c>
    </row>
    <row r="9143" spans="1:1" x14ac:dyDescent="0.2">
      <c r="A9143" s="1" t="s">
        <v>2368</v>
      </c>
    </row>
    <row r="9144" spans="1:1" x14ac:dyDescent="0.2">
      <c r="A9144" s="1" t="s">
        <v>2369</v>
      </c>
    </row>
    <row r="9145" spans="1:1" x14ac:dyDescent="0.2">
      <c r="A9145" s="1" t="s">
        <v>2370</v>
      </c>
    </row>
    <row r="9146" spans="1:1" x14ac:dyDescent="0.2">
      <c r="A9146" s="1" t="s">
        <v>2370</v>
      </c>
    </row>
    <row r="9147" spans="1:1" x14ac:dyDescent="0.2">
      <c r="A9147" s="1" t="s">
        <v>2370</v>
      </c>
    </row>
    <row r="9148" spans="1:1" x14ac:dyDescent="0.2">
      <c r="A9148" s="1" t="s">
        <v>2370</v>
      </c>
    </row>
    <row r="9149" spans="1:1" x14ac:dyDescent="0.2">
      <c r="A9149" s="1" t="s">
        <v>2362</v>
      </c>
    </row>
    <row r="9150" spans="1:1" x14ac:dyDescent="0.2">
      <c r="A9150" s="1" t="s">
        <v>2362</v>
      </c>
    </row>
    <row r="9151" spans="1:1" x14ac:dyDescent="0.2">
      <c r="A9151" s="1" t="s">
        <v>2362</v>
      </c>
    </row>
    <row r="9152" spans="1:1" x14ac:dyDescent="0.2">
      <c r="A9152" s="1" t="s">
        <v>2363</v>
      </c>
    </row>
    <row r="9153" spans="1:1" x14ac:dyDescent="0.2">
      <c r="A9153" s="1" t="s">
        <v>2364</v>
      </c>
    </row>
    <row r="9154" spans="1:1" x14ac:dyDescent="0.2">
      <c r="A9154" s="1" t="s">
        <v>2365</v>
      </c>
    </row>
    <row r="9155" spans="1:1" x14ac:dyDescent="0.2">
      <c r="A9155" s="1" t="s">
        <v>2366</v>
      </c>
    </row>
    <row r="9156" spans="1:1" x14ac:dyDescent="0.2">
      <c r="A9156" s="1" t="s">
        <v>2367</v>
      </c>
    </row>
    <row r="9157" spans="1:1" x14ac:dyDescent="0.2">
      <c r="A9157" s="1" t="s">
        <v>2368</v>
      </c>
    </row>
    <row r="9158" spans="1:1" x14ac:dyDescent="0.2">
      <c r="A9158" s="1" t="s">
        <v>2369</v>
      </c>
    </row>
    <row r="9159" spans="1:1" x14ac:dyDescent="0.2">
      <c r="A9159" s="1" t="s">
        <v>2370</v>
      </c>
    </row>
    <row r="9160" spans="1:1" x14ac:dyDescent="0.2">
      <c r="A9160" s="1" t="s">
        <v>2370</v>
      </c>
    </row>
    <row r="9161" spans="1:1" x14ac:dyDescent="0.2">
      <c r="A9161" s="1" t="s">
        <v>2370</v>
      </c>
    </row>
    <row r="9162" spans="1:1" x14ac:dyDescent="0.2">
      <c r="A9162" s="1" t="s">
        <v>2370</v>
      </c>
    </row>
    <row r="9163" spans="1:1" x14ac:dyDescent="0.2">
      <c r="A9163" s="1" t="s">
        <v>2362</v>
      </c>
    </row>
    <row r="9164" spans="1:1" x14ac:dyDescent="0.2">
      <c r="A9164" s="1" t="s">
        <v>2362</v>
      </c>
    </row>
    <row r="9165" spans="1:1" x14ac:dyDescent="0.2">
      <c r="A9165" s="1" t="s">
        <v>2362</v>
      </c>
    </row>
    <row r="9166" spans="1:1" x14ac:dyDescent="0.2">
      <c r="A9166" s="1" t="s">
        <v>2363</v>
      </c>
    </row>
    <row r="9167" spans="1:1" x14ac:dyDescent="0.2">
      <c r="A9167" s="1" t="s">
        <v>2364</v>
      </c>
    </row>
    <row r="9168" spans="1:1" x14ac:dyDescent="0.2">
      <c r="A9168" s="1" t="s">
        <v>2365</v>
      </c>
    </row>
    <row r="9169" spans="1:1" x14ac:dyDescent="0.2">
      <c r="A9169" s="1" t="s">
        <v>2366</v>
      </c>
    </row>
    <row r="9170" spans="1:1" x14ac:dyDescent="0.2">
      <c r="A9170" s="1" t="s">
        <v>2367</v>
      </c>
    </row>
    <row r="9171" spans="1:1" x14ac:dyDescent="0.2">
      <c r="A9171" s="1" t="s">
        <v>2368</v>
      </c>
    </row>
    <row r="9172" spans="1:1" x14ac:dyDescent="0.2">
      <c r="A9172" s="1" t="s">
        <v>2369</v>
      </c>
    </row>
    <row r="9173" spans="1:1" x14ac:dyDescent="0.2">
      <c r="A9173" s="1" t="s">
        <v>2370</v>
      </c>
    </row>
    <row r="9174" spans="1:1" x14ac:dyDescent="0.2">
      <c r="A9174" s="1" t="s">
        <v>2370</v>
      </c>
    </row>
    <row r="9175" spans="1:1" x14ac:dyDescent="0.2">
      <c r="A9175" s="1" t="s">
        <v>2370</v>
      </c>
    </row>
    <row r="9176" spans="1:1" x14ac:dyDescent="0.2">
      <c r="A9176" s="1" t="s">
        <v>2370</v>
      </c>
    </row>
    <row r="9177" spans="1:1" x14ac:dyDescent="0.2">
      <c r="A9177" s="1" t="s">
        <v>2362</v>
      </c>
    </row>
    <row r="9178" spans="1:1" x14ac:dyDescent="0.2">
      <c r="A9178" s="1" t="s">
        <v>2362</v>
      </c>
    </row>
    <row r="9179" spans="1:1" x14ac:dyDescent="0.2">
      <c r="A9179" s="1" t="s">
        <v>2362</v>
      </c>
    </row>
    <row r="9180" spans="1:1" x14ac:dyDescent="0.2">
      <c r="A9180" s="1" t="s">
        <v>2363</v>
      </c>
    </row>
    <row r="9181" spans="1:1" x14ac:dyDescent="0.2">
      <c r="A9181" s="1" t="s">
        <v>2364</v>
      </c>
    </row>
    <row r="9182" spans="1:1" x14ac:dyDescent="0.2">
      <c r="A9182" s="1" t="s">
        <v>2365</v>
      </c>
    </row>
    <row r="9183" spans="1:1" x14ac:dyDescent="0.2">
      <c r="A9183" s="1" t="s">
        <v>2366</v>
      </c>
    </row>
    <row r="9184" spans="1:1" x14ac:dyDescent="0.2">
      <c r="A9184" s="1" t="s">
        <v>2367</v>
      </c>
    </row>
    <row r="9185" spans="1:1" x14ac:dyDescent="0.2">
      <c r="A9185" s="1" t="s">
        <v>2368</v>
      </c>
    </row>
    <row r="9186" spans="1:1" x14ac:dyDescent="0.2">
      <c r="A9186" s="1" t="s">
        <v>2369</v>
      </c>
    </row>
    <row r="9187" spans="1:1" x14ac:dyDescent="0.2">
      <c r="A9187" s="1" t="s">
        <v>2370</v>
      </c>
    </row>
    <row r="9188" spans="1:1" x14ac:dyDescent="0.2">
      <c r="A9188" s="1" t="s">
        <v>2370</v>
      </c>
    </row>
    <row r="9189" spans="1:1" x14ac:dyDescent="0.2">
      <c r="A9189" s="1" t="s">
        <v>2370</v>
      </c>
    </row>
    <row r="9190" spans="1:1" x14ac:dyDescent="0.2">
      <c r="A9190" s="1" t="s">
        <v>2370</v>
      </c>
    </row>
    <row r="9191" spans="1:1" x14ac:dyDescent="0.2">
      <c r="A9191" s="1" t="s">
        <v>2362</v>
      </c>
    </row>
    <row r="9192" spans="1:1" x14ac:dyDescent="0.2">
      <c r="A9192" s="1" t="s">
        <v>2371</v>
      </c>
    </row>
    <row r="9193" spans="1:1" x14ac:dyDescent="0.2">
      <c r="A9193" s="1" t="s">
        <v>2371</v>
      </c>
    </row>
    <row r="9194" spans="1:1" x14ac:dyDescent="0.2">
      <c r="A9194" s="1" t="s">
        <v>2372</v>
      </c>
    </row>
    <row r="9195" spans="1:1" x14ac:dyDescent="0.2">
      <c r="A9195" s="1" t="s">
        <v>2373</v>
      </c>
    </row>
    <row r="9196" spans="1:1" x14ac:dyDescent="0.2">
      <c r="A9196" s="1" t="s">
        <v>2374</v>
      </c>
    </row>
    <row r="9197" spans="1:1" x14ac:dyDescent="0.2">
      <c r="A9197" s="1" t="s">
        <v>2375</v>
      </c>
    </row>
    <row r="9198" spans="1:1" x14ac:dyDescent="0.2">
      <c r="A9198" s="1" t="s">
        <v>2376</v>
      </c>
    </row>
    <row r="9199" spans="1:1" x14ac:dyDescent="0.2">
      <c r="A9199" s="1" t="s">
        <v>2377</v>
      </c>
    </row>
    <row r="9200" spans="1:1" x14ac:dyDescent="0.2">
      <c r="A9200" s="1" t="s">
        <v>2378</v>
      </c>
    </row>
    <row r="9201" spans="1:1" x14ac:dyDescent="0.2">
      <c r="A9201" s="1" t="s">
        <v>2379</v>
      </c>
    </row>
    <row r="9202" spans="1:1" x14ac:dyDescent="0.2">
      <c r="A9202" s="1" t="s">
        <v>2379</v>
      </c>
    </row>
    <row r="9203" spans="1:1" x14ac:dyDescent="0.2">
      <c r="A9203" s="1" t="s">
        <v>2379</v>
      </c>
    </row>
    <row r="9204" spans="1:1" x14ac:dyDescent="0.2">
      <c r="A9204" s="1" t="s">
        <v>2379</v>
      </c>
    </row>
    <row r="9205" spans="1:1" x14ac:dyDescent="0.2">
      <c r="A9205" s="1" t="s">
        <v>2371</v>
      </c>
    </row>
    <row r="9206" spans="1:1" x14ac:dyDescent="0.2">
      <c r="A9206" s="1" t="s">
        <v>2371</v>
      </c>
    </row>
    <row r="9207" spans="1:1" x14ac:dyDescent="0.2">
      <c r="A9207" s="1" t="s">
        <v>2380</v>
      </c>
    </row>
    <row r="9208" spans="1:1" x14ac:dyDescent="0.2">
      <c r="A9208" s="1" t="s">
        <v>2381</v>
      </c>
    </row>
    <row r="9209" spans="1:1" x14ac:dyDescent="0.2">
      <c r="A9209" s="1" t="s">
        <v>2382</v>
      </c>
    </row>
    <row r="9210" spans="1:1" x14ac:dyDescent="0.2">
      <c r="A9210" s="1" t="s">
        <v>2383</v>
      </c>
    </row>
    <row r="9211" spans="1:1" x14ac:dyDescent="0.2">
      <c r="A9211" s="1" t="s">
        <v>2384</v>
      </c>
    </row>
    <row r="9212" spans="1:1" x14ac:dyDescent="0.2">
      <c r="A9212" s="1" t="s">
        <v>2385</v>
      </c>
    </row>
    <row r="9213" spans="1:1" x14ac:dyDescent="0.2">
      <c r="A9213" s="1" t="s">
        <v>2386</v>
      </c>
    </row>
    <row r="9214" spans="1:1" x14ac:dyDescent="0.2">
      <c r="A9214" s="1" t="s">
        <v>2387</v>
      </c>
    </row>
    <row r="9215" spans="1:1" x14ac:dyDescent="0.2">
      <c r="A9215" s="1" t="s">
        <v>2388</v>
      </c>
    </row>
    <row r="9216" spans="1:1" x14ac:dyDescent="0.2">
      <c r="A9216" s="1" t="s">
        <v>2389</v>
      </c>
    </row>
    <row r="9217" spans="1:1" x14ac:dyDescent="0.2">
      <c r="A9217" s="1" t="s">
        <v>2389</v>
      </c>
    </row>
    <row r="9218" spans="1:1" x14ac:dyDescent="0.2">
      <c r="A9218" s="1" t="s">
        <v>2389</v>
      </c>
    </row>
    <row r="9219" spans="1:1" x14ac:dyDescent="0.2">
      <c r="A9219" s="1" t="s">
        <v>2390</v>
      </c>
    </row>
    <row r="9220" spans="1:1" x14ac:dyDescent="0.2">
      <c r="A9220" s="1" t="s">
        <v>2390</v>
      </c>
    </row>
    <row r="9221" spans="1:1" x14ac:dyDescent="0.2">
      <c r="A9221" s="1" t="s">
        <v>2390</v>
      </c>
    </row>
    <row r="9222" spans="1:1" x14ac:dyDescent="0.2">
      <c r="A9222" s="1" t="s">
        <v>2391</v>
      </c>
    </row>
    <row r="9223" spans="1:1" x14ac:dyDescent="0.2">
      <c r="A9223" s="1" t="s">
        <v>2392</v>
      </c>
    </row>
    <row r="9224" spans="1:1" x14ac:dyDescent="0.2">
      <c r="A9224" s="1" t="s">
        <v>2393</v>
      </c>
    </row>
    <row r="9225" spans="1:1" x14ac:dyDescent="0.2">
      <c r="A9225" s="1" t="s">
        <v>2394</v>
      </c>
    </row>
    <row r="9226" spans="1:1" x14ac:dyDescent="0.2">
      <c r="A9226" s="1" t="s">
        <v>2395</v>
      </c>
    </row>
    <row r="9227" spans="1:1" x14ac:dyDescent="0.2">
      <c r="A9227" s="1" t="s">
        <v>2396</v>
      </c>
    </row>
    <row r="9228" spans="1:1" x14ac:dyDescent="0.2">
      <c r="A9228" s="1" t="s">
        <v>2397</v>
      </c>
    </row>
    <row r="9229" spans="1:1" x14ac:dyDescent="0.2">
      <c r="A9229" s="1" t="s">
        <v>2389</v>
      </c>
    </row>
    <row r="9230" spans="1:1" x14ac:dyDescent="0.2">
      <c r="A9230" s="1" t="s">
        <v>2389</v>
      </c>
    </row>
    <row r="9231" spans="1:1" x14ac:dyDescent="0.2">
      <c r="A9231" s="1" t="s">
        <v>2389</v>
      </c>
    </row>
    <row r="9232" spans="1:1" x14ac:dyDescent="0.2">
      <c r="A9232" s="1" t="s">
        <v>2389</v>
      </c>
    </row>
    <row r="9233" spans="1:1" x14ac:dyDescent="0.2">
      <c r="A9233" s="1" t="s">
        <v>2390</v>
      </c>
    </row>
    <row r="9234" spans="1:1" x14ac:dyDescent="0.2">
      <c r="A9234" s="1" t="s">
        <v>2390</v>
      </c>
    </row>
    <row r="9235" spans="1:1" x14ac:dyDescent="0.2">
      <c r="A9235" s="1" t="s">
        <v>2390</v>
      </c>
    </row>
    <row r="9236" spans="1:1" x14ac:dyDescent="0.2">
      <c r="A9236" s="1" t="s">
        <v>2391</v>
      </c>
    </row>
    <row r="9237" spans="1:1" x14ac:dyDescent="0.2">
      <c r="A9237" s="1" t="s">
        <v>2392</v>
      </c>
    </row>
    <row r="9238" spans="1:1" x14ac:dyDescent="0.2">
      <c r="A9238" s="1" t="s">
        <v>2393</v>
      </c>
    </row>
    <row r="9239" spans="1:1" x14ac:dyDescent="0.2">
      <c r="A9239" s="1" t="s">
        <v>2394</v>
      </c>
    </row>
    <row r="9240" spans="1:1" x14ac:dyDescent="0.2">
      <c r="A9240" s="1" t="s">
        <v>2395</v>
      </c>
    </row>
    <row r="9241" spans="1:1" x14ac:dyDescent="0.2">
      <c r="A9241" s="1" t="s">
        <v>2396</v>
      </c>
    </row>
    <row r="9242" spans="1:1" x14ac:dyDescent="0.2">
      <c r="A9242" s="1" t="s">
        <v>2397</v>
      </c>
    </row>
    <row r="9243" spans="1:1" x14ac:dyDescent="0.2">
      <c r="A9243" s="1" t="s">
        <v>2389</v>
      </c>
    </row>
    <row r="9244" spans="1:1" x14ac:dyDescent="0.2">
      <c r="A9244" s="1" t="s">
        <v>2389</v>
      </c>
    </row>
    <row r="9245" spans="1:1" x14ac:dyDescent="0.2">
      <c r="A9245" s="1" t="s">
        <v>2389</v>
      </c>
    </row>
    <row r="9246" spans="1:1" x14ac:dyDescent="0.2">
      <c r="A9246" s="1" t="s">
        <v>2389</v>
      </c>
    </row>
    <row r="9247" spans="1:1" x14ac:dyDescent="0.2">
      <c r="A9247" s="1" t="s">
        <v>2390</v>
      </c>
    </row>
    <row r="9248" spans="1:1" x14ac:dyDescent="0.2">
      <c r="A9248" s="1" t="s">
        <v>2390</v>
      </c>
    </row>
    <row r="9249" spans="1:1" x14ac:dyDescent="0.2">
      <c r="A9249" s="1" t="s">
        <v>2390</v>
      </c>
    </row>
    <row r="9250" spans="1:1" x14ac:dyDescent="0.2">
      <c r="A9250" s="1" t="s">
        <v>2391</v>
      </c>
    </row>
    <row r="9251" spans="1:1" x14ac:dyDescent="0.2">
      <c r="A9251" s="1" t="s">
        <v>2392</v>
      </c>
    </row>
    <row r="9252" spans="1:1" x14ac:dyDescent="0.2">
      <c r="A9252" s="1" t="s">
        <v>2393</v>
      </c>
    </row>
    <row r="9253" spans="1:1" x14ac:dyDescent="0.2">
      <c r="A9253" s="1" t="s">
        <v>2394</v>
      </c>
    </row>
    <row r="9254" spans="1:1" x14ac:dyDescent="0.2">
      <c r="A9254" s="1" t="s">
        <v>2395</v>
      </c>
    </row>
    <row r="9255" spans="1:1" x14ac:dyDescent="0.2">
      <c r="A9255" s="1" t="s">
        <v>2396</v>
      </c>
    </row>
    <row r="9256" spans="1:1" x14ac:dyDescent="0.2">
      <c r="A9256" s="1" t="s">
        <v>2397</v>
      </c>
    </row>
    <row r="9257" spans="1:1" x14ac:dyDescent="0.2">
      <c r="A9257" s="1" t="s">
        <v>2389</v>
      </c>
    </row>
    <row r="9258" spans="1:1" x14ac:dyDescent="0.2">
      <c r="A9258" s="1" t="s">
        <v>2389</v>
      </c>
    </row>
    <row r="9259" spans="1:1" x14ac:dyDescent="0.2">
      <c r="A9259" s="1" t="s">
        <v>2389</v>
      </c>
    </row>
    <row r="9260" spans="1:1" x14ac:dyDescent="0.2">
      <c r="A9260" s="1" t="s">
        <v>2389</v>
      </c>
    </row>
    <row r="9261" spans="1:1" x14ac:dyDescent="0.2">
      <c r="A9261" s="1" t="s">
        <v>2390</v>
      </c>
    </row>
    <row r="9262" spans="1:1" x14ac:dyDescent="0.2">
      <c r="A9262" s="1" t="s">
        <v>2390</v>
      </c>
    </row>
    <row r="9263" spans="1:1" x14ac:dyDescent="0.2">
      <c r="A9263" s="1" t="s">
        <v>2390</v>
      </c>
    </row>
    <row r="9264" spans="1:1" x14ac:dyDescent="0.2">
      <c r="A9264" s="1" t="s">
        <v>2391</v>
      </c>
    </row>
    <row r="9265" spans="1:1" x14ac:dyDescent="0.2">
      <c r="A9265" s="1" t="s">
        <v>2392</v>
      </c>
    </row>
    <row r="9266" spans="1:1" x14ac:dyDescent="0.2">
      <c r="A9266" s="1" t="s">
        <v>2393</v>
      </c>
    </row>
    <row r="9267" spans="1:1" x14ac:dyDescent="0.2">
      <c r="A9267" s="1" t="s">
        <v>2394</v>
      </c>
    </row>
    <row r="9268" spans="1:1" x14ac:dyDescent="0.2">
      <c r="A9268" s="1" t="s">
        <v>2395</v>
      </c>
    </row>
    <row r="9269" spans="1:1" x14ac:dyDescent="0.2">
      <c r="A9269" s="1" t="s">
        <v>2396</v>
      </c>
    </row>
    <row r="9270" spans="1:1" x14ac:dyDescent="0.2">
      <c r="A9270" s="1" t="s">
        <v>2397</v>
      </c>
    </row>
    <row r="9271" spans="1:1" x14ac:dyDescent="0.2">
      <c r="A9271" s="1" t="s">
        <v>2389</v>
      </c>
    </row>
    <row r="9272" spans="1:1" x14ac:dyDescent="0.2">
      <c r="A9272" s="1" t="s">
        <v>2389</v>
      </c>
    </row>
    <row r="9273" spans="1:1" x14ac:dyDescent="0.2">
      <c r="A9273" s="1" t="s">
        <v>2389</v>
      </c>
    </row>
    <row r="9274" spans="1:1" x14ac:dyDescent="0.2">
      <c r="A9274" s="1" t="s">
        <v>2389</v>
      </c>
    </row>
    <row r="9275" spans="1:1" x14ac:dyDescent="0.2">
      <c r="A9275" s="1" t="s">
        <v>2390</v>
      </c>
    </row>
    <row r="9276" spans="1:1" x14ac:dyDescent="0.2">
      <c r="A9276" s="1" t="s">
        <v>2390</v>
      </c>
    </row>
    <row r="9277" spans="1:1" x14ac:dyDescent="0.2">
      <c r="A9277" s="1" t="s">
        <v>2390</v>
      </c>
    </row>
    <row r="9278" spans="1:1" x14ac:dyDescent="0.2">
      <c r="A9278" s="1" t="s">
        <v>2391</v>
      </c>
    </row>
    <row r="9279" spans="1:1" x14ac:dyDescent="0.2">
      <c r="A9279" s="1" t="s">
        <v>2392</v>
      </c>
    </row>
    <row r="9280" spans="1:1" x14ac:dyDescent="0.2">
      <c r="A9280" s="1" t="s">
        <v>2393</v>
      </c>
    </row>
    <row r="9281" spans="1:1" x14ac:dyDescent="0.2">
      <c r="A9281" s="1" t="s">
        <v>2394</v>
      </c>
    </row>
    <row r="9282" spans="1:1" x14ac:dyDescent="0.2">
      <c r="A9282" s="1" t="s">
        <v>2395</v>
      </c>
    </row>
    <row r="9283" spans="1:1" x14ac:dyDescent="0.2">
      <c r="A9283" s="1" t="s">
        <v>2396</v>
      </c>
    </row>
    <row r="9284" spans="1:1" x14ac:dyDescent="0.2">
      <c r="A9284" s="1" t="s">
        <v>2397</v>
      </c>
    </row>
    <row r="9285" spans="1:1" x14ac:dyDescent="0.2">
      <c r="A9285" s="1" t="s">
        <v>2389</v>
      </c>
    </row>
    <row r="9286" spans="1:1" x14ac:dyDescent="0.2">
      <c r="A9286" s="1" t="s">
        <v>2389</v>
      </c>
    </row>
    <row r="9287" spans="1:1" x14ac:dyDescent="0.2">
      <c r="A9287" s="1" t="s">
        <v>2389</v>
      </c>
    </row>
    <row r="9288" spans="1:1" x14ac:dyDescent="0.2">
      <c r="A9288" s="1" t="s">
        <v>2389</v>
      </c>
    </row>
    <row r="9289" spans="1:1" x14ac:dyDescent="0.2">
      <c r="A9289" s="1" t="s">
        <v>2390</v>
      </c>
    </row>
    <row r="9290" spans="1:1" x14ac:dyDescent="0.2">
      <c r="A9290" s="1" t="s">
        <v>2390</v>
      </c>
    </row>
    <row r="9291" spans="1:1" x14ac:dyDescent="0.2">
      <c r="A9291" s="1" t="s">
        <v>2390</v>
      </c>
    </row>
    <row r="9292" spans="1:1" x14ac:dyDescent="0.2">
      <c r="A9292" s="1" t="s">
        <v>2391</v>
      </c>
    </row>
    <row r="9293" spans="1:1" x14ac:dyDescent="0.2">
      <c r="A9293" s="1" t="s">
        <v>2392</v>
      </c>
    </row>
    <row r="9294" spans="1:1" x14ac:dyDescent="0.2">
      <c r="A9294" s="1" t="s">
        <v>2393</v>
      </c>
    </row>
    <row r="9295" spans="1:1" x14ac:dyDescent="0.2">
      <c r="A9295" s="1" t="s">
        <v>2394</v>
      </c>
    </row>
    <row r="9296" spans="1:1" x14ac:dyDescent="0.2">
      <c r="A9296" s="1" t="s">
        <v>2395</v>
      </c>
    </row>
    <row r="9297" spans="1:1" x14ac:dyDescent="0.2">
      <c r="A9297" s="1" t="s">
        <v>2396</v>
      </c>
    </row>
    <row r="9298" spans="1:1" x14ac:dyDescent="0.2">
      <c r="A9298" s="1" t="s">
        <v>2397</v>
      </c>
    </row>
    <row r="9299" spans="1:1" x14ac:dyDescent="0.2">
      <c r="A9299" s="1" t="s">
        <v>2389</v>
      </c>
    </row>
    <row r="9300" spans="1:1" x14ac:dyDescent="0.2">
      <c r="A9300" s="1" t="s">
        <v>2389</v>
      </c>
    </row>
    <row r="9301" spans="1:1" x14ac:dyDescent="0.2">
      <c r="A9301" s="1" t="s">
        <v>2389</v>
      </c>
    </row>
    <row r="9302" spans="1:1" x14ac:dyDescent="0.2">
      <c r="A9302" s="1" t="s">
        <v>2389</v>
      </c>
    </row>
    <row r="9303" spans="1:1" x14ac:dyDescent="0.2">
      <c r="A9303" s="1" t="s">
        <v>2390</v>
      </c>
    </row>
    <row r="9304" spans="1:1" x14ac:dyDescent="0.2">
      <c r="A9304" s="1" t="s">
        <v>2390</v>
      </c>
    </row>
    <row r="9305" spans="1:1" x14ac:dyDescent="0.2">
      <c r="A9305" s="1" t="s">
        <v>2390</v>
      </c>
    </row>
    <row r="9306" spans="1:1" x14ac:dyDescent="0.2">
      <c r="A9306" s="1" t="s">
        <v>2391</v>
      </c>
    </row>
    <row r="9307" spans="1:1" x14ac:dyDescent="0.2">
      <c r="A9307" s="1" t="s">
        <v>2392</v>
      </c>
    </row>
    <row r="9308" spans="1:1" x14ac:dyDescent="0.2">
      <c r="A9308" s="1" t="s">
        <v>2393</v>
      </c>
    </row>
    <row r="9309" spans="1:1" x14ac:dyDescent="0.2">
      <c r="A9309" s="1" t="s">
        <v>2394</v>
      </c>
    </row>
    <row r="9310" spans="1:1" x14ac:dyDescent="0.2">
      <c r="A9310" s="1" t="s">
        <v>2395</v>
      </c>
    </row>
    <row r="9311" spans="1:1" x14ac:dyDescent="0.2">
      <c r="A9311" s="1" t="s">
        <v>2396</v>
      </c>
    </row>
    <row r="9312" spans="1:1" x14ac:dyDescent="0.2">
      <c r="A9312" s="1" t="s">
        <v>2397</v>
      </c>
    </row>
    <row r="9313" spans="1:1" x14ac:dyDescent="0.2">
      <c r="A9313" s="1" t="s">
        <v>2389</v>
      </c>
    </row>
    <row r="9314" spans="1:1" x14ac:dyDescent="0.2">
      <c r="A9314" s="1" t="s">
        <v>2389</v>
      </c>
    </row>
    <row r="9315" spans="1:1" x14ac:dyDescent="0.2">
      <c r="A9315" s="1" t="s">
        <v>2389</v>
      </c>
    </row>
    <row r="9316" spans="1:1" x14ac:dyDescent="0.2">
      <c r="A9316" s="1" t="s">
        <v>2389</v>
      </c>
    </row>
    <row r="9317" spans="1:1" x14ac:dyDescent="0.2">
      <c r="A9317" s="1" t="s">
        <v>2390</v>
      </c>
    </row>
    <row r="9318" spans="1:1" x14ac:dyDescent="0.2">
      <c r="A9318" s="1" t="s">
        <v>2398</v>
      </c>
    </row>
    <row r="9319" spans="1:1" x14ac:dyDescent="0.2">
      <c r="A9319" s="1" t="s">
        <v>2398</v>
      </c>
    </row>
    <row r="9320" spans="1:1" x14ac:dyDescent="0.2">
      <c r="A9320" s="1" t="s">
        <v>2399</v>
      </c>
    </row>
    <row r="9321" spans="1:1" x14ac:dyDescent="0.2">
      <c r="A9321" s="1" t="s">
        <v>2400</v>
      </c>
    </row>
    <row r="9322" spans="1:1" x14ac:dyDescent="0.2">
      <c r="A9322" s="1" t="s">
        <v>2401</v>
      </c>
    </row>
    <row r="9323" spans="1:1" x14ac:dyDescent="0.2">
      <c r="A9323" s="1" t="s">
        <v>2402</v>
      </c>
    </row>
    <row r="9324" spans="1:1" x14ac:dyDescent="0.2">
      <c r="A9324" s="1" t="s">
        <v>2403</v>
      </c>
    </row>
    <row r="9325" spans="1:1" x14ac:dyDescent="0.2">
      <c r="A9325" s="1" t="s">
        <v>2404</v>
      </c>
    </row>
    <row r="9326" spans="1:1" x14ac:dyDescent="0.2">
      <c r="A9326" s="1" t="s">
        <v>2405</v>
      </c>
    </row>
    <row r="9327" spans="1:1" x14ac:dyDescent="0.2">
      <c r="A9327" s="1" t="s">
        <v>2406</v>
      </c>
    </row>
    <row r="9328" spans="1:1" x14ac:dyDescent="0.2">
      <c r="A9328" s="1" t="s">
        <v>2406</v>
      </c>
    </row>
    <row r="9329" spans="1:1" x14ac:dyDescent="0.2">
      <c r="A9329" s="1" t="s">
        <v>2406</v>
      </c>
    </row>
    <row r="9330" spans="1:1" x14ac:dyDescent="0.2">
      <c r="A9330" s="1" t="s">
        <v>2406</v>
      </c>
    </row>
    <row r="9331" spans="1:1" x14ac:dyDescent="0.2">
      <c r="A9331" s="1" t="s">
        <v>2398</v>
      </c>
    </row>
    <row r="9332" spans="1:1" x14ac:dyDescent="0.2">
      <c r="A9332" s="1" t="s">
        <v>2398</v>
      </c>
    </row>
    <row r="9333" spans="1:1" x14ac:dyDescent="0.2">
      <c r="A9333" s="1" t="s">
        <v>2398</v>
      </c>
    </row>
    <row r="9334" spans="1:1" x14ac:dyDescent="0.2">
      <c r="A9334" s="1" t="s">
        <v>2399</v>
      </c>
    </row>
    <row r="9335" spans="1:1" x14ac:dyDescent="0.2">
      <c r="A9335" s="1" t="s">
        <v>2400</v>
      </c>
    </row>
    <row r="9336" spans="1:1" x14ac:dyDescent="0.2">
      <c r="A9336" s="1" t="s">
        <v>2401</v>
      </c>
    </row>
    <row r="9337" spans="1:1" x14ac:dyDescent="0.2">
      <c r="A9337" s="1" t="s">
        <v>2402</v>
      </c>
    </row>
    <row r="9338" spans="1:1" x14ac:dyDescent="0.2">
      <c r="A9338" s="1" t="s">
        <v>2403</v>
      </c>
    </row>
    <row r="9339" spans="1:1" x14ac:dyDescent="0.2">
      <c r="A9339" s="1" t="s">
        <v>2404</v>
      </c>
    </row>
    <row r="9340" spans="1:1" x14ac:dyDescent="0.2">
      <c r="A9340" s="1" t="s">
        <v>2405</v>
      </c>
    </row>
    <row r="9341" spans="1:1" x14ac:dyDescent="0.2">
      <c r="A9341" s="1" t="s">
        <v>2406</v>
      </c>
    </row>
    <row r="9342" spans="1:1" x14ac:dyDescent="0.2">
      <c r="A9342" s="1" t="s">
        <v>2406</v>
      </c>
    </row>
    <row r="9343" spans="1:1" x14ac:dyDescent="0.2">
      <c r="A9343" s="1" t="s">
        <v>2406</v>
      </c>
    </row>
    <row r="9344" spans="1:1" x14ac:dyDescent="0.2">
      <c r="A9344" s="1" t="s">
        <v>2406</v>
      </c>
    </row>
    <row r="9345" spans="1:1" x14ac:dyDescent="0.2">
      <c r="A9345" s="1" t="s">
        <v>2398</v>
      </c>
    </row>
    <row r="9346" spans="1:1" x14ac:dyDescent="0.2">
      <c r="A9346" s="1" t="s">
        <v>2398</v>
      </c>
    </row>
    <row r="9347" spans="1:1" x14ac:dyDescent="0.2">
      <c r="A9347" s="1" t="s">
        <v>2398</v>
      </c>
    </row>
    <row r="9348" spans="1:1" x14ac:dyDescent="0.2">
      <c r="A9348" s="1" t="s">
        <v>2399</v>
      </c>
    </row>
    <row r="9349" spans="1:1" x14ac:dyDescent="0.2">
      <c r="A9349" s="1" t="s">
        <v>2400</v>
      </c>
    </row>
    <row r="9350" spans="1:1" x14ac:dyDescent="0.2">
      <c r="A9350" s="1" t="s">
        <v>2401</v>
      </c>
    </row>
    <row r="9351" spans="1:1" x14ac:dyDescent="0.2">
      <c r="A9351" s="1" t="s">
        <v>2402</v>
      </c>
    </row>
    <row r="9352" spans="1:1" x14ac:dyDescent="0.2">
      <c r="A9352" s="1" t="s">
        <v>2403</v>
      </c>
    </row>
    <row r="9353" spans="1:1" x14ac:dyDescent="0.2">
      <c r="A9353" s="1" t="s">
        <v>2404</v>
      </c>
    </row>
    <row r="9354" spans="1:1" x14ac:dyDescent="0.2">
      <c r="A9354" s="1" t="s">
        <v>2405</v>
      </c>
    </row>
    <row r="9355" spans="1:1" x14ac:dyDescent="0.2">
      <c r="A9355" s="1" t="s">
        <v>2406</v>
      </c>
    </row>
    <row r="9356" spans="1:1" x14ac:dyDescent="0.2">
      <c r="A9356" s="1" t="s">
        <v>2406</v>
      </c>
    </row>
    <row r="9357" spans="1:1" x14ac:dyDescent="0.2">
      <c r="A9357" s="1" t="s">
        <v>2406</v>
      </c>
    </row>
    <row r="9358" spans="1:1" x14ac:dyDescent="0.2">
      <c r="A9358" s="1" t="s">
        <v>2406</v>
      </c>
    </row>
    <row r="9359" spans="1:1" x14ac:dyDescent="0.2">
      <c r="A9359" s="1" t="s">
        <v>2398</v>
      </c>
    </row>
    <row r="9360" spans="1:1" x14ac:dyDescent="0.2">
      <c r="A9360" s="1" t="s">
        <v>2398</v>
      </c>
    </row>
    <row r="9361" spans="1:1" x14ac:dyDescent="0.2">
      <c r="A9361" s="1" t="s">
        <v>2398</v>
      </c>
    </row>
    <row r="9362" spans="1:1" x14ac:dyDescent="0.2">
      <c r="A9362" s="1" t="s">
        <v>2399</v>
      </c>
    </row>
    <row r="9363" spans="1:1" x14ac:dyDescent="0.2">
      <c r="A9363" s="1" t="s">
        <v>2400</v>
      </c>
    </row>
    <row r="9364" spans="1:1" x14ac:dyDescent="0.2">
      <c r="A9364" s="1" t="s">
        <v>2401</v>
      </c>
    </row>
    <row r="9365" spans="1:1" x14ac:dyDescent="0.2">
      <c r="A9365" s="1" t="s">
        <v>2402</v>
      </c>
    </row>
    <row r="9366" spans="1:1" x14ac:dyDescent="0.2">
      <c r="A9366" s="1" t="s">
        <v>2403</v>
      </c>
    </row>
    <row r="9367" spans="1:1" x14ac:dyDescent="0.2">
      <c r="A9367" s="1" t="s">
        <v>2404</v>
      </c>
    </row>
    <row r="9368" spans="1:1" x14ac:dyDescent="0.2">
      <c r="A9368" s="1" t="s">
        <v>2405</v>
      </c>
    </row>
    <row r="9369" spans="1:1" x14ac:dyDescent="0.2">
      <c r="A9369" s="1" t="s">
        <v>2406</v>
      </c>
    </row>
    <row r="9370" spans="1:1" x14ac:dyDescent="0.2">
      <c r="A9370" s="1" t="s">
        <v>2406</v>
      </c>
    </row>
    <row r="9371" spans="1:1" x14ac:dyDescent="0.2">
      <c r="A9371" s="1" t="s">
        <v>2406</v>
      </c>
    </row>
    <row r="9372" spans="1:1" x14ac:dyDescent="0.2">
      <c r="A9372" s="1" t="s">
        <v>2406</v>
      </c>
    </row>
    <row r="9373" spans="1:1" x14ac:dyDescent="0.2">
      <c r="A9373" s="1" t="s">
        <v>2398</v>
      </c>
    </row>
    <row r="9374" spans="1:1" x14ac:dyDescent="0.2">
      <c r="A9374" s="1" t="s">
        <v>2407</v>
      </c>
    </row>
    <row r="9375" spans="1:1" x14ac:dyDescent="0.2">
      <c r="A9375" s="1" t="s">
        <v>2407</v>
      </c>
    </row>
    <row r="9376" spans="1:1" x14ac:dyDescent="0.2">
      <c r="A9376" s="1" t="s">
        <v>2408</v>
      </c>
    </row>
    <row r="9377" spans="1:1" x14ac:dyDescent="0.2">
      <c r="A9377" s="1" t="s">
        <v>2409</v>
      </c>
    </row>
    <row r="9378" spans="1:1" x14ac:dyDescent="0.2">
      <c r="A9378" s="1" t="s">
        <v>2410</v>
      </c>
    </row>
    <row r="9379" spans="1:1" x14ac:dyDescent="0.2">
      <c r="A9379" s="1" t="s">
        <v>2411</v>
      </c>
    </row>
    <row r="9380" spans="1:1" x14ac:dyDescent="0.2">
      <c r="A9380" s="1" t="s">
        <v>2412</v>
      </c>
    </row>
    <row r="9381" spans="1:1" x14ac:dyDescent="0.2">
      <c r="A9381" s="1" t="s">
        <v>2413</v>
      </c>
    </row>
    <row r="9382" spans="1:1" x14ac:dyDescent="0.2">
      <c r="A9382" s="1" t="s">
        <v>2414</v>
      </c>
    </row>
    <row r="9383" spans="1:1" x14ac:dyDescent="0.2">
      <c r="A9383" s="1" t="s">
        <v>2415</v>
      </c>
    </row>
    <row r="9384" spans="1:1" x14ac:dyDescent="0.2">
      <c r="A9384" s="1" t="s">
        <v>2415</v>
      </c>
    </row>
    <row r="9385" spans="1:1" x14ac:dyDescent="0.2">
      <c r="A9385" s="1" t="s">
        <v>2415</v>
      </c>
    </row>
    <row r="9386" spans="1:1" x14ac:dyDescent="0.2">
      <c r="A9386" s="1" t="s">
        <v>2415</v>
      </c>
    </row>
    <row r="9387" spans="1:1" x14ac:dyDescent="0.2">
      <c r="A9387" s="1" t="s">
        <v>2407</v>
      </c>
    </row>
    <row r="9388" spans="1:1" x14ac:dyDescent="0.2">
      <c r="A9388" s="1" t="s">
        <v>2407</v>
      </c>
    </row>
    <row r="9389" spans="1:1" x14ac:dyDescent="0.2">
      <c r="A9389" s="1" t="s">
        <v>2407</v>
      </c>
    </row>
    <row r="9390" spans="1:1" x14ac:dyDescent="0.2">
      <c r="A9390" s="1" t="s">
        <v>2408</v>
      </c>
    </row>
    <row r="9391" spans="1:1" x14ac:dyDescent="0.2">
      <c r="A9391" s="1" t="s">
        <v>2409</v>
      </c>
    </row>
    <row r="9392" spans="1:1" x14ac:dyDescent="0.2">
      <c r="A9392" s="1" t="s">
        <v>2410</v>
      </c>
    </row>
    <row r="9393" spans="1:1" x14ac:dyDescent="0.2">
      <c r="A9393" s="1" t="s">
        <v>2411</v>
      </c>
    </row>
    <row r="9394" spans="1:1" x14ac:dyDescent="0.2">
      <c r="A9394" s="1" t="s">
        <v>2412</v>
      </c>
    </row>
    <row r="9395" spans="1:1" x14ac:dyDescent="0.2">
      <c r="A9395" s="1" t="s">
        <v>2413</v>
      </c>
    </row>
    <row r="9396" spans="1:1" x14ac:dyDescent="0.2">
      <c r="A9396" s="1" t="s">
        <v>2414</v>
      </c>
    </row>
    <row r="9397" spans="1:1" x14ac:dyDescent="0.2">
      <c r="A9397" s="1" t="s">
        <v>2415</v>
      </c>
    </row>
    <row r="9398" spans="1:1" x14ac:dyDescent="0.2">
      <c r="A9398" s="1" t="s">
        <v>2415</v>
      </c>
    </row>
    <row r="9399" spans="1:1" x14ac:dyDescent="0.2">
      <c r="A9399" s="1" t="s">
        <v>2415</v>
      </c>
    </row>
    <row r="9400" spans="1:1" x14ac:dyDescent="0.2">
      <c r="A9400" s="1" t="s">
        <v>2415</v>
      </c>
    </row>
    <row r="9401" spans="1:1" x14ac:dyDescent="0.2">
      <c r="A9401" s="1" t="s">
        <v>2407</v>
      </c>
    </row>
    <row r="9402" spans="1:1" x14ac:dyDescent="0.2">
      <c r="A9402" s="1" t="s">
        <v>2407</v>
      </c>
    </row>
    <row r="9403" spans="1:1" x14ac:dyDescent="0.2">
      <c r="A9403" s="1" t="s">
        <v>2407</v>
      </c>
    </row>
    <row r="9404" spans="1:1" x14ac:dyDescent="0.2">
      <c r="A9404" s="1" t="s">
        <v>2408</v>
      </c>
    </row>
    <row r="9405" spans="1:1" x14ac:dyDescent="0.2">
      <c r="A9405" s="1" t="s">
        <v>2409</v>
      </c>
    </row>
    <row r="9406" spans="1:1" x14ac:dyDescent="0.2">
      <c r="A9406" s="1" t="s">
        <v>2410</v>
      </c>
    </row>
    <row r="9407" spans="1:1" x14ac:dyDescent="0.2">
      <c r="A9407" s="1" t="s">
        <v>2411</v>
      </c>
    </row>
    <row r="9408" spans="1:1" x14ac:dyDescent="0.2">
      <c r="A9408" s="1" t="s">
        <v>2412</v>
      </c>
    </row>
    <row r="9409" spans="1:1" x14ac:dyDescent="0.2">
      <c r="A9409" s="1" t="s">
        <v>2413</v>
      </c>
    </row>
    <row r="9410" spans="1:1" x14ac:dyDescent="0.2">
      <c r="A9410" s="1" t="s">
        <v>2414</v>
      </c>
    </row>
    <row r="9411" spans="1:1" x14ac:dyDescent="0.2">
      <c r="A9411" s="1" t="s">
        <v>2415</v>
      </c>
    </row>
    <row r="9412" spans="1:1" x14ac:dyDescent="0.2">
      <c r="A9412" s="1" t="s">
        <v>2415</v>
      </c>
    </row>
    <row r="9413" spans="1:1" x14ac:dyDescent="0.2">
      <c r="A9413" s="1" t="s">
        <v>2415</v>
      </c>
    </row>
    <row r="9414" spans="1:1" x14ac:dyDescent="0.2">
      <c r="A9414" s="1" t="s">
        <v>2415</v>
      </c>
    </row>
    <row r="9415" spans="1:1" x14ac:dyDescent="0.2">
      <c r="A9415" s="1" t="s">
        <v>2407</v>
      </c>
    </row>
    <row r="9416" spans="1:1" x14ac:dyDescent="0.2">
      <c r="A9416" s="1" t="s">
        <v>2407</v>
      </c>
    </row>
    <row r="9417" spans="1:1" x14ac:dyDescent="0.2">
      <c r="A9417" s="1" t="s">
        <v>2407</v>
      </c>
    </row>
    <row r="9418" spans="1:1" x14ac:dyDescent="0.2">
      <c r="A9418" s="1" t="s">
        <v>2408</v>
      </c>
    </row>
    <row r="9419" spans="1:1" x14ac:dyDescent="0.2">
      <c r="A9419" s="1" t="s">
        <v>2409</v>
      </c>
    </row>
    <row r="9420" spans="1:1" x14ac:dyDescent="0.2">
      <c r="A9420" s="1" t="s">
        <v>2410</v>
      </c>
    </row>
    <row r="9421" spans="1:1" x14ac:dyDescent="0.2">
      <c r="A9421" s="1" t="s">
        <v>2411</v>
      </c>
    </row>
    <row r="9422" spans="1:1" x14ac:dyDescent="0.2">
      <c r="A9422" s="1" t="s">
        <v>2412</v>
      </c>
    </row>
    <row r="9423" spans="1:1" x14ac:dyDescent="0.2">
      <c r="A9423" s="1" t="s">
        <v>2413</v>
      </c>
    </row>
    <row r="9424" spans="1:1" x14ac:dyDescent="0.2">
      <c r="A9424" s="1" t="s">
        <v>2414</v>
      </c>
    </row>
    <row r="9425" spans="1:1" x14ac:dyDescent="0.2">
      <c r="A9425" s="1" t="s">
        <v>2415</v>
      </c>
    </row>
    <row r="9426" spans="1:1" x14ac:dyDescent="0.2">
      <c r="A9426" s="1" t="s">
        <v>2415</v>
      </c>
    </row>
    <row r="9427" spans="1:1" x14ac:dyDescent="0.2">
      <c r="A9427" s="1" t="s">
        <v>2415</v>
      </c>
    </row>
    <row r="9428" spans="1:1" x14ac:dyDescent="0.2">
      <c r="A9428" s="1" t="s">
        <v>2415</v>
      </c>
    </row>
    <row r="9429" spans="1:1" x14ac:dyDescent="0.2">
      <c r="A9429" s="1" t="s">
        <v>2407</v>
      </c>
    </row>
    <row r="9430" spans="1:1" x14ac:dyDescent="0.2">
      <c r="A9430" s="1" t="s">
        <v>2416</v>
      </c>
    </row>
    <row r="9431" spans="1:1" x14ac:dyDescent="0.2">
      <c r="A9431" s="1" t="s">
        <v>2416</v>
      </c>
    </row>
    <row r="9432" spans="1:1" x14ac:dyDescent="0.2">
      <c r="A9432" s="1" t="s">
        <v>2417</v>
      </c>
    </row>
    <row r="9433" spans="1:1" x14ac:dyDescent="0.2">
      <c r="A9433" s="1" t="s">
        <v>2418</v>
      </c>
    </row>
    <row r="9434" spans="1:1" x14ac:dyDescent="0.2">
      <c r="A9434" s="1" t="s">
        <v>2419</v>
      </c>
    </row>
    <row r="9435" spans="1:1" x14ac:dyDescent="0.2">
      <c r="A9435" s="1" t="s">
        <v>2420</v>
      </c>
    </row>
    <row r="9436" spans="1:1" x14ac:dyDescent="0.2">
      <c r="A9436" s="1" t="s">
        <v>2421</v>
      </c>
    </row>
    <row r="9437" spans="1:1" x14ac:dyDescent="0.2">
      <c r="A9437" s="1" t="s">
        <v>2422</v>
      </c>
    </row>
    <row r="9438" spans="1:1" x14ac:dyDescent="0.2">
      <c r="A9438" s="1" t="s">
        <v>2423</v>
      </c>
    </row>
    <row r="9439" spans="1:1" x14ac:dyDescent="0.2">
      <c r="A9439" s="1" t="s">
        <v>2424</v>
      </c>
    </row>
    <row r="9440" spans="1:1" x14ac:dyDescent="0.2">
      <c r="A9440" s="1" t="s">
        <v>2424</v>
      </c>
    </row>
    <row r="9441" spans="1:1" x14ac:dyDescent="0.2">
      <c r="A9441" s="1" t="s">
        <v>2424</v>
      </c>
    </row>
    <row r="9442" spans="1:1" x14ac:dyDescent="0.2">
      <c r="A9442" s="1" t="s">
        <v>2424</v>
      </c>
    </row>
    <row r="9443" spans="1:1" x14ac:dyDescent="0.2">
      <c r="A9443" s="1" t="s">
        <v>2416</v>
      </c>
    </row>
    <row r="9444" spans="1:1" x14ac:dyDescent="0.2">
      <c r="A9444" s="1" t="s">
        <v>2416</v>
      </c>
    </row>
    <row r="9445" spans="1:1" x14ac:dyDescent="0.2">
      <c r="A9445" s="1" t="s">
        <v>2416</v>
      </c>
    </row>
    <row r="9446" spans="1:1" x14ac:dyDescent="0.2">
      <c r="A9446" s="1" t="s">
        <v>2417</v>
      </c>
    </row>
    <row r="9447" spans="1:1" x14ac:dyDescent="0.2">
      <c r="A9447" s="1" t="s">
        <v>2418</v>
      </c>
    </row>
    <row r="9448" spans="1:1" x14ac:dyDescent="0.2">
      <c r="A9448" s="1" t="s">
        <v>2419</v>
      </c>
    </row>
    <row r="9449" spans="1:1" x14ac:dyDescent="0.2">
      <c r="A9449" s="1" t="s">
        <v>2420</v>
      </c>
    </row>
    <row r="9450" spans="1:1" x14ac:dyDescent="0.2">
      <c r="A9450" s="1" t="s">
        <v>2421</v>
      </c>
    </row>
    <row r="9451" spans="1:1" x14ac:dyDescent="0.2">
      <c r="A9451" s="1" t="s">
        <v>2422</v>
      </c>
    </row>
    <row r="9452" spans="1:1" x14ac:dyDescent="0.2">
      <c r="A9452" s="1" t="s">
        <v>2423</v>
      </c>
    </row>
    <row r="9453" spans="1:1" x14ac:dyDescent="0.2">
      <c r="A9453" s="1" t="s">
        <v>2424</v>
      </c>
    </row>
    <row r="9454" spans="1:1" x14ac:dyDescent="0.2">
      <c r="A9454" s="1" t="s">
        <v>2424</v>
      </c>
    </row>
    <row r="9455" spans="1:1" x14ac:dyDescent="0.2">
      <c r="A9455" s="1" t="s">
        <v>2424</v>
      </c>
    </row>
    <row r="9456" spans="1:1" x14ac:dyDescent="0.2">
      <c r="A9456" s="1" t="s">
        <v>2424</v>
      </c>
    </row>
    <row r="9457" spans="1:1" x14ac:dyDescent="0.2">
      <c r="A9457" s="1" t="s">
        <v>2416</v>
      </c>
    </row>
    <row r="9458" spans="1:1" x14ac:dyDescent="0.2">
      <c r="A9458" s="1" t="s">
        <v>2425</v>
      </c>
    </row>
    <row r="9459" spans="1:1" x14ac:dyDescent="0.2">
      <c r="A9459" s="1" t="s">
        <v>2425</v>
      </c>
    </row>
    <row r="9460" spans="1:1" x14ac:dyDescent="0.2">
      <c r="A9460" s="1" t="s">
        <v>2426</v>
      </c>
    </row>
    <row r="9461" spans="1:1" x14ac:dyDescent="0.2">
      <c r="A9461" s="1" t="s">
        <v>2427</v>
      </c>
    </row>
    <row r="9462" spans="1:1" x14ac:dyDescent="0.2">
      <c r="A9462" s="1" t="s">
        <v>2428</v>
      </c>
    </row>
    <row r="9463" spans="1:1" x14ac:dyDescent="0.2">
      <c r="A9463" s="1" t="s">
        <v>2429</v>
      </c>
    </row>
    <row r="9464" spans="1:1" x14ac:dyDescent="0.2">
      <c r="A9464" s="1" t="s">
        <v>2430</v>
      </c>
    </row>
    <row r="9465" spans="1:1" x14ac:dyDescent="0.2">
      <c r="A9465" s="1" t="s">
        <v>2431</v>
      </c>
    </row>
    <row r="9466" spans="1:1" x14ac:dyDescent="0.2">
      <c r="A9466" s="1" t="s">
        <v>2432</v>
      </c>
    </row>
    <row r="9467" spans="1:1" x14ac:dyDescent="0.2">
      <c r="A9467" s="1" t="s">
        <v>2433</v>
      </c>
    </row>
    <row r="9468" spans="1:1" x14ac:dyDescent="0.2">
      <c r="A9468" s="1" t="s">
        <v>2433</v>
      </c>
    </row>
    <row r="9469" spans="1:1" x14ac:dyDescent="0.2">
      <c r="A9469" s="1" t="s">
        <v>2433</v>
      </c>
    </row>
    <row r="9470" spans="1:1" x14ac:dyDescent="0.2">
      <c r="A9470" s="1" t="s">
        <v>2433</v>
      </c>
    </row>
    <row r="9471" spans="1:1" x14ac:dyDescent="0.2">
      <c r="A9471" s="1" t="s">
        <v>2425</v>
      </c>
    </row>
    <row r="9472" spans="1:1" x14ac:dyDescent="0.2">
      <c r="A9472" s="1" t="s">
        <v>2425</v>
      </c>
    </row>
    <row r="9473" spans="1:1" x14ac:dyDescent="0.2">
      <c r="A9473" s="1" t="s">
        <v>2425</v>
      </c>
    </row>
    <row r="9474" spans="1:1" x14ac:dyDescent="0.2">
      <c r="A9474" s="1" t="s">
        <v>2426</v>
      </c>
    </row>
    <row r="9475" spans="1:1" x14ac:dyDescent="0.2">
      <c r="A9475" s="1" t="s">
        <v>2427</v>
      </c>
    </row>
    <row r="9476" spans="1:1" x14ac:dyDescent="0.2">
      <c r="A9476" s="1" t="s">
        <v>2428</v>
      </c>
    </row>
    <row r="9477" spans="1:1" x14ac:dyDescent="0.2">
      <c r="A9477" s="1" t="s">
        <v>2429</v>
      </c>
    </row>
    <row r="9478" spans="1:1" x14ac:dyDescent="0.2">
      <c r="A9478" s="1" t="s">
        <v>2430</v>
      </c>
    </row>
    <row r="9479" spans="1:1" x14ac:dyDescent="0.2">
      <c r="A9479" s="1" t="s">
        <v>2431</v>
      </c>
    </row>
    <row r="9480" spans="1:1" x14ac:dyDescent="0.2">
      <c r="A9480" s="1" t="s">
        <v>2432</v>
      </c>
    </row>
    <row r="9481" spans="1:1" x14ac:dyDescent="0.2">
      <c r="A9481" s="1" t="s">
        <v>2433</v>
      </c>
    </row>
    <row r="9482" spans="1:1" x14ac:dyDescent="0.2">
      <c r="A9482" s="1" t="s">
        <v>2433</v>
      </c>
    </row>
    <row r="9483" spans="1:1" x14ac:dyDescent="0.2">
      <c r="A9483" s="1" t="s">
        <v>2433</v>
      </c>
    </row>
    <row r="9484" spans="1:1" x14ac:dyDescent="0.2">
      <c r="A9484" s="1" t="s">
        <v>2433</v>
      </c>
    </row>
    <row r="9485" spans="1:1" x14ac:dyDescent="0.2">
      <c r="A9485" s="1" t="s">
        <v>2425</v>
      </c>
    </row>
    <row r="9486" spans="1:1" x14ac:dyDescent="0.2">
      <c r="A9486" s="1" t="s">
        <v>2425</v>
      </c>
    </row>
    <row r="9487" spans="1:1" x14ac:dyDescent="0.2">
      <c r="A9487" s="1" t="s">
        <v>2425</v>
      </c>
    </row>
    <row r="9488" spans="1:1" x14ac:dyDescent="0.2">
      <c r="A9488" s="1" t="s">
        <v>2426</v>
      </c>
    </row>
    <row r="9489" spans="1:1" x14ac:dyDescent="0.2">
      <c r="A9489" s="1" t="s">
        <v>2427</v>
      </c>
    </row>
    <row r="9490" spans="1:1" x14ac:dyDescent="0.2">
      <c r="A9490" s="1" t="s">
        <v>2428</v>
      </c>
    </row>
    <row r="9491" spans="1:1" x14ac:dyDescent="0.2">
      <c r="A9491" s="1" t="s">
        <v>2429</v>
      </c>
    </row>
    <row r="9492" spans="1:1" x14ac:dyDescent="0.2">
      <c r="A9492" s="1" t="s">
        <v>2430</v>
      </c>
    </row>
    <row r="9493" spans="1:1" x14ac:dyDescent="0.2">
      <c r="A9493" s="1" t="s">
        <v>2431</v>
      </c>
    </row>
    <row r="9494" spans="1:1" x14ac:dyDescent="0.2">
      <c r="A9494" s="1" t="s">
        <v>2432</v>
      </c>
    </row>
    <row r="9495" spans="1:1" x14ac:dyDescent="0.2">
      <c r="A9495" s="1" t="s">
        <v>2433</v>
      </c>
    </row>
    <row r="9496" spans="1:1" x14ac:dyDescent="0.2">
      <c r="A9496" s="1" t="s">
        <v>2433</v>
      </c>
    </row>
    <row r="9497" spans="1:1" x14ac:dyDescent="0.2">
      <c r="A9497" s="1" t="s">
        <v>2433</v>
      </c>
    </row>
    <row r="9498" spans="1:1" x14ac:dyDescent="0.2">
      <c r="A9498" s="1" t="s">
        <v>2433</v>
      </c>
    </row>
    <row r="9499" spans="1:1" x14ac:dyDescent="0.2">
      <c r="A9499" s="1" t="s">
        <v>2425</v>
      </c>
    </row>
    <row r="9500" spans="1:1" x14ac:dyDescent="0.2">
      <c r="A9500" s="1" t="s">
        <v>2425</v>
      </c>
    </row>
    <row r="9501" spans="1:1" x14ac:dyDescent="0.2">
      <c r="A9501" s="1" t="s">
        <v>2425</v>
      </c>
    </row>
    <row r="9502" spans="1:1" x14ac:dyDescent="0.2">
      <c r="A9502" s="1" t="s">
        <v>2426</v>
      </c>
    </row>
    <row r="9503" spans="1:1" x14ac:dyDescent="0.2">
      <c r="A9503" s="1" t="s">
        <v>2427</v>
      </c>
    </row>
    <row r="9504" spans="1:1" x14ac:dyDescent="0.2">
      <c r="A9504" s="1" t="s">
        <v>2428</v>
      </c>
    </row>
    <row r="9505" spans="1:1" x14ac:dyDescent="0.2">
      <c r="A9505" s="1" t="s">
        <v>2429</v>
      </c>
    </row>
    <row r="9506" spans="1:1" x14ac:dyDescent="0.2">
      <c r="A9506" s="1" t="s">
        <v>2430</v>
      </c>
    </row>
    <row r="9507" spans="1:1" x14ac:dyDescent="0.2">
      <c r="A9507" s="1" t="s">
        <v>2431</v>
      </c>
    </row>
    <row r="9508" spans="1:1" x14ac:dyDescent="0.2">
      <c r="A9508" s="1" t="s">
        <v>2432</v>
      </c>
    </row>
    <row r="9509" spans="1:1" x14ac:dyDescent="0.2">
      <c r="A9509" s="1" t="s">
        <v>2433</v>
      </c>
    </row>
    <row r="9510" spans="1:1" x14ac:dyDescent="0.2">
      <c r="A9510" s="1" t="s">
        <v>2433</v>
      </c>
    </row>
    <row r="9511" spans="1:1" x14ac:dyDescent="0.2">
      <c r="A9511" s="1" t="s">
        <v>2433</v>
      </c>
    </row>
    <row r="9512" spans="1:1" x14ac:dyDescent="0.2">
      <c r="A9512" s="1" t="s">
        <v>2433</v>
      </c>
    </row>
    <row r="9513" spans="1:1" x14ac:dyDescent="0.2">
      <c r="A9513" s="1" t="s">
        <v>2425</v>
      </c>
    </row>
    <row r="9514" spans="1:1" x14ac:dyDescent="0.2">
      <c r="A9514" s="1" t="s">
        <v>2434</v>
      </c>
    </row>
    <row r="9515" spans="1:1" x14ac:dyDescent="0.2">
      <c r="A9515" s="1" t="s">
        <v>2434</v>
      </c>
    </row>
    <row r="9516" spans="1:1" x14ac:dyDescent="0.2">
      <c r="A9516" s="1" t="s">
        <v>2435</v>
      </c>
    </row>
    <row r="9517" spans="1:1" x14ac:dyDescent="0.2">
      <c r="A9517" s="1" t="s">
        <v>2436</v>
      </c>
    </row>
    <row r="9518" spans="1:1" x14ac:dyDescent="0.2">
      <c r="A9518" s="1" t="s">
        <v>2437</v>
      </c>
    </row>
    <row r="9519" spans="1:1" x14ac:dyDescent="0.2">
      <c r="A9519" s="1" t="s">
        <v>2438</v>
      </c>
    </row>
    <row r="9520" spans="1:1" x14ac:dyDescent="0.2">
      <c r="A9520" s="1" t="s">
        <v>2439</v>
      </c>
    </row>
    <row r="9521" spans="1:1" x14ac:dyDescent="0.2">
      <c r="A9521" s="1" t="s">
        <v>2440</v>
      </c>
    </row>
    <row r="9522" spans="1:1" x14ac:dyDescent="0.2">
      <c r="A9522" s="1" t="s">
        <v>2441</v>
      </c>
    </row>
    <row r="9523" spans="1:1" x14ac:dyDescent="0.2">
      <c r="A9523" s="1" t="s">
        <v>2442</v>
      </c>
    </row>
    <row r="9524" spans="1:1" x14ac:dyDescent="0.2">
      <c r="A9524" s="1" t="s">
        <v>2442</v>
      </c>
    </row>
    <row r="9525" spans="1:1" x14ac:dyDescent="0.2">
      <c r="A9525" s="1" t="s">
        <v>2442</v>
      </c>
    </row>
    <row r="9526" spans="1:1" x14ac:dyDescent="0.2">
      <c r="A9526" s="1" t="s">
        <v>2442</v>
      </c>
    </row>
    <row r="9527" spans="1:1" x14ac:dyDescent="0.2">
      <c r="A9527" s="1" t="s">
        <v>2434</v>
      </c>
    </row>
    <row r="9528" spans="1:1" x14ac:dyDescent="0.2">
      <c r="A9528" s="1" t="s">
        <v>2434</v>
      </c>
    </row>
    <row r="9529" spans="1:1" x14ac:dyDescent="0.2">
      <c r="A9529" s="1" t="s">
        <v>2434</v>
      </c>
    </row>
    <row r="9530" spans="1:1" x14ac:dyDescent="0.2">
      <c r="A9530" s="1" t="s">
        <v>2435</v>
      </c>
    </row>
    <row r="9531" spans="1:1" x14ac:dyDescent="0.2">
      <c r="A9531" s="1" t="s">
        <v>2436</v>
      </c>
    </row>
    <row r="9532" spans="1:1" x14ac:dyDescent="0.2">
      <c r="A9532" s="1" t="s">
        <v>2437</v>
      </c>
    </row>
    <row r="9533" spans="1:1" x14ac:dyDescent="0.2">
      <c r="A9533" s="1" t="s">
        <v>2438</v>
      </c>
    </row>
    <row r="9534" spans="1:1" x14ac:dyDescent="0.2">
      <c r="A9534" s="1" t="s">
        <v>2439</v>
      </c>
    </row>
    <row r="9535" spans="1:1" x14ac:dyDescent="0.2">
      <c r="A9535" s="1" t="s">
        <v>2440</v>
      </c>
    </row>
    <row r="9536" spans="1:1" x14ac:dyDescent="0.2">
      <c r="A9536" s="1" t="s">
        <v>2441</v>
      </c>
    </row>
    <row r="9537" spans="1:1" x14ac:dyDescent="0.2">
      <c r="A9537" s="1" t="s">
        <v>2442</v>
      </c>
    </row>
    <row r="9538" spans="1:1" x14ac:dyDescent="0.2">
      <c r="A9538" s="1" t="s">
        <v>2442</v>
      </c>
    </row>
    <row r="9539" spans="1:1" x14ac:dyDescent="0.2">
      <c r="A9539" s="1" t="s">
        <v>2442</v>
      </c>
    </row>
    <row r="9540" spans="1:1" x14ac:dyDescent="0.2">
      <c r="A9540" s="1" t="s">
        <v>2442</v>
      </c>
    </row>
    <row r="9541" spans="1:1" x14ac:dyDescent="0.2">
      <c r="A9541" s="1" t="s">
        <v>2434</v>
      </c>
    </row>
    <row r="9542" spans="1:1" x14ac:dyDescent="0.2">
      <c r="A9542" s="1" t="s">
        <v>2434</v>
      </c>
    </row>
    <row r="9543" spans="1:1" x14ac:dyDescent="0.2">
      <c r="A9543" s="1" t="s">
        <v>2434</v>
      </c>
    </row>
    <row r="9544" spans="1:1" x14ac:dyDescent="0.2">
      <c r="A9544" s="1" t="s">
        <v>2435</v>
      </c>
    </row>
    <row r="9545" spans="1:1" x14ac:dyDescent="0.2">
      <c r="A9545" s="1" t="s">
        <v>2436</v>
      </c>
    </row>
    <row r="9546" spans="1:1" x14ac:dyDescent="0.2">
      <c r="A9546" s="1" t="s">
        <v>2437</v>
      </c>
    </row>
    <row r="9547" spans="1:1" x14ac:dyDescent="0.2">
      <c r="A9547" s="1" t="s">
        <v>2438</v>
      </c>
    </row>
    <row r="9548" spans="1:1" x14ac:dyDescent="0.2">
      <c r="A9548" s="1" t="s">
        <v>2439</v>
      </c>
    </row>
    <row r="9549" spans="1:1" x14ac:dyDescent="0.2">
      <c r="A9549" s="1" t="s">
        <v>2440</v>
      </c>
    </row>
    <row r="9550" spans="1:1" x14ac:dyDescent="0.2">
      <c r="A9550" s="1" t="s">
        <v>2441</v>
      </c>
    </row>
    <row r="9551" spans="1:1" x14ac:dyDescent="0.2">
      <c r="A9551" s="1" t="s">
        <v>2442</v>
      </c>
    </row>
    <row r="9552" spans="1:1" x14ac:dyDescent="0.2">
      <c r="A9552" s="1" t="s">
        <v>2442</v>
      </c>
    </row>
    <row r="9553" spans="1:1" x14ac:dyDescent="0.2">
      <c r="A9553" s="1" t="s">
        <v>2442</v>
      </c>
    </row>
    <row r="9554" spans="1:1" x14ac:dyDescent="0.2">
      <c r="A9554" s="1" t="s">
        <v>2442</v>
      </c>
    </row>
    <row r="9555" spans="1:1" x14ac:dyDescent="0.2">
      <c r="A9555" s="1" t="s">
        <v>2434</v>
      </c>
    </row>
    <row r="9556" spans="1:1" x14ac:dyDescent="0.2">
      <c r="A9556" s="1" t="s">
        <v>2434</v>
      </c>
    </row>
    <row r="9557" spans="1:1" x14ac:dyDescent="0.2">
      <c r="A9557" s="1" t="s">
        <v>2434</v>
      </c>
    </row>
    <row r="9558" spans="1:1" x14ac:dyDescent="0.2">
      <c r="A9558" s="1" t="s">
        <v>2435</v>
      </c>
    </row>
    <row r="9559" spans="1:1" x14ac:dyDescent="0.2">
      <c r="A9559" s="1" t="s">
        <v>2436</v>
      </c>
    </row>
    <row r="9560" spans="1:1" x14ac:dyDescent="0.2">
      <c r="A9560" s="1" t="s">
        <v>2437</v>
      </c>
    </row>
    <row r="9561" spans="1:1" x14ac:dyDescent="0.2">
      <c r="A9561" s="1" t="s">
        <v>2438</v>
      </c>
    </row>
    <row r="9562" spans="1:1" x14ac:dyDescent="0.2">
      <c r="A9562" s="1" t="s">
        <v>2439</v>
      </c>
    </row>
    <row r="9563" spans="1:1" x14ac:dyDescent="0.2">
      <c r="A9563" s="1" t="s">
        <v>2440</v>
      </c>
    </row>
    <row r="9564" spans="1:1" x14ac:dyDescent="0.2">
      <c r="A9564" s="1" t="s">
        <v>2441</v>
      </c>
    </row>
    <row r="9565" spans="1:1" x14ac:dyDescent="0.2">
      <c r="A9565" s="1" t="s">
        <v>2442</v>
      </c>
    </row>
    <row r="9566" spans="1:1" x14ac:dyDescent="0.2">
      <c r="A9566" s="1" t="s">
        <v>2442</v>
      </c>
    </row>
    <row r="9567" spans="1:1" x14ac:dyDescent="0.2">
      <c r="A9567" s="1" t="s">
        <v>2442</v>
      </c>
    </row>
    <row r="9568" spans="1:1" x14ac:dyDescent="0.2">
      <c r="A9568" s="1" t="s">
        <v>2442</v>
      </c>
    </row>
    <row r="9569" spans="1:1" x14ac:dyDescent="0.2">
      <c r="A9569" s="1" t="s">
        <v>2434</v>
      </c>
    </row>
    <row r="9570" spans="1:1" x14ac:dyDescent="0.2">
      <c r="A9570" s="1" t="s">
        <v>2434</v>
      </c>
    </row>
    <row r="9571" spans="1:1" x14ac:dyDescent="0.2">
      <c r="A9571" s="1" t="s">
        <v>2434</v>
      </c>
    </row>
    <row r="9572" spans="1:1" x14ac:dyDescent="0.2">
      <c r="A9572" s="1" t="s">
        <v>2435</v>
      </c>
    </row>
    <row r="9573" spans="1:1" x14ac:dyDescent="0.2">
      <c r="A9573" s="1" t="s">
        <v>2436</v>
      </c>
    </row>
    <row r="9574" spans="1:1" x14ac:dyDescent="0.2">
      <c r="A9574" s="1" t="s">
        <v>2437</v>
      </c>
    </row>
    <row r="9575" spans="1:1" x14ac:dyDescent="0.2">
      <c r="A9575" s="1" t="s">
        <v>2438</v>
      </c>
    </row>
    <row r="9576" spans="1:1" x14ac:dyDescent="0.2">
      <c r="A9576" s="1" t="s">
        <v>2439</v>
      </c>
    </row>
    <row r="9577" spans="1:1" x14ac:dyDescent="0.2">
      <c r="A9577" s="1" t="s">
        <v>2440</v>
      </c>
    </row>
    <row r="9578" spans="1:1" x14ac:dyDescent="0.2">
      <c r="A9578" s="1" t="s">
        <v>2441</v>
      </c>
    </row>
    <row r="9579" spans="1:1" x14ac:dyDescent="0.2">
      <c r="A9579" s="1" t="s">
        <v>2442</v>
      </c>
    </row>
    <row r="9580" spans="1:1" x14ac:dyDescent="0.2">
      <c r="A9580" s="1" t="s">
        <v>2442</v>
      </c>
    </row>
    <row r="9581" spans="1:1" x14ac:dyDescent="0.2">
      <c r="A9581" s="1" t="s">
        <v>2442</v>
      </c>
    </row>
    <row r="9582" spans="1:1" x14ac:dyDescent="0.2">
      <c r="A9582" s="1" t="s">
        <v>2442</v>
      </c>
    </row>
    <row r="9583" spans="1:1" x14ac:dyDescent="0.2">
      <c r="A9583" s="1" t="s">
        <v>2434</v>
      </c>
    </row>
    <row r="9584" spans="1:1" x14ac:dyDescent="0.2">
      <c r="A9584" s="1" t="s">
        <v>2434</v>
      </c>
    </row>
    <row r="9585" spans="1:1" x14ac:dyDescent="0.2">
      <c r="A9585" s="1" t="s">
        <v>2434</v>
      </c>
    </row>
    <row r="9586" spans="1:1" x14ac:dyDescent="0.2">
      <c r="A9586" s="1" t="s">
        <v>2435</v>
      </c>
    </row>
    <row r="9587" spans="1:1" x14ac:dyDescent="0.2">
      <c r="A9587" s="1" t="s">
        <v>2436</v>
      </c>
    </row>
    <row r="9588" spans="1:1" x14ac:dyDescent="0.2">
      <c r="A9588" s="1" t="s">
        <v>2437</v>
      </c>
    </row>
    <row r="9589" spans="1:1" x14ac:dyDescent="0.2">
      <c r="A9589" s="1" t="s">
        <v>2438</v>
      </c>
    </row>
    <row r="9590" spans="1:1" x14ac:dyDescent="0.2">
      <c r="A9590" s="1" t="s">
        <v>2439</v>
      </c>
    </row>
    <row r="9591" spans="1:1" x14ac:dyDescent="0.2">
      <c r="A9591" s="1" t="s">
        <v>2440</v>
      </c>
    </row>
    <row r="9592" spans="1:1" x14ac:dyDescent="0.2">
      <c r="A9592" s="1" t="s">
        <v>2441</v>
      </c>
    </row>
    <row r="9593" spans="1:1" x14ac:dyDescent="0.2">
      <c r="A9593" s="1" t="s">
        <v>2442</v>
      </c>
    </row>
    <row r="9594" spans="1:1" x14ac:dyDescent="0.2">
      <c r="A9594" s="1" t="s">
        <v>2442</v>
      </c>
    </row>
    <row r="9595" spans="1:1" x14ac:dyDescent="0.2">
      <c r="A9595" s="1" t="s">
        <v>2442</v>
      </c>
    </row>
    <row r="9596" spans="1:1" x14ac:dyDescent="0.2">
      <c r="A9596" s="1" t="s">
        <v>2442</v>
      </c>
    </row>
    <row r="9597" spans="1:1" x14ac:dyDescent="0.2">
      <c r="A9597" s="1" t="s">
        <v>2434</v>
      </c>
    </row>
    <row r="9598" spans="1:1" x14ac:dyDescent="0.2">
      <c r="A9598" s="1" t="s">
        <v>2434</v>
      </c>
    </row>
    <row r="9599" spans="1:1" x14ac:dyDescent="0.2">
      <c r="A9599" s="1" t="s">
        <v>2434</v>
      </c>
    </row>
    <row r="9600" spans="1:1" x14ac:dyDescent="0.2">
      <c r="A9600" s="1" t="s">
        <v>2435</v>
      </c>
    </row>
    <row r="9601" spans="1:1" x14ac:dyDescent="0.2">
      <c r="A9601" s="1" t="s">
        <v>2436</v>
      </c>
    </row>
    <row r="9602" spans="1:1" x14ac:dyDescent="0.2">
      <c r="A9602" s="1" t="s">
        <v>2437</v>
      </c>
    </row>
    <row r="9603" spans="1:1" x14ac:dyDescent="0.2">
      <c r="A9603" s="1" t="s">
        <v>2438</v>
      </c>
    </row>
    <row r="9604" spans="1:1" x14ac:dyDescent="0.2">
      <c r="A9604" s="1" t="s">
        <v>2439</v>
      </c>
    </row>
    <row r="9605" spans="1:1" x14ac:dyDescent="0.2">
      <c r="A9605" s="1" t="s">
        <v>2440</v>
      </c>
    </row>
    <row r="9606" spans="1:1" x14ac:dyDescent="0.2">
      <c r="A9606" s="1" t="s">
        <v>2441</v>
      </c>
    </row>
    <row r="9607" spans="1:1" x14ac:dyDescent="0.2">
      <c r="A9607" s="1" t="s">
        <v>2442</v>
      </c>
    </row>
    <row r="9608" spans="1:1" x14ac:dyDescent="0.2">
      <c r="A9608" s="1" t="s">
        <v>2442</v>
      </c>
    </row>
    <row r="9609" spans="1:1" x14ac:dyDescent="0.2">
      <c r="A9609" s="1" t="s">
        <v>2442</v>
      </c>
    </row>
    <row r="9610" spans="1:1" x14ac:dyDescent="0.2">
      <c r="A9610" s="1" t="s">
        <v>2442</v>
      </c>
    </row>
    <row r="9611" spans="1:1" x14ac:dyDescent="0.2">
      <c r="A9611" s="1" t="s">
        <v>2434</v>
      </c>
    </row>
    <row r="9612" spans="1:1" x14ac:dyDescent="0.2">
      <c r="A9612" s="1" t="s">
        <v>2434</v>
      </c>
    </row>
    <row r="9613" spans="1:1" x14ac:dyDescent="0.2">
      <c r="A9613" s="1" t="s">
        <v>2434</v>
      </c>
    </row>
    <row r="9614" spans="1:1" x14ac:dyDescent="0.2">
      <c r="A9614" s="1" t="s">
        <v>2435</v>
      </c>
    </row>
    <row r="9615" spans="1:1" x14ac:dyDescent="0.2">
      <c r="A9615" s="1" t="s">
        <v>2436</v>
      </c>
    </row>
    <row r="9616" spans="1:1" x14ac:dyDescent="0.2">
      <c r="A9616" s="1" t="s">
        <v>2437</v>
      </c>
    </row>
    <row r="9617" spans="1:1" x14ac:dyDescent="0.2">
      <c r="A9617" s="1" t="s">
        <v>2438</v>
      </c>
    </row>
    <row r="9618" spans="1:1" x14ac:dyDescent="0.2">
      <c r="A9618" s="1" t="s">
        <v>2439</v>
      </c>
    </row>
    <row r="9619" spans="1:1" x14ac:dyDescent="0.2">
      <c r="A9619" s="1" t="s">
        <v>2440</v>
      </c>
    </row>
    <row r="9620" spans="1:1" x14ac:dyDescent="0.2">
      <c r="A9620" s="1" t="s">
        <v>2441</v>
      </c>
    </row>
    <row r="9621" spans="1:1" x14ac:dyDescent="0.2">
      <c r="A9621" s="1" t="s">
        <v>2442</v>
      </c>
    </row>
    <row r="9622" spans="1:1" x14ac:dyDescent="0.2">
      <c r="A9622" s="1" t="s">
        <v>2442</v>
      </c>
    </row>
    <row r="9623" spans="1:1" x14ac:dyDescent="0.2">
      <c r="A9623" s="1" t="s">
        <v>2442</v>
      </c>
    </row>
    <row r="9624" spans="1:1" x14ac:dyDescent="0.2">
      <c r="A9624" s="1" t="s">
        <v>2442</v>
      </c>
    </row>
    <row r="9625" spans="1:1" x14ac:dyDescent="0.2">
      <c r="A9625" s="1" t="s">
        <v>2434</v>
      </c>
    </row>
    <row r="9626" spans="1:1" x14ac:dyDescent="0.2">
      <c r="A9626" s="1" t="s">
        <v>2443</v>
      </c>
    </row>
    <row r="9627" spans="1:1" x14ac:dyDescent="0.2">
      <c r="A9627" s="1" t="s">
        <v>2443</v>
      </c>
    </row>
    <row r="9628" spans="1:1" x14ac:dyDescent="0.2">
      <c r="A9628" s="1" t="s">
        <v>2444</v>
      </c>
    </row>
    <row r="9629" spans="1:1" x14ac:dyDescent="0.2">
      <c r="A9629" s="1" t="s">
        <v>2445</v>
      </c>
    </row>
    <row r="9630" spans="1:1" x14ac:dyDescent="0.2">
      <c r="A9630" s="1" t="s">
        <v>2446</v>
      </c>
    </row>
    <row r="9631" spans="1:1" x14ac:dyDescent="0.2">
      <c r="A9631" s="1" t="s">
        <v>2447</v>
      </c>
    </row>
    <row r="9632" spans="1:1" x14ac:dyDescent="0.2">
      <c r="A9632" s="1" t="s">
        <v>2448</v>
      </c>
    </row>
    <row r="9633" spans="1:1" x14ac:dyDescent="0.2">
      <c r="A9633" s="1" t="s">
        <v>2449</v>
      </c>
    </row>
    <row r="9634" spans="1:1" x14ac:dyDescent="0.2">
      <c r="A9634" s="1" t="s">
        <v>2450</v>
      </c>
    </row>
    <row r="9635" spans="1:1" x14ac:dyDescent="0.2">
      <c r="A9635" s="1" t="s">
        <v>2451</v>
      </c>
    </row>
    <row r="9636" spans="1:1" x14ac:dyDescent="0.2">
      <c r="A9636" s="1" t="s">
        <v>2451</v>
      </c>
    </row>
    <row r="9637" spans="1:1" x14ac:dyDescent="0.2">
      <c r="A9637" s="1" t="s">
        <v>2451</v>
      </c>
    </row>
    <row r="9638" spans="1:1" x14ac:dyDescent="0.2">
      <c r="A9638" s="1" t="s">
        <v>2451</v>
      </c>
    </row>
    <row r="9639" spans="1:1" x14ac:dyDescent="0.2">
      <c r="A9639" s="1" t="s">
        <v>2443</v>
      </c>
    </row>
    <row r="9640" spans="1:1" x14ac:dyDescent="0.2">
      <c r="A9640" s="1" t="s">
        <v>2443</v>
      </c>
    </row>
    <row r="9641" spans="1:1" x14ac:dyDescent="0.2">
      <c r="A9641" s="1" t="s">
        <v>2443</v>
      </c>
    </row>
    <row r="9642" spans="1:1" x14ac:dyDescent="0.2">
      <c r="A9642" s="1" t="s">
        <v>2444</v>
      </c>
    </row>
    <row r="9643" spans="1:1" x14ac:dyDescent="0.2">
      <c r="A9643" s="1" t="s">
        <v>2445</v>
      </c>
    </row>
    <row r="9644" spans="1:1" x14ac:dyDescent="0.2">
      <c r="A9644" s="1" t="s">
        <v>2446</v>
      </c>
    </row>
    <row r="9645" spans="1:1" x14ac:dyDescent="0.2">
      <c r="A9645" s="1" t="s">
        <v>2447</v>
      </c>
    </row>
    <row r="9646" spans="1:1" x14ac:dyDescent="0.2">
      <c r="A9646" s="1" t="s">
        <v>2448</v>
      </c>
    </row>
    <row r="9647" spans="1:1" x14ac:dyDescent="0.2">
      <c r="A9647" s="1" t="s">
        <v>2449</v>
      </c>
    </row>
    <row r="9648" spans="1:1" x14ac:dyDescent="0.2">
      <c r="A9648" s="1" t="s">
        <v>2450</v>
      </c>
    </row>
    <row r="9649" spans="1:1" x14ac:dyDescent="0.2">
      <c r="A9649" s="1" t="s">
        <v>2451</v>
      </c>
    </row>
    <row r="9650" spans="1:1" x14ac:dyDescent="0.2">
      <c r="A9650" s="1" t="s">
        <v>2451</v>
      </c>
    </row>
    <row r="9651" spans="1:1" x14ac:dyDescent="0.2">
      <c r="A9651" s="1" t="s">
        <v>2451</v>
      </c>
    </row>
    <row r="9652" spans="1:1" x14ac:dyDescent="0.2">
      <c r="A9652" s="1" t="s">
        <v>2451</v>
      </c>
    </row>
    <row r="9653" spans="1:1" x14ac:dyDescent="0.2">
      <c r="A9653" s="1" t="s">
        <v>2443</v>
      </c>
    </row>
    <row r="9654" spans="1:1" x14ac:dyDescent="0.2">
      <c r="A9654" s="1" t="s">
        <v>2443</v>
      </c>
    </row>
    <row r="9655" spans="1:1" x14ac:dyDescent="0.2">
      <c r="A9655" s="1" t="s">
        <v>2443</v>
      </c>
    </row>
    <row r="9656" spans="1:1" x14ac:dyDescent="0.2">
      <c r="A9656" s="1" t="s">
        <v>2444</v>
      </c>
    </row>
    <row r="9657" spans="1:1" x14ac:dyDescent="0.2">
      <c r="A9657" s="1" t="s">
        <v>2445</v>
      </c>
    </row>
    <row r="9658" spans="1:1" x14ac:dyDescent="0.2">
      <c r="A9658" s="1" t="s">
        <v>2446</v>
      </c>
    </row>
    <row r="9659" spans="1:1" x14ac:dyDescent="0.2">
      <c r="A9659" s="1" t="s">
        <v>2447</v>
      </c>
    </row>
    <row r="9660" spans="1:1" x14ac:dyDescent="0.2">
      <c r="A9660" s="1" t="s">
        <v>2448</v>
      </c>
    </row>
    <row r="9661" spans="1:1" x14ac:dyDescent="0.2">
      <c r="A9661" s="1" t="s">
        <v>2449</v>
      </c>
    </row>
    <row r="9662" spans="1:1" x14ac:dyDescent="0.2">
      <c r="A9662" s="1" t="s">
        <v>2450</v>
      </c>
    </row>
    <row r="9663" spans="1:1" x14ac:dyDescent="0.2">
      <c r="A9663" s="1" t="s">
        <v>2451</v>
      </c>
    </row>
    <row r="9664" spans="1:1" x14ac:dyDescent="0.2">
      <c r="A9664" s="1" t="s">
        <v>2451</v>
      </c>
    </row>
    <row r="9665" spans="1:1" x14ac:dyDescent="0.2">
      <c r="A9665" s="1" t="s">
        <v>2451</v>
      </c>
    </row>
    <row r="9666" spans="1:1" x14ac:dyDescent="0.2">
      <c r="A9666" s="1" t="s">
        <v>2451</v>
      </c>
    </row>
    <row r="9667" spans="1:1" x14ac:dyDescent="0.2">
      <c r="A9667" s="1" t="s">
        <v>2443</v>
      </c>
    </row>
    <row r="9668" spans="1:1" x14ac:dyDescent="0.2">
      <c r="A9668" s="1" t="s">
        <v>2443</v>
      </c>
    </row>
    <row r="9669" spans="1:1" x14ac:dyDescent="0.2">
      <c r="A9669" s="1" t="s">
        <v>2443</v>
      </c>
    </row>
    <row r="9670" spans="1:1" x14ac:dyDescent="0.2">
      <c r="A9670" s="1" t="s">
        <v>2444</v>
      </c>
    </row>
    <row r="9671" spans="1:1" x14ac:dyDescent="0.2">
      <c r="A9671" s="1" t="s">
        <v>2445</v>
      </c>
    </row>
    <row r="9672" spans="1:1" x14ac:dyDescent="0.2">
      <c r="A9672" s="1" t="s">
        <v>2446</v>
      </c>
    </row>
    <row r="9673" spans="1:1" x14ac:dyDescent="0.2">
      <c r="A9673" s="1" t="s">
        <v>2447</v>
      </c>
    </row>
    <row r="9674" spans="1:1" x14ac:dyDescent="0.2">
      <c r="A9674" s="1" t="s">
        <v>2448</v>
      </c>
    </row>
    <row r="9675" spans="1:1" x14ac:dyDescent="0.2">
      <c r="A9675" s="1" t="s">
        <v>2449</v>
      </c>
    </row>
    <row r="9676" spans="1:1" x14ac:dyDescent="0.2">
      <c r="A9676" s="1" t="s">
        <v>2450</v>
      </c>
    </row>
    <row r="9677" spans="1:1" x14ac:dyDescent="0.2">
      <c r="A9677" s="1" t="s">
        <v>2451</v>
      </c>
    </row>
    <row r="9678" spans="1:1" x14ac:dyDescent="0.2">
      <c r="A9678" s="1" t="s">
        <v>2451</v>
      </c>
    </row>
    <row r="9679" spans="1:1" x14ac:dyDescent="0.2">
      <c r="A9679" s="1" t="s">
        <v>2451</v>
      </c>
    </row>
    <row r="9680" spans="1:1" x14ac:dyDescent="0.2">
      <c r="A9680" s="1" t="s">
        <v>2451</v>
      </c>
    </row>
    <row r="9681" spans="1:1" x14ac:dyDescent="0.2">
      <c r="A9681" s="1" t="s">
        <v>2443</v>
      </c>
    </row>
    <row r="9682" spans="1:1" x14ac:dyDescent="0.2">
      <c r="A9682" s="1" t="s">
        <v>2452</v>
      </c>
    </row>
    <row r="9683" spans="1:1" x14ac:dyDescent="0.2">
      <c r="A9683" s="1" t="s">
        <v>2453</v>
      </c>
    </row>
    <row r="9684" spans="1:1" x14ac:dyDescent="0.2">
      <c r="A9684" s="1" t="s">
        <v>2454</v>
      </c>
    </row>
    <row r="9685" spans="1:1" x14ac:dyDescent="0.2">
      <c r="A9685" s="1" t="s">
        <v>2455</v>
      </c>
    </row>
    <row r="9686" spans="1:1" x14ac:dyDescent="0.2">
      <c r="A9686" s="1" t="s">
        <v>2454</v>
      </c>
    </row>
    <row r="9687" spans="1:1" x14ac:dyDescent="0.2">
      <c r="A9687" s="1" t="s">
        <v>2456</v>
      </c>
    </row>
    <row r="9688" spans="1:1" x14ac:dyDescent="0.2">
      <c r="A9688" s="1" t="s">
        <v>2457</v>
      </c>
    </row>
    <row r="9689" spans="1:1" x14ac:dyDescent="0.2">
      <c r="A9689" s="1" t="s">
        <v>2458</v>
      </c>
    </row>
    <row r="9690" spans="1:1" x14ac:dyDescent="0.2">
      <c r="A9690" s="1" t="s">
        <v>2459</v>
      </c>
    </row>
    <row r="9691" spans="1:1" x14ac:dyDescent="0.2">
      <c r="A9691" s="1" t="s">
        <v>2460</v>
      </c>
    </row>
    <row r="9692" spans="1:1" x14ac:dyDescent="0.2">
      <c r="A9692" s="1" t="s">
        <v>2461</v>
      </c>
    </row>
    <row r="9693" spans="1:1" x14ac:dyDescent="0.2">
      <c r="A9693" s="1" t="s">
        <v>2462</v>
      </c>
    </row>
    <row r="9694" spans="1:1" x14ac:dyDescent="0.2">
      <c r="A9694" s="1" t="s">
        <v>2463</v>
      </c>
    </row>
    <row r="9695" spans="1:1" x14ac:dyDescent="0.2">
      <c r="A9695" s="1" t="s">
        <v>2464</v>
      </c>
    </row>
    <row r="9696" spans="1:1" x14ac:dyDescent="0.2">
      <c r="A9696" s="1" t="s">
        <v>2465</v>
      </c>
    </row>
    <row r="9697" spans="1:1" x14ac:dyDescent="0.2">
      <c r="A9697" s="1" t="s">
        <v>2466</v>
      </c>
    </row>
    <row r="9698" spans="1:1" x14ac:dyDescent="0.2">
      <c r="A9698" s="1" t="s">
        <v>2466</v>
      </c>
    </row>
    <row r="9699" spans="1:1" x14ac:dyDescent="0.2">
      <c r="A9699" s="1" t="s">
        <v>2467</v>
      </c>
    </row>
    <row r="9700" spans="1:1" x14ac:dyDescent="0.2">
      <c r="A9700" s="1" t="s">
        <v>2468</v>
      </c>
    </row>
    <row r="9701" spans="1:1" x14ac:dyDescent="0.2">
      <c r="A9701" s="1" t="s">
        <v>2469</v>
      </c>
    </row>
    <row r="9702" spans="1:1" x14ac:dyDescent="0.2">
      <c r="A9702" s="1" t="s">
        <v>2470</v>
      </c>
    </row>
    <row r="9703" spans="1:1" x14ac:dyDescent="0.2">
      <c r="A9703" s="1" t="s">
        <v>2471</v>
      </c>
    </row>
    <row r="9704" spans="1:1" x14ac:dyDescent="0.2">
      <c r="A9704" s="1" t="s">
        <v>2472</v>
      </c>
    </row>
    <row r="9705" spans="1:1" x14ac:dyDescent="0.2">
      <c r="A9705" s="1" t="s">
        <v>2473</v>
      </c>
    </row>
    <row r="9706" spans="1:1" x14ac:dyDescent="0.2">
      <c r="A9706" s="1" t="s">
        <v>2474</v>
      </c>
    </row>
    <row r="9707" spans="1:1" x14ac:dyDescent="0.2">
      <c r="A9707" s="1" t="s">
        <v>2474</v>
      </c>
    </row>
    <row r="9708" spans="1:1" x14ac:dyDescent="0.2">
      <c r="A9708" s="1" t="s">
        <v>2474</v>
      </c>
    </row>
    <row r="9709" spans="1:1" x14ac:dyDescent="0.2">
      <c r="A9709" s="1" t="s">
        <v>2474</v>
      </c>
    </row>
    <row r="9710" spans="1:1" x14ac:dyDescent="0.2">
      <c r="A9710" s="1" t="s">
        <v>2466</v>
      </c>
    </row>
    <row r="9711" spans="1:1" x14ac:dyDescent="0.2">
      <c r="A9711" s="1" t="s">
        <v>2466</v>
      </c>
    </row>
    <row r="9712" spans="1:1" x14ac:dyDescent="0.2">
      <c r="A9712" s="1" t="s">
        <v>2466</v>
      </c>
    </row>
    <row r="9713" spans="1:1" x14ac:dyDescent="0.2">
      <c r="A9713" s="1" t="s">
        <v>2467</v>
      </c>
    </row>
    <row r="9714" spans="1:1" x14ac:dyDescent="0.2">
      <c r="A9714" s="1" t="s">
        <v>2468</v>
      </c>
    </row>
    <row r="9715" spans="1:1" x14ac:dyDescent="0.2">
      <c r="A9715" s="1" t="s">
        <v>2469</v>
      </c>
    </row>
    <row r="9716" spans="1:1" x14ac:dyDescent="0.2">
      <c r="A9716" s="1" t="s">
        <v>2470</v>
      </c>
    </row>
    <row r="9717" spans="1:1" x14ac:dyDescent="0.2">
      <c r="A9717" s="1" t="s">
        <v>2471</v>
      </c>
    </row>
    <row r="9718" spans="1:1" x14ac:dyDescent="0.2">
      <c r="A9718" s="1" t="s">
        <v>2472</v>
      </c>
    </row>
    <row r="9719" spans="1:1" x14ac:dyDescent="0.2">
      <c r="A9719" s="1" t="s">
        <v>2473</v>
      </c>
    </row>
    <row r="9720" spans="1:1" x14ac:dyDescent="0.2">
      <c r="A9720" s="1" t="s">
        <v>2474</v>
      </c>
    </row>
    <row r="9721" spans="1:1" x14ac:dyDescent="0.2">
      <c r="A9721" s="1" t="s">
        <v>2474</v>
      </c>
    </row>
    <row r="9722" spans="1:1" x14ac:dyDescent="0.2">
      <c r="A9722" s="1" t="s">
        <v>2474</v>
      </c>
    </row>
    <row r="9723" spans="1:1" x14ac:dyDescent="0.2">
      <c r="A9723" s="1" t="s">
        <v>2474</v>
      </c>
    </row>
    <row r="9724" spans="1:1" x14ac:dyDescent="0.2">
      <c r="A9724" s="1" t="s">
        <v>2466</v>
      </c>
    </row>
    <row r="9725" spans="1:1" x14ac:dyDescent="0.2">
      <c r="A9725" s="1" t="s">
        <v>2466</v>
      </c>
    </row>
    <row r="9726" spans="1:1" x14ac:dyDescent="0.2">
      <c r="A9726" s="1" t="s">
        <v>2466</v>
      </c>
    </row>
    <row r="9727" spans="1:1" x14ac:dyDescent="0.2">
      <c r="A9727" s="1" t="s">
        <v>2467</v>
      </c>
    </row>
    <row r="9728" spans="1:1" x14ac:dyDescent="0.2">
      <c r="A9728" s="1" t="s">
        <v>2468</v>
      </c>
    </row>
    <row r="9729" spans="1:1" x14ac:dyDescent="0.2">
      <c r="A9729" s="1" t="s">
        <v>2469</v>
      </c>
    </row>
    <row r="9730" spans="1:1" x14ac:dyDescent="0.2">
      <c r="A9730" s="1" t="s">
        <v>2470</v>
      </c>
    </row>
    <row r="9731" spans="1:1" x14ac:dyDescent="0.2">
      <c r="A9731" s="1" t="s">
        <v>2471</v>
      </c>
    </row>
    <row r="9732" spans="1:1" x14ac:dyDescent="0.2">
      <c r="A9732" s="1" t="s">
        <v>2472</v>
      </c>
    </row>
    <row r="9733" spans="1:1" x14ac:dyDescent="0.2">
      <c r="A9733" s="1" t="s">
        <v>2473</v>
      </c>
    </row>
    <row r="9734" spans="1:1" x14ac:dyDescent="0.2">
      <c r="A9734" s="1" t="s">
        <v>2474</v>
      </c>
    </row>
    <row r="9735" spans="1:1" x14ac:dyDescent="0.2">
      <c r="A9735" s="1" t="s">
        <v>2474</v>
      </c>
    </row>
    <row r="9736" spans="1:1" x14ac:dyDescent="0.2">
      <c r="A9736" s="1" t="s">
        <v>2474</v>
      </c>
    </row>
    <row r="9737" spans="1:1" x14ac:dyDescent="0.2">
      <c r="A9737" s="1" t="s">
        <v>2474</v>
      </c>
    </row>
    <row r="9738" spans="1:1" x14ac:dyDescent="0.2">
      <c r="A9738" s="1" t="s">
        <v>2466</v>
      </c>
    </row>
    <row r="9739" spans="1:1" x14ac:dyDescent="0.2">
      <c r="A9739" s="1" t="s">
        <v>2475</v>
      </c>
    </row>
    <row r="9740" spans="1:1" x14ac:dyDescent="0.2">
      <c r="A9740" s="1" t="s">
        <v>2475</v>
      </c>
    </row>
    <row r="9741" spans="1:1" x14ac:dyDescent="0.2">
      <c r="A9741" s="1" t="s">
        <v>2476</v>
      </c>
    </row>
    <row r="9742" spans="1:1" x14ac:dyDescent="0.2">
      <c r="A9742" s="1" t="s">
        <v>2477</v>
      </c>
    </row>
    <row r="9743" spans="1:1" x14ac:dyDescent="0.2">
      <c r="A9743" s="1" t="s">
        <v>2478</v>
      </c>
    </row>
    <row r="9744" spans="1:1" x14ac:dyDescent="0.2">
      <c r="A9744" s="1" t="s">
        <v>2479</v>
      </c>
    </row>
    <row r="9745" spans="1:1" x14ac:dyDescent="0.2">
      <c r="A9745" s="1" t="s">
        <v>2480</v>
      </c>
    </row>
    <row r="9746" spans="1:1" x14ac:dyDescent="0.2">
      <c r="A9746" s="1" t="s">
        <v>2481</v>
      </c>
    </row>
    <row r="9747" spans="1:1" x14ac:dyDescent="0.2">
      <c r="A9747" s="1" t="s">
        <v>2482</v>
      </c>
    </row>
    <row r="9748" spans="1:1" x14ac:dyDescent="0.2">
      <c r="A9748" s="1" t="s">
        <v>2483</v>
      </c>
    </row>
    <row r="9749" spans="1:1" x14ac:dyDescent="0.2">
      <c r="A9749" s="1" t="s">
        <v>2483</v>
      </c>
    </row>
    <row r="9750" spans="1:1" x14ac:dyDescent="0.2">
      <c r="A9750" s="1" t="s">
        <v>2483</v>
      </c>
    </row>
    <row r="9751" spans="1:1" x14ac:dyDescent="0.2">
      <c r="A9751" s="1" t="s">
        <v>2483</v>
      </c>
    </row>
    <row r="9752" spans="1:1" x14ac:dyDescent="0.2">
      <c r="A9752" s="1" t="s">
        <v>2475</v>
      </c>
    </row>
    <row r="9753" spans="1:1" x14ac:dyDescent="0.2">
      <c r="A9753" s="1" t="s">
        <v>2475</v>
      </c>
    </row>
    <row r="9754" spans="1:1" x14ac:dyDescent="0.2">
      <c r="A9754" s="1" t="s">
        <v>2475</v>
      </c>
    </row>
    <row r="9755" spans="1:1" x14ac:dyDescent="0.2">
      <c r="A9755" s="1" t="s">
        <v>2476</v>
      </c>
    </row>
    <row r="9756" spans="1:1" x14ac:dyDescent="0.2">
      <c r="A9756" s="1" t="s">
        <v>2477</v>
      </c>
    </row>
    <row r="9757" spans="1:1" x14ac:dyDescent="0.2">
      <c r="A9757" s="1" t="s">
        <v>2478</v>
      </c>
    </row>
    <row r="9758" spans="1:1" x14ac:dyDescent="0.2">
      <c r="A9758" s="1" t="s">
        <v>2479</v>
      </c>
    </row>
    <row r="9759" spans="1:1" x14ac:dyDescent="0.2">
      <c r="A9759" s="1" t="s">
        <v>2480</v>
      </c>
    </row>
    <row r="9760" spans="1:1" x14ac:dyDescent="0.2">
      <c r="A9760" s="1" t="s">
        <v>2481</v>
      </c>
    </row>
    <row r="9761" spans="1:1" x14ac:dyDescent="0.2">
      <c r="A9761" s="1" t="s">
        <v>2482</v>
      </c>
    </row>
    <row r="9762" spans="1:1" x14ac:dyDescent="0.2">
      <c r="A9762" s="1" t="s">
        <v>2483</v>
      </c>
    </row>
    <row r="9763" spans="1:1" x14ac:dyDescent="0.2">
      <c r="A9763" s="1" t="s">
        <v>2483</v>
      </c>
    </row>
    <row r="9764" spans="1:1" x14ac:dyDescent="0.2">
      <c r="A9764" s="1" t="s">
        <v>2483</v>
      </c>
    </row>
    <row r="9765" spans="1:1" x14ac:dyDescent="0.2">
      <c r="A9765" s="1" t="s">
        <v>2483</v>
      </c>
    </row>
    <row r="9766" spans="1:1" x14ac:dyDescent="0.2">
      <c r="A9766" s="1" t="s">
        <v>2475</v>
      </c>
    </row>
    <row r="9767" spans="1:1" x14ac:dyDescent="0.2">
      <c r="A9767" s="1" t="s">
        <v>2475</v>
      </c>
    </row>
    <row r="9768" spans="1:1" x14ac:dyDescent="0.2">
      <c r="A9768" s="1" t="s">
        <v>2475</v>
      </c>
    </row>
    <row r="9769" spans="1:1" x14ac:dyDescent="0.2">
      <c r="A9769" s="1" t="s">
        <v>2476</v>
      </c>
    </row>
    <row r="9770" spans="1:1" x14ac:dyDescent="0.2">
      <c r="A9770" s="1" t="s">
        <v>2477</v>
      </c>
    </row>
    <row r="9771" spans="1:1" x14ac:dyDescent="0.2">
      <c r="A9771" s="1" t="s">
        <v>2478</v>
      </c>
    </row>
    <row r="9772" spans="1:1" x14ac:dyDescent="0.2">
      <c r="A9772" s="1" t="s">
        <v>2479</v>
      </c>
    </row>
    <row r="9773" spans="1:1" x14ac:dyDescent="0.2">
      <c r="A9773" s="1" t="s">
        <v>2480</v>
      </c>
    </row>
    <row r="9774" spans="1:1" x14ac:dyDescent="0.2">
      <c r="A9774" s="1" t="s">
        <v>2481</v>
      </c>
    </row>
    <row r="9775" spans="1:1" x14ac:dyDescent="0.2">
      <c r="A9775" s="1" t="s">
        <v>2482</v>
      </c>
    </row>
    <row r="9776" spans="1:1" x14ac:dyDescent="0.2">
      <c r="A9776" s="1" t="s">
        <v>2483</v>
      </c>
    </row>
    <row r="9777" spans="1:1" x14ac:dyDescent="0.2">
      <c r="A9777" s="1" t="s">
        <v>2483</v>
      </c>
    </row>
    <row r="9778" spans="1:1" x14ac:dyDescent="0.2">
      <c r="A9778" s="1" t="s">
        <v>2483</v>
      </c>
    </row>
    <row r="9779" spans="1:1" x14ac:dyDescent="0.2">
      <c r="A9779" s="1" t="s">
        <v>2483</v>
      </c>
    </row>
    <row r="9780" spans="1:1" x14ac:dyDescent="0.2">
      <c r="A9780" s="1" t="s">
        <v>2475</v>
      </c>
    </row>
    <row r="9781" spans="1:1" x14ac:dyDescent="0.2">
      <c r="A9781" s="1" t="s">
        <v>2475</v>
      </c>
    </row>
    <row r="9782" spans="1:1" x14ac:dyDescent="0.2">
      <c r="A9782" s="1" t="s">
        <v>2475</v>
      </c>
    </row>
    <row r="9783" spans="1:1" x14ac:dyDescent="0.2">
      <c r="A9783" s="1" t="s">
        <v>2476</v>
      </c>
    </row>
    <row r="9784" spans="1:1" x14ac:dyDescent="0.2">
      <c r="A9784" s="1" t="s">
        <v>2477</v>
      </c>
    </row>
    <row r="9785" spans="1:1" x14ac:dyDescent="0.2">
      <c r="A9785" s="1" t="s">
        <v>2478</v>
      </c>
    </row>
    <row r="9786" spans="1:1" x14ac:dyDescent="0.2">
      <c r="A9786" s="1" t="s">
        <v>2479</v>
      </c>
    </row>
    <row r="9787" spans="1:1" x14ac:dyDescent="0.2">
      <c r="A9787" s="1" t="s">
        <v>2480</v>
      </c>
    </row>
    <row r="9788" spans="1:1" x14ac:dyDescent="0.2">
      <c r="A9788" s="1" t="s">
        <v>2481</v>
      </c>
    </row>
    <row r="9789" spans="1:1" x14ac:dyDescent="0.2">
      <c r="A9789" s="1" t="s">
        <v>2482</v>
      </c>
    </row>
    <row r="9790" spans="1:1" x14ac:dyDescent="0.2">
      <c r="A9790" s="1" t="s">
        <v>2483</v>
      </c>
    </row>
    <row r="9791" spans="1:1" x14ac:dyDescent="0.2">
      <c r="A9791" s="1" t="s">
        <v>2483</v>
      </c>
    </row>
    <row r="9792" spans="1:1" x14ac:dyDescent="0.2">
      <c r="A9792" s="1" t="s">
        <v>2483</v>
      </c>
    </row>
    <row r="9793" spans="1:1" x14ac:dyDescent="0.2">
      <c r="A9793" s="1" t="s">
        <v>2483</v>
      </c>
    </row>
    <row r="9794" spans="1:1" x14ac:dyDescent="0.2">
      <c r="A9794" s="1" t="s">
        <v>2475</v>
      </c>
    </row>
    <row r="9795" spans="1:1" x14ac:dyDescent="0.2">
      <c r="A9795" s="1" t="s">
        <v>2484</v>
      </c>
    </row>
    <row r="9796" spans="1:1" x14ac:dyDescent="0.2">
      <c r="A9796" s="1" t="s">
        <v>2484</v>
      </c>
    </row>
    <row r="9797" spans="1:1" x14ac:dyDescent="0.2">
      <c r="A9797" s="1" t="s">
        <v>2485</v>
      </c>
    </row>
    <row r="9798" spans="1:1" x14ac:dyDescent="0.2">
      <c r="A9798" s="1" t="s">
        <v>2486</v>
      </c>
    </row>
    <row r="9799" spans="1:1" x14ac:dyDescent="0.2">
      <c r="A9799" s="1" t="s">
        <v>2487</v>
      </c>
    </row>
    <row r="9800" spans="1:1" x14ac:dyDescent="0.2">
      <c r="A9800" s="1" t="s">
        <v>2488</v>
      </c>
    </row>
    <row r="9801" spans="1:1" x14ac:dyDescent="0.2">
      <c r="A9801" s="1" t="s">
        <v>2489</v>
      </c>
    </row>
    <row r="9802" spans="1:1" x14ac:dyDescent="0.2">
      <c r="A9802" s="1" t="s">
        <v>2490</v>
      </c>
    </row>
    <row r="9803" spans="1:1" x14ac:dyDescent="0.2">
      <c r="A9803" s="1" t="s">
        <v>2491</v>
      </c>
    </row>
    <row r="9804" spans="1:1" x14ac:dyDescent="0.2">
      <c r="A9804" s="1" t="s">
        <v>2492</v>
      </c>
    </row>
    <row r="9805" spans="1:1" x14ac:dyDescent="0.2">
      <c r="A9805" s="1" t="s">
        <v>2492</v>
      </c>
    </row>
    <row r="9806" spans="1:1" x14ac:dyDescent="0.2">
      <c r="A9806" s="1" t="s">
        <v>2492</v>
      </c>
    </row>
    <row r="9807" spans="1:1" x14ac:dyDescent="0.2">
      <c r="A9807" s="1" t="s">
        <v>2492</v>
      </c>
    </row>
    <row r="9808" spans="1:1" x14ac:dyDescent="0.2">
      <c r="A9808" s="1" t="s">
        <v>2484</v>
      </c>
    </row>
    <row r="9809" spans="1:1" x14ac:dyDescent="0.2">
      <c r="A9809" s="1" t="s">
        <v>2484</v>
      </c>
    </row>
    <row r="9810" spans="1:1" x14ac:dyDescent="0.2">
      <c r="A9810" s="1" t="s">
        <v>2484</v>
      </c>
    </row>
    <row r="9811" spans="1:1" x14ac:dyDescent="0.2">
      <c r="A9811" s="1" t="s">
        <v>2485</v>
      </c>
    </row>
    <row r="9812" spans="1:1" x14ac:dyDescent="0.2">
      <c r="A9812" s="1" t="s">
        <v>2486</v>
      </c>
    </row>
    <row r="9813" spans="1:1" x14ac:dyDescent="0.2">
      <c r="A9813" s="1" t="s">
        <v>2487</v>
      </c>
    </row>
    <row r="9814" spans="1:1" x14ac:dyDescent="0.2">
      <c r="A9814" s="1" t="s">
        <v>2488</v>
      </c>
    </row>
    <row r="9815" spans="1:1" x14ac:dyDescent="0.2">
      <c r="A9815" s="1" t="s">
        <v>2489</v>
      </c>
    </row>
    <row r="9816" spans="1:1" x14ac:dyDescent="0.2">
      <c r="A9816" s="1" t="s">
        <v>2490</v>
      </c>
    </row>
    <row r="9817" spans="1:1" x14ac:dyDescent="0.2">
      <c r="A9817" s="1" t="s">
        <v>2491</v>
      </c>
    </row>
    <row r="9818" spans="1:1" x14ac:dyDescent="0.2">
      <c r="A9818" s="1" t="s">
        <v>2492</v>
      </c>
    </row>
    <row r="9819" spans="1:1" x14ac:dyDescent="0.2">
      <c r="A9819" s="1" t="s">
        <v>2492</v>
      </c>
    </row>
    <row r="9820" spans="1:1" x14ac:dyDescent="0.2">
      <c r="A9820" s="1" t="s">
        <v>2492</v>
      </c>
    </row>
    <row r="9821" spans="1:1" x14ac:dyDescent="0.2">
      <c r="A9821" s="1" t="s">
        <v>2492</v>
      </c>
    </row>
    <row r="9822" spans="1:1" x14ac:dyDescent="0.2">
      <c r="A9822" s="1" t="s">
        <v>2484</v>
      </c>
    </row>
    <row r="9823" spans="1:1" x14ac:dyDescent="0.2">
      <c r="A9823" s="1" t="s">
        <v>2484</v>
      </c>
    </row>
    <row r="9824" spans="1:1" x14ac:dyDescent="0.2">
      <c r="A9824" s="1" t="s">
        <v>2484</v>
      </c>
    </row>
    <row r="9825" spans="1:1" x14ac:dyDescent="0.2">
      <c r="A9825" s="1" t="s">
        <v>2485</v>
      </c>
    </row>
    <row r="9826" spans="1:1" x14ac:dyDescent="0.2">
      <c r="A9826" s="1" t="s">
        <v>2486</v>
      </c>
    </row>
    <row r="9827" spans="1:1" x14ac:dyDescent="0.2">
      <c r="A9827" s="1" t="s">
        <v>2487</v>
      </c>
    </row>
    <row r="9828" spans="1:1" x14ac:dyDescent="0.2">
      <c r="A9828" s="1" t="s">
        <v>2488</v>
      </c>
    </row>
    <row r="9829" spans="1:1" x14ac:dyDescent="0.2">
      <c r="A9829" s="1" t="s">
        <v>2489</v>
      </c>
    </row>
    <row r="9830" spans="1:1" x14ac:dyDescent="0.2">
      <c r="A9830" s="1" t="s">
        <v>2490</v>
      </c>
    </row>
    <row r="9831" spans="1:1" x14ac:dyDescent="0.2">
      <c r="A9831" s="1" t="s">
        <v>2491</v>
      </c>
    </row>
    <row r="9832" spans="1:1" x14ac:dyDescent="0.2">
      <c r="A9832" s="1" t="s">
        <v>2492</v>
      </c>
    </row>
    <row r="9833" spans="1:1" x14ac:dyDescent="0.2">
      <c r="A9833" s="1" t="s">
        <v>2492</v>
      </c>
    </row>
    <row r="9834" spans="1:1" x14ac:dyDescent="0.2">
      <c r="A9834" s="1" t="s">
        <v>2492</v>
      </c>
    </row>
    <row r="9835" spans="1:1" x14ac:dyDescent="0.2">
      <c r="A9835" s="1" t="s">
        <v>2492</v>
      </c>
    </row>
    <row r="9836" spans="1:1" x14ac:dyDescent="0.2">
      <c r="A9836" s="1" t="s">
        <v>2484</v>
      </c>
    </row>
    <row r="9837" spans="1:1" x14ac:dyDescent="0.2">
      <c r="A9837" s="1" t="s">
        <v>2484</v>
      </c>
    </row>
    <row r="9838" spans="1:1" x14ac:dyDescent="0.2">
      <c r="A9838" s="1" t="s">
        <v>2484</v>
      </c>
    </row>
    <row r="9839" spans="1:1" x14ac:dyDescent="0.2">
      <c r="A9839" s="1" t="s">
        <v>2485</v>
      </c>
    </row>
    <row r="9840" spans="1:1" x14ac:dyDescent="0.2">
      <c r="A9840" s="1" t="s">
        <v>2486</v>
      </c>
    </row>
    <row r="9841" spans="1:1" x14ac:dyDescent="0.2">
      <c r="A9841" s="1" t="s">
        <v>2487</v>
      </c>
    </row>
    <row r="9842" spans="1:1" x14ac:dyDescent="0.2">
      <c r="A9842" s="1" t="s">
        <v>2488</v>
      </c>
    </row>
    <row r="9843" spans="1:1" x14ac:dyDescent="0.2">
      <c r="A9843" s="1" t="s">
        <v>2489</v>
      </c>
    </row>
    <row r="9844" spans="1:1" x14ac:dyDescent="0.2">
      <c r="A9844" s="1" t="s">
        <v>2490</v>
      </c>
    </row>
    <row r="9845" spans="1:1" x14ac:dyDescent="0.2">
      <c r="A9845" s="1" t="s">
        <v>2491</v>
      </c>
    </row>
    <row r="9846" spans="1:1" x14ac:dyDescent="0.2">
      <c r="A9846" s="1" t="s">
        <v>2492</v>
      </c>
    </row>
    <row r="9847" spans="1:1" x14ac:dyDescent="0.2">
      <c r="A9847" s="1" t="s">
        <v>2492</v>
      </c>
    </row>
    <row r="9848" spans="1:1" x14ac:dyDescent="0.2">
      <c r="A9848" s="1" t="s">
        <v>2492</v>
      </c>
    </row>
    <row r="9849" spans="1:1" x14ac:dyDescent="0.2">
      <c r="A9849" s="1" t="s">
        <v>2492</v>
      </c>
    </row>
    <row r="9850" spans="1:1" x14ac:dyDescent="0.2">
      <c r="A9850" s="1" t="s">
        <v>2484</v>
      </c>
    </row>
    <row r="9851" spans="1:1" x14ac:dyDescent="0.2">
      <c r="A9851" s="1" t="s">
        <v>2493</v>
      </c>
    </row>
    <row r="9852" spans="1:1" x14ac:dyDescent="0.2">
      <c r="A9852" s="1" t="s">
        <v>2493</v>
      </c>
    </row>
    <row r="9853" spans="1:1" x14ac:dyDescent="0.2">
      <c r="A9853" s="1" t="s">
        <v>2494</v>
      </c>
    </row>
    <row r="9854" spans="1:1" x14ac:dyDescent="0.2">
      <c r="A9854" s="1" t="s">
        <v>2495</v>
      </c>
    </row>
    <row r="9855" spans="1:1" x14ac:dyDescent="0.2">
      <c r="A9855" s="1" t="s">
        <v>2496</v>
      </c>
    </row>
    <row r="9856" spans="1:1" x14ac:dyDescent="0.2">
      <c r="A9856" s="1" t="s">
        <v>2497</v>
      </c>
    </row>
    <row r="9857" spans="1:1" x14ac:dyDescent="0.2">
      <c r="A9857" s="1" t="s">
        <v>2498</v>
      </c>
    </row>
    <row r="9858" spans="1:1" x14ac:dyDescent="0.2">
      <c r="A9858" s="1" t="s">
        <v>2499</v>
      </c>
    </row>
    <row r="9859" spans="1:1" x14ac:dyDescent="0.2">
      <c r="A9859" s="1" t="s">
        <v>2500</v>
      </c>
    </row>
    <row r="9860" spans="1:1" x14ac:dyDescent="0.2">
      <c r="A9860" s="1" t="s">
        <v>2501</v>
      </c>
    </row>
    <row r="9861" spans="1:1" x14ac:dyDescent="0.2">
      <c r="A9861" s="1" t="s">
        <v>2501</v>
      </c>
    </row>
    <row r="9862" spans="1:1" x14ac:dyDescent="0.2">
      <c r="A9862" s="1" t="s">
        <v>2501</v>
      </c>
    </row>
    <row r="9863" spans="1:1" x14ac:dyDescent="0.2">
      <c r="A9863" s="1" t="s">
        <v>2501</v>
      </c>
    </row>
    <row r="9864" spans="1:1" x14ac:dyDescent="0.2">
      <c r="A9864" s="1" t="s">
        <v>2493</v>
      </c>
    </row>
    <row r="9865" spans="1:1" x14ac:dyDescent="0.2">
      <c r="A9865" s="1" t="s">
        <v>2493</v>
      </c>
    </row>
    <row r="9866" spans="1:1" x14ac:dyDescent="0.2">
      <c r="A9866" s="1" t="s">
        <v>2493</v>
      </c>
    </row>
    <row r="9867" spans="1:1" x14ac:dyDescent="0.2">
      <c r="A9867" s="1" t="s">
        <v>2494</v>
      </c>
    </row>
    <row r="9868" spans="1:1" x14ac:dyDescent="0.2">
      <c r="A9868" s="1" t="s">
        <v>2495</v>
      </c>
    </row>
    <row r="9869" spans="1:1" x14ac:dyDescent="0.2">
      <c r="A9869" s="1" t="s">
        <v>2496</v>
      </c>
    </row>
    <row r="9870" spans="1:1" x14ac:dyDescent="0.2">
      <c r="A9870" s="1" t="s">
        <v>2497</v>
      </c>
    </row>
    <row r="9871" spans="1:1" x14ac:dyDescent="0.2">
      <c r="A9871" s="1" t="s">
        <v>2498</v>
      </c>
    </row>
    <row r="9872" spans="1:1" x14ac:dyDescent="0.2">
      <c r="A9872" s="1" t="s">
        <v>2499</v>
      </c>
    </row>
    <row r="9873" spans="1:1" x14ac:dyDescent="0.2">
      <c r="A9873" s="1" t="s">
        <v>2500</v>
      </c>
    </row>
    <row r="9874" spans="1:1" x14ac:dyDescent="0.2">
      <c r="A9874" s="1" t="s">
        <v>2501</v>
      </c>
    </row>
    <row r="9875" spans="1:1" x14ac:dyDescent="0.2">
      <c r="A9875" s="1" t="s">
        <v>2501</v>
      </c>
    </row>
    <row r="9876" spans="1:1" x14ac:dyDescent="0.2">
      <c r="A9876" s="1" t="s">
        <v>2501</v>
      </c>
    </row>
    <row r="9877" spans="1:1" x14ac:dyDescent="0.2">
      <c r="A9877" s="1" t="s">
        <v>2501</v>
      </c>
    </row>
    <row r="9878" spans="1:1" x14ac:dyDescent="0.2">
      <c r="A9878" s="1" t="s">
        <v>2493</v>
      </c>
    </row>
    <row r="9879" spans="1:1" x14ac:dyDescent="0.2">
      <c r="A9879" s="1" t="s">
        <v>2493</v>
      </c>
    </row>
    <row r="9880" spans="1:1" x14ac:dyDescent="0.2">
      <c r="A9880" s="1" t="s">
        <v>2493</v>
      </c>
    </row>
    <row r="9881" spans="1:1" x14ac:dyDescent="0.2">
      <c r="A9881" s="1" t="s">
        <v>2494</v>
      </c>
    </row>
    <row r="9882" spans="1:1" x14ac:dyDescent="0.2">
      <c r="A9882" s="1" t="s">
        <v>2495</v>
      </c>
    </row>
    <row r="9883" spans="1:1" x14ac:dyDescent="0.2">
      <c r="A9883" s="1" t="s">
        <v>2496</v>
      </c>
    </row>
    <row r="9884" spans="1:1" x14ac:dyDescent="0.2">
      <c r="A9884" s="1" t="s">
        <v>2497</v>
      </c>
    </row>
    <row r="9885" spans="1:1" x14ac:dyDescent="0.2">
      <c r="A9885" s="1" t="s">
        <v>2498</v>
      </c>
    </row>
    <row r="9886" spans="1:1" x14ac:dyDescent="0.2">
      <c r="A9886" s="1" t="s">
        <v>2499</v>
      </c>
    </row>
    <row r="9887" spans="1:1" x14ac:dyDescent="0.2">
      <c r="A9887" s="1" t="s">
        <v>2500</v>
      </c>
    </row>
    <row r="9888" spans="1:1" x14ac:dyDescent="0.2">
      <c r="A9888" s="1" t="s">
        <v>2501</v>
      </c>
    </row>
    <row r="9889" spans="1:1" x14ac:dyDescent="0.2">
      <c r="A9889" s="1" t="s">
        <v>2501</v>
      </c>
    </row>
    <row r="9890" spans="1:1" x14ac:dyDescent="0.2">
      <c r="A9890" s="1" t="s">
        <v>2501</v>
      </c>
    </row>
    <row r="9891" spans="1:1" x14ac:dyDescent="0.2">
      <c r="A9891" s="1" t="s">
        <v>2501</v>
      </c>
    </row>
    <row r="9892" spans="1:1" x14ac:dyDescent="0.2">
      <c r="A9892" s="1" t="s">
        <v>2493</v>
      </c>
    </row>
    <row r="9893" spans="1:1" x14ac:dyDescent="0.2">
      <c r="A9893" s="1" t="s">
        <v>2493</v>
      </c>
    </row>
    <row r="9894" spans="1:1" x14ac:dyDescent="0.2">
      <c r="A9894" s="1" t="s">
        <v>2493</v>
      </c>
    </row>
    <row r="9895" spans="1:1" x14ac:dyDescent="0.2">
      <c r="A9895" s="1" t="s">
        <v>2494</v>
      </c>
    </row>
    <row r="9896" spans="1:1" x14ac:dyDescent="0.2">
      <c r="A9896" s="1" t="s">
        <v>2495</v>
      </c>
    </row>
    <row r="9897" spans="1:1" x14ac:dyDescent="0.2">
      <c r="A9897" s="1" t="s">
        <v>2496</v>
      </c>
    </row>
    <row r="9898" spans="1:1" x14ac:dyDescent="0.2">
      <c r="A9898" s="1" t="s">
        <v>2497</v>
      </c>
    </row>
    <row r="9899" spans="1:1" x14ac:dyDescent="0.2">
      <c r="A9899" s="1" t="s">
        <v>2498</v>
      </c>
    </row>
    <row r="9900" spans="1:1" x14ac:dyDescent="0.2">
      <c r="A9900" s="1" t="s">
        <v>2499</v>
      </c>
    </row>
    <row r="9901" spans="1:1" x14ac:dyDescent="0.2">
      <c r="A9901" s="1" t="s">
        <v>2500</v>
      </c>
    </row>
    <row r="9902" spans="1:1" x14ac:dyDescent="0.2">
      <c r="A9902" s="1" t="s">
        <v>2501</v>
      </c>
    </row>
    <row r="9903" spans="1:1" x14ac:dyDescent="0.2">
      <c r="A9903" s="1" t="s">
        <v>2501</v>
      </c>
    </row>
    <row r="9904" spans="1:1" x14ac:dyDescent="0.2">
      <c r="A9904" s="1" t="s">
        <v>2501</v>
      </c>
    </row>
    <row r="9905" spans="1:1" x14ac:dyDescent="0.2">
      <c r="A9905" s="1" t="s">
        <v>2501</v>
      </c>
    </row>
    <row r="9906" spans="1:1" x14ac:dyDescent="0.2">
      <c r="A9906" s="1" t="s">
        <v>2493</v>
      </c>
    </row>
    <row r="9907" spans="1:1" x14ac:dyDescent="0.2">
      <c r="A9907" s="1" t="s">
        <v>2502</v>
      </c>
    </row>
    <row r="9908" spans="1:1" x14ac:dyDescent="0.2">
      <c r="A9908" s="1" t="s">
        <v>2502</v>
      </c>
    </row>
    <row r="9909" spans="1:1" x14ac:dyDescent="0.2">
      <c r="A9909" s="1" t="s">
        <v>2503</v>
      </c>
    </row>
    <row r="9910" spans="1:1" x14ac:dyDescent="0.2">
      <c r="A9910" s="1" t="s">
        <v>2504</v>
      </c>
    </row>
    <row r="9911" spans="1:1" x14ac:dyDescent="0.2">
      <c r="A9911" s="1" t="s">
        <v>2505</v>
      </c>
    </row>
    <row r="9912" spans="1:1" x14ac:dyDescent="0.2">
      <c r="A9912" s="1" t="s">
        <v>2506</v>
      </c>
    </row>
    <row r="9913" spans="1:1" x14ac:dyDescent="0.2">
      <c r="A9913" s="1" t="s">
        <v>2507</v>
      </c>
    </row>
    <row r="9914" spans="1:1" x14ac:dyDescent="0.2">
      <c r="A9914" s="1" t="s">
        <v>2508</v>
      </c>
    </row>
    <row r="9915" spans="1:1" x14ac:dyDescent="0.2">
      <c r="A9915" s="1" t="s">
        <v>2509</v>
      </c>
    </row>
    <row r="9916" spans="1:1" x14ac:dyDescent="0.2">
      <c r="A9916" s="1" t="s">
        <v>2510</v>
      </c>
    </row>
    <row r="9917" spans="1:1" x14ac:dyDescent="0.2">
      <c r="A9917" s="1" t="s">
        <v>2510</v>
      </c>
    </row>
    <row r="9918" spans="1:1" x14ac:dyDescent="0.2">
      <c r="A9918" s="1" t="s">
        <v>2510</v>
      </c>
    </row>
    <row r="9919" spans="1:1" x14ac:dyDescent="0.2">
      <c r="A9919" s="1" t="s">
        <v>2510</v>
      </c>
    </row>
    <row r="9920" spans="1:1" x14ac:dyDescent="0.2">
      <c r="A9920" s="1" t="s">
        <v>2502</v>
      </c>
    </row>
    <row r="9921" spans="1:1" x14ac:dyDescent="0.2">
      <c r="A9921" s="1" t="s">
        <v>2502</v>
      </c>
    </row>
    <row r="9922" spans="1:1" x14ac:dyDescent="0.2">
      <c r="A9922" s="1" t="s">
        <v>2502</v>
      </c>
    </row>
    <row r="9923" spans="1:1" x14ac:dyDescent="0.2">
      <c r="A9923" s="1" t="s">
        <v>2503</v>
      </c>
    </row>
    <row r="9924" spans="1:1" x14ac:dyDescent="0.2">
      <c r="A9924" s="1" t="s">
        <v>2504</v>
      </c>
    </row>
    <row r="9925" spans="1:1" x14ac:dyDescent="0.2">
      <c r="A9925" s="1" t="s">
        <v>2505</v>
      </c>
    </row>
    <row r="9926" spans="1:1" x14ac:dyDescent="0.2">
      <c r="A9926" s="1" t="s">
        <v>2506</v>
      </c>
    </row>
    <row r="9927" spans="1:1" x14ac:dyDescent="0.2">
      <c r="A9927" s="1" t="s">
        <v>2507</v>
      </c>
    </row>
    <row r="9928" spans="1:1" x14ac:dyDescent="0.2">
      <c r="A9928" s="1" t="s">
        <v>2508</v>
      </c>
    </row>
    <row r="9929" spans="1:1" x14ac:dyDescent="0.2">
      <c r="A9929" s="1" t="s">
        <v>2509</v>
      </c>
    </row>
    <row r="9930" spans="1:1" x14ac:dyDescent="0.2">
      <c r="A9930" s="1" t="s">
        <v>2510</v>
      </c>
    </row>
    <row r="9931" spans="1:1" x14ac:dyDescent="0.2">
      <c r="A9931" s="1" t="s">
        <v>2510</v>
      </c>
    </row>
    <row r="9932" spans="1:1" x14ac:dyDescent="0.2">
      <c r="A9932" s="1" t="s">
        <v>2510</v>
      </c>
    </row>
    <row r="9933" spans="1:1" x14ac:dyDescent="0.2">
      <c r="A9933" s="1" t="s">
        <v>2510</v>
      </c>
    </row>
    <row r="9934" spans="1:1" x14ac:dyDescent="0.2">
      <c r="A9934" s="1" t="s">
        <v>2502</v>
      </c>
    </row>
    <row r="9935" spans="1:1" x14ac:dyDescent="0.2">
      <c r="A9935" s="1" t="s">
        <v>2502</v>
      </c>
    </row>
    <row r="9936" spans="1:1" x14ac:dyDescent="0.2">
      <c r="A9936" s="1" t="s">
        <v>2502</v>
      </c>
    </row>
    <row r="9937" spans="1:1" x14ac:dyDescent="0.2">
      <c r="A9937" s="1" t="s">
        <v>2503</v>
      </c>
    </row>
    <row r="9938" spans="1:1" x14ac:dyDescent="0.2">
      <c r="A9938" s="1" t="s">
        <v>2504</v>
      </c>
    </row>
    <row r="9939" spans="1:1" x14ac:dyDescent="0.2">
      <c r="A9939" s="1" t="s">
        <v>2505</v>
      </c>
    </row>
    <row r="9940" spans="1:1" x14ac:dyDescent="0.2">
      <c r="A9940" s="1" t="s">
        <v>2506</v>
      </c>
    </row>
    <row r="9941" spans="1:1" x14ac:dyDescent="0.2">
      <c r="A9941" s="1" t="s">
        <v>2507</v>
      </c>
    </row>
    <row r="9942" spans="1:1" x14ac:dyDescent="0.2">
      <c r="A9942" s="1" t="s">
        <v>2508</v>
      </c>
    </row>
    <row r="9943" spans="1:1" x14ac:dyDescent="0.2">
      <c r="A9943" s="1" t="s">
        <v>2509</v>
      </c>
    </row>
    <row r="9944" spans="1:1" x14ac:dyDescent="0.2">
      <c r="A9944" s="1" t="s">
        <v>2510</v>
      </c>
    </row>
    <row r="9945" spans="1:1" x14ac:dyDescent="0.2">
      <c r="A9945" s="1" t="s">
        <v>2510</v>
      </c>
    </row>
    <row r="9946" spans="1:1" x14ac:dyDescent="0.2">
      <c r="A9946" s="1" t="s">
        <v>2510</v>
      </c>
    </row>
    <row r="9947" spans="1:1" x14ac:dyDescent="0.2">
      <c r="A9947" s="1" t="s">
        <v>2510</v>
      </c>
    </row>
    <row r="9948" spans="1:1" x14ac:dyDescent="0.2">
      <c r="A9948" s="1" t="s">
        <v>2502</v>
      </c>
    </row>
    <row r="9949" spans="1:1" x14ac:dyDescent="0.2">
      <c r="A9949" s="1" t="s">
        <v>2502</v>
      </c>
    </row>
    <row r="9950" spans="1:1" x14ac:dyDescent="0.2">
      <c r="A9950" s="1" t="s">
        <v>2502</v>
      </c>
    </row>
    <row r="9951" spans="1:1" x14ac:dyDescent="0.2">
      <c r="A9951" s="1" t="s">
        <v>2503</v>
      </c>
    </row>
    <row r="9952" spans="1:1" x14ac:dyDescent="0.2">
      <c r="A9952" s="1" t="s">
        <v>2504</v>
      </c>
    </row>
    <row r="9953" spans="1:1" x14ac:dyDescent="0.2">
      <c r="A9953" s="1" t="s">
        <v>2505</v>
      </c>
    </row>
    <row r="9954" spans="1:1" x14ac:dyDescent="0.2">
      <c r="A9954" s="1" t="s">
        <v>2506</v>
      </c>
    </row>
    <row r="9955" spans="1:1" x14ac:dyDescent="0.2">
      <c r="A9955" s="1" t="s">
        <v>2507</v>
      </c>
    </row>
    <row r="9956" spans="1:1" x14ac:dyDescent="0.2">
      <c r="A9956" s="1" t="s">
        <v>2508</v>
      </c>
    </row>
    <row r="9957" spans="1:1" x14ac:dyDescent="0.2">
      <c r="A9957" s="1" t="s">
        <v>2509</v>
      </c>
    </row>
    <row r="9958" spans="1:1" x14ac:dyDescent="0.2">
      <c r="A9958" s="1" t="s">
        <v>2510</v>
      </c>
    </row>
    <row r="9959" spans="1:1" x14ac:dyDescent="0.2">
      <c r="A9959" s="1" t="s">
        <v>2510</v>
      </c>
    </row>
    <row r="9960" spans="1:1" x14ac:dyDescent="0.2">
      <c r="A9960" s="1" t="s">
        <v>2510</v>
      </c>
    </row>
    <row r="9961" spans="1:1" x14ac:dyDescent="0.2">
      <c r="A9961" s="1" t="s">
        <v>2510</v>
      </c>
    </row>
    <row r="9962" spans="1:1" x14ac:dyDescent="0.2">
      <c r="A9962" s="1" t="s">
        <v>2502</v>
      </c>
    </row>
    <row r="9963" spans="1:1" x14ac:dyDescent="0.2">
      <c r="A9963" s="1" t="s">
        <v>2511</v>
      </c>
    </row>
    <row r="9964" spans="1:1" x14ac:dyDescent="0.2">
      <c r="A9964" s="1" t="s">
        <v>2511</v>
      </c>
    </row>
    <row r="9965" spans="1:1" x14ac:dyDescent="0.2">
      <c r="A9965" s="1" t="s">
        <v>2512</v>
      </c>
    </row>
    <row r="9966" spans="1:1" x14ac:dyDescent="0.2">
      <c r="A9966" s="1" t="s">
        <v>2513</v>
      </c>
    </row>
    <row r="9967" spans="1:1" x14ac:dyDescent="0.2">
      <c r="A9967" s="1" t="s">
        <v>2514</v>
      </c>
    </row>
    <row r="9968" spans="1:1" x14ac:dyDescent="0.2">
      <c r="A9968" s="1" t="s">
        <v>2515</v>
      </c>
    </row>
    <row r="9969" spans="1:1" x14ac:dyDescent="0.2">
      <c r="A9969" s="1" t="s">
        <v>2516</v>
      </c>
    </row>
    <row r="9970" spans="1:1" x14ac:dyDescent="0.2">
      <c r="A9970" s="1" t="s">
        <v>2517</v>
      </c>
    </row>
    <row r="9971" spans="1:1" x14ac:dyDescent="0.2">
      <c r="A9971" s="1" t="s">
        <v>2518</v>
      </c>
    </row>
    <row r="9972" spans="1:1" x14ac:dyDescent="0.2">
      <c r="A9972" s="1" t="s">
        <v>2519</v>
      </c>
    </row>
    <row r="9973" spans="1:1" x14ac:dyDescent="0.2">
      <c r="A9973" s="1" t="s">
        <v>2519</v>
      </c>
    </row>
    <row r="9974" spans="1:1" x14ac:dyDescent="0.2">
      <c r="A9974" s="1" t="s">
        <v>2519</v>
      </c>
    </row>
    <row r="9975" spans="1:1" x14ac:dyDescent="0.2">
      <c r="A9975" s="1" t="s">
        <v>2519</v>
      </c>
    </row>
    <row r="9976" spans="1:1" x14ac:dyDescent="0.2">
      <c r="A9976" s="1" t="s">
        <v>2511</v>
      </c>
    </row>
    <row r="9977" spans="1:1" x14ac:dyDescent="0.2">
      <c r="A9977" s="1" t="s">
        <v>2511</v>
      </c>
    </row>
    <row r="9978" spans="1:1" x14ac:dyDescent="0.2">
      <c r="A9978" s="1" t="s">
        <v>2511</v>
      </c>
    </row>
    <row r="9979" spans="1:1" x14ac:dyDescent="0.2">
      <c r="A9979" s="1" t="s">
        <v>2512</v>
      </c>
    </row>
    <row r="9980" spans="1:1" x14ac:dyDescent="0.2">
      <c r="A9980" s="1" t="s">
        <v>2513</v>
      </c>
    </row>
    <row r="9981" spans="1:1" x14ac:dyDescent="0.2">
      <c r="A9981" s="1" t="s">
        <v>2514</v>
      </c>
    </row>
    <row r="9982" spans="1:1" x14ac:dyDescent="0.2">
      <c r="A9982" s="1" t="s">
        <v>2515</v>
      </c>
    </row>
    <row r="9983" spans="1:1" x14ac:dyDescent="0.2">
      <c r="A9983" s="1" t="s">
        <v>2516</v>
      </c>
    </row>
    <row r="9984" spans="1:1" x14ac:dyDescent="0.2">
      <c r="A9984" s="1" t="s">
        <v>2517</v>
      </c>
    </row>
    <row r="9985" spans="1:1" x14ac:dyDescent="0.2">
      <c r="A9985" s="1" t="s">
        <v>2518</v>
      </c>
    </row>
    <row r="9986" spans="1:1" x14ac:dyDescent="0.2">
      <c r="A9986" s="1" t="s">
        <v>2519</v>
      </c>
    </row>
    <row r="9987" spans="1:1" x14ac:dyDescent="0.2">
      <c r="A9987" s="1" t="s">
        <v>2519</v>
      </c>
    </row>
    <row r="9988" spans="1:1" x14ac:dyDescent="0.2">
      <c r="A9988" s="1" t="s">
        <v>2519</v>
      </c>
    </row>
    <row r="9989" spans="1:1" x14ac:dyDescent="0.2">
      <c r="A9989" s="1" t="s">
        <v>2519</v>
      </c>
    </row>
    <row r="9990" spans="1:1" x14ac:dyDescent="0.2">
      <c r="A9990" s="1" t="s">
        <v>2511</v>
      </c>
    </row>
    <row r="9991" spans="1:1" x14ac:dyDescent="0.2">
      <c r="A9991" s="1" t="s">
        <v>2511</v>
      </c>
    </row>
    <row r="9992" spans="1:1" x14ac:dyDescent="0.2">
      <c r="A9992" s="1" t="s">
        <v>2511</v>
      </c>
    </row>
    <row r="9993" spans="1:1" x14ac:dyDescent="0.2">
      <c r="A9993" s="1" t="s">
        <v>2512</v>
      </c>
    </row>
    <row r="9994" spans="1:1" x14ac:dyDescent="0.2">
      <c r="A9994" s="1" t="s">
        <v>2513</v>
      </c>
    </row>
    <row r="9995" spans="1:1" x14ac:dyDescent="0.2">
      <c r="A9995" s="1" t="s">
        <v>2514</v>
      </c>
    </row>
    <row r="9996" spans="1:1" x14ac:dyDescent="0.2">
      <c r="A9996" s="1" t="s">
        <v>2515</v>
      </c>
    </row>
    <row r="9997" spans="1:1" x14ac:dyDescent="0.2">
      <c r="A9997" s="1" t="s">
        <v>2516</v>
      </c>
    </row>
    <row r="9998" spans="1:1" x14ac:dyDescent="0.2">
      <c r="A9998" s="1" t="s">
        <v>2517</v>
      </c>
    </row>
    <row r="9999" spans="1:1" x14ac:dyDescent="0.2">
      <c r="A9999" s="1" t="s">
        <v>2518</v>
      </c>
    </row>
    <row r="10000" spans="1:1" x14ac:dyDescent="0.2">
      <c r="A10000" s="1" t="s">
        <v>2519</v>
      </c>
    </row>
    <row r="10001" spans="1:1" x14ac:dyDescent="0.2">
      <c r="A10001" s="1" t="s">
        <v>2519</v>
      </c>
    </row>
    <row r="10002" spans="1:1" x14ac:dyDescent="0.2">
      <c r="A10002" s="1" t="s">
        <v>2519</v>
      </c>
    </row>
    <row r="10003" spans="1:1" x14ac:dyDescent="0.2">
      <c r="A10003" s="1" t="s">
        <v>2519</v>
      </c>
    </row>
    <row r="10004" spans="1:1" x14ac:dyDescent="0.2">
      <c r="A10004" s="1" t="s">
        <v>2511</v>
      </c>
    </row>
    <row r="10005" spans="1:1" x14ac:dyDescent="0.2">
      <c r="A10005" s="1" t="s">
        <v>2511</v>
      </c>
    </row>
    <row r="10006" spans="1:1" x14ac:dyDescent="0.2">
      <c r="A10006" s="1" t="s">
        <v>2511</v>
      </c>
    </row>
    <row r="10007" spans="1:1" x14ac:dyDescent="0.2">
      <c r="A10007" s="1" t="s">
        <v>2512</v>
      </c>
    </row>
    <row r="10008" spans="1:1" x14ac:dyDescent="0.2">
      <c r="A10008" s="1" t="s">
        <v>2513</v>
      </c>
    </row>
    <row r="10009" spans="1:1" x14ac:dyDescent="0.2">
      <c r="A10009" s="1" t="s">
        <v>2514</v>
      </c>
    </row>
    <row r="10010" spans="1:1" x14ac:dyDescent="0.2">
      <c r="A10010" s="1" t="s">
        <v>2515</v>
      </c>
    </row>
    <row r="10011" spans="1:1" x14ac:dyDescent="0.2">
      <c r="A10011" s="1" t="s">
        <v>2516</v>
      </c>
    </row>
    <row r="10012" spans="1:1" x14ac:dyDescent="0.2">
      <c r="A10012" s="1" t="s">
        <v>2517</v>
      </c>
    </row>
    <row r="10013" spans="1:1" x14ac:dyDescent="0.2">
      <c r="A10013" s="1" t="s">
        <v>2518</v>
      </c>
    </row>
    <row r="10014" spans="1:1" x14ac:dyDescent="0.2">
      <c r="A10014" s="1" t="s">
        <v>2519</v>
      </c>
    </row>
    <row r="10015" spans="1:1" x14ac:dyDescent="0.2">
      <c r="A10015" s="1" t="s">
        <v>2519</v>
      </c>
    </row>
    <row r="10016" spans="1:1" x14ac:dyDescent="0.2">
      <c r="A10016" s="1" t="s">
        <v>2519</v>
      </c>
    </row>
    <row r="10017" spans="1:1" x14ac:dyDescent="0.2">
      <c r="A10017" s="1" t="s">
        <v>2519</v>
      </c>
    </row>
    <row r="10018" spans="1:1" x14ac:dyDescent="0.2">
      <c r="A10018" s="1" t="s">
        <v>2511</v>
      </c>
    </row>
    <row r="10019" spans="1:1" x14ac:dyDescent="0.2">
      <c r="A10019" s="1" t="s">
        <v>2520</v>
      </c>
    </row>
    <row r="10020" spans="1:1" x14ac:dyDescent="0.2">
      <c r="A10020" s="1" t="s">
        <v>2520</v>
      </c>
    </row>
    <row r="10021" spans="1:1" x14ac:dyDescent="0.2">
      <c r="A10021" s="1" t="s">
        <v>2521</v>
      </c>
    </row>
    <row r="10022" spans="1:1" x14ac:dyDescent="0.2">
      <c r="A10022" s="1" t="s">
        <v>2522</v>
      </c>
    </row>
    <row r="10023" spans="1:1" x14ac:dyDescent="0.2">
      <c r="A10023" s="1" t="s">
        <v>2523</v>
      </c>
    </row>
    <row r="10024" spans="1:1" x14ac:dyDescent="0.2">
      <c r="A10024" s="1" t="s">
        <v>2524</v>
      </c>
    </row>
    <row r="10025" spans="1:1" x14ac:dyDescent="0.2">
      <c r="A10025" s="1" t="s">
        <v>2525</v>
      </c>
    </row>
    <row r="10026" spans="1:1" x14ac:dyDescent="0.2">
      <c r="A10026" s="1" t="s">
        <v>2526</v>
      </c>
    </row>
    <row r="10027" spans="1:1" x14ac:dyDescent="0.2">
      <c r="A10027" s="1" t="s">
        <v>2527</v>
      </c>
    </row>
    <row r="10028" spans="1:1" x14ac:dyDescent="0.2">
      <c r="A10028" s="1" t="s">
        <v>2528</v>
      </c>
    </row>
    <row r="10029" spans="1:1" x14ac:dyDescent="0.2">
      <c r="A10029" s="1" t="s">
        <v>2528</v>
      </c>
    </row>
    <row r="10030" spans="1:1" x14ac:dyDescent="0.2">
      <c r="A10030" s="1" t="s">
        <v>2528</v>
      </c>
    </row>
    <row r="10031" spans="1:1" x14ac:dyDescent="0.2">
      <c r="A10031" s="1" t="s">
        <v>2528</v>
      </c>
    </row>
    <row r="10032" spans="1:1" x14ac:dyDescent="0.2">
      <c r="A10032" s="1" t="s">
        <v>2520</v>
      </c>
    </row>
    <row r="10033" spans="1:1" x14ac:dyDescent="0.2">
      <c r="A10033" s="1" t="s">
        <v>2520</v>
      </c>
    </row>
    <row r="10034" spans="1:1" x14ac:dyDescent="0.2">
      <c r="A10034" s="1" t="s">
        <v>2520</v>
      </c>
    </row>
    <row r="10035" spans="1:1" x14ac:dyDescent="0.2">
      <c r="A10035" s="1" t="s">
        <v>2521</v>
      </c>
    </row>
    <row r="10036" spans="1:1" x14ac:dyDescent="0.2">
      <c r="A10036" s="1" t="s">
        <v>2522</v>
      </c>
    </row>
    <row r="10037" spans="1:1" x14ac:dyDescent="0.2">
      <c r="A10037" s="1" t="s">
        <v>2523</v>
      </c>
    </row>
    <row r="10038" spans="1:1" x14ac:dyDescent="0.2">
      <c r="A10038" s="1" t="s">
        <v>2524</v>
      </c>
    </row>
    <row r="10039" spans="1:1" x14ac:dyDescent="0.2">
      <c r="A10039" s="1" t="s">
        <v>2525</v>
      </c>
    </row>
    <row r="10040" spans="1:1" x14ac:dyDescent="0.2">
      <c r="A10040" s="1" t="s">
        <v>2526</v>
      </c>
    </row>
    <row r="10041" spans="1:1" x14ac:dyDescent="0.2">
      <c r="A10041" s="1" t="s">
        <v>2527</v>
      </c>
    </row>
    <row r="10042" spans="1:1" x14ac:dyDescent="0.2">
      <c r="A10042" s="1" t="s">
        <v>2528</v>
      </c>
    </row>
    <row r="10043" spans="1:1" x14ac:dyDescent="0.2">
      <c r="A10043" s="1" t="s">
        <v>2528</v>
      </c>
    </row>
    <row r="10044" spans="1:1" x14ac:dyDescent="0.2">
      <c r="A10044" s="1" t="s">
        <v>2528</v>
      </c>
    </row>
    <row r="10045" spans="1:1" x14ac:dyDescent="0.2">
      <c r="A10045" s="1" t="s">
        <v>2528</v>
      </c>
    </row>
    <row r="10046" spans="1:1" x14ac:dyDescent="0.2">
      <c r="A10046" s="1" t="s">
        <v>2520</v>
      </c>
    </row>
    <row r="10047" spans="1:1" x14ac:dyDescent="0.2">
      <c r="A10047" s="1" t="s">
        <v>2520</v>
      </c>
    </row>
    <row r="10048" spans="1:1" x14ac:dyDescent="0.2">
      <c r="A10048" s="1" t="s">
        <v>2520</v>
      </c>
    </row>
    <row r="10049" spans="1:1" x14ac:dyDescent="0.2">
      <c r="A10049" s="1" t="s">
        <v>2521</v>
      </c>
    </row>
    <row r="10050" spans="1:1" x14ac:dyDescent="0.2">
      <c r="A10050" s="1" t="s">
        <v>2522</v>
      </c>
    </row>
    <row r="10051" spans="1:1" x14ac:dyDescent="0.2">
      <c r="A10051" s="1" t="s">
        <v>2523</v>
      </c>
    </row>
    <row r="10052" spans="1:1" x14ac:dyDescent="0.2">
      <c r="A10052" s="1" t="s">
        <v>2524</v>
      </c>
    </row>
    <row r="10053" spans="1:1" x14ac:dyDescent="0.2">
      <c r="A10053" s="1" t="s">
        <v>2525</v>
      </c>
    </row>
    <row r="10054" spans="1:1" x14ac:dyDescent="0.2">
      <c r="A10054" s="1" t="s">
        <v>2526</v>
      </c>
    </row>
    <row r="10055" spans="1:1" x14ac:dyDescent="0.2">
      <c r="A10055" s="1" t="s">
        <v>2527</v>
      </c>
    </row>
    <row r="10056" spans="1:1" x14ac:dyDescent="0.2">
      <c r="A10056" s="1" t="s">
        <v>2528</v>
      </c>
    </row>
    <row r="10057" spans="1:1" x14ac:dyDescent="0.2">
      <c r="A10057" s="1" t="s">
        <v>2528</v>
      </c>
    </row>
    <row r="10058" spans="1:1" x14ac:dyDescent="0.2">
      <c r="A10058" s="1" t="s">
        <v>2528</v>
      </c>
    </row>
    <row r="10059" spans="1:1" x14ac:dyDescent="0.2">
      <c r="A10059" s="1" t="s">
        <v>2528</v>
      </c>
    </row>
    <row r="10060" spans="1:1" x14ac:dyDescent="0.2">
      <c r="A10060" s="1" t="s">
        <v>2520</v>
      </c>
    </row>
    <row r="10061" spans="1:1" x14ac:dyDescent="0.2">
      <c r="A10061" s="1" t="s">
        <v>2520</v>
      </c>
    </row>
    <row r="10062" spans="1:1" x14ac:dyDescent="0.2">
      <c r="A10062" s="1" t="s">
        <v>2520</v>
      </c>
    </row>
    <row r="10063" spans="1:1" x14ac:dyDescent="0.2">
      <c r="A10063" s="1" t="s">
        <v>2521</v>
      </c>
    </row>
    <row r="10064" spans="1:1" x14ac:dyDescent="0.2">
      <c r="A10064" s="1" t="s">
        <v>2522</v>
      </c>
    </row>
    <row r="10065" spans="1:1" x14ac:dyDescent="0.2">
      <c r="A10065" s="1" t="s">
        <v>2523</v>
      </c>
    </row>
    <row r="10066" spans="1:1" x14ac:dyDescent="0.2">
      <c r="A10066" s="1" t="s">
        <v>2524</v>
      </c>
    </row>
    <row r="10067" spans="1:1" x14ac:dyDescent="0.2">
      <c r="A10067" s="1" t="s">
        <v>2525</v>
      </c>
    </row>
    <row r="10068" spans="1:1" x14ac:dyDescent="0.2">
      <c r="A10068" s="1" t="s">
        <v>2526</v>
      </c>
    </row>
    <row r="10069" spans="1:1" x14ac:dyDescent="0.2">
      <c r="A10069" s="1" t="s">
        <v>2527</v>
      </c>
    </row>
    <row r="10070" spans="1:1" x14ac:dyDescent="0.2">
      <c r="A10070" s="1" t="s">
        <v>2528</v>
      </c>
    </row>
    <row r="10071" spans="1:1" x14ac:dyDescent="0.2">
      <c r="A10071" s="1" t="s">
        <v>2528</v>
      </c>
    </row>
    <row r="10072" spans="1:1" x14ac:dyDescent="0.2">
      <c r="A10072" s="1" t="s">
        <v>2528</v>
      </c>
    </row>
    <row r="10073" spans="1:1" x14ac:dyDescent="0.2">
      <c r="A10073" s="1" t="s">
        <v>2528</v>
      </c>
    </row>
    <row r="10074" spans="1:1" x14ac:dyDescent="0.2">
      <c r="A10074" s="1" t="s">
        <v>2520</v>
      </c>
    </row>
    <row r="10075" spans="1:1" x14ac:dyDescent="0.2">
      <c r="A10075" s="1" t="s">
        <v>2529</v>
      </c>
    </row>
    <row r="10076" spans="1:1" x14ac:dyDescent="0.2">
      <c r="A10076" s="1" t="s">
        <v>2529</v>
      </c>
    </row>
    <row r="10077" spans="1:1" x14ac:dyDescent="0.2">
      <c r="A10077" s="1" t="s">
        <v>2530</v>
      </c>
    </row>
    <row r="10078" spans="1:1" x14ac:dyDescent="0.2">
      <c r="A10078" s="1" t="s">
        <v>2531</v>
      </c>
    </row>
    <row r="10079" spans="1:1" x14ac:dyDescent="0.2">
      <c r="A10079" s="1" t="s">
        <v>2532</v>
      </c>
    </row>
    <row r="10080" spans="1:1" x14ac:dyDescent="0.2">
      <c r="A10080" s="1" t="s">
        <v>2533</v>
      </c>
    </row>
    <row r="10081" spans="1:1" x14ac:dyDescent="0.2">
      <c r="A10081" s="1" t="s">
        <v>2534</v>
      </c>
    </row>
    <row r="10082" spans="1:1" x14ac:dyDescent="0.2">
      <c r="A10082" s="1" t="s">
        <v>2535</v>
      </c>
    </row>
    <row r="10083" spans="1:1" x14ac:dyDescent="0.2">
      <c r="A10083" s="1" t="s">
        <v>2536</v>
      </c>
    </row>
    <row r="10084" spans="1:1" x14ac:dyDescent="0.2">
      <c r="A10084" s="1" t="s">
        <v>2537</v>
      </c>
    </row>
    <row r="10085" spans="1:1" x14ac:dyDescent="0.2">
      <c r="A10085" s="1" t="s">
        <v>2537</v>
      </c>
    </row>
    <row r="10086" spans="1:1" x14ac:dyDescent="0.2">
      <c r="A10086" s="1" t="s">
        <v>2537</v>
      </c>
    </row>
    <row r="10087" spans="1:1" x14ac:dyDescent="0.2">
      <c r="A10087" s="1" t="s">
        <v>2537</v>
      </c>
    </row>
    <row r="10088" spans="1:1" x14ac:dyDescent="0.2">
      <c r="A10088" s="1" t="s">
        <v>2529</v>
      </c>
    </row>
    <row r="10089" spans="1:1" x14ac:dyDescent="0.2">
      <c r="A10089" s="1" t="s">
        <v>2529</v>
      </c>
    </row>
    <row r="10090" spans="1:1" x14ac:dyDescent="0.2">
      <c r="A10090" s="1" t="s">
        <v>2529</v>
      </c>
    </row>
    <row r="10091" spans="1:1" x14ac:dyDescent="0.2">
      <c r="A10091" s="1" t="s">
        <v>2530</v>
      </c>
    </row>
    <row r="10092" spans="1:1" x14ac:dyDescent="0.2">
      <c r="A10092" s="1" t="s">
        <v>2531</v>
      </c>
    </row>
    <row r="10093" spans="1:1" x14ac:dyDescent="0.2">
      <c r="A10093" s="1" t="s">
        <v>2532</v>
      </c>
    </row>
    <row r="10094" spans="1:1" x14ac:dyDescent="0.2">
      <c r="A10094" s="1" t="s">
        <v>2533</v>
      </c>
    </row>
    <row r="10095" spans="1:1" x14ac:dyDescent="0.2">
      <c r="A10095" s="1" t="s">
        <v>2534</v>
      </c>
    </row>
    <row r="10096" spans="1:1" x14ac:dyDescent="0.2">
      <c r="A10096" s="1" t="s">
        <v>2535</v>
      </c>
    </row>
    <row r="10097" spans="1:1" x14ac:dyDescent="0.2">
      <c r="A10097" s="1" t="s">
        <v>2536</v>
      </c>
    </row>
    <row r="10098" spans="1:1" x14ac:dyDescent="0.2">
      <c r="A10098" s="1" t="s">
        <v>2537</v>
      </c>
    </row>
    <row r="10099" spans="1:1" x14ac:dyDescent="0.2">
      <c r="A10099" s="1" t="s">
        <v>2537</v>
      </c>
    </row>
    <row r="10100" spans="1:1" x14ac:dyDescent="0.2">
      <c r="A10100" s="1" t="s">
        <v>2537</v>
      </c>
    </row>
    <row r="10101" spans="1:1" x14ac:dyDescent="0.2">
      <c r="A10101" s="1" t="s">
        <v>2537</v>
      </c>
    </row>
    <row r="10102" spans="1:1" x14ac:dyDescent="0.2">
      <c r="A10102" s="1" t="s">
        <v>2529</v>
      </c>
    </row>
    <row r="10103" spans="1:1" x14ac:dyDescent="0.2">
      <c r="A10103" s="1" t="s">
        <v>2529</v>
      </c>
    </row>
    <row r="10104" spans="1:1" x14ac:dyDescent="0.2">
      <c r="A10104" s="1" t="s">
        <v>2529</v>
      </c>
    </row>
    <row r="10105" spans="1:1" x14ac:dyDescent="0.2">
      <c r="A10105" s="1" t="s">
        <v>2530</v>
      </c>
    </row>
    <row r="10106" spans="1:1" x14ac:dyDescent="0.2">
      <c r="A10106" s="1" t="s">
        <v>2531</v>
      </c>
    </row>
    <row r="10107" spans="1:1" x14ac:dyDescent="0.2">
      <c r="A10107" s="1" t="s">
        <v>2532</v>
      </c>
    </row>
    <row r="10108" spans="1:1" x14ac:dyDescent="0.2">
      <c r="A10108" s="1" t="s">
        <v>2533</v>
      </c>
    </row>
    <row r="10109" spans="1:1" x14ac:dyDescent="0.2">
      <c r="A10109" s="1" t="s">
        <v>2534</v>
      </c>
    </row>
    <row r="10110" spans="1:1" x14ac:dyDescent="0.2">
      <c r="A10110" s="1" t="s">
        <v>2535</v>
      </c>
    </row>
    <row r="10111" spans="1:1" x14ac:dyDescent="0.2">
      <c r="A10111" s="1" t="s">
        <v>2536</v>
      </c>
    </row>
    <row r="10112" spans="1:1" x14ac:dyDescent="0.2">
      <c r="A10112" s="1" t="s">
        <v>2537</v>
      </c>
    </row>
    <row r="10113" spans="1:1" x14ac:dyDescent="0.2">
      <c r="A10113" s="1" t="s">
        <v>2537</v>
      </c>
    </row>
    <row r="10114" spans="1:1" x14ac:dyDescent="0.2">
      <c r="A10114" s="1" t="s">
        <v>2537</v>
      </c>
    </row>
    <row r="10115" spans="1:1" x14ac:dyDescent="0.2">
      <c r="A10115" s="1" t="s">
        <v>2537</v>
      </c>
    </row>
    <row r="10116" spans="1:1" x14ac:dyDescent="0.2">
      <c r="A10116" s="1" t="s">
        <v>2529</v>
      </c>
    </row>
    <row r="10117" spans="1:1" x14ac:dyDescent="0.2">
      <c r="A10117" s="1" t="s">
        <v>2529</v>
      </c>
    </row>
    <row r="10118" spans="1:1" x14ac:dyDescent="0.2">
      <c r="A10118" s="1" t="s">
        <v>2529</v>
      </c>
    </row>
    <row r="10119" spans="1:1" x14ac:dyDescent="0.2">
      <c r="A10119" s="1" t="s">
        <v>2530</v>
      </c>
    </row>
    <row r="10120" spans="1:1" x14ac:dyDescent="0.2">
      <c r="A10120" s="1" t="s">
        <v>2531</v>
      </c>
    </row>
    <row r="10121" spans="1:1" x14ac:dyDescent="0.2">
      <c r="A10121" s="1" t="s">
        <v>2532</v>
      </c>
    </row>
    <row r="10122" spans="1:1" x14ac:dyDescent="0.2">
      <c r="A10122" s="1" t="s">
        <v>2533</v>
      </c>
    </row>
    <row r="10123" spans="1:1" x14ac:dyDescent="0.2">
      <c r="A10123" s="1" t="s">
        <v>2534</v>
      </c>
    </row>
    <row r="10124" spans="1:1" x14ac:dyDescent="0.2">
      <c r="A10124" s="1" t="s">
        <v>2535</v>
      </c>
    </row>
    <row r="10125" spans="1:1" x14ac:dyDescent="0.2">
      <c r="A10125" s="1" t="s">
        <v>2536</v>
      </c>
    </row>
    <row r="10126" spans="1:1" x14ac:dyDescent="0.2">
      <c r="A10126" s="1" t="s">
        <v>2537</v>
      </c>
    </row>
    <row r="10127" spans="1:1" x14ac:dyDescent="0.2">
      <c r="A10127" s="1" t="s">
        <v>2537</v>
      </c>
    </row>
    <row r="10128" spans="1:1" x14ac:dyDescent="0.2">
      <c r="A10128" s="1" t="s">
        <v>2537</v>
      </c>
    </row>
    <row r="10129" spans="1:1" x14ac:dyDescent="0.2">
      <c r="A10129" s="1" t="s">
        <v>2537</v>
      </c>
    </row>
    <row r="10130" spans="1:1" x14ac:dyDescent="0.2">
      <c r="A10130" s="1" t="s">
        <v>2529</v>
      </c>
    </row>
    <row r="10131" spans="1:1" x14ac:dyDescent="0.2">
      <c r="A10131" s="1" t="s">
        <v>2538</v>
      </c>
    </row>
    <row r="10132" spans="1:1" x14ac:dyDescent="0.2">
      <c r="A10132" s="1" t="s">
        <v>2538</v>
      </c>
    </row>
    <row r="10133" spans="1:1" x14ac:dyDescent="0.2">
      <c r="A10133" s="1" t="s">
        <v>2539</v>
      </c>
    </row>
    <row r="10134" spans="1:1" x14ac:dyDescent="0.2">
      <c r="A10134" s="1" t="s">
        <v>2540</v>
      </c>
    </row>
    <row r="10135" spans="1:1" x14ac:dyDescent="0.2">
      <c r="A10135" s="1" t="s">
        <v>2541</v>
      </c>
    </row>
    <row r="10136" spans="1:1" x14ac:dyDescent="0.2">
      <c r="A10136" s="1" t="s">
        <v>2542</v>
      </c>
    </row>
    <row r="10137" spans="1:1" x14ac:dyDescent="0.2">
      <c r="A10137" s="1" t="s">
        <v>2543</v>
      </c>
    </row>
    <row r="10138" spans="1:1" x14ac:dyDescent="0.2">
      <c r="A10138" s="1" t="s">
        <v>2544</v>
      </c>
    </row>
    <row r="10139" spans="1:1" x14ac:dyDescent="0.2">
      <c r="A10139" s="1" t="s">
        <v>2545</v>
      </c>
    </row>
    <row r="10140" spans="1:1" x14ac:dyDescent="0.2">
      <c r="A10140" s="1" t="s">
        <v>2546</v>
      </c>
    </row>
    <row r="10141" spans="1:1" x14ac:dyDescent="0.2">
      <c r="A10141" s="1" t="s">
        <v>2546</v>
      </c>
    </row>
    <row r="10142" spans="1:1" x14ac:dyDescent="0.2">
      <c r="A10142" s="1" t="s">
        <v>2546</v>
      </c>
    </row>
    <row r="10143" spans="1:1" x14ac:dyDescent="0.2">
      <c r="A10143" s="1" t="s">
        <v>2546</v>
      </c>
    </row>
    <row r="10144" spans="1:1" x14ac:dyDescent="0.2">
      <c r="A10144" s="1" t="s">
        <v>2538</v>
      </c>
    </row>
    <row r="10145" spans="1:1" x14ac:dyDescent="0.2">
      <c r="A10145" s="1" t="s">
        <v>2538</v>
      </c>
    </row>
    <row r="10146" spans="1:1" x14ac:dyDescent="0.2">
      <c r="A10146" s="1" t="s">
        <v>2538</v>
      </c>
    </row>
    <row r="10147" spans="1:1" x14ac:dyDescent="0.2">
      <c r="A10147" s="1" t="s">
        <v>2539</v>
      </c>
    </row>
    <row r="10148" spans="1:1" x14ac:dyDescent="0.2">
      <c r="A10148" s="1" t="s">
        <v>2540</v>
      </c>
    </row>
    <row r="10149" spans="1:1" x14ac:dyDescent="0.2">
      <c r="A10149" s="1" t="s">
        <v>2541</v>
      </c>
    </row>
    <row r="10150" spans="1:1" x14ac:dyDescent="0.2">
      <c r="A10150" s="1" t="s">
        <v>2542</v>
      </c>
    </row>
    <row r="10151" spans="1:1" x14ac:dyDescent="0.2">
      <c r="A10151" s="1" t="s">
        <v>2543</v>
      </c>
    </row>
    <row r="10152" spans="1:1" x14ac:dyDescent="0.2">
      <c r="A10152" s="1" t="s">
        <v>2544</v>
      </c>
    </row>
    <row r="10153" spans="1:1" x14ac:dyDescent="0.2">
      <c r="A10153" s="1" t="s">
        <v>2545</v>
      </c>
    </row>
    <row r="10154" spans="1:1" x14ac:dyDescent="0.2">
      <c r="A10154" s="1" t="s">
        <v>2546</v>
      </c>
    </row>
    <row r="10155" spans="1:1" x14ac:dyDescent="0.2">
      <c r="A10155" s="1" t="s">
        <v>2546</v>
      </c>
    </row>
    <row r="10156" spans="1:1" x14ac:dyDescent="0.2">
      <c r="A10156" s="1" t="s">
        <v>2546</v>
      </c>
    </row>
    <row r="10157" spans="1:1" x14ac:dyDescent="0.2">
      <c r="A10157" s="1" t="s">
        <v>2546</v>
      </c>
    </row>
    <row r="10158" spans="1:1" x14ac:dyDescent="0.2">
      <c r="A10158" s="1" t="s">
        <v>2538</v>
      </c>
    </row>
    <row r="10159" spans="1:1" x14ac:dyDescent="0.2">
      <c r="A10159" s="1" t="s">
        <v>2538</v>
      </c>
    </row>
    <row r="10160" spans="1:1" x14ac:dyDescent="0.2">
      <c r="A10160" s="1" t="s">
        <v>2538</v>
      </c>
    </row>
    <row r="10161" spans="1:1" x14ac:dyDescent="0.2">
      <c r="A10161" s="1" t="s">
        <v>2539</v>
      </c>
    </row>
    <row r="10162" spans="1:1" x14ac:dyDescent="0.2">
      <c r="A10162" s="1" t="s">
        <v>2540</v>
      </c>
    </row>
    <row r="10163" spans="1:1" x14ac:dyDescent="0.2">
      <c r="A10163" s="1" t="s">
        <v>2541</v>
      </c>
    </row>
    <row r="10164" spans="1:1" x14ac:dyDescent="0.2">
      <c r="A10164" s="1" t="s">
        <v>2542</v>
      </c>
    </row>
    <row r="10165" spans="1:1" x14ac:dyDescent="0.2">
      <c r="A10165" s="1" t="s">
        <v>2543</v>
      </c>
    </row>
    <row r="10166" spans="1:1" x14ac:dyDescent="0.2">
      <c r="A10166" s="1" t="s">
        <v>2544</v>
      </c>
    </row>
    <row r="10167" spans="1:1" x14ac:dyDescent="0.2">
      <c r="A10167" s="1" t="s">
        <v>2545</v>
      </c>
    </row>
    <row r="10168" spans="1:1" x14ac:dyDescent="0.2">
      <c r="A10168" s="1" t="s">
        <v>2546</v>
      </c>
    </row>
    <row r="10169" spans="1:1" x14ac:dyDescent="0.2">
      <c r="A10169" s="1" t="s">
        <v>2546</v>
      </c>
    </row>
    <row r="10170" spans="1:1" x14ac:dyDescent="0.2">
      <c r="A10170" s="1" t="s">
        <v>2546</v>
      </c>
    </row>
    <row r="10171" spans="1:1" x14ac:dyDescent="0.2">
      <c r="A10171" s="1" t="s">
        <v>2546</v>
      </c>
    </row>
    <row r="10172" spans="1:1" x14ac:dyDescent="0.2">
      <c r="A10172" s="1" t="s">
        <v>2538</v>
      </c>
    </row>
    <row r="10173" spans="1:1" x14ac:dyDescent="0.2">
      <c r="A10173" s="1" t="s">
        <v>2538</v>
      </c>
    </row>
    <row r="10174" spans="1:1" x14ac:dyDescent="0.2">
      <c r="A10174" s="1" t="s">
        <v>2538</v>
      </c>
    </row>
    <row r="10175" spans="1:1" x14ac:dyDescent="0.2">
      <c r="A10175" s="1" t="s">
        <v>2539</v>
      </c>
    </row>
    <row r="10176" spans="1:1" x14ac:dyDescent="0.2">
      <c r="A10176" s="1" t="s">
        <v>2540</v>
      </c>
    </row>
    <row r="10177" spans="1:1" x14ac:dyDescent="0.2">
      <c r="A10177" s="1" t="s">
        <v>2541</v>
      </c>
    </row>
    <row r="10178" spans="1:1" x14ac:dyDescent="0.2">
      <c r="A10178" s="1" t="s">
        <v>2542</v>
      </c>
    </row>
    <row r="10179" spans="1:1" x14ac:dyDescent="0.2">
      <c r="A10179" s="1" t="s">
        <v>2543</v>
      </c>
    </row>
    <row r="10180" spans="1:1" x14ac:dyDescent="0.2">
      <c r="A10180" s="1" t="s">
        <v>2544</v>
      </c>
    </row>
    <row r="10181" spans="1:1" x14ac:dyDescent="0.2">
      <c r="A10181" s="1" t="s">
        <v>2545</v>
      </c>
    </row>
    <row r="10182" spans="1:1" x14ac:dyDescent="0.2">
      <c r="A10182" s="1" t="s">
        <v>2546</v>
      </c>
    </row>
    <row r="10183" spans="1:1" x14ac:dyDescent="0.2">
      <c r="A10183" s="1" t="s">
        <v>2546</v>
      </c>
    </row>
    <row r="10184" spans="1:1" x14ac:dyDescent="0.2">
      <c r="A10184" s="1" t="s">
        <v>2546</v>
      </c>
    </row>
    <row r="10185" spans="1:1" x14ac:dyDescent="0.2">
      <c r="A10185" s="1" t="s">
        <v>2546</v>
      </c>
    </row>
    <row r="10186" spans="1:1" x14ac:dyDescent="0.2">
      <c r="A10186" s="1" t="s">
        <v>2538</v>
      </c>
    </row>
    <row r="10187" spans="1:1" x14ac:dyDescent="0.2">
      <c r="A10187" s="1" t="s">
        <v>2547</v>
      </c>
    </row>
    <row r="10188" spans="1:1" x14ac:dyDescent="0.2">
      <c r="A10188" s="1" t="s">
        <v>2547</v>
      </c>
    </row>
    <row r="10189" spans="1:1" x14ac:dyDescent="0.2">
      <c r="A10189" s="1" t="s">
        <v>2548</v>
      </c>
    </row>
    <row r="10190" spans="1:1" x14ac:dyDescent="0.2">
      <c r="A10190" s="1" t="s">
        <v>2549</v>
      </c>
    </row>
    <row r="10191" spans="1:1" x14ac:dyDescent="0.2">
      <c r="A10191" s="1" t="s">
        <v>2550</v>
      </c>
    </row>
    <row r="10192" spans="1:1" x14ac:dyDescent="0.2">
      <c r="A10192" s="1" t="s">
        <v>2551</v>
      </c>
    </row>
    <row r="10193" spans="1:1" x14ac:dyDescent="0.2">
      <c r="A10193" s="1" t="s">
        <v>2552</v>
      </c>
    </row>
    <row r="10194" spans="1:1" x14ac:dyDescent="0.2">
      <c r="A10194" s="1" t="s">
        <v>2553</v>
      </c>
    </row>
    <row r="10195" spans="1:1" x14ac:dyDescent="0.2">
      <c r="A10195" s="1" t="s">
        <v>2554</v>
      </c>
    </row>
    <row r="10196" spans="1:1" x14ac:dyDescent="0.2">
      <c r="A10196" s="1" t="s">
        <v>2555</v>
      </c>
    </row>
    <row r="10197" spans="1:1" x14ac:dyDescent="0.2">
      <c r="A10197" s="1" t="s">
        <v>2555</v>
      </c>
    </row>
    <row r="10198" spans="1:1" x14ac:dyDescent="0.2">
      <c r="A10198" s="1" t="s">
        <v>2555</v>
      </c>
    </row>
    <row r="10199" spans="1:1" x14ac:dyDescent="0.2">
      <c r="A10199" s="1" t="s">
        <v>2555</v>
      </c>
    </row>
    <row r="10200" spans="1:1" x14ac:dyDescent="0.2">
      <c r="A10200" s="1" t="s">
        <v>2547</v>
      </c>
    </row>
    <row r="10201" spans="1:1" x14ac:dyDescent="0.2">
      <c r="A10201" s="1" t="s">
        <v>2547</v>
      </c>
    </row>
    <row r="10202" spans="1:1" x14ac:dyDescent="0.2">
      <c r="A10202" s="1" t="s">
        <v>2547</v>
      </c>
    </row>
    <row r="10203" spans="1:1" x14ac:dyDescent="0.2">
      <c r="A10203" s="1" t="s">
        <v>2548</v>
      </c>
    </row>
    <row r="10204" spans="1:1" x14ac:dyDescent="0.2">
      <c r="A10204" s="1" t="s">
        <v>2549</v>
      </c>
    </row>
    <row r="10205" spans="1:1" x14ac:dyDescent="0.2">
      <c r="A10205" s="1" t="s">
        <v>2550</v>
      </c>
    </row>
    <row r="10206" spans="1:1" x14ac:dyDescent="0.2">
      <c r="A10206" s="1" t="s">
        <v>2551</v>
      </c>
    </row>
    <row r="10207" spans="1:1" x14ac:dyDescent="0.2">
      <c r="A10207" s="1" t="s">
        <v>2552</v>
      </c>
    </row>
    <row r="10208" spans="1:1" x14ac:dyDescent="0.2">
      <c r="A10208" s="1" t="s">
        <v>2553</v>
      </c>
    </row>
    <row r="10209" spans="1:1" x14ac:dyDescent="0.2">
      <c r="A10209" s="1" t="s">
        <v>2554</v>
      </c>
    </row>
    <row r="10210" spans="1:1" x14ac:dyDescent="0.2">
      <c r="A10210" s="1" t="s">
        <v>2555</v>
      </c>
    </row>
    <row r="10211" spans="1:1" x14ac:dyDescent="0.2">
      <c r="A10211" s="1" t="s">
        <v>2555</v>
      </c>
    </row>
    <row r="10212" spans="1:1" x14ac:dyDescent="0.2">
      <c r="A10212" s="1" t="s">
        <v>2555</v>
      </c>
    </row>
    <row r="10213" spans="1:1" x14ac:dyDescent="0.2">
      <c r="A10213" s="1" t="s">
        <v>2555</v>
      </c>
    </row>
    <row r="10214" spans="1:1" x14ac:dyDescent="0.2">
      <c r="A10214" s="1" t="s">
        <v>2547</v>
      </c>
    </row>
    <row r="10215" spans="1:1" x14ac:dyDescent="0.2">
      <c r="A10215" s="1" t="s">
        <v>2547</v>
      </c>
    </row>
    <row r="10216" spans="1:1" x14ac:dyDescent="0.2">
      <c r="A10216" s="1" t="s">
        <v>2547</v>
      </c>
    </row>
    <row r="10217" spans="1:1" x14ac:dyDescent="0.2">
      <c r="A10217" s="1" t="s">
        <v>2548</v>
      </c>
    </row>
    <row r="10218" spans="1:1" x14ac:dyDescent="0.2">
      <c r="A10218" s="1" t="s">
        <v>2549</v>
      </c>
    </row>
    <row r="10219" spans="1:1" x14ac:dyDescent="0.2">
      <c r="A10219" s="1" t="s">
        <v>2550</v>
      </c>
    </row>
    <row r="10220" spans="1:1" x14ac:dyDescent="0.2">
      <c r="A10220" s="1" t="s">
        <v>2551</v>
      </c>
    </row>
    <row r="10221" spans="1:1" x14ac:dyDescent="0.2">
      <c r="A10221" s="1" t="s">
        <v>2552</v>
      </c>
    </row>
    <row r="10222" spans="1:1" x14ac:dyDescent="0.2">
      <c r="A10222" s="1" t="s">
        <v>2553</v>
      </c>
    </row>
    <row r="10223" spans="1:1" x14ac:dyDescent="0.2">
      <c r="A10223" s="1" t="s">
        <v>2554</v>
      </c>
    </row>
    <row r="10224" spans="1:1" x14ac:dyDescent="0.2">
      <c r="A10224" s="1" t="s">
        <v>2555</v>
      </c>
    </row>
    <row r="10225" spans="1:1" x14ac:dyDescent="0.2">
      <c r="A10225" s="1" t="s">
        <v>2555</v>
      </c>
    </row>
    <row r="10226" spans="1:1" x14ac:dyDescent="0.2">
      <c r="A10226" s="1" t="s">
        <v>2555</v>
      </c>
    </row>
    <row r="10227" spans="1:1" x14ac:dyDescent="0.2">
      <c r="A10227" s="1" t="s">
        <v>2555</v>
      </c>
    </row>
    <row r="10228" spans="1:1" x14ac:dyDescent="0.2">
      <c r="A10228" s="1" t="s">
        <v>2547</v>
      </c>
    </row>
    <row r="10229" spans="1:1" x14ac:dyDescent="0.2">
      <c r="A10229" s="1" t="s">
        <v>2547</v>
      </c>
    </row>
    <row r="10230" spans="1:1" x14ac:dyDescent="0.2">
      <c r="A10230" s="1" t="s">
        <v>2547</v>
      </c>
    </row>
    <row r="10231" spans="1:1" x14ac:dyDescent="0.2">
      <c r="A10231" s="1" t="s">
        <v>2548</v>
      </c>
    </row>
    <row r="10232" spans="1:1" x14ac:dyDescent="0.2">
      <c r="A10232" s="1" t="s">
        <v>2549</v>
      </c>
    </row>
    <row r="10233" spans="1:1" x14ac:dyDescent="0.2">
      <c r="A10233" s="1" t="s">
        <v>2550</v>
      </c>
    </row>
    <row r="10234" spans="1:1" x14ac:dyDescent="0.2">
      <c r="A10234" s="1" t="s">
        <v>2551</v>
      </c>
    </row>
    <row r="10235" spans="1:1" x14ac:dyDescent="0.2">
      <c r="A10235" s="1" t="s">
        <v>2552</v>
      </c>
    </row>
    <row r="10236" spans="1:1" x14ac:dyDescent="0.2">
      <c r="A10236" s="1" t="s">
        <v>2553</v>
      </c>
    </row>
    <row r="10237" spans="1:1" x14ac:dyDescent="0.2">
      <c r="A10237" s="1" t="s">
        <v>2554</v>
      </c>
    </row>
    <row r="10238" spans="1:1" x14ac:dyDescent="0.2">
      <c r="A10238" s="1" t="s">
        <v>2555</v>
      </c>
    </row>
    <row r="10239" spans="1:1" x14ac:dyDescent="0.2">
      <c r="A10239" s="1" t="s">
        <v>2555</v>
      </c>
    </row>
    <row r="10240" spans="1:1" x14ac:dyDescent="0.2">
      <c r="A10240" s="1" t="s">
        <v>2555</v>
      </c>
    </row>
    <row r="10241" spans="1:1" x14ac:dyDescent="0.2">
      <c r="A10241" s="1" t="s">
        <v>2555</v>
      </c>
    </row>
    <row r="10242" spans="1:1" x14ac:dyDescent="0.2">
      <c r="A10242" s="1" t="s">
        <v>2547</v>
      </c>
    </row>
    <row r="10243" spans="1:1" x14ac:dyDescent="0.2">
      <c r="A10243" s="1" t="s">
        <v>2547</v>
      </c>
    </row>
    <row r="10244" spans="1:1" x14ac:dyDescent="0.2">
      <c r="A10244" s="1" t="s">
        <v>2547</v>
      </c>
    </row>
    <row r="10245" spans="1:1" x14ac:dyDescent="0.2">
      <c r="A10245" s="1" t="s">
        <v>2548</v>
      </c>
    </row>
    <row r="10246" spans="1:1" x14ac:dyDescent="0.2">
      <c r="A10246" s="1" t="s">
        <v>2549</v>
      </c>
    </row>
    <row r="10247" spans="1:1" x14ac:dyDescent="0.2">
      <c r="A10247" s="1" t="s">
        <v>2550</v>
      </c>
    </row>
    <row r="10248" spans="1:1" x14ac:dyDescent="0.2">
      <c r="A10248" s="1" t="s">
        <v>2551</v>
      </c>
    </row>
    <row r="10249" spans="1:1" x14ac:dyDescent="0.2">
      <c r="A10249" s="1" t="s">
        <v>2552</v>
      </c>
    </row>
    <row r="10250" spans="1:1" x14ac:dyDescent="0.2">
      <c r="A10250" s="1" t="s">
        <v>2553</v>
      </c>
    </row>
    <row r="10251" spans="1:1" x14ac:dyDescent="0.2">
      <c r="A10251" s="1" t="s">
        <v>2554</v>
      </c>
    </row>
    <row r="10252" spans="1:1" x14ac:dyDescent="0.2">
      <c r="A10252" s="1" t="s">
        <v>2555</v>
      </c>
    </row>
    <row r="10253" spans="1:1" x14ac:dyDescent="0.2">
      <c r="A10253" s="1" t="s">
        <v>2555</v>
      </c>
    </row>
    <row r="10254" spans="1:1" x14ac:dyDescent="0.2">
      <c r="A10254" s="1" t="s">
        <v>2555</v>
      </c>
    </row>
    <row r="10255" spans="1:1" x14ac:dyDescent="0.2">
      <c r="A10255" s="1" t="s">
        <v>2555</v>
      </c>
    </row>
    <row r="10256" spans="1:1" x14ac:dyDescent="0.2">
      <c r="A10256" s="1" t="s">
        <v>2547</v>
      </c>
    </row>
    <row r="10257" spans="1:1" x14ac:dyDescent="0.2">
      <c r="A10257" s="1" t="s">
        <v>2547</v>
      </c>
    </row>
    <row r="10258" spans="1:1" x14ac:dyDescent="0.2">
      <c r="A10258" s="1" t="s">
        <v>2547</v>
      </c>
    </row>
    <row r="10259" spans="1:1" x14ac:dyDescent="0.2">
      <c r="A10259" s="1" t="s">
        <v>2548</v>
      </c>
    </row>
    <row r="10260" spans="1:1" x14ac:dyDescent="0.2">
      <c r="A10260" s="1" t="s">
        <v>2549</v>
      </c>
    </row>
    <row r="10261" spans="1:1" x14ac:dyDescent="0.2">
      <c r="A10261" s="1" t="s">
        <v>2550</v>
      </c>
    </row>
    <row r="10262" spans="1:1" x14ac:dyDescent="0.2">
      <c r="A10262" s="1" t="s">
        <v>2551</v>
      </c>
    </row>
    <row r="10263" spans="1:1" x14ac:dyDescent="0.2">
      <c r="A10263" s="1" t="s">
        <v>2552</v>
      </c>
    </row>
    <row r="10264" spans="1:1" x14ac:dyDescent="0.2">
      <c r="A10264" s="1" t="s">
        <v>2553</v>
      </c>
    </row>
    <row r="10265" spans="1:1" x14ac:dyDescent="0.2">
      <c r="A10265" s="1" t="s">
        <v>2554</v>
      </c>
    </row>
    <row r="10266" spans="1:1" x14ac:dyDescent="0.2">
      <c r="A10266" s="1" t="s">
        <v>2555</v>
      </c>
    </row>
    <row r="10267" spans="1:1" x14ac:dyDescent="0.2">
      <c r="A10267" s="1" t="s">
        <v>2555</v>
      </c>
    </row>
    <row r="10268" spans="1:1" x14ac:dyDescent="0.2">
      <c r="A10268" s="1" t="s">
        <v>2555</v>
      </c>
    </row>
    <row r="10269" spans="1:1" x14ac:dyDescent="0.2">
      <c r="A10269" s="1" t="s">
        <v>2555</v>
      </c>
    </row>
    <row r="10270" spans="1:1" x14ac:dyDescent="0.2">
      <c r="A10270" s="1" t="s">
        <v>2547</v>
      </c>
    </row>
    <row r="10271" spans="1:1" x14ac:dyDescent="0.2">
      <c r="A10271" s="1" t="s">
        <v>2547</v>
      </c>
    </row>
    <row r="10272" spans="1:1" x14ac:dyDescent="0.2">
      <c r="A10272" s="1" t="s">
        <v>2547</v>
      </c>
    </row>
    <row r="10273" spans="1:1" x14ac:dyDescent="0.2">
      <c r="A10273" s="1" t="s">
        <v>2548</v>
      </c>
    </row>
    <row r="10274" spans="1:1" x14ac:dyDescent="0.2">
      <c r="A10274" s="1" t="s">
        <v>2549</v>
      </c>
    </row>
    <row r="10275" spans="1:1" x14ac:dyDescent="0.2">
      <c r="A10275" s="1" t="s">
        <v>2550</v>
      </c>
    </row>
    <row r="10276" spans="1:1" x14ac:dyDescent="0.2">
      <c r="A10276" s="1" t="s">
        <v>2551</v>
      </c>
    </row>
    <row r="10277" spans="1:1" x14ac:dyDescent="0.2">
      <c r="A10277" s="1" t="s">
        <v>2552</v>
      </c>
    </row>
    <row r="10278" spans="1:1" x14ac:dyDescent="0.2">
      <c r="A10278" s="1" t="s">
        <v>2553</v>
      </c>
    </row>
    <row r="10279" spans="1:1" x14ac:dyDescent="0.2">
      <c r="A10279" s="1" t="s">
        <v>2554</v>
      </c>
    </row>
    <row r="10280" spans="1:1" x14ac:dyDescent="0.2">
      <c r="A10280" s="1" t="s">
        <v>2555</v>
      </c>
    </row>
    <row r="10281" spans="1:1" x14ac:dyDescent="0.2">
      <c r="A10281" s="1" t="s">
        <v>2555</v>
      </c>
    </row>
    <row r="10282" spans="1:1" x14ac:dyDescent="0.2">
      <c r="A10282" s="1" t="s">
        <v>2555</v>
      </c>
    </row>
    <row r="10283" spans="1:1" x14ac:dyDescent="0.2">
      <c r="A10283" s="1" t="s">
        <v>2555</v>
      </c>
    </row>
    <row r="10284" spans="1:1" x14ac:dyDescent="0.2">
      <c r="A10284" s="1" t="s">
        <v>2547</v>
      </c>
    </row>
    <row r="10285" spans="1:1" x14ac:dyDescent="0.2">
      <c r="A10285" s="1" t="s">
        <v>2547</v>
      </c>
    </row>
    <row r="10286" spans="1:1" x14ac:dyDescent="0.2">
      <c r="A10286" s="1" t="s">
        <v>2547</v>
      </c>
    </row>
    <row r="10287" spans="1:1" x14ac:dyDescent="0.2">
      <c r="A10287" s="1" t="s">
        <v>2548</v>
      </c>
    </row>
    <row r="10288" spans="1:1" x14ac:dyDescent="0.2">
      <c r="A10288" s="1" t="s">
        <v>2549</v>
      </c>
    </row>
    <row r="10289" spans="1:1" x14ac:dyDescent="0.2">
      <c r="A10289" s="1" t="s">
        <v>2550</v>
      </c>
    </row>
    <row r="10290" spans="1:1" x14ac:dyDescent="0.2">
      <c r="A10290" s="1" t="s">
        <v>2551</v>
      </c>
    </row>
    <row r="10291" spans="1:1" x14ac:dyDescent="0.2">
      <c r="A10291" s="1" t="s">
        <v>2552</v>
      </c>
    </row>
    <row r="10292" spans="1:1" x14ac:dyDescent="0.2">
      <c r="A10292" s="1" t="s">
        <v>2553</v>
      </c>
    </row>
    <row r="10293" spans="1:1" x14ac:dyDescent="0.2">
      <c r="A10293" s="1" t="s">
        <v>2554</v>
      </c>
    </row>
    <row r="10294" spans="1:1" x14ac:dyDescent="0.2">
      <c r="A10294" s="1" t="s">
        <v>2555</v>
      </c>
    </row>
    <row r="10295" spans="1:1" x14ac:dyDescent="0.2">
      <c r="A10295" s="1" t="s">
        <v>2555</v>
      </c>
    </row>
    <row r="10296" spans="1:1" x14ac:dyDescent="0.2">
      <c r="A10296" s="1" t="s">
        <v>2555</v>
      </c>
    </row>
    <row r="10297" spans="1:1" x14ac:dyDescent="0.2">
      <c r="A10297" s="1" t="s">
        <v>2555</v>
      </c>
    </row>
    <row r="10298" spans="1:1" x14ac:dyDescent="0.2">
      <c r="A10298" s="1" t="s">
        <v>2547</v>
      </c>
    </row>
    <row r="10299" spans="1:1" x14ac:dyDescent="0.2">
      <c r="A10299" s="1" t="s">
        <v>2547</v>
      </c>
    </row>
    <row r="10300" spans="1:1" x14ac:dyDescent="0.2">
      <c r="A10300" s="1" t="s">
        <v>2547</v>
      </c>
    </row>
    <row r="10301" spans="1:1" x14ac:dyDescent="0.2">
      <c r="A10301" s="1" t="s">
        <v>2548</v>
      </c>
    </row>
    <row r="10302" spans="1:1" x14ac:dyDescent="0.2">
      <c r="A10302" s="1" t="s">
        <v>2549</v>
      </c>
    </row>
    <row r="10303" spans="1:1" x14ac:dyDescent="0.2">
      <c r="A10303" s="1" t="s">
        <v>2550</v>
      </c>
    </row>
    <row r="10304" spans="1:1" x14ac:dyDescent="0.2">
      <c r="A10304" s="1" t="s">
        <v>2551</v>
      </c>
    </row>
    <row r="10305" spans="1:1" x14ac:dyDescent="0.2">
      <c r="A10305" s="1" t="s">
        <v>2552</v>
      </c>
    </row>
    <row r="10306" spans="1:1" x14ac:dyDescent="0.2">
      <c r="A10306" s="1" t="s">
        <v>2553</v>
      </c>
    </row>
    <row r="10307" spans="1:1" x14ac:dyDescent="0.2">
      <c r="A10307" s="1" t="s">
        <v>2554</v>
      </c>
    </row>
    <row r="10308" spans="1:1" x14ac:dyDescent="0.2">
      <c r="A10308" s="1" t="s">
        <v>2555</v>
      </c>
    </row>
    <row r="10309" spans="1:1" x14ac:dyDescent="0.2">
      <c r="A10309" s="1" t="s">
        <v>2555</v>
      </c>
    </row>
    <row r="10310" spans="1:1" x14ac:dyDescent="0.2">
      <c r="A10310" s="1" t="s">
        <v>2555</v>
      </c>
    </row>
    <row r="10311" spans="1:1" x14ac:dyDescent="0.2">
      <c r="A10311" s="1" t="s">
        <v>2555</v>
      </c>
    </row>
    <row r="10312" spans="1:1" x14ac:dyDescent="0.2">
      <c r="A10312" s="1" t="s">
        <v>2547</v>
      </c>
    </row>
    <row r="10313" spans="1:1" x14ac:dyDescent="0.2">
      <c r="A10313" s="1" t="s">
        <v>2547</v>
      </c>
    </row>
    <row r="10314" spans="1:1" x14ac:dyDescent="0.2">
      <c r="A10314" s="1" t="s">
        <v>2547</v>
      </c>
    </row>
    <row r="10315" spans="1:1" x14ac:dyDescent="0.2">
      <c r="A10315" s="1" t="s">
        <v>2548</v>
      </c>
    </row>
    <row r="10316" spans="1:1" x14ac:dyDescent="0.2">
      <c r="A10316" s="1" t="s">
        <v>2549</v>
      </c>
    </row>
    <row r="10317" spans="1:1" x14ac:dyDescent="0.2">
      <c r="A10317" s="1" t="s">
        <v>2550</v>
      </c>
    </row>
    <row r="10318" spans="1:1" x14ac:dyDescent="0.2">
      <c r="A10318" s="1" t="s">
        <v>2551</v>
      </c>
    </row>
    <row r="10319" spans="1:1" x14ac:dyDescent="0.2">
      <c r="A10319" s="1" t="s">
        <v>2552</v>
      </c>
    </row>
    <row r="10320" spans="1:1" x14ac:dyDescent="0.2">
      <c r="A10320" s="1" t="s">
        <v>2553</v>
      </c>
    </row>
    <row r="10321" spans="1:1" x14ac:dyDescent="0.2">
      <c r="A10321" s="1" t="s">
        <v>2554</v>
      </c>
    </row>
    <row r="10322" spans="1:1" x14ac:dyDescent="0.2">
      <c r="A10322" s="1" t="s">
        <v>2555</v>
      </c>
    </row>
    <row r="10323" spans="1:1" x14ac:dyDescent="0.2">
      <c r="A10323" s="1" t="s">
        <v>2555</v>
      </c>
    </row>
    <row r="10324" spans="1:1" x14ac:dyDescent="0.2">
      <c r="A10324" s="1" t="s">
        <v>2555</v>
      </c>
    </row>
    <row r="10325" spans="1:1" x14ac:dyDescent="0.2">
      <c r="A10325" s="1" t="s">
        <v>2555</v>
      </c>
    </row>
    <row r="10326" spans="1:1" x14ac:dyDescent="0.2">
      <c r="A10326" s="1" t="s">
        <v>2547</v>
      </c>
    </row>
    <row r="10327" spans="1:1" x14ac:dyDescent="0.2">
      <c r="A10327" s="1" t="s">
        <v>2547</v>
      </c>
    </row>
    <row r="10328" spans="1:1" x14ac:dyDescent="0.2">
      <c r="A10328" s="1" t="s">
        <v>2547</v>
      </c>
    </row>
    <row r="10329" spans="1:1" x14ac:dyDescent="0.2">
      <c r="A10329" s="1" t="s">
        <v>2548</v>
      </c>
    </row>
    <row r="10330" spans="1:1" x14ac:dyDescent="0.2">
      <c r="A10330" s="1" t="s">
        <v>2549</v>
      </c>
    </row>
    <row r="10331" spans="1:1" x14ac:dyDescent="0.2">
      <c r="A10331" s="1" t="s">
        <v>2550</v>
      </c>
    </row>
    <row r="10332" spans="1:1" x14ac:dyDescent="0.2">
      <c r="A10332" s="1" t="s">
        <v>2551</v>
      </c>
    </row>
    <row r="10333" spans="1:1" x14ac:dyDescent="0.2">
      <c r="A10333" s="1" t="s">
        <v>2552</v>
      </c>
    </row>
    <row r="10334" spans="1:1" x14ac:dyDescent="0.2">
      <c r="A10334" s="1" t="s">
        <v>2553</v>
      </c>
    </row>
    <row r="10335" spans="1:1" x14ac:dyDescent="0.2">
      <c r="A10335" s="1" t="s">
        <v>2554</v>
      </c>
    </row>
    <row r="10336" spans="1:1" x14ac:dyDescent="0.2">
      <c r="A10336" s="1" t="s">
        <v>2555</v>
      </c>
    </row>
    <row r="10337" spans="1:1" x14ac:dyDescent="0.2">
      <c r="A10337" s="1" t="s">
        <v>2555</v>
      </c>
    </row>
    <row r="10338" spans="1:1" x14ac:dyDescent="0.2">
      <c r="A10338" s="1" t="s">
        <v>2555</v>
      </c>
    </row>
    <row r="10339" spans="1:1" x14ac:dyDescent="0.2">
      <c r="A10339" s="1" t="s">
        <v>2555</v>
      </c>
    </row>
    <row r="10340" spans="1:1" x14ac:dyDescent="0.2">
      <c r="A10340" s="1" t="s">
        <v>2547</v>
      </c>
    </row>
    <row r="10341" spans="1:1" x14ac:dyDescent="0.2">
      <c r="A10341" s="1" t="s">
        <v>2547</v>
      </c>
    </row>
    <row r="10342" spans="1:1" x14ac:dyDescent="0.2">
      <c r="A10342" s="1" t="s">
        <v>2547</v>
      </c>
    </row>
    <row r="10343" spans="1:1" x14ac:dyDescent="0.2">
      <c r="A10343" s="1" t="s">
        <v>2548</v>
      </c>
    </row>
    <row r="10344" spans="1:1" x14ac:dyDescent="0.2">
      <c r="A10344" s="1" t="s">
        <v>2549</v>
      </c>
    </row>
    <row r="10345" spans="1:1" x14ac:dyDescent="0.2">
      <c r="A10345" s="1" t="s">
        <v>2550</v>
      </c>
    </row>
    <row r="10346" spans="1:1" x14ac:dyDescent="0.2">
      <c r="A10346" s="1" t="s">
        <v>2551</v>
      </c>
    </row>
    <row r="10347" spans="1:1" x14ac:dyDescent="0.2">
      <c r="A10347" s="1" t="s">
        <v>2552</v>
      </c>
    </row>
    <row r="10348" spans="1:1" x14ac:dyDescent="0.2">
      <c r="A10348" s="1" t="s">
        <v>2553</v>
      </c>
    </row>
    <row r="10349" spans="1:1" x14ac:dyDescent="0.2">
      <c r="A10349" s="1" t="s">
        <v>2554</v>
      </c>
    </row>
    <row r="10350" spans="1:1" x14ac:dyDescent="0.2">
      <c r="A10350" s="1" t="s">
        <v>2555</v>
      </c>
    </row>
    <row r="10351" spans="1:1" x14ac:dyDescent="0.2">
      <c r="A10351" s="1" t="s">
        <v>2555</v>
      </c>
    </row>
    <row r="10352" spans="1:1" x14ac:dyDescent="0.2">
      <c r="A10352" s="1" t="s">
        <v>2555</v>
      </c>
    </row>
    <row r="10353" spans="1:1" x14ac:dyDescent="0.2">
      <c r="A10353" s="1" t="s">
        <v>2555</v>
      </c>
    </row>
    <row r="10354" spans="1:1" x14ac:dyDescent="0.2">
      <c r="A10354" s="1" t="s">
        <v>2547</v>
      </c>
    </row>
    <row r="10355" spans="1:1" x14ac:dyDescent="0.2">
      <c r="A10355" s="1" t="s">
        <v>2557</v>
      </c>
    </row>
    <row r="10356" spans="1:1" x14ac:dyDescent="0.2">
      <c r="A10356" s="1" t="s">
        <v>2557</v>
      </c>
    </row>
    <row r="10357" spans="1:1" x14ac:dyDescent="0.2">
      <c r="A10357" s="1" t="s">
        <v>2558</v>
      </c>
    </row>
    <row r="10358" spans="1:1" x14ac:dyDescent="0.2">
      <c r="A10358" s="1" t="s">
        <v>2559</v>
      </c>
    </row>
    <row r="10359" spans="1:1" x14ac:dyDescent="0.2">
      <c r="A10359" s="1" t="s">
        <v>2560</v>
      </c>
    </row>
    <row r="10360" spans="1:1" x14ac:dyDescent="0.2">
      <c r="A10360" s="1" t="s">
        <v>2561</v>
      </c>
    </row>
    <row r="10361" spans="1:1" x14ac:dyDescent="0.2">
      <c r="A10361" s="1" t="s">
        <v>2562</v>
      </c>
    </row>
    <row r="10362" spans="1:1" x14ac:dyDescent="0.2">
      <c r="A10362" s="1" t="s">
        <v>2563</v>
      </c>
    </row>
    <row r="10363" spans="1:1" x14ac:dyDescent="0.2">
      <c r="A10363" s="1" t="s">
        <v>2564</v>
      </c>
    </row>
    <row r="10364" spans="1:1" x14ac:dyDescent="0.2">
      <c r="A10364" s="1" t="s">
        <v>2565</v>
      </c>
    </row>
    <row r="10365" spans="1:1" x14ac:dyDescent="0.2">
      <c r="A10365" s="1" t="s">
        <v>2565</v>
      </c>
    </row>
    <row r="10366" spans="1:1" x14ac:dyDescent="0.2">
      <c r="A10366" s="1" t="s">
        <v>2565</v>
      </c>
    </row>
    <row r="10367" spans="1:1" x14ac:dyDescent="0.2">
      <c r="A10367" s="1" t="s">
        <v>2565</v>
      </c>
    </row>
    <row r="10368" spans="1:1" x14ac:dyDescent="0.2">
      <c r="A10368" s="1" t="s">
        <v>2566</v>
      </c>
    </row>
    <row r="10369" spans="1:1" x14ac:dyDescent="0.2">
      <c r="A10369" s="1" t="s">
        <v>2557</v>
      </c>
    </row>
    <row r="10370" spans="1:1" x14ac:dyDescent="0.2">
      <c r="A10370" s="1" t="s">
        <v>2557</v>
      </c>
    </row>
    <row r="10371" spans="1:1" x14ac:dyDescent="0.2">
      <c r="A10371" s="1" t="s">
        <v>2557</v>
      </c>
    </row>
    <row r="10372" spans="1:1" x14ac:dyDescent="0.2">
      <c r="A10372" s="1" t="s">
        <v>2558</v>
      </c>
    </row>
    <row r="10373" spans="1:1" x14ac:dyDescent="0.2">
      <c r="A10373" s="1" t="s">
        <v>2559</v>
      </c>
    </row>
    <row r="10374" spans="1:1" x14ac:dyDescent="0.2">
      <c r="A10374" s="1" t="s">
        <v>2560</v>
      </c>
    </row>
    <row r="10375" spans="1:1" x14ac:dyDescent="0.2">
      <c r="A10375" s="1" t="s">
        <v>2561</v>
      </c>
    </row>
    <row r="10376" spans="1:1" x14ac:dyDescent="0.2">
      <c r="A10376" s="1" t="s">
        <v>2562</v>
      </c>
    </row>
    <row r="10377" spans="1:1" x14ac:dyDescent="0.2">
      <c r="A10377" s="1" t="s">
        <v>2563</v>
      </c>
    </row>
    <row r="10378" spans="1:1" x14ac:dyDescent="0.2">
      <c r="A10378" s="1" t="s">
        <v>2564</v>
      </c>
    </row>
    <row r="10379" spans="1:1" x14ac:dyDescent="0.2">
      <c r="A10379" s="1" t="s">
        <v>2565</v>
      </c>
    </row>
    <row r="10380" spans="1:1" x14ac:dyDescent="0.2">
      <c r="A10380" s="1" t="s">
        <v>2565</v>
      </c>
    </row>
    <row r="10381" spans="1:1" x14ac:dyDescent="0.2">
      <c r="A10381" s="1" t="s">
        <v>2565</v>
      </c>
    </row>
    <row r="10382" spans="1:1" x14ac:dyDescent="0.2">
      <c r="A10382" s="1" t="s">
        <v>2565</v>
      </c>
    </row>
    <row r="10383" spans="1:1" x14ac:dyDescent="0.2">
      <c r="A10383" s="1" t="s">
        <v>2566</v>
      </c>
    </row>
    <row r="10384" spans="1:1" x14ac:dyDescent="0.2">
      <c r="A10384" s="1" t="s">
        <v>2557</v>
      </c>
    </row>
    <row r="10385" spans="1:1" x14ac:dyDescent="0.2">
      <c r="A10385" s="1" t="s">
        <v>2557</v>
      </c>
    </row>
    <row r="10386" spans="1:1" x14ac:dyDescent="0.2">
      <c r="A10386" s="1" t="s">
        <v>2557</v>
      </c>
    </row>
    <row r="10387" spans="1:1" x14ac:dyDescent="0.2">
      <c r="A10387" s="1" t="s">
        <v>2558</v>
      </c>
    </row>
    <row r="10388" spans="1:1" x14ac:dyDescent="0.2">
      <c r="A10388" s="1" t="s">
        <v>2559</v>
      </c>
    </row>
    <row r="10389" spans="1:1" x14ac:dyDescent="0.2">
      <c r="A10389" s="1" t="s">
        <v>2560</v>
      </c>
    </row>
    <row r="10390" spans="1:1" x14ac:dyDescent="0.2">
      <c r="A10390" s="1" t="s">
        <v>2561</v>
      </c>
    </row>
    <row r="10391" spans="1:1" x14ac:dyDescent="0.2">
      <c r="A10391" s="1" t="s">
        <v>2562</v>
      </c>
    </row>
    <row r="10392" spans="1:1" x14ac:dyDescent="0.2">
      <c r="A10392" s="1" t="s">
        <v>2563</v>
      </c>
    </row>
    <row r="10393" spans="1:1" x14ac:dyDescent="0.2">
      <c r="A10393" s="1" t="s">
        <v>2564</v>
      </c>
    </row>
    <row r="10394" spans="1:1" x14ac:dyDescent="0.2">
      <c r="A10394" s="1" t="s">
        <v>2565</v>
      </c>
    </row>
    <row r="10395" spans="1:1" x14ac:dyDescent="0.2">
      <c r="A10395" s="1" t="s">
        <v>2565</v>
      </c>
    </row>
    <row r="10396" spans="1:1" x14ac:dyDescent="0.2">
      <c r="A10396" s="1" t="s">
        <v>2565</v>
      </c>
    </row>
    <row r="10397" spans="1:1" x14ac:dyDescent="0.2">
      <c r="A10397" s="1" t="s">
        <v>2565</v>
      </c>
    </row>
    <row r="10398" spans="1:1" x14ac:dyDescent="0.2">
      <c r="A10398" s="1" t="s">
        <v>2566</v>
      </c>
    </row>
    <row r="10399" spans="1:1" x14ac:dyDescent="0.2">
      <c r="A10399" s="1" t="s">
        <v>2557</v>
      </c>
    </row>
    <row r="10400" spans="1:1" x14ac:dyDescent="0.2">
      <c r="A10400" s="1" t="s">
        <v>2557</v>
      </c>
    </row>
    <row r="10401" spans="1:1" x14ac:dyDescent="0.2">
      <c r="A10401" s="1" t="s">
        <v>2557</v>
      </c>
    </row>
    <row r="10402" spans="1:1" x14ac:dyDescent="0.2">
      <c r="A10402" s="1" t="s">
        <v>2558</v>
      </c>
    </row>
    <row r="10403" spans="1:1" x14ac:dyDescent="0.2">
      <c r="A10403" s="1" t="s">
        <v>2559</v>
      </c>
    </row>
    <row r="10404" spans="1:1" x14ac:dyDescent="0.2">
      <c r="A10404" s="1" t="s">
        <v>2560</v>
      </c>
    </row>
    <row r="10405" spans="1:1" x14ac:dyDescent="0.2">
      <c r="A10405" s="1" t="s">
        <v>2561</v>
      </c>
    </row>
    <row r="10406" spans="1:1" x14ac:dyDescent="0.2">
      <c r="A10406" s="1" t="s">
        <v>2562</v>
      </c>
    </row>
    <row r="10407" spans="1:1" x14ac:dyDescent="0.2">
      <c r="A10407" s="1" t="s">
        <v>2563</v>
      </c>
    </row>
    <row r="10408" spans="1:1" x14ac:dyDescent="0.2">
      <c r="A10408" s="1" t="s">
        <v>2564</v>
      </c>
    </row>
    <row r="10409" spans="1:1" x14ac:dyDescent="0.2">
      <c r="A10409" s="1" t="s">
        <v>2565</v>
      </c>
    </row>
    <row r="10410" spans="1:1" x14ac:dyDescent="0.2">
      <c r="A10410" s="1" t="s">
        <v>2565</v>
      </c>
    </row>
    <row r="10411" spans="1:1" x14ac:dyDescent="0.2">
      <c r="A10411" s="1" t="s">
        <v>2565</v>
      </c>
    </row>
    <row r="10412" spans="1:1" x14ac:dyDescent="0.2">
      <c r="A10412" s="1" t="s">
        <v>2565</v>
      </c>
    </row>
    <row r="10413" spans="1:1" x14ac:dyDescent="0.2">
      <c r="A10413" s="1" t="s">
        <v>2566</v>
      </c>
    </row>
    <row r="10414" spans="1:1" x14ac:dyDescent="0.2">
      <c r="A10414" s="1" t="s">
        <v>2557</v>
      </c>
    </row>
    <row r="10415" spans="1:1" x14ac:dyDescent="0.2">
      <c r="A10415" s="1" t="s">
        <v>2567</v>
      </c>
    </row>
    <row r="10416" spans="1:1" x14ac:dyDescent="0.2">
      <c r="A10416" s="1" t="s">
        <v>2568</v>
      </c>
    </row>
    <row r="10417" spans="1:1" x14ac:dyDescent="0.2">
      <c r="A10417" s="1" t="s">
        <v>2569</v>
      </c>
    </row>
    <row r="10418" spans="1:1" x14ac:dyDescent="0.2">
      <c r="A10418" s="1" t="s">
        <v>2570</v>
      </c>
    </row>
    <row r="10419" spans="1:1" x14ac:dyDescent="0.2">
      <c r="A10419" s="1" t="s">
        <v>2571</v>
      </c>
    </row>
    <row r="10420" spans="1:1" x14ac:dyDescent="0.2">
      <c r="A10420" s="1" t="s">
        <v>2572</v>
      </c>
    </row>
    <row r="10421" spans="1:1" x14ac:dyDescent="0.2">
      <c r="A10421" s="1" t="s">
        <v>2573</v>
      </c>
    </row>
    <row r="10422" spans="1:1" x14ac:dyDescent="0.2">
      <c r="A10422" s="1" t="s">
        <v>2574</v>
      </c>
    </row>
    <row r="10423" spans="1:1" x14ac:dyDescent="0.2">
      <c r="A10423" s="1" t="s">
        <v>2575</v>
      </c>
    </row>
    <row r="10424" spans="1:1" x14ac:dyDescent="0.2">
      <c r="A10424" s="1" t="s">
        <v>2576</v>
      </c>
    </row>
    <row r="10425" spans="1:1" x14ac:dyDescent="0.2">
      <c r="A10425" s="1" t="s">
        <v>2577</v>
      </c>
    </row>
    <row r="10426" spans="1:1" x14ac:dyDescent="0.2">
      <c r="A10426" s="1" t="s">
        <v>2578</v>
      </c>
    </row>
    <row r="10427" spans="1:1" x14ac:dyDescent="0.2">
      <c r="A10427" s="1" t="s">
        <v>2578</v>
      </c>
    </row>
    <row r="10428" spans="1:1" x14ac:dyDescent="0.2">
      <c r="A10428" s="1" t="s">
        <v>2579</v>
      </c>
    </row>
    <row r="10429" spans="1:1" x14ac:dyDescent="0.2">
      <c r="A10429" s="1" t="s">
        <v>2580</v>
      </c>
    </row>
    <row r="10430" spans="1:1" x14ac:dyDescent="0.2">
      <c r="A10430" s="1" t="s">
        <v>2581</v>
      </c>
    </row>
    <row r="10431" spans="1:1" x14ac:dyDescent="0.2">
      <c r="A10431" s="1" t="s">
        <v>2582</v>
      </c>
    </row>
    <row r="10432" spans="1:1" x14ac:dyDescent="0.2">
      <c r="A10432" s="1" t="s">
        <v>2583</v>
      </c>
    </row>
    <row r="10433" spans="1:1" x14ac:dyDescent="0.2">
      <c r="A10433" s="1" t="s">
        <v>2584</v>
      </c>
    </row>
    <row r="10434" spans="1:1" x14ac:dyDescent="0.2">
      <c r="A10434" s="1" t="s">
        <v>2585</v>
      </c>
    </row>
    <row r="10435" spans="1:1" x14ac:dyDescent="0.2">
      <c r="A10435" s="1" t="s">
        <v>2586</v>
      </c>
    </row>
    <row r="10436" spans="1:1" x14ac:dyDescent="0.2">
      <c r="A10436" s="1" t="s">
        <v>2586</v>
      </c>
    </row>
    <row r="10437" spans="1:1" x14ac:dyDescent="0.2">
      <c r="A10437" s="1" t="s">
        <v>2586</v>
      </c>
    </row>
    <row r="10438" spans="1:1" x14ac:dyDescent="0.2">
      <c r="A10438" s="1" t="s">
        <v>2586</v>
      </c>
    </row>
    <row r="10439" spans="1:1" x14ac:dyDescent="0.2">
      <c r="A10439" s="1" t="s">
        <v>2587</v>
      </c>
    </row>
    <row r="10440" spans="1:1" x14ac:dyDescent="0.2">
      <c r="A10440" s="1" t="s">
        <v>2578</v>
      </c>
    </row>
    <row r="10441" spans="1:1" x14ac:dyDescent="0.2">
      <c r="A10441" s="1" t="s">
        <v>2578</v>
      </c>
    </row>
    <row r="10442" spans="1:1" x14ac:dyDescent="0.2">
      <c r="A10442" s="1" t="s">
        <v>2578</v>
      </c>
    </row>
    <row r="10443" spans="1:1" x14ac:dyDescent="0.2">
      <c r="A10443" s="1" t="s">
        <v>2579</v>
      </c>
    </row>
    <row r="10444" spans="1:1" x14ac:dyDescent="0.2">
      <c r="A10444" s="1" t="s">
        <v>2580</v>
      </c>
    </row>
    <row r="10445" spans="1:1" x14ac:dyDescent="0.2">
      <c r="A10445" s="1" t="s">
        <v>2581</v>
      </c>
    </row>
    <row r="10446" spans="1:1" x14ac:dyDescent="0.2">
      <c r="A10446" s="1" t="s">
        <v>2582</v>
      </c>
    </row>
    <row r="10447" spans="1:1" x14ac:dyDescent="0.2">
      <c r="A10447" s="1" t="s">
        <v>2583</v>
      </c>
    </row>
    <row r="10448" spans="1:1" x14ac:dyDescent="0.2">
      <c r="A10448" s="1" t="s">
        <v>2584</v>
      </c>
    </row>
    <row r="10449" spans="1:1" x14ac:dyDescent="0.2">
      <c r="A10449" s="1" t="s">
        <v>2585</v>
      </c>
    </row>
    <row r="10450" spans="1:1" x14ac:dyDescent="0.2">
      <c r="A10450" s="1" t="s">
        <v>2586</v>
      </c>
    </row>
    <row r="10451" spans="1:1" x14ac:dyDescent="0.2">
      <c r="A10451" s="1" t="s">
        <v>2586</v>
      </c>
    </row>
    <row r="10452" spans="1:1" x14ac:dyDescent="0.2">
      <c r="A10452" s="1" t="s">
        <v>2586</v>
      </c>
    </row>
    <row r="10453" spans="1:1" x14ac:dyDescent="0.2">
      <c r="A10453" s="1" t="s">
        <v>2586</v>
      </c>
    </row>
    <row r="10454" spans="1:1" x14ac:dyDescent="0.2">
      <c r="A10454" s="1" t="s">
        <v>2587</v>
      </c>
    </row>
    <row r="10455" spans="1:1" x14ac:dyDescent="0.2">
      <c r="A10455" s="1" t="s">
        <v>2578</v>
      </c>
    </row>
    <row r="10456" spans="1:1" x14ac:dyDescent="0.2">
      <c r="A10456" s="1" t="s">
        <v>2578</v>
      </c>
    </row>
    <row r="10457" spans="1:1" x14ac:dyDescent="0.2">
      <c r="A10457" s="1" t="s">
        <v>2578</v>
      </c>
    </row>
    <row r="10458" spans="1:1" x14ac:dyDescent="0.2">
      <c r="A10458" s="1" t="s">
        <v>2579</v>
      </c>
    </row>
    <row r="10459" spans="1:1" x14ac:dyDescent="0.2">
      <c r="A10459" s="1" t="s">
        <v>2580</v>
      </c>
    </row>
    <row r="10460" spans="1:1" x14ac:dyDescent="0.2">
      <c r="A10460" s="1" t="s">
        <v>2581</v>
      </c>
    </row>
    <row r="10461" spans="1:1" x14ac:dyDescent="0.2">
      <c r="A10461" s="1" t="s">
        <v>2582</v>
      </c>
    </row>
    <row r="10462" spans="1:1" x14ac:dyDescent="0.2">
      <c r="A10462" s="1" t="s">
        <v>2583</v>
      </c>
    </row>
    <row r="10463" spans="1:1" x14ac:dyDescent="0.2">
      <c r="A10463" s="1" t="s">
        <v>2584</v>
      </c>
    </row>
    <row r="10464" spans="1:1" x14ac:dyDescent="0.2">
      <c r="A10464" s="1" t="s">
        <v>2585</v>
      </c>
    </row>
    <row r="10465" spans="1:1" x14ac:dyDescent="0.2">
      <c r="A10465" s="1" t="s">
        <v>2586</v>
      </c>
    </row>
    <row r="10466" spans="1:1" x14ac:dyDescent="0.2">
      <c r="A10466" s="1" t="s">
        <v>2586</v>
      </c>
    </row>
    <row r="10467" spans="1:1" x14ac:dyDescent="0.2">
      <c r="A10467" s="1" t="s">
        <v>2586</v>
      </c>
    </row>
    <row r="10468" spans="1:1" x14ac:dyDescent="0.2">
      <c r="A10468" s="1" t="s">
        <v>2586</v>
      </c>
    </row>
    <row r="10469" spans="1:1" x14ac:dyDescent="0.2">
      <c r="A10469" s="1" t="s">
        <v>2587</v>
      </c>
    </row>
    <row r="10470" spans="1:1" x14ac:dyDescent="0.2">
      <c r="A10470" s="1" t="s">
        <v>2578</v>
      </c>
    </row>
    <row r="10471" spans="1:1" x14ac:dyDescent="0.2">
      <c r="A10471" s="1" t="s">
        <v>2578</v>
      </c>
    </row>
    <row r="10472" spans="1:1" x14ac:dyDescent="0.2">
      <c r="A10472" s="1" t="s">
        <v>2578</v>
      </c>
    </row>
    <row r="10473" spans="1:1" x14ac:dyDescent="0.2">
      <c r="A10473" s="1" t="s">
        <v>2579</v>
      </c>
    </row>
    <row r="10474" spans="1:1" x14ac:dyDescent="0.2">
      <c r="A10474" s="1" t="s">
        <v>2580</v>
      </c>
    </row>
    <row r="10475" spans="1:1" x14ac:dyDescent="0.2">
      <c r="A10475" s="1" t="s">
        <v>2581</v>
      </c>
    </row>
    <row r="10476" spans="1:1" x14ac:dyDescent="0.2">
      <c r="A10476" s="1" t="s">
        <v>2582</v>
      </c>
    </row>
    <row r="10477" spans="1:1" x14ac:dyDescent="0.2">
      <c r="A10477" s="1" t="s">
        <v>2583</v>
      </c>
    </row>
    <row r="10478" spans="1:1" x14ac:dyDescent="0.2">
      <c r="A10478" s="1" t="s">
        <v>2584</v>
      </c>
    </row>
    <row r="10479" spans="1:1" x14ac:dyDescent="0.2">
      <c r="A10479" s="1" t="s">
        <v>2585</v>
      </c>
    </row>
    <row r="10480" spans="1:1" x14ac:dyDescent="0.2">
      <c r="A10480" s="1" t="s">
        <v>2586</v>
      </c>
    </row>
    <row r="10481" spans="1:1" x14ac:dyDescent="0.2">
      <c r="A10481" s="1" t="s">
        <v>2586</v>
      </c>
    </row>
    <row r="10482" spans="1:1" x14ac:dyDescent="0.2">
      <c r="A10482" s="1" t="s">
        <v>2586</v>
      </c>
    </row>
    <row r="10483" spans="1:1" x14ac:dyDescent="0.2">
      <c r="A10483" s="1" t="s">
        <v>2586</v>
      </c>
    </row>
    <row r="10484" spans="1:1" x14ac:dyDescent="0.2">
      <c r="A10484" s="1" t="s">
        <v>2587</v>
      </c>
    </row>
    <row r="10485" spans="1:1" x14ac:dyDescent="0.2">
      <c r="A10485" s="1" t="s">
        <v>2578</v>
      </c>
    </row>
    <row r="10486" spans="1:1" x14ac:dyDescent="0.2">
      <c r="A10486" s="1" t="s">
        <v>2588</v>
      </c>
    </row>
    <row r="10487" spans="1:1" x14ac:dyDescent="0.2">
      <c r="A10487" s="1" t="s">
        <v>2588</v>
      </c>
    </row>
    <row r="10488" spans="1:1" x14ac:dyDescent="0.2">
      <c r="A10488" s="1" t="s">
        <v>2589</v>
      </c>
    </row>
    <row r="10489" spans="1:1" x14ac:dyDescent="0.2">
      <c r="A10489" s="1" t="s">
        <v>2590</v>
      </c>
    </row>
    <row r="10490" spans="1:1" x14ac:dyDescent="0.2">
      <c r="A10490" s="1" t="s">
        <v>2591</v>
      </c>
    </row>
    <row r="10491" spans="1:1" x14ac:dyDescent="0.2">
      <c r="A10491" s="1" t="s">
        <v>2592</v>
      </c>
    </row>
    <row r="10492" spans="1:1" x14ac:dyDescent="0.2">
      <c r="A10492" s="1" t="s">
        <v>2593</v>
      </c>
    </row>
    <row r="10493" spans="1:1" x14ac:dyDescent="0.2">
      <c r="A10493" s="1" t="s">
        <v>2594</v>
      </c>
    </row>
    <row r="10494" spans="1:1" x14ac:dyDescent="0.2">
      <c r="A10494" s="1" t="s">
        <v>2595</v>
      </c>
    </row>
    <row r="10495" spans="1:1" x14ac:dyDescent="0.2">
      <c r="A10495" s="1" t="s">
        <v>2596</v>
      </c>
    </row>
    <row r="10496" spans="1:1" x14ac:dyDescent="0.2">
      <c r="A10496" s="1" t="s">
        <v>2596</v>
      </c>
    </row>
    <row r="10497" spans="1:1" x14ac:dyDescent="0.2">
      <c r="A10497" s="1" t="s">
        <v>2596</v>
      </c>
    </row>
    <row r="10498" spans="1:1" x14ac:dyDescent="0.2">
      <c r="A10498" s="1" t="s">
        <v>2596</v>
      </c>
    </row>
    <row r="10499" spans="1:1" x14ac:dyDescent="0.2">
      <c r="A10499" s="1" t="s">
        <v>2597</v>
      </c>
    </row>
    <row r="10500" spans="1:1" x14ac:dyDescent="0.2">
      <c r="A10500" s="1" t="s">
        <v>2588</v>
      </c>
    </row>
    <row r="10501" spans="1:1" x14ac:dyDescent="0.2">
      <c r="A10501" s="1" t="s">
        <v>2588</v>
      </c>
    </row>
    <row r="10502" spans="1:1" x14ac:dyDescent="0.2">
      <c r="A10502" s="1" t="s">
        <v>2588</v>
      </c>
    </row>
    <row r="10503" spans="1:1" x14ac:dyDescent="0.2">
      <c r="A10503" s="1" t="s">
        <v>2589</v>
      </c>
    </row>
    <row r="10504" spans="1:1" x14ac:dyDescent="0.2">
      <c r="A10504" s="1" t="s">
        <v>2590</v>
      </c>
    </row>
    <row r="10505" spans="1:1" x14ac:dyDescent="0.2">
      <c r="A10505" s="1" t="s">
        <v>2591</v>
      </c>
    </row>
    <row r="10506" spans="1:1" x14ac:dyDescent="0.2">
      <c r="A10506" s="1" t="s">
        <v>2592</v>
      </c>
    </row>
    <row r="10507" spans="1:1" x14ac:dyDescent="0.2">
      <c r="A10507" s="1" t="s">
        <v>2593</v>
      </c>
    </row>
    <row r="10508" spans="1:1" x14ac:dyDescent="0.2">
      <c r="A10508" s="1" t="s">
        <v>2594</v>
      </c>
    </row>
    <row r="10509" spans="1:1" x14ac:dyDescent="0.2">
      <c r="A10509" s="1" t="s">
        <v>2595</v>
      </c>
    </row>
    <row r="10510" spans="1:1" x14ac:dyDescent="0.2">
      <c r="A10510" s="1" t="s">
        <v>2596</v>
      </c>
    </row>
    <row r="10511" spans="1:1" x14ac:dyDescent="0.2">
      <c r="A10511" s="1" t="s">
        <v>2596</v>
      </c>
    </row>
    <row r="10512" spans="1:1" x14ac:dyDescent="0.2">
      <c r="A10512" s="1" t="s">
        <v>2596</v>
      </c>
    </row>
    <row r="10513" spans="1:1" x14ac:dyDescent="0.2">
      <c r="A10513" s="1" t="s">
        <v>2596</v>
      </c>
    </row>
    <row r="10514" spans="1:1" x14ac:dyDescent="0.2">
      <c r="A10514" s="1" t="s">
        <v>2597</v>
      </c>
    </row>
    <row r="10515" spans="1:1" x14ac:dyDescent="0.2">
      <c r="A10515" s="1" t="s">
        <v>2588</v>
      </c>
    </row>
    <row r="10516" spans="1:1" x14ac:dyDescent="0.2">
      <c r="A10516" s="1" t="s">
        <v>2588</v>
      </c>
    </row>
    <row r="10517" spans="1:1" x14ac:dyDescent="0.2">
      <c r="A10517" s="1" t="s">
        <v>2588</v>
      </c>
    </row>
    <row r="10518" spans="1:1" x14ac:dyDescent="0.2">
      <c r="A10518" s="1" t="s">
        <v>2589</v>
      </c>
    </row>
    <row r="10519" spans="1:1" x14ac:dyDescent="0.2">
      <c r="A10519" s="1" t="s">
        <v>2590</v>
      </c>
    </row>
    <row r="10520" spans="1:1" x14ac:dyDescent="0.2">
      <c r="A10520" s="1" t="s">
        <v>2591</v>
      </c>
    </row>
    <row r="10521" spans="1:1" x14ac:dyDescent="0.2">
      <c r="A10521" s="1" t="s">
        <v>2592</v>
      </c>
    </row>
    <row r="10522" spans="1:1" x14ac:dyDescent="0.2">
      <c r="A10522" s="1" t="s">
        <v>2593</v>
      </c>
    </row>
    <row r="10523" spans="1:1" x14ac:dyDescent="0.2">
      <c r="A10523" s="1" t="s">
        <v>2594</v>
      </c>
    </row>
    <row r="10524" spans="1:1" x14ac:dyDescent="0.2">
      <c r="A10524" s="1" t="s">
        <v>2595</v>
      </c>
    </row>
    <row r="10525" spans="1:1" x14ac:dyDescent="0.2">
      <c r="A10525" s="1" t="s">
        <v>2596</v>
      </c>
    </row>
    <row r="10526" spans="1:1" x14ac:dyDescent="0.2">
      <c r="A10526" s="1" t="s">
        <v>2596</v>
      </c>
    </row>
    <row r="10527" spans="1:1" x14ac:dyDescent="0.2">
      <c r="A10527" s="1" t="s">
        <v>2596</v>
      </c>
    </row>
    <row r="10528" spans="1:1" x14ac:dyDescent="0.2">
      <c r="A10528" s="1" t="s">
        <v>2596</v>
      </c>
    </row>
    <row r="10529" spans="1:1" x14ac:dyDescent="0.2">
      <c r="A10529" s="1" t="s">
        <v>2597</v>
      </c>
    </row>
    <row r="10530" spans="1:1" x14ac:dyDescent="0.2">
      <c r="A10530" s="1" t="s">
        <v>2588</v>
      </c>
    </row>
    <row r="10531" spans="1:1" x14ac:dyDescent="0.2">
      <c r="A10531" s="1" t="s">
        <v>2588</v>
      </c>
    </row>
    <row r="10532" spans="1:1" x14ac:dyDescent="0.2">
      <c r="A10532" s="1" t="s">
        <v>2588</v>
      </c>
    </row>
    <row r="10533" spans="1:1" x14ac:dyDescent="0.2">
      <c r="A10533" s="1" t="s">
        <v>2589</v>
      </c>
    </row>
    <row r="10534" spans="1:1" x14ac:dyDescent="0.2">
      <c r="A10534" s="1" t="s">
        <v>2590</v>
      </c>
    </row>
    <row r="10535" spans="1:1" x14ac:dyDescent="0.2">
      <c r="A10535" s="1" t="s">
        <v>2591</v>
      </c>
    </row>
    <row r="10536" spans="1:1" x14ac:dyDescent="0.2">
      <c r="A10536" s="1" t="s">
        <v>2592</v>
      </c>
    </row>
    <row r="10537" spans="1:1" x14ac:dyDescent="0.2">
      <c r="A10537" s="1" t="s">
        <v>2593</v>
      </c>
    </row>
    <row r="10538" spans="1:1" x14ac:dyDescent="0.2">
      <c r="A10538" s="1" t="s">
        <v>2594</v>
      </c>
    </row>
    <row r="10539" spans="1:1" x14ac:dyDescent="0.2">
      <c r="A10539" s="1" t="s">
        <v>2595</v>
      </c>
    </row>
    <row r="10540" spans="1:1" x14ac:dyDescent="0.2">
      <c r="A10540" s="1" t="s">
        <v>2596</v>
      </c>
    </row>
    <row r="10541" spans="1:1" x14ac:dyDescent="0.2">
      <c r="A10541" s="1" t="s">
        <v>2596</v>
      </c>
    </row>
    <row r="10542" spans="1:1" x14ac:dyDescent="0.2">
      <c r="A10542" s="1" t="s">
        <v>2596</v>
      </c>
    </row>
    <row r="10543" spans="1:1" x14ac:dyDescent="0.2">
      <c r="A10543" s="1" t="s">
        <v>2596</v>
      </c>
    </row>
    <row r="10544" spans="1:1" x14ac:dyDescent="0.2">
      <c r="A10544" s="1" t="s">
        <v>2597</v>
      </c>
    </row>
    <row r="10545" spans="1:1" x14ac:dyDescent="0.2">
      <c r="A10545" s="1" t="s">
        <v>2588</v>
      </c>
    </row>
    <row r="10546" spans="1:1" x14ac:dyDescent="0.2">
      <c r="A10546" s="1" t="s">
        <v>2588</v>
      </c>
    </row>
    <row r="10547" spans="1:1" x14ac:dyDescent="0.2">
      <c r="A10547" s="1" t="s">
        <v>2588</v>
      </c>
    </row>
    <row r="10548" spans="1:1" x14ac:dyDescent="0.2">
      <c r="A10548" s="1" t="s">
        <v>2589</v>
      </c>
    </row>
    <row r="10549" spans="1:1" x14ac:dyDescent="0.2">
      <c r="A10549" s="1" t="s">
        <v>2590</v>
      </c>
    </row>
    <row r="10550" spans="1:1" x14ac:dyDescent="0.2">
      <c r="A10550" s="1" t="s">
        <v>2591</v>
      </c>
    </row>
    <row r="10551" spans="1:1" x14ac:dyDescent="0.2">
      <c r="A10551" s="1" t="s">
        <v>2592</v>
      </c>
    </row>
    <row r="10552" spans="1:1" x14ac:dyDescent="0.2">
      <c r="A10552" s="1" t="s">
        <v>2593</v>
      </c>
    </row>
    <row r="10553" spans="1:1" x14ac:dyDescent="0.2">
      <c r="A10553" s="1" t="s">
        <v>2594</v>
      </c>
    </row>
    <row r="10554" spans="1:1" x14ac:dyDescent="0.2">
      <c r="A10554" s="1" t="s">
        <v>2595</v>
      </c>
    </row>
    <row r="10555" spans="1:1" x14ac:dyDescent="0.2">
      <c r="A10555" s="1" t="s">
        <v>2596</v>
      </c>
    </row>
    <row r="10556" spans="1:1" x14ac:dyDescent="0.2">
      <c r="A10556" s="1" t="s">
        <v>2596</v>
      </c>
    </row>
    <row r="10557" spans="1:1" x14ac:dyDescent="0.2">
      <c r="A10557" s="1" t="s">
        <v>2596</v>
      </c>
    </row>
    <row r="10558" spans="1:1" x14ac:dyDescent="0.2">
      <c r="A10558" s="1" t="s">
        <v>2596</v>
      </c>
    </row>
    <row r="10559" spans="1:1" x14ac:dyDescent="0.2">
      <c r="A10559" s="1" t="s">
        <v>2597</v>
      </c>
    </row>
    <row r="10560" spans="1:1" x14ac:dyDescent="0.2">
      <c r="A10560" s="1" t="s">
        <v>2588</v>
      </c>
    </row>
    <row r="10561" spans="1:1" x14ac:dyDescent="0.2">
      <c r="A10561" s="1" t="s">
        <v>2609</v>
      </c>
    </row>
    <row r="10562" spans="1:1" x14ac:dyDescent="0.2">
      <c r="A10562" s="1" t="s">
        <v>2610</v>
      </c>
    </row>
    <row r="10563" spans="1:1" x14ac:dyDescent="0.2">
      <c r="A10563" s="1" t="s">
        <v>2611</v>
      </c>
    </row>
    <row r="10564" spans="1:1" x14ac:dyDescent="0.2">
      <c r="A10564" s="1" t="s">
        <v>2612</v>
      </c>
    </row>
    <row r="10565" spans="1:1" x14ac:dyDescent="0.2">
      <c r="A10565" s="1" t="s">
        <v>2613</v>
      </c>
    </row>
    <row r="10566" spans="1:1" x14ac:dyDescent="0.2">
      <c r="A10566" s="1" t="s">
        <v>2614</v>
      </c>
    </row>
    <row r="10567" spans="1:1" x14ac:dyDescent="0.2">
      <c r="A10567" s="1" t="s">
        <v>2615</v>
      </c>
    </row>
    <row r="10568" spans="1:1" x14ac:dyDescent="0.2">
      <c r="A10568" s="1" t="s">
        <v>2616</v>
      </c>
    </row>
    <row r="10569" spans="1:1" x14ac:dyDescent="0.2">
      <c r="A10569" s="1" t="s">
        <v>2617</v>
      </c>
    </row>
    <row r="10570" spans="1:1" x14ac:dyDescent="0.2">
      <c r="A10570" s="1" t="s">
        <v>2618</v>
      </c>
    </row>
    <row r="10571" spans="1:1" x14ac:dyDescent="0.2">
      <c r="A10571" s="1" t="s">
        <v>2619</v>
      </c>
    </row>
    <row r="10572" spans="1:1" x14ac:dyDescent="0.2">
      <c r="A10572" s="1" t="s">
        <v>2620</v>
      </c>
    </row>
    <row r="10573" spans="1:1" x14ac:dyDescent="0.2">
      <c r="A10573" s="1" t="s">
        <v>2621</v>
      </c>
    </row>
    <row r="10574" spans="1:1" x14ac:dyDescent="0.2">
      <c r="A10574" s="1" t="s">
        <v>2622</v>
      </c>
    </row>
    <row r="10575" spans="1:1" x14ac:dyDescent="0.2">
      <c r="A10575" s="1" t="s">
        <v>2623</v>
      </c>
    </row>
    <row r="10576" spans="1:1" x14ac:dyDescent="0.2">
      <c r="A10576" s="1" t="s">
        <v>2623</v>
      </c>
    </row>
    <row r="10577" spans="1:1" x14ac:dyDescent="0.2">
      <c r="A10577" s="1" t="s">
        <v>2624</v>
      </c>
    </row>
    <row r="10578" spans="1:1" x14ac:dyDescent="0.2">
      <c r="A10578" s="1" t="s">
        <v>2625</v>
      </c>
    </row>
    <row r="10579" spans="1:1" x14ac:dyDescent="0.2">
      <c r="A10579" s="1" t="s">
        <v>2626</v>
      </c>
    </row>
    <row r="10580" spans="1:1" x14ac:dyDescent="0.2">
      <c r="A10580" s="1" t="s">
        <v>2627</v>
      </c>
    </row>
    <row r="10581" spans="1:1" x14ac:dyDescent="0.2">
      <c r="A10581" s="1" t="s">
        <v>2628</v>
      </c>
    </row>
    <row r="10582" spans="1:1" x14ac:dyDescent="0.2">
      <c r="A10582" s="1" t="s">
        <v>2629</v>
      </c>
    </row>
    <row r="10583" spans="1:1" x14ac:dyDescent="0.2">
      <c r="A10583" s="1" t="s">
        <v>2630</v>
      </c>
    </row>
    <row r="10584" spans="1:1" x14ac:dyDescent="0.2">
      <c r="A10584" s="1" t="s">
        <v>2631</v>
      </c>
    </row>
    <row r="10585" spans="1:1" x14ac:dyDescent="0.2">
      <c r="A10585" s="1" t="s">
        <v>2631</v>
      </c>
    </row>
    <row r="10586" spans="1:1" x14ac:dyDescent="0.2">
      <c r="A10586" s="1" t="s">
        <v>2631</v>
      </c>
    </row>
    <row r="10587" spans="1:1" x14ac:dyDescent="0.2">
      <c r="A10587" s="1" t="s">
        <v>2631</v>
      </c>
    </row>
    <row r="10588" spans="1:1" x14ac:dyDescent="0.2">
      <c r="A10588" s="1" t="s">
        <v>2632</v>
      </c>
    </row>
    <row r="10589" spans="1:1" x14ac:dyDescent="0.2">
      <c r="A10589" s="1" t="s">
        <v>2623</v>
      </c>
    </row>
    <row r="10590" spans="1:1" x14ac:dyDescent="0.2">
      <c r="A10590" s="1" t="s">
        <v>2623</v>
      </c>
    </row>
    <row r="10591" spans="1:1" x14ac:dyDescent="0.2">
      <c r="A10591" s="1" t="s">
        <v>2623</v>
      </c>
    </row>
    <row r="10592" spans="1:1" x14ac:dyDescent="0.2">
      <c r="A10592" s="1" t="s">
        <v>2624</v>
      </c>
    </row>
    <row r="10593" spans="1:1" x14ac:dyDescent="0.2">
      <c r="A10593" s="1" t="s">
        <v>2625</v>
      </c>
    </row>
    <row r="10594" spans="1:1" x14ac:dyDescent="0.2">
      <c r="A10594" s="1" t="s">
        <v>2626</v>
      </c>
    </row>
    <row r="10595" spans="1:1" x14ac:dyDescent="0.2">
      <c r="A10595" s="1" t="s">
        <v>2627</v>
      </c>
    </row>
    <row r="10596" spans="1:1" x14ac:dyDescent="0.2">
      <c r="A10596" s="1" t="s">
        <v>2628</v>
      </c>
    </row>
    <row r="10597" spans="1:1" x14ac:dyDescent="0.2">
      <c r="A10597" s="1" t="s">
        <v>2629</v>
      </c>
    </row>
    <row r="10598" spans="1:1" x14ac:dyDescent="0.2">
      <c r="A10598" s="1" t="s">
        <v>2630</v>
      </c>
    </row>
    <row r="10599" spans="1:1" x14ac:dyDescent="0.2">
      <c r="A10599" s="1" t="s">
        <v>2631</v>
      </c>
    </row>
    <row r="10600" spans="1:1" x14ac:dyDescent="0.2">
      <c r="A10600" s="1" t="s">
        <v>2631</v>
      </c>
    </row>
    <row r="10601" spans="1:1" x14ac:dyDescent="0.2">
      <c r="A10601" s="1" t="s">
        <v>2631</v>
      </c>
    </row>
    <row r="10602" spans="1:1" x14ac:dyDescent="0.2">
      <c r="A10602" s="1" t="s">
        <v>2631</v>
      </c>
    </row>
    <row r="10603" spans="1:1" x14ac:dyDescent="0.2">
      <c r="A10603" s="1" t="s">
        <v>2632</v>
      </c>
    </row>
    <row r="10604" spans="1:1" x14ac:dyDescent="0.2">
      <c r="A10604" s="1" t="s">
        <v>2623</v>
      </c>
    </row>
    <row r="10605" spans="1:1" x14ac:dyDescent="0.2">
      <c r="A10605" s="1" t="s">
        <v>2623</v>
      </c>
    </row>
    <row r="10606" spans="1:1" x14ac:dyDescent="0.2">
      <c r="A10606" s="1" t="s">
        <v>2623</v>
      </c>
    </row>
    <row r="10607" spans="1:1" x14ac:dyDescent="0.2">
      <c r="A10607" s="1" t="s">
        <v>2624</v>
      </c>
    </row>
    <row r="10608" spans="1:1" x14ac:dyDescent="0.2">
      <c r="A10608" s="1" t="s">
        <v>2625</v>
      </c>
    </row>
    <row r="10609" spans="1:1" x14ac:dyDescent="0.2">
      <c r="A10609" s="1" t="s">
        <v>2626</v>
      </c>
    </row>
    <row r="10610" spans="1:1" x14ac:dyDescent="0.2">
      <c r="A10610" s="1" t="s">
        <v>2627</v>
      </c>
    </row>
    <row r="10611" spans="1:1" x14ac:dyDescent="0.2">
      <c r="A10611" s="1" t="s">
        <v>2628</v>
      </c>
    </row>
    <row r="10612" spans="1:1" x14ac:dyDescent="0.2">
      <c r="A10612" s="1" t="s">
        <v>2629</v>
      </c>
    </row>
    <row r="10613" spans="1:1" x14ac:dyDescent="0.2">
      <c r="A10613" s="1" t="s">
        <v>2630</v>
      </c>
    </row>
    <row r="10614" spans="1:1" x14ac:dyDescent="0.2">
      <c r="A10614" s="1" t="s">
        <v>2631</v>
      </c>
    </row>
    <row r="10615" spans="1:1" x14ac:dyDescent="0.2">
      <c r="A10615" s="1" t="s">
        <v>2631</v>
      </c>
    </row>
    <row r="10616" spans="1:1" x14ac:dyDescent="0.2">
      <c r="A10616" s="1" t="s">
        <v>2631</v>
      </c>
    </row>
    <row r="10617" spans="1:1" x14ac:dyDescent="0.2">
      <c r="A10617" s="1" t="s">
        <v>2631</v>
      </c>
    </row>
    <row r="10618" spans="1:1" x14ac:dyDescent="0.2">
      <c r="A10618" s="1" t="s">
        <v>2632</v>
      </c>
    </row>
    <row r="10619" spans="1:1" x14ac:dyDescent="0.2">
      <c r="A10619" s="1" t="s">
        <v>2623</v>
      </c>
    </row>
    <row r="10620" spans="1:1" x14ac:dyDescent="0.2">
      <c r="A10620" s="1" t="s">
        <v>2623</v>
      </c>
    </row>
    <row r="10621" spans="1:1" x14ac:dyDescent="0.2">
      <c r="A10621" s="1" t="s">
        <v>2623</v>
      </c>
    </row>
    <row r="10622" spans="1:1" x14ac:dyDescent="0.2">
      <c r="A10622" s="1" t="s">
        <v>2624</v>
      </c>
    </row>
    <row r="10623" spans="1:1" x14ac:dyDescent="0.2">
      <c r="A10623" s="1" t="s">
        <v>2625</v>
      </c>
    </row>
    <row r="10624" spans="1:1" x14ac:dyDescent="0.2">
      <c r="A10624" s="1" t="s">
        <v>2626</v>
      </c>
    </row>
    <row r="10625" spans="1:1" x14ac:dyDescent="0.2">
      <c r="A10625" s="1" t="s">
        <v>2627</v>
      </c>
    </row>
    <row r="10626" spans="1:1" x14ac:dyDescent="0.2">
      <c r="A10626" s="1" t="s">
        <v>2628</v>
      </c>
    </row>
    <row r="10627" spans="1:1" x14ac:dyDescent="0.2">
      <c r="A10627" s="1" t="s">
        <v>2629</v>
      </c>
    </row>
    <row r="10628" spans="1:1" x14ac:dyDescent="0.2">
      <c r="A10628" s="1" t="s">
        <v>2630</v>
      </c>
    </row>
    <row r="10629" spans="1:1" x14ac:dyDescent="0.2">
      <c r="A10629" s="1" t="s">
        <v>2631</v>
      </c>
    </row>
    <row r="10630" spans="1:1" x14ac:dyDescent="0.2">
      <c r="A10630" s="1" t="s">
        <v>2631</v>
      </c>
    </row>
    <row r="10631" spans="1:1" x14ac:dyDescent="0.2">
      <c r="A10631" s="1" t="s">
        <v>2631</v>
      </c>
    </row>
    <row r="10632" spans="1:1" x14ac:dyDescent="0.2">
      <c r="A10632" s="1" t="s">
        <v>2631</v>
      </c>
    </row>
    <row r="10633" spans="1:1" x14ac:dyDescent="0.2">
      <c r="A10633" s="1" t="s">
        <v>2632</v>
      </c>
    </row>
    <row r="10634" spans="1:1" x14ac:dyDescent="0.2">
      <c r="A10634" s="1" t="s">
        <v>2623</v>
      </c>
    </row>
    <row r="10635" spans="1:1" x14ac:dyDescent="0.2">
      <c r="A10635" s="1" t="s">
        <v>2623</v>
      </c>
    </row>
    <row r="10636" spans="1:1" x14ac:dyDescent="0.2">
      <c r="A10636" s="1" t="s">
        <v>2623</v>
      </c>
    </row>
    <row r="10637" spans="1:1" x14ac:dyDescent="0.2">
      <c r="A10637" s="1" t="s">
        <v>2624</v>
      </c>
    </row>
    <row r="10638" spans="1:1" x14ac:dyDescent="0.2">
      <c r="A10638" s="1" t="s">
        <v>2625</v>
      </c>
    </row>
    <row r="10639" spans="1:1" x14ac:dyDescent="0.2">
      <c r="A10639" s="1" t="s">
        <v>2626</v>
      </c>
    </row>
    <row r="10640" spans="1:1" x14ac:dyDescent="0.2">
      <c r="A10640" s="1" t="s">
        <v>2627</v>
      </c>
    </row>
    <row r="10641" spans="1:1" x14ac:dyDescent="0.2">
      <c r="A10641" s="1" t="s">
        <v>2628</v>
      </c>
    </row>
    <row r="10642" spans="1:1" x14ac:dyDescent="0.2">
      <c r="A10642" s="1" t="s">
        <v>2629</v>
      </c>
    </row>
    <row r="10643" spans="1:1" x14ac:dyDescent="0.2">
      <c r="A10643" s="1" t="s">
        <v>2630</v>
      </c>
    </row>
    <row r="10644" spans="1:1" x14ac:dyDescent="0.2">
      <c r="A10644" s="1" t="s">
        <v>2631</v>
      </c>
    </row>
    <row r="10645" spans="1:1" x14ac:dyDescent="0.2">
      <c r="A10645" s="1" t="s">
        <v>2631</v>
      </c>
    </row>
    <row r="10646" spans="1:1" x14ac:dyDescent="0.2">
      <c r="A10646" s="1" t="s">
        <v>2631</v>
      </c>
    </row>
    <row r="10647" spans="1:1" x14ac:dyDescent="0.2">
      <c r="A10647" s="1" t="s">
        <v>2631</v>
      </c>
    </row>
    <row r="10648" spans="1:1" x14ac:dyDescent="0.2">
      <c r="A10648" s="1" t="s">
        <v>2632</v>
      </c>
    </row>
    <row r="10649" spans="1:1" x14ac:dyDescent="0.2">
      <c r="A10649" s="1" t="s">
        <v>2623</v>
      </c>
    </row>
    <row r="10650" spans="1:1" x14ac:dyDescent="0.2">
      <c r="A10650" s="1" t="s">
        <v>2633</v>
      </c>
    </row>
    <row r="10651" spans="1:1" x14ac:dyDescent="0.2">
      <c r="A10651" s="1" t="s">
        <v>2634</v>
      </c>
    </row>
    <row r="10652" spans="1:1" x14ac:dyDescent="0.2">
      <c r="A10652" s="1" t="s">
        <v>2635</v>
      </c>
    </row>
    <row r="10653" spans="1:1" x14ac:dyDescent="0.2">
      <c r="A10653" s="1" t="s">
        <v>2636</v>
      </c>
    </row>
    <row r="10654" spans="1:1" x14ac:dyDescent="0.2">
      <c r="A10654" s="1" t="s">
        <v>2637</v>
      </c>
    </row>
    <row r="10655" spans="1:1" x14ac:dyDescent="0.2">
      <c r="A10655" s="1" t="s">
        <v>2638</v>
      </c>
    </row>
    <row r="10656" spans="1:1" x14ac:dyDescent="0.2">
      <c r="A10656" s="1" t="s">
        <v>2639</v>
      </c>
    </row>
    <row r="10657" spans="1:1" x14ac:dyDescent="0.2">
      <c r="A10657" s="1" t="s">
        <v>2640</v>
      </c>
    </row>
    <row r="10658" spans="1:1" x14ac:dyDescent="0.2">
      <c r="A10658" s="1" t="s">
        <v>2641</v>
      </c>
    </row>
    <row r="10659" spans="1:1" x14ac:dyDescent="0.2">
      <c r="A10659" s="1" t="s">
        <v>2642</v>
      </c>
    </row>
    <row r="10660" spans="1:1" x14ac:dyDescent="0.2">
      <c r="A10660" s="1" t="s">
        <v>2643</v>
      </c>
    </row>
    <row r="10661" spans="1:1" x14ac:dyDescent="0.2">
      <c r="A10661" s="1" t="s">
        <v>2644</v>
      </c>
    </row>
    <row r="10662" spans="1:1" x14ac:dyDescent="0.2">
      <c r="A10662" s="1" t="s">
        <v>2645</v>
      </c>
    </row>
    <row r="10663" spans="1:1" x14ac:dyDescent="0.2">
      <c r="A10663" s="1" t="s">
        <v>2646</v>
      </c>
    </row>
    <row r="10664" spans="1:1" x14ac:dyDescent="0.2">
      <c r="A10664" s="1" t="s">
        <v>2647</v>
      </c>
    </row>
    <row r="10665" spans="1:1" x14ac:dyDescent="0.2">
      <c r="A10665" s="1" t="s">
        <v>2648</v>
      </c>
    </row>
    <row r="10666" spans="1:1" x14ac:dyDescent="0.2">
      <c r="A10666" s="1" t="s">
        <v>2649</v>
      </c>
    </row>
    <row r="10667" spans="1:1" x14ac:dyDescent="0.2">
      <c r="A10667" s="1" t="s">
        <v>2650</v>
      </c>
    </row>
    <row r="10668" spans="1:1" x14ac:dyDescent="0.2">
      <c r="A10668" s="1" t="s">
        <v>2651</v>
      </c>
    </row>
    <row r="10669" spans="1:1" x14ac:dyDescent="0.2">
      <c r="A10669" s="1" t="s">
        <v>2652</v>
      </c>
    </row>
    <row r="10670" spans="1:1" x14ac:dyDescent="0.2">
      <c r="A10670" s="1" t="s">
        <v>2653</v>
      </c>
    </row>
    <row r="10671" spans="1:1" x14ac:dyDescent="0.2">
      <c r="A10671" s="1" t="s">
        <v>2654</v>
      </c>
    </row>
    <row r="10672" spans="1:1" x14ac:dyDescent="0.2">
      <c r="A10672" s="1" t="s">
        <v>2655</v>
      </c>
    </row>
    <row r="10673" spans="1:1" x14ac:dyDescent="0.2">
      <c r="A10673" s="1" t="s">
        <v>2656</v>
      </c>
    </row>
    <row r="10674" spans="1:1" x14ac:dyDescent="0.2">
      <c r="A10674" s="1" t="s">
        <v>2657</v>
      </c>
    </row>
    <row r="10675" spans="1:1" x14ac:dyDescent="0.2">
      <c r="A10675" s="1" t="s">
        <v>2658</v>
      </c>
    </row>
    <row r="10676" spans="1:1" x14ac:dyDescent="0.2">
      <c r="A10676" s="1" t="s">
        <v>2659</v>
      </c>
    </row>
    <row r="10677" spans="1:1" x14ac:dyDescent="0.2">
      <c r="A10677" s="1" t="s">
        <v>2649</v>
      </c>
    </row>
    <row r="10678" spans="1:1" x14ac:dyDescent="0.2">
      <c r="A10678" s="1" t="s">
        <v>2660</v>
      </c>
    </row>
    <row r="10679" spans="1:1" x14ac:dyDescent="0.2">
      <c r="A10679" s="1" t="s">
        <v>2651</v>
      </c>
    </row>
    <row r="10680" spans="1:1" x14ac:dyDescent="0.2">
      <c r="A10680" s="1" t="s">
        <v>2652</v>
      </c>
    </row>
    <row r="10681" spans="1:1" x14ac:dyDescent="0.2">
      <c r="A10681" s="1" t="s">
        <v>2653</v>
      </c>
    </row>
    <row r="10682" spans="1:1" x14ac:dyDescent="0.2">
      <c r="A10682" s="1" t="s">
        <v>2661</v>
      </c>
    </row>
    <row r="10683" spans="1:1" x14ac:dyDescent="0.2">
      <c r="A10683" s="1" t="s">
        <v>2655</v>
      </c>
    </row>
    <row r="10684" spans="1:1" x14ac:dyDescent="0.2">
      <c r="A10684" s="1" t="s">
        <v>2656</v>
      </c>
    </row>
    <row r="10685" spans="1:1" x14ac:dyDescent="0.2">
      <c r="A10685" s="1" t="s">
        <v>2657</v>
      </c>
    </row>
    <row r="10686" spans="1:1" x14ac:dyDescent="0.2">
      <c r="A10686" s="1" t="s">
        <v>2658</v>
      </c>
    </row>
    <row r="10687" spans="1:1" x14ac:dyDescent="0.2">
      <c r="A10687" s="1" t="s">
        <v>2659</v>
      </c>
    </row>
    <row r="10688" spans="1:1" x14ac:dyDescent="0.2">
      <c r="A10688" s="1" t="s">
        <v>2662</v>
      </c>
    </row>
    <row r="10689" spans="1:1" x14ac:dyDescent="0.2">
      <c r="A10689" s="1" t="s">
        <v>2662</v>
      </c>
    </row>
    <row r="10690" spans="1:1" x14ac:dyDescent="0.2">
      <c r="A10690" s="1" t="s">
        <v>2663</v>
      </c>
    </row>
    <row r="10691" spans="1:1" x14ac:dyDescent="0.2">
      <c r="A10691" s="1" t="s">
        <v>2664</v>
      </c>
    </row>
    <row r="10692" spans="1:1" x14ac:dyDescent="0.2">
      <c r="A10692" s="1" t="s">
        <v>2665</v>
      </c>
    </row>
    <row r="10693" spans="1:1" x14ac:dyDescent="0.2">
      <c r="A10693" s="1" t="s">
        <v>2666</v>
      </c>
    </row>
    <row r="10694" spans="1:1" x14ac:dyDescent="0.2">
      <c r="A10694" s="1" t="s">
        <v>2667</v>
      </c>
    </row>
    <row r="10695" spans="1:1" x14ac:dyDescent="0.2">
      <c r="A10695" s="1" t="s">
        <v>2668</v>
      </c>
    </row>
    <row r="10696" spans="1:1" x14ac:dyDescent="0.2">
      <c r="A10696" s="1" t="s">
        <v>2669</v>
      </c>
    </row>
    <row r="10697" spans="1:1" x14ac:dyDescent="0.2">
      <c r="A10697" s="1" t="s">
        <v>2670</v>
      </c>
    </row>
    <row r="10698" spans="1:1" x14ac:dyDescent="0.2">
      <c r="A10698" s="1" t="s">
        <v>2670</v>
      </c>
    </row>
    <row r="10699" spans="1:1" x14ac:dyDescent="0.2">
      <c r="A10699" s="1" t="s">
        <v>2670</v>
      </c>
    </row>
    <row r="10700" spans="1:1" x14ac:dyDescent="0.2">
      <c r="A10700" s="1" t="s">
        <v>2670</v>
      </c>
    </row>
    <row r="10701" spans="1:1" x14ac:dyDescent="0.2">
      <c r="A10701" s="1" t="s">
        <v>2671</v>
      </c>
    </row>
    <row r="10702" spans="1:1" x14ac:dyDescent="0.2">
      <c r="A10702" s="1" t="s">
        <v>2662</v>
      </c>
    </row>
    <row r="10703" spans="1:1" x14ac:dyDescent="0.2">
      <c r="A10703" s="1" t="s">
        <v>2662</v>
      </c>
    </row>
    <row r="10704" spans="1:1" x14ac:dyDescent="0.2">
      <c r="A10704" s="1" t="s">
        <v>2662</v>
      </c>
    </row>
    <row r="10705" spans="1:1" x14ac:dyDescent="0.2">
      <c r="A10705" s="1" t="s">
        <v>2663</v>
      </c>
    </row>
    <row r="10706" spans="1:1" x14ac:dyDescent="0.2">
      <c r="A10706" s="1" t="s">
        <v>2664</v>
      </c>
    </row>
    <row r="10707" spans="1:1" x14ac:dyDescent="0.2">
      <c r="A10707" s="1" t="s">
        <v>2665</v>
      </c>
    </row>
    <row r="10708" spans="1:1" x14ac:dyDescent="0.2">
      <c r="A10708" s="1" t="s">
        <v>2666</v>
      </c>
    </row>
    <row r="10709" spans="1:1" x14ac:dyDescent="0.2">
      <c r="A10709" s="1" t="s">
        <v>2667</v>
      </c>
    </row>
    <row r="10710" spans="1:1" x14ac:dyDescent="0.2">
      <c r="A10710" s="1" t="s">
        <v>2668</v>
      </c>
    </row>
    <row r="10711" spans="1:1" x14ac:dyDescent="0.2">
      <c r="A10711" s="1" t="s">
        <v>2669</v>
      </c>
    </row>
    <row r="10712" spans="1:1" x14ac:dyDescent="0.2">
      <c r="A10712" s="1" t="s">
        <v>2670</v>
      </c>
    </row>
    <row r="10713" spans="1:1" x14ac:dyDescent="0.2">
      <c r="A10713" s="1" t="s">
        <v>2670</v>
      </c>
    </row>
    <row r="10714" spans="1:1" x14ac:dyDescent="0.2">
      <c r="A10714" s="1" t="s">
        <v>2670</v>
      </c>
    </row>
    <row r="10715" spans="1:1" x14ac:dyDescent="0.2">
      <c r="A10715" s="1" t="s">
        <v>2670</v>
      </c>
    </row>
    <row r="10716" spans="1:1" x14ac:dyDescent="0.2">
      <c r="A10716" s="1" t="s">
        <v>2671</v>
      </c>
    </row>
    <row r="10717" spans="1:1" x14ac:dyDescent="0.2">
      <c r="A10717" s="1" t="s">
        <v>2662</v>
      </c>
    </row>
    <row r="10718" spans="1:1" x14ac:dyDescent="0.2">
      <c r="A10718" s="1" t="s">
        <v>2662</v>
      </c>
    </row>
    <row r="10719" spans="1:1" x14ac:dyDescent="0.2">
      <c r="A10719" s="1" t="s">
        <v>2662</v>
      </c>
    </row>
    <row r="10720" spans="1:1" x14ac:dyDescent="0.2">
      <c r="A10720" s="1" t="s">
        <v>2663</v>
      </c>
    </row>
    <row r="10721" spans="1:1" x14ac:dyDescent="0.2">
      <c r="A10721" s="1" t="s">
        <v>2664</v>
      </c>
    </row>
    <row r="10722" spans="1:1" x14ac:dyDescent="0.2">
      <c r="A10722" s="1" t="s">
        <v>2665</v>
      </c>
    </row>
    <row r="10723" spans="1:1" x14ac:dyDescent="0.2">
      <c r="A10723" s="1" t="s">
        <v>2666</v>
      </c>
    </row>
    <row r="10724" spans="1:1" x14ac:dyDescent="0.2">
      <c r="A10724" s="1" t="s">
        <v>2667</v>
      </c>
    </row>
    <row r="10725" spans="1:1" x14ac:dyDescent="0.2">
      <c r="A10725" s="1" t="s">
        <v>2668</v>
      </c>
    </row>
    <row r="10726" spans="1:1" x14ac:dyDescent="0.2">
      <c r="A10726" s="1" t="s">
        <v>2669</v>
      </c>
    </row>
    <row r="10727" spans="1:1" x14ac:dyDescent="0.2">
      <c r="A10727" s="1" t="s">
        <v>2670</v>
      </c>
    </row>
    <row r="10728" spans="1:1" x14ac:dyDescent="0.2">
      <c r="A10728" s="1" t="s">
        <v>2670</v>
      </c>
    </row>
    <row r="10729" spans="1:1" x14ac:dyDescent="0.2">
      <c r="A10729" s="1" t="s">
        <v>2670</v>
      </c>
    </row>
    <row r="10730" spans="1:1" x14ac:dyDescent="0.2">
      <c r="A10730" s="1" t="s">
        <v>2670</v>
      </c>
    </row>
    <row r="10731" spans="1:1" x14ac:dyDescent="0.2">
      <c r="A10731" s="1" t="s">
        <v>2671</v>
      </c>
    </row>
    <row r="10732" spans="1:1" x14ac:dyDescent="0.2">
      <c r="A10732" s="1" t="s">
        <v>2662</v>
      </c>
    </row>
    <row r="10733" spans="1:1" x14ac:dyDescent="0.2">
      <c r="A10733" s="1" t="s">
        <v>2662</v>
      </c>
    </row>
    <row r="10734" spans="1:1" x14ac:dyDescent="0.2">
      <c r="A10734" s="1" t="s">
        <v>2662</v>
      </c>
    </row>
    <row r="10735" spans="1:1" x14ac:dyDescent="0.2">
      <c r="A10735" s="1" t="s">
        <v>2663</v>
      </c>
    </row>
    <row r="10736" spans="1:1" x14ac:dyDescent="0.2">
      <c r="A10736" s="1" t="s">
        <v>2664</v>
      </c>
    </row>
    <row r="10737" spans="1:1" x14ac:dyDescent="0.2">
      <c r="A10737" s="1" t="s">
        <v>2665</v>
      </c>
    </row>
    <row r="10738" spans="1:1" x14ac:dyDescent="0.2">
      <c r="A10738" s="1" t="s">
        <v>2666</v>
      </c>
    </row>
    <row r="10739" spans="1:1" x14ac:dyDescent="0.2">
      <c r="A10739" s="1" t="s">
        <v>2667</v>
      </c>
    </row>
    <row r="10740" spans="1:1" x14ac:dyDescent="0.2">
      <c r="A10740" s="1" t="s">
        <v>2668</v>
      </c>
    </row>
    <row r="10741" spans="1:1" x14ac:dyDescent="0.2">
      <c r="A10741" s="1" t="s">
        <v>2669</v>
      </c>
    </row>
    <row r="10742" spans="1:1" x14ac:dyDescent="0.2">
      <c r="A10742" s="1" t="s">
        <v>2670</v>
      </c>
    </row>
    <row r="10743" spans="1:1" x14ac:dyDescent="0.2">
      <c r="A10743" s="1" t="s">
        <v>2670</v>
      </c>
    </row>
    <row r="10744" spans="1:1" x14ac:dyDescent="0.2">
      <c r="A10744" s="1" t="s">
        <v>2670</v>
      </c>
    </row>
    <row r="10745" spans="1:1" x14ac:dyDescent="0.2">
      <c r="A10745" s="1" t="s">
        <v>2670</v>
      </c>
    </row>
    <row r="10746" spans="1:1" x14ac:dyDescent="0.2">
      <c r="A10746" s="1" t="s">
        <v>2671</v>
      </c>
    </row>
    <row r="10747" spans="1:1" x14ac:dyDescent="0.2">
      <c r="A10747" s="1" t="s">
        <v>2662</v>
      </c>
    </row>
    <row r="10748" spans="1:1" x14ac:dyDescent="0.2">
      <c r="A10748" s="1" t="s">
        <v>2662</v>
      </c>
    </row>
    <row r="10749" spans="1:1" x14ac:dyDescent="0.2">
      <c r="A10749" s="1" t="s">
        <v>2662</v>
      </c>
    </row>
    <row r="10750" spans="1:1" x14ac:dyDescent="0.2">
      <c r="A10750" s="1" t="s">
        <v>2663</v>
      </c>
    </row>
    <row r="10751" spans="1:1" x14ac:dyDescent="0.2">
      <c r="A10751" s="1" t="s">
        <v>2664</v>
      </c>
    </row>
    <row r="10752" spans="1:1" x14ac:dyDescent="0.2">
      <c r="A10752" s="1" t="s">
        <v>2665</v>
      </c>
    </row>
    <row r="10753" spans="1:1" x14ac:dyDescent="0.2">
      <c r="A10753" s="1" t="s">
        <v>2666</v>
      </c>
    </row>
    <row r="10754" spans="1:1" x14ac:dyDescent="0.2">
      <c r="A10754" s="1" t="s">
        <v>2667</v>
      </c>
    </row>
    <row r="10755" spans="1:1" x14ac:dyDescent="0.2">
      <c r="A10755" s="1" t="s">
        <v>2668</v>
      </c>
    </row>
    <row r="10756" spans="1:1" x14ac:dyDescent="0.2">
      <c r="A10756" s="1" t="s">
        <v>2669</v>
      </c>
    </row>
    <row r="10757" spans="1:1" x14ac:dyDescent="0.2">
      <c r="A10757" s="1" t="s">
        <v>2670</v>
      </c>
    </row>
    <row r="10758" spans="1:1" x14ac:dyDescent="0.2">
      <c r="A10758" s="1" t="s">
        <v>2670</v>
      </c>
    </row>
    <row r="10759" spans="1:1" x14ac:dyDescent="0.2">
      <c r="A10759" s="1" t="s">
        <v>2670</v>
      </c>
    </row>
    <row r="10760" spans="1:1" x14ac:dyDescent="0.2">
      <c r="A10760" s="1" t="s">
        <v>2670</v>
      </c>
    </row>
    <row r="10761" spans="1:1" x14ac:dyDescent="0.2">
      <c r="A10761" s="1" t="s">
        <v>2671</v>
      </c>
    </row>
    <row r="10762" spans="1:1" x14ac:dyDescent="0.2">
      <c r="A10762" s="1" t="s">
        <v>2662</v>
      </c>
    </row>
    <row r="10763" spans="1:1" x14ac:dyDescent="0.2">
      <c r="A10763" s="1" t="s">
        <v>2672</v>
      </c>
    </row>
    <row r="10764" spans="1:1" x14ac:dyDescent="0.2">
      <c r="A10764" s="1" t="s">
        <v>2673</v>
      </c>
    </row>
    <row r="10765" spans="1:1" x14ac:dyDescent="0.2">
      <c r="A10765" s="1" t="s">
        <v>2674</v>
      </c>
    </row>
    <row r="10766" spans="1:1" x14ac:dyDescent="0.2">
      <c r="A10766" s="1" t="s">
        <v>2675</v>
      </c>
    </row>
    <row r="10767" spans="1:1" x14ac:dyDescent="0.2">
      <c r="A10767" s="1" t="s">
        <v>2676</v>
      </c>
    </row>
    <row r="10768" spans="1:1" x14ac:dyDescent="0.2">
      <c r="A10768" s="1" t="s">
        <v>2677</v>
      </c>
    </row>
    <row r="10769" spans="1:1" x14ac:dyDescent="0.2">
      <c r="A10769" s="1" t="s">
        <v>2678</v>
      </c>
    </row>
    <row r="10770" spans="1:1" x14ac:dyDescent="0.2">
      <c r="A10770" s="1" t="s">
        <v>2679</v>
      </c>
    </row>
    <row r="10771" spans="1:1" x14ac:dyDescent="0.2">
      <c r="A10771" s="1" t="s">
        <v>2680</v>
      </c>
    </row>
    <row r="10772" spans="1:1" x14ac:dyDescent="0.2">
      <c r="A10772" s="1" t="s">
        <v>2681</v>
      </c>
    </row>
    <row r="10773" spans="1:1" x14ac:dyDescent="0.2">
      <c r="A10773" s="1" t="s">
        <v>2682</v>
      </c>
    </row>
    <row r="10774" spans="1:1" x14ac:dyDescent="0.2">
      <c r="A10774" s="1" t="s">
        <v>2683</v>
      </c>
    </row>
    <row r="10775" spans="1:1" x14ac:dyDescent="0.2">
      <c r="A10775" s="1" t="s">
        <v>2684</v>
      </c>
    </row>
    <row r="10776" spans="1:1" x14ac:dyDescent="0.2">
      <c r="A10776" s="1" t="s">
        <v>2685</v>
      </c>
    </row>
    <row r="10777" spans="1:1" x14ac:dyDescent="0.2">
      <c r="A10777" s="1" t="s">
        <v>2686</v>
      </c>
    </row>
    <row r="10778" spans="1:1" x14ac:dyDescent="0.2">
      <c r="A10778" s="1" t="s">
        <v>2687</v>
      </c>
    </row>
    <row r="10779" spans="1:1" x14ac:dyDescent="0.2">
      <c r="A10779" s="1" t="s">
        <v>2688</v>
      </c>
    </row>
    <row r="10780" spans="1:1" x14ac:dyDescent="0.2">
      <c r="A10780" s="1" t="s">
        <v>2689</v>
      </c>
    </row>
    <row r="10781" spans="1:1" x14ac:dyDescent="0.2">
      <c r="A10781" s="1" t="s">
        <v>2690</v>
      </c>
    </row>
    <row r="10782" spans="1:1" x14ac:dyDescent="0.2">
      <c r="A10782" s="1" t="s">
        <v>2691</v>
      </c>
    </row>
    <row r="10783" spans="1:1" x14ac:dyDescent="0.2">
      <c r="A10783" s="1" t="s">
        <v>2692</v>
      </c>
    </row>
    <row r="10784" spans="1:1" x14ac:dyDescent="0.2">
      <c r="A10784" s="1" t="s">
        <v>2693</v>
      </c>
    </row>
    <row r="10785" spans="1:1" x14ac:dyDescent="0.2">
      <c r="A10785" s="1" t="s">
        <v>2694</v>
      </c>
    </row>
    <row r="10786" spans="1:1" x14ac:dyDescent="0.2">
      <c r="A10786" s="1" t="s">
        <v>2695</v>
      </c>
    </row>
    <row r="10787" spans="1:1" x14ac:dyDescent="0.2">
      <c r="A10787" s="1" t="s">
        <v>2696</v>
      </c>
    </row>
    <row r="10788" spans="1:1" x14ac:dyDescent="0.2">
      <c r="A10788" s="1" t="s">
        <v>2697</v>
      </c>
    </row>
    <row r="10789" spans="1:1" x14ac:dyDescent="0.2">
      <c r="A10789" s="1" t="s">
        <v>2698</v>
      </c>
    </row>
    <row r="10790" spans="1:1" x14ac:dyDescent="0.2">
      <c r="A10790" s="1" t="s">
        <v>2699</v>
      </c>
    </row>
    <row r="10791" spans="1:1" x14ac:dyDescent="0.2">
      <c r="A10791" s="1" t="s">
        <v>2700</v>
      </c>
    </row>
    <row r="10792" spans="1:1" x14ac:dyDescent="0.2">
      <c r="A10792" s="1" t="s">
        <v>2701</v>
      </c>
    </row>
    <row r="10793" spans="1:1" x14ac:dyDescent="0.2">
      <c r="A10793" s="1" t="s">
        <v>2702</v>
      </c>
    </row>
    <row r="10794" spans="1:1" x14ac:dyDescent="0.2">
      <c r="A10794" s="1" t="s">
        <v>2703</v>
      </c>
    </row>
    <row r="10795" spans="1:1" x14ac:dyDescent="0.2">
      <c r="A10795" s="1" t="s">
        <v>2704</v>
      </c>
    </row>
    <row r="10796" spans="1:1" x14ac:dyDescent="0.2">
      <c r="A10796" s="1" t="s">
        <v>2705</v>
      </c>
    </row>
    <row r="10797" spans="1:1" x14ac:dyDescent="0.2">
      <c r="A10797" s="1" t="s">
        <v>2706</v>
      </c>
    </row>
    <row r="10798" spans="1:1" x14ac:dyDescent="0.2">
      <c r="A10798" s="1" t="s">
        <v>2707</v>
      </c>
    </row>
    <row r="10799" spans="1:1" x14ac:dyDescent="0.2">
      <c r="A10799" s="1" t="s">
        <v>2708</v>
      </c>
    </row>
    <row r="10800" spans="1:1" x14ac:dyDescent="0.2">
      <c r="A10800" s="1" t="s">
        <v>2709</v>
      </c>
    </row>
    <row r="10801" spans="1:1" x14ac:dyDescent="0.2">
      <c r="A10801" s="1" t="s">
        <v>2710</v>
      </c>
    </row>
    <row r="10802" spans="1:1" x14ac:dyDescent="0.2">
      <c r="A10802" s="1" t="s">
        <v>2711</v>
      </c>
    </row>
    <row r="10803" spans="1:1" x14ac:dyDescent="0.2">
      <c r="A10803" s="1" t="s">
        <v>2712</v>
      </c>
    </row>
    <row r="10804" spans="1:1" x14ac:dyDescent="0.2">
      <c r="A10804" s="1" t="s">
        <v>2713</v>
      </c>
    </row>
    <row r="10805" spans="1:1" x14ac:dyDescent="0.2">
      <c r="A10805" s="1" t="s">
        <v>2714</v>
      </c>
    </row>
    <row r="10806" spans="1:1" x14ac:dyDescent="0.2">
      <c r="A10806" s="1" t="s">
        <v>2715</v>
      </c>
    </row>
    <row r="10807" spans="1:1" x14ac:dyDescent="0.2">
      <c r="A10807" s="1" t="s">
        <v>2705</v>
      </c>
    </row>
    <row r="10808" spans="1:1" x14ac:dyDescent="0.2">
      <c r="A10808" s="1" t="s">
        <v>2716</v>
      </c>
    </row>
    <row r="10809" spans="1:1" x14ac:dyDescent="0.2">
      <c r="A10809" s="1" t="s">
        <v>2707</v>
      </c>
    </row>
    <row r="10810" spans="1:1" x14ac:dyDescent="0.2">
      <c r="A10810" s="1" t="s">
        <v>2708</v>
      </c>
    </row>
    <row r="10811" spans="1:1" x14ac:dyDescent="0.2">
      <c r="A10811" s="1" t="s">
        <v>2709</v>
      </c>
    </row>
    <row r="10812" spans="1:1" x14ac:dyDescent="0.2">
      <c r="A10812" s="1" t="s">
        <v>2717</v>
      </c>
    </row>
    <row r="10813" spans="1:1" x14ac:dyDescent="0.2">
      <c r="A10813" s="1" t="s">
        <v>2711</v>
      </c>
    </row>
    <row r="10814" spans="1:1" x14ac:dyDescent="0.2">
      <c r="A10814" s="1" t="s">
        <v>2712</v>
      </c>
    </row>
    <row r="10815" spans="1:1" x14ac:dyDescent="0.2">
      <c r="A10815" s="1" t="s">
        <v>2713</v>
      </c>
    </row>
    <row r="10816" spans="1:1" x14ac:dyDescent="0.2">
      <c r="A10816" s="1" t="s">
        <v>2714</v>
      </c>
    </row>
    <row r="10817" spans="1:1" x14ac:dyDescent="0.2">
      <c r="A10817" s="1" t="s">
        <v>2715</v>
      </c>
    </row>
    <row r="10818" spans="1:1" x14ac:dyDescent="0.2">
      <c r="A10818" s="1" t="s">
        <v>2718</v>
      </c>
    </row>
    <row r="10819" spans="1:1" x14ac:dyDescent="0.2">
      <c r="A10819" s="1" t="s">
        <v>2718</v>
      </c>
    </row>
    <row r="10820" spans="1:1" x14ac:dyDescent="0.2">
      <c r="A10820" s="1" t="s">
        <v>2719</v>
      </c>
    </row>
    <row r="10821" spans="1:1" x14ac:dyDescent="0.2">
      <c r="A10821" s="1" t="s">
        <v>2720</v>
      </c>
    </row>
    <row r="10822" spans="1:1" x14ac:dyDescent="0.2">
      <c r="A10822" s="1" t="s">
        <v>2721</v>
      </c>
    </row>
    <row r="10823" spans="1:1" x14ac:dyDescent="0.2">
      <c r="A10823" s="1" t="s">
        <v>2722</v>
      </c>
    </row>
    <row r="10824" spans="1:1" x14ac:dyDescent="0.2">
      <c r="A10824" s="1" t="s">
        <v>2723</v>
      </c>
    </row>
    <row r="10825" spans="1:1" x14ac:dyDescent="0.2">
      <c r="A10825" s="1" t="s">
        <v>2724</v>
      </c>
    </row>
    <row r="10826" spans="1:1" x14ac:dyDescent="0.2">
      <c r="A10826" s="1" t="s">
        <v>2725</v>
      </c>
    </row>
    <row r="10827" spans="1:1" x14ac:dyDescent="0.2">
      <c r="A10827" s="1" t="s">
        <v>2726</v>
      </c>
    </row>
    <row r="10828" spans="1:1" x14ac:dyDescent="0.2">
      <c r="A10828" s="1" t="s">
        <v>2726</v>
      </c>
    </row>
    <row r="10829" spans="1:1" x14ac:dyDescent="0.2">
      <c r="A10829" s="1" t="s">
        <v>2726</v>
      </c>
    </row>
    <row r="10830" spans="1:1" x14ac:dyDescent="0.2">
      <c r="A10830" s="1" t="s">
        <v>2726</v>
      </c>
    </row>
    <row r="10831" spans="1:1" x14ac:dyDescent="0.2">
      <c r="A10831" s="1" t="s">
        <v>2727</v>
      </c>
    </row>
    <row r="10832" spans="1:1" x14ac:dyDescent="0.2">
      <c r="A10832" s="1" t="s">
        <v>2718</v>
      </c>
    </row>
    <row r="10833" spans="1:1" x14ac:dyDescent="0.2">
      <c r="A10833" s="1" t="s">
        <v>2718</v>
      </c>
    </row>
    <row r="10834" spans="1:1" x14ac:dyDescent="0.2">
      <c r="A10834" s="1" t="s">
        <v>2718</v>
      </c>
    </row>
    <row r="10835" spans="1:1" x14ac:dyDescent="0.2">
      <c r="A10835" s="1" t="s">
        <v>2719</v>
      </c>
    </row>
    <row r="10836" spans="1:1" x14ac:dyDescent="0.2">
      <c r="A10836" s="1" t="s">
        <v>2720</v>
      </c>
    </row>
    <row r="10837" spans="1:1" x14ac:dyDescent="0.2">
      <c r="A10837" s="1" t="s">
        <v>2721</v>
      </c>
    </row>
    <row r="10838" spans="1:1" x14ac:dyDescent="0.2">
      <c r="A10838" s="1" t="s">
        <v>2722</v>
      </c>
    </row>
    <row r="10839" spans="1:1" x14ac:dyDescent="0.2">
      <c r="A10839" s="1" t="s">
        <v>2723</v>
      </c>
    </row>
    <row r="10840" spans="1:1" x14ac:dyDescent="0.2">
      <c r="A10840" s="1" t="s">
        <v>2724</v>
      </c>
    </row>
    <row r="10841" spans="1:1" x14ac:dyDescent="0.2">
      <c r="A10841" s="1" t="s">
        <v>2725</v>
      </c>
    </row>
    <row r="10842" spans="1:1" x14ac:dyDescent="0.2">
      <c r="A10842" s="1" t="s">
        <v>2726</v>
      </c>
    </row>
    <row r="10843" spans="1:1" x14ac:dyDescent="0.2">
      <c r="A10843" s="1" t="s">
        <v>2726</v>
      </c>
    </row>
    <row r="10844" spans="1:1" x14ac:dyDescent="0.2">
      <c r="A10844" s="1" t="s">
        <v>2726</v>
      </c>
    </row>
    <row r="10845" spans="1:1" x14ac:dyDescent="0.2">
      <c r="A10845" s="1" t="s">
        <v>2726</v>
      </c>
    </row>
    <row r="10846" spans="1:1" x14ac:dyDescent="0.2">
      <c r="A10846" s="1" t="s">
        <v>2727</v>
      </c>
    </row>
    <row r="10847" spans="1:1" x14ac:dyDescent="0.2">
      <c r="A10847" s="1" t="s">
        <v>2718</v>
      </c>
    </row>
    <row r="10848" spans="1:1" x14ac:dyDescent="0.2">
      <c r="A10848" s="1" t="s">
        <v>2718</v>
      </c>
    </row>
    <row r="10849" spans="1:1" x14ac:dyDescent="0.2">
      <c r="A10849" s="1" t="s">
        <v>2718</v>
      </c>
    </row>
    <row r="10850" spans="1:1" x14ac:dyDescent="0.2">
      <c r="A10850" s="1" t="s">
        <v>2719</v>
      </c>
    </row>
    <row r="10851" spans="1:1" x14ac:dyDescent="0.2">
      <c r="A10851" s="1" t="s">
        <v>2720</v>
      </c>
    </row>
    <row r="10852" spans="1:1" x14ac:dyDescent="0.2">
      <c r="A10852" s="1" t="s">
        <v>2721</v>
      </c>
    </row>
    <row r="10853" spans="1:1" x14ac:dyDescent="0.2">
      <c r="A10853" s="1" t="s">
        <v>2722</v>
      </c>
    </row>
    <row r="10854" spans="1:1" x14ac:dyDescent="0.2">
      <c r="A10854" s="1" t="s">
        <v>2723</v>
      </c>
    </row>
    <row r="10855" spans="1:1" x14ac:dyDescent="0.2">
      <c r="A10855" s="1" t="s">
        <v>2724</v>
      </c>
    </row>
    <row r="10856" spans="1:1" x14ac:dyDescent="0.2">
      <c r="A10856" s="1" t="s">
        <v>2725</v>
      </c>
    </row>
    <row r="10857" spans="1:1" x14ac:dyDescent="0.2">
      <c r="A10857" s="1" t="s">
        <v>2726</v>
      </c>
    </row>
    <row r="10858" spans="1:1" x14ac:dyDescent="0.2">
      <c r="A10858" s="1" t="s">
        <v>2726</v>
      </c>
    </row>
    <row r="10859" spans="1:1" x14ac:dyDescent="0.2">
      <c r="A10859" s="1" t="s">
        <v>2726</v>
      </c>
    </row>
    <row r="10860" spans="1:1" x14ac:dyDescent="0.2">
      <c r="A10860" s="1" t="s">
        <v>2726</v>
      </c>
    </row>
    <row r="10861" spans="1:1" x14ac:dyDescent="0.2">
      <c r="A10861" s="1" t="s">
        <v>2727</v>
      </c>
    </row>
    <row r="10862" spans="1:1" x14ac:dyDescent="0.2">
      <c r="A10862" s="1" t="s">
        <v>2718</v>
      </c>
    </row>
    <row r="10863" spans="1:1" x14ac:dyDescent="0.2">
      <c r="A10863" s="1" t="s">
        <v>2718</v>
      </c>
    </row>
    <row r="10864" spans="1:1" x14ac:dyDescent="0.2">
      <c r="A10864" s="1" t="s">
        <v>2718</v>
      </c>
    </row>
    <row r="10865" spans="1:1" x14ac:dyDescent="0.2">
      <c r="A10865" s="1" t="s">
        <v>2719</v>
      </c>
    </row>
    <row r="10866" spans="1:1" x14ac:dyDescent="0.2">
      <c r="A10866" s="1" t="s">
        <v>2720</v>
      </c>
    </row>
    <row r="10867" spans="1:1" x14ac:dyDescent="0.2">
      <c r="A10867" s="1" t="s">
        <v>2721</v>
      </c>
    </row>
    <row r="10868" spans="1:1" x14ac:dyDescent="0.2">
      <c r="A10868" s="1" t="s">
        <v>2722</v>
      </c>
    </row>
    <row r="10869" spans="1:1" x14ac:dyDescent="0.2">
      <c r="A10869" s="1" t="s">
        <v>2723</v>
      </c>
    </row>
    <row r="10870" spans="1:1" x14ac:dyDescent="0.2">
      <c r="A10870" s="1" t="s">
        <v>2724</v>
      </c>
    </row>
    <row r="10871" spans="1:1" x14ac:dyDescent="0.2">
      <c r="A10871" s="1" t="s">
        <v>2725</v>
      </c>
    </row>
    <row r="10872" spans="1:1" x14ac:dyDescent="0.2">
      <c r="A10872" s="1" t="s">
        <v>2726</v>
      </c>
    </row>
    <row r="10873" spans="1:1" x14ac:dyDescent="0.2">
      <c r="A10873" s="1" t="s">
        <v>2726</v>
      </c>
    </row>
    <row r="10874" spans="1:1" x14ac:dyDescent="0.2">
      <c r="A10874" s="1" t="s">
        <v>2726</v>
      </c>
    </row>
    <row r="10875" spans="1:1" x14ac:dyDescent="0.2">
      <c r="A10875" s="1" t="s">
        <v>2726</v>
      </c>
    </row>
    <row r="10876" spans="1:1" x14ac:dyDescent="0.2">
      <c r="A10876" s="1" t="s">
        <v>2727</v>
      </c>
    </row>
    <row r="10877" spans="1:1" x14ac:dyDescent="0.2">
      <c r="A10877" s="1" t="s">
        <v>2718</v>
      </c>
    </row>
    <row r="10878" spans="1:1" x14ac:dyDescent="0.2">
      <c r="A10878" s="1" t="s">
        <v>2718</v>
      </c>
    </row>
    <row r="10879" spans="1:1" x14ac:dyDescent="0.2">
      <c r="A10879" s="1" t="s">
        <v>2718</v>
      </c>
    </row>
    <row r="10880" spans="1:1" x14ac:dyDescent="0.2">
      <c r="A10880" s="1" t="s">
        <v>2719</v>
      </c>
    </row>
    <row r="10881" spans="1:1" x14ac:dyDescent="0.2">
      <c r="A10881" s="1" t="s">
        <v>2720</v>
      </c>
    </row>
    <row r="10882" spans="1:1" x14ac:dyDescent="0.2">
      <c r="A10882" s="1" t="s">
        <v>2721</v>
      </c>
    </row>
    <row r="10883" spans="1:1" x14ac:dyDescent="0.2">
      <c r="A10883" s="1" t="s">
        <v>2722</v>
      </c>
    </row>
    <row r="10884" spans="1:1" x14ac:dyDescent="0.2">
      <c r="A10884" s="1" t="s">
        <v>2723</v>
      </c>
    </row>
    <row r="10885" spans="1:1" x14ac:dyDescent="0.2">
      <c r="A10885" s="1" t="s">
        <v>2724</v>
      </c>
    </row>
    <row r="10886" spans="1:1" x14ac:dyDescent="0.2">
      <c r="A10886" s="1" t="s">
        <v>2725</v>
      </c>
    </row>
    <row r="10887" spans="1:1" x14ac:dyDescent="0.2">
      <c r="A10887" s="1" t="s">
        <v>2726</v>
      </c>
    </row>
    <row r="10888" spans="1:1" x14ac:dyDescent="0.2">
      <c r="A10888" s="1" t="s">
        <v>2726</v>
      </c>
    </row>
    <row r="10889" spans="1:1" x14ac:dyDescent="0.2">
      <c r="A10889" s="1" t="s">
        <v>2726</v>
      </c>
    </row>
    <row r="10890" spans="1:1" x14ac:dyDescent="0.2">
      <c r="A10890" s="1" t="s">
        <v>2726</v>
      </c>
    </row>
    <row r="10891" spans="1:1" x14ac:dyDescent="0.2">
      <c r="A10891" s="1" t="s">
        <v>2727</v>
      </c>
    </row>
    <row r="10892" spans="1:1" x14ac:dyDescent="0.2">
      <c r="A10892" s="1" t="s">
        <v>2718</v>
      </c>
    </row>
    <row r="10893" spans="1:1" x14ac:dyDescent="0.2">
      <c r="A10893" s="1" t="s">
        <v>2728</v>
      </c>
    </row>
    <row r="10894" spans="1:1" x14ac:dyDescent="0.2">
      <c r="A10894" s="1" t="s">
        <v>2728</v>
      </c>
    </row>
    <row r="10895" spans="1:1" x14ac:dyDescent="0.2">
      <c r="A10895" s="1" t="s">
        <v>2729</v>
      </c>
    </row>
    <row r="10896" spans="1:1" x14ac:dyDescent="0.2">
      <c r="A10896" s="1" t="s">
        <v>2730</v>
      </c>
    </row>
    <row r="10897" spans="1:1" x14ac:dyDescent="0.2">
      <c r="A10897" s="1" t="s">
        <v>2731</v>
      </c>
    </row>
    <row r="10898" spans="1:1" x14ac:dyDescent="0.2">
      <c r="A10898" s="1" t="s">
        <v>2732</v>
      </c>
    </row>
    <row r="10899" spans="1:1" x14ac:dyDescent="0.2">
      <c r="A10899" s="1" t="s">
        <v>2733</v>
      </c>
    </row>
    <row r="10900" spans="1:1" x14ac:dyDescent="0.2">
      <c r="A10900" s="1" t="s">
        <v>2734</v>
      </c>
    </row>
    <row r="10901" spans="1:1" x14ac:dyDescent="0.2">
      <c r="A10901" s="1" t="s">
        <v>2735</v>
      </c>
    </row>
    <row r="10902" spans="1:1" x14ac:dyDescent="0.2">
      <c r="A10902" s="1" t="s">
        <v>2736</v>
      </c>
    </row>
    <row r="10903" spans="1:1" x14ac:dyDescent="0.2">
      <c r="A10903" s="1" t="s">
        <v>2736</v>
      </c>
    </row>
    <row r="10904" spans="1:1" x14ac:dyDescent="0.2">
      <c r="A10904" s="1" t="s">
        <v>2736</v>
      </c>
    </row>
    <row r="10905" spans="1:1" x14ac:dyDescent="0.2">
      <c r="A10905" s="1" t="s">
        <v>2736</v>
      </c>
    </row>
    <row r="10906" spans="1:1" x14ac:dyDescent="0.2">
      <c r="A10906" s="1" t="s">
        <v>2737</v>
      </c>
    </row>
    <row r="10907" spans="1:1" x14ac:dyDescent="0.2">
      <c r="A10907" s="1" t="s">
        <v>2728</v>
      </c>
    </row>
    <row r="10908" spans="1:1" x14ac:dyDescent="0.2">
      <c r="A10908" s="1" t="s">
        <v>2728</v>
      </c>
    </row>
    <row r="10909" spans="1:1" x14ac:dyDescent="0.2">
      <c r="A10909" s="1" t="s">
        <v>2728</v>
      </c>
    </row>
    <row r="10910" spans="1:1" x14ac:dyDescent="0.2">
      <c r="A10910" s="1" t="s">
        <v>2729</v>
      </c>
    </row>
    <row r="10911" spans="1:1" x14ac:dyDescent="0.2">
      <c r="A10911" s="1" t="s">
        <v>2730</v>
      </c>
    </row>
    <row r="10912" spans="1:1" x14ac:dyDescent="0.2">
      <c r="A10912" s="1" t="s">
        <v>2731</v>
      </c>
    </row>
    <row r="10913" spans="1:1" x14ac:dyDescent="0.2">
      <c r="A10913" s="1" t="s">
        <v>2732</v>
      </c>
    </row>
    <row r="10914" spans="1:1" x14ac:dyDescent="0.2">
      <c r="A10914" s="1" t="s">
        <v>2733</v>
      </c>
    </row>
    <row r="10915" spans="1:1" x14ac:dyDescent="0.2">
      <c r="A10915" s="1" t="s">
        <v>2734</v>
      </c>
    </row>
    <row r="10916" spans="1:1" x14ac:dyDescent="0.2">
      <c r="A10916" s="1" t="s">
        <v>2735</v>
      </c>
    </row>
    <row r="10917" spans="1:1" x14ac:dyDescent="0.2">
      <c r="A10917" s="1" t="s">
        <v>2736</v>
      </c>
    </row>
    <row r="10918" spans="1:1" x14ac:dyDescent="0.2">
      <c r="A10918" s="1" t="s">
        <v>2736</v>
      </c>
    </row>
    <row r="10919" spans="1:1" x14ac:dyDescent="0.2">
      <c r="A10919" s="1" t="s">
        <v>2736</v>
      </c>
    </row>
    <row r="10920" spans="1:1" x14ac:dyDescent="0.2">
      <c r="A10920" s="1" t="s">
        <v>2736</v>
      </c>
    </row>
    <row r="10921" spans="1:1" x14ac:dyDescent="0.2">
      <c r="A10921" s="1" t="s">
        <v>2737</v>
      </c>
    </row>
    <row r="10922" spans="1:1" x14ac:dyDescent="0.2">
      <c r="A10922" s="1" t="s">
        <v>2728</v>
      </c>
    </row>
    <row r="10923" spans="1:1" x14ac:dyDescent="0.2">
      <c r="A10923" s="1" t="s">
        <v>2728</v>
      </c>
    </row>
    <row r="10924" spans="1:1" x14ac:dyDescent="0.2">
      <c r="A10924" s="1" t="s">
        <v>2728</v>
      </c>
    </row>
    <row r="10925" spans="1:1" x14ac:dyDescent="0.2">
      <c r="A10925" s="1" t="s">
        <v>2729</v>
      </c>
    </row>
    <row r="10926" spans="1:1" x14ac:dyDescent="0.2">
      <c r="A10926" s="1" t="s">
        <v>2730</v>
      </c>
    </row>
    <row r="10927" spans="1:1" x14ac:dyDescent="0.2">
      <c r="A10927" s="1" t="s">
        <v>2731</v>
      </c>
    </row>
    <row r="10928" spans="1:1" x14ac:dyDescent="0.2">
      <c r="A10928" s="1" t="s">
        <v>2732</v>
      </c>
    </row>
    <row r="10929" spans="1:1" x14ac:dyDescent="0.2">
      <c r="A10929" s="1" t="s">
        <v>2733</v>
      </c>
    </row>
    <row r="10930" spans="1:1" x14ac:dyDescent="0.2">
      <c r="A10930" s="1" t="s">
        <v>2734</v>
      </c>
    </row>
    <row r="10931" spans="1:1" x14ac:dyDescent="0.2">
      <c r="A10931" s="1" t="s">
        <v>2735</v>
      </c>
    </row>
    <row r="10932" spans="1:1" x14ac:dyDescent="0.2">
      <c r="A10932" s="1" t="s">
        <v>2736</v>
      </c>
    </row>
    <row r="10933" spans="1:1" x14ac:dyDescent="0.2">
      <c r="A10933" s="1" t="s">
        <v>2736</v>
      </c>
    </row>
    <row r="10934" spans="1:1" x14ac:dyDescent="0.2">
      <c r="A10934" s="1" t="s">
        <v>2736</v>
      </c>
    </row>
    <row r="10935" spans="1:1" x14ac:dyDescent="0.2">
      <c r="A10935" s="1" t="s">
        <v>2736</v>
      </c>
    </row>
    <row r="10936" spans="1:1" x14ac:dyDescent="0.2">
      <c r="A10936" s="1" t="s">
        <v>2737</v>
      </c>
    </row>
    <row r="10937" spans="1:1" x14ac:dyDescent="0.2">
      <c r="A10937" s="1" t="s">
        <v>2728</v>
      </c>
    </row>
    <row r="10938" spans="1:1" x14ac:dyDescent="0.2">
      <c r="A10938" s="1" t="s">
        <v>2728</v>
      </c>
    </row>
    <row r="10939" spans="1:1" x14ac:dyDescent="0.2">
      <c r="A10939" s="1" t="s">
        <v>2728</v>
      </c>
    </row>
    <row r="10940" spans="1:1" x14ac:dyDescent="0.2">
      <c r="A10940" s="1" t="s">
        <v>2729</v>
      </c>
    </row>
    <row r="10941" spans="1:1" x14ac:dyDescent="0.2">
      <c r="A10941" s="1" t="s">
        <v>2730</v>
      </c>
    </row>
    <row r="10942" spans="1:1" x14ac:dyDescent="0.2">
      <c r="A10942" s="1" t="s">
        <v>2731</v>
      </c>
    </row>
    <row r="10943" spans="1:1" x14ac:dyDescent="0.2">
      <c r="A10943" s="1" t="s">
        <v>2732</v>
      </c>
    </row>
    <row r="10944" spans="1:1" x14ac:dyDescent="0.2">
      <c r="A10944" s="1" t="s">
        <v>2733</v>
      </c>
    </row>
    <row r="10945" spans="1:1" x14ac:dyDescent="0.2">
      <c r="A10945" s="1" t="s">
        <v>2734</v>
      </c>
    </row>
    <row r="10946" spans="1:1" x14ac:dyDescent="0.2">
      <c r="A10946" s="1" t="s">
        <v>2735</v>
      </c>
    </row>
    <row r="10947" spans="1:1" x14ac:dyDescent="0.2">
      <c r="A10947" s="1" t="s">
        <v>2736</v>
      </c>
    </row>
    <row r="10948" spans="1:1" x14ac:dyDescent="0.2">
      <c r="A10948" s="1" t="s">
        <v>2736</v>
      </c>
    </row>
    <row r="10949" spans="1:1" x14ac:dyDescent="0.2">
      <c r="A10949" s="1" t="s">
        <v>2736</v>
      </c>
    </row>
    <row r="10950" spans="1:1" x14ac:dyDescent="0.2">
      <c r="A10950" s="1" t="s">
        <v>2736</v>
      </c>
    </row>
    <row r="10951" spans="1:1" x14ac:dyDescent="0.2">
      <c r="A10951" s="1" t="s">
        <v>2737</v>
      </c>
    </row>
    <row r="10952" spans="1:1" x14ac:dyDescent="0.2">
      <c r="A10952" s="1" t="s">
        <v>2728</v>
      </c>
    </row>
    <row r="10953" spans="1:1" x14ac:dyDescent="0.2">
      <c r="A10953" s="1" t="s">
        <v>2728</v>
      </c>
    </row>
    <row r="10954" spans="1:1" x14ac:dyDescent="0.2">
      <c r="A10954" s="1" t="s">
        <v>2728</v>
      </c>
    </row>
    <row r="10955" spans="1:1" x14ac:dyDescent="0.2">
      <c r="A10955" s="1" t="s">
        <v>2729</v>
      </c>
    </row>
    <row r="10956" spans="1:1" x14ac:dyDescent="0.2">
      <c r="A10956" s="1" t="s">
        <v>2730</v>
      </c>
    </row>
    <row r="10957" spans="1:1" x14ac:dyDescent="0.2">
      <c r="A10957" s="1" t="s">
        <v>2731</v>
      </c>
    </row>
    <row r="10958" spans="1:1" x14ac:dyDescent="0.2">
      <c r="A10958" s="1" t="s">
        <v>2732</v>
      </c>
    </row>
    <row r="10959" spans="1:1" x14ac:dyDescent="0.2">
      <c r="A10959" s="1" t="s">
        <v>2733</v>
      </c>
    </row>
    <row r="10960" spans="1:1" x14ac:dyDescent="0.2">
      <c r="A10960" s="1" t="s">
        <v>2734</v>
      </c>
    </row>
    <row r="10961" spans="1:1" x14ac:dyDescent="0.2">
      <c r="A10961" s="1" t="s">
        <v>2735</v>
      </c>
    </row>
    <row r="10962" spans="1:1" x14ac:dyDescent="0.2">
      <c r="A10962" s="1" t="s">
        <v>2736</v>
      </c>
    </row>
    <row r="10963" spans="1:1" x14ac:dyDescent="0.2">
      <c r="A10963" s="1" t="s">
        <v>2736</v>
      </c>
    </row>
    <row r="10964" spans="1:1" x14ac:dyDescent="0.2">
      <c r="A10964" s="1" t="s">
        <v>2736</v>
      </c>
    </row>
    <row r="10965" spans="1:1" x14ac:dyDescent="0.2">
      <c r="A10965" s="1" t="s">
        <v>2736</v>
      </c>
    </row>
    <row r="10966" spans="1:1" x14ac:dyDescent="0.2">
      <c r="A10966" s="1" t="s">
        <v>2737</v>
      </c>
    </row>
    <row r="10967" spans="1:1" x14ac:dyDescent="0.2">
      <c r="A10967" s="1" t="s">
        <v>2728</v>
      </c>
    </row>
    <row r="10968" spans="1:1" x14ac:dyDescent="0.2">
      <c r="A10968" s="1" t="s">
        <v>2738</v>
      </c>
    </row>
    <row r="10969" spans="1:1" x14ac:dyDescent="0.2">
      <c r="A10969" s="1" t="s">
        <v>2739</v>
      </c>
    </row>
    <row r="10970" spans="1:1" x14ac:dyDescent="0.2">
      <c r="A10970" s="1" t="s">
        <v>2740</v>
      </c>
    </row>
    <row r="10971" spans="1:1" x14ac:dyDescent="0.2">
      <c r="A10971" s="1" t="s">
        <v>2741</v>
      </c>
    </row>
    <row r="10972" spans="1:1" x14ac:dyDescent="0.2">
      <c r="A10972" s="1" t="s">
        <v>2742</v>
      </c>
    </row>
    <row r="10973" spans="1:1" x14ac:dyDescent="0.2">
      <c r="A10973" s="1" t="s">
        <v>2743</v>
      </c>
    </row>
    <row r="10974" spans="1:1" x14ac:dyDescent="0.2">
      <c r="A10974" s="1" t="s">
        <v>2744</v>
      </c>
    </row>
    <row r="10975" spans="1:1" x14ac:dyDescent="0.2">
      <c r="A10975" s="1" t="s">
        <v>2745</v>
      </c>
    </row>
    <row r="10976" spans="1:1" x14ac:dyDescent="0.2">
      <c r="A10976" s="1" t="s">
        <v>2746</v>
      </c>
    </row>
    <row r="10977" spans="1:1" x14ac:dyDescent="0.2">
      <c r="A10977" s="1" t="s">
        <v>2747</v>
      </c>
    </row>
    <row r="10978" spans="1:1" x14ac:dyDescent="0.2">
      <c r="A10978" s="1" t="s">
        <v>2748</v>
      </c>
    </row>
    <row r="10979" spans="1:1" x14ac:dyDescent="0.2">
      <c r="A10979" s="1" t="s">
        <v>2749</v>
      </c>
    </row>
    <row r="10980" spans="1:1" x14ac:dyDescent="0.2">
      <c r="A10980" s="1" t="s">
        <v>2749</v>
      </c>
    </row>
    <row r="10981" spans="1:1" x14ac:dyDescent="0.2">
      <c r="A10981" s="1" t="s">
        <v>2750</v>
      </c>
    </row>
    <row r="10982" spans="1:1" x14ac:dyDescent="0.2">
      <c r="A10982" s="1" t="s">
        <v>2751</v>
      </c>
    </row>
    <row r="10983" spans="1:1" x14ac:dyDescent="0.2">
      <c r="A10983" s="1" t="s">
        <v>2752</v>
      </c>
    </row>
    <row r="10984" spans="1:1" x14ac:dyDescent="0.2">
      <c r="A10984" s="1" t="s">
        <v>2753</v>
      </c>
    </row>
    <row r="10985" spans="1:1" x14ac:dyDescent="0.2">
      <c r="A10985" s="1" t="s">
        <v>2754</v>
      </c>
    </row>
    <row r="10986" spans="1:1" x14ac:dyDescent="0.2">
      <c r="A10986" s="1" t="s">
        <v>2755</v>
      </c>
    </row>
    <row r="10987" spans="1:1" x14ac:dyDescent="0.2">
      <c r="A10987" s="1" t="s">
        <v>2756</v>
      </c>
    </row>
    <row r="10988" spans="1:1" x14ac:dyDescent="0.2">
      <c r="A10988" s="1" t="s">
        <v>2757</v>
      </c>
    </row>
    <row r="10989" spans="1:1" x14ac:dyDescent="0.2">
      <c r="A10989" s="1" t="s">
        <v>2757</v>
      </c>
    </row>
    <row r="10990" spans="1:1" x14ac:dyDescent="0.2">
      <c r="A10990" s="1" t="s">
        <v>2757</v>
      </c>
    </row>
    <row r="10991" spans="1:1" x14ac:dyDescent="0.2">
      <c r="A10991" s="1" t="s">
        <v>2757</v>
      </c>
    </row>
    <row r="10992" spans="1:1" x14ac:dyDescent="0.2">
      <c r="A10992" s="1" t="s">
        <v>2758</v>
      </c>
    </row>
    <row r="10993" spans="1:1" x14ac:dyDescent="0.2">
      <c r="A10993" s="1" t="s">
        <v>2749</v>
      </c>
    </row>
    <row r="10994" spans="1:1" x14ac:dyDescent="0.2">
      <c r="A10994" s="1" t="s">
        <v>2749</v>
      </c>
    </row>
    <row r="10995" spans="1:1" x14ac:dyDescent="0.2">
      <c r="A10995" s="1" t="s">
        <v>2749</v>
      </c>
    </row>
    <row r="10996" spans="1:1" x14ac:dyDescent="0.2">
      <c r="A10996" s="1" t="s">
        <v>2750</v>
      </c>
    </row>
    <row r="10997" spans="1:1" x14ac:dyDescent="0.2">
      <c r="A10997" s="1" t="s">
        <v>2751</v>
      </c>
    </row>
    <row r="10998" spans="1:1" x14ac:dyDescent="0.2">
      <c r="A10998" s="1" t="s">
        <v>2752</v>
      </c>
    </row>
    <row r="10999" spans="1:1" x14ac:dyDescent="0.2">
      <c r="A10999" s="1" t="s">
        <v>2753</v>
      </c>
    </row>
    <row r="11000" spans="1:1" x14ac:dyDescent="0.2">
      <c r="A11000" s="1" t="s">
        <v>2754</v>
      </c>
    </row>
    <row r="11001" spans="1:1" x14ac:dyDescent="0.2">
      <c r="A11001" s="1" t="s">
        <v>2755</v>
      </c>
    </row>
    <row r="11002" spans="1:1" x14ac:dyDescent="0.2">
      <c r="A11002" s="1" t="s">
        <v>2756</v>
      </c>
    </row>
    <row r="11003" spans="1:1" x14ac:dyDescent="0.2">
      <c r="A11003" s="1" t="s">
        <v>2757</v>
      </c>
    </row>
    <row r="11004" spans="1:1" x14ac:dyDescent="0.2">
      <c r="A11004" s="1" t="s">
        <v>2757</v>
      </c>
    </row>
    <row r="11005" spans="1:1" x14ac:dyDescent="0.2">
      <c r="A11005" s="1" t="s">
        <v>2757</v>
      </c>
    </row>
    <row r="11006" spans="1:1" x14ac:dyDescent="0.2">
      <c r="A11006" s="1" t="s">
        <v>2757</v>
      </c>
    </row>
    <row r="11007" spans="1:1" x14ac:dyDescent="0.2">
      <c r="A11007" s="1" t="s">
        <v>2758</v>
      </c>
    </row>
    <row r="11008" spans="1:1" x14ac:dyDescent="0.2">
      <c r="A11008" s="1" t="s">
        <v>2749</v>
      </c>
    </row>
    <row r="11009" spans="1:1" x14ac:dyDescent="0.2">
      <c r="A11009" s="1" t="s">
        <v>2749</v>
      </c>
    </row>
    <row r="11010" spans="1:1" x14ac:dyDescent="0.2">
      <c r="A11010" s="1" t="s">
        <v>2749</v>
      </c>
    </row>
    <row r="11011" spans="1:1" x14ac:dyDescent="0.2">
      <c r="A11011" s="1" t="s">
        <v>2750</v>
      </c>
    </row>
    <row r="11012" spans="1:1" x14ac:dyDescent="0.2">
      <c r="A11012" s="1" t="s">
        <v>2751</v>
      </c>
    </row>
    <row r="11013" spans="1:1" x14ac:dyDescent="0.2">
      <c r="A11013" s="1" t="s">
        <v>2752</v>
      </c>
    </row>
    <row r="11014" spans="1:1" x14ac:dyDescent="0.2">
      <c r="A11014" s="1" t="s">
        <v>2753</v>
      </c>
    </row>
    <row r="11015" spans="1:1" x14ac:dyDescent="0.2">
      <c r="A11015" s="1" t="s">
        <v>2754</v>
      </c>
    </row>
    <row r="11016" spans="1:1" x14ac:dyDescent="0.2">
      <c r="A11016" s="1" t="s">
        <v>2755</v>
      </c>
    </row>
    <row r="11017" spans="1:1" x14ac:dyDescent="0.2">
      <c r="A11017" s="1" t="s">
        <v>2756</v>
      </c>
    </row>
    <row r="11018" spans="1:1" x14ac:dyDescent="0.2">
      <c r="A11018" s="1" t="s">
        <v>2757</v>
      </c>
    </row>
    <row r="11019" spans="1:1" x14ac:dyDescent="0.2">
      <c r="A11019" s="1" t="s">
        <v>2757</v>
      </c>
    </row>
    <row r="11020" spans="1:1" x14ac:dyDescent="0.2">
      <c r="A11020" s="1" t="s">
        <v>2757</v>
      </c>
    </row>
    <row r="11021" spans="1:1" x14ac:dyDescent="0.2">
      <c r="A11021" s="1" t="s">
        <v>2757</v>
      </c>
    </row>
    <row r="11022" spans="1:1" x14ac:dyDescent="0.2">
      <c r="A11022" s="1" t="s">
        <v>2758</v>
      </c>
    </row>
    <row r="11023" spans="1:1" x14ac:dyDescent="0.2">
      <c r="A11023" s="1" t="s">
        <v>2749</v>
      </c>
    </row>
    <row r="11024" spans="1:1" x14ac:dyDescent="0.2">
      <c r="A11024" s="1" t="s">
        <v>2749</v>
      </c>
    </row>
    <row r="11025" spans="1:1" x14ac:dyDescent="0.2">
      <c r="A11025" s="1" t="s">
        <v>2749</v>
      </c>
    </row>
    <row r="11026" spans="1:1" x14ac:dyDescent="0.2">
      <c r="A11026" s="1" t="s">
        <v>2750</v>
      </c>
    </row>
    <row r="11027" spans="1:1" x14ac:dyDescent="0.2">
      <c r="A11027" s="1" t="s">
        <v>2751</v>
      </c>
    </row>
    <row r="11028" spans="1:1" x14ac:dyDescent="0.2">
      <c r="A11028" s="1" t="s">
        <v>2752</v>
      </c>
    </row>
    <row r="11029" spans="1:1" x14ac:dyDescent="0.2">
      <c r="A11029" s="1" t="s">
        <v>2753</v>
      </c>
    </row>
    <row r="11030" spans="1:1" x14ac:dyDescent="0.2">
      <c r="A11030" s="1" t="s">
        <v>2754</v>
      </c>
    </row>
    <row r="11031" spans="1:1" x14ac:dyDescent="0.2">
      <c r="A11031" s="1" t="s">
        <v>2755</v>
      </c>
    </row>
    <row r="11032" spans="1:1" x14ac:dyDescent="0.2">
      <c r="A11032" s="1" t="s">
        <v>2756</v>
      </c>
    </row>
    <row r="11033" spans="1:1" x14ac:dyDescent="0.2">
      <c r="A11033" s="1" t="s">
        <v>2757</v>
      </c>
    </row>
    <row r="11034" spans="1:1" x14ac:dyDescent="0.2">
      <c r="A11034" s="1" t="s">
        <v>2757</v>
      </c>
    </row>
    <row r="11035" spans="1:1" x14ac:dyDescent="0.2">
      <c r="A11035" s="1" t="s">
        <v>2757</v>
      </c>
    </row>
    <row r="11036" spans="1:1" x14ac:dyDescent="0.2">
      <c r="A11036" s="1" t="s">
        <v>2757</v>
      </c>
    </row>
    <row r="11037" spans="1:1" x14ac:dyDescent="0.2">
      <c r="A11037" s="1" t="s">
        <v>2758</v>
      </c>
    </row>
    <row r="11038" spans="1:1" x14ac:dyDescent="0.2">
      <c r="A11038" s="1" t="s">
        <v>2749</v>
      </c>
    </row>
    <row r="11039" spans="1:1" x14ac:dyDescent="0.2">
      <c r="A11039" s="1" t="s">
        <v>2749</v>
      </c>
    </row>
    <row r="11040" spans="1:1" x14ac:dyDescent="0.2">
      <c r="A11040" s="1" t="s">
        <v>2749</v>
      </c>
    </row>
    <row r="11041" spans="1:1" x14ac:dyDescent="0.2">
      <c r="A11041" s="1" t="s">
        <v>2750</v>
      </c>
    </row>
    <row r="11042" spans="1:1" x14ac:dyDescent="0.2">
      <c r="A11042" s="1" t="s">
        <v>2751</v>
      </c>
    </row>
    <row r="11043" spans="1:1" x14ac:dyDescent="0.2">
      <c r="A11043" s="1" t="s">
        <v>2752</v>
      </c>
    </row>
    <row r="11044" spans="1:1" x14ac:dyDescent="0.2">
      <c r="A11044" s="1" t="s">
        <v>2753</v>
      </c>
    </row>
    <row r="11045" spans="1:1" x14ac:dyDescent="0.2">
      <c r="A11045" s="1" t="s">
        <v>2754</v>
      </c>
    </row>
    <row r="11046" spans="1:1" x14ac:dyDescent="0.2">
      <c r="A11046" s="1" t="s">
        <v>2755</v>
      </c>
    </row>
    <row r="11047" spans="1:1" x14ac:dyDescent="0.2">
      <c r="A11047" s="1" t="s">
        <v>2756</v>
      </c>
    </row>
    <row r="11048" spans="1:1" x14ac:dyDescent="0.2">
      <c r="A11048" s="1" t="s">
        <v>2757</v>
      </c>
    </row>
    <row r="11049" spans="1:1" x14ac:dyDescent="0.2">
      <c r="A11049" s="1" t="s">
        <v>2757</v>
      </c>
    </row>
    <row r="11050" spans="1:1" x14ac:dyDescent="0.2">
      <c r="A11050" s="1" t="s">
        <v>2757</v>
      </c>
    </row>
    <row r="11051" spans="1:1" x14ac:dyDescent="0.2">
      <c r="A11051" s="1" t="s">
        <v>2757</v>
      </c>
    </row>
    <row r="11052" spans="1:1" x14ac:dyDescent="0.2">
      <c r="A11052" s="1" t="s">
        <v>2758</v>
      </c>
    </row>
    <row r="11053" spans="1:1" x14ac:dyDescent="0.2">
      <c r="A11053" s="1" t="s">
        <v>2749</v>
      </c>
    </row>
    <row r="11054" spans="1:1" x14ac:dyDescent="0.2">
      <c r="A11054" s="1" t="s">
        <v>2759</v>
      </c>
    </row>
    <row r="11055" spans="1:1" x14ac:dyDescent="0.2">
      <c r="A11055" s="1" t="s">
        <v>2760</v>
      </c>
    </row>
    <row r="11056" spans="1:1" x14ac:dyDescent="0.2">
      <c r="A11056" s="1" t="s">
        <v>2761</v>
      </c>
    </row>
    <row r="11057" spans="1:1" x14ac:dyDescent="0.2">
      <c r="A11057" s="1" t="s">
        <v>2762</v>
      </c>
    </row>
    <row r="11058" spans="1:1" x14ac:dyDescent="0.2">
      <c r="A11058" s="1" t="s">
        <v>2763</v>
      </c>
    </row>
    <row r="11059" spans="1:1" x14ac:dyDescent="0.2">
      <c r="A11059" s="1" t="s">
        <v>2764</v>
      </c>
    </row>
    <row r="11060" spans="1:1" x14ac:dyDescent="0.2">
      <c r="A11060" s="1" t="s">
        <v>2765</v>
      </c>
    </row>
    <row r="11061" spans="1:1" x14ac:dyDescent="0.2">
      <c r="A11061" s="1" t="s">
        <v>2766</v>
      </c>
    </row>
    <row r="11062" spans="1:1" x14ac:dyDescent="0.2">
      <c r="A11062" s="1" t="s">
        <v>2767</v>
      </c>
    </row>
    <row r="11063" spans="1:1" x14ac:dyDescent="0.2">
      <c r="A11063" s="1" t="s">
        <v>2768</v>
      </c>
    </row>
    <row r="11064" spans="1:1" x14ac:dyDescent="0.2">
      <c r="A11064" s="1" t="s">
        <v>2769</v>
      </c>
    </row>
    <row r="11065" spans="1:1" x14ac:dyDescent="0.2">
      <c r="A11065" s="1" t="s">
        <v>2770</v>
      </c>
    </row>
    <row r="11066" spans="1:1" x14ac:dyDescent="0.2">
      <c r="A11066" s="1" t="s">
        <v>2770</v>
      </c>
    </row>
    <row r="11067" spans="1:1" x14ac:dyDescent="0.2">
      <c r="A11067" s="1" t="s">
        <v>2771</v>
      </c>
    </row>
    <row r="11068" spans="1:1" x14ac:dyDescent="0.2">
      <c r="A11068" s="1" t="s">
        <v>2772</v>
      </c>
    </row>
    <row r="11069" spans="1:1" x14ac:dyDescent="0.2">
      <c r="A11069" s="1" t="s">
        <v>2773</v>
      </c>
    </row>
    <row r="11070" spans="1:1" x14ac:dyDescent="0.2">
      <c r="A11070" s="1" t="s">
        <v>2774</v>
      </c>
    </row>
    <row r="11071" spans="1:1" x14ac:dyDescent="0.2">
      <c r="A11071" s="1" t="s">
        <v>2775</v>
      </c>
    </row>
    <row r="11072" spans="1:1" x14ac:dyDescent="0.2">
      <c r="A11072" s="1" t="s">
        <v>2776</v>
      </c>
    </row>
    <row r="11073" spans="1:1" x14ac:dyDescent="0.2">
      <c r="A11073" s="1" t="s">
        <v>2777</v>
      </c>
    </row>
    <row r="11074" spans="1:1" x14ac:dyDescent="0.2">
      <c r="A11074" s="1" t="s">
        <v>2778</v>
      </c>
    </row>
    <row r="11075" spans="1:1" x14ac:dyDescent="0.2">
      <c r="A11075" s="1" t="s">
        <v>2778</v>
      </c>
    </row>
    <row r="11076" spans="1:1" x14ac:dyDescent="0.2">
      <c r="A11076" s="1" t="s">
        <v>2778</v>
      </c>
    </row>
    <row r="11077" spans="1:1" x14ac:dyDescent="0.2">
      <c r="A11077" s="1" t="s">
        <v>2778</v>
      </c>
    </row>
    <row r="11078" spans="1:1" x14ac:dyDescent="0.2">
      <c r="A11078" s="1" t="s">
        <v>2779</v>
      </c>
    </row>
    <row r="11079" spans="1:1" x14ac:dyDescent="0.2">
      <c r="A11079" s="1" t="s">
        <v>2770</v>
      </c>
    </row>
    <row r="11080" spans="1:1" x14ac:dyDescent="0.2">
      <c r="A11080" s="1" t="s">
        <v>2770</v>
      </c>
    </row>
    <row r="11081" spans="1:1" x14ac:dyDescent="0.2">
      <c r="A11081" s="1" t="s">
        <v>2770</v>
      </c>
    </row>
    <row r="11082" spans="1:1" x14ac:dyDescent="0.2">
      <c r="A11082" s="1" t="s">
        <v>2771</v>
      </c>
    </row>
    <row r="11083" spans="1:1" x14ac:dyDescent="0.2">
      <c r="A11083" s="1" t="s">
        <v>2772</v>
      </c>
    </row>
    <row r="11084" spans="1:1" x14ac:dyDescent="0.2">
      <c r="A11084" s="1" t="s">
        <v>2773</v>
      </c>
    </row>
    <row r="11085" spans="1:1" x14ac:dyDescent="0.2">
      <c r="A11085" s="1" t="s">
        <v>2774</v>
      </c>
    </row>
    <row r="11086" spans="1:1" x14ac:dyDescent="0.2">
      <c r="A11086" s="1" t="s">
        <v>2775</v>
      </c>
    </row>
    <row r="11087" spans="1:1" x14ac:dyDescent="0.2">
      <c r="A11087" s="1" t="s">
        <v>2776</v>
      </c>
    </row>
    <row r="11088" spans="1:1" x14ac:dyDescent="0.2">
      <c r="A11088" s="1" t="s">
        <v>2777</v>
      </c>
    </row>
    <row r="11089" spans="1:1" x14ac:dyDescent="0.2">
      <c r="A11089" s="1" t="s">
        <v>2778</v>
      </c>
    </row>
    <row r="11090" spans="1:1" x14ac:dyDescent="0.2">
      <c r="A11090" s="1" t="s">
        <v>2778</v>
      </c>
    </row>
    <row r="11091" spans="1:1" x14ac:dyDescent="0.2">
      <c r="A11091" s="1" t="s">
        <v>2778</v>
      </c>
    </row>
    <row r="11092" spans="1:1" x14ac:dyDescent="0.2">
      <c r="A11092" s="1" t="s">
        <v>2778</v>
      </c>
    </row>
    <row r="11093" spans="1:1" x14ac:dyDescent="0.2">
      <c r="A11093" s="1" t="s">
        <v>2779</v>
      </c>
    </row>
    <row r="11094" spans="1:1" x14ac:dyDescent="0.2">
      <c r="A11094" s="1" t="s">
        <v>2770</v>
      </c>
    </row>
    <row r="11095" spans="1:1" x14ac:dyDescent="0.2">
      <c r="A11095" s="1" t="s">
        <v>2770</v>
      </c>
    </row>
    <row r="11096" spans="1:1" x14ac:dyDescent="0.2">
      <c r="A11096" s="1" t="s">
        <v>2770</v>
      </c>
    </row>
    <row r="11097" spans="1:1" x14ac:dyDescent="0.2">
      <c r="A11097" s="1" t="s">
        <v>2771</v>
      </c>
    </row>
    <row r="11098" spans="1:1" x14ac:dyDescent="0.2">
      <c r="A11098" s="1" t="s">
        <v>2772</v>
      </c>
    </row>
    <row r="11099" spans="1:1" x14ac:dyDescent="0.2">
      <c r="A11099" s="1" t="s">
        <v>2773</v>
      </c>
    </row>
    <row r="11100" spans="1:1" x14ac:dyDescent="0.2">
      <c r="A11100" s="1" t="s">
        <v>2774</v>
      </c>
    </row>
    <row r="11101" spans="1:1" x14ac:dyDescent="0.2">
      <c r="A11101" s="1" t="s">
        <v>2775</v>
      </c>
    </row>
    <row r="11102" spans="1:1" x14ac:dyDescent="0.2">
      <c r="A11102" s="1" t="s">
        <v>2776</v>
      </c>
    </row>
    <row r="11103" spans="1:1" x14ac:dyDescent="0.2">
      <c r="A11103" s="1" t="s">
        <v>2777</v>
      </c>
    </row>
    <row r="11104" spans="1:1" x14ac:dyDescent="0.2">
      <c r="A11104" s="1" t="s">
        <v>2778</v>
      </c>
    </row>
    <row r="11105" spans="1:1" x14ac:dyDescent="0.2">
      <c r="A11105" s="1" t="s">
        <v>2778</v>
      </c>
    </row>
    <row r="11106" spans="1:1" x14ac:dyDescent="0.2">
      <c r="A11106" s="1" t="s">
        <v>2778</v>
      </c>
    </row>
    <row r="11107" spans="1:1" x14ac:dyDescent="0.2">
      <c r="A11107" s="1" t="s">
        <v>2778</v>
      </c>
    </row>
    <row r="11108" spans="1:1" x14ac:dyDescent="0.2">
      <c r="A11108" s="1" t="s">
        <v>2779</v>
      </c>
    </row>
    <row r="11109" spans="1:1" x14ac:dyDescent="0.2">
      <c r="A11109" s="1" t="s">
        <v>2770</v>
      </c>
    </row>
    <row r="11110" spans="1:1" x14ac:dyDescent="0.2">
      <c r="A11110" s="1" t="s">
        <v>2770</v>
      </c>
    </row>
    <row r="11111" spans="1:1" x14ac:dyDescent="0.2">
      <c r="A11111" s="1" t="s">
        <v>2770</v>
      </c>
    </row>
    <row r="11112" spans="1:1" x14ac:dyDescent="0.2">
      <c r="A11112" s="1" t="s">
        <v>2771</v>
      </c>
    </row>
    <row r="11113" spans="1:1" x14ac:dyDescent="0.2">
      <c r="A11113" s="1" t="s">
        <v>2772</v>
      </c>
    </row>
    <row r="11114" spans="1:1" x14ac:dyDescent="0.2">
      <c r="A11114" s="1" t="s">
        <v>2773</v>
      </c>
    </row>
    <row r="11115" spans="1:1" x14ac:dyDescent="0.2">
      <c r="A11115" s="1" t="s">
        <v>2774</v>
      </c>
    </row>
    <row r="11116" spans="1:1" x14ac:dyDescent="0.2">
      <c r="A11116" s="1" t="s">
        <v>2775</v>
      </c>
    </row>
    <row r="11117" spans="1:1" x14ac:dyDescent="0.2">
      <c r="A11117" s="1" t="s">
        <v>2776</v>
      </c>
    </row>
    <row r="11118" spans="1:1" x14ac:dyDescent="0.2">
      <c r="A11118" s="1" t="s">
        <v>2777</v>
      </c>
    </row>
    <row r="11119" spans="1:1" x14ac:dyDescent="0.2">
      <c r="A11119" s="1" t="s">
        <v>2778</v>
      </c>
    </row>
    <row r="11120" spans="1:1" x14ac:dyDescent="0.2">
      <c r="A11120" s="1" t="s">
        <v>2778</v>
      </c>
    </row>
    <row r="11121" spans="1:1" x14ac:dyDescent="0.2">
      <c r="A11121" s="1" t="s">
        <v>2778</v>
      </c>
    </row>
    <row r="11122" spans="1:1" x14ac:dyDescent="0.2">
      <c r="A11122" s="1" t="s">
        <v>2778</v>
      </c>
    </row>
    <row r="11123" spans="1:1" x14ac:dyDescent="0.2">
      <c r="A11123" s="1" t="s">
        <v>2780</v>
      </c>
    </row>
    <row r="11124" spans="1:1" x14ac:dyDescent="0.2">
      <c r="A11124" s="1" t="s">
        <v>2781</v>
      </c>
    </row>
    <row r="11125" spans="1:1" x14ac:dyDescent="0.2">
      <c r="A11125" s="1" t="s">
        <v>2781</v>
      </c>
    </row>
    <row r="11126" spans="1:1" x14ac:dyDescent="0.2">
      <c r="A11126" s="1" t="s">
        <v>2781</v>
      </c>
    </row>
    <row r="11127" spans="1:1" x14ac:dyDescent="0.2">
      <c r="A11127" s="1" t="s">
        <v>2782</v>
      </c>
    </row>
    <row r="11128" spans="1:1" x14ac:dyDescent="0.2">
      <c r="A11128" s="1" t="s">
        <v>2783</v>
      </c>
    </row>
    <row r="11129" spans="1:1" x14ac:dyDescent="0.2">
      <c r="A11129" s="1" t="s">
        <v>2784</v>
      </c>
    </row>
    <row r="11130" spans="1:1" x14ac:dyDescent="0.2">
      <c r="A11130" s="1" t="s">
        <v>2785</v>
      </c>
    </row>
    <row r="11131" spans="1:1" x14ac:dyDescent="0.2">
      <c r="A11131" s="1" t="s">
        <v>2786</v>
      </c>
    </row>
    <row r="11132" spans="1:1" x14ac:dyDescent="0.2">
      <c r="A11132" s="1" t="s">
        <v>2787</v>
      </c>
    </row>
    <row r="11133" spans="1:1" x14ac:dyDescent="0.2">
      <c r="A11133" s="1" t="s">
        <v>2788</v>
      </c>
    </row>
    <row r="11134" spans="1:1" x14ac:dyDescent="0.2">
      <c r="A11134" s="1" t="s">
        <v>2789</v>
      </c>
    </row>
    <row r="11135" spans="1:1" x14ac:dyDescent="0.2">
      <c r="A11135" s="1" t="s">
        <v>2789</v>
      </c>
    </row>
    <row r="11136" spans="1:1" x14ac:dyDescent="0.2">
      <c r="A11136" s="1" t="s">
        <v>2789</v>
      </c>
    </row>
    <row r="11137" spans="1:1" x14ac:dyDescent="0.2">
      <c r="A11137" s="1" t="s">
        <v>2789</v>
      </c>
    </row>
    <row r="11138" spans="1:1" x14ac:dyDescent="0.2">
      <c r="A11138" s="1" t="s">
        <v>2780</v>
      </c>
    </row>
    <row r="11139" spans="1:1" x14ac:dyDescent="0.2">
      <c r="A11139" s="1" t="s">
        <v>2781</v>
      </c>
    </row>
    <row r="11140" spans="1:1" x14ac:dyDescent="0.2">
      <c r="A11140" s="1" t="s">
        <v>2790</v>
      </c>
    </row>
    <row r="11141" spans="1:1" x14ac:dyDescent="0.2">
      <c r="A11141" s="1" t="s">
        <v>2791</v>
      </c>
    </row>
    <row r="11142" spans="1:1" x14ac:dyDescent="0.2">
      <c r="A11142" s="1" t="s">
        <v>2781</v>
      </c>
    </row>
    <row r="11143" spans="1:1" x14ac:dyDescent="0.2">
      <c r="A11143" s="1" t="s">
        <v>2792</v>
      </c>
    </row>
    <row r="11144" spans="1:1" x14ac:dyDescent="0.2">
      <c r="A11144" s="1" t="s">
        <v>2793</v>
      </c>
    </row>
    <row r="11145" spans="1:1" x14ac:dyDescent="0.2">
      <c r="A11145" s="1" t="s">
        <v>2794</v>
      </c>
    </row>
    <row r="11146" spans="1:1" x14ac:dyDescent="0.2">
      <c r="A11146" s="1" t="s">
        <v>2795</v>
      </c>
    </row>
    <row r="11147" spans="1:1" x14ac:dyDescent="0.2">
      <c r="A11147" s="1" t="s">
        <v>2796</v>
      </c>
    </row>
    <row r="11148" spans="1:1" x14ac:dyDescent="0.2">
      <c r="A11148" s="1" t="s">
        <v>2797</v>
      </c>
    </row>
    <row r="11149" spans="1:1" x14ac:dyDescent="0.2">
      <c r="A11149" s="1" t="s">
        <v>2798</v>
      </c>
    </row>
    <row r="11150" spans="1:1" x14ac:dyDescent="0.2">
      <c r="A11150" s="1" t="s">
        <v>2799</v>
      </c>
    </row>
    <row r="11151" spans="1:1" x14ac:dyDescent="0.2">
      <c r="A11151" s="1" t="s">
        <v>2790</v>
      </c>
    </row>
    <row r="11152" spans="1:1" x14ac:dyDescent="0.2">
      <c r="A11152" s="1" t="s">
        <v>2800</v>
      </c>
    </row>
    <row r="11153" spans="1:1" x14ac:dyDescent="0.2">
      <c r="A11153" s="1" t="s">
        <v>2781</v>
      </c>
    </row>
    <row r="11154" spans="1:1" x14ac:dyDescent="0.2">
      <c r="A11154" s="1" t="s">
        <v>2792</v>
      </c>
    </row>
    <row r="11155" spans="1:1" x14ac:dyDescent="0.2">
      <c r="A11155" s="1" t="s">
        <v>2793</v>
      </c>
    </row>
    <row r="11156" spans="1:1" x14ac:dyDescent="0.2">
      <c r="A11156" s="1" t="s">
        <v>2801</v>
      </c>
    </row>
    <row r="11157" spans="1:1" x14ac:dyDescent="0.2">
      <c r="A11157" s="1" t="s">
        <v>2795</v>
      </c>
    </row>
    <row r="11158" spans="1:1" x14ac:dyDescent="0.2">
      <c r="A11158" s="1" t="s">
        <v>2796</v>
      </c>
    </row>
    <row r="11159" spans="1:1" x14ac:dyDescent="0.2">
      <c r="A11159" s="1" t="s">
        <v>2797</v>
      </c>
    </row>
    <row r="11160" spans="1:1" x14ac:dyDescent="0.2">
      <c r="A11160" s="1" t="s">
        <v>2798</v>
      </c>
    </row>
    <row r="11161" spans="1:1" x14ac:dyDescent="0.2">
      <c r="A11161" s="1" t="s">
        <v>2799</v>
      </c>
    </row>
    <row r="11162" spans="1:1" x14ac:dyDescent="0.2">
      <c r="A11162" s="1" t="s">
        <v>2802</v>
      </c>
    </row>
    <row r="11163" spans="1:1" x14ac:dyDescent="0.2">
      <c r="A11163" s="1" t="s">
        <v>2803</v>
      </c>
    </row>
    <row r="11164" spans="1:1" x14ac:dyDescent="0.2">
      <c r="A11164" s="1" t="s">
        <v>2804</v>
      </c>
    </row>
    <row r="11165" spans="1:1" x14ac:dyDescent="0.2">
      <c r="A11165" s="1" t="s">
        <v>2805</v>
      </c>
    </row>
    <row r="11166" spans="1:1" x14ac:dyDescent="0.2">
      <c r="A11166" s="1" t="s">
        <v>2806</v>
      </c>
    </row>
    <row r="11167" spans="1:1" x14ac:dyDescent="0.2">
      <c r="A11167" s="1" t="s">
        <v>2807</v>
      </c>
    </row>
    <row r="11168" spans="1:1" x14ac:dyDescent="0.2">
      <c r="A11168" s="1" t="s">
        <v>2808</v>
      </c>
    </row>
    <row r="11169" spans="1:1" x14ac:dyDescent="0.2">
      <c r="A11169" s="1" t="s">
        <v>2809</v>
      </c>
    </row>
    <row r="11170" spans="1:1" x14ac:dyDescent="0.2">
      <c r="A11170" s="1" t="s">
        <v>2810</v>
      </c>
    </row>
    <row r="11171" spans="1:1" x14ac:dyDescent="0.2">
      <c r="A11171" s="1" t="s">
        <v>2811</v>
      </c>
    </row>
    <row r="11172" spans="1:1" x14ac:dyDescent="0.2">
      <c r="A11172" s="1" t="s">
        <v>2812</v>
      </c>
    </row>
    <row r="11173" spans="1:1" x14ac:dyDescent="0.2">
      <c r="A11173" s="1" t="s">
        <v>2813</v>
      </c>
    </row>
    <row r="11174" spans="1:1" x14ac:dyDescent="0.2">
      <c r="A11174" s="1" t="s">
        <v>2814</v>
      </c>
    </row>
    <row r="11175" spans="1:1" x14ac:dyDescent="0.2">
      <c r="A11175" s="1" t="s">
        <v>2815</v>
      </c>
    </row>
    <row r="11176" spans="1:1" x14ac:dyDescent="0.2">
      <c r="A11176" s="1" t="s">
        <v>2813</v>
      </c>
    </row>
    <row r="11177" spans="1:1" x14ac:dyDescent="0.2">
      <c r="A11177" s="1" t="s">
        <v>2816</v>
      </c>
    </row>
    <row r="11178" spans="1:1" x14ac:dyDescent="0.2">
      <c r="A11178" s="1" t="s">
        <v>2815</v>
      </c>
    </row>
    <row r="11179" spans="1:1" x14ac:dyDescent="0.2">
      <c r="A11179" s="1" t="s">
        <v>2813</v>
      </c>
    </row>
    <row r="11180" spans="1:1" x14ac:dyDescent="0.2">
      <c r="A11180" s="1" t="s">
        <v>2817</v>
      </c>
    </row>
    <row r="11181" spans="1:1" x14ac:dyDescent="0.2">
      <c r="A11181" s="1" t="s">
        <v>2815</v>
      </c>
    </row>
    <row r="11182" spans="1:1" x14ac:dyDescent="0.2">
      <c r="A11182" s="1" t="s">
        <v>2818</v>
      </c>
    </row>
    <row r="11183" spans="1:1" x14ac:dyDescent="0.2">
      <c r="A11183" s="1" t="s">
        <v>2819</v>
      </c>
    </row>
    <row r="11184" spans="1:1" x14ac:dyDescent="0.2">
      <c r="A11184" s="1" t="s">
        <v>2820</v>
      </c>
    </row>
    <row r="11185" spans="1:1" x14ac:dyDescent="0.2">
      <c r="A11185" s="1" t="s">
        <v>2821</v>
      </c>
    </row>
    <row r="11186" spans="1:1" x14ac:dyDescent="0.2">
      <c r="A11186" s="1" t="s">
        <v>2822</v>
      </c>
    </row>
    <row r="11187" spans="1:1" x14ac:dyDescent="0.2">
      <c r="A11187" s="1" t="s">
        <v>2823</v>
      </c>
    </row>
    <row r="11188" spans="1:1" x14ac:dyDescent="0.2">
      <c r="A11188" s="1" t="s">
        <v>2824</v>
      </c>
    </row>
    <row r="11189" spans="1:1" x14ac:dyDescent="0.2">
      <c r="A11189" s="1" t="s">
        <v>2825</v>
      </c>
    </row>
    <row r="11190" spans="1:1" x14ac:dyDescent="0.2">
      <c r="A11190" s="1" t="s">
        <v>2826</v>
      </c>
    </row>
    <row r="11191" spans="1:1" x14ac:dyDescent="0.2">
      <c r="A11191" s="1" t="s">
        <v>2827</v>
      </c>
    </row>
    <row r="11192" spans="1:1" x14ac:dyDescent="0.2">
      <c r="A11192" s="1" t="s">
        <v>2828</v>
      </c>
    </row>
    <row r="11193" spans="1:1" x14ac:dyDescent="0.2">
      <c r="A11193" s="1" t="s">
        <v>2818</v>
      </c>
    </row>
    <row r="11194" spans="1:1" x14ac:dyDescent="0.2">
      <c r="A11194" s="1" t="s">
        <v>2829</v>
      </c>
    </row>
    <row r="11195" spans="1:1" x14ac:dyDescent="0.2">
      <c r="A11195" s="1" t="s">
        <v>2828</v>
      </c>
    </row>
    <row r="11196" spans="1:1" x14ac:dyDescent="0.2">
      <c r="A11196" s="1" t="s">
        <v>2818</v>
      </c>
    </row>
    <row r="11197" spans="1:1" x14ac:dyDescent="0.2">
      <c r="A11197" s="1" t="s">
        <v>2830</v>
      </c>
    </row>
    <row r="11198" spans="1:1" x14ac:dyDescent="0.2">
      <c r="A11198" s="1" t="s">
        <v>2820</v>
      </c>
    </row>
    <row r="11199" spans="1:1" x14ac:dyDescent="0.2">
      <c r="A11199" s="1" t="s">
        <v>2821</v>
      </c>
    </row>
    <row r="11200" spans="1:1" x14ac:dyDescent="0.2">
      <c r="A11200" s="1" t="s">
        <v>2822</v>
      </c>
    </row>
    <row r="11201" spans="1:1" x14ac:dyDescent="0.2">
      <c r="A11201" s="1" t="s">
        <v>2831</v>
      </c>
    </row>
    <row r="11202" spans="1:1" x14ac:dyDescent="0.2">
      <c r="A11202" s="1" t="s">
        <v>2824</v>
      </c>
    </row>
    <row r="11203" spans="1:1" x14ac:dyDescent="0.2">
      <c r="A11203" s="1" t="s">
        <v>2825</v>
      </c>
    </row>
    <row r="11204" spans="1:1" x14ac:dyDescent="0.2">
      <c r="A11204" s="1" t="s">
        <v>2826</v>
      </c>
    </row>
    <row r="11205" spans="1:1" x14ac:dyDescent="0.2">
      <c r="A11205" s="1" t="s">
        <v>2827</v>
      </c>
    </row>
    <row r="11206" spans="1:1" x14ac:dyDescent="0.2">
      <c r="A11206" s="1" t="s">
        <v>2828</v>
      </c>
    </row>
    <row r="11207" spans="1:1" x14ac:dyDescent="0.2">
      <c r="A11207" s="1" t="s">
        <v>2832</v>
      </c>
    </row>
    <row r="11208" spans="1:1" x14ac:dyDescent="0.2">
      <c r="A11208" s="1" t="s">
        <v>2833</v>
      </c>
    </row>
    <row r="11209" spans="1:1" x14ac:dyDescent="0.2">
      <c r="A11209" s="1" t="s">
        <v>2834</v>
      </c>
    </row>
    <row r="11210" spans="1:1" x14ac:dyDescent="0.2">
      <c r="A11210" s="1" t="s">
        <v>2835</v>
      </c>
    </row>
    <row r="11211" spans="1:1" x14ac:dyDescent="0.2">
      <c r="A11211" s="1" t="s">
        <v>2835</v>
      </c>
    </row>
    <row r="11212" spans="1:1" x14ac:dyDescent="0.2">
      <c r="A11212" s="1" t="s">
        <v>2836</v>
      </c>
    </row>
    <row r="11213" spans="1:1" x14ac:dyDescent="0.2">
      <c r="A11213" s="1" t="s">
        <v>2837</v>
      </c>
    </row>
    <row r="11214" spans="1:1" x14ac:dyDescent="0.2">
      <c r="A11214" s="1" t="s">
        <v>2838</v>
      </c>
    </row>
    <row r="11215" spans="1:1" x14ac:dyDescent="0.2">
      <c r="A11215" s="1" t="s">
        <v>2839</v>
      </c>
    </row>
    <row r="11216" spans="1:1" x14ac:dyDescent="0.2">
      <c r="A11216" s="1" t="s">
        <v>2840</v>
      </c>
    </row>
    <row r="11217" spans="1:1" x14ac:dyDescent="0.2">
      <c r="A11217" s="1" t="s">
        <v>2841</v>
      </c>
    </row>
    <row r="11218" spans="1:1" x14ac:dyDescent="0.2">
      <c r="A11218" s="1" t="s">
        <v>2842</v>
      </c>
    </row>
    <row r="11219" spans="1:1" x14ac:dyDescent="0.2">
      <c r="A11219" s="1" t="s">
        <v>2843</v>
      </c>
    </row>
    <row r="11220" spans="1:1" x14ac:dyDescent="0.2">
      <c r="A11220" s="1" t="s">
        <v>2843</v>
      </c>
    </row>
    <row r="11221" spans="1:1" x14ac:dyDescent="0.2">
      <c r="A11221" s="1" t="s">
        <v>2843</v>
      </c>
    </row>
    <row r="11222" spans="1:1" x14ac:dyDescent="0.2">
      <c r="A11222" s="1" t="s">
        <v>2843</v>
      </c>
    </row>
    <row r="11223" spans="1:1" x14ac:dyDescent="0.2">
      <c r="A11223" s="1" t="s">
        <v>2844</v>
      </c>
    </row>
    <row r="11224" spans="1:1" x14ac:dyDescent="0.2">
      <c r="A11224" s="1" t="s">
        <v>2835</v>
      </c>
    </row>
    <row r="11225" spans="1:1" x14ac:dyDescent="0.2">
      <c r="A11225" s="1" t="s">
        <v>2835</v>
      </c>
    </row>
    <row r="11226" spans="1:1" x14ac:dyDescent="0.2">
      <c r="A11226" s="1" t="s">
        <v>2835</v>
      </c>
    </row>
    <row r="11227" spans="1:1" x14ac:dyDescent="0.2">
      <c r="A11227" s="1" t="s">
        <v>2836</v>
      </c>
    </row>
    <row r="11228" spans="1:1" x14ac:dyDescent="0.2">
      <c r="A11228" s="1" t="s">
        <v>2837</v>
      </c>
    </row>
    <row r="11229" spans="1:1" x14ac:dyDescent="0.2">
      <c r="A11229" s="1" t="s">
        <v>2838</v>
      </c>
    </row>
    <row r="11230" spans="1:1" x14ac:dyDescent="0.2">
      <c r="A11230" s="1" t="s">
        <v>2839</v>
      </c>
    </row>
    <row r="11231" spans="1:1" x14ac:dyDescent="0.2">
      <c r="A11231" s="1" t="s">
        <v>2840</v>
      </c>
    </row>
    <row r="11232" spans="1:1" x14ac:dyDescent="0.2">
      <c r="A11232" s="1" t="s">
        <v>2841</v>
      </c>
    </row>
    <row r="11233" spans="1:1" x14ac:dyDescent="0.2">
      <c r="A11233" s="1" t="s">
        <v>2842</v>
      </c>
    </row>
    <row r="11234" spans="1:1" x14ac:dyDescent="0.2">
      <c r="A11234" s="1" t="s">
        <v>2843</v>
      </c>
    </row>
    <row r="11235" spans="1:1" x14ac:dyDescent="0.2">
      <c r="A11235" s="1" t="s">
        <v>2843</v>
      </c>
    </row>
    <row r="11236" spans="1:1" x14ac:dyDescent="0.2">
      <c r="A11236" s="1" t="s">
        <v>2843</v>
      </c>
    </row>
    <row r="11237" spans="1:1" x14ac:dyDescent="0.2">
      <c r="A11237" s="1" t="s">
        <v>2843</v>
      </c>
    </row>
    <row r="11238" spans="1:1" x14ac:dyDescent="0.2">
      <c r="A11238" s="1" t="s">
        <v>2844</v>
      </c>
    </row>
    <row r="11239" spans="1:1" x14ac:dyDescent="0.2">
      <c r="A11239" s="1" t="s">
        <v>2835</v>
      </c>
    </row>
    <row r="11240" spans="1:1" x14ac:dyDescent="0.2">
      <c r="A11240" s="1" t="s">
        <v>2835</v>
      </c>
    </row>
    <row r="11241" spans="1:1" x14ac:dyDescent="0.2">
      <c r="A11241" s="1" t="s">
        <v>2835</v>
      </c>
    </row>
    <row r="11242" spans="1:1" x14ac:dyDescent="0.2">
      <c r="A11242" s="1" t="s">
        <v>2836</v>
      </c>
    </row>
    <row r="11243" spans="1:1" x14ac:dyDescent="0.2">
      <c r="A11243" s="1" t="s">
        <v>2837</v>
      </c>
    </row>
    <row r="11244" spans="1:1" x14ac:dyDescent="0.2">
      <c r="A11244" s="1" t="s">
        <v>2838</v>
      </c>
    </row>
    <row r="11245" spans="1:1" x14ac:dyDescent="0.2">
      <c r="A11245" s="1" t="s">
        <v>2839</v>
      </c>
    </row>
    <row r="11246" spans="1:1" x14ac:dyDescent="0.2">
      <c r="A11246" s="1" t="s">
        <v>2840</v>
      </c>
    </row>
    <row r="11247" spans="1:1" x14ac:dyDescent="0.2">
      <c r="A11247" s="1" t="s">
        <v>2841</v>
      </c>
    </row>
    <row r="11248" spans="1:1" x14ac:dyDescent="0.2">
      <c r="A11248" s="1" t="s">
        <v>2842</v>
      </c>
    </row>
    <row r="11249" spans="1:1" x14ac:dyDescent="0.2">
      <c r="A11249" s="1" t="s">
        <v>2843</v>
      </c>
    </row>
    <row r="11250" spans="1:1" x14ac:dyDescent="0.2">
      <c r="A11250" s="1" t="s">
        <v>2843</v>
      </c>
    </row>
    <row r="11251" spans="1:1" x14ac:dyDescent="0.2">
      <c r="A11251" s="1" t="s">
        <v>2843</v>
      </c>
    </row>
    <row r="11252" spans="1:1" x14ac:dyDescent="0.2">
      <c r="A11252" s="1" t="s">
        <v>2843</v>
      </c>
    </row>
    <row r="11253" spans="1:1" x14ac:dyDescent="0.2">
      <c r="A11253" s="1" t="s">
        <v>2844</v>
      </c>
    </row>
    <row r="11254" spans="1:1" x14ac:dyDescent="0.2">
      <c r="A11254" s="1" t="s">
        <v>2835</v>
      </c>
    </row>
    <row r="11255" spans="1:1" x14ac:dyDescent="0.2">
      <c r="A11255" s="1" t="s">
        <v>2835</v>
      </c>
    </row>
    <row r="11256" spans="1:1" x14ac:dyDescent="0.2">
      <c r="A11256" s="1" t="s">
        <v>2835</v>
      </c>
    </row>
    <row r="11257" spans="1:1" x14ac:dyDescent="0.2">
      <c r="A11257" s="1" t="s">
        <v>2836</v>
      </c>
    </row>
    <row r="11258" spans="1:1" x14ac:dyDescent="0.2">
      <c r="A11258" s="1" t="s">
        <v>2837</v>
      </c>
    </row>
    <row r="11259" spans="1:1" x14ac:dyDescent="0.2">
      <c r="A11259" s="1" t="s">
        <v>2838</v>
      </c>
    </row>
    <row r="11260" spans="1:1" x14ac:dyDescent="0.2">
      <c r="A11260" s="1" t="s">
        <v>2839</v>
      </c>
    </row>
    <row r="11261" spans="1:1" x14ac:dyDescent="0.2">
      <c r="A11261" s="1" t="s">
        <v>2840</v>
      </c>
    </row>
    <row r="11262" spans="1:1" x14ac:dyDescent="0.2">
      <c r="A11262" s="1" t="s">
        <v>2841</v>
      </c>
    </row>
    <row r="11263" spans="1:1" x14ac:dyDescent="0.2">
      <c r="A11263" s="1" t="s">
        <v>2842</v>
      </c>
    </row>
    <row r="11264" spans="1:1" x14ac:dyDescent="0.2">
      <c r="A11264" s="1" t="s">
        <v>2843</v>
      </c>
    </row>
    <row r="11265" spans="1:1" x14ac:dyDescent="0.2">
      <c r="A11265" s="1" t="s">
        <v>2843</v>
      </c>
    </row>
    <row r="11266" spans="1:1" x14ac:dyDescent="0.2">
      <c r="A11266" s="1" t="s">
        <v>2843</v>
      </c>
    </row>
    <row r="11267" spans="1:1" x14ac:dyDescent="0.2">
      <c r="A11267" s="1" t="s">
        <v>2843</v>
      </c>
    </row>
    <row r="11268" spans="1:1" x14ac:dyDescent="0.2">
      <c r="A11268" s="1" t="s">
        <v>2844</v>
      </c>
    </row>
    <row r="11269" spans="1:1" x14ac:dyDescent="0.2">
      <c r="A11269" s="1" t="s">
        <v>2835</v>
      </c>
    </row>
    <row r="11270" spans="1:1" x14ac:dyDescent="0.2">
      <c r="A11270" s="1" t="s">
        <v>2835</v>
      </c>
    </row>
    <row r="11271" spans="1:1" x14ac:dyDescent="0.2">
      <c r="A11271" s="1" t="s">
        <v>2835</v>
      </c>
    </row>
    <row r="11272" spans="1:1" x14ac:dyDescent="0.2">
      <c r="A11272" s="1" t="s">
        <v>2836</v>
      </c>
    </row>
    <row r="11273" spans="1:1" x14ac:dyDescent="0.2">
      <c r="A11273" s="1" t="s">
        <v>2837</v>
      </c>
    </row>
    <row r="11274" spans="1:1" x14ac:dyDescent="0.2">
      <c r="A11274" s="1" t="s">
        <v>2838</v>
      </c>
    </row>
    <row r="11275" spans="1:1" x14ac:dyDescent="0.2">
      <c r="A11275" s="1" t="s">
        <v>2839</v>
      </c>
    </row>
    <row r="11276" spans="1:1" x14ac:dyDescent="0.2">
      <c r="A11276" s="1" t="s">
        <v>2840</v>
      </c>
    </row>
    <row r="11277" spans="1:1" x14ac:dyDescent="0.2">
      <c r="A11277" s="1" t="s">
        <v>2841</v>
      </c>
    </row>
    <row r="11278" spans="1:1" x14ac:dyDescent="0.2">
      <c r="A11278" s="1" t="s">
        <v>2842</v>
      </c>
    </row>
    <row r="11279" spans="1:1" x14ac:dyDescent="0.2">
      <c r="A11279" s="1" t="s">
        <v>2843</v>
      </c>
    </row>
    <row r="11280" spans="1:1" x14ac:dyDescent="0.2">
      <c r="A11280" s="1" t="s">
        <v>2843</v>
      </c>
    </row>
    <row r="11281" spans="1:1" x14ac:dyDescent="0.2">
      <c r="A11281" s="1" t="s">
        <v>2843</v>
      </c>
    </row>
    <row r="11282" spans="1:1" x14ac:dyDescent="0.2">
      <c r="A11282" s="1" t="s">
        <v>2843</v>
      </c>
    </row>
    <row r="11283" spans="1:1" x14ac:dyDescent="0.2">
      <c r="A11283" s="1" t="s">
        <v>2844</v>
      </c>
    </row>
    <row r="11284" spans="1:1" x14ac:dyDescent="0.2">
      <c r="A11284" s="1" t="s">
        <v>2835</v>
      </c>
    </row>
    <row r="11285" spans="1:1" x14ac:dyDescent="0.2">
      <c r="A11285" s="1" t="s">
        <v>2845</v>
      </c>
    </row>
    <row r="11286" spans="1:1" x14ac:dyDescent="0.2">
      <c r="A11286" s="1" t="s">
        <v>2845</v>
      </c>
    </row>
    <row r="11287" spans="1:1" x14ac:dyDescent="0.2">
      <c r="A11287" s="1" t="s">
        <v>2846</v>
      </c>
    </row>
    <row r="11288" spans="1:1" x14ac:dyDescent="0.2">
      <c r="A11288" s="1" t="s">
        <v>2847</v>
      </c>
    </row>
    <row r="11289" spans="1:1" x14ac:dyDescent="0.2">
      <c r="A11289" s="1" t="s">
        <v>2848</v>
      </c>
    </row>
    <row r="11290" spans="1:1" x14ac:dyDescent="0.2">
      <c r="A11290" s="1" t="s">
        <v>2849</v>
      </c>
    </row>
    <row r="11291" spans="1:1" x14ac:dyDescent="0.2">
      <c r="A11291" s="1" t="s">
        <v>2850</v>
      </c>
    </row>
    <row r="11292" spans="1:1" x14ac:dyDescent="0.2">
      <c r="A11292" s="1" t="s">
        <v>2851</v>
      </c>
    </row>
    <row r="11293" spans="1:1" x14ac:dyDescent="0.2">
      <c r="A11293" s="1" t="s">
        <v>2852</v>
      </c>
    </row>
    <row r="11294" spans="1:1" x14ac:dyDescent="0.2">
      <c r="A11294" s="1" t="s">
        <v>2853</v>
      </c>
    </row>
    <row r="11295" spans="1:1" x14ac:dyDescent="0.2">
      <c r="A11295" s="1" t="s">
        <v>2853</v>
      </c>
    </row>
    <row r="11296" spans="1:1" x14ac:dyDescent="0.2">
      <c r="A11296" s="1" t="s">
        <v>2853</v>
      </c>
    </row>
    <row r="11297" spans="1:1" x14ac:dyDescent="0.2">
      <c r="A11297" s="1" t="s">
        <v>2853</v>
      </c>
    </row>
    <row r="11298" spans="1:1" x14ac:dyDescent="0.2">
      <c r="A11298" s="1" t="s">
        <v>2854</v>
      </c>
    </row>
    <row r="11299" spans="1:1" x14ac:dyDescent="0.2">
      <c r="A11299" s="1" t="s">
        <v>2845</v>
      </c>
    </row>
    <row r="11300" spans="1:1" x14ac:dyDescent="0.2">
      <c r="A11300" s="1" t="s">
        <v>2845</v>
      </c>
    </row>
    <row r="11301" spans="1:1" x14ac:dyDescent="0.2">
      <c r="A11301" s="1" t="s">
        <v>2845</v>
      </c>
    </row>
    <row r="11302" spans="1:1" x14ac:dyDescent="0.2">
      <c r="A11302" s="1" t="s">
        <v>2846</v>
      </c>
    </row>
    <row r="11303" spans="1:1" x14ac:dyDescent="0.2">
      <c r="A11303" s="1" t="s">
        <v>2847</v>
      </c>
    </row>
    <row r="11304" spans="1:1" x14ac:dyDescent="0.2">
      <c r="A11304" s="1" t="s">
        <v>2848</v>
      </c>
    </row>
    <row r="11305" spans="1:1" x14ac:dyDescent="0.2">
      <c r="A11305" s="1" t="s">
        <v>2849</v>
      </c>
    </row>
    <row r="11306" spans="1:1" x14ac:dyDescent="0.2">
      <c r="A11306" s="1" t="s">
        <v>2850</v>
      </c>
    </row>
    <row r="11307" spans="1:1" x14ac:dyDescent="0.2">
      <c r="A11307" s="1" t="s">
        <v>2851</v>
      </c>
    </row>
    <row r="11308" spans="1:1" x14ac:dyDescent="0.2">
      <c r="A11308" s="1" t="s">
        <v>2852</v>
      </c>
    </row>
    <row r="11309" spans="1:1" x14ac:dyDescent="0.2">
      <c r="A11309" s="1" t="s">
        <v>2853</v>
      </c>
    </row>
    <row r="11310" spans="1:1" x14ac:dyDescent="0.2">
      <c r="A11310" s="1" t="s">
        <v>2853</v>
      </c>
    </row>
    <row r="11311" spans="1:1" x14ac:dyDescent="0.2">
      <c r="A11311" s="1" t="s">
        <v>2853</v>
      </c>
    </row>
    <row r="11312" spans="1:1" x14ac:dyDescent="0.2">
      <c r="A11312" s="1" t="s">
        <v>2853</v>
      </c>
    </row>
    <row r="11313" spans="1:1" x14ac:dyDescent="0.2">
      <c r="A11313" s="1" t="s">
        <v>2854</v>
      </c>
    </row>
    <row r="11314" spans="1:1" x14ac:dyDescent="0.2">
      <c r="A11314" s="1" t="s">
        <v>2845</v>
      </c>
    </row>
    <row r="11315" spans="1:1" x14ac:dyDescent="0.2">
      <c r="A11315" s="1" t="s">
        <v>2845</v>
      </c>
    </row>
    <row r="11316" spans="1:1" x14ac:dyDescent="0.2">
      <c r="A11316" s="1" t="s">
        <v>2845</v>
      </c>
    </row>
    <row r="11317" spans="1:1" x14ac:dyDescent="0.2">
      <c r="A11317" s="1" t="s">
        <v>2846</v>
      </c>
    </row>
    <row r="11318" spans="1:1" x14ac:dyDescent="0.2">
      <c r="A11318" s="1" t="s">
        <v>2847</v>
      </c>
    </row>
    <row r="11319" spans="1:1" x14ac:dyDescent="0.2">
      <c r="A11319" s="1" t="s">
        <v>2848</v>
      </c>
    </row>
    <row r="11320" spans="1:1" x14ac:dyDescent="0.2">
      <c r="A11320" s="1" t="s">
        <v>2849</v>
      </c>
    </row>
    <row r="11321" spans="1:1" x14ac:dyDescent="0.2">
      <c r="A11321" s="1" t="s">
        <v>2850</v>
      </c>
    </row>
    <row r="11322" spans="1:1" x14ac:dyDescent="0.2">
      <c r="A11322" s="1" t="s">
        <v>2851</v>
      </c>
    </row>
    <row r="11323" spans="1:1" x14ac:dyDescent="0.2">
      <c r="A11323" s="1" t="s">
        <v>2852</v>
      </c>
    </row>
    <row r="11324" spans="1:1" x14ac:dyDescent="0.2">
      <c r="A11324" s="1" t="s">
        <v>2853</v>
      </c>
    </row>
    <row r="11325" spans="1:1" x14ac:dyDescent="0.2">
      <c r="A11325" s="1" t="s">
        <v>2853</v>
      </c>
    </row>
    <row r="11326" spans="1:1" x14ac:dyDescent="0.2">
      <c r="A11326" s="1" t="s">
        <v>2853</v>
      </c>
    </row>
    <row r="11327" spans="1:1" x14ac:dyDescent="0.2">
      <c r="A11327" s="1" t="s">
        <v>2853</v>
      </c>
    </row>
    <row r="11328" spans="1:1" x14ac:dyDescent="0.2">
      <c r="A11328" s="1" t="s">
        <v>2854</v>
      </c>
    </row>
    <row r="11329" spans="1:1" x14ac:dyDescent="0.2">
      <c r="A11329" s="1" t="s">
        <v>2845</v>
      </c>
    </row>
    <row r="11330" spans="1:1" x14ac:dyDescent="0.2">
      <c r="A11330" s="1" t="s">
        <v>2845</v>
      </c>
    </row>
    <row r="11331" spans="1:1" x14ac:dyDescent="0.2">
      <c r="A11331" s="1" t="s">
        <v>2845</v>
      </c>
    </row>
    <row r="11332" spans="1:1" x14ac:dyDescent="0.2">
      <c r="A11332" s="1" t="s">
        <v>2846</v>
      </c>
    </row>
    <row r="11333" spans="1:1" x14ac:dyDescent="0.2">
      <c r="A11333" s="1" t="s">
        <v>2847</v>
      </c>
    </row>
    <row r="11334" spans="1:1" x14ac:dyDescent="0.2">
      <c r="A11334" s="1" t="s">
        <v>2848</v>
      </c>
    </row>
    <row r="11335" spans="1:1" x14ac:dyDescent="0.2">
      <c r="A11335" s="1" t="s">
        <v>2849</v>
      </c>
    </row>
    <row r="11336" spans="1:1" x14ac:dyDescent="0.2">
      <c r="A11336" s="1" t="s">
        <v>2850</v>
      </c>
    </row>
    <row r="11337" spans="1:1" x14ac:dyDescent="0.2">
      <c r="A11337" s="1" t="s">
        <v>2851</v>
      </c>
    </row>
    <row r="11338" spans="1:1" x14ac:dyDescent="0.2">
      <c r="A11338" s="1" t="s">
        <v>2852</v>
      </c>
    </row>
    <row r="11339" spans="1:1" x14ac:dyDescent="0.2">
      <c r="A11339" s="1" t="s">
        <v>2853</v>
      </c>
    </row>
    <row r="11340" spans="1:1" x14ac:dyDescent="0.2">
      <c r="A11340" s="1" t="s">
        <v>2853</v>
      </c>
    </row>
    <row r="11341" spans="1:1" x14ac:dyDescent="0.2">
      <c r="A11341" s="1" t="s">
        <v>2853</v>
      </c>
    </row>
    <row r="11342" spans="1:1" x14ac:dyDescent="0.2">
      <c r="A11342" s="1" t="s">
        <v>2853</v>
      </c>
    </row>
    <row r="11343" spans="1:1" x14ac:dyDescent="0.2">
      <c r="A11343" s="1" t="s">
        <v>2854</v>
      </c>
    </row>
    <row r="11344" spans="1:1" x14ac:dyDescent="0.2">
      <c r="A11344" s="1" t="s">
        <v>2845</v>
      </c>
    </row>
    <row r="11345" spans="1:1" x14ac:dyDescent="0.2">
      <c r="A11345" s="1" t="s">
        <v>2845</v>
      </c>
    </row>
    <row r="11346" spans="1:1" x14ac:dyDescent="0.2">
      <c r="A11346" s="1" t="s">
        <v>2845</v>
      </c>
    </row>
    <row r="11347" spans="1:1" x14ac:dyDescent="0.2">
      <c r="A11347" s="1" t="s">
        <v>2846</v>
      </c>
    </row>
    <row r="11348" spans="1:1" x14ac:dyDescent="0.2">
      <c r="A11348" s="1" t="s">
        <v>2847</v>
      </c>
    </row>
    <row r="11349" spans="1:1" x14ac:dyDescent="0.2">
      <c r="A11349" s="1" t="s">
        <v>2848</v>
      </c>
    </row>
    <row r="11350" spans="1:1" x14ac:dyDescent="0.2">
      <c r="A11350" s="1" t="s">
        <v>2849</v>
      </c>
    </row>
    <row r="11351" spans="1:1" x14ac:dyDescent="0.2">
      <c r="A11351" s="1" t="s">
        <v>2850</v>
      </c>
    </row>
    <row r="11352" spans="1:1" x14ac:dyDescent="0.2">
      <c r="A11352" s="1" t="s">
        <v>2851</v>
      </c>
    </row>
    <row r="11353" spans="1:1" x14ac:dyDescent="0.2">
      <c r="A11353" s="1" t="s">
        <v>2852</v>
      </c>
    </row>
    <row r="11354" spans="1:1" x14ac:dyDescent="0.2">
      <c r="A11354" s="1" t="s">
        <v>2853</v>
      </c>
    </row>
    <row r="11355" spans="1:1" x14ac:dyDescent="0.2">
      <c r="A11355" s="1" t="s">
        <v>2853</v>
      </c>
    </row>
    <row r="11356" spans="1:1" x14ac:dyDescent="0.2">
      <c r="A11356" s="1" t="s">
        <v>2853</v>
      </c>
    </row>
    <row r="11357" spans="1:1" x14ac:dyDescent="0.2">
      <c r="A11357" s="1" t="s">
        <v>2853</v>
      </c>
    </row>
    <row r="11358" spans="1:1" x14ac:dyDescent="0.2">
      <c r="A11358" s="1" t="s">
        <v>2854</v>
      </c>
    </row>
    <row r="11359" spans="1:1" x14ac:dyDescent="0.2">
      <c r="A11359" s="1" t="s">
        <v>2845</v>
      </c>
    </row>
    <row r="11360" spans="1:1" x14ac:dyDescent="0.2">
      <c r="A11360" s="1" t="s">
        <v>2845</v>
      </c>
    </row>
    <row r="11361" spans="1:1" x14ac:dyDescent="0.2">
      <c r="A11361" s="1" t="s">
        <v>2845</v>
      </c>
    </row>
    <row r="11362" spans="1:1" x14ac:dyDescent="0.2">
      <c r="A11362" s="1" t="s">
        <v>2846</v>
      </c>
    </row>
    <row r="11363" spans="1:1" x14ac:dyDescent="0.2">
      <c r="A11363" s="1" t="s">
        <v>2847</v>
      </c>
    </row>
    <row r="11364" spans="1:1" x14ac:dyDescent="0.2">
      <c r="A11364" s="1" t="s">
        <v>2848</v>
      </c>
    </row>
    <row r="11365" spans="1:1" x14ac:dyDescent="0.2">
      <c r="A11365" s="1" t="s">
        <v>2849</v>
      </c>
    </row>
    <row r="11366" spans="1:1" x14ac:dyDescent="0.2">
      <c r="A11366" s="1" t="s">
        <v>2850</v>
      </c>
    </row>
    <row r="11367" spans="1:1" x14ac:dyDescent="0.2">
      <c r="A11367" s="1" t="s">
        <v>2851</v>
      </c>
    </row>
    <row r="11368" spans="1:1" x14ac:dyDescent="0.2">
      <c r="A11368" s="1" t="s">
        <v>2852</v>
      </c>
    </row>
    <row r="11369" spans="1:1" x14ac:dyDescent="0.2">
      <c r="A11369" s="1" t="s">
        <v>2853</v>
      </c>
    </row>
    <row r="11370" spans="1:1" x14ac:dyDescent="0.2">
      <c r="A11370" s="1" t="s">
        <v>2853</v>
      </c>
    </row>
    <row r="11371" spans="1:1" x14ac:dyDescent="0.2">
      <c r="A11371" s="1" t="s">
        <v>2853</v>
      </c>
    </row>
    <row r="11372" spans="1:1" x14ac:dyDescent="0.2">
      <c r="A11372" s="1" t="s">
        <v>2853</v>
      </c>
    </row>
    <row r="11373" spans="1:1" x14ac:dyDescent="0.2">
      <c r="A11373" s="1" t="s">
        <v>2854</v>
      </c>
    </row>
    <row r="11374" spans="1:1" x14ac:dyDescent="0.2">
      <c r="A11374" s="1" t="s">
        <v>2845</v>
      </c>
    </row>
    <row r="11375" spans="1:1" x14ac:dyDescent="0.2">
      <c r="A11375" s="1" t="s">
        <v>2845</v>
      </c>
    </row>
    <row r="11376" spans="1:1" x14ac:dyDescent="0.2">
      <c r="A11376" s="1" t="s">
        <v>2845</v>
      </c>
    </row>
    <row r="11377" spans="1:1" x14ac:dyDescent="0.2">
      <c r="A11377" s="1" t="s">
        <v>2846</v>
      </c>
    </row>
    <row r="11378" spans="1:1" x14ac:dyDescent="0.2">
      <c r="A11378" s="1" t="s">
        <v>2847</v>
      </c>
    </row>
    <row r="11379" spans="1:1" x14ac:dyDescent="0.2">
      <c r="A11379" s="1" t="s">
        <v>2848</v>
      </c>
    </row>
    <row r="11380" spans="1:1" x14ac:dyDescent="0.2">
      <c r="A11380" s="1" t="s">
        <v>2849</v>
      </c>
    </row>
    <row r="11381" spans="1:1" x14ac:dyDescent="0.2">
      <c r="A11381" s="1" t="s">
        <v>2850</v>
      </c>
    </row>
    <row r="11382" spans="1:1" x14ac:dyDescent="0.2">
      <c r="A11382" s="1" t="s">
        <v>2851</v>
      </c>
    </row>
    <row r="11383" spans="1:1" x14ac:dyDescent="0.2">
      <c r="A11383" s="1" t="s">
        <v>2852</v>
      </c>
    </row>
    <row r="11384" spans="1:1" x14ac:dyDescent="0.2">
      <c r="A11384" s="1" t="s">
        <v>2853</v>
      </c>
    </row>
    <row r="11385" spans="1:1" x14ac:dyDescent="0.2">
      <c r="A11385" s="1" t="s">
        <v>2853</v>
      </c>
    </row>
    <row r="11386" spans="1:1" x14ac:dyDescent="0.2">
      <c r="A11386" s="1" t="s">
        <v>2853</v>
      </c>
    </row>
    <row r="11387" spans="1:1" x14ac:dyDescent="0.2">
      <c r="A11387" s="1" t="s">
        <v>2853</v>
      </c>
    </row>
    <row r="11388" spans="1:1" x14ac:dyDescent="0.2">
      <c r="A11388" s="1" t="s">
        <v>2854</v>
      </c>
    </row>
    <row r="11389" spans="1:1" x14ac:dyDescent="0.2">
      <c r="A11389" s="1" t="s">
        <v>2845</v>
      </c>
    </row>
    <row r="11390" spans="1:1" x14ac:dyDescent="0.2">
      <c r="A11390" s="1" t="s">
        <v>2845</v>
      </c>
    </row>
    <row r="11391" spans="1:1" x14ac:dyDescent="0.2">
      <c r="A11391" s="1" t="s">
        <v>2845</v>
      </c>
    </row>
    <row r="11392" spans="1:1" x14ac:dyDescent="0.2">
      <c r="A11392" s="1" t="s">
        <v>2846</v>
      </c>
    </row>
    <row r="11393" spans="1:1" x14ac:dyDescent="0.2">
      <c r="A11393" s="1" t="s">
        <v>2847</v>
      </c>
    </row>
    <row r="11394" spans="1:1" x14ac:dyDescent="0.2">
      <c r="A11394" s="1" t="s">
        <v>2848</v>
      </c>
    </row>
    <row r="11395" spans="1:1" x14ac:dyDescent="0.2">
      <c r="A11395" s="1" t="s">
        <v>2849</v>
      </c>
    </row>
    <row r="11396" spans="1:1" x14ac:dyDescent="0.2">
      <c r="A11396" s="1" t="s">
        <v>2850</v>
      </c>
    </row>
    <row r="11397" spans="1:1" x14ac:dyDescent="0.2">
      <c r="A11397" s="1" t="s">
        <v>2851</v>
      </c>
    </row>
    <row r="11398" spans="1:1" x14ac:dyDescent="0.2">
      <c r="A11398" s="1" t="s">
        <v>2852</v>
      </c>
    </row>
    <row r="11399" spans="1:1" x14ac:dyDescent="0.2">
      <c r="A11399" s="1" t="s">
        <v>2853</v>
      </c>
    </row>
    <row r="11400" spans="1:1" x14ac:dyDescent="0.2">
      <c r="A11400" s="1" t="s">
        <v>2853</v>
      </c>
    </row>
    <row r="11401" spans="1:1" x14ac:dyDescent="0.2">
      <c r="A11401" s="1" t="s">
        <v>2853</v>
      </c>
    </row>
    <row r="11402" spans="1:1" x14ac:dyDescent="0.2">
      <c r="A11402" s="1" t="s">
        <v>2853</v>
      </c>
    </row>
    <row r="11403" spans="1:1" x14ac:dyDescent="0.2">
      <c r="A11403" s="1" t="s">
        <v>2854</v>
      </c>
    </row>
    <row r="11404" spans="1:1" x14ac:dyDescent="0.2">
      <c r="A11404" s="1" t="s">
        <v>2845</v>
      </c>
    </row>
    <row r="11405" spans="1:1" x14ac:dyDescent="0.2">
      <c r="A11405" s="1" t="s">
        <v>2845</v>
      </c>
    </row>
    <row r="11406" spans="1:1" x14ac:dyDescent="0.2">
      <c r="A11406" s="1" t="s">
        <v>2845</v>
      </c>
    </row>
    <row r="11407" spans="1:1" x14ac:dyDescent="0.2">
      <c r="A11407" s="1" t="s">
        <v>2846</v>
      </c>
    </row>
    <row r="11408" spans="1:1" x14ac:dyDescent="0.2">
      <c r="A11408" s="1" t="s">
        <v>2847</v>
      </c>
    </row>
    <row r="11409" spans="1:1" x14ac:dyDescent="0.2">
      <c r="A11409" s="1" t="s">
        <v>2848</v>
      </c>
    </row>
    <row r="11410" spans="1:1" x14ac:dyDescent="0.2">
      <c r="A11410" s="1" t="s">
        <v>2849</v>
      </c>
    </row>
    <row r="11411" spans="1:1" x14ac:dyDescent="0.2">
      <c r="A11411" s="1" t="s">
        <v>2850</v>
      </c>
    </row>
    <row r="11412" spans="1:1" x14ac:dyDescent="0.2">
      <c r="A11412" s="1" t="s">
        <v>2851</v>
      </c>
    </row>
    <row r="11413" spans="1:1" x14ac:dyDescent="0.2">
      <c r="A11413" s="1" t="s">
        <v>2852</v>
      </c>
    </row>
    <row r="11414" spans="1:1" x14ac:dyDescent="0.2">
      <c r="A11414" s="1" t="s">
        <v>2853</v>
      </c>
    </row>
    <row r="11415" spans="1:1" x14ac:dyDescent="0.2">
      <c r="A11415" s="1" t="s">
        <v>2853</v>
      </c>
    </row>
    <row r="11416" spans="1:1" x14ac:dyDescent="0.2">
      <c r="A11416" s="1" t="s">
        <v>2853</v>
      </c>
    </row>
    <row r="11417" spans="1:1" x14ac:dyDescent="0.2">
      <c r="A11417" s="1" t="s">
        <v>2853</v>
      </c>
    </row>
    <row r="11418" spans="1:1" x14ac:dyDescent="0.2">
      <c r="A11418" s="1" t="s">
        <v>2854</v>
      </c>
    </row>
    <row r="11419" spans="1:1" x14ac:dyDescent="0.2">
      <c r="A11419" s="1" t="s">
        <v>2845</v>
      </c>
    </row>
    <row r="11420" spans="1:1" x14ac:dyDescent="0.2">
      <c r="A11420" s="1" t="s">
        <v>2845</v>
      </c>
    </row>
    <row r="11421" spans="1:1" x14ac:dyDescent="0.2">
      <c r="A11421" s="1" t="s">
        <v>2845</v>
      </c>
    </row>
    <row r="11422" spans="1:1" x14ac:dyDescent="0.2">
      <c r="A11422" s="1" t="s">
        <v>2846</v>
      </c>
    </row>
    <row r="11423" spans="1:1" x14ac:dyDescent="0.2">
      <c r="A11423" s="1" t="s">
        <v>2847</v>
      </c>
    </row>
    <row r="11424" spans="1:1" x14ac:dyDescent="0.2">
      <c r="A11424" s="1" t="s">
        <v>2848</v>
      </c>
    </row>
    <row r="11425" spans="1:1" x14ac:dyDescent="0.2">
      <c r="A11425" s="1" t="s">
        <v>2849</v>
      </c>
    </row>
    <row r="11426" spans="1:1" x14ac:dyDescent="0.2">
      <c r="A11426" s="1" t="s">
        <v>2850</v>
      </c>
    </row>
    <row r="11427" spans="1:1" x14ac:dyDescent="0.2">
      <c r="A11427" s="1" t="s">
        <v>2851</v>
      </c>
    </row>
    <row r="11428" spans="1:1" x14ac:dyDescent="0.2">
      <c r="A11428" s="1" t="s">
        <v>2852</v>
      </c>
    </row>
    <row r="11429" spans="1:1" x14ac:dyDescent="0.2">
      <c r="A11429" s="1" t="s">
        <v>2853</v>
      </c>
    </row>
    <row r="11430" spans="1:1" x14ac:dyDescent="0.2">
      <c r="A11430" s="1" t="s">
        <v>2853</v>
      </c>
    </row>
    <row r="11431" spans="1:1" x14ac:dyDescent="0.2">
      <c r="A11431" s="1" t="s">
        <v>2853</v>
      </c>
    </row>
    <row r="11432" spans="1:1" x14ac:dyDescent="0.2">
      <c r="A11432" s="1" t="s">
        <v>2853</v>
      </c>
    </row>
    <row r="11433" spans="1:1" x14ac:dyDescent="0.2">
      <c r="A11433" s="1" t="s">
        <v>2854</v>
      </c>
    </row>
    <row r="11434" spans="1:1" x14ac:dyDescent="0.2">
      <c r="A11434" s="1" t="s">
        <v>2845</v>
      </c>
    </row>
    <row r="11435" spans="1:1" x14ac:dyDescent="0.2">
      <c r="A11435" s="1" t="s">
        <v>2855</v>
      </c>
    </row>
    <row r="11436" spans="1:1" x14ac:dyDescent="0.2">
      <c r="A11436" s="1" t="s">
        <v>2856</v>
      </c>
    </row>
    <row r="11437" spans="1:1" x14ac:dyDescent="0.2">
      <c r="A11437" s="1" t="s">
        <v>2845</v>
      </c>
    </row>
    <row r="11438" spans="1:1" x14ac:dyDescent="0.2">
      <c r="A11438" s="1" t="s">
        <v>2857</v>
      </c>
    </row>
    <row r="11439" spans="1:1" x14ac:dyDescent="0.2">
      <c r="A11439" s="1" t="s">
        <v>2858</v>
      </c>
    </row>
    <row r="11440" spans="1:1" x14ac:dyDescent="0.2">
      <c r="A11440" s="1" t="s">
        <v>2859</v>
      </c>
    </row>
    <row r="11441" spans="1:1" x14ac:dyDescent="0.2">
      <c r="A11441" s="1" t="s">
        <v>2860</v>
      </c>
    </row>
    <row r="11442" spans="1:1" x14ac:dyDescent="0.2">
      <c r="A11442" s="1" t="s">
        <v>2861</v>
      </c>
    </row>
    <row r="11443" spans="1:1" x14ac:dyDescent="0.2">
      <c r="A11443" s="1" t="s">
        <v>2862</v>
      </c>
    </row>
    <row r="11444" spans="1:1" x14ac:dyDescent="0.2">
      <c r="A11444" s="1" t="s">
        <v>2863</v>
      </c>
    </row>
    <row r="11445" spans="1:1" x14ac:dyDescent="0.2">
      <c r="A11445" s="1" t="s">
        <v>2864</v>
      </c>
    </row>
    <row r="11446" spans="1:1" x14ac:dyDescent="0.2">
      <c r="A11446" s="1" t="s">
        <v>2865</v>
      </c>
    </row>
    <row r="11447" spans="1:1" x14ac:dyDescent="0.2">
      <c r="A11447" s="1" t="s">
        <v>2866</v>
      </c>
    </row>
    <row r="11448" spans="1:1" x14ac:dyDescent="0.2">
      <c r="A11448" s="1" t="s">
        <v>2867</v>
      </c>
    </row>
    <row r="11449" spans="1:1" x14ac:dyDescent="0.2">
      <c r="A11449" s="1" t="s">
        <v>2868</v>
      </c>
    </row>
    <row r="11450" spans="1:1" x14ac:dyDescent="0.2">
      <c r="A11450" s="1" t="s">
        <v>2869</v>
      </c>
    </row>
    <row r="11451" spans="1:1" x14ac:dyDescent="0.2">
      <c r="A11451" s="1" t="s">
        <v>2870</v>
      </c>
    </row>
    <row r="11452" spans="1:1" x14ac:dyDescent="0.2">
      <c r="A11452" s="1" t="s">
        <v>2871</v>
      </c>
    </row>
    <row r="11453" spans="1:1" x14ac:dyDescent="0.2">
      <c r="A11453" s="1" t="s">
        <v>2872</v>
      </c>
    </row>
    <row r="11454" spans="1:1" x14ac:dyDescent="0.2">
      <c r="A11454" s="1" t="s">
        <v>2873</v>
      </c>
    </row>
    <row r="11455" spans="1:1" x14ac:dyDescent="0.2">
      <c r="A11455" s="1" t="s">
        <v>2874</v>
      </c>
    </row>
    <row r="11456" spans="1:1" x14ac:dyDescent="0.2">
      <c r="A11456" s="1" t="s">
        <v>2875</v>
      </c>
    </row>
    <row r="11457" spans="1:1" x14ac:dyDescent="0.2">
      <c r="A11457" s="1" t="s">
        <v>2865</v>
      </c>
    </row>
    <row r="11458" spans="1:1" x14ac:dyDescent="0.2">
      <c r="A11458" s="1" t="s">
        <v>2876</v>
      </c>
    </row>
    <row r="11459" spans="1:1" x14ac:dyDescent="0.2">
      <c r="A11459" s="1" t="s">
        <v>2875</v>
      </c>
    </row>
    <row r="11460" spans="1:1" x14ac:dyDescent="0.2">
      <c r="A11460" s="1" t="s">
        <v>2877</v>
      </c>
    </row>
    <row r="11461" spans="1:1" x14ac:dyDescent="0.2">
      <c r="A11461" s="1" t="s">
        <v>2877</v>
      </c>
    </row>
    <row r="11462" spans="1:1" x14ac:dyDescent="0.2">
      <c r="A11462" s="1" t="s">
        <v>2878</v>
      </c>
    </row>
    <row r="11463" spans="1:1" x14ac:dyDescent="0.2">
      <c r="A11463" s="1" t="s">
        <v>2879</v>
      </c>
    </row>
    <row r="11464" spans="1:1" x14ac:dyDescent="0.2">
      <c r="A11464" s="1" t="s">
        <v>2880</v>
      </c>
    </row>
    <row r="11465" spans="1:1" x14ac:dyDescent="0.2">
      <c r="A11465" s="1" t="s">
        <v>2881</v>
      </c>
    </row>
    <row r="11466" spans="1:1" x14ac:dyDescent="0.2">
      <c r="A11466" s="1" t="s">
        <v>2882</v>
      </c>
    </row>
    <row r="11467" spans="1:1" x14ac:dyDescent="0.2">
      <c r="A11467" s="1" t="s">
        <v>2883</v>
      </c>
    </row>
    <row r="11468" spans="1:1" x14ac:dyDescent="0.2">
      <c r="A11468" s="1" t="s">
        <v>2884</v>
      </c>
    </row>
    <row r="11469" spans="1:1" x14ac:dyDescent="0.2">
      <c r="A11469" s="1" t="s">
        <v>2885</v>
      </c>
    </row>
    <row r="11470" spans="1:1" x14ac:dyDescent="0.2">
      <c r="A11470" s="1" t="s">
        <v>2885</v>
      </c>
    </row>
    <row r="11471" spans="1:1" x14ac:dyDescent="0.2">
      <c r="A11471" s="1" t="s">
        <v>2885</v>
      </c>
    </row>
    <row r="11472" spans="1:1" x14ac:dyDescent="0.2">
      <c r="A11472" s="1" t="s">
        <v>2885</v>
      </c>
    </row>
    <row r="11473" spans="1:1" x14ac:dyDescent="0.2">
      <c r="A11473" s="1" t="s">
        <v>2886</v>
      </c>
    </row>
    <row r="11474" spans="1:1" x14ac:dyDescent="0.2">
      <c r="A11474" s="1" t="s">
        <v>2877</v>
      </c>
    </row>
    <row r="11475" spans="1:1" x14ac:dyDescent="0.2">
      <c r="A11475" s="1" t="s">
        <v>2877</v>
      </c>
    </row>
    <row r="11476" spans="1:1" x14ac:dyDescent="0.2">
      <c r="A11476" s="1" t="s">
        <v>2877</v>
      </c>
    </row>
    <row r="11477" spans="1:1" x14ac:dyDescent="0.2">
      <c r="A11477" s="1" t="s">
        <v>2878</v>
      </c>
    </row>
    <row r="11478" spans="1:1" x14ac:dyDescent="0.2">
      <c r="A11478" s="1" t="s">
        <v>2879</v>
      </c>
    </row>
    <row r="11479" spans="1:1" x14ac:dyDescent="0.2">
      <c r="A11479" s="1" t="s">
        <v>2880</v>
      </c>
    </row>
    <row r="11480" spans="1:1" x14ac:dyDescent="0.2">
      <c r="A11480" s="1" t="s">
        <v>2881</v>
      </c>
    </row>
    <row r="11481" spans="1:1" x14ac:dyDescent="0.2">
      <c r="A11481" s="1" t="s">
        <v>2882</v>
      </c>
    </row>
    <row r="11482" spans="1:1" x14ac:dyDescent="0.2">
      <c r="A11482" s="1" t="s">
        <v>2883</v>
      </c>
    </row>
    <row r="11483" spans="1:1" x14ac:dyDescent="0.2">
      <c r="A11483" s="1" t="s">
        <v>2884</v>
      </c>
    </row>
    <row r="11484" spans="1:1" x14ac:dyDescent="0.2">
      <c r="A11484" s="1" t="s">
        <v>2885</v>
      </c>
    </row>
    <row r="11485" spans="1:1" x14ac:dyDescent="0.2">
      <c r="A11485" s="1" t="s">
        <v>2885</v>
      </c>
    </row>
    <row r="11486" spans="1:1" x14ac:dyDescent="0.2">
      <c r="A11486" s="1" t="s">
        <v>2885</v>
      </c>
    </row>
    <row r="11487" spans="1:1" x14ac:dyDescent="0.2">
      <c r="A11487" s="1" t="s">
        <v>2885</v>
      </c>
    </row>
    <row r="11488" spans="1:1" x14ac:dyDescent="0.2">
      <c r="A11488" s="1" t="s">
        <v>2886</v>
      </c>
    </row>
    <row r="11489" spans="1:1" x14ac:dyDescent="0.2">
      <c r="A11489" s="1" t="s">
        <v>2877</v>
      </c>
    </row>
    <row r="11490" spans="1:1" x14ac:dyDescent="0.2">
      <c r="A11490" s="1" t="s">
        <v>2877</v>
      </c>
    </row>
    <row r="11491" spans="1:1" x14ac:dyDescent="0.2">
      <c r="A11491" s="1" t="s">
        <v>2877</v>
      </c>
    </row>
    <row r="11492" spans="1:1" x14ac:dyDescent="0.2">
      <c r="A11492" s="1" t="s">
        <v>2878</v>
      </c>
    </row>
    <row r="11493" spans="1:1" x14ac:dyDescent="0.2">
      <c r="A11493" s="1" t="s">
        <v>2879</v>
      </c>
    </row>
    <row r="11494" spans="1:1" x14ac:dyDescent="0.2">
      <c r="A11494" s="1" t="s">
        <v>2880</v>
      </c>
    </row>
    <row r="11495" spans="1:1" x14ac:dyDescent="0.2">
      <c r="A11495" s="1" t="s">
        <v>2881</v>
      </c>
    </row>
    <row r="11496" spans="1:1" x14ac:dyDescent="0.2">
      <c r="A11496" s="1" t="s">
        <v>2882</v>
      </c>
    </row>
    <row r="11497" spans="1:1" x14ac:dyDescent="0.2">
      <c r="A11497" s="1" t="s">
        <v>2883</v>
      </c>
    </row>
    <row r="11498" spans="1:1" x14ac:dyDescent="0.2">
      <c r="A11498" s="1" t="s">
        <v>2884</v>
      </c>
    </row>
    <row r="11499" spans="1:1" x14ac:dyDescent="0.2">
      <c r="A11499" s="1" t="s">
        <v>2885</v>
      </c>
    </row>
    <row r="11500" spans="1:1" x14ac:dyDescent="0.2">
      <c r="A11500" s="1" t="s">
        <v>2885</v>
      </c>
    </row>
    <row r="11501" spans="1:1" x14ac:dyDescent="0.2">
      <c r="A11501" s="1" t="s">
        <v>2885</v>
      </c>
    </row>
    <row r="11502" spans="1:1" x14ac:dyDescent="0.2">
      <c r="A11502" s="1" t="s">
        <v>2885</v>
      </c>
    </row>
    <row r="11503" spans="1:1" x14ac:dyDescent="0.2">
      <c r="A11503" s="1" t="s">
        <v>2886</v>
      </c>
    </row>
    <row r="11504" spans="1:1" x14ac:dyDescent="0.2">
      <c r="A11504" s="1" t="s">
        <v>2877</v>
      </c>
    </row>
    <row r="11505" spans="1:1" x14ac:dyDescent="0.2">
      <c r="A11505" s="1" t="s">
        <v>2877</v>
      </c>
    </row>
    <row r="11506" spans="1:1" x14ac:dyDescent="0.2">
      <c r="A11506" s="1" t="s">
        <v>2877</v>
      </c>
    </row>
    <row r="11507" spans="1:1" x14ac:dyDescent="0.2">
      <c r="A11507" s="1" t="s">
        <v>2878</v>
      </c>
    </row>
    <row r="11508" spans="1:1" x14ac:dyDescent="0.2">
      <c r="A11508" s="1" t="s">
        <v>2879</v>
      </c>
    </row>
    <row r="11509" spans="1:1" x14ac:dyDescent="0.2">
      <c r="A11509" s="1" t="s">
        <v>2880</v>
      </c>
    </row>
    <row r="11510" spans="1:1" x14ac:dyDescent="0.2">
      <c r="A11510" s="1" t="s">
        <v>2881</v>
      </c>
    </row>
    <row r="11511" spans="1:1" x14ac:dyDescent="0.2">
      <c r="A11511" s="1" t="s">
        <v>2882</v>
      </c>
    </row>
    <row r="11512" spans="1:1" x14ac:dyDescent="0.2">
      <c r="A11512" s="1" t="s">
        <v>2883</v>
      </c>
    </row>
    <row r="11513" spans="1:1" x14ac:dyDescent="0.2">
      <c r="A11513" s="1" t="s">
        <v>2884</v>
      </c>
    </row>
    <row r="11514" spans="1:1" x14ac:dyDescent="0.2">
      <c r="A11514" s="1" t="s">
        <v>2885</v>
      </c>
    </row>
    <row r="11515" spans="1:1" x14ac:dyDescent="0.2">
      <c r="A11515" s="1" t="s">
        <v>2885</v>
      </c>
    </row>
    <row r="11516" spans="1:1" x14ac:dyDescent="0.2">
      <c r="A11516" s="1" t="s">
        <v>2885</v>
      </c>
    </row>
    <row r="11517" spans="1:1" x14ac:dyDescent="0.2">
      <c r="A11517" s="1" t="s">
        <v>2885</v>
      </c>
    </row>
    <row r="11518" spans="1:1" x14ac:dyDescent="0.2">
      <c r="A11518" s="1" t="s">
        <v>2886</v>
      </c>
    </row>
    <row r="11519" spans="1:1" x14ac:dyDescent="0.2">
      <c r="A11519" s="1" t="s">
        <v>2877</v>
      </c>
    </row>
    <row r="11520" spans="1:1" x14ac:dyDescent="0.2">
      <c r="A11520" s="1" t="s">
        <v>2877</v>
      </c>
    </row>
    <row r="11521" spans="1:1" x14ac:dyDescent="0.2">
      <c r="A11521" s="1" t="s">
        <v>2877</v>
      </c>
    </row>
    <row r="11522" spans="1:1" x14ac:dyDescent="0.2">
      <c r="A11522" s="1" t="s">
        <v>2878</v>
      </c>
    </row>
    <row r="11523" spans="1:1" x14ac:dyDescent="0.2">
      <c r="A11523" s="1" t="s">
        <v>2879</v>
      </c>
    </row>
    <row r="11524" spans="1:1" x14ac:dyDescent="0.2">
      <c r="A11524" s="1" t="s">
        <v>2880</v>
      </c>
    </row>
    <row r="11525" spans="1:1" x14ac:dyDescent="0.2">
      <c r="A11525" s="1" t="s">
        <v>2881</v>
      </c>
    </row>
    <row r="11526" spans="1:1" x14ac:dyDescent="0.2">
      <c r="A11526" s="1" t="s">
        <v>2882</v>
      </c>
    </row>
    <row r="11527" spans="1:1" x14ac:dyDescent="0.2">
      <c r="A11527" s="1" t="s">
        <v>2883</v>
      </c>
    </row>
    <row r="11528" spans="1:1" x14ac:dyDescent="0.2">
      <c r="A11528" s="1" t="s">
        <v>2884</v>
      </c>
    </row>
    <row r="11529" spans="1:1" x14ac:dyDescent="0.2">
      <c r="A11529" s="1" t="s">
        <v>2885</v>
      </c>
    </row>
    <row r="11530" spans="1:1" x14ac:dyDescent="0.2">
      <c r="A11530" s="1" t="s">
        <v>2885</v>
      </c>
    </row>
    <row r="11531" spans="1:1" x14ac:dyDescent="0.2">
      <c r="A11531" s="1" t="s">
        <v>2885</v>
      </c>
    </row>
    <row r="11532" spans="1:1" x14ac:dyDescent="0.2">
      <c r="A11532" s="1" t="s">
        <v>2885</v>
      </c>
    </row>
    <row r="11533" spans="1:1" x14ac:dyDescent="0.2">
      <c r="A11533" s="1" t="s">
        <v>2886</v>
      </c>
    </row>
    <row r="11534" spans="1:1" x14ac:dyDescent="0.2">
      <c r="A11534" s="1" t="s">
        <v>2877</v>
      </c>
    </row>
    <row r="11535" spans="1:1" x14ac:dyDescent="0.2">
      <c r="A11535" s="1" t="s">
        <v>2887</v>
      </c>
    </row>
    <row r="11536" spans="1:1" x14ac:dyDescent="0.2">
      <c r="A11536" s="1" t="s">
        <v>2888</v>
      </c>
    </row>
    <row r="11537" spans="1:1" x14ac:dyDescent="0.2">
      <c r="A11537" s="1" t="s">
        <v>2877</v>
      </c>
    </row>
    <row r="11538" spans="1:1" x14ac:dyDescent="0.2">
      <c r="A11538" s="1" t="s">
        <v>2889</v>
      </c>
    </row>
    <row r="11539" spans="1:1" x14ac:dyDescent="0.2">
      <c r="A11539" s="1" t="s">
        <v>2890</v>
      </c>
    </row>
    <row r="11540" spans="1:1" x14ac:dyDescent="0.2">
      <c r="A11540" s="1" t="s">
        <v>2891</v>
      </c>
    </row>
    <row r="11541" spans="1:1" x14ac:dyDescent="0.2">
      <c r="A11541" s="1" t="s">
        <v>2892</v>
      </c>
    </row>
    <row r="11542" spans="1:1" x14ac:dyDescent="0.2">
      <c r="A11542" s="1" t="s">
        <v>2893</v>
      </c>
    </row>
    <row r="11543" spans="1:1" x14ac:dyDescent="0.2">
      <c r="A11543" s="1" t="s">
        <v>2894</v>
      </c>
    </row>
    <row r="11544" spans="1:1" x14ac:dyDescent="0.2">
      <c r="A11544" s="1" t="s">
        <v>2895</v>
      </c>
    </row>
    <row r="11545" spans="1:1" x14ac:dyDescent="0.2">
      <c r="A11545" s="1" t="s">
        <v>2896</v>
      </c>
    </row>
    <row r="11546" spans="1:1" x14ac:dyDescent="0.2">
      <c r="A11546" s="1" t="s">
        <v>2887</v>
      </c>
    </row>
    <row r="11547" spans="1:1" x14ac:dyDescent="0.2">
      <c r="A11547" s="1" t="s">
        <v>2897</v>
      </c>
    </row>
    <row r="11548" spans="1:1" x14ac:dyDescent="0.2">
      <c r="A11548" s="1" t="s">
        <v>2877</v>
      </c>
    </row>
    <row r="11549" spans="1:1" x14ac:dyDescent="0.2">
      <c r="A11549" s="1" t="s">
        <v>2889</v>
      </c>
    </row>
    <row r="11550" spans="1:1" x14ac:dyDescent="0.2">
      <c r="A11550" s="1" t="s">
        <v>2890</v>
      </c>
    </row>
    <row r="11551" spans="1:1" x14ac:dyDescent="0.2">
      <c r="A11551" s="1" t="s">
        <v>2898</v>
      </c>
    </row>
    <row r="11552" spans="1:1" x14ac:dyDescent="0.2">
      <c r="A11552" s="1" t="s">
        <v>2892</v>
      </c>
    </row>
    <row r="11553" spans="1:1" x14ac:dyDescent="0.2">
      <c r="A11553" s="1" t="s">
        <v>2893</v>
      </c>
    </row>
    <row r="11554" spans="1:1" x14ac:dyDescent="0.2">
      <c r="A11554" s="1" t="s">
        <v>2894</v>
      </c>
    </row>
    <row r="11555" spans="1:1" x14ac:dyDescent="0.2">
      <c r="A11555" s="1" t="s">
        <v>2895</v>
      </c>
    </row>
    <row r="11556" spans="1:1" x14ac:dyDescent="0.2">
      <c r="A11556" s="1" t="s">
        <v>2896</v>
      </c>
    </row>
    <row r="11557" spans="1:1" x14ac:dyDescent="0.2">
      <c r="A11557" s="1" t="s">
        <v>2899</v>
      </c>
    </row>
    <row r="11558" spans="1:1" x14ac:dyDescent="0.2">
      <c r="A11558" s="1" t="s">
        <v>2900</v>
      </c>
    </row>
    <row r="11559" spans="1:1" x14ac:dyDescent="0.2">
      <c r="A11559" s="1" t="s">
        <v>2901</v>
      </c>
    </row>
    <row r="11560" spans="1:1" x14ac:dyDescent="0.2">
      <c r="A11560" s="1" t="s">
        <v>2902</v>
      </c>
    </row>
    <row r="11561" spans="1:1" x14ac:dyDescent="0.2">
      <c r="A11561" s="1" t="s">
        <v>2903</v>
      </c>
    </row>
    <row r="11562" spans="1:1" x14ac:dyDescent="0.2">
      <c r="A11562" s="1" t="s">
        <v>2904</v>
      </c>
    </row>
    <row r="11563" spans="1:1" x14ac:dyDescent="0.2">
      <c r="A11563" s="1" t="s">
        <v>2905</v>
      </c>
    </row>
    <row r="11564" spans="1:1" x14ac:dyDescent="0.2">
      <c r="A11564" s="1" t="s">
        <v>2906</v>
      </c>
    </row>
    <row r="11565" spans="1:1" x14ac:dyDescent="0.2">
      <c r="A11565" s="1" t="s">
        <v>2907</v>
      </c>
    </row>
    <row r="11566" spans="1:1" x14ac:dyDescent="0.2">
      <c r="A11566" s="1" t="s">
        <v>2908</v>
      </c>
    </row>
    <row r="11567" spans="1:1" x14ac:dyDescent="0.2">
      <c r="A11567" s="1" t="s">
        <v>2909</v>
      </c>
    </row>
    <row r="11568" spans="1:1" x14ac:dyDescent="0.2">
      <c r="A11568" s="1" t="s">
        <v>2899</v>
      </c>
    </row>
    <row r="11569" spans="1:1" x14ac:dyDescent="0.2">
      <c r="A11569" s="1" t="s">
        <v>2910</v>
      </c>
    </row>
    <row r="11570" spans="1:1" x14ac:dyDescent="0.2">
      <c r="A11570" s="1" t="s">
        <v>2901</v>
      </c>
    </row>
    <row r="11571" spans="1:1" x14ac:dyDescent="0.2">
      <c r="A11571" s="1" t="s">
        <v>2902</v>
      </c>
    </row>
    <row r="11572" spans="1:1" x14ac:dyDescent="0.2">
      <c r="A11572" s="1" t="s">
        <v>2903</v>
      </c>
    </row>
    <row r="11573" spans="1:1" x14ac:dyDescent="0.2">
      <c r="A11573" s="1" t="s">
        <v>2911</v>
      </c>
    </row>
    <row r="11574" spans="1:1" x14ac:dyDescent="0.2">
      <c r="A11574" s="1" t="s">
        <v>2905</v>
      </c>
    </row>
    <row r="11575" spans="1:1" x14ac:dyDescent="0.2">
      <c r="A11575" s="1" t="s">
        <v>2906</v>
      </c>
    </row>
    <row r="11576" spans="1:1" x14ac:dyDescent="0.2">
      <c r="A11576" s="1" t="s">
        <v>2907</v>
      </c>
    </row>
    <row r="11577" spans="1:1" x14ac:dyDescent="0.2">
      <c r="A11577" s="1" t="s">
        <v>2908</v>
      </c>
    </row>
    <row r="11578" spans="1:1" x14ac:dyDescent="0.2">
      <c r="A11578" s="1" t="s">
        <v>2909</v>
      </c>
    </row>
    <row r="11579" spans="1:1" x14ac:dyDescent="0.2">
      <c r="A11579" s="1" t="s">
        <v>2912</v>
      </c>
    </row>
    <row r="11580" spans="1:1" x14ac:dyDescent="0.2">
      <c r="A11580" s="1" t="s">
        <v>2912</v>
      </c>
    </row>
    <row r="11581" spans="1:1" x14ac:dyDescent="0.2">
      <c r="A11581" s="1" t="s">
        <v>2913</v>
      </c>
    </row>
    <row r="11582" spans="1:1" x14ac:dyDescent="0.2">
      <c r="A11582" s="1" t="s">
        <v>2914</v>
      </c>
    </row>
    <row r="11583" spans="1:1" x14ac:dyDescent="0.2">
      <c r="A11583" s="1" t="s">
        <v>2915</v>
      </c>
    </row>
    <row r="11584" spans="1:1" x14ac:dyDescent="0.2">
      <c r="A11584" s="1" t="s">
        <v>2916</v>
      </c>
    </row>
    <row r="11585" spans="1:1" x14ac:dyDescent="0.2">
      <c r="A11585" s="1" t="s">
        <v>2917</v>
      </c>
    </row>
    <row r="11586" spans="1:1" x14ac:dyDescent="0.2">
      <c r="A11586" s="1" t="s">
        <v>2918</v>
      </c>
    </row>
    <row r="11587" spans="1:1" x14ac:dyDescent="0.2">
      <c r="A11587" s="1" t="s">
        <v>2919</v>
      </c>
    </row>
    <row r="11588" spans="1:1" x14ac:dyDescent="0.2">
      <c r="A11588" s="1" t="s">
        <v>2920</v>
      </c>
    </row>
    <row r="11589" spans="1:1" x14ac:dyDescent="0.2">
      <c r="A11589" s="1" t="s">
        <v>2920</v>
      </c>
    </row>
    <row r="11590" spans="1:1" x14ac:dyDescent="0.2">
      <c r="A11590" s="1" t="s">
        <v>2920</v>
      </c>
    </row>
    <row r="11591" spans="1:1" x14ac:dyDescent="0.2">
      <c r="A11591" s="1" t="s">
        <v>2920</v>
      </c>
    </row>
    <row r="11592" spans="1:1" x14ac:dyDescent="0.2">
      <c r="A11592" s="1" t="s">
        <v>2921</v>
      </c>
    </row>
    <row r="11593" spans="1:1" x14ac:dyDescent="0.2">
      <c r="A11593" s="1" t="s">
        <v>2912</v>
      </c>
    </row>
    <row r="11594" spans="1:1" x14ac:dyDescent="0.2">
      <c r="A11594" s="1" t="s">
        <v>2912</v>
      </c>
    </row>
    <row r="11595" spans="1:1" x14ac:dyDescent="0.2">
      <c r="A11595" s="1" t="s">
        <v>2912</v>
      </c>
    </row>
    <row r="11596" spans="1:1" x14ac:dyDescent="0.2">
      <c r="A11596" s="1" t="s">
        <v>2913</v>
      </c>
    </row>
    <row r="11597" spans="1:1" x14ac:dyDescent="0.2">
      <c r="A11597" s="1" t="s">
        <v>2914</v>
      </c>
    </row>
    <row r="11598" spans="1:1" x14ac:dyDescent="0.2">
      <c r="A11598" s="1" t="s">
        <v>2915</v>
      </c>
    </row>
    <row r="11599" spans="1:1" x14ac:dyDescent="0.2">
      <c r="A11599" s="1" t="s">
        <v>2916</v>
      </c>
    </row>
    <row r="11600" spans="1:1" x14ac:dyDescent="0.2">
      <c r="A11600" s="1" t="s">
        <v>2917</v>
      </c>
    </row>
    <row r="11601" spans="1:1" x14ac:dyDescent="0.2">
      <c r="A11601" s="1" t="s">
        <v>2918</v>
      </c>
    </row>
    <row r="11602" spans="1:1" x14ac:dyDescent="0.2">
      <c r="A11602" s="1" t="s">
        <v>2919</v>
      </c>
    </row>
    <row r="11603" spans="1:1" x14ac:dyDescent="0.2">
      <c r="A11603" s="1" t="s">
        <v>2920</v>
      </c>
    </row>
    <row r="11604" spans="1:1" x14ac:dyDescent="0.2">
      <c r="A11604" s="1" t="s">
        <v>2920</v>
      </c>
    </row>
    <row r="11605" spans="1:1" x14ac:dyDescent="0.2">
      <c r="A11605" s="1" t="s">
        <v>2920</v>
      </c>
    </row>
    <row r="11606" spans="1:1" x14ac:dyDescent="0.2">
      <c r="A11606" s="1" t="s">
        <v>2920</v>
      </c>
    </row>
    <row r="11607" spans="1:1" x14ac:dyDescent="0.2">
      <c r="A11607" s="1" t="s">
        <v>2921</v>
      </c>
    </row>
    <row r="11608" spans="1:1" x14ac:dyDescent="0.2">
      <c r="A11608" s="1" t="s">
        <v>2912</v>
      </c>
    </row>
    <row r="11609" spans="1:1" x14ac:dyDescent="0.2">
      <c r="A11609" s="1" t="s">
        <v>2912</v>
      </c>
    </row>
    <row r="11610" spans="1:1" x14ac:dyDescent="0.2">
      <c r="A11610" s="1" t="s">
        <v>2912</v>
      </c>
    </row>
    <row r="11611" spans="1:1" x14ac:dyDescent="0.2">
      <c r="A11611" s="1" t="s">
        <v>2913</v>
      </c>
    </row>
    <row r="11612" spans="1:1" x14ac:dyDescent="0.2">
      <c r="A11612" s="1" t="s">
        <v>2914</v>
      </c>
    </row>
    <row r="11613" spans="1:1" x14ac:dyDescent="0.2">
      <c r="A11613" s="1" t="s">
        <v>2915</v>
      </c>
    </row>
    <row r="11614" spans="1:1" x14ac:dyDescent="0.2">
      <c r="A11614" s="1" t="s">
        <v>2916</v>
      </c>
    </row>
    <row r="11615" spans="1:1" x14ac:dyDescent="0.2">
      <c r="A11615" s="1" t="s">
        <v>2917</v>
      </c>
    </row>
    <row r="11616" spans="1:1" x14ac:dyDescent="0.2">
      <c r="A11616" s="1" t="s">
        <v>2918</v>
      </c>
    </row>
    <row r="11617" spans="1:1" x14ac:dyDescent="0.2">
      <c r="A11617" s="1" t="s">
        <v>2919</v>
      </c>
    </row>
    <row r="11618" spans="1:1" x14ac:dyDescent="0.2">
      <c r="A11618" s="1" t="s">
        <v>2920</v>
      </c>
    </row>
    <row r="11619" spans="1:1" x14ac:dyDescent="0.2">
      <c r="A11619" s="1" t="s">
        <v>2920</v>
      </c>
    </row>
    <row r="11620" spans="1:1" x14ac:dyDescent="0.2">
      <c r="A11620" s="1" t="s">
        <v>2920</v>
      </c>
    </row>
    <row r="11621" spans="1:1" x14ac:dyDescent="0.2">
      <c r="A11621" s="1" t="s">
        <v>2920</v>
      </c>
    </row>
    <row r="11622" spans="1:1" x14ac:dyDescent="0.2">
      <c r="A11622" s="1" t="s">
        <v>2921</v>
      </c>
    </row>
    <row r="11623" spans="1:1" x14ac:dyDescent="0.2">
      <c r="A11623" s="1" t="s">
        <v>2912</v>
      </c>
    </row>
    <row r="11624" spans="1:1" x14ac:dyDescent="0.2">
      <c r="A11624" s="1" t="s">
        <v>2912</v>
      </c>
    </row>
    <row r="11625" spans="1:1" x14ac:dyDescent="0.2">
      <c r="A11625" s="1" t="s">
        <v>2912</v>
      </c>
    </row>
    <row r="11626" spans="1:1" x14ac:dyDescent="0.2">
      <c r="A11626" s="1" t="s">
        <v>2913</v>
      </c>
    </row>
    <row r="11627" spans="1:1" x14ac:dyDescent="0.2">
      <c r="A11627" s="1" t="s">
        <v>2914</v>
      </c>
    </row>
    <row r="11628" spans="1:1" x14ac:dyDescent="0.2">
      <c r="A11628" s="1" t="s">
        <v>2915</v>
      </c>
    </row>
    <row r="11629" spans="1:1" x14ac:dyDescent="0.2">
      <c r="A11629" s="1" t="s">
        <v>2916</v>
      </c>
    </row>
    <row r="11630" spans="1:1" x14ac:dyDescent="0.2">
      <c r="A11630" s="1" t="s">
        <v>2917</v>
      </c>
    </row>
    <row r="11631" spans="1:1" x14ac:dyDescent="0.2">
      <c r="A11631" s="1" t="s">
        <v>2918</v>
      </c>
    </row>
    <row r="11632" spans="1:1" x14ac:dyDescent="0.2">
      <c r="A11632" s="1" t="s">
        <v>2919</v>
      </c>
    </row>
    <row r="11633" spans="1:1" x14ac:dyDescent="0.2">
      <c r="A11633" s="1" t="s">
        <v>2920</v>
      </c>
    </row>
    <row r="11634" spans="1:1" x14ac:dyDescent="0.2">
      <c r="A11634" s="1" t="s">
        <v>2920</v>
      </c>
    </row>
    <row r="11635" spans="1:1" x14ac:dyDescent="0.2">
      <c r="A11635" s="1" t="s">
        <v>2920</v>
      </c>
    </row>
    <row r="11636" spans="1:1" x14ac:dyDescent="0.2">
      <c r="A11636" s="1" t="s">
        <v>2920</v>
      </c>
    </row>
    <row r="11637" spans="1:1" x14ac:dyDescent="0.2">
      <c r="A11637" s="1" t="s">
        <v>2921</v>
      </c>
    </row>
    <row r="11638" spans="1:1" x14ac:dyDescent="0.2">
      <c r="A11638" s="1" t="s">
        <v>2912</v>
      </c>
    </row>
    <row r="11639" spans="1:1" x14ac:dyDescent="0.2">
      <c r="A11639" s="1" t="s">
        <v>2912</v>
      </c>
    </row>
    <row r="11640" spans="1:1" x14ac:dyDescent="0.2">
      <c r="A11640" s="1" t="s">
        <v>2912</v>
      </c>
    </row>
    <row r="11641" spans="1:1" x14ac:dyDescent="0.2">
      <c r="A11641" s="1" t="s">
        <v>2913</v>
      </c>
    </row>
    <row r="11642" spans="1:1" x14ac:dyDescent="0.2">
      <c r="A11642" s="1" t="s">
        <v>2914</v>
      </c>
    </row>
    <row r="11643" spans="1:1" x14ac:dyDescent="0.2">
      <c r="A11643" s="1" t="s">
        <v>2915</v>
      </c>
    </row>
    <row r="11644" spans="1:1" x14ac:dyDescent="0.2">
      <c r="A11644" s="1" t="s">
        <v>2916</v>
      </c>
    </row>
    <row r="11645" spans="1:1" x14ac:dyDescent="0.2">
      <c r="A11645" s="1" t="s">
        <v>2917</v>
      </c>
    </row>
    <row r="11646" spans="1:1" x14ac:dyDescent="0.2">
      <c r="A11646" s="1" t="s">
        <v>2918</v>
      </c>
    </row>
    <row r="11647" spans="1:1" x14ac:dyDescent="0.2">
      <c r="A11647" s="1" t="s">
        <v>2919</v>
      </c>
    </row>
    <row r="11648" spans="1:1" x14ac:dyDescent="0.2">
      <c r="A11648" s="1" t="s">
        <v>2920</v>
      </c>
    </row>
    <row r="11649" spans="1:1" x14ac:dyDescent="0.2">
      <c r="A11649" s="1" t="s">
        <v>2920</v>
      </c>
    </row>
    <row r="11650" spans="1:1" x14ac:dyDescent="0.2">
      <c r="A11650" s="1" t="s">
        <v>2920</v>
      </c>
    </row>
    <row r="11651" spans="1:1" x14ac:dyDescent="0.2">
      <c r="A11651" s="1" t="s">
        <v>2920</v>
      </c>
    </row>
    <row r="11652" spans="1:1" x14ac:dyDescent="0.2">
      <c r="A11652" s="1" t="s">
        <v>2921</v>
      </c>
    </row>
    <row r="11653" spans="1:1" x14ac:dyDescent="0.2">
      <c r="A11653" s="1" t="s">
        <v>2912</v>
      </c>
    </row>
    <row r="11654" spans="1:1" x14ac:dyDescent="0.2">
      <c r="A11654" s="1" t="s">
        <v>2922</v>
      </c>
    </row>
    <row r="11655" spans="1:1" x14ac:dyDescent="0.2">
      <c r="A11655" s="1" t="s">
        <v>2922</v>
      </c>
    </row>
    <row r="11656" spans="1:1" x14ac:dyDescent="0.2">
      <c r="A11656" s="1" t="s">
        <v>2923</v>
      </c>
    </row>
    <row r="11657" spans="1:1" x14ac:dyDescent="0.2">
      <c r="A11657" s="1" t="s">
        <v>2924</v>
      </c>
    </row>
    <row r="11658" spans="1:1" x14ac:dyDescent="0.2">
      <c r="A11658" s="1" t="s">
        <v>2925</v>
      </c>
    </row>
    <row r="11659" spans="1:1" x14ac:dyDescent="0.2">
      <c r="A11659" s="1" t="s">
        <v>2926</v>
      </c>
    </row>
    <row r="11660" spans="1:1" x14ac:dyDescent="0.2">
      <c r="A11660" s="1" t="s">
        <v>2927</v>
      </c>
    </row>
    <row r="11661" spans="1:1" x14ac:dyDescent="0.2">
      <c r="A11661" s="1" t="s">
        <v>2928</v>
      </c>
    </row>
    <row r="11662" spans="1:1" x14ac:dyDescent="0.2">
      <c r="A11662" s="1" t="s">
        <v>2929</v>
      </c>
    </row>
    <row r="11663" spans="1:1" x14ac:dyDescent="0.2">
      <c r="A11663" s="1" t="s">
        <v>2930</v>
      </c>
    </row>
    <row r="11664" spans="1:1" x14ac:dyDescent="0.2">
      <c r="A11664" s="1" t="s">
        <v>2930</v>
      </c>
    </row>
    <row r="11665" spans="1:1" x14ac:dyDescent="0.2">
      <c r="A11665" s="1" t="s">
        <v>2930</v>
      </c>
    </row>
    <row r="11666" spans="1:1" x14ac:dyDescent="0.2">
      <c r="A11666" s="1" t="s">
        <v>2930</v>
      </c>
    </row>
    <row r="11667" spans="1:1" x14ac:dyDescent="0.2">
      <c r="A11667" s="1" t="s">
        <v>2931</v>
      </c>
    </row>
    <row r="11668" spans="1:1" x14ac:dyDescent="0.2">
      <c r="A11668" s="1" t="s">
        <v>2922</v>
      </c>
    </row>
    <row r="11669" spans="1:1" x14ac:dyDescent="0.2">
      <c r="A11669" s="1" t="s">
        <v>2922</v>
      </c>
    </row>
    <row r="11670" spans="1:1" x14ac:dyDescent="0.2">
      <c r="A11670" s="1" t="s">
        <v>2922</v>
      </c>
    </row>
    <row r="11671" spans="1:1" x14ac:dyDescent="0.2">
      <c r="A11671" s="1" t="s">
        <v>2923</v>
      </c>
    </row>
    <row r="11672" spans="1:1" x14ac:dyDescent="0.2">
      <c r="A11672" s="1" t="s">
        <v>2924</v>
      </c>
    </row>
    <row r="11673" spans="1:1" x14ac:dyDescent="0.2">
      <c r="A11673" s="1" t="s">
        <v>2925</v>
      </c>
    </row>
    <row r="11674" spans="1:1" x14ac:dyDescent="0.2">
      <c r="A11674" s="1" t="s">
        <v>2926</v>
      </c>
    </row>
    <row r="11675" spans="1:1" x14ac:dyDescent="0.2">
      <c r="A11675" s="1" t="s">
        <v>2927</v>
      </c>
    </row>
    <row r="11676" spans="1:1" x14ac:dyDescent="0.2">
      <c r="A11676" s="1" t="s">
        <v>2928</v>
      </c>
    </row>
    <row r="11677" spans="1:1" x14ac:dyDescent="0.2">
      <c r="A11677" s="1" t="s">
        <v>2929</v>
      </c>
    </row>
    <row r="11678" spans="1:1" x14ac:dyDescent="0.2">
      <c r="A11678" s="1" t="s">
        <v>2930</v>
      </c>
    </row>
    <row r="11679" spans="1:1" x14ac:dyDescent="0.2">
      <c r="A11679" s="1" t="s">
        <v>2930</v>
      </c>
    </row>
    <row r="11680" spans="1:1" x14ac:dyDescent="0.2">
      <c r="A11680" s="1" t="s">
        <v>2930</v>
      </c>
    </row>
    <row r="11681" spans="1:1" x14ac:dyDescent="0.2">
      <c r="A11681" s="1" t="s">
        <v>2930</v>
      </c>
    </row>
    <row r="11682" spans="1:1" x14ac:dyDescent="0.2">
      <c r="A11682" s="1" t="s">
        <v>2931</v>
      </c>
    </row>
    <row r="11683" spans="1:1" x14ac:dyDescent="0.2">
      <c r="A11683" s="1" t="s">
        <v>2922</v>
      </c>
    </row>
    <row r="11684" spans="1:1" x14ac:dyDescent="0.2">
      <c r="A11684" s="1" t="s">
        <v>2922</v>
      </c>
    </row>
    <row r="11685" spans="1:1" x14ac:dyDescent="0.2">
      <c r="A11685" s="1" t="s">
        <v>2922</v>
      </c>
    </row>
    <row r="11686" spans="1:1" x14ac:dyDescent="0.2">
      <c r="A11686" s="1" t="s">
        <v>2923</v>
      </c>
    </row>
    <row r="11687" spans="1:1" x14ac:dyDescent="0.2">
      <c r="A11687" s="1" t="s">
        <v>2924</v>
      </c>
    </row>
    <row r="11688" spans="1:1" x14ac:dyDescent="0.2">
      <c r="A11688" s="1" t="s">
        <v>2925</v>
      </c>
    </row>
    <row r="11689" spans="1:1" x14ac:dyDescent="0.2">
      <c r="A11689" s="1" t="s">
        <v>2926</v>
      </c>
    </row>
    <row r="11690" spans="1:1" x14ac:dyDescent="0.2">
      <c r="A11690" s="1" t="s">
        <v>2927</v>
      </c>
    </row>
    <row r="11691" spans="1:1" x14ac:dyDescent="0.2">
      <c r="A11691" s="1" t="s">
        <v>2928</v>
      </c>
    </row>
    <row r="11692" spans="1:1" x14ac:dyDescent="0.2">
      <c r="A11692" s="1" t="s">
        <v>2929</v>
      </c>
    </row>
    <row r="11693" spans="1:1" x14ac:dyDescent="0.2">
      <c r="A11693" s="1" t="s">
        <v>2930</v>
      </c>
    </row>
    <row r="11694" spans="1:1" x14ac:dyDescent="0.2">
      <c r="A11694" s="1" t="s">
        <v>2930</v>
      </c>
    </row>
    <row r="11695" spans="1:1" x14ac:dyDescent="0.2">
      <c r="A11695" s="1" t="s">
        <v>2930</v>
      </c>
    </row>
    <row r="11696" spans="1:1" x14ac:dyDescent="0.2">
      <c r="A11696" s="1" t="s">
        <v>2930</v>
      </c>
    </row>
    <row r="11697" spans="1:1" x14ac:dyDescent="0.2">
      <c r="A11697" s="1" t="s">
        <v>2931</v>
      </c>
    </row>
    <row r="11698" spans="1:1" x14ac:dyDescent="0.2">
      <c r="A11698" s="1" t="s">
        <v>2922</v>
      </c>
    </row>
    <row r="11699" spans="1:1" x14ac:dyDescent="0.2">
      <c r="A11699" s="1" t="s">
        <v>2922</v>
      </c>
    </row>
    <row r="11700" spans="1:1" x14ac:dyDescent="0.2">
      <c r="A11700" s="1" t="s">
        <v>2922</v>
      </c>
    </row>
    <row r="11701" spans="1:1" x14ac:dyDescent="0.2">
      <c r="A11701" s="1" t="s">
        <v>2923</v>
      </c>
    </row>
    <row r="11702" spans="1:1" x14ac:dyDescent="0.2">
      <c r="A11702" s="1" t="s">
        <v>2924</v>
      </c>
    </row>
    <row r="11703" spans="1:1" x14ac:dyDescent="0.2">
      <c r="A11703" s="1" t="s">
        <v>2925</v>
      </c>
    </row>
    <row r="11704" spans="1:1" x14ac:dyDescent="0.2">
      <c r="A11704" s="1" t="s">
        <v>2926</v>
      </c>
    </row>
    <row r="11705" spans="1:1" x14ac:dyDescent="0.2">
      <c r="A11705" s="1" t="s">
        <v>2927</v>
      </c>
    </row>
    <row r="11706" spans="1:1" x14ac:dyDescent="0.2">
      <c r="A11706" s="1" t="s">
        <v>2928</v>
      </c>
    </row>
    <row r="11707" spans="1:1" x14ac:dyDescent="0.2">
      <c r="A11707" s="1" t="s">
        <v>2929</v>
      </c>
    </row>
    <row r="11708" spans="1:1" x14ac:dyDescent="0.2">
      <c r="A11708" s="1" t="s">
        <v>2930</v>
      </c>
    </row>
    <row r="11709" spans="1:1" x14ac:dyDescent="0.2">
      <c r="A11709" s="1" t="s">
        <v>2930</v>
      </c>
    </row>
    <row r="11710" spans="1:1" x14ac:dyDescent="0.2">
      <c r="A11710" s="1" t="s">
        <v>2930</v>
      </c>
    </row>
    <row r="11711" spans="1:1" x14ac:dyDescent="0.2">
      <c r="A11711" s="1" t="s">
        <v>2930</v>
      </c>
    </row>
    <row r="11712" spans="1:1" x14ac:dyDescent="0.2">
      <c r="A11712" s="1" t="s">
        <v>2931</v>
      </c>
    </row>
    <row r="11713" spans="1:1" x14ac:dyDescent="0.2">
      <c r="A11713" s="1" t="s">
        <v>2922</v>
      </c>
    </row>
    <row r="11714" spans="1:1" x14ac:dyDescent="0.2">
      <c r="A11714" s="1" t="s">
        <v>2922</v>
      </c>
    </row>
    <row r="11715" spans="1:1" x14ac:dyDescent="0.2">
      <c r="A11715" s="1" t="s">
        <v>2922</v>
      </c>
    </row>
    <row r="11716" spans="1:1" x14ac:dyDescent="0.2">
      <c r="A11716" s="1" t="s">
        <v>2923</v>
      </c>
    </row>
    <row r="11717" spans="1:1" x14ac:dyDescent="0.2">
      <c r="A11717" s="1" t="s">
        <v>2924</v>
      </c>
    </row>
    <row r="11718" spans="1:1" x14ac:dyDescent="0.2">
      <c r="A11718" s="1" t="s">
        <v>2925</v>
      </c>
    </row>
    <row r="11719" spans="1:1" x14ac:dyDescent="0.2">
      <c r="A11719" s="1" t="s">
        <v>2926</v>
      </c>
    </row>
    <row r="11720" spans="1:1" x14ac:dyDescent="0.2">
      <c r="A11720" s="1" t="s">
        <v>2927</v>
      </c>
    </row>
    <row r="11721" spans="1:1" x14ac:dyDescent="0.2">
      <c r="A11721" s="1" t="s">
        <v>2928</v>
      </c>
    </row>
    <row r="11722" spans="1:1" x14ac:dyDescent="0.2">
      <c r="A11722" s="1" t="s">
        <v>2929</v>
      </c>
    </row>
    <row r="11723" spans="1:1" x14ac:dyDescent="0.2">
      <c r="A11723" s="1" t="s">
        <v>2930</v>
      </c>
    </row>
    <row r="11724" spans="1:1" x14ac:dyDescent="0.2">
      <c r="A11724" s="1" t="s">
        <v>2930</v>
      </c>
    </row>
    <row r="11725" spans="1:1" x14ac:dyDescent="0.2">
      <c r="A11725" s="1" t="s">
        <v>2930</v>
      </c>
    </row>
    <row r="11726" spans="1:1" x14ac:dyDescent="0.2">
      <c r="A11726" s="1" t="s">
        <v>2930</v>
      </c>
    </row>
    <row r="11727" spans="1:1" x14ac:dyDescent="0.2">
      <c r="A11727" s="1" t="s">
        <v>2931</v>
      </c>
    </row>
    <row r="11728" spans="1:1" x14ac:dyDescent="0.2">
      <c r="A11728" s="1" t="s">
        <v>2922</v>
      </c>
    </row>
    <row r="11729" spans="1:1" x14ac:dyDescent="0.2">
      <c r="A11729" s="1" t="s">
        <v>2932</v>
      </c>
    </row>
    <row r="11730" spans="1:1" x14ac:dyDescent="0.2">
      <c r="A11730" s="1" t="s">
        <v>2933</v>
      </c>
    </row>
    <row r="11731" spans="1:1" x14ac:dyDescent="0.2">
      <c r="A11731" s="1" t="s">
        <v>2934</v>
      </c>
    </row>
    <row r="11732" spans="1:1" x14ac:dyDescent="0.2">
      <c r="A11732" s="1" t="s">
        <v>2935</v>
      </c>
    </row>
    <row r="11733" spans="1:1" x14ac:dyDescent="0.2">
      <c r="A11733" s="1" t="s">
        <v>2936</v>
      </c>
    </row>
    <row r="11734" spans="1:1" x14ac:dyDescent="0.2">
      <c r="A11734" s="1" t="s">
        <v>2937</v>
      </c>
    </row>
    <row r="11735" spans="1:1" x14ac:dyDescent="0.2">
      <c r="A11735" s="1" t="s">
        <v>2938</v>
      </c>
    </row>
    <row r="11736" spans="1:1" x14ac:dyDescent="0.2">
      <c r="A11736" s="1" t="s">
        <v>2939</v>
      </c>
    </row>
    <row r="11737" spans="1:1" x14ac:dyDescent="0.2">
      <c r="A11737" s="1" t="s">
        <v>2940</v>
      </c>
    </row>
    <row r="11738" spans="1:1" x14ac:dyDescent="0.2">
      <c r="A11738" s="1" t="s">
        <v>2941</v>
      </c>
    </row>
    <row r="11739" spans="1:1" x14ac:dyDescent="0.2">
      <c r="A11739" s="1" t="s">
        <v>2942</v>
      </c>
    </row>
    <row r="11740" spans="1:1" x14ac:dyDescent="0.2">
      <c r="A11740" s="1" t="s">
        <v>2932</v>
      </c>
    </row>
    <row r="11741" spans="1:1" x14ac:dyDescent="0.2">
      <c r="A11741" s="1" t="s">
        <v>2943</v>
      </c>
    </row>
    <row r="11742" spans="1:1" x14ac:dyDescent="0.2">
      <c r="A11742" s="1" t="s">
        <v>2934</v>
      </c>
    </row>
    <row r="11743" spans="1:1" x14ac:dyDescent="0.2">
      <c r="A11743" s="1" t="s">
        <v>2935</v>
      </c>
    </row>
    <row r="11744" spans="1:1" x14ac:dyDescent="0.2">
      <c r="A11744" s="1" t="s">
        <v>2936</v>
      </c>
    </row>
    <row r="11745" spans="1:1" x14ac:dyDescent="0.2">
      <c r="A11745" s="1" t="s">
        <v>2944</v>
      </c>
    </row>
    <row r="11746" spans="1:1" x14ac:dyDescent="0.2">
      <c r="A11746" s="1" t="s">
        <v>2938</v>
      </c>
    </row>
    <row r="11747" spans="1:1" x14ac:dyDescent="0.2">
      <c r="A11747" s="1" t="s">
        <v>2939</v>
      </c>
    </row>
    <row r="11748" spans="1:1" x14ac:dyDescent="0.2">
      <c r="A11748" s="1" t="s">
        <v>2940</v>
      </c>
    </row>
    <row r="11749" spans="1:1" x14ac:dyDescent="0.2">
      <c r="A11749" s="1" t="s">
        <v>2941</v>
      </c>
    </row>
    <row r="11750" spans="1:1" x14ac:dyDescent="0.2">
      <c r="A11750" s="1" t="s">
        <v>2942</v>
      </c>
    </row>
    <row r="11751" spans="1:1" x14ac:dyDescent="0.2">
      <c r="A11751" s="1" t="s">
        <v>2945</v>
      </c>
    </row>
    <row r="11752" spans="1:1" x14ac:dyDescent="0.2">
      <c r="A11752" s="1" t="s">
        <v>2945</v>
      </c>
    </row>
    <row r="11753" spans="1:1" x14ac:dyDescent="0.2">
      <c r="A11753" s="1" t="s">
        <v>2946</v>
      </c>
    </row>
    <row r="11754" spans="1:1" x14ac:dyDescent="0.2">
      <c r="A11754" s="1" t="s">
        <v>2947</v>
      </c>
    </row>
    <row r="11755" spans="1:1" x14ac:dyDescent="0.2">
      <c r="A11755" s="1" t="s">
        <v>2948</v>
      </c>
    </row>
    <row r="11756" spans="1:1" x14ac:dyDescent="0.2">
      <c r="A11756" s="1" t="s">
        <v>2949</v>
      </c>
    </row>
    <row r="11757" spans="1:1" x14ac:dyDescent="0.2">
      <c r="A11757" s="1" t="s">
        <v>2950</v>
      </c>
    </row>
    <row r="11758" spans="1:1" x14ac:dyDescent="0.2">
      <c r="A11758" s="1" t="s">
        <v>2951</v>
      </c>
    </row>
    <row r="11759" spans="1:1" x14ac:dyDescent="0.2">
      <c r="A11759" s="1" t="s">
        <v>2952</v>
      </c>
    </row>
    <row r="11760" spans="1:1" x14ac:dyDescent="0.2">
      <c r="A11760" s="1" t="s">
        <v>2953</v>
      </c>
    </row>
    <row r="11761" spans="1:1" x14ac:dyDescent="0.2">
      <c r="A11761" s="1" t="s">
        <v>2953</v>
      </c>
    </row>
    <row r="11762" spans="1:1" x14ac:dyDescent="0.2">
      <c r="A11762" s="1" t="s">
        <v>2953</v>
      </c>
    </row>
    <row r="11763" spans="1:1" x14ac:dyDescent="0.2">
      <c r="A11763" s="1" t="s">
        <v>2953</v>
      </c>
    </row>
    <row r="11764" spans="1:1" x14ac:dyDescent="0.2">
      <c r="A11764" s="1" t="s">
        <v>2954</v>
      </c>
    </row>
    <row r="11765" spans="1:1" x14ac:dyDescent="0.2">
      <c r="A11765" s="1" t="s">
        <v>2945</v>
      </c>
    </row>
    <row r="11766" spans="1:1" x14ac:dyDescent="0.2">
      <c r="A11766" s="1" t="s">
        <v>2945</v>
      </c>
    </row>
    <row r="11767" spans="1:1" x14ac:dyDescent="0.2">
      <c r="A11767" s="1" t="s">
        <v>2945</v>
      </c>
    </row>
    <row r="11768" spans="1:1" x14ac:dyDescent="0.2">
      <c r="A11768" s="1" t="s">
        <v>2946</v>
      </c>
    </row>
    <row r="11769" spans="1:1" x14ac:dyDescent="0.2">
      <c r="A11769" s="1" t="s">
        <v>2947</v>
      </c>
    </row>
    <row r="11770" spans="1:1" x14ac:dyDescent="0.2">
      <c r="A11770" s="1" t="s">
        <v>2948</v>
      </c>
    </row>
    <row r="11771" spans="1:1" x14ac:dyDescent="0.2">
      <c r="A11771" s="1" t="s">
        <v>2949</v>
      </c>
    </row>
    <row r="11772" spans="1:1" x14ac:dyDescent="0.2">
      <c r="A11772" s="1" t="s">
        <v>2950</v>
      </c>
    </row>
    <row r="11773" spans="1:1" x14ac:dyDescent="0.2">
      <c r="A11773" s="1" t="s">
        <v>2951</v>
      </c>
    </row>
    <row r="11774" spans="1:1" x14ac:dyDescent="0.2">
      <c r="A11774" s="1" t="s">
        <v>2952</v>
      </c>
    </row>
    <row r="11775" spans="1:1" x14ac:dyDescent="0.2">
      <c r="A11775" s="1" t="s">
        <v>2953</v>
      </c>
    </row>
    <row r="11776" spans="1:1" x14ac:dyDescent="0.2">
      <c r="A11776" s="1" t="s">
        <v>2953</v>
      </c>
    </row>
    <row r="11777" spans="1:1" x14ac:dyDescent="0.2">
      <c r="A11777" s="1" t="s">
        <v>2953</v>
      </c>
    </row>
    <row r="11778" spans="1:1" x14ac:dyDescent="0.2">
      <c r="A11778" s="1" t="s">
        <v>2953</v>
      </c>
    </row>
    <row r="11779" spans="1:1" x14ac:dyDescent="0.2">
      <c r="A11779" s="1" t="s">
        <v>2954</v>
      </c>
    </row>
    <row r="11780" spans="1:1" x14ac:dyDescent="0.2">
      <c r="A11780" s="1" t="s">
        <v>2945</v>
      </c>
    </row>
    <row r="11781" spans="1:1" x14ac:dyDescent="0.2">
      <c r="A11781" s="1" t="s">
        <v>2945</v>
      </c>
    </row>
    <row r="11782" spans="1:1" x14ac:dyDescent="0.2">
      <c r="A11782" s="1" t="s">
        <v>2945</v>
      </c>
    </row>
    <row r="11783" spans="1:1" x14ac:dyDescent="0.2">
      <c r="A11783" s="1" t="s">
        <v>2946</v>
      </c>
    </row>
    <row r="11784" spans="1:1" x14ac:dyDescent="0.2">
      <c r="A11784" s="1" t="s">
        <v>2947</v>
      </c>
    </row>
    <row r="11785" spans="1:1" x14ac:dyDescent="0.2">
      <c r="A11785" s="1" t="s">
        <v>2948</v>
      </c>
    </row>
    <row r="11786" spans="1:1" x14ac:dyDescent="0.2">
      <c r="A11786" s="1" t="s">
        <v>2949</v>
      </c>
    </row>
    <row r="11787" spans="1:1" x14ac:dyDescent="0.2">
      <c r="A11787" s="1" t="s">
        <v>2950</v>
      </c>
    </row>
    <row r="11788" spans="1:1" x14ac:dyDescent="0.2">
      <c r="A11788" s="1" t="s">
        <v>2951</v>
      </c>
    </row>
    <row r="11789" spans="1:1" x14ac:dyDescent="0.2">
      <c r="A11789" s="1" t="s">
        <v>2952</v>
      </c>
    </row>
    <row r="11790" spans="1:1" x14ac:dyDescent="0.2">
      <c r="A11790" s="1" t="s">
        <v>2953</v>
      </c>
    </row>
    <row r="11791" spans="1:1" x14ac:dyDescent="0.2">
      <c r="A11791" s="1" t="s">
        <v>2953</v>
      </c>
    </row>
    <row r="11792" spans="1:1" x14ac:dyDescent="0.2">
      <c r="A11792" s="1" t="s">
        <v>2953</v>
      </c>
    </row>
    <row r="11793" spans="1:1" x14ac:dyDescent="0.2">
      <c r="A11793" s="1" t="s">
        <v>2953</v>
      </c>
    </row>
    <row r="11794" spans="1:1" x14ac:dyDescent="0.2">
      <c r="A11794" s="1" t="s">
        <v>2954</v>
      </c>
    </row>
    <row r="11795" spans="1:1" x14ac:dyDescent="0.2">
      <c r="A11795" s="1" t="s">
        <v>2945</v>
      </c>
    </row>
    <row r="11796" spans="1:1" x14ac:dyDescent="0.2">
      <c r="A11796" s="1" t="s">
        <v>2945</v>
      </c>
    </row>
    <row r="11797" spans="1:1" x14ac:dyDescent="0.2">
      <c r="A11797" s="1" t="s">
        <v>2945</v>
      </c>
    </row>
    <row r="11798" spans="1:1" x14ac:dyDescent="0.2">
      <c r="A11798" s="1" t="s">
        <v>2946</v>
      </c>
    </row>
    <row r="11799" spans="1:1" x14ac:dyDescent="0.2">
      <c r="A11799" s="1" t="s">
        <v>2947</v>
      </c>
    </row>
    <row r="11800" spans="1:1" x14ac:dyDescent="0.2">
      <c r="A11800" s="1" t="s">
        <v>2948</v>
      </c>
    </row>
    <row r="11801" spans="1:1" x14ac:dyDescent="0.2">
      <c r="A11801" s="1" t="s">
        <v>2949</v>
      </c>
    </row>
    <row r="11802" spans="1:1" x14ac:dyDescent="0.2">
      <c r="A11802" s="1" t="s">
        <v>2950</v>
      </c>
    </row>
    <row r="11803" spans="1:1" x14ac:dyDescent="0.2">
      <c r="A11803" s="1" t="s">
        <v>2951</v>
      </c>
    </row>
    <row r="11804" spans="1:1" x14ac:dyDescent="0.2">
      <c r="A11804" s="1" t="s">
        <v>2952</v>
      </c>
    </row>
    <row r="11805" spans="1:1" x14ac:dyDescent="0.2">
      <c r="A11805" s="1" t="s">
        <v>2953</v>
      </c>
    </row>
    <row r="11806" spans="1:1" x14ac:dyDescent="0.2">
      <c r="A11806" s="1" t="s">
        <v>2953</v>
      </c>
    </row>
    <row r="11807" spans="1:1" x14ac:dyDescent="0.2">
      <c r="A11807" s="1" t="s">
        <v>2953</v>
      </c>
    </row>
    <row r="11808" spans="1:1" x14ac:dyDescent="0.2">
      <c r="A11808" s="1" t="s">
        <v>2953</v>
      </c>
    </row>
    <row r="11809" spans="1:1" x14ac:dyDescent="0.2">
      <c r="A11809" s="1" t="s">
        <v>2954</v>
      </c>
    </row>
    <row r="11810" spans="1:1" x14ac:dyDescent="0.2">
      <c r="A11810" s="1" t="s">
        <v>2945</v>
      </c>
    </row>
    <row r="11811" spans="1:1" x14ac:dyDescent="0.2">
      <c r="A11811" s="1" t="s">
        <v>2945</v>
      </c>
    </row>
    <row r="11812" spans="1:1" x14ac:dyDescent="0.2">
      <c r="A11812" s="1" t="s">
        <v>2945</v>
      </c>
    </row>
    <row r="11813" spans="1:1" x14ac:dyDescent="0.2">
      <c r="A11813" s="1" t="s">
        <v>2946</v>
      </c>
    </row>
    <row r="11814" spans="1:1" x14ac:dyDescent="0.2">
      <c r="A11814" s="1" t="s">
        <v>2947</v>
      </c>
    </row>
    <row r="11815" spans="1:1" x14ac:dyDescent="0.2">
      <c r="A11815" s="1" t="s">
        <v>2948</v>
      </c>
    </row>
    <row r="11816" spans="1:1" x14ac:dyDescent="0.2">
      <c r="A11816" s="1" t="s">
        <v>2949</v>
      </c>
    </row>
    <row r="11817" spans="1:1" x14ac:dyDescent="0.2">
      <c r="A11817" s="1" t="s">
        <v>2950</v>
      </c>
    </row>
    <row r="11818" spans="1:1" x14ac:dyDescent="0.2">
      <c r="A11818" s="1" t="s">
        <v>2951</v>
      </c>
    </row>
    <row r="11819" spans="1:1" x14ac:dyDescent="0.2">
      <c r="A11819" s="1" t="s">
        <v>2952</v>
      </c>
    </row>
    <row r="11820" spans="1:1" x14ac:dyDescent="0.2">
      <c r="A11820" s="1" t="s">
        <v>2953</v>
      </c>
    </row>
    <row r="11821" spans="1:1" x14ac:dyDescent="0.2">
      <c r="A11821" s="1" t="s">
        <v>2953</v>
      </c>
    </row>
    <row r="11822" spans="1:1" x14ac:dyDescent="0.2">
      <c r="A11822" s="1" t="s">
        <v>2953</v>
      </c>
    </row>
    <row r="11823" spans="1:1" x14ac:dyDescent="0.2">
      <c r="A11823" s="1" t="s">
        <v>2953</v>
      </c>
    </row>
    <row r="11824" spans="1:1" x14ac:dyDescent="0.2">
      <c r="A11824" s="1" t="s">
        <v>2954</v>
      </c>
    </row>
    <row r="11825" spans="1:1" x14ac:dyDescent="0.2">
      <c r="A11825" s="1" t="s">
        <v>2945</v>
      </c>
    </row>
    <row r="11826" spans="1:1" x14ac:dyDescent="0.2">
      <c r="A11826" s="1" t="s">
        <v>2955</v>
      </c>
    </row>
    <row r="11827" spans="1:1" x14ac:dyDescent="0.2">
      <c r="A11827" s="1" t="s">
        <v>2956</v>
      </c>
    </row>
    <row r="11828" spans="1:1" x14ac:dyDescent="0.2">
      <c r="A11828" s="1" t="s">
        <v>2957</v>
      </c>
    </row>
    <row r="11829" spans="1:1" x14ac:dyDescent="0.2">
      <c r="A11829" s="1" t="s">
        <v>2958</v>
      </c>
    </row>
    <row r="11830" spans="1:1" x14ac:dyDescent="0.2">
      <c r="A11830" s="1" t="s">
        <v>2959</v>
      </c>
    </row>
    <row r="11831" spans="1:1" x14ac:dyDescent="0.2">
      <c r="A11831" s="1" t="s">
        <v>2960</v>
      </c>
    </row>
    <row r="11832" spans="1:1" x14ac:dyDescent="0.2">
      <c r="A11832" s="1" t="s">
        <v>2961</v>
      </c>
    </row>
    <row r="11833" spans="1:1" x14ac:dyDescent="0.2">
      <c r="A11833" s="1" t="s">
        <v>2962</v>
      </c>
    </row>
    <row r="11834" spans="1:1" x14ac:dyDescent="0.2">
      <c r="A11834" s="1" t="s">
        <v>2963</v>
      </c>
    </row>
    <row r="11835" spans="1:1" x14ac:dyDescent="0.2">
      <c r="A11835" s="1" t="s">
        <v>2964</v>
      </c>
    </row>
    <row r="11836" spans="1:1" x14ac:dyDescent="0.2">
      <c r="A11836" s="1" t="s">
        <v>2965</v>
      </c>
    </row>
    <row r="11837" spans="1:1" x14ac:dyDescent="0.2">
      <c r="A11837" s="1" t="s">
        <v>2966</v>
      </c>
    </row>
    <row r="11838" spans="1:1" x14ac:dyDescent="0.2">
      <c r="A11838" s="1" t="s">
        <v>2966</v>
      </c>
    </row>
    <row r="11839" spans="1:1" x14ac:dyDescent="0.2">
      <c r="A11839" s="1" t="s">
        <v>2967</v>
      </c>
    </row>
    <row r="11840" spans="1:1" x14ac:dyDescent="0.2">
      <c r="A11840" s="1" t="s">
        <v>2968</v>
      </c>
    </row>
    <row r="11841" spans="1:1" x14ac:dyDescent="0.2">
      <c r="A11841" s="1" t="s">
        <v>2969</v>
      </c>
    </row>
    <row r="11842" spans="1:1" x14ac:dyDescent="0.2">
      <c r="A11842" s="1" t="s">
        <v>2970</v>
      </c>
    </row>
    <row r="11843" spans="1:1" x14ac:dyDescent="0.2">
      <c r="A11843" s="1" t="s">
        <v>2971</v>
      </c>
    </row>
    <row r="11844" spans="1:1" x14ac:dyDescent="0.2">
      <c r="A11844" s="1" t="s">
        <v>2972</v>
      </c>
    </row>
    <row r="11845" spans="1:1" x14ac:dyDescent="0.2">
      <c r="A11845" s="1" t="s">
        <v>2973</v>
      </c>
    </row>
    <row r="11846" spans="1:1" x14ac:dyDescent="0.2">
      <c r="A11846" s="1" t="s">
        <v>2974</v>
      </c>
    </row>
    <row r="11847" spans="1:1" x14ac:dyDescent="0.2">
      <c r="A11847" s="1" t="s">
        <v>2974</v>
      </c>
    </row>
    <row r="11848" spans="1:1" x14ac:dyDescent="0.2">
      <c r="A11848" s="1" t="s">
        <v>2974</v>
      </c>
    </row>
    <row r="11849" spans="1:1" x14ac:dyDescent="0.2">
      <c r="A11849" s="1" t="s">
        <v>2974</v>
      </c>
    </row>
    <row r="11850" spans="1:1" x14ac:dyDescent="0.2">
      <c r="A11850" s="1" t="s">
        <v>2975</v>
      </c>
    </row>
    <row r="11851" spans="1:1" x14ac:dyDescent="0.2">
      <c r="A11851" s="1" t="s">
        <v>2966</v>
      </c>
    </row>
    <row r="11852" spans="1:1" x14ac:dyDescent="0.2">
      <c r="A11852" s="1" t="s">
        <v>2966</v>
      </c>
    </row>
    <row r="11853" spans="1:1" x14ac:dyDescent="0.2">
      <c r="A11853" s="1" t="s">
        <v>2966</v>
      </c>
    </row>
    <row r="11854" spans="1:1" x14ac:dyDescent="0.2">
      <c r="A11854" s="1" t="s">
        <v>2967</v>
      </c>
    </row>
    <row r="11855" spans="1:1" x14ac:dyDescent="0.2">
      <c r="A11855" s="1" t="s">
        <v>2968</v>
      </c>
    </row>
    <row r="11856" spans="1:1" x14ac:dyDescent="0.2">
      <c r="A11856" s="1" t="s">
        <v>2969</v>
      </c>
    </row>
    <row r="11857" spans="1:1" x14ac:dyDescent="0.2">
      <c r="A11857" s="1" t="s">
        <v>2970</v>
      </c>
    </row>
    <row r="11858" spans="1:1" x14ac:dyDescent="0.2">
      <c r="A11858" s="1" t="s">
        <v>2971</v>
      </c>
    </row>
    <row r="11859" spans="1:1" x14ac:dyDescent="0.2">
      <c r="A11859" s="1" t="s">
        <v>2972</v>
      </c>
    </row>
    <row r="11860" spans="1:1" x14ac:dyDescent="0.2">
      <c r="A11860" s="1" t="s">
        <v>2973</v>
      </c>
    </row>
    <row r="11861" spans="1:1" x14ac:dyDescent="0.2">
      <c r="A11861" s="1" t="s">
        <v>2974</v>
      </c>
    </row>
    <row r="11862" spans="1:1" x14ac:dyDescent="0.2">
      <c r="A11862" s="1" t="s">
        <v>2974</v>
      </c>
    </row>
    <row r="11863" spans="1:1" x14ac:dyDescent="0.2">
      <c r="A11863" s="1" t="s">
        <v>2974</v>
      </c>
    </row>
    <row r="11864" spans="1:1" x14ac:dyDescent="0.2">
      <c r="A11864" s="1" t="s">
        <v>2974</v>
      </c>
    </row>
    <row r="11865" spans="1:1" x14ac:dyDescent="0.2">
      <c r="A11865" s="1" t="s">
        <v>2975</v>
      </c>
    </row>
    <row r="11866" spans="1:1" x14ac:dyDescent="0.2">
      <c r="A11866" s="1" t="s">
        <v>2966</v>
      </c>
    </row>
    <row r="11867" spans="1:1" x14ac:dyDescent="0.2">
      <c r="A11867" s="1" t="s">
        <v>2966</v>
      </c>
    </row>
    <row r="11868" spans="1:1" x14ac:dyDescent="0.2">
      <c r="A11868" s="1" t="s">
        <v>2966</v>
      </c>
    </row>
    <row r="11869" spans="1:1" x14ac:dyDescent="0.2">
      <c r="A11869" s="1" t="s">
        <v>2967</v>
      </c>
    </row>
    <row r="11870" spans="1:1" x14ac:dyDescent="0.2">
      <c r="A11870" s="1" t="s">
        <v>2968</v>
      </c>
    </row>
    <row r="11871" spans="1:1" x14ac:dyDescent="0.2">
      <c r="A11871" s="1" t="s">
        <v>2969</v>
      </c>
    </row>
    <row r="11872" spans="1:1" x14ac:dyDescent="0.2">
      <c r="A11872" s="1" t="s">
        <v>2970</v>
      </c>
    </row>
    <row r="11873" spans="1:1" x14ac:dyDescent="0.2">
      <c r="A11873" s="1" t="s">
        <v>2971</v>
      </c>
    </row>
    <row r="11874" spans="1:1" x14ac:dyDescent="0.2">
      <c r="A11874" s="1" t="s">
        <v>2972</v>
      </c>
    </row>
    <row r="11875" spans="1:1" x14ac:dyDescent="0.2">
      <c r="A11875" s="1" t="s">
        <v>2973</v>
      </c>
    </row>
    <row r="11876" spans="1:1" x14ac:dyDescent="0.2">
      <c r="A11876" s="1" t="s">
        <v>2974</v>
      </c>
    </row>
    <row r="11877" spans="1:1" x14ac:dyDescent="0.2">
      <c r="A11877" s="1" t="s">
        <v>2974</v>
      </c>
    </row>
    <row r="11878" spans="1:1" x14ac:dyDescent="0.2">
      <c r="A11878" s="1" t="s">
        <v>2974</v>
      </c>
    </row>
    <row r="11879" spans="1:1" x14ac:dyDescent="0.2">
      <c r="A11879" s="1" t="s">
        <v>2974</v>
      </c>
    </row>
    <row r="11880" spans="1:1" x14ac:dyDescent="0.2">
      <c r="A11880" s="1" t="s">
        <v>2975</v>
      </c>
    </row>
    <row r="11881" spans="1:1" x14ac:dyDescent="0.2">
      <c r="A11881" s="1" t="s">
        <v>2966</v>
      </c>
    </row>
    <row r="11882" spans="1:1" x14ac:dyDescent="0.2">
      <c r="A11882" s="1" t="s">
        <v>2966</v>
      </c>
    </row>
    <row r="11883" spans="1:1" x14ac:dyDescent="0.2">
      <c r="A11883" s="1" t="s">
        <v>2966</v>
      </c>
    </row>
    <row r="11884" spans="1:1" x14ac:dyDescent="0.2">
      <c r="A11884" s="1" t="s">
        <v>2967</v>
      </c>
    </row>
    <row r="11885" spans="1:1" x14ac:dyDescent="0.2">
      <c r="A11885" s="1" t="s">
        <v>2968</v>
      </c>
    </row>
    <row r="11886" spans="1:1" x14ac:dyDescent="0.2">
      <c r="A11886" s="1" t="s">
        <v>2969</v>
      </c>
    </row>
    <row r="11887" spans="1:1" x14ac:dyDescent="0.2">
      <c r="A11887" s="1" t="s">
        <v>2970</v>
      </c>
    </row>
    <row r="11888" spans="1:1" x14ac:dyDescent="0.2">
      <c r="A11888" s="1" t="s">
        <v>2971</v>
      </c>
    </row>
    <row r="11889" spans="1:1" x14ac:dyDescent="0.2">
      <c r="A11889" s="1" t="s">
        <v>2972</v>
      </c>
    </row>
    <row r="11890" spans="1:1" x14ac:dyDescent="0.2">
      <c r="A11890" s="1" t="s">
        <v>2973</v>
      </c>
    </row>
    <row r="11891" spans="1:1" x14ac:dyDescent="0.2">
      <c r="A11891" s="1" t="s">
        <v>2974</v>
      </c>
    </row>
    <row r="11892" spans="1:1" x14ac:dyDescent="0.2">
      <c r="A11892" s="1" t="s">
        <v>2974</v>
      </c>
    </row>
    <row r="11893" spans="1:1" x14ac:dyDescent="0.2">
      <c r="A11893" s="1" t="s">
        <v>2974</v>
      </c>
    </row>
    <row r="11894" spans="1:1" x14ac:dyDescent="0.2">
      <c r="A11894" s="1" t="s">
        <v>2974</v>
      </c>
    </row>
    <row r="11895" spans="1:1" x14ac:dyDescent="0.2">
      <c r="A11895" s="1" t="s">
        <v>2975</v>
      </c>
    </row>
    <row r="11896" spans="1:1" x14ac:dyDescent="0.2">
      <c r="A11896" s="1" t="s">
        <v>2966</v>
      </c>
    </row>
    <row r="11897" spans="1:1" x14ac:dyDescent="0.2">
      <c r="A11897" s="1" t="s">
        <v>2966</v>
      </c>
    </row>
    <row r="11898" spans="1:1" x14ac:dyDescent="0.2">
      <c r="A11898" s="1" t="s">
        <v>2966</v>
      </c>
    </row>
    <row r="11899" spans="1:1" x14ac:dyDescent="0.2">
      <c r="A11899" s="1" t="s">
        <v>2967</v>
      </c>
    </row>
    <row r="11900" spans="1:1" x14ac:dyDescent="0.2">
      <c r="A11900" s="1" t="s">
        <v>2968</v>
      </c>
    </row>
    <row r="11901" spans="1:1" x14ac:dyDescent="0.2">
      <c r="A11901" s="1" t="s">
        <v>2969</v>
      </c>
    </row>
    <row r="11902" spans="1:1" x14ac:dyDescent="0.2">
      <c r="A11902" s="1" t="s">
        <v>2970</v>
      </c>
    </row>
    <row r="11903" spans="1:1" x14ac:dyDescent="0.2">
      <c r="A11903" s="1" t="s">
        <v>2971</v>
      </c>
    </row>
    <row r="11904" spans="1:1" x14ac:dyDescent="0.2">
      <c r="A11904" s="1" t="s">
        <v>2972</v>
      </c>
    </row>
    <row r="11905" spans="1:1" x14ac:dyDescent="0.2">
      <c r="A11905" s="1" t="s">
        <v>2973</v>
      </c>
    </row>
    <row r="11906" spans="1:1" x14ac:dyDescent="0.2">
      <c r="A11906" s="1" t="s">
        <v>2974</v>
      </c>
    </row>
    <row r="11907" spans="1:1" x14ac:dyDescent="0.2">
      <c r="A11907" s="1" t="s">
        <v>2974</v>
      </c>
    </row>
    <row r="11908" spans="1:1" x14ac:dyDescent="0.2">
      <c r="A11908" s="1" t="s">
        <v>2974</v>
      </c>
    </row>
    <row r="11909" spans="1:1" x14ac:dyDescent="0.2">
      <c r="A11909" s="1" t="s">
        <v>2974</v>
      </c>
    </row>
    <row r="11910" spans="1:1" x14ac:dyDescent="0.2">
      <c r="A11910" s="1" t="s">
        <v>2975</v>
      </c>
    </row>
    <row r="11911" spans="1:1" x14ac:dyDescent="0.2">
      <c r="A11911" s="1" t="s">
        <v>2966</v>
      </c>
    </row>
    <row r="11912" spans="1:1" x14ac:dyDescent="0.2">
      <c r="A11912" s="1" t="s">
        <v>2976</v>
      </c>
    </row>
    <row r="11913" spans="1:1" x14ac:dyDescent="0.2">
      <c r="A11913" s="1" t="s">
        <v>2977</v>
      </c>
    </row>
    <row r="11914" spans="1:1" x14ac:dyDescent="0.2">
      <c r="A11914" s="1" t="s">
        <v>2978</v>
      </c>
    </row>
    <row r="11915" spans="1:1" x14ac:dyDescent="0.2">
      <c r="A11915" s="1" t="s">
        <v>2979</v>
      </c>
    </row>
    <row r="11916" spans="1:1" x14ac:dyDescent="0.2">
      <c r="A11916" s="1" t="s">
        <v>2980</v>
      </c>
    </row>
    <row r="11917" spans="1:1" x14ac:dyDescent="0.2">
      <c r="A11917" s="1" t="s">
        <v>2981</v>
      </c>
    </row>
    <row r="11918" spans="1:1" x14ac:dyDescent="0.2">
      <c r="A11918" s="1" t="s">
        <v>2982</v>
      </c>
    </row>
    <row r="11919" spans="1:1" x14ac:dyDescent="0.2">
      <c r="A11919" s="1" t="s">
        <v>2983</v>
      </c>
    </row>
    <row r="11920" spans="1:1" x14ac:dyDescent="0.2">
      <c r="A11920" s="1" t="s">
        <v>2984</v>
      </c>
    </row>
    <row r="11921" spans="1:1" x14ac:dyDescent="0.2">
      <c r="A11921" s="1" t="s">
        <v>2985</v>
      </c>
    </row>
    <row r="11922" spans="1:1" x14ac:dyDescent="0.2">
      <c r="A11922" s="1" t="s">
        <v>2986</v>
      </c>
    </row>
    <row r="11923" spans="1:1" x14ac:dyDescent="0.2">
      <c r="A11923" s="1" t="s">
        <v>2976</v>
      </c>
    </row>
    <row r="11924" spans="1:1" x14ac:dyDescent="0.2">
      <c r="A11924" s="1" t="s">
        <v>2987</v>
      </c>
    </row>
    <row r="11925" spans="1:1" x14ac:dyDescent="0.2">
      <c r="A11925" s="1" t="s">
        <v>2978</v>
      </c>
    </row>
    <row r="11926" spans="1:1" x14ac:dyDescent="0.2">
      <c r="A11926" s="1" t="s">
        <v>2979</v>
      </c>
    </row>
    <row r="11927" spans="1:1" x14ac:dyDescent="0.2">
      <c r="A11927" s="1" t="s">
        <v>2980</v>
      </c>
    </row>
    <row r="11928" spans="1:1" x14ac:dyDescent="0.2">
      <c r="A11928" s="1" t="s">
        <v>2988</v>
      </c>
    </row>
    <row r="11929" spans="1:1" x14ac:dyDescent="0.2">
      <c r="A11929" s="1" t="s">
        <v>2982</v>
      </c>
    </row>
    <row r="11930" spans="1:1" x14ac:dyDescent="0.2">
      <c r="A11930" s="1" t="s">
        <v>2983</v>
      </c>
    </row>
    <row r="11931" spans="1:1" x14ac:dyDescent="0.2">
      <c r="A11931" s="1" t="s">
        <v>2984</v>
      </c>
    </row>
    <row r="11932" spans="1:1" x14ac:dyDescent="0.2">
      <c r="A11932" s="1" t="s">
        <v>2985</v>
      </c>
    </row>
    <row r="11933" spans="1:1" x14ac:dyDescent="0.2">
      <c r="A11933" s="1" t="s">
        <v>2986</v>
      </c>
    </row>
    <row r="11934" spans="1:1" x14ac:dyDescent="0.2">
      <c r="A11934" s="1" t="s">
        <v>2989</v>
      </c>
    </row>
    <row r="11935" spans="1:1" x14ac:dyDescent="0.2">
      <c r="A11935" s="1" t="s">
        <v>2990</v>
      </c>
    </row>
    <row r="11936" spans="1:1" x14ac:dyDescent="0.2">
      <c r="A11936" s="1" t="s">
        <v>2991</v>
      </c>
    </row>
    <row r="11937" spans="1:1" x14ac:dyDescent="0.2">
      <c r="A11937" s="1" t="s">
        <v>2992</v>
      </c>
    </row>
    <row r="11938" spans="1:1" x14ac:dyDescent="0.2">
      <c r="A11938" s="1" t="s">
        <v>2993</v>
      </c>
    </row>
    <row r="11939" spans="1:1" x14ac:dyDescent="0.2">
      <c r="A11939" s="1" t="s">
        <v>2994</v>
      </c>
    </row>
    <row r="11940" spans="1:1" x14ac:dyDescent="0.2">
      <c r="A11940" s="1" t="s">
        <v>2995</v>
      </c>
    </row>
    <row r="11941" spans="1:1" x14ac:dyDescent="0.2">
      <c r="A11941" s="1" t="s">
        <v>2996</v>
      </c>
    </row>
    <row r="11942" spans="1:1" x14ac:dyDescent="0.2">
      <c r="A11942" s="1" t="s">
        <v>2997</v>
      </c>
    </row>
    <row r="11943" spans="1:1" x14ac:dyDescent="0.2">
      <c r="A11943" s="1" t="s">
        <v>2998</v>
      </c>
    </row>
    <row r="11944" spans="1:1" x14ac:dyDescent="0.2">
      <c r="A11944" s="1" t="s">
        <v>2999</v>
      </c>
    </row>
    <row r="11945" spans="1:1" x14ac:dyDescent="0.2">
      <c r="A11945" s="1" t="s">
        <v>2989</v>
      </c>
    </row>
    <row r="11946" spans="1:1" x14ac:dyDescent="0.2">
      <c r="A11946" s="1" t="s">
        <v>3000</v>
      </c>
    </row>
    <row r="11947" spans="1:1" x14ac:dyDescent="0.2">
      <c r="A11947" s="1" t="s">
        <v>2991</v>
      </c>
    </row>
    <row r="11948" spans="1:1" x14ac:dyDescent="0.2">
      <c r="A11948" s="1" t="s">
        <v>2992</v>
      </c>
    </row>
    <row r="11949" spans="1:1" x14ac:dyDescent="0.2">
      <c r="A11949" s="1" t="s">
        <v>2993</v>
      </c>
    </row>
    <row r="11950" spans="1:1" x14ac:dyDescent="0.2">
      <c r="A11950" s="1" t="s">
        <v>3001</v>
      </c>
    </row>
    <row r="11951" spans="1:1" x14ac:dyDescent="0.2">
      <c r="A11951" s="1" t="s">
        <v>2995</v>
      </c>
    </row>
    <row r="11952" spans="1:1" x14ac:dyDescent="0.2">
      <c r="A11952" s="1" t="s">
        <v>2996</v>
      </c>
    </row>
    <row r="11953" spans="1:1" x14ac:dyDescent="0.2">
      <c r="A11953" s="1" t="s">
        <v>2997</v>
      </c>
    </row>
    <row r="11954" spans="1:1" x14ac:dyDescent="0.2">
      <c r="A11954" s="1" t="s">
        <v>2998</v>
      </c>
    </row>
    <row r="11955" spans="1:1" x14ac:dyDescent="0.2">
      <c r="A11955" s="1" t="s">
        <v>2999</v>
      </c>
    </row>
    <row r="11956" spans="1:1" x14ac:dyDescent="0.2">
      <c r="A11956" s="1" t="s">
        <v>3002</v>
      </c>
    </row>
    <row r="11957" spans="1:1" x14ac:dyDescent="0.2">
      <c r="A11957" s="1" t="s">
        <v>3002</v>
      </c>
    </row>
    <row r="11958" spans="1:1" x14ac:dyDescent="0.2">
      <c r="A11958" s="1" t="s">
        <v>3003</v>
      </c>
    </row>
    <row r="11959" spans="1:1" x14ac:dyDescent="0.2">
      <c r="A11959" s="1" t="s">
        <v>3004</v>
      </c>
    </row>
    <row r="11960" spans="1:1" x14ac:dyDescent="0.2">
      <c r="A11960" s="1" t="s">
        <v>3005</v>
      </c>
    </row>
    <row r="11961" spans="1:1" x14ac:dyDescent="0.2">
      <c r="A11961" s="1" t="s">
        <v>3006</v>
      </c>
    </row>
    <row r="11962" spans="1:1" x14ac:dyDescent="0.2">
      <c r="A11962" s="1" t="s">
        <v>3007</v>
      </c>
    </row>
    <row r="11963" spans="1:1" x14ac:dyDescent="0.2">
      <c r="A11963" s="1" t="s">
        <v>3008</v>
      </c>
    </row>
    <row r="11964" spans="1:1" x14ac:dyDescent="0.2">
      <c r="A11964" s="1" t="s">
        <v>3009</v>
      </c>
    </row>
    <row r="11965" spans="1:1" x14ac:dyDescent="0.2">
      <c r="A11965" s="1" t="s">
        <v>3010</v>
      </c>
    </row>
    <row r="11966" spans="1:1" x14ac:dyDescent="0.2">
      <c r="A11966" s="1" t="s">
        <v>3010</v>
      </c>
    </row>
    <row r="11967" spans="1:1" x14ac:dyDescent="0.2">
      <c r="A11967" s="1" t="s">
        <v>3010</v>
      </c>
    </row>
    <row r="11968" spans="1:1" x14ac:dyDescent="0.2">
      <c r="A11968" s="1" t="s">
        <v>3010</v>
      </c>
    </row>
    <row r="11969" spans="1:1" x14ac:dyDescent="0.2">
      <c r="A11969" s="1" t="s">
        <v>3011</v>
      </c>
    </row>
    <row r="11970" spans="1:1" x14ac:dyDescent="0.2">
      <c r="A11970" s="1" t="s">
        <v>3002</v>
      </c>
    </row>
    <row r="11971" spans="1:1" x14ac:dyDescent="0.2">
      <c r="A11971" s="1" t="s">
        <v>3002</v>
      </c>
    </row>
    <row r="11972" spans="1:1" x14ac:dyDescent="0.2">
      <c r="A11972" s="1" t="s">
        <v>3002</v>
      </c>
    </row>
    <row r="11973" spans="1:1" x14ac:dyDescent="0.2">
      <c r="A11973" s="1" t="s">
        <v>3003</v>
      </c>
    </row>
    <row r="11974" spans="1:1" x14ac:dyDescent="0.2">
      <c r="A11974" s="1" t="s">
        <v>3004</v>
      </c>
    </row>
    <row r="11975" spans="1:1" x14ac:dyDescent="0.2">
      <c r="A11975" s="1" t="s">
        <v>3005</v>
      </c>
    </row>
    <row r="11976" spans="1:1" x14ac:dyDescent="0.2">
      <c r="A11976" s="1" t="s">
        <v>3006</v>
      </c>
    </row>
    <row r="11977" spans="1:1" x14ac:dyDescent="0.2">
      <c r="A11977" s="1" t="s">
        <v>3007</v>
      </c>
    </row>
    <row r="11978" spans="1:1" x14ac:dyDescent="0.2">
      <c r="A11978" s="1" t="s">
        <v>3008</v>
      </c>
    </row>
    <row r="11979" spans="1:1" x14ac:dyDescent="0.2">
      <c r="A11979" s="1" t="s">
        <v>3009</v>
      </c>
    </row>
    <row r="11980" spans="1:1" x14ac:dyDescent="0.2">
      <c r="A11980" s="1" t="s">
        <v>3010</v>
      </c>
    </row>
    <row r="11981" spans="1:1" x14ac:dyDescent="0.2">
      <c r="A11981" s="1" t="s">
        <v>3010</v>
      </c>
    </row>
    <row r="11982" spans="1:1" x14ac:dyDescent="0.2">
      <c r="A11982" s="1" t="s">
        <v>3010</v>
      </c>
    </row>
    <row r="11983" spans="1:1" x14ac:dyDescent="0.2">
      <c r="A11983" s="1" t="s">
        <v>3010</v>
      </c>
    </row>
    <row r="11984" spans="1:1" x14ac:dyDescent="0.2">
      <c r="A11984" s="1" t="s">
        <v>3011</v>
      </c>
    </row>
    <row r="11985" spans="1:1" x14ac:dyDescent="0.2">
      <c r="A11985" s="1" t="s">
        <v>3002</v>
      </c>
    </row>
    <row r="11986" spans="1:1" x14ac:dyDescent="0.2">
      <c r="A11986" s="1" t="s">
        <v>3002</v>
      </c>
    </row>
    <row r="11987" spans="1:1" x14ac:dyDescent="0.2">
      <c r="A11987" s="1" t="s">
        <v>3002</v>
      </c>
    </row>
    <row r="11988" spans="1:1" x14ac:dyDescent="0.2">
      <c r="A11988" s="1" t="s">
        <v>3003</v>
      </c>
    </row>
    <row r="11989" spans="1:1" x14ac:dyDescent="0.2">
      <c r="A11989" s="1" t="s">
        <v>3004</v>
      </c>
    </row>
    <row r="11990" spans="1:1" x14ac:dyDescent="0.2">
      <c r="A11990" s="1" t="s">
        <v>3005</v>
      </c>
    </row>
    <row r="11991" spans="1:1" x14ac:dyDescent="0.2">
      <c r="A11991" s="1" t="s">
        <v>3006</v>
      </c>
    </row>
    <row r="11992" spans="1:1" x14ac:dyDescent="0.2">
      <c r="A11992" s="1" t="s">
        <v>3007</v>
      </c>
    </row>
    <row r="11993" spans="1:1" x14ac:dyDescent="0.2">
      <c r="A11993" s="1" t="s">
        <v>3008</v>
      </c>
    </row>
    <row r="11994" spans="1:1" x14ac:dyDescent="0.2">
      <c r="A11994" s="1" t="s">
        <v>3009</v>
      </c>
    </row>
    <row r="11995" spans="1:1" x14ac:dyDescent="0.2">
      <c r="A11995" s="1" t="s">
        <v>3010</v>
      </c>
    </row>
    <row r="11996" spans="1:1" x14ac:dyDescent="0.2">
      <c r="A11996" s="1" t="s">
        <v>3010</v>
      </c>
    </row>
    <row r="11997" spans="1:1" x14ac:dyDescent="0.2">
      <c r="A11997" s="1" t="s">
        <v>3010</v>
      </c>
    </row>
    <row r="11998" spans="1:1" x14ac:dyDescent="0.2">
      <c r="A11998" s="1" t="s">
        <v>3010</v>
      </c>
    </row>
    <row r="11999" spans="1:1" x14ac:dyDescent="0.2">
      <c r="A11999" s="1" t="s">
        <v>3011</v>
      </c>
    </row>
    <row r="12000" spans="1:1" x14ac:dyDescent="0.2">
      <c r="A12000" s="1" t="s">
        <v>3002</v>
      </c>
    </row>
    <row r="12001" spans="1:1" x14ac:dyDescent="0.2">
      <c r="A12001" s="1" t="s">
        <v>3002</v>
      </c>
    </row>
    <row r="12002" spans="1:1" x14ac:dyDescent="0.2">
      <c r="A12002" s="1" t="s">
        <v>3002</v>
      </c>
    </row>
    <row r="12003" spans="1:1" x14ac:dyDescent="0.2">
      <c r="A12003" s="1" t="s">
        <v>3003</v>
      </c>
    </row>
    <row r="12004" spans="1:1" x14ac:dyDescent="0.2">
      <c r="A12004" s="1" t="s">
        <v>3004</v>
      </c>
    </row>
    <row r="12005" spans="1:1" x14ac:dyDescent="0.2">
      <c r="A12005" s="1" t="s">
        <v>3005</v>
      </c>
    </row>
    <row r="12006" spans="1:1" x14ac:dyDescent="0.2">
      <c r="A12006" s="1" t="s">
        <v>3006</v>
      </c>
    </row>
    <row r="12007" spans="1:1" x14ac:dyDescent="0.2">
      <c r="A12007" s="1" t="s">
        <v>3007</v>
      </c>
    </row>
    <row r="12008" spans="1:1" x14ac:dyDescent="0.2">
      <c r="A12008" s="1" t="s">
        <v>3008</v>
      </c>
    </row>
    <row r="12009" spans="1:1" x14ac:dyDescent="0.2">
      <c r="A12009" s="1" t="s">
        <v>3009</v>
      </c>
    </row>
    <row r="12010" spans="1:1" x14ac:dyDescent="0.2">
      <c r="A12010" s="1" t="s">
        <v>3010</v>
      </c>
    </row>
    <row r="12011" spans="1:1" x14ac:dyDescent="0.2">
      <c r="A12011" s="1" t="s">
        <v>3010</v>
      </c>
    </row>
    <row r="12012" spans="1:1" x14ac:dyDescent="0.2">
      <c r="A12012" s="1" t="s">
        <v>3010</v>
      </c>
    </row>
    <row r="12013" spans="1:1" x14ac:dyDescent="0.2">
      <c r="A12013" s="1" t="s">
        <v>3010</v>
      </c>
    </row>
    <row r="12014" spans="1:1" x14ac:dyDescent="0.2">
      <c r="A12014" s="1" t="s">
        <v>3011</v>
      </c>
    </row>
    <row r="12015" spans="1:1" x14ac:dyDescent="0.2">
      <c r="A12015" s="1" t="s">
        <v>3002</v>
      </c>
    </row>
    <row r="12016" spans="1:1" x14ac:dyDescent="0.2">
      <c r="A12016" s="1" t="s">
        <v>3002</v>
      </c>
    </row>
    <row r="12017" spans="1:1" x14ac:dyDescent="0.2">
      <c r="A12017" s="1" t="s">
        <v>3002</v>
      </c>
    </row>
    <row r="12018" spans="1:1" x14ac:dyDescent="0.2">
      <c r="A12018" s="1" t="s">
        <v>3003</v>
      </c>
    </row>
    <row r="12019" spans="1:1" x14ac:dyDescent="0.2">
      <c r="A12019" s="1" t="s">
        <v>3004</v>
      </c>
    </row>
    <row r="12020" spans="1:1" x14ac:dyDescent="0.2">
      <c r="A12020" s="1" t="s">
        <v>3005</v>
      </c>
    </row>
    <row r="12021" spans="1:1" x14ac:dyDescent="0.2">
      <c r="A12021" s="1" t="s">
        <v>3006</v>
      </c>
    </row>
    <row r="12022" spans="1:1" x14ac:dyDescent="0.2">
      <c r="A12022" s="1" t="s">
        <v>3007</v>
      </c>
    </row>
    <row r="12023" spans="1:1" x14ac:dyDescent="0.2">
      <c r="A12023" s="1" t="s">
        <v>3008</v>
      </c>
    </row>
    <row r="12024" spans="1:1" x14ac:dyDescent="0.2">
      <c r="A12024" s="1" t="s">
        <v>3009</v>
      </c>
    </row>
    <row r="12025" spans="1:1" x14ac:dyDescent="0.2">
      <c r="A12025" s="1" t="s">
        <v>3010</v>
      </c>
    </row>
    <row r="12026" spans="1:1" x14ac:dyDescent="0.2">
      <c r="A12026" s="1" t="s">
        <v>3010</v>
      </c>
    </row>
    <row r="12027" spans="1:1" x14ac:dyDescent="0.2">
      <c r="A12027" s="1" t="s">
        <v>3010</v>
      </c>
    </row>
    <row r="12028" spans="1:1" x14ac:dyDescent="0.2">
      <c r="A12028" s="1" t="s">
        <v>3010</v>
      </c>
    </row>
    <row r="12029" spans="1:1" x14ac:dyDescent="0.2">
      <c r="A12029" s="1" t="s">
        <v>3011</v>
      </c>
    </row>
    <row r="12030" spans="1:1" x14ac:dyDescent="0.2">
      <c r="A12030" s="1" t="s">
        <v>3002</v>
      </c>
    </row>
    <row r="12031" spans="1:1" x14ac:dyDescent="0.2">
      <c r="A12031" s="1" t="s">
        <v>3012</v>
      </c>
    </row>
    <row r="12032" spans="1:1" x14ac:dyDescent="0.2">
      <c r="A12032" s="1" t="s">
        <v>3013</v>
      </c>
    </row>
    <row r="12033" spans="1:1" x14ac:dyDescent="0.2">
      <c r="A12033" s="1" t="s">
        <v>3014</v>
      </c>
    </row>
    <row r="12034" spans="1:1" x14ac:dyDescent="0.2">
      <c r="A12034" s="1" t="s">
        <v>3015</v>
      </c>
    </row>
    <row r="12035" spans="1:1" x14ac:dyDescent="0.2">
      <c r="A12035" s="1" t="s">
        <v>3016</v>
      </c>
    </row>
    <row r="12036" spans="1:1" x14ac:dyDescent="0.2">
      <c r="A12036" s="1" t="s">
        <v>3017</v>
      </c>
    </row>
    <row r="12037" spans="1:1" x14ac:dyDescent="0.2">
      <c r="A12037" s="1" t="s">
        <v>3018</v>
      </c>
    </row>
    <row r="12038" spans="1:1" x14ac:dyDescent="0.2">
      <c r="A12038" s="1" t="s">
        <v>3019</v>
      </c>
    </row>
    <row r="12039" spans="1:1" x14ac:dyDescent="0.2">
      <c r="A12039" s="1" t="s">
        <v>3020</v>
      </c>
    </row>
    <row r="12040" spans="1:1" x14ac:dyDescent="0.2">
      <c r="A12040" s="1" t="s">
        <v>3021</v>
      </c>
    </row>
    <row r="12041" spans="1:1" x14ac:dyDescent="0.2">
      <c r="A12041" s="1" t="s">
        <v>3022</v>
      </c>
    </row>
    <row r="12042" spans="1:1" x14ac:dyDescent="0.2">
      <c r="A12042" s="1" t="s">
        <v>3012</v>
      </c>
    </row>
    <row r="12043" spans="1:1" x14ac:dyDescent="0.2">
      <c r="A12043" s="1" t="s">
        <v>3023</v>
      </c>
    </row>
    <row r="12044" spans="1:1" x14ac:dyDescent="0.2">
      <c r="A12044" s="1" t="s">
        <v>3014</v>
      </c>
    </row>
    <row r="12045" spans="1:1" x14ac:dyDescent="0.2">
      <c r="A12045" s="1" t="s">
        <v>3015</v>
      </c>
    </row>
    <row r="12046" spans="1:1" x14ac:dyDescent="0.2">
      <c r="A12046" s="1" t="s">
        <v>3016</v>
      </c>
    </row>
    <row r="12047" spans="1:1" x14ac:dyDescent="0.2">
      <c r="A12047" s="1" t="s">
        <v>3024</v>
      </c>
    </row>
    <row r="12048" spans="1:1" x14ac:dyDescent="0.2">
      <c r="A12048" s="1" t="s">
        <v>3018</v>
      </c>
    </row>
    <row r="12049" spans="1:1" x14ac:dyDescent="0.2">
      <c r="A12049" s="1" t="s">
        <v>3019</v>
      </c>
    </row>
    <row r="12050" spans="1:1" x14ac:dyDescent="0.2">
      <c r="A12050" s="1" t="s">
        <v>3020</v>
      </c>
    </row>
    <row r="12051" spans="1:1" x14ac:dyDescent="0.2">
      <c r="A12051" s="1" t="s">
        <v>3021</v>
      </c>
    </row>
    <row r="12052" spans="1:1" x14ac:dyDescent="0.2">
      <c r="A12052" s="1" t="s">
        <v>3022</v>
      </c>
    </row>
    <row r="12053" spans="1:1" x14ac:dyDescent="0.2">
      <c r="A12053" s="1" t="s">
        <v>3025</v>
      </c>
    </row>
    <row r="12054" spans="1:1" x14ac:dyDescent="0.2">
      <c r="A12054" s="1" t="s">
        <v>3025</v>
      </c>
    </row>
    <row r="12055" spans="1:1" x14ac:dyDescent="0.2">
      <c r="A12055" s="1" t="s">
        <v>3026</v>
      </c>
    </row>
    <row r="12056" spans="1:1" x14ac:dyDescent="0.2">
      <c r="A12056" s="1" t="s">
        <v>3027</v>
      </c>
    </row>
    <row r="12057" spans="1:1" x14ac:dyDescent="0.2">
      <c r="A12057" s="1" t="s">
        <v>3028</v>
      </c>
    </row>
    <row r="12058" spans="1:1" x14ac:dyDescent="0.2">
      <c r="A12058" s="1" t="s">
        <v>3029</v>
      </c>
    </row>
    <row r="12059" spans="1:1" x14ac:dyDescent="0.2">
      <c r="A12059" s="1" t="s">
        <v>3030</v>
      </c>
    </row>
    <row r="12060" spans="1:1" x14ac:dyDescent="0.2">
      <c r="A12060" s="1" t="s">
        <v>3031</v>
      </c>
    </row>
    <row r="12061" spans="1:1" x14ac:dyDescent="0.2">
      <c r="A12061" s="1" t="s">
        <v>3032</v>
      </c>
    </row>
    <row r="12062" spans="1:1" x14ac:dyDescent="0.2">
      <c r="A12062" s="1" t="s">
        <v>3033</v>
      </c>
    </row>
    <row r="12063" spans="1:1" x14ac:dyDescent="0.2">
      <c r="A12063" s="1" t="s">
        <v>3033</v>
      </c>
    </row>
    <row r="12064" spans="1:1" x14ac:dyDescent="0.2">
      <c r="A12064" s="1" t="s">
        <v>3033</v>
      </c>
    </row>
    <row r="12065" spans="1:1" x14ac:dyDescent="0.2">
      <c r="A12065" s="1" t="s">
        <v>3033</v>
      </c>
    </row>
    <row r="12066" spans="1:1" x14ac:dyDescent="0.2">
      <c r="A12066" s="1" t="s">
        <v>3034</v>
      </c>
    </row>
    <row r="12067" spans="1:1" x14ac:dyDescent="0.2">
      <c r="A12067" s="1" t="s">
        <v>3025</v>
      </c>
    </row>
    <row r="12068" spans="1:1" x14ac:dyDescent="0.2">
      <c r="A12068" s="1" t="s">
        <v>3025</v>
      </c>
    </row>
    <row r="12069" spans="1:1" x14ac:dyDescent="0.2">
      <c r="A12069" s="1" t="s">
        <v>3025</v>
      </c>
    </row>
    <row r="12070" spans="1:1" x14ac:dyDescent="0.2">
      <c r="A12070" s="1" t="s">
        <v>3026</v>
      </c>
    </row>
    <row r="12071" spans="1:1" x14ac:dyDescent="0.2">
      <c r="A12071" s="1" t="s">
        <v>3027</v>
      </c>
    </row>
    <row r="12072" spans="1:1" x14ac:dyDescent="0.2">
      <c r="A12072" s="1" t="s">
        <v>3028</v>
      </c>
    </row>
    <row r="12073" spans="1:1" x14ac:dyDescent="0.2">
      <c r="A12073" s="1" t="s">
        <v>3029</v>
      </c>
    </row>
    <row r="12074" spans="1:1" x14ac:dyDescent="0.2">
      <c r="A12074" s="1" t="s">
        <v>3030</v>
      </c>
    </row>
    <row r="12075" spans="1:1" x14ac:dyDescent="0.2">
      <c r="A12075" s="1" t="s">
        <v>3031</v>
      </c>
    </row>
    <row r="12076" spans="1:1" x14ac:dyDescent="0.2">
      <c r="A12076" s="1" t="s">
        <v>3032</v>
      </c>
    </row>
    <row r="12077" spans="1:1" x14ac:dyDescent="0.2">
      <c r="A12077" s="1" t="s">
        <v>3033</v>
      </c>
    </row>
    <row r="12078" spans="1:1" x14ac:dyDescent="0.2">
      <c r="A12078" s="1" t="s">
        <v>3033</v>
      </c>
    </row>
    <row r="12079" spans="1:1" x14ac:dyDescent="0.2">
      <c r="A12079" s="1" t="s">
        <v>3033</v>
      </c>
    </row>
    <row r="12080" spans="1:1" x14ac:dyDescent="0.2">
      <c r="A12080" s="1" t="s">
        <v>3033</v>
      </c>
    </row>
    <row r="12081" spans="1:1" x14ac:dyDescent="0.2">
      <c r="A12081" s="1" t="s">
        <v>3034</v>
      </c>
    </row>
    <row r="12082" spans="1:1" x14ac:dyDescent="0.2">
      <c r="A12082" s="1" t="s">
        <v>3025</v>
      </c>
    </row>
    <row r="12083" spans="1:1" x14ac:dyDescent="0.2">
      <c r="A12083" s="1" t="s">
        <v>3025</v>
      </c>
    </row>
    <row r="12084" spans="1:1" x14ac:dyDescent="0.2">
      <c r="A12084" s="1" t="s">
        <v>3025</v>
      </c>
    </row>
    <row r="12085" spans="1:1" x14ac:dyDescent="0.2">
      <c r="A12085" s="1" t="s">
        <v>3026</v>
      </c>
    </row>
    <row r="12086" spans="1:1" x14ac:dyDescent="0.2">
      <c r="A12086" s="1" t="s">
        <v>3027</v>
      </c>
    </row>
    <row r="12087" spans="1:1" x14ac:dyDescent="0.2">
      <c r="A12087" s="1" t="s">
        <v>3028</v>
      </c>
    </row>
    <row r="12088" spans="1:1" x14ac:dyDescent="0.2">
      <c r="A12088" s="1" t="s">
        <v>3029</v>
      </c>
    </row>
    <row r="12089" spans="1:1" x14ac:dyDescent="0.2">
      <c r="A12089" s="1" t="s">
        <v>3030</v>
      </c>
    </row>
    <row r="12090" spans="1:1" x14ac:dyDescent="0.2">
      <c r="A12090" s="1" t="s">
        <v>3031</v>
      </c>
    </row>
    <row r="12091" spans="1:1" x14ac:dyDescent="0.2">
      <c r="A12091" s="1" t="s">
        <v>3032</v>
      </c>
    </row>
    <row r="12092" spans="1:1" x14ac:dyDescent="0.2">
      <c r="A12092" s="1" t="s">
        <v>3033</v>
      </c>
    </row>
    <row r="12093" spans="1:1" x14ac:dyDescent="0.2">
      <c r="A12093" s="1" t="s">
        <v>3033</v>
      </c>
    </row>
    <row r="12094" spans="1:1" x14ac:dyDescent="0.2">
      <c r="A12094" s="1" t="s">
        <v>3033</v>
      </c>
    </row>
    <row r="12095" spans="1:1" x14ac:dyDescent="0.2">
      <c r="A12095" s="1" t="s">
        <v>3033</v>
      </c>
    </row>
    <row r="12096" spans="1:1" x14ac:dyDescent="0.2">
      <c r="A12096" s="1" t="s">
        <v>3034</v>
      </c>
    </row>
    <row r="12097" spans="1:1" x14ac:dyDescent="0.2">
      <c r="A12097" s="1" t="s">
        <v>3025</v>
      </c>
    </row>
    <row r="12098" spans="1:1" x14ac:dyDescent="0.2">
      <c r="A12098" s="1" t="s">
        <v>3025</v>
      </c>
    </row>
    <row r="12099" spans="1:1" x14ac:dyDescent="0.2">
      <c r="A12099" s="1" t="s">
        <v>3025</v>
      </c>
    </row>
    <row r="12100" spans="1:1" x14ac:dyDescent="0.2">
      <c r="A12100" s="1" t="s">
        <v>3026</v>
      </c>
    </row>
    <row r="12101" spans="1:1" x14ac:dyDescent="0.2">
      <c r="A12101" s="1" t="s">
        <v>3027</v>
      </c>
    </row>
    <row r="12102" spans="1:1" x14ac:dyDescent="0.2">
      <c r="A12102" s="1" t="s">
        <v>3028</v>
      </c>
    </row>
    <row r="12103" spans="1:1" x14ac:dyDescent="0.2">
      <c r="A12103" s="1" t="s">
        <v>3029</v>
      </c>
    </row>
    <row r="12104" spans="1:1" x14ac:dyDescent="0.2">
      <c r="A12104" s="1" t="s">
        <v>3030</v>
      </c>
    </row>
    <row r="12105" spans="1:1" x14ac:dyDescent="0.2">
      <c r="A12105" s="1" t="s">
        <v>3031</v>
      </c>
    </row>
    <row r="12106" spans="1:1" x14ac:dyDescent="0.2">
      <c r="A12106" s="1" t="s">
        <v>3032</v>
      </c>
    </row>
    <row r="12107" spans="1:1" x14ac:dyDescent="0.2">
      <c r="A12107" s="1" t="s">
        <v>3033</v>
      </c>
    </row>
    <row r="12108" spans="1:1" x14ac:dyDescent="0.2">
      <c r="A12108" s="1" t="s">
        <v>3033</v>
      </c>
    </row>
    <row r="12109" spans="1:1" x14ac:dyDescent="0.2">
      <c r="A12109" s="1" t="s">
        <v>3033</v>
      </c>
    </row>
    <row r="12110" spans="1:1" x14ac:dyDescent="0.2">
      <c r="A12110" s="1" t="s">
        <v>3033</v>
      </c>
    </row>
    <row r="12111" spans="1:1" x14ac:dyDescent="0.2">
      <c r="A12111" s="1" t="s">
        <v>3034</v>
      </c>
    </row>
    <row r="12112" spans="1:1" x14ac:dyDescent="0.2">
      <c r="A12112" s="1" t="s">
        <v>3025</v>
      </c>
    </row>
    <row r="12113" spans="1:1" x14ac:dyDescent="0.2">
      <c r="A12113" s="1" t="s">
        <v>3025</v>
      </c>
    </row>
    <row r="12114" spans="1:1" x14ac:dyDescent="0.2">
      <c r="A12114" s="1" t="s">
        <v>3025</v>
      </c>
    </row>
    <row r="12115" spans="1:1" x14ac:dyDescent="0.2">
      <c r="A12115" s="1" t="s">
        <v>3026</v>
      </c>
    </row>
    <row r="12116" spans="1:1" x14ac:dyDescent="0.2">
      <c r="A12116" s="1" t="s">
        <v>3027</v>
      </c>
    </row>
    <row r="12117" spans="1:1" x14ac:dyDescent="0.2">
      <c r="A12117" s="1" t="s">
        <v>3028</v>
      </c>
    </row>
    <row r="12118" spans="1:1" x14ac:dyDescent="0.2">
      <c r="A12118" s="1" t="s">
        <v>3029</v>
      </c>
    </row>
    <row r="12119" spans="1:1" x14ac:dyDescent="0.2">
      <c r="A12119" s="1" t="s">
        <v>3030</v>
      </c>
    </row>
    <row r="12120" spans="1:1" x14ac:dyDescent="0.2">
      <c r="A12120" s="1" t="s">
        <v>3031</v>
      </c>
    </row>
    <row r="12121" spans="1:1" x14ac:dyDescent="0.2">
      <c r="A12121" s="1" t="s">
        <v>3032</v>
      </c>
    </row>
    <row r="12122" spans="1:1" x14ac:dyDescent="0.2">
      <c r="A12122" s="1" t="s">
        <v>3033</v>
      </c>
    </row>
    <row r="12123" spans="1:1" x14ac:dyDescent="0.2">
      <c r="A12123" s="1" t="s">
        <v>3033</v>
      </c>
    </row>
    <row r="12124" spans="1:1" x14ac:dyDescent="0.2">
      <c r="A12124" s="1" t="s">
        <v>3033</v>
      </c>
    </row>
    <row r="12125" spans="1:1" x14ac:dyDescent="0.2">
      <c r="A12125" s="1" t="s">
        <v>3033</v>
      </c>
    </row>
    <row r="12126" spans="1:1" x14ac:dyDescent="0.2">
      <c r="A12126" s="1" t="s">
        <v>3034</v>
      </c>
    </row>
    <row r="12127" spans="1:1" x14ac:dyDescent="0.2">
      <c r="A12127" s="1" t="s">
        <v>3025</v>
      </c>
    </row>
    <row r="12128" spans="1:1" x14ac:dyDescent="0.2">
      <c r="A12128" s="1" t="s">
        <v>3035</v>
      </c>
    </row>
    <row r="12129" spans="1:1" x14ac:dyDescent="0.2">
      <c r="A12129" s="1" t="s">
        <v>3036</v>
      </c>
    </row>
    <row r="12130" spans="1:1" x14ac:dyDescent="0.2">
      <c r="A12130" s="1" t="s">
        <v>3037</v>
      </c>
    </row>
    <row r="12131" spans="1:1" x14ac:dyDescent="0.2">
      <c r="A12131" s="1" t="s">
        <v>3038</v>
      </c>
    </row>
    <row r="12132" spans="1:1" x14ac:dyDescent="0.2">
      <c r="A12132" s="1" t="s">
        <v>3039</v>
      </c>
    </row>
    <row r="12133" spans="1:1" x14ac:dyDescent="0.2">
      <c r="A12133" s="1" t="s">
        <v>3040</v>
      </c>
    </row>
    <row r="12134" spans="1:1" x14ac:dyDescent="0.2">
      <c r="A12134" s="1" t="s">
        <v>3041</v>
      </c>
    </row>
    <row r="12135" spans="1:1" x14ac:dyDescent="0.2">
      <c r="A12135" s="1" t="s">
        <v>3042</v>
      </c>
    </row>
    <row r="12136" spans="1:1" x14ac:dyDescent="0.2">
      <c r="A12136" s="1" t="s">
        <v>3043</v>
      </c>
    </row>
    <row r="12137" spans="1:1" x14ac:dyDescent="0.2">
      <c r="A12137" s="1" t="s">
        <v>3044</v>
      </c>
    </row>
    <row r="12138" spans="1:1" x14ac:dyDescent="0.2">
      <c r="A12138" s="1" t="s">
        <v>3045</v>
      </c>
    </row>
    <row r="12139" spans="1:1" x14ac:dyDescent="0.2">
      <c r="A12139" s="1" t="s">
        <v>3035</v>
      </c>
    </row>
    <row r="12140" spans="1:1" x14ac:dyDescent="0.2">
      <c r="A12140" s="1" t="s">
        <v>3046</v>
      </c>
    </row>
    <row r="12141" spans="1:1" x14ac:dyDescent="0.2">
      <c r="A12141" s="1" t="s">
        <v>3037</v>
      </c>
    </row>
    <row r="12142" spans="1:1" x14ac:dyDescent="0.2">
      <c r="A12142" s="1" t="s">
        <v>3038</v>
      </c>
    </row>
    <row r="12143" spans="1:1" x14ac:dyDescent="0.2">
      <c r="A12143" s="1" t="s">
        <v>3039</v>
      </c>
    </row>
    <row r="12144" spans="1:1" x14ac:dyDescent="0.2">
      <c r="A12144" s="1" t="s">
        <v>3047</v>
      </c>
    </row>
    <row r="12145" spans="1:1" x14ac:dyDescent="0.2">
      <c r="A12145" s="1" t="s">
        <v>3041</v>
      </c>
    </row>
    <row r="12146" spans="1:1" x14ac:dyDescent="0.2">
      <c r="A12146" s="1" t="s">
        <v>3042</v>
      </c>
    </row>
    <row r="12147" spans="1:1" x14ac:dyDescent="0.2">
      <c r="A12147" s="1" t="s">
        <v>3043</v>
      </c>
    </row>
    <row r="12148" spans="1:1" x14ac:dyDescent="0.2">
      <c r="A12148" s="1" t="s">
        <v>3044</v>
      </c>
    </row>
    <row r="12149" spans="1:1" x14ac:dyDescent="0.2">
      <c r="A12149" s="1" t="s">
        <v>3045</v>
      </c>
    </row>
    <row r="12150" spans="1:1" x14ac:dyDescent="0.2">
      <c r="A12150" s="1" t="s">
        <v>3048</v>
      </c>
    </row>
    <row r="12151" spans="1:1" x14ac:dyDescent="0.2">
      <c r="A12151" s="1" t="s">
        <v>3048</v>
      </c>
    </row>
    <row r="12152" spans="1:1" x14ac:dyDescent="0.2">
      <c r="A12152" s="1" t="s">
        <v>3049</v>
      </c>
    </row>
    <row r="12153" spans="1:1" x14ac:dyDescent="0.2">
      <c r="A12153" s="1" t="s">
        <v>3050</v>
      </c>
    </row>
    <row r="12154" spans="1:1" x14ac:dyDescent="0.2">
      <c r="A12154" s="1" t="s">
        <v>3051</v>
      </c>
    </row>
    <row r="12155" spans="1:1" x14ac:dyDescent="0.2">
      <c r="A12155" s="1" t="s">
        <v>3052</v>
      </c>
    </row>
    <row r="12156" spans="1:1" x14ac:dyDescent="0.2">
      <c r="A12156" s="1" t="s">
        <v>3053</v>
      </c>
    </row>
    <row r="12157" spans="1:1" x14ac:dyDescent="0.2">
      <c r="A12157" s="1" t="s">
        <v>3054</v>
      </c>
    </row>
    <row r="12158" spans="1:1" x14ac:dyDescent="0.2">
      <c r="A12158" s="1" t="s">
        <v>3055</v>
      </c>
    </row>
    <row r="12159" spans="1:1" x14ac:dyDescent="0.2">
      <c r="A12159" s="1" t="s">
        <v>3056</v>
      </c>
    </row>
    <row r="12160" spans="1:1" x14ac:dyDescent="0.2">
      <c r="A12160" s="1" t="s">
        <v>3056</v>
      </c>
    </row>
    <row r="12161" spans="1:1" x14ac:dyDescent="0.2">
      <c r="A12161" s="1" t="s">
        <v>3056</v>
      </c>
    </row>
    <row r="12162" spans="1:1" x14ac:dyDescent="0.2">
      <c r="A12162" s="1" t="s">
        <v>3056</v>
      </c>
    </row>
    <row r="12163" spans="1:1" x14ac:dyDescent="0.2">
      <c r="A12163" s="1" t="s">
        <v>3057</v>
      </c>
    </row>
    <row r="12164" spans="1:1" x14ac:dyDescent="0.2">
      <c r="A12164" s="1" t="s">
        <v>3048</v>
      </c>
    </row>
    <row r="12165" spans="1:1" x14ac:dyDescent="0.2">
      <c r="A12165" s="1" t="s">
        <v>3048</v>
      </c>
    </row>
    <row r="12166" spans="1:1" x14ac:dyDescent="0.2">
      <c r="A12166" s="1" t="s">
        <v>3048</v>
      </c>
    </row>
    <row r="12167" spans="1:1" x14ac:dyDescent="0.2">
      <c r="A12167" s="1" t="s">
        <v>3049</v>
      </c>
    </row>
    <row r="12168" spans="1:1" x14ac:dyDescent="0.2">
      <c r="A12168" s="1" t="s">
        <v>3050</v>
      </c>
    </row>
    <row r="12169" spans="1:1" x14ac:dyDescent="0.2">
      <c r="A12169" s="1" t="s">
        <v>3051</v>
      </c>
    </row>
    <row r="12170" spans="1:1" x14ac:dyDescent="0.2">
      <c r="A12170" s="1" t="s">
        <v>3052</v>
      </c>
    </row>
    <row r="12171" spans="1:1" x14ac:dyDescent="0.2">
      <c r="A12171" s="1" t="s">
        <v>3053</v>
      </c>
    </row>
    <row r="12172" spans="1:1" x14ac:dyDescent="0.2">
      <c r="A12172" s="1" t="s">
        <v>3054</v>
      </c>
    </row>
    <row r="12173" spans="1:1" x14ac:dyDescent="0.2">
      <c r="A12173" s="1" t="s">
        <v>3055</v>
      </c>
    </row>
    <row r="12174" spans="1:1" x14ac:dyDescent="0.2">
      <c r="A12174" s="1" t="s">
        <v>3056</v>
      </c>
    </row>
    <row r="12175" spans="1:1" x14ac:dyDescent="0.2">
      <c r="A12175" s="1" t="s">
        <v>3056</v>
      </c>
    </row>
    <row r="12176" spans="1:1" x14ac:dyDescent="0.2">
      <c r="A12176" s="1" t="s">
        <v>3056</v>
      </c>
    </row>
    <row r="12177" spans="1:1" x14ac:dyDescent="0.2">
      <c r="A12177" s="1" t="s">
        <v>3056</v>
      </c>
    </row>
    <row r="12178" spans="1:1" x14ac:dyDescent="0.2">
      <c r="A12178" s="1" t="s">
        <v>3057</v>
      </c>
    </row>
    <row r="12179" spans="1:1" x14ac:dyDescent="0.2">
      <c r="A12179" s="1" t="s">
        <v>3048</v>
      </c>
    </row>
    <row r="12180" spans="1:1" x14ac:dyDescent="0.2">
      <c r="A12180" s="1" t="s">
        <v>3048</v>
      </c>
    </row>
    <row r="12181" spans="1:1" x14ac:dyDescent="0.2">
      <c r="A12181" s="1" t="s">
        <v>3048</v>
      </c>
    </row>
    <row r="12182" spans="1:1" x14ac:dyDescent="0.2">
      <c r="A12182" s="1" t="s">
        <v>3049</v>
      </c>
    </row>
    <row r="12183" spans="1:1" x14ac:dyDescent="0.2">
      <c r="A12183" s="1" t="s">
        <v>3050</v>
      </c>
    </row>
    <row r="12184" spans="1:1" x14ac:dyDescent="0.2">
      <c r="A12184" s="1" t="s">
        <v>3051</v>
      </c>
    </row>
    <row r="12185" spans="1:1" x14ac:dyDescent="0.2">
      <c r="A12185" s="1" t="s">
        <v>3052</v>
      </c>
    </row>
    <row r="12186" spans="1:1" x14ac:dyDescent="0.2">
      <c r="A12186" s="1" t="s">
        <v>3053</v>
      </c>
    </row>
    <row r="12187" spans="1:1" x14ac:dyDescent="0.2">
      <c r="A12187" s="1" t="s">
        <v>3054</v>
      </c>
    </row>
    <row r="12188" spans="1:1" x14ac:dyDescent="0.2">
      <c r="A12188" s="1" t="s">
        <v>3055</v>
      </c>
    </row>
    <row r="12189" spans="1:1" x14ac:dyDescent="0.2">
      <c r="A12189" s="1" t="s">
        <v>3056</v>
      </c>
    </row>
    <row r="12190" spans="1:1" x14ac:dyDescent="0.2">
      <c r="A12190" s="1" t="s">
        <v>3056</v>
      </c>
    </row>
    <row r="12191" spans="1:1" x14ac:dyDescent="0.2">
      <c r="A12191" s="1" t="s">
        <v>3056</v>
      </c>
    </row>
    <row r="12192" spans="1:1" x14ac:dyDescent="0.2">
      <c r="A12192" s="1" t="s">
        <v>3056</v>
      </c>
    </row>
    <row r="12193" spans="1:1" x14ac:dyDescent="0.2">
      <c r="A12193" s="1" t="s">
        <v>3057</v>
      </c>
    </row>
    <row r="12194" spans="1:1" x14ac:dyDescent="0.2">
      <c r="A12194" s="1" t="s">
        <v>3048</v>
      </c>
    </row>
    <row r="12195" spans="1:1" x14ac:dyDescent="0.2">
      <c r="A12195" s="1" t="s">
        <v>3048</v>
      </c>
    </row>
    <row r="12196" spans="1:1" x14ac:dyDescent="0.2">
      <c r="A12196" s="1" t="s">
        <v>3048</v>
      </c>
    </row>
    <row r="12197" spans="1:1" x14ac:dyDescent="0.2">
      <c r="A12197" s="1" t="s">
        <v>3049</v>
      </c>
    </row>
    <row r="12198" spans="1:1" x14ac:dyDescent="0.2">
      <c r="A12198" s="1" t="s">
        <v>3050</v>
      </c>
    </row>
    <row r="12199" spans="1:1" x14ac:dyDescent="0.2">
      <c r="A12199" s="1" t="s">
        <v>3051</v>
      </c>
    </row>
    <row r="12200" spans="1:1" x14ac:dyDescent="0.2">
      <c r="A12200" s="1" t="s">
        <v>3052</v>
      </c>
    </row>
    <row r="12201" spans="1:1" x14ac:dyDescent="0.2">
      <c r="A12201" s="1" t="s">
        <v>3053</v>
      </c>
    </row>
    <row r="12202" spans="1:1" x14ac:dyDescent="0.2">
      <c r="A12202" s="1" t="s">
        <v>3054</v>
      </c>
    </row>
    <row r="12203" spans="1:1" x14ac:dyDescent="0.2">
      <c r="A12203" s="1" t="s">
        <v>3055</v>
      </c>
    </row>
    <row r="12204" spans="1:1" x14ac:dyDescent="0.2">
      <c r="A12204" s="1" t="s">
        <v>3056</v>
      </c>
    </row>
    <row r="12205" spans="1:1" x14ac:dyDescent="0.2">
      <c r="A12205" s="1" t="s">
        <v>3056</v>
      </c>
    </row>
    <row r="12206" spans="1:1" x14ac:dyDescent="0.2">
      <c r="A12206" s="1" t="s">
        <v>3056</v>
      </c>
    </row>
    <row r="12207" spans="1:1" x14ac:dyDescent="0.2">
      <c r="A12207" s="1" t="s">
        <v>3056</v>
      </c>
    </row>
    <row r="12208" spans="1:1" x14ac:dyDescent="0.2">
      <c r="A12208" s="1" t="s">
        <v>3057</v>
      </c>
    </row>
    <row r="12209" spans="1:1" x14ac:dyDescent="0.2">
      <c r="A12209" s="1" t="s">
        <v>3048</v>
      </c>
    </row>
    <row r="12210" spans="1:1" x14ac:dyDescent="0.2">
      <c r="A12210" s="1" t="s">
        <v>3048</v>
      </c>
    </row>
    <row r="12211" spans="1:1" x14ac:dyDescent="0.2">
      <c r="A12211" s="1" t="s">
        <v>3048</v>
      </c>
    </row>
    <row r="12212" spans="1:1" x14ac:dyDescent="0.2">
      <c r="A12212" s="1" t="s">
        <v>3049</v>
      </c>
    </row>
    <row r="12213" spans="1:1" x14ac:dyDescent="0.2">
      <c r="A12213" s="1" t="s">
        <v>3050</v>
      </c>
    </row>
    <row r="12214" spans="1:1" x14ac:dyDescent="0.2">
      <c r="A12214" s="1" t="s">
        <v>3051</v>
      </c>
    </row>
    <row r="12215" spans="1:1" x14ac:dyDescent="0.2">
      <c r="A12215" s="1" t="s">
        <v>3052</v>
      </c>
    </row>
    <row r="12216" spans="1:1" x14ac:dyDescent="0.2">
      <c r="A12216" s="1" t="s">
        <v>3053</v>
      </c>
    </row>
    <row r="12217" spans="1:1" x14ac:dyDescent="0.2">
      <c r="A12217" s="1" t="s">
        <v>3054</v>
      </c>
    </row>
    <row r="12218" spans="1:1" x14ac:dyDescent="0.2">
      <c r="A12218" s="1" t="s">
        <v>3055</v>
      </c>
    </row>
    <row r="12219" spans="1:1" x14ac:dyDescent="0.2">
      <c r="A12219" s="1" t="s">
        <v>3056</v>
      </c>
    </row>
    <row r="12220" spans="1:1" x14ac:dyDescent="0.2">
      <c r="A12220" s="1" t="s">
        <v>3056</v>
      </c>
    </row>
    <row r="12221" spans="1:1" x14ac:dyDescent="0.2">
      <c r="A12221" s="1" t="s">
        <v>3056</v>
      </c>
    </row>
    <row r="12222" spans="1:1" x14ac:dyDescent="0.2">
      <c r="A12222" s="1" t="s">
        <v>3056</v>
      </c>
    </row>
    <row r="12223" spans="1:1" x14ac:dyDescent="0.2">
      <c r="A12223" s="1" t="s">
        <v>3057</v>
      </c>
    </row>
    <row r="12224" spans="1:1" x14ac:dyDescent="0.2">
      <c r="A12224" s="1" t="s">
        <v>3048</v>
      </c>
    </row>
    <row r="12225" spans="1:1" x14ac:dyDescent="0.2">
      <c r="A12225" s="1" t="s">
        <v>3058</v>
      </c>
    </row>
    <row r="12226" spans="1:1" x14ac:dyDescent="0.2">
      <c r="A12226" s="1" t="s">
        <v>3059</v>
      </c>
    </row>
    <row r="12227" spans="1:1" x14ac:dyDescent="0.2">
      <c r="A12227" s="1" t="s">
        <v>3060</v>
      </c>
    </row>
    <row r="12228" spans="1:1" x14ac:dyDescent="0.2">
      <c r="A12228" s="1" t="s">
        <v>3061</v>
      </c>
    </row>
    <row r="12229" spans="1:1" x14ac:dyDescent="0.2">
      <c r="A12229" s="1" t="s">
        <v>3062</v>
      </c>
    </row>
    <row r="12230" spans="1:1" x14ac:dyDescent="0.2">
      <c r="A12230" s="1" t="s">
        <v>3063</v>
      </c>
    </row>
    <row r="12231" spans="1:1" x14ac:dyDescent="0.2">
      <c r="A12231" s="1" t="s">
        <v>3064</v>
      </c>
    </row>
    <row r="12232" spans="1:1" x14ac:dyDescent="0.2">
      <c r="A12232" s="1" t="s">
        <v>3065</v>
      </c>
    </row>
    <row r="12233" spans="1:1" x14ac:dyDescent="0.2">
      <c r="A12233" s="1" t="s">
        <v>3066</v>
      </c>
    </row>
    <row r="12234" spans="1:1" x14ac:dyDescent="0.2">
      <c r="A12234" s="1" t="s">
        <v>3067</v>
      </c>
    </row>
    <row r="12235" spans="1:1" x14ac:dyDescent="0.2">
      <c r="A12235" s="1" t="s">
        <v>3068</v>
      </c>
    </row>
    <row r="12236" spans="1:1" x14ac:dyDescent="0.2">
      <c r="A12236" s="1" t="s">
        <v>3069</v>
      </c>
    </row>
    <row r="12237" spans="1:1" x14ac:dyDescent="0.2">
      <c r="A12237" s="1" t="s">
        <v>3070</v>
      </c>
    </row>
    <row r="12238" spans="1:1" x14ac:dyDescent="0.2">
      <c r="A12238" s="1" t="s">
        <v>3071</v>
      </c>
    </row>
    <row r="12239" spans="1:1" x14ac:dyDescent="0.2">
      <c r="A12239" s="1" t="s">
        <v>3072</v>
      </c>
    </row>
    <row r="12240" spans="1:1" x14ac:dyDescent="0.2">
      <c r="A12240" s="1" t="s">
        <v>3073</v>
      </c>
    </row>
    <row r="12241" spans="1:1" x14ac:dyDescent="0.2">
      <c r="A12241" s="1" t="s">
        <v>3074</v>
      </c>
    </row>
    <row r="12242" spans="1:1" x14ac:dyDescent="0.2">
      <c r="A12242" s="1" t="s">
        <v>3075</v>
      </c>
    </row>
    <row r="12243" spans="1:1" x14ac:dyDescent="0.2">
      <c r="A12243" s="1" t="s">
        <v>3076</v>
      </c>
    </row>
    <row r="12244" spans="1:1" x14ac:dyDescent="0.2">
      <c r="A12244" s="1" t="s">
        <v>3077</v>
      </c>
    </row>
    <row r="12245" spans="1:1" x14ac:dyDescent="0.2">
      <c r="A12245" s="1" t="s">
        <v>3078</v>
      </c>
    </row>
    <row r="12246" spans="1:1" x14ac:dyDescent="0.2">
      <c r="A12246" s="1" t="s">
        <v>3079</v>
      </c>
    </row>
    <row r="12247" spans="1:1" x14ac:dyDescent="0.2">
      <c r="A12247" s="1" t="s">
        <v>3069</v>
      </c>
    </row>
    <row r="12248" spans="1:1" x14ac:dyDescent="0.2">
      <c r="A12248" s="1" t="s">
        <v>3080</v>
      </c>
    </row>
    <row r="12249" spans="1:1" x14ac:dyDescent="0.2">
      <c r="A12249" s="1" t="s">
        <v>3071</v>
      </c>
    </row>
    <row r="12250" spans="1:1" x14ac:dyDescent="0.2">
      <c r="A12250" s="1" t="s">
        <v>3072</v>
      </c>
    </row>
    <row r="12251" spans="1:1" x14ac:dyDescent="0.2">
      <c r="A12251" s="1" t="s">
        <v>3073</v>
      </c>
    </row>
    <row r="12252" spans="1:1" x14ac:dyDescent="0.2">
      <c r="A12252" s="1" t="s">
        <v>3081</v>
      </c>
    </row>
    <row r="12253" spans="1:1" x14ac:dyDescent="0.2">
      <c r="A12253" s="1" t="s">
        <v>3075</v>
      </c>
    </row>
    <row r="12254" spans="1:1" x14ac:dyDescent="0.2">
      <c r="A12254" s="1" t="s">
        <v>3076</v>
      </c>
    </row>
    <row r="12255" spans="1:1" x14ac:dyDescent="0.2">
      <c r="A12255" s="1" t="s">
        <v>3077</v>
      </c>
    </row>
    <row r="12256" spans="1:1" x14ac:dyDescent="0.2">
      <c r="A12256" s="1" t="s">
        <v>3078</v>
      </c>
    </row>
    <row r="12257" spans="1:1" x14ac:dyDescent="0.2">
      <c r="A12257" s="1" t="s">
        <v>3079</v>
      </c>
    </row>
    <row r="12258" spans="1:1" x14ac:dyDescent="0.2">
      <c r="A12258" s="1" t="s">
        <v>3082</v>
      </c>
    </row>
    <row r="12259" spans="1:1" x14ac:dyDescent="0.2">
      <c r="A12259" s="1" t="s">
        <v>3083</v>
      </c>
    </row>
    <row r="12260" spans="1:1" x14ac:dyDescent="0.2">
      <c r="A12260" s="1" t="s">
        <v>3084</v>
      </c>
    </row>
    <row r="12261" spans="1:1" x14ac:dyDescent="0.2">
      <c r="A12261" s="1" t="s">
        <v>3085</v>
      </c>
    </row>
    <row r="12262" spans="1:1" x14ac:dyDescent="0.2">
      <c r="A12262" s="1" t="s">
        <v>3086</v>
      </c>
    </row>
    <row r="12263" spans="1:1" x14ac:dyDescent="0.2">
      <c r="A12263" s="1" t="s">
        <v>3087</v>
      </c>
    </row>
    <row r="12264" spans="1:1" x14ac:dyDescent="0.2">
      <c r="A12264" s="1" t="s">
        <v>3088</v>
      </c>
    </row>
    <row r="12265" spans="1:1" x14ac:dyDescent="0.2">
      <c r="A12265" s="1" t="s">
        <v>3089</v>
      </c>
    </row>
    <row r="12266" spans="1:1" x14ac:dyDescent="0.2">
      <c r="A12266" s="1" t="s">
        <v>3090</v>
      </c>
    </row>
    <row r="12267" spans="1:1" x14ac:dyDescent="0.2">
      <c r="A12267" s="1" t="s">
        <v>3091</v>
      </c>
    </row>
    <row r="12268" spans="1:1" x14ac:dyDescent="0.2">
      <c r="A12268" s="1" t="s">
        <v>3092</v>
      </c>
    </row>
    <row r="12269" spans="1:1" x14ac:dyDescent="0.2">
      <c r="A12269" s="1" t="s">
        <v>3082</v>
      </c>
    </row>
    <row r="12270" spans="1:1" x14ac:dyDescent="0.2">
      <c r="A12270" s="1" t="s">
        <v>3093</v>
      </c>
    </row>
    <row r="12271" spans="1:1" x14ac:dyDescent="0.2">
      <c r="A12271" s="1" t="s">
        <v>3084</v>
      </c>
    </row>
    <row r="12272" spans="1:1" x14ac:dyDescent="0.2">
      <c r="A12272" s="1" t="s">
        <v>3085</v>
      </c>
    </row>
    <row r="12273" spans="1:1" x14ac:dyDescent="0.2">
      <c r="A12273" s="1" t="s">
        <v>3086</v>
      </c>
    </row>
    <row r="12274" spans="1:1" x14ac:dyDescent="0.2">
      <c r="A12274" s="1" t="s">
        <v>3094</v>
      </c>
    </row>
    <row r="12275" spans="1:1" x14ac:dyDescent="0.2">
      <c r="A12275" s="1" t="s">
        <v>3088</v>
      </c>
    </row>
    <row r="12276" spans="1:1" x14ac:dyDescent="0.2">
      <c r="A12276" s="1" t="s">
        <v>3089</v>
      </c>
    </row>
    <row r="12277" spans="1:1" x14ac:dyDescent="0.2">
      <c r="A12277" s="1" t="s">
        <v>3090</v>
      </c>
    </row>
    <row r="12278" spans="1:1" x14ac:dyDescent="0.2">
      <c r="A12278" s="1" t="s">
        <v>3091</v>
      </c>
    </row>
    <row r="12279" spans="1:1" x14ac:dyDescent="0.2">
      <c r="A12279" s="1" t="s">
        <v>3092</v>
      </c>
    </row>
    <row r="12280" spans="1:1" x14ac:dyDescent="0.2">
      <c r="A12280" s="1" t="s">
        <v>3095</v>
      </c>
    </row>
    <row r="12281" spans="1:1" x14ac:dyDescent="0.2">
      <c r="A12281" s="1" t="s">
        <v>3096</v>
      </c>
    </row>
    <row r="12282" spans="1:1" x14ac:dyDescent="0.2">
      <c r="A12282" s="1" t="s">
        <v>3097</v>
      </c>
    </row>
    <row r="12283" spans="1:1" x14ac:dyDescent="0.2">
      <c r="A12283" s="1" t="s">
        <v>3098</v>
      </c>
    </row>
    <row r="12284" spans="1:1" x14ac:dyDescent="0.2">
      <c r="A12284" s="1" t="s">
        <v>3099</v>
      </c>
    </row>
    <row r="12285" spans="1:1" x14ac:dyDescent="0.2">
      <c r="A12285" s="1" t="s">
        <v>3100</v>
      </c>
    </row>
    <row r="12286" spans="1:1" x14ac:dyDescent="0.2">
      <c r="A12286" s="1" t="s">
        <v>3101</v>
      </c>
    </row>
    <row r="12287" spans="1:1" x14ac:dyDescent="0.2">
      <c r="A12287" s="1" t="s">
        <v>3102</v>
      </c>
    </row>
    <row r="12288" spans="1:1" x14ac:dyDescent="0.2">
      <c r="A12288" s="1" t="s">
        <v>3103</v>
      </c>
    </row>
    <row r="12289" spans="1:1" x14ac:dyDescent="0.2">
      <c r="A12289" s="1" t="s">
        <v>3104</v>
      </c>
    </row>
    <row r="12290" spans="1:1" x14ac:dyDescent="0.2">
      <c r="A12290" s="1" t="s">
        <v>3105</v>
      </c>
    </row>
    <row r="12291" spans="1:1" x14ac:dyDescent="0.2">
      <c r="A12291" s="1" t="s">
        <v>3095</v>
      </c>
    </row>
    <row r="12292" spans="1:1" x14ac:dyDescent="0.2">
      <c r="A12292" s="1" t="s">
        <v>3106</v>
      </c>
    </row>
    <row r="12293" spans="1:1" x14ac:dyDescent="0.2">
      <c r="A12293" s="1" t="s">
        <v>3097</v>
      </c>
    </row>
    <row r="12294" spans="1:1" x14ac:dyDescent="0.2">
      <c r="A12294" s="1" t="s">
        <v>3098</v>
      </c>
    </row>
    <row r="12295" spans="1:1" x14ac:dyDescent="0.2">
      <c r="A12295" s="1" t="s">
        <v>3099</v>
      </c>
    </row>
    <row r="12296" spans="1:1" x14ac:dyDescent="0.2">
      <c r="A12296" s="1" t="s">
        <v>3107</v>
      </c>
    </row>
    <row r="12297" spans="1:1" x14ac:dyDescent="0.2">
      <c r="A12297" s="1" t="s">
        <v>3101</v>
      </c>
    </row>
    <row r="12298" spans="1:1" x14ac:dyDescent="0.2">
      <c r="A12298" s="1" t="s">
        <v>3102</v>
      </c>
    </row>
    <row r="12299" spans="1:1" x14ac:dyDescent="0.2">
      <c r="A12299" s="1" t="s">
        <v>3103</v>
      </c>
    </row>
    <row r="12300" spans="1:1" x14ac:dyDescent="0.2">
      <c r="A12300" s="1" t="s">
        <v>3104</v>
      </c>
    </row>
    <row r="12301" spans="1:1" x14ac:dyDescent="0.2">
      <c r="A12301" s="1" t="s">
        <v>3105</v>
      </c>
    </row>
    <row r="12302" spans="1:1" x14ac:dyDescent="0.2">
      <c r="A12302" s="1" t="s">
        <v>3108</v>
      </c>
    </row>
    <row r="12303" spans="1:1" x14ac:dyDescent="0.2">
      <c r="A12303" s="1" t="s">
        <v>3109</v>
      </c>
    </row>
    <row r="12304" spans="1:1" x14ac:dyDescent="0.2">
      <c r="A12304" s="1" t="s">
        <v>3110</v>
      </c>
    </row>
    <row r="12305" spans="1:1" x14ac:dyDescent="0.2">
      <c r="A12305" s="1" t="s">
        <v>3111</v>
      </c>
    </row>
    <row r="12306" spans="1:1" x14ac:dyDescent="0.2">
      <c r="A12306" s="1" t="s">
        <v>3112</v>
      </c>
    </row>
    <row r="12307" spans="1:1" x14ac:dyDescent="0.2">
      <c r="A12307" s="1" t="s">
        <v>3113</v>
      </c>
    </row>
    <row r="12308" spans="1:1" x14ac:dyDescent="0.2">
      <c r="A12308" s="1" t="s">
        <v>3114</v>
      </c>
    </row>
    <row r="12309" spans="1:1" x14ac:dyDescent="0.2">
      <c r="A12309" s="1" t="s">
        <v>3115</v>
      </c>
    </row>
    <row r="12310" spans="1:1" x14ac:dyDescent="0.2">
      <c r="A12310" s="1" t="s">
        <v>3116</v>
      </c>
    </row>
    <row r="12311" spans="1:1" x14ac:dyDescent="0.2">
      <c r="A12311" s="1" t="s">
        <v>3117</v>
      </c>
    </row>
    <row r="12312" spans="1:1" x14ac:dyDescent="0.2">
      <c r="A12312" s="1" t="s">
        <v>3118</v>
      </c>
    </row>
    <row r="12313" spans="1:1" x14ac:dyDescent="0.2">
      <c r="A12313" s="1" t="s">
        <v>3119</v>
      </c>
    </row>
    <row r="12314" spans="1:1" x14ac:dyDescent="0.2">
      <c r="A12314" s="1" t="s">
        <v>3120</v>
      </c>
    </row>
    <row r="12315" spans="1:1" x14ac:dyDescent="0.2">
      <c r="A12315" s="1" t="s">
        <v>3121</v>
      </c>
    </row>
    <row r="12316" spans="1:1" x14ac:dyDescent="0.2">
      <c r="A12316" s="1" t="s">
        <v>3122</v>
      </c>
    </row>
    <row r="12317" spans="1:1" x14ac:dyDescent="0.2">
      <c r="A12317" s="1" t="s">
        <v>3123</v>
      </c>
    </row>
    <row r="12318" spans="1:1" x14ac:dyDescent="0.2">
      <c r="A12318" s="1" t="s">
        <v>3124</v>
      </c>
    </row>
    <row r="12319" spans="1:1" x14ac:dyDescent="0.2">
      <c r="A12319" s="1" t="s">
        <v>3125</v>
      </c>
    </row>
    <row r="12320" spans="1:1" x14ac:dyDescent="0.2">
      <c r="A12320" s="1" t="s">
        <v>3115</v>
      </c>
    </row>
    <row r="12321" spans="1:1" x14ac:dyDescent="0.2">
      <c r="A12321" s="1" t="s">
        <v>3116</v>
      </c>
    </row>
    <row r="12322" spans="1:1" x14ac:dyDescent="0.2">
      <c r="A12322" s="1" t="s">
        <v>3117</v>
      </c>
    </row>
    <row r="12323" spans="1:1" x14ac:dyDescent="0.2">
      <c r="A12323" s="1" t="s">
        <v>3118</v>
      </c>
    </row>
    <row r="12324" spans="1:1" x14ac:dyDescent="0.2">
      <c r="A12324" s="1" t="s">
        <v>3126</v>
      </c>
    </row>
    <row r="12325" spans="1:1" x14ac:dyDescent="0.2">
      <c r="A12325" s="1" t="s">
        <v>3127</v>
      </c>
    </row>
    <row r="12326" spans="1:1" x14ac:dyDescent="0.2">
      <c r="A12326" s="1" t="s">
        <v>3128</v>
      </c>
    </row>
    <row r="12327" spans="1:1" x14ac:dyDescent="0.2">
      <c r="A12327" s="1" t="s">
        <v>3129</v>
      </c>
    </row>
    <row r="12328" spans="1:1" x14ac:dyDescent="0.2">
      <c r="A12328" s="1" t="s">
        <v>3130</v>
      </c>
    </row>
    <row r="12329" spans="1:1" x14ac:dyDescent="0.2">
      <c r="A12329" s="1" t="s">
        <v>3131</v>
      </c>
    </row>
    <row r="12330" spans="1:1" x14ac:dyDescent="0.2">
      <c r="A12330" s="1" t="s">
        <v>3132</v>
      </c>
    </row>
    <row r="12331" spans="1:1" x14ac:dyDescent="0.2">
      <c r="A12331" s="1" t="s">
        <v>3133</v>
      </c>
    </row>
    <row r="12332" spans="1:1" x14ac:dyDescent="0.2">
      <c r="A12332" s="1" t="s">
        <v>3134</v>
      </c>
    </row>
    <row r="12333" spans="1:1" x14ac:dyDescent="0.2">
      <c r="A12333" s="1" t="s">
        <v>3135</v>
      </c>
    </row>
    <row r="12334" spans="1:1" x14ac:dyDescent="0.2">
      <c r="A12334" s="1" t="s">
        <v>3136</v>
      </c>
    </row>
    <row r="12335" spans="1:1" x14ac:dyDescent="0.2">
      <c r="A12335" s="1" t="s">
        <v>3126</v>
      </c>
    </row>
    <row r="12336" spans="1:1" x14ac:dyDescent="0.2">
      <c r="A12336" s="1" t="s">
        <v>3137</v>
      </c>
    </row>
    <row r="12337" spans="1:1" x14ac:dyDescent="0.2">
      <c r="A12337" s="1" t="s">
        <v>3128</v>
      </c>
    </row>
    <row r="12338" spans="1:1" x14ac:dyDescent="0.2">
      <c r="A12338" s="1" t="s">
        <v>3129</v>
      </c>
    </row>
    <row r="12339" spans="1:1" x14ac:dyDescent="0.2">
      <c r="A12339" s="1" t="s">
        <v>3130</v>
      </c>
    </row>
    <row r="12340" spans="1:1" x14ac:dyDescent="0.2">
      <c r="A12340" s="1" t="s">
        <v>3138</v>
      </c>
    </row>
    <row r="12341" spans="1:1" x14ac:dyDescent="0.2">
      <c r="A12341" s="1" t="s">
        <v>3132</v>
      </c>
    </row>
    <row r="12342" spans="1:1" x14ac:dyDescent="0.2">
      <c r="A12342" s="1" t="s">
        <v>3133</v>
      </c>
    </row>
    <row r="12343" spans="1:1" x14ac:dyDescent="0.2">
      <c r="A12343" s="1" t="s">
        <v>3134</v>
      </c>
    </row>
    <row r="12344" spans="1:1" x14ac:dyDescent="0.2">
      <c r="A12344" s="1" t="s">
        <v>3135</v>
      </c>
    </row>
    <row r="12345" spans="1:1" x14ac:dyDescent="0.2">
      <c r="A12345" s="1" t="s">
        <v>3136</v>
      </c>
    </row>
    <row r="12346" spans="1:1" x14ac:dyDescent="0.2">
      <c r="A12346" s="1" t="s">
        <v>3139</v>
      </c>
    </row>
    <row r="12347" spans="1:1" x14ac:dyDescent="0.2">
      <c r="A12347" s="1" t="s">
        <v>3140</v>
      </c>
    </row>
    <row r="12348" spans="1:1" x14ac:dyDescent="0.2">
      <c r="A12348" s="1" t="s">
        <v>3141</v>
      </c>
    </row>
    <row r="12349" spans="1:1" x14ac:dyDescent="0.2">
      <c r="A12349" s="1" t="s">
        <v>3142</v>
      </c>
    </row>
    <row r="12350" spans="1:1" x14ac:dyDescent="0.2">
      <c r="A12350" s="1" t="s">
        <v>3143</v>
      </c>
    </row>
    <row r="12351" spans="1:1" x14ac:dyDescent="0.2">
      <c r="A12351" s="1" t="s">
        <v>3144</v>
      </c>
    </row>
    <row r="12352" spans="1:1" x14ac:dyDescent="0.2">
      <c r="A12352" s="1" t="s">
        <v>3145</v>
      </c>
    </row>
    <row r="12353" spans="1:1" x14ac:dyDescent="0.2">
      <c r="A12353" s="1" t="s">
        <v>3146</v>
      </c>
    </row>
    <row r="12354" spans="1:1" x14ac:dyDescent="0.2">
      <c r="A12354" s="1" t="s">
        <v>3147</v>
      </c>
    </row>
    <row r="12355" spans="1:1" x14ac:dyDescent="0.2">
      <c r="A12355" s="1" t="s">
        <v>3148</v>
      </c>
    </row>
    <row r="12356" spans="1:1" x14ac:dyDescent="0.2">
      <c r="A12356" s="1" t="s">
        <v>3149</v>
      </c>
    </row>
    <row r="12357" spans="1:1" x14ac:dyDescent="0.2">
      <c r="A12357" s="1" t="s">
        <v>3139</v>
      </c>
    </row>
    <row r="12358" spans="1:1" x14ac:dyDescent="0.2">
      <c r="A12358" s="1" t="s">
        <v>3150</v>
      </c>
    </row>
    <row r="12359" spans="1:1" x14ac:dyDescent="0.2">
      <c r="A12359" s="1" t="s">
        <v>3141</v>
      </c>
    </row>
    <row r="12360" spans="1:1" x14ac:dyDescent="0.2">
      <c r="A12360" s="1" t="s">
        <v>3142</v>
      </c>
    </row>
    <row r="12361" spans="1:1" x14ac:dyDescent="0.2">
      <c r="A12361" s="1" t="s">
        <v>3143</v>
      </c>
    </row>
    <row r="12362" spans="1:1" x14ac:dyDescent="0.2">
      <c r="A12362" s="1" t="s">
        <v>3151</v>
      </c>
    </row>
    <row r="12363" spans="1:1" x14ac:dyDescent="0.2">
      <c r="A12363" s="1" t="s">
        <v>3145</v>
      </c>
    </row>
    <row r="12364" spans="1:1" x14ac:dyDescent="0.2">
      <c r="A12364" s="1" t="s">
        <v>3146</v>
      </c>
    </row>
    <row r="12365" spans="1:1" x14ac:dyDescent="0.2">
      <c r="A12365" s="1" t="s">
        <v>3147</v>
      </c>
    </row>
    <row r="12366" spans="1:1" x14ac:dyDescent="0.2">
      <c r="A12366" s="1" t="s">
        <v>3148</v>
      </c>
    </row>
    <row r="12367" spans="1:1" x14ac:dyDescent="0.2">
      <c r="A12367" s="1" t="s">
        <v>3149</v>
      </c>
    </row>
    <row r="12368" spans="1:1" x14ac:dyDescent="0.2">
      <c r="A12368" s="1" t="s">
        <v>3152</v>
      </c>
    </row>
    <row r="12369" spans="1:1" x14ac:dyDescent="0.2">
      <c r="A12369" s="1" t="s">
        <v>3153</v>
      </c>
    </row>
    <row r="12370" spans="1:1" x14ac:dyDescent="0.2">
      <c r="A12370" s="1" t="s">
        <v>3154</v>
      </c>
    </row>
    <row r="12371" spans="1:1" x14ac:dyDescent="0.2">
      <c r="A12371" s="1" t="s">
        <v>3155</v>
      </c>
    </row>
    <row r="12372" spans="1:1" x14ac:dyDescent="0.2">
      <c r="A12372" s="1" t="s">
        <v>3156</v>
      </c>
    </row>
    <row r="12373" spans="1:1" x14ac:dyDescent="0.2">
      <c r="A12373" s="1" t="s">
        <v>3157</v>
      </c>
    </row>
    <row r="12374" spans="1:1" x14ac:dyDescent="0.2">
      <c r="A12374" s="1" t="s">
        <v>3158</v>
      </c>
    </row>
    <row r="12375" spans="1:1" x14ac:dyDescent="0.2">
      <c r="A12375" s="1" t="s">
        <v>3159</v>
      </c>
    </row>
    <row r="12376" spans="1:1" x14ac:dyDescent="0.2">
      <c r="A12376" s="1" t="s">
        <v>3160</v>
      </c>
    </row>
    <row r="12377" spans="1:1" x14ac:dyDescent="0.2">
      <c r="A12377" s="1" t="s">
        <v>3161</v>
      </c>
    </row>
    <row r="12378" spans="1:1" x14ac:dyDescent="0.2">
      <c r="A12378" s="1" t="s">
        <v>3162</v>
      </c>
    </row>
    <row r="12379" spans="1:1" x14ac:dyDescent="0.2">
      <c r="A12379" s="1" t="s">
        <v>3152</v>
      </c>
    </row>
    <row r="12380" spans="1:1" x14ac:dyDescent="0.2">
      <c r="A12380" s="1" t="s">
        <v>3163</v>
      </c>
    </row>
    <row r="12381" spans="1:1" x14ac:dyDescent="0.2">
      <c r="A12381" s="1" t="s">
        <v>3154</v>
      </c>
    </row>
    <row r="12382" spans="1:1" x14ac:dyDescent="0.2">
      <c r="A12382" s="1" t="s">
        <v>3155</v>
      </c>
    </row>
    <row r="12383" spans="1:1" x14ac:dyDescent="0.2">
      <c r="A12383" s="1" t="s">
        <v>3156</v>
      </c>
    </row>
    <row r="12384" spans="1:1" x14ac:dyDescent="0.2">
      <c r="A12384" s="1" t="s">
        <v>3164</v>
      </c>
    </row>
    <row r="12385" spans="1:1" x14ac:dyDescent="0.2">
      <c r="A12385" s="1" t="s">
        <v>3158</v>
      </c>
    </row>
    <row r="12386" spans="1:1" x14ac:dyDescent="0.2">
      <c r="A12386" s="1" t="s">
        <v>3159</v>
      </c>
    </row>
    <row r="12387" spans="1:1" x14ac:dyDescent="0.2">
      <c r="A12387" s="1" t="s">
        <v>3160</v>
      </c>
    </row>
    <row r="12388" spans="1:1" x14ac:dyDescent="0.2">
      <c r="A12388" s="1" t="s">
        <v>3161</v>
      </c>
    </row>
    <row r="12389" spans="1:1" x14ac:dyDescent="0.2">
      <c r="A12389" s="1" t="s">
        <v>3162</v>
      </c>
    </row>
    <row r="12390" spans="1:1" x14ac:dyDescent="0.2">
      <c r="A12390" s="1" t="s">
        <v>3165</v>
      </c>
    </row>
    <row r="12391" spans="1:1" x14ac:dyDescent="0.2">
      <c r="A12391" s="1" t="s">
        <v>3166</v>
      </c>
    </row>
    <row r="12392" spans="1:1" x14ac:dyDescent="0.2">
      <c r="A12392" s="1" t="s">
        <v>3167</v>
      </c>
    </row>
    <row r="12393" spans="1:1" x14ac:dyDescent="0.2">
      <c r="A12393" s="1" t="s">
        <v>3168</v>
      </c>
    </row>
    <row r="12394" spans="1:1" x14ac:dyDescent="0.2">
      <c r="A12394" s="1" t="s">
        <v>3169</v>
      </c>
    </row>
    <row r="12395" spans="1:1" x14ac:dyDescent="0.2">
      <c r="A12395" s="1" t="s">
        <v>3170</v>
      </c>
    </row>
    <row r="12396" spans="1:1" x14ac:dyDescent="0.2">
      <c r="A12396" s="1" t="s">
        <v>3171</v>
      </c>
    </row>
    <row r="12397" spans="1:1" x14ac:dyDescent="0.2">
      <c r="A12397" s="1" t="s">
        <v>3172</v>
      </c>
    </row>
    <row r="12398" spans="1:1" x14ac:dyDescent="0.2">
      <c r="A12398" s="1" t="s">
        <v>3173</v>
      </c>
    </row>
    <row r="12399" spans="1:1" x14ac:dyDescent="0.2">
      <c r="A12399" s="1" t="s">
        <v>3174</v>
      </c>
    </row>
    <row r="12400" spans="1:1" x14ac:dyDescent="0.2">
      <c r="A12400" s="1" t="s">
        <v>3175</v>
      </c>
    </row>
    <row r="12401" spans="1:1" x14ac:dyDescent="0.2">
      <c r="A12401" s="1" t="s">
        <v>3176</v>
      </c>
    </row>
    <row r="12402" spans="1:1" x14ac:dyDescent="0.2">
      <c r="A12402" s="1" t="s">
        <v>3177</v>
      </c>
    </row>
    <row r="12403" spans="1:1" x14ac:dyDescent="0.2">
      <c r="A12403" s="1" t="s">
        <v>3178</v>
      </c>
    </row>
    <row r="12404" spans="1:1" x14ac:dyDescent="0.2">
      <c r="A12404" s="1" t="s">
        <v>3179</v>
      </c>
    </row>
    <row r="12405" spans="1:1" x14ac:dyDescent="0.2">
      <c r="A12405" s="1" t="s">
        <v>3180</v>
      </c>
    </row>
    <row r="12406" spans="1:1" x14ac:dyDescent="0.2">
      <c r="A12406" s="1" t="s">
        <v>3181</v>
      </c>
    </row>
    <row r="12407" spans="1:1" x14ac:dyDescent="0.2">
      <c r="A12407" s="1" t="s">
        <v>3182</v>
      </c>
    </row>
    <row r="12408" spans="1:1" x14ac:dyDescent="0.2">
      <c r="A12408" s="1" t="s">
        <v>3183</v>
      </c>
    </row>
    <row r="12409" spans="1:1" x14ac:dyDescent="0.2">
      <c r="A12409" s="1" t="s">
        <v>3184</v>
      </c>
    </row>
    <row r="12410" spans="1:1" x14ac:dyDescent="0.2">
      <c r="A12410" s="1" t="s">
        <v>3185</v>
      </c>
    </row>
    <row r="12411" spans="1:1" x14ac:dyDescent="0.2">
      <c r="A12411" s="1" t="s">
        <v>3186</v>
      </c>
    </row>
    <row r="12412" spans="1:1" x14ac:dyDescent="0.2">
      <c r="A12412" s="1" t="s">
        <v>3176</v>
      </c>
    </row>
    <row r="12413" spans="1:1" x14ac:dyDescent="0.2">
      <c r="A12413" s="1" t="s">
        <v>3187</v>
      </c>
    </row>
    <row r="12414" spans="1:1" x14ac:dyDescent="0.2">
      <c r="A12414" s="1" t="s">
        <v>3178</v>
      </c>
    </row>
    <row r="12415" spans="1:1" x14ac:dyDescent="0.2">
      <c r="A12415" s="1" t="s">
        <v>3179</v>
      </c>
    </row>
    <row r="12416" spans="1:1" x14ac:dyDescent="0.2">
      <c r="A12416" s="1" t="s">
        <v>3180</v>
      </c>
    </row>
    <row r="12417" spans="1:1" x14ac:dyDescent="0.2">
      <c r="A12417" s="1" t="s">
        <v>3188</v>
      </c>
    </row>
    <row r="12418" spans="1:1" x14ac:dyDescent="0.2">
      <c r="A12418" s="1" t="s">
        <v>3182</v>
      </c>
    </row>
    <row r="12419" spans="1:1" x14ac:dyDescent="0.2">
      <c r="A12419" s="1" t="s">
        <v>3183</v>
      </c>
    </row>
    <row r="12420" spans="1:1" x14ac:dyDescent="0.2">
      <c r="A12420" s="1" t="s">
        <v>3184</v>
      </c>
    </row>
    <row r="12421" spans="1:1" x14ac:dyDescent="0.2">
      <c r="A12421" s="1" t="s">
        <v>3185</v>
      </c>
    </row>
    <row r="12422" spans="1:1" x14ac:dyDescent="0.2">
      <c r="A12422" s="1" t="s">
        <v>3186</v>
      </c>
    </row>
    <row r="12423" spans="1:1" x14ac:dyDescent="0.2">
      <c r="A12423" s="1" t="s">
        <v>3189</v>
      </c>
    </row>
    <row r="12424" spans="1:1" x14ac:dyDescent="0.2">
      <c r="A12424" s="1" t="s">
        <v>3189</v>
      </c>
    </row>
    <row r="12425" spans="1:1" x14ac:dyDescent="0.2">
      <c r="A12425" s="1" t="s">
        <v>3190</v>
      </c>
    </row>
    <row r="12426" spans="1:1" x14ac:dyDescent="0.2">
      <c r="A12426" s="1" t="s">
        <v>3191</v>
      </c>
    </row>
    <row r="12427" spans="1:1" x14ac:dyDescent="0.2">
      <c r="A12427" s="1" t="s">
        <v>3192</v>
      </c>
    </row>
    <row r="12428" spans="1:1" x14ac:dyDescent="0.2">
      <c r="A12428" s="1" t="s">
        <v>3193</v>
      </c>
    </row>
    <row r="12429" spans="1:1" x14ac:dyDescent="0.2">
      <c r="A12429" s="1" t="s">
        <v>3194</v>
      </c>
    </row>
    <row r="12430" spans="1:1" x14ac:dyDescent="0.2">
      <c r="A12430" s="1" t="s">
        <v>3195</v>
      </c>
    </row>
    <row r="12431" spans="1:1" x14ac:dyDescent="0.2">
      <c r="A12431" s="1" t="s">
        <v>3196</v>
      </c>
    </row>
    <row r="12432" spans="1:1" x14ac:dyDescent="0.2">
      <c r="A12432" s="1" t="s">
        <v>3197</v>
      </c>
    </row>
    <row r="12433" spans="1:1" x14ac:dyDescent="0.2">
      <c r="A12433" s="1" t="s">
        <v>3197</v>
      </c>
    </row>
    <row r="12434" spans="1:1" x14ac:dyDescent="0.2">
      <c r="A12434" s="1" t="s">
        <v>3197</v>
      </c>
    </row>
    <row r="12435" spans="1:1" x14ac:dyDescent="0.2">
      <c r="A12435" s="1" t="s">
        <v>3197</v>
      </c>
    </row>
    <row r="12436" spans="1:1" x14ac:dyDescent="0.2">
      <c r="A12436" s="1" t="s">
        <v>3198</v>
      </c>
    </row>
    <row r="12437" spans="1:1" x14ac:dyDescent="0.2">
      <c r="A12437" s="1" t="s">
        <v>3189</v>
      </c>
    </row>
    <row r="12438" spans="1:1" x14ac:dyDescent="0.2">
      <c r="A12438" s="1" t="s">
        <v>3189</v>
      </c>
    </row>
    <row r="12439" spans="1:1" x14ac:dyDescent="0.2">
      <c r="A12439" s="1" t="s">
        <v>3189</v>
      </c>
    </row>
    <row r="12440" spans="1:1" x14ac:dyDescent="0.2">
      <c r="A12440" s="1" t="s">
        <v>3190</v>
      </c>
    </row>
    <row r="12441" spans="1:1" x14ac:dyDescent="0.2">
      <c r="A12441" s="1" t="s">
        <v>3191</v>
      </c>
    </row>
    <row r="12442" spans="1:1" x14ac:dyDescent="0.2">
      <c r="A12442" s="1" t="s">
        <v>3192</v>
      </c>
    </row>
    <row r="12443" spans="1:1" x14ac:dyDescent="0.2">
      <c r="A12443" s="1" t="s">
        <v>3193</v>
      </c>
    </row>
    <row r="12444" spans="1:1" x14ac:dyDescent="0.2">
      <c r="A12444" s="1" t="s">
        <v>3194</v>
      </c>
    </row>
    <row r="12445" spans="1:1" x14ac:dyDescent="0.2">
      <c r="A12445" s="1" t="s">
        <v>3195</v>
      </c>
    </row>
    <row r="12446" spans="1:1" x14ac:dyDescent="0.2">
      <c r="A12446" s="1" t="s">
        <v>3196</v>
      </c>
    </row>
    <row r="12447" spans="1:1" x14ac:dyDescent="0.2">
      <c r="A12447" s="1" t="s">
        <v>3197</v>
      </c>
    </row>
    <row r="12448" spans="1:1" x14ac:dyDescent="0.2">
      <c r="A12448" s="1" t="s">
        <v>3197</v>
      </c>
    </row>
    <row r="12449" spans="1:1" x14ac:dyDescent="0.2">
      <c r="A12449" s="1" t="s">
        <v>3197</v>
      </c>
    </row>
    <row r="12450" spans="1:1" x14ac:dyDescent="0.2">
      <c r="A12450" s="1" t="s">
        <v>3197</v>
      </c>
    </row>
    <row r="12451" spans="1:1" x14ac:dyDescent="0.2">
      <c r="A12451" s="1" t="s">
        <v>3198</v>
      </c>
    </row>
    <row r="12452" spans="1:1" x14ac:dyDescent="0.2">
      <c r="A12452" s="1" t="s">
        <v>3189</v>
      </c>
    </row>
    <row r="12453" spans="1:1" x14ac:dyDescent="0.2">
      <c r="A12453" s="1" t="s">
        <v>3189</v>
      </c>
    </row>
    <row r="12454" spans="1:1" x14ac:dyDescent="0.2">
      <c r="A12454" s="1" t="s">
        <v>3189</v>
      </c>
    </row>
    <row r="12455" spans="1:1" x14ac:dyDescent="0.2">
      <c r="A12455" s="1" t="s">
        <v>3190</v>
      </c>
    </row>
    <row r="12456" spans="1:1" x14ac:dyDescent="0.2">
      <c r="A12456" s="1" t="s">
        <v>3191</v>
      </c>
    </row>
    <row r="12457" spans="1:1" x14ac:dyDescent="0.2">
      <c r="A12457" s="1" t="s">
        <v>3192</v>
      </c>
    </row>
    <row r="12458" spans="1:1" x14ac:dyDescent="0.2">
      <c r="A12458" s="1" t="s">
        <v>3193</v>
      </c>
    </row>
    <row r="12459" spans="1:1" x14ac:dyDescent="0.2">
      <c r="A12459" s="1" t="s">
        <v>3194</v>
      </c>
    </row>
    <row r="12460" spans="1:1" x14ac:dyDescent="0.2">
      <c r="A12460" s="1" t="s">
        <v>3195</v>
      </c>
    </row>
    <row r="12461" spans="1:1" x14ac:dyDescent="0.2">
      <c r="A12461" s="1" t="s">
        <v>3196</v>
      </c>
    </row>
    <row r="12462" spans="1:1" x14ac:dyDescent="0.2">
      <c r="A12462" s="1" t="s">
        <v>3197</v>
      </c>
    </row>
    <row r="12463" spans="1:1" x14ac:dyDescent="0.2">
      <c r="A12463" s="1" t="s">
        <v>3197</v>
      </c>
    </row>
    <row r="12464" spans="1:1" x14ac:dyDescent="0.2">
      <c r="A12464" s="1" t="s">
        <v>3197</v>
      </c>
    </row>
    <row r="12465" spans="1:1" x14ac:dyDescent="0.2">
      <c r="A12465" s="1" t="s">
        <v>3197</v>
      </c>
    </row>
    <row r="12466" spans="1:1" x14ac:dyDescent="0.2">
      <c r="A12466" s="1" t="s">
        <v>3198</v>
      </c>
    </row>
    <row r="12467" spans="1:1" x14ac:dyDescent="0.2">
      <c r="A12467" s="1" t="s">
        <v>3189</v>
      </c>
    </row>
    <row r="12468" spans="1:1" x14ac:dyDescent="0.2">
      <c r="A12468" s="1" t="s">
        <v>3189</v>
      </c>
    </row>
    <row r="12469" spans="1:1" x14ac:dyDescent="0.2">
      <c r="A12469" s="1" t="s">
        <v>3189</v>
      </c>
    </row>
    <row r="12470" spans="1:1" x14ac:dyDescent="0.2">
      <c r="A12470" s="1" t="s">
        <v>3190</v>
      </c>
    </row>
    <row r="12471" spans="1:1" x14ac:dyDescent="0.2">
      <c r="A12471" s="1" t="s">
        <v>3191</v>
      </c>
    </row>
    <row r="12472" spans="1:1" x14ac:dyDescent="0.2">
      <c r="A12472" s="1" t="s">
        <v>3192</v>
      </c>
    </row>
    <row r="12473" spans="1:1" x14ac:dyDescent="0.2">
      <c r="A12473" s="1" t="s">
        <v>3193</v>
      </c>
    </row>
    <row r="12474" spans="1:1" x14ac:dyDescent="0.2">
      <c r="A12474" s="1" t="s">
        <v>3194</v>
      </c>
    </row>
    <row r="12475" spans="1:1" x14ac:dyDescent="0.2">
      <c r="A12475" s="1" t="s">
        <v>3195</v>
      </c>
    </row>
    <row r="12476" spans="1:1" x14ac:dyDescent="0.2">
      <c r="A12476" s="1" t="s">
        <v>3196</v>
      </c>
    </row>
    <row r="12477" spans="1:1" x14ac:dyDescent="0.2">
      <c r="A12477" s="1" t="s">
        <v>3197</v>
      </c>
    </row>
    <row r="12478" spans="1:1" x14ac:dyDescent="0.2">
      <c r="A12478" s="1" t="s">
        <v>3197</v>
      </c>
    </row>
    <row r="12479" spans="1:1" x14ac:dyDescent="0.2">
      <c r="A12479" s="1" t="s">
        <v>3197</v>
      </c>
    </row>
    <row r="12480" spans="1:1" x14ac:dyDescent="0.2">
      <c r="A12480" s="1" t="s">
        <v>3197</v>
      </c>
    </row>
    <row r="12481" spans="1:1" x14ac:dyDescent="0.2">
      <c r="A12481" s="1" t="s">
        <v>3198</v>
      </c>
    </row>
    <row r="12482" spans="1:1" x14ac:dyDescent="0.2">
      <c r="A12482" s="1" t="s">
        <v>3189</v>
      </c>
    </row>
    <row r="12483" spans="1:1" x14ac:dyDescent="0.2">
      <c r="A12483" s="1" t="s">
        <v>3189</v>
      </c>
    </row>
    <row r="12484" spans="1:1" x14ac:dyDescent="0.2">
      <c r="A12484" s="1" t="s">
        <v>3189</v>
      </c>
    </row>
    <row r="12485" spans="1:1" x14ac:dyDescent="0.2">
      <c r="A12485" s="1" t="s">
        <v>3190</v>
      </c>
    </row>
    <row r="12486" spans="1:1" x14ac:dyDescent="0.2">
      <c r="A12486" s="1" t="s">
        <v>3191</v>
      </c>
    </row>
    <row r="12487" spans="1:1" x14ac:dyDescent="0.2">
      <c r="A12487" s="1" t="s">
        <v>3192</v>
      </c>
    </row>
    <row r="12488" spans="1:1" x14ac:dyDescent="0.2">
      <c r="A12488" s="1" t="s">
        <v>3193</v>
      </c>
    </row>
    <row r="12489" spans="1:1" x14ac:dyDescent="0.2">
      <c r="A12489" s="1" t="s">
        <v>3194</v>
      </c>
    </row>
    <row r="12490" spans="1:1" x14ac:dyDescent="0.2">
      <c r="A12490" s="1" t="s">
        <v>3195</v>
      </c>
    </row>
    <row r="12491" spans="1:1" x14ac:dyDescent="0.2">
      <c r="A12491" s="1" t="s">
        <v>3196</v>
      </c>
    </row>
    <row r="12492" spans="1:1" x14ac:dyDescent="0.2">
      <c r="A12492" s="1" t="s">
        <v>3197</v>
      </c>
    </row>
    <row r="12493" spans="1:1" x14ac:dyDescent="0.2">
      <c r="A12493" s="1" t="s">
        <v>3197</v>
      </c>
    </row>
    <row r="12494" spans="1:1" x14ac:dyDescent="0.2">
      <c r="A12494" s="1" t="s">
        <v>3197</v>
      </c>
    </row>
    <row r="12495" spans="1:1" x14ac:dyDescent="0.2">
      <c r="A12495" s="1" t="s">
        <v>3197</v>
      </c>
    </row>
    <row r="12496" spans="1:1" x14ac:dyDescent="0.2">
      <c r="A12496" s="1" t="s">
        <v>3198</v>
      </c>
    </row>
    <row r="12497" spans="1:1" x14ac:dyDescent="0.2">
      <c r="A12497" s="1" t="s">
        <v>3189</v>
      </c>
    </row>
    <row r="12498" spans="1:1" x14ac:dyDescent="0.2">
      <c r="A12498" s="1" t="s">
        <v>3199</v>
      </c>
    </row>
    <row r="12499" spans="1:1" x14ac:dyDescent="0.2">
      <c r="A12499" s="1" t="s">
        <v>3199</v>
      </c>
    </row>
    <row r="12500" spans="1:1" x14ac:dyDescent="0.2">
      <c r="A12500" s="1" t="s">
        <v>3200</v>
      </c>
    </row>
    <row r="12501" spans="1:1" x14ac:dyDescent="0.2">
      <c r="A12501" s="1" t="s">
        <v>3201</v>
      </c>
    </row>
    <row r="12502" spans="1:1" x14ac:dyDescent="0.2">
      <c r="A12502" s="1" t="s">
        <v>3202</v>
      </c>
    </row>
    <row r="12503" spans="1:1" x14ac:dyDescent="0.2">
      <c r="A12503" s="1" t="s">
        <v>3203</v>
      </c>
    </row>
    <row r="12504" spans="1:1" x14ac:dyDescent="0.2">
      <c r="A12504" s="1" t="s">
        <v>3204</v>
      </c>
    </row>
    <row r="12505" spans="1:1" x14ac:dyDescent="0.2">
      <c r="A12505" s="1" t="s">
        <v>3205</v>
      </c>
    </row>
    <row r="12506" spans="1:1" x14ac:dyDescent="0.2">
      <c r="A12506" s="1" t="s">
        <v>3206</v>
      </c>
    </row>
    <row r="12507" spans="1:1" x14ac:dyDescent="0.2">
      <c r="A12507" s="1" t="s">
        <v>3207</v>
      </c>
    </row>
    <row r="12508" spans="1:1" x14ac:dyDescent="0.2">
      <c r="A12508" s="1" t="s">
        <v>3207</v>
      </c>
    </row>
    <row r="12509" spans="1:1" x14ac:dyDescent="0.2">
      <c r="A12509" s="1" t="s">
        <v>3207</v>
      </c>
    </row>
    <row r="12510" spans="1:1" x14ac:dyDescent="0.2">
      <c r="A12510" s="1" t="s">
        <v>3207</v>
      </c>
    </row>
    <row r="12511" spans="1:1" x14ac:dyDescent="0.2">
      <c r="A12511" s="1" t="s">
        <v>3208</v>
      </c>
    </row>
    <row r="12512" spans="1:1" x14ac:dyDescent="0.2">
      <c r="A12512" s="1" t="s">
        <v>3199</v>
      </c>
    </row>
    <row r="12513" spans="1:1" x14ac:dyDescent="0.2">
      <c r="A12513" s="1" t="s">
        <v>3199</v>
      </c>
    </row>
    <row r="12514" spans="1:1" x14ac:dyDescent="0.2">
      <c r="A12514" s="1" t="s">
        <v>3199</v>
      </c>
    </row>
    <row r="12515" spans="1:1" x14ac:dyDescent="0.2">
      <c r="A12515" s="1" t="s">
        <v>3200</v>
      </c>
    </row>
    <row r="12516" spans="1:1" x14ac:dyDescent="0.2">
      <c r="A12516" s="1" t="s">
        <v>3201</v>
      </c>
    </row>
    <row r="12517" spans="1:1" x14ac:dyDescent="0.2">
      <c r="A12517" s="1" t="s">
        <v>3202</v>
      </c>
    </row>
    <row r="12518" spans="1:1" x14ac:dyDescent="0.2">
      <c r="A12518" s="1" t="s">
        <v>3203</v>
      </c>
    </row>
    <row r="12519" spans="1:1" x14ac:dyDescent="0.2">
      <c r="A12519" s="1" t="s">
        <v>3204</v>
      </c>
    </row>
    <row r="12520" spans="1:1" x14ac:dyDescent="0.2">
      <c r="A12520" s="1" t="s">
        <v>3205</v>
      </c>
    </row>
    <row r="12521" spans="1:1" x14ac:dyDescent="0.2">
      <c r="A12521" s="1" t="s">
        <v>3206</v>
      </c>
    </row>
    <row r="12522" spans="1:1" x14ac:dyDescent="0.2">
      <c r="A12522" s="1" t="s">
        <v>3207</v>
      </c>
    </row>
    <row r="12523" spans="1:1" x14ac:dyDescent="0.2">
      <c r="A12523" s="1" t="s">
        <v>3207</v>
      </c>
    </row>
    <row r="12524" spans="1:1" x14ac:dyDescent="0.2">
      <c r="A12524" s="1" t="s">
        <v>3207</v>
      </c>
    </row>
    <row r="12525" spans="1:1" x14ac:dyDescent="0.2">
      <c r="A12525" s="1" t="s">
        <v>3207</v>
      </c>
    </row>
    <row r="12526" spans="1:1" x14ac:dyDescent="0.2">
      <c r="A12526" s="1" t="s">
        <v>3208</v>
      </c>
    </row>
    <row r="12527" spans="1:1" x14ac:dyDescent="0.2">
      <c r="A12527" s="1" t="s">
        <v>3199</v>
      </c>
    </row>
    <row r="12528" spans="1:1" x14ac:dyDescent="0.2">
      <c r="A12528" s="1" t="s">
        <v>3199</v>
      </c>
    </row>
    <row r="12529" spans="1:1" x14ac:dyDescent="0.2">
      <c r="A12529" s="1" t="s">
        <v>3199</v>
      </c>
    </row>
    <row r="12530" spans="1:1" x14ac:dyDescent="0.2">
      <c r="A12530" s="1" t="s">
        <v>3200</v>
      </c>
    </row>
    <row r="12531" spans="1:1" x14ac:dyDescent="0.2">
      <c r="A12531" s="1" t="s">
        <v>3201</v>
      </c>
    </row>
    <row r="12532" spans="1:1" x14ac:dyDescent="0.2">
      <c r="A12532" s="1" t="s">
        <v>3202</v>
      </c>
    </row>
    <row r="12533" spans="1:1" x14ac:dyDescent="0.2">
      <c r="A12533" s="1" t="s">
        <v>3203</v>
      </c>
    </row>
    <row r="12534" spans="1:1" x14ac:dyDescent="0.2">
      <c r="A12534" s="1" t="s">
        <v>3204</v>
      </c>
    </row>
    <row r="12535" spans="1:1" x14ac:dyDescent="0.2">
      <c r="A12535" s="1" t="s">
        <v>3205</v>
      </c>
    </row>
    <row r="12536" spans="1:1" x14ac:dyDescent="0.2">
      <c r="A12536" s="1" t="s">
        <v>3206</v>
      </c>
    </row>
    <row r="12537" spans="1:1" x14ac:dyDescent="0.2">
      <c r="A12537" s="1" t="s">
        <v>3207</v>
      </c>
    </row>
    <row r="12538" spans="1:1" x14ac:dyDescent="0.2">
      <c r="A12538" s="1" t="s">
        <v>3207</v>
      </c>
    </row>
    <row r="12539" spans="1:1" x14ac:dyDescent="0.2">
      <c r="A12539" s="1" t="s">
        <v>3207</v>
      </c>
    </row>
    <row r="12540" spans="1:1" x14ac:dyDescent="0.2">
      <c r="A12540" s="1" t="s">
        <v>3207</v>
      </c>
    </row>
    <row r="12541" spans="1:1" x14ac:dyDescent="0.2">
      <c r="A12541" s="1" t="s">
        <v>3208</v>
      </c>
    </row>
    <row r="12542" spans="1:1" x14ac:dyDescent="0.2">
      <c r="A12542" s="1" t="s">
        <v>3199</v>
      </c>
    </row>
    <row r="12543" spans="1:1" x14ac:dyDescent="0.2">
      <c r="A12543" s="1" t="s">
        <v>3199</v>
      </c>
    </row>
    <row r="12544" spans="1:1" x14ac:dyDescent="0.2">
      <c r="A12544" s="1" t="s">
        <v>3199</v>
      </c>
    </row>
    <row r="12545" spans="1:1" x14ac:dyDescent="0.2">
      <c r="A12545" s="1" t="s">
        <v>3200</v>
      </c>
    </row>
    <row r="12546" spans="1:1" x14ac:dyDescent="0.2">
      <c r="A12546" s="1" t="s">
        <v>3201</v>
      </c>
    </row>
    <row r="12547" spans="1:1" x14ac:dyDescent="0.2">
      <c r="A12547" s="1" t="s">
        <v>3202</v>
      </c>
    </row>
    <row r="12548" spans="1:1" x14ac:dyDescent="0.2">
      <c r="A12548" s="1" t="s">
        <v>3203</v>
      </c>
    </row>
    <row r="12549" spans="1:1" x14ac:dyDescent="0.2">
      <c r="A12549" s="1" t="s">
        <v>3204</v>
      </c>
    </row>
    <row r="12550" spans="1:1" x14ac:dyDescent="0.2">
      <c r="A12550" s="1" t="s">
        <v>3205</v>
      </c>
    </row>
    <row r="12551" spans="1:1" x14ac:dyDescent="0.2">
      <c r="A12551" s="1" t="s">
        <v>3206</v>
      </c>
    </row>
    <row r="12552" spans="1:1" x14ac:dyDescent="0.2">
      <c r="A12552" s="1" t="s">
        <v>3207</v>
      </c>
    </row>
    <row r="12553" spans="1:1" x14ac:dyDescent="0.2">
      <c r="A12553" s="1" t="s">
        <v>3207</v>
      </c>
    </row>
    <row r="12554" spans="1:1" x14ac:dyDescent="0.2">
      <c r="A12554" s="1" t="s">
        <v>3207</v>
      </c>
    </row>
    <row r="12555" spans="1:1" x14ac:dyDescent="0.2">
      <c r="A12555" s="1" t="s">
        <v>3207</v>
      </c>
    </row>
    <row r="12556" spans="1:1" x14ac:dyDescent="0.2">
      <c r="A12556" s="1" t="s">
        <v>3208</v>
      </c>
    </row>
    <row r="12557" spans="1:1" x14ac:dyDescent="0.2">
      <c r="A12557" s="1" t="s">
        <v>3199</v>
      </c>
    </row>
    <row r="12558" spans="1:1" x14ac:dyDescent="0.2">
      <c r="A12558" s="1" t="s">
        <v>3199</v>
      </c>
    </row>
    <row r="12559" spans="1:1" x14ac:dyDescent="0.2">
      <c r="A12559" s="1" t="s">
        <v>3199</v>
      </c>
    </row>
    <row r="12560" spans="1:1" x14ac:dyDescent="0.2">
      <c r="A12560" s="1" t="s">
        <v>3200</v>
      </c>
    </row>
    <row r="12561" spans="1:1" x14ac:dyDescent="0.2">
      <c r="A12561" s="1" t="s">
        <v>3201</v>
      </c>
    </row>
    <row r="12562" spans="1:1" x14ac:dyDescent="0.2">
      <c r="A12562" s="1" t="s">
        <v>3202</v>
      </c>
    </row>
    <row r="12563" spans="1:1" x14ac:dyDescent="0.2">
      <c r="A12563" s="1" t="s">
        <v>3203</v>
      </c>
    </row>
    <row r="12564" spans="1:1" x14ac:dyDescent="0.2">
      <c r="A12564" s="1" t="s">
        <v>3204</v>
      </c>
    </row>
    <row r="12565" spans="1:1" x14ac:dyDescent="0.2">
      <c r="A12565" s="1" t="s">
        <v>3205</v>
      </c>
    </row>
    <row r="12566" spans="1:1" x14ac:dyDescent="0.2">
      <c r="A12566" s="1" t="s">
        <v>3206</v>
      </c>
    </row>
    <row r="12567" spans="1:1" x14ac:dyDescent="0.2">
      <c r="A12567" s="1" t="s">
        <v>3207</v>
      </c>
    </row>
    <row r="12568" spans="1:1" x14ac:dyDescent="0.2">
      <c r="A12568" s="1" t="s">
        <v>3207</v>
      </c>
    </row>
    <row r="12569" spans="1:1" x14ac:dyDescent="0.2">
      <c r="A12569" s="1" t="s">
        <v>3207</v>
      </c>
    </row>
    <row r="12570" spans="1:1" x14ac:dyDescent="0.2">
      <c r="A12570" s="1" t="s">
        <v>3207</v>
      </c>
    </row>
    <row r="12571" spans="1:1" x14ac:dyDescent="0.2">
      <c r="A12571" s="1" t="s">
        <v>3208</v>
      </c>
    </row>
    <row r="12572" spans="1:1" x14ac:dyDescent="0.2">
      <c r="A12572" s="1" t="s">
        <v>3199</v>
      </c>
    </row>
    <row r="12573" spans="1:1" x14ac:dyDescent="0.2">
      <c r="A12573" s="1" t="s">
        <v>3209</v>
      </c>
    </row>
    <row r="12574" spans="1:1" x14ac:dyDescent="0.2">
      <c r="A12574" s="1" t="s">
        <v>3209</v>
      </c>
    </row>
    <row r="12575" spans="1:1" x14ac:dyDescent="0.2">
      <c r="A12575" s="1" t="s">
        <v>3210</v>
      </c>
    </row>
    <row r="12576" spans="1:1" x14ac:dyDescent="0.2">
      <c r="A12576" s="1" t="s">
        <v>3211</v>
      </c>
    </row>
    <row r="12577" spans="1:1" x14ac:dyDescent="0.2">
      <c r="A12577" s="1" t="s">
        <v>3212</v>
      </c>
    </row>
    <row r="12578" spans="1:1" x14ac:dyDescent="0.2">
      <c r="A12578" s="1" t="s">
        <v>3213</v>
      </c>
    </row>
    <row r="12579" spans="1:1" x14ac:dyDescent="0.2">
      <c r="A12579" s="1" t="s">
        <v>3214</v>
      </c>
    </row>
    <row r="12580" spans="1:1" x14ac:dyDescent="0.2">
      <c r="A12580" s="1" t="s">
        <v>3215</v>
      </c>
    </row>
    <row r="12581" spans="1:1" x14ac:dyDescent="0.2">
      <c r="A12581" s="1" t="s">
        <v>3216</v>
      </c>
    </row>
    <row r="12582" spans="1:1" x14ac:dyDescent="0.2">
      <c r="A12582" s="1" t="s">
        <v>3217</v>
      </c>
    </row>
    <row r="12583" spans="1:1" x14ac:dyDescent="0.2">
      <c r="A12583" s="1" t="s">
        <v>3217</v>
      </c>
    </row>
    <row r="12584" spans="1:1" x14ac:dyDescent="0.2">
      <c r="A12584" s="1" t="s">
        <v>3217</v>
      </c>
    </row>
    <row r="12585" spans="1:1" x14ac:dyDescent="0.2">
      <c r="A12585" s="1" t="s">
        <v>3217</v>
      </c>
    </row>
    <row r="12586" spans="1:1" x14ac:dyDescent="0.2">
      <c r="A12586" s="1" t="s">
        <v>3218</v>
      </c>
    </row>
    <row r="12587" spans="1:1" x14ac:dyDescent="0.2">
      <c r="A12587" s="1" t="s">
        <v>3209</v>
      </c>
    </row>
    <row r="12588" spans="1:1" x14ac:dyDescent="0.2">
      <c r="A12588" s="1" t="s">
        <v>3209</v>
      </c>
    </row>
    <row r="12589" spans="1:1" x14ac:dyDescent="0.2">
      <c r="A12589" s="1" t="s">
        <v>3209</v>
      </c>
    </row>
    <row r="12590" spans="1:1" x14ac:dyDescent="0.2">
      <c r="A12590" s="1" t="s">
        <v>3210</v>
      </c>
    </row>
    <row r="12591" spans="1:1" x14ac:dyDescent="0.2">
      <c r="A12591" s="1" t="s">
        <v>3211</v>
      </c>
    </row>
    <row r="12592" spans="1:1" x14ac:dyDescent="0.2">
      <c r="A12592" s="1" t="s">
        <v>3212</v>
      </c>
    </row>
    <row r="12593" spans="1:1" x14ac:dyDescent="0.2">
      <c r="A12593" s="1" t="s">
        <v>3213</v>
      </c>
    </row>
    <row r="12594" spans="1:1" x14ac:dyDescent="0.2">
      <c r="A12594" s="1" t="s">
        <v>3214</v>
      </c>
    </row>
    <row r="12595" spans="1:1" x14ac:dyDescent="0.2">
      <c r="A12595" s="1" t="s">
        <v>3215</v>
      </c>
    </row>
    <row r="12596" spans="1:1" x14ac:dyDescent="0.2">
      <c r="A12596" s="1" t="s">
        <v>3216</v>
      </c>
    </row>
    <row r="12597" spans="1:1" x14ac:dyDescent="0.2">
      <c r="A12597" s="1" t="s">
        <v>3217</v>
      </c>
    </row>
    <row r="12598" spans="1:1" x14ac:dyDescent="0.2">
      <c r="A12598" s="1" t="s">
        <v>3217</v>
      </c>
    </row>
    <row r="12599" spans="1:1" x14ac:dyDescent="0.2">
      <c r="A12599" s="1" t="s">
        <v>3217</v>
      </c>
    </row>
    <row r="12600" spans="1:1" x14ac:dyDescent="0.2">
      <c r="A12600" s="1" t="s">
        <v>3217</v>
      </c>
    </row>
    <row r="12601" spans="1:1" x14ac:dyDescent="0.2">
      <c r="A12601" s="1" t="s">
        <v>3218</v>
      </c>
    </row>
    <row r="12602" spans="1:1" x14ac:dyDescent="0.2">
      <c r="A12602" s="1" t="s">
        <v>3209</v>
      </c>
    </row>
    <row r="12603" spans="1:1" x14ac:dyDescent="0.2">
      <c r="A12603" s="1" t="s">
        <v>3209</v>
      </c>
    </row>
    <row r="12604" spans="1:1" x14ac:dyDescent="0.2">
      <c r="A12604" s="1" t="s">
        <v>3209</v>
      </c>
    </row>
    <row r="12605" spans="1:1" x14ac:dyDescent="0.2">
      <c r="A12605" s="1" t="s">
        <v>3210</v>
      </c>
    </row>
    <row r="12606" spans="1:1" x14ac:dyDescent="0.2">
      <c r="A12606" s="1" t="s">
        <v>3211</v>
      </c>
    </row>
    <row r="12607" spans="1:1" x14ac:dyDescent="0.2">
      <c r="A12607" s="1" t="s">
        <v>3212</v>
      </c>
    </row>
    <row r="12608" spans="1:1" x14ac:dyDescent="0.2">
      <c r="A12608" s="1" t="s">
        <v>3213</v>
      </c>
    </row>
    <row r="12609" spans="1:1" x14ac:dyDescent="0.2">
      <c r="A12609" s="1" t="s">
        <v>3214</v>
      </c>
    </row>
    <row r="12610" spans="1:1" x14ac:dyDescent="0.2">
      <c r="A12610" s="1" t="s">
        <v>3215</v>
      </c>
    </row>
    <row r="12611" spans="1:1" x14ac:dyDescent="0.2">
      <c r="A12611" s="1" t="s">
        <v>3216</v>
      </c>
    </row>
    <row r="12612" spans="1:1" x14ac:dyDescent="0.2">
      <c r="A12612" s="1" t="s">
        <v>3217</v>
      </c>
    </row>
    <row r="12613" spans="1:1" x14ac:dyDescent="0.2">
      <c r="A12613" s="1" t="s">
        <v>3217</v>
      </c>
    </row>
    <row r="12614" spans="1:1" x14ac:dyDescent="0.2">
      <c r="A12614" s="1" t="s">
        <v>3217</v>
      </c>
    </row>
    <row r="12615" spans="1:1" x14ac:dyDescent="0.2">
      <c r="A12615" s="1" t="s">
        <v>3217</v>
      </c>
    </row>
    <row r="12616" spans="1:1" x14ac:dyDescent="0.2">
      <c r="A12616" s="1" t="s">
        <v>3218</v>
      </c>
    </row>
    <row r="12617" spans="1:1" x14ac:dyDescent="0.2">
      <c r="A12617" s="1" t="s">
        <v>3209</v>
      </c>
    </row>
    <row r="12618" spans="1:1" x14ac:dyDescent="0.2">
      <c r="A12618" s="1" t="s">
        <v>3209</v>
      </c>
    </row>
    <row r="12619" spans="1:1" x14ac:dyDescent="0.2">
      <c r="A12619" s="1" t="s">
        <v>3209</v>
      </c>
    </row>
    <row r="12620" spans="1:1" x14ac:dyDescent="0.2">
      <c r="A12620" s="1" t="s">
        <v>3210</v>
      </c>
    </row>
    <row r="12621" spans="1:1" x14ac:dyDescent="0.2">
      <c r="A12621" s="1" t="s">
        <v>3211</v>
      </c>
    </row>
    <row r="12622" spans="1:1" x14ac:dyDescent="0.2">
      <c r="A12622" s="1" t="s">
        <v>3212</v>
      </c>
    </row>
    <row r="12623" spans="1:1" x14ac:dyDescent="0.2">
      <c r="A12623" s="1" t="s">
        <v>3213</v>
      </c>
    </row>
    <row r="12624" spans="1:1" x14ac:dyDescent="0.2">
      <c r="A12624" s="1" t="s">
        <v>3214</v>
      </c>
    </row>
    <row r="12625" spans="1:1" x14ac:dyDescent="0.2">
      <c r="A12625" s="1" t="s">
        <v>3215</v>
      </c>
    </row>
    <row r="12626" spans="1:1" x14ac:dyDescent="0.2">
      <c r="A12626" s="1" t="s">
        <v>3216</v>
      </c>
    </row>
    <row r="12627" spans="1:1" x14ac:dyDescent="0.2">
      <c r="A12627" s="1" t="s">
        <v>3217</v>
      </c>
    </row>
    <row r="12628" spans="1:1" x14ac:dyDescent="0.2">
      <c r="A12628" s="1" t="s">
        <v>3217</v>
      </c>
    </row>
    <row r="12629" spans="1:1" x14ac:dyDescent="0.2">
      <c r="A12629" s="1" t="s">
        <v>3217</v>
      </c>
    </row>
    <row r="12630" spans="1:1" x14ac:dyDescent="0.2">
      <c r="A12630" s="1" t="s">
        <v>3217</v>
      </c>
    </row>
    <row r="12631" spans="1:1" x14ac:dyDescent="0.2">
      <c r="A12631" s="1" t="s">
        <v>3218</v>
      </c>
    </row>
    <row r="12632" spans="1:1" x14ac:dyDescent="0.2">
      <c r="A12632" s="1" t="s">
        <v>3209</v>
      </c>
    </row>
    <row r="12633" spans="1:1" x14ac:dyDescent="0.2">
      <c r="A12633" s="1" t="s">
        <v>3209</v>
      </c>
    </row>
    <row r="12634" spans="1:1" x14ac:dyDescent="0.2">
      <c r="A12634" s="1" t="s">
        <v>3209</v>
      </c>
    </row>
    <row r="12635" spans="1:1" x14ac:dyDescent="0.2">
      <c r="A12635" s="1" t="s">
        <v>3210</v>
      </c>
    </row>
    <row r="12636" spans="1:1" x14ac:dyDescent="0.2">
      <c r="A12636" s="1" t="s">
        <v>3211</v>
      </c>
    </row>
    <row r="12637" spans="1:1" x14ac:dyDescent="0.2">
      <c r="A12637" s="1" t="s">
        <v>3212</v>
      </c>
    </row>
    <row r="12638" spans="1:1" x14ac:dyDescent="0.2">
      <c r="A12638" s="1" t="s">
        <v>3213</v>
      </c>
    </row>
    <row r="12639" spans="1:1" x14ac:dyDescent="0.2">
      <c r="A12639" s="1" t="s">
        <v>3214</v>
      </c>
    </row>
    <row r="12640" spans="1:1" x14ac:dyDescent="0.2">
      <c r="A12640" s="1" t="s">
        <v>3215</v>
      </c>
    </row>
    <row r="12641" spans="1:1" x14ac:dyDescent="0.2">
      <c r="A12641" s="1" t="s">
        <v>3216</v>
      </c>
    </row>
    <row r="12642" spans="1:1" x14ac:dyDescent="0.2">
      <c r="A12642" s="1" t="s">
        <v>3217</v>
      </c>
    </row>
    <row r="12643" spans="1:1" x14ac:dyDescent="0.2">
      <c r="A12643" s="1" t="s">
        <v>3217</v>
      </c>
    </row>
    <row r="12644" spans="1:1" x14ac:dyDescent="0.2">
      <c r="A12644" s="1" t="s">
        <v>3217</v>
      </c>
    </row>
    <row r="12645" spans="1:1" x14ac:dyDescent="0.2">
      <c r="A12645" s="1" t="s">
        <v>3217</v>
      </c>
    </row>
    <row r="12646" spans="1:1" x14ac:dyDescent="0.2">
      <c r="A12646" s="1" t="s">
        <v>3218</v>
      </c>
    </row>
    <row r="12647" spans="1:1" x14ac:dyDescent="0.2">
      <c r="A12647" s="1" t="s">
        <v>3209</v>
      </c>
    </row>
    <row r="12648" spans="1:1" x14ac:dyDescent="0.2">
      <c r="A12648" s="1" t="s">
        <v>3219</v>
      </c>
    </row>
    <row r="12649" spans="1:1" x14ac:dyDescent="0.2">
      <c r="A12649" s="1" t="s">
        <v>3219</v>
      </c>
    </row>
    <row r="12650" spans="1:1" x14ac:dyDescent="0.2">
      <c r="A12650" s="1" t="s">
        <v>3220</v>
      </c>
    </row>
    <row r="12651" spans="1:1" x14ac:dyDescent="0.2">
      <c r="A12651" s="1" t="s">
        <v>3221</v>
      </c>
    </row>
    <row r="12652" spans="1:1" x14ac:dyDescent="0.2">
      <c r="A12652" s="1" t="s">
        <v>3222</v>
      </c>
    </row>
    <row r="12653" spans="1:1" x14ac:dyDescent="0.2">
      <c r="A12653" s="1" t="s">
        <v>3223</v>
      </c>
    </row>
    <row r="12654" spans="1:1" x14ac:dyDescent="0.2">
      <c r="A12654" s="1" t="s">
        <v>3224</v>
      </c>
    </row>
    <row r="12655" spans="1:1" x14ac:dyDescent="0.2">
      <c r="A12655" s="1" t="s">
        <v>3225</v>
      </c>
    </row>
    <row r="12656" spans="1:1" x14ac:dyDescent="0.2">
      <c r="A12656" s="1" t="s">
        <v>3226</v>
      </c>
    </row>
    <row r="12657" spans="1:1" x14ac:dyDescent="0.2">
      <c r="A12657" s="1" t="s">
        <v>3227</v>
      </c>
    </row>
    <row r="12658" spans="1:1" x14ac:dyDescent="0.2">
      <c r="A12658" s="1" t="s">
        <v>3227</v>
      </c>
    </row>
    <row r="12659" spans="1:1" x14ac:dyDescent="0.2">
      <c r="A12659" s="1" t="s">
        <v>3227</v>
      </c>
    </row>
    <row r="12660" spans="1:1" x14ac:dyDescent="0.2">
      <c r="A12660" s="1" t="s">
        <v>3227</v>
      </c>
    </row>
    <row r="12661" spans="1:1" x14ac:dyDescent="0.2">
      <c r="A12661" s="1" t="s">
        <v>3228</v>
      </c>
    </row>
    <row r="12662" spans="1:1" x14ac:dyDescent="0.2">
      <c r="A12662" s="1" t="s">
        <v>3219</v>
      </c>
    </row>
    <row r="12663" spans="1:1" x14ac:dyDescent="0.2">
      <c r="A12663" s="1" t="s">
        <v>3219</v>
      </c>
    </row>
    <row r="12664" spans="1:1" x14ac:dyDescent="0.2">
      <c r="A12664" s="1" t="s">
        <v>3219</v>
      </c>
    </row>
    <row r="12665" spans="1:1" x14ac:dyDescent="0.2">
      <c r="A12665" s="1" t="s">
        <v>3220</v>
      </c>
    </row>
    <row r="12666" spans="1:1" x14ac:dyDescent="0.2">
      <c r="A12666" s="1" t="s">
        <v>3221</v>
      </c>
    </row>
    <row r="12667" spans="1:1" x14ac:dyDescent="0.2">
      <c r="A12667" s="1" t="s">
        <v>3222</v>
      </c>
    </row>
    <row r="12668" spans="1:1" x14ac:dyDescent="0.2">
      <c r="A12668" s="1" t="s">
        <v>3223</v>
      </c>
    </row>
    <row r="12669" spans="1:1" x14ac:dyDescent="0.2">
      <c r="A12669" s="1" t="s">
        <v>3224</v>
      </c>
    </row>
    <row r="12670" spans="1:1" x14ac:dyDescent="0.2">
      <c r="A12670" s="1" t="s">
        <v>3225</v>
      </c>
    </row>
    <row r="12671" spans="1:1" x14ac:dyDescent="0.2">
      <c r="A12671" s="1" t="s">
        <v>3226</v>
      </c>
    </row>
    <row r="12672" spans="1:1" x14ac:dyDescent="0.2">
      <c r="A12672" s="1" t="s">
        <v>3227</v>
      </c>
    </row>
    <row r="12673" spans="1:1" x14ac:dyDescent="0.2">
      <c r="A12673" s="1" t="s">
        <v>3227</v>
      </c>
    </row>
    <row r="12674" spans="1:1" x14ac:dyDescent="0.2">
      <c r="A12674" s="1" t="s">
        <v>3227</v>
      </c>
    </row>
    <row r="12675" spans="1:1" x14ac:dyDescent="0.2">
      <c r="A12675" s="1" t="s">
        <v>3227</v>
      </c>
    </row>
    <row r="12676" spans="1:1" x14ac:dyDescent="0.2">
      <c r="A12676" s="1" t="s">
        <v>3228</v>
      </c>
    </row>
    <row r="12677" spans="1:1" x14ac:dyDescent="0.2">
      <c r="A12677" s="1" t="s">
        <v>3219</v>
      </c>
    </row>
    <row r="12678" spans="1:1" x14ac:dyDescent="0.2">
      <c r="A12678" s="1" t="s">
        <v>3219</v>
      </c>
    </row>
    <row r="12679" spans="1:1" x14ac:dyDescent="0.2">
      <c r="A12679" s="1" t="s">
        <v>3219</v>
      </c>
    </row>
    <row r="12680" spans="1:1" x14ac:dyDescent="0.2">
      <c r="A12680" s="1" t="s">
        <v>3220</v>
      </c>
    </row>
    <row r="12681" spans="1:1" x14ac:dyDescent="0.2">
      <c r="A12681" s="1" t="s">
        <v>3221</v>
      </c>
    </row>
    <row r="12682" spans="1:1" x14ac:dyDescent="0.2">
      <c r="A12682" s="1" t="s">
        <v>3222</v>
      </c>
    </row>
    <row r="12683" spans="1:1" x14ac:dyDescent="0.2">
      <c r="A12683" s="1" t="s">
        <v>3223</v>
      </c>
    </row>
    <row r="12684" spans="1:1" x14ac:dyDescent="0.2">
      <c r="A12684" s="1" t="s">
        <v>3224</v>
      </c>
    </row>
    <row r="12685" spans="1:1" x14ac:dyDescent="0.2">
      <c r="A12685" s="1" t="s">
        <v>3225</v>
      </c>
    </row>
    <row r="12686" spans="1:1" x14ac:dyDescent="0.2">
      <c r="A12686" s="1" t="s">
        <v>3226</v>
      </c>
    </row>
    <row r="12687" spans="1:1" x14ac:dyDescent="0.2">
      <c r="A12687" s="1" t="s">
        <v>3227</v>
      </c>
    </row>
    <row r="12688" spans="1:1" x14ac:dyDescent="0.2">
      <c r="A12688" s="1" t="s">
        <v>3227</v>
      </c>
    </row>
    <row r="12689" spans="1:1" x14ac:dyDescent="0.2">
      <c r="A12689" s="1" t="s">
        <v>3227</v>
      </c>
    </row>
    <row r="12690" spans="1:1" x14ac:dyDescent="0.2">
      <c r="A12690" s="1" t="s">
        <v>3227</v>
      </c>
    </row>
    <row r="12691" spans="1:1" x14ac:dyDescent="0.2">
      <c r="A12691" s="1" t="s">
        <v>3228</v>
      </c>
    </row>
    <row r="12692" spans="1:1" x14ac:dyDescent="0.2">
      <c r="A12692" s="1" t="s">
        <v>3219</v>
      </c>
    </row>
    <row r="12693" spans="1:1" x14ac:dyDescent="0.2">
      <c r="A12693" s="1" t="s">
        <v>3219</v>
      </c>
    </row>
    <row r="12694" spans="1:1" x14ac:dyDescent="0.2">
      <c r="A12694" s="1" t="s">
        <v>3219</v>
      </c>
    </row>
    <row r="12695" spans="1:1" x14ac:dyDescent="0.2">
      <c r="A12695" s="1" t="s">
        <v>3220</v>
      </c>
    </row>
    <row r="12696" spans="1:1" x14ac:dyDescent="0.2">
      <c r="A12696" s="1" t="s">
        <v>3221</v>
      </c>
    </row>
    <row r="12697" spans="1:1" x14ac:dyDescent="0.2">
      <c r="A12697" s="1" t="s">
        <v>3222</v>
      </c>
    </row>
    <row r="12698" spans="1:1" x14ac:dyDescent="0.2">
      <c r="A12698" s="1" t="s">
        <v>3223</v>
      </c>
    </row>
    <row r="12699" spans="1:1" x14ac:dyDescent="0.2">
      <c r="A12699" s="1" t="s">
        <v>3224</v>
      </c>
    </row>
    <row r="12700" spans="1:1" x14ac:dyDescent="0.2">
      <c r="A12700" s="1" t="s">
        <v>3225</v>
      </c>
    </row>
    <row r="12701" spans="1:1" x14ac:dyDescent="0.2">
      <c r="A12701" s="1" t="s">
        <v>3226</v>
      </c>
    </row>
    <row r="12702" spans="1:1" x14ac:dyDescent="0.2">
      <c r="A12702" s="1" t="s">
        <v>3227</v>
      </c>
    </row>
    <row r="12703" spans="1:1" x14ac:dyDescent="0.2">
      <c r="A12703" s="1" t="s">
        <v>3227</v>
      </c>
    </row>
    <row r="12704" spans="1:1" x14ac:dyDescent="0.2">
      <c r="A12704" s="1" t="s">
        <v>3227</v>
      </c>
    </row>
    <row r="12705" spans="1:1" x14ac:dyDescent="0.2">
      <c r="A12705" s="1" t="s">
        <v>3227</v>
      </c>
    </row>
    <row r="12706" spans="1:1" x14ac:dyDescent="0.2">
      <c r="A12706" s="1" t="s">
        <v>3228</v>
      </c>
    </row>
    <row r="12707" spans="1:1" x14ac:dyDescent="0.2">
      <c r="A12707" s="1" t="s">
        <v>3219</v>
      </c>
    </row>
    <row r="12708" spans="1:1" x14ac:dyDescent="0.2">
      <c r="A12708" s="1" t="s">
        <v>3219</v>
      </c>
    </row>
    <row r="12709" spans="1:1" x14ac:dyDescent="0.2">
      <c r="A12709" s="1" t="s">
        <v>3219</v>
      </c>
    </row>
    <row r="12710" spans="1:1" x14ac:dyDescent="0.2">
      <c r="A12710" s="1" t="s">
        <v>3220</v>
      </c>
    </row>
    <row r="12711" spans="1:1" x14ac:dyDescent="0.2">
      <c r="A12711" s="1" t="s">
        <v>3221</v>
      </c>
    </row>
    <row r="12712" spans="1:1" x14ac:dyDescent="0.2">
      <c r="A12712" s="1" t="s">
        <v>3222</v>
      </c>
    </row>
    <row r="12713" spans="1:1" x14ac:dyDescent="0.2">
      <c r="A12713" s="1" t="s">
        <v>3223</v>
      </c>
    </row>
    <row r="12714" spans="1:1" x14ac:dyDescent="0.2">
      <c r="A12714" s="1" t="s">
        <v>3224</v>
      </c>
    </row>
    <row r="12715" spans="1:1" x14ac:dyDescent="0.2">
      <c r="A12715" s="1" t="s">
        <v>3225</v>
      </c>
    </row>
    <row r="12716" spans="1:1" x14ac:dyDescent="0.2">
      <c r="A12716" s="1" t="s">
        <v>3226</v>
      </c>
    </row>
    <row r="12717" spans="1:1" x14ac:dyDescent="0.2">
      <c r="A12717" s="1" t="s">
        <v>3227</v>
      </c>
    </row>
    <row r="12718" spans="1:1" x14ac:dyDescent="0.2">
      <c r="A12718" s="1" t="s">
        <v>3227</v>
      </c>
    </row>
    <row r="12719" spans="1:1" x14ac:dyDescent="0.2">
      <c r="A12719" s="1" t="s">
        <v>3227</v>
      </c>
    </row>
    <row r="12720" spans="1:1" x14ac:dyDescent="0.2">
      <c r="A12720" s="1" t="s">
        <v>3227</v>
      </c>
    </row>
    <row r="12721" spans="1:1" x14ac:dyDescent="0.2">
      <c r="A12721" s="1" t="s">
        <v>3228</v>
      </c>
    </row>
    <row r="12722" spans="1:1" x14ac:dyDescent="0.2">
      <c r="A12722" s="1" t="s">
        <v>3219</v>
      </c>
    </row>
    <row r="12723" spans="1:1" x14ac:dyDescent="0.2">
      <c r="A12723" s="1" t="s">
        <v>3229</v>
      </c>
    </row>
    <row r="12724" spans="1:1" x14ac:dyDescent="0.2">
      <c r="A12724" s="1" t="s">
        <v>3230</v>
      </c>
    </row>
    <row r="12725" spans="1:1" x14ac:dyDescent="0.2">
      <c r="A12725" s="1" t="s">
        <v>3219</v>
      </c>
    </row>
    <row r="12726" spans="1:1" x14ac:dyDescent="0.2">
      <c r="A12726" s="1" t="s">
        <v>3231</v>
      </c>
    </row>
    <row r="12727" spans="1:1" x14ac:dyDescent="0.2">
      <c r="A12727" s="1" t="s">
        <v>3232</v>
      </c>
    </row>
    <row r="12728" spans="1:1" x14ac:dyDescent="0.2">
      <c r="A12728" s="1" t="s">
        <v>3233</v>
      </c>
    </row>
    <row r="12729" spans="1:1" x14ac:dyDescent="0.2">
      <c r="A12729" s="1" t="s">
        <v>3234</v>
      </c>
    </row>
    <row r="12730" spans="1:1" x14ac:dyDescent="0.2">
      <c r="A12730" s="1" t="s">
        <v>3235</v>
      </c>
    </row>
    <row r="12731" spans="1:1" x14ac:dyDescent="0.2">
      <c r="A12731" s="1" t="s">
        <v>3236</v>
      </c>
    </row>
    <row r="12732" spans="1:1" x14ac:dyDescent="0.2">
      <c r="A12732" s="1" t="s">
        <v>3237</v>
      </c>
    </row>
    <row r="12733" spans="1:1" x14ac:dyDescent="0.2">
      <c r="A12733" s="1" t="s">
        <v>3238</v>
      </c>
    </row>
    <row r="12734" spans="1:1" x14ac:dyDescent="0.2">
      <c r="A12734" s="1" t="s">
        <v>3239</v>
      </c>
    </row>
    <row r="12735" spans="1:1" x14ac:dyDescent="0.2">
      <c r="A12735" s="1" t="s">
        <v>3240</v>
      </c>
    </row>
    <row r="12736" spans="1:1" x14ac:dyDescent="0.2">
      <c r="A12736" s="1" t="s">
        <v>3241</v>
      </c>
    </row>
    <row r="12737" spans="1:1" x14ac:dyDescent="0.2">
      <c r="A12737" s="1" t="s">
        <v>3242</v>
      </c>
    </row>
    <row r="12738" spans="1:1" x14ac:dyDescent="0.2">
      <c r="A12738" s="1" t="s">
        <v>3243</v>
      </c>
    </row>
    <row r="12739" spans="1:1" x14ac:dyDescent="0.2">
      <c r="A12739" s="1" t="s">
        <v>3244</v>
      </c>
    </row>
    <row r="12740" spans="1:1" x14ac:dyDescent="0.2">
      <c r="A12740" s="1" t="s">
        <v>3245</v>
      </c>
    </row>
    <row r="12741" spans="1:1" x14ac:dyDescent="0.2">
      <c r="A12741" s="1" t="s">
        <v>3246</v>
      </c>
    </row>
    <row r="12742" spans="1:1" x14ac:dyDescent="0.2">
      <c r="A12742" s="1" t="s">
        <v>3247</v>
      </c>
    </row>
    <row r="12743" spans="1:1" x14ac:dyDescent="0.2">
      <c r="A12743" s="1" t="s">
        <v>3248</v>
      </c>
    </row>
    <row r="12744" spans="1:1" x14ac:dyDescent="0.2">
      <c r="A12744" s="1" t="s">
        <v>3249</v>
      </c>
    </row>
    <row r="12745" spans="1:1" x14ac:dyDescent="0.2">
      <c r="A12745" s="1" t="s">
        <v>3239</v>
      </c>
    </row>
    <row r="12746" spans="1:1" x14ac:dyDescent="0.2">
      <c r="A12746" s="1" t="s">
        <v>3250</v>
      </c>
    </row>
    <row r="12747" spans="1:1" x14ac:dyDescent="0.2">
      <c r="A12747" s="1" t="s">
        <v>3241</v>
      </c>
    </row>
    <row r="12748" spans="1:1" x14ac:dyDescent="0.2">
      <c r="A12748" s="1" t="s">
        <v>3242</v>
      </c>
    </row>
    <row r="12749" spans="1:1" x14ac:dyDescent="0.2">
      <c r="A12749" s="1" t="s">
        <v>3243</v>
      </c>
    </row>
    <row r="12750" spans="1:1" x14ac:dyDescent="0.2">
      <c r="A12750" s="1" t="s">
        <v>3251</v>
      </c>
    </row>
    <row r="12751" spans="1:1" x14ac:dyDescent="0.2">
      <c r="A12751" s="1" t="s">
        <v>3245</v>
      </c>
    </row>
    <row r="12752" spans="1:1" x14ac:dyDescent="0.2">
      <c r="A12752" s="1" t="s">
        <v>3246</v>
      </c>
    </row>
    <row r="12753" spans="1:1" x14ac:dyDescent="0.2">
      <c r="A12753" s="1" t="s">
        <v>3247</v>
      </c>
    </row>
    <row r="12754" spans="1:1" x14ac:dyDescent="0.2">
      <c r="A12754" s="1" t="s">
        <v>3248</v>
      </c>
    </row>
    <row r="12755" spans="1:1" x14ac:dyDescent="0.2">
      <c r="A12755" s="1" t="s">
        <v>3249</v>
      </c>
    </row>
    <row r="12756" spans="1:1" x14ac:dyDescent="0.2">
      <c r="A12756" s="1" t="s">
        <v>3252</v>
      </c>
    </row>
    <row r="12757" spans="1:1" x14ac:dyDescent="0.2">
      <c r="A12757" s="1" t="s">
        <v>3253</v>
      </c>
    </row>
    <row r="12758" spans="1:1" x14ac:dyDescent="0.2">
      <c r="A12758" s="1" t="s">
        <v>3254</v>
      </c>
    </row>
    <row r="12759" spans="1:1" x14ac:dyDescent="0.2">
      <c r="A12759" s="1" t="s">
        <v>3255</v>
      </c>
    </row>
    <row r="12760" spans="1:1" x14ac:dyDescent="0.2">
      <c r="A12760" s="1" t="s">
        <v>3256</v>
      </c>
    </row>
    <row r="12761" spans="1:1" x14ac:dyDescent="0.2">
      <c r="A12761" s="1" t="s">
        <v>3257</v>
      </c>
    </row>
    <row r="12762" spans="1:1" x14ac:dyDescent="0.2">
      <c r="A12762" s="1" t="s">
        <v>3258</v>
      </c>
    </row>
    <row r="12763" spans="1:1" x14ac:dyDescent="0.2">
      <c r="A12763" s="1" t="s">
        <v>3259</v>
      </c>
    </row>
    <row r="12764" spans="1:1" x14ac:dyDescent="0.2">
      <c r="A12764" s="1" t="s">
        <v>3260</v>
      </c>
    </row>
    <row r="12765" spans="1:1" x14ac:dyDescent="0.2">
      <c r="A12765" s="1" t="s">
        <v>3261</v>
      </c>
    </row>
    <row r="12766" spans="1:1" x14ac:dyDescent="0.2">
      <c r="A12766" s="1" t="s">
        <v>3262</v>
      </c>
    </row>
    <row r="12767" spans="1:1" x14ac:dyDescent="0.2">
      <c r="A12767" s="1" t="s">
        <v>3252</v>
      </c>
    </row>
    <row r="12768" spans="1:1" x14ac:dyDescent="0.2">
      <c r="A12768" s="1" t="s">
        <v>3263</v>
      </c>
    </row>
    <row r="12769" spans="1:1" x14ac:dyDescent="0.2">
      <c r="A12769" s="1" t="s">
        <v>3254</v>
      </c>
    </row>
    <row r="12770" spans="1:1" x14ac:dyDescent="0.2">
      <c r="A12770" s="1" t="s">
        <v>3255</v>
      </c>
    </row>
    <row r="12771" spans="1:1" x14ac:dyDescent="0.2">
      <c r="A12771" s="1" t="s">
        <v>3256</v>
      </c>
    </row>
    <row r="12772" spans="1:1" x14ac:dyDescent="0.2">
      <c r="A12772" s="1" t="s">
        <v>3264</v>
      </c>
    </row>
    <row r="12773" spans="1:1" x14ac:dyDescent="0.2">
      <c r="A12773" s="1" t="s">
        <v>3258</v>
      </c>
    </row>
    <row r="12774" spans="1:1" x14ac:dyDescent="0.2">
      <c r="A12774" s="1" t="s">
        <v>3259</v>
      </c>
    </row>
    <row r="12775" spans="1:1" x14ac:dyDescent="0.2">
      <c r="A12775" s="1" t="s">
        <v>3260</v>
      </c>
    </row>
    <row r="12776" spans="1:1" x14ac:dyDescent="0.2">
      <c r="A12776" s="1" t="s">
        <v>3261</v>
      </c>
    </row>
    <row r="12777" spans="1:1" x14ac:dyDescent="0.2">
      <c r="A12777" s="1" t="s">
        <v>3262</v>
      </c>
    </row>
    <row r="12778" spans="1:1" x14ac:dyDescent="0.2">
      <c r="A12778" s="1" t="s">
        <v>3265</v>
      </c>
    </row>
    <row r="12779" spans="1:1" x14ac:dyDescent="0.2">
      <c r="A12779" s="1" t="s">
        <v>3266</v>
      </c>
    </row>
    <row r="12780" spans="1:1" x14ac:dyDescent="0.2">
      <c r="A12780" s="1" t="s">
        <v>3267</v>
      </c>
    </row>
    <row r="12781" spans="1:1" x14ac:dyDescent="0.2">
      <c r="A12781" s="1" t="s">
        <v>3268</v>
      </c>
    </row>
    <row r="12782" spans="1:1" x14ac:dyDescent="0.2">
      <c r="A12782" s="1" t="s">
        <v>3269</v>
      </c>
    </row>
    <row r="12783" spans="1:1" x14ac:dyDescent="0.2">
      <c r="A12783" s="1" t="s">
        <v>3270</v>
      </c>
    </row>
    <row r="12784" spans="1:1" x14ac:dyDescent="0.2">
      <c r="A12784" s="1" t="s">
        <v>3271</v>
      </c>
    </row>
    <row r="12785" spans="1:1" x14ac:dyDescent="0.2">
      <c r="A12785" s="1" t="s">
        <v>3272</v>
      </c>
    </row>
    <row r="12786" spans="1:1" x14ac:dyDescent="0.2">
      <c r="A12786" s="1" t="s">
        <v>3273</v>
      </c>
    </row>
    <row r="12787" spans="1:1" x14ac:dyDescent="0.2">
      <c r="A12787" s="1" t="s">
        <v>3274</v>
      </c>
    </row>
    <row r="12788" spans="1:1" x14ac:dyDescent="0.2">
      <c r="A12788" s="1" t="s">
        <v>3275</v>
      </c>
    </row>
    <row r="12789" spans="1:1" x14ac:dyDescent="0.2">
      <c r="A12789" s="1" t="s">
        <v>3265</v>
      </c>
    </row>
    <row r="12790" spans="1:1" x14ac:dyDescent="0.2">
      <c r="A12790" s="1" t="s">
        <v>3276</v>
      </c>
    </row>
    <row r="12791" spans="1:1" x14ac:dyDescent="0.2">
      <c r="A12791" s="1" t="s">
        <v>3267</v>
      </c>
    </row>
    <row r="12792" spans="1:1" x14ac:dyDescent="0.2">
      <c r="A12792" s="1" t="s">
        <v>3268</v>
      </c>
    </row>
    <row r="12793" spans="1:1" x14ac:dyDescent="0.2">
      <c r="A12793" s="1" t="s">
        <v>3269</v>
      </c>
    </row>
    <row r="12794" spans="1:1" x14ac:dyDescent="0.2">
      <c r="A12794" s="1" t="s">
        <v>3277</v>
      </c>
    </row>
    <row r="12795" spans="1:1" x14ac:dyDescent="0.2">
      <c r="A12795" s="1" t="s">
        <v>3271</v>
      </c>
    </row>
    <row r="12796" spans="1:1" x14ac:dyDescent="0.2">
      <c r="A12796" s="1" t="s">
        <v>3272</v>
      </c>
    </row>
    <row r="12797" spans="1:1" x14ac:dyDescent="0.2">
      <c r="A12797" s="1" t="s">
        <v>3273</v>
      </c>
    </row>
    <row r="12798" spans="1:1" x14ac:dyDescent="0.2">
      <c r="A12798" s="1" t="s">
        <v>3274</v>
      </c>
    </row>
    <row r="12799" spans="1:1" x14ac:dyDescent="0.2">
      <c r="A12799" s="1" t="s">
        <v>3275</v>
      </c>
    </row>
    <row r="12800" spans="1:1" x14ac:dyDescent="0.2">
      <c r="A12800" s="1" t="s">
        <v>3278</v>
      </c>
    </row>
    <row r="12801" spans="1:1" x14ac:dyDescent="0.2">
      <c r="A12801" s="1" t="s">
        <v>3279</v>
      </c>
    </row>
    <row r="12802" spans="1:1" x14ac:dyDescent="0.2">
      <c r="A12802" s="1" t="s">
        <v>3280</v>
      </c>
    </row>
    <row r="12803" spans="1:1" x14ac:dyDescent="0.2">
      <c r="A12803" s="1" t="s">
        <v>3281</v>
      </c>
    </row>
    <row r="12804" spans="1:1" x14ac:dyDescent="0.2">
      <c r="A12804" s="1" t="s">
        <v>3282</v>
      </c>
    </row>
    <row r="12805" spans="1:1" x14ac:dyDescent="0.2">
      <c r="A12805" s="1" t="s">
        <v>3283</v>
      </c>
    </row>
    <row r="12806" spans="1:1" x14ac:dyDescent="0.2">
      <c r="A12806" s="1" t="s">
        <v>3284</v>
      </c>
    </row>
    <row r="12807" spans="1:1" x14ac:dyDescent="0.2">
      <c r="A12807" s="1" t="s">
        <v>3285</v>
      </c>
    </row>
    <row r="12808" spans="1:1" x14ac:dyDescent="0.2">
      <c r="A12808" s="1" t="s">
        <v>3286</v>
      </c>
    </row>
    <row r="12809" spans="1:1" x14ac:dyDescent="0.2">
      <c r="A12809" s="1" t="s">
        <v>3287</v>
      </c>
    </row>
    <row r="12810" spans="1:1" x14ac:dyDescent="0.2">
      <c r="A12810" s="1" t="s">
        <v>3288</v>
      </c>
    </row>
    <row r="12811" spans="1:1" x14ac:dyDescent="0.2">
      <c r="A12811" s="1" t="s">
        <v>3278</v>
      </c>
    </row>
    <row r="12812" spans="1:1" x14ac:dyDescent="0.2">
      <c r="A12812" s="1" t="s">
        <v>3289</v>
      </c>
    </row>
    <row r="12813" spans="1:1" x14ac:dyDescent="0.2">
      <c r="A12813" s="1" t="s">
        <v>3280</v>
      </c>
    </row>
    <row r="12814" spans="1:1" x14ac:dyDescent="0.2">
      <c r="A12814" s="1" t="s">
        <v>3281</v>
      </c>
    </row>
    <row r="12815" spans="1:1" x14ac:dyDescent="0.2">
      <c r="A12815" s="1" t="s">
        <v>3282</v>
      </c>
    </row>
    <row r="12816" spans="1:1" x14ac:dyDescent="0.2">
      <c r="A12816" s="1" t="s">
        <v>3290</v>
      </c>
    </row>
    <row r="12817" spans="1:1" x14ac:dyDescent="0.2">
      <c r="A12817" s="1" t="s">
        <v>3284</v>
      </c>
    </row>
    <row r="12818" spans="1:1" x14ac:dyDescent="0.2">
      <c r="A12818" s="1" t="s">
        <v>3285</v>
      </c>
    </row>
    <row r="12819" spans="1:1" x14ac:dyDescent="0.2">
      <c r="A12819" s="1" t="s">
        <v>3286</v>
      </c>
    </row>
    <row r="12820" spans="1:1" x14ac:dyDescent="0.2">
      <c r="A12820" s="1" t="s">
        <v>3287</v>
      </c>
    </row>
    <row r="12821" spans="1:1" x14ac:dyDescent="0.2">
      <c r="A12821" s="1" t="s">
        <v>3288</v>
      </c>
    </row>
    <row r="12822" spans="1:1" x14ac:dyDescent="0.2">
      <c r="A12822" s="1" t="s">
        <v>3291</v>
      </c>
    </row>
    <row r="12823" spans="1:1" x14ac:dyDescent="0.2">
      <c r="A12823" s="1" t="s">
        <v>3292</v>
      </c>
    </row>
    <row r="12824" spans="1:1" x14ac:dyDescent="0.2">
      <c r="A12824" s="1" t="s">
        <v>3293</v>
      </c>
    </row>
    <row r="12825" spans="1:1" x14ac:dyDescent="0.2">
      <c r="A12825" s="1" t="s">
        <v>3294</v>
      </c>
    </row>
    <row r="12826" spans="1:1" x14ac:dyDescent="0.2">
      <c r="A12826" s="1" t="s">
        <v>3295</v>
      </c>
    </row>
    <row r="12827" spans="1:1" x14ac:dyDescent="0.2">
      <c r="A12827" s="1" t="s">
        <v>3296</v>
      </c>
    </row>
    <row r="12828" spans="1:1" x14ac:dyDescent="0.2">
      <c r="A12828" s="1" t="s">
        <v>3297</v>
      </c>
    </row>
    <row r="12829" spans="1:1" x14ac:dyDescent="0.2">
      <c r="A12829" s="1" t="s">
        <v>3298</v>
      </c>
    </row>
    <row r="12830" spans="1:1" x14ac:dyDescent="0.2">
      <c r="A12830" s="1" t="s">
        <v>3299</v>
      </c>
    </row>
    <row r="12831" spans="1:1" x14ac:dyDescent="0.2">
      <c r="A12831" s="1" t="s">
        <v>3300</v>
      </c>
    </row>
    <row r="12832" spans="1:1" x14ac:dyDescent="0.2">
      <c r="A12832" s="1" t="s">
        <v>3301</v>
      </c>
    </row>
    <row r="12833" spans="1:1" x14ac:dyDescent="0.2">
      <c r="A12833" s="1" t="s">
        <v>3291</v>
      </c>
    </row>
    <row r="12834" spans="1:1" x14ac:dyDescent="0.2">
      <c r="A12834" s="1" t="s">
        <v>3302</v>
      </c>
    </row>
    <row r="12835" spans="1:1" x14ac:dyDescent="0.2">
      <c r="A12835" s="1" t="s">
        <v>3293</v>
      </c>
    </row>
    <row r="12836" spans="1:1" x14ac:dyDescent="0.2">
      <c r="A12836" s="1" t="s">
        <v>3294</v>
      </c>
    </row>
    <row r="12837" spans="1:1" x14ac:dyDescent="0.2">
      <c r="A12837" s="1" t="s">
        <v>3295</v>
      </c>
    </row>
    <row r="12838" spans="1:1" x14ac:dyDescent="0.2">
      <c r="A12838" s="1" t="s">
        <v>3303</v>
      </c>
    </row>
    <row r="12839" spans="1:1" x14ac:dyDescent="0.2">
      <c r="A12839" s="1" t="s">
        <v>3297</v>
      </c>
    </row>
    <row r="12840" spans="1:1" x14ac:dyDescent="0.2">
      <c r="A12840" s="1" t="s">
        <v>3298</v>
      </c>
    </row>
    <row r="12841" spans="1:1" x14ac:dyDescent="0.2">
      <c r="A12841" s="1" t="s">
        <v>3299</v>
      </c>
    </row>
    <row r="12842" spans="1:1" x14ac:dyDescent="0.2">
      <c r="A12842" s="1" t="s">
        <v>3300</v>
      </c>
    </row>
    <row r="12843" spans="1:1" x14ac:dyDescent="0.2">
      <c r="A12843" s="1" t="s">
        <v>3301</v>
      </c>
    </row>
    <row r="12844" spans="1:1" x14ac:dyDescent="0.2">
      <c r="A12844" s="1" t="s">
        <v>3304</v>
      </c>
    </row>
    <row r="12845" spans="1:1" x14ac:dyDescent="0.2">
      <c r="A12845" s="1" t="s">
        <v>3305</v>
      </c>
    </row>
    <row r="12846" spans="1:1" x14ac:dyDescent="0.2">
      <c r="A12846" s="1" t="s">
        <v>3306</v>
      </c>
    </row>
    <row r="12847" spans="1:1" x14ac:dyDescent="0.2">
      <c r="A12847" s="1" t="s">
        <v>3307</v>
      </c>
    </row>
    <row r="12848" spans="1:1" x14ac:dyDescent="0.2">
      <c r="A12848" s="1" t="s">
        <v>3308</v>
      </c>
    </row>
    <row r="12849" spans="1:1" x14ac:dyDescent="0.2">
      <c r="A12849" s="1" t="s">
        <v>3309</v>
      </c>
    </row>
    <row r="12850" spans="1:1" x14ac:dyDescent="0.2">
      <c r="A12850" s="1" t="s">
        <v>3310</v>
      </c>
    </row>
    <row r="12851" spans="1:1" x14ac:dyDescent="0.2">
      <c r="A12851" s="1" t="s">
        <v>3311</v>
      </c>
    </row>
    <row r="12852" spans="1:1" x14ac:dyDescent="0.2">
      <c r="A12852" s="1" t="s">
        <v>3312</v>
      </c>
    </row>
    <row r="12853" spans="1:1" x14ac:dyDescent="0.2">
      <c r="A12853" s="1" t="s">
        <v>3313</v>
      </c>
    </row>
    <row r="12854" spans="1:1" x14ac:dyDescent="0.2">
      <c r="A12854" s="1" t="s">
        <v>3314</v>
      </c>
    </row>
    <row r="12855" spans="1:1" x14ac:dyDescent="0.2">
      <c r="A12855" s="1" t="s">
        <v>3315</v>
      </c>
    </row>
    <row r="12856" spans="1:1" x14ac:dyDescent="0.2">
      <c r="A12856" s="1" t="s">
        <v>3315</v>
      </c>
    </row>
    <row r="12857" spans="1:1" x14ac:dyDescent="0.2">
      <c r="A12857" s="1" t="s">
        <v>3316</v>
      </c>
    </row>
    <row r="12858" spans="1:1" x14ac:dyDescent="0.2">
      <c r="A12858" s="1" t="s">
        <v>3317</v>
      </c>
    </row>
    <row r="12859" spans="1:1" x14ac:dyDescent="0.2">
      <c r="A12859" s="1" t="s">
        <v>3318</v>
      </c>
    </row>
    <row r="12860" spans="1:1" x14ac:dyDescent="0.2">
      <c r="A12860" s="1" t="s">
        <v>3319</v>
      </c>
    </row>
    <row r="12861" spans="1:1" x14ac:dyDescent="0.2">
      <c r="A12861" s="1" t="s">
        <v>3320</v>
      </c>
    </row>
    <row r="12862" spans="1:1" x14ac:dyDescent="0.2">
      <c r="A12862" s="1" t="s">
        <v>3321</v>
      </c>
    </row>
    <row r="12863" spans="1:1" x14ac:dyDescent="0.2">
      <c r="A12863" s="1" t="s">
        <v>3322</v>
      </c>
    </row>
    <row r="12864" spans="1:1" x14ac:dyDescent="0.2">
      <c r="A12864" s="1" t="s">
        <v>3323</v>
      </c>
    </row>
    <row r="12865" spans="1:1" x14ac:dyDescent="0.2">
      <c r="A12865" s="1" t="s">
        <v>3323</v>
      </c>
    </row>
    <row r="12866" spans="1:1" x14ac:dyDescent="0.2">
      <c r="A12866" s="1" t="s">
        <v>3323</v>
      </c>
    </row>
    <row r="12867" spans="1:1" x14ac:dyDescent="0.2">
      <c r="A12867" s="1" t="s">
        <v>3323</v>
      </c>
    </row>
    <row r="12868" spans="1:1" x14ac:dyDescent="0.2">
      <c r="A12868" s="1" t="s">
        <v>3324</v>
      </c>
    </row>
    <row r="12869" spans="1:1" x14ac:dyDescent="0.2">
      <c r="A12869" s="1" t="s">
        <v>3315</v>
      </c>
    </row>
    <row r="12870" spans="1:1" x14ac:dyDescent="0.2">
      <c r="A12870" s="1" t="s">
        <v>3315</v>
      </c>
    </row>
    <row r="12871" spans="1:1" x14ac:dyDescent="0.2">
      <c r="A12871" s="1" t="s">
        <v>3315</v>
      </c>
    </row>
    <row r="12872" spans="1:1" x14ac:dyDescent="0.2">
      <c r="A12872" s="1" t="s">
        <v>3316</v>
      </c>
    </row>
    <row r="12873" spans="1:1" x14ac:dyDescent="0.2">
      <c r="A12873" s="1" t="s">
        <v>3317</v>
      </c>
    </row>
    <row r="12874" spans="1:1" x14ac:dyDescent="0.2">
      <c r="A12874" s="1" t="s">
        <v>3318</v>
      </c>
    </row>
    <row r="12875" spans="1:1" x14ac:dyDescent="0.2">
      <c r="A12875" s="1" t="s">
        <v>3319</v>
      </c>
    </row>
    <row r="12876" spans="1:1" x14ac:dyDescent="0.2">
      <c r="A12876" s="1" t="s">
        <v>3320</v>
      </c>
    </row>
    <row r="12877" spans="1:1" x14ac:dyDescent="0.2">
      <c r="A12877" s="1" t="s">
        <v>3321</v>
      </c>
    </row>
    <row r="12878" spans="1:1" x14ac:dyDescent="0.2">
      <c r="A12878" s="1" t="s">
        <v>3322</v>
      </c>
    </row>
    <row r="12879" spans="1:1" x14ac:dyDescent="0.2">
      <c r="A12879" s="1" t="s">
        <v>3323</v>
      </c>
    </row>
    <row r="12880" spans="1:1" x14ac:dyDescent="0.2">
      <c r="A12880" s="1" t="s">
        <v>3323</v>
      </c>
    </row>
    <row r="12881" spans="1:1" x14ac:dyDescent="0.2">
      <c r="A12881" s="1" t="s">
        <v>3323</v>
      </c>
    </row>
    <row r="12882" spans="1:1" x14ac:dyDescent="0.2">
      <c r="A12882" s="1" t="s">
        <v>3323</v>
      </c>
    </row>
    <row r="12883" spans="1:1" x14ac:dyDescent="0.2">
      <c r="A12883" s="1" t="s">
        <v>3324</v>
      </c>
    </row>
    <row r="12884" spans="1:1" x14ac:dyDescent="0.2">
      <c r="A12884" s="1" t="s">
        <v>3315</v>
      </c>
    </row>
    <row r="12885" spans="1:1" x14ac:dyDescent="0.2">
      <c r="A12885" s="1" t="s">
        <v>3315</v>
      </c>
    </row>
    <row r="12886" spans="1:1" x14ac:dyDescent="0.2">
      <c r="A12886" s="1" t="s">
        <v>3315</v>
      </c>
    </row>
    <row r="12887" spans="1:1" x14ac:dyDescent="0.2">
      <c r="A12887" s="1" t="s">
        <v>3316</v>
      </c>
    </row>
    <row r="12888" spans="1:1" x14ac:dyDescent="0.2">
      <c r="A12888" s="1" t="s">
        <v>3317</v>
      </c>
    </row>
    <row r="12889" spans="1:1" x14ac:dyDescent="0.2">
      <c r="A12889" s="1" t="s">
        <v>3318</v>
      </c>
    </row>
    <row r="12890" spans="1:1" x14ac:dyDescent="0.2">
      <c r="A12890" s="1" t="s">
        <v>3319</v>
      </c>
    </row>
    <row r="12891" spans="1:1" x14ac:dyDescent="0.2">
      <c r="A12891" s="1" t="s">
        <v>3320</v>
      </c>
    </row>
    <row r="12892" spans="1:1" x14ac:dyDescent="0.2">
      <c r="A12892" s="1" t="s">
        <v>3321</v>
      </c>
    </row>
    <row r="12893" spans="1:1" x14ac:dyDescent="0.2">
      <c r="A12893" s="1" t="s">
        <v>3322</v>
      </c>
    </row>
    <row r="12894" spans="1:1" x14ac:dyDescent="0.2">
      <c r="A12894" s="1" t="s">
        <v>3323</v>
      </c>
    </row>
    <row r="12895" spans="1:1" x14ac:dyDescent="0.2">
      <c r="A12895" s="1" t="s">
        <v>3323</v>
      </c>
    </row>
    <row r="12896" spans="1:1" x14ac:dyDescent="0.2">
      <c r="A12896" s="1" t="s">
        <v>3323</v>
      </c>
    </row>
    <row r="12897" spans="1:1" x14ac:dyDescent="0.2">
      <c r="A12897" s="1" t="s">
        <v>3323</v>
      </c>
    </row>
    <row r="12898" spans="1:1" x14ac:dyDescent="0.2">
      <c r="A12898" s="1" t="s">
        <v>3324</v>
      </c>
    </row>
    <row r="12899" spans="1:1" x14ac:dyDescent="0.2">
      <c r="A12899" s="1" t="s">
        <v>3315</v>
      </c>
    </row>
    <row r="12900" spans="1:1" x14ac:dyDescent="0.2">
      <c r="A12900" s="1" t="s">
        <v>3315</v>
      </c>
    </row>
    <row r="12901" spans="1:1" x14ac:dyDescent="0.2">
      <c r="A12901" s="1" t="s">
        <v>3315</v>
      </c>
    </row>
    <row r="12902" spans="1:1" x14ac:dyDescent="0.2">
      <c r="A12902" s="1" t="s">
        <v>3316</v>
      </c>
    </row>
    <row r="12903" spans="1:1" x14ac:dyDescent="0.2">
      <c r="A12903" s="1" t="s">
        <v>3317</v>
      </c>
    </row>
    <row r="12904" spans="1:1" x14ac:dyDescent="0.2">
      <c r="A12904" s="1" t="s">
        <v>3318</v>
      </c>
    </row>
    <row r="12905" spans="1:1" x14ac:dyDescent="0.2">
      <c r="A12905" s="1" t="s">
        <v>3319</v>
      </c>
    </row>
    <row r="12906" spans="1:1" x14ac:dyDescent="0.2">
      <c r="A12906" s="1" t="s">
        <v>3320</v>
      </c>
    </row>
    <row r="12907" spans="1:1" x14ac:dyDescent="0.2">
      <c r="A12907" s="1" t="s">
        <v>3321</v>
      </c>
    </row>
    <row r="12908" spans="1:1" x14ac:dyDescent="0.2">
      <c r="A12908" s="1" t="s">
        <v>3322</v>
      </c>
    </row>
    <row r="12909" spans="1:1" x14ac:dyDescent="0.2">
      <c r="A12909" s="1" t="s">
        <v>3323</v>
      </c>
    </row>
    <row r="12910" spans="1:1" x14ac:dyDescent="0.2">
      <c r="A12910" s="1" t="s">
        <v>3323</v>
      </c>
    </row>
    <row r="12911" spans="1:1" x14ac:dyDescent="0.2">
      <c r="A12911" s="1" t="s">
        <v>3323</v>
      </c>
    </row>
    <row r="12912" spans="1:1" x14ac:dyDescent="0.2">
      <c r="A12912" s="1" t="s">
        <v>3323</v>
      </c>
    </row>
    <row r="12913" spans="1:1" x14ac:dyDescent="0.2">
      <c r="A12913" s="1" t="s">
        <v>3324</v>
      </c>
    </row>
    <row r="12914" spans="1:1" x14ac:dyDescent="0.2">
      <c r="A12914" s="1" t="s">
        <v>3315</v>
      </c>
    </row>
    <row r="12915" spans="1:1" x14ac:dyDescent="0.2">
      <c r="A12915" s="1" t="s">
        <v>3315</v>
      </c>
    </row>
    <row r="12916" spans="1:1" x14ac:dyDescent="0.2">
      <c r="A12916" s="1" t="s">
        <v>3315</v>
      </c>
    </row>
    <row r="12917" spans="1:1" x14ac:dyDescent="0.2">
      <c r="A12917" s="1" t="s">
        <v>3316</v>
      </c>
    </row>
    <row r="12918" spans="1:1" x14ac:dyDescent="0.2">
      <c r="A12918" s="1" t="s">
        <v>3317</v>
      </c>
    </row>
    <row r="12919" spans="1:1" x14ac:dyDescent="0.2">
      <c r="A12919" s="1" t="s">
        <v>3318</v>
      </c>
    </row>
    <row r="12920" spans="1:1" x14ac:dyDescent="0.2">
      <c r="A12920" s="1" t="s">
        <v>3319</v>
      </c>
    </row>
    <row r="12921" spans="1:1" x14ac:dyDescent="0.2">
      <c r="A12921" s="1" t="s">
        <v>3320</v>
      </c>
    </row>
    <row r="12922" spans="1:1" x14ac:dyDescent="0.2">
      <c r="A12922" s="1" t="s">
        <v>3321</v>
      </c>
    </row>
    <row r="12923" spans="1:1" x14ac:dyDescent="0.2">
      <c r="A12923" s="1" t="s">
        <v>3322</v>
      </c>
    </row>
    <row r="12924" spans="1:1" x14ac:dyDescent="0.2">
      <c r="A12924" s="1" t="s">
        <v>3323</v>
      </c>
    </row>
    <row r="12925" spans="1:1" x14ac:dyDescent="0.2">
      <c r="A12925" s="1" t="s">
        <v>3323</v>
      </c>
    </row>
    <row r="12926" spans="1:1" x14ac:dyDescent="0.2">
      <c r="A12926" s="1" t="s">
        <v>3323</v>
      </c>
    </row>
    <row r="12927" spans="1:1" x14ac:dyDescent="0.2">
      <c r="A12927" s="1" t="s">
        <v>3323</v>
      </c>
    </row>
    <row r="12928" spans="1:1" x14ac:dyDescent="0.2">
      <c r="A12928" s="1" t="s">
        <v>3324</v>
      </c>
    </row>
    <row r="12929" spans="1:1" x14ac:dyDescent="0.2">
      <c r="A12929" s="1" t="s">
        <v>3315</v>
      </c>
    </row>
    <row r="12930" spans="1:1" x14ac:dyDescent="0.2">
      <c r="A12930" s="1" t="s">
        <v>3325</v>
      </c>
    </row>
    <row r="12931" spans="1:1" x14ac:dyDescent="0.2">
      <c r="A12931" s="1" t="s">
        <v>3326</v>
      </c>
    </row>
    <row r="12932" spans="1:1" x14ac:dyDescent="0.2">
      <c r="A12932" s="1" t="s">
        <v>3327</v>
      </c>
    </row>
    <row r="12933" spans="1:1" x14ac:dyDescent="0.2">
      <c r="A12933" s="1" t="s">
        <v>3328</v>
      </c>
    </row>
    <row r="12934" spans="1:1" x14ac:dyDescent="0.2">
      <c r="A12934" s="1" t="s">
        <v>3329</v>
      </c>
    </row>
    <row r="12935" spans="1:1" x14ac:dyDescent="0.2">
      <c r="A12935" s="1" t="s">
        <v>3330</v>
      </c>
    </row>
    <row r="12936" spans="1:1" x14ac:dyDescent="0.2">
      <c r="A12936" s="1" t="s">
        <v>3331</v>
      </c>
    </row>
    <row r="12937" spans="1:1" x14ac:dyDescent="0.2">
      <c r="A12937" s="1" t="s">
        <v>3332</v>
      </c>
    </row>
    <row r="12938" spans="1:1" x14ac:dyDescent="0.2">
      <c r="A12938" s="1" t="s">
        <v>3333</v>
      </c>
    </row>
    <row r="12939" spans="1:1" x14ac:dyDescent="0.2">
      <c r="A12939" s="1" t="s">
        <v>3334</v>
      </c>
    </row>
    <row r="12940" spans="1:1" x14ac:dyDescent="0.2">
      <c r="A12940" s="1" t="s">
        <v>3335</v>
      </c>
    </row>
    <row r="12941" spans="1:1" x14ac:dyDescent="0.2">
      <c r="A12941" s="1" t="s">
        <v>3336</v>
      </c>
    </row>
    <row r="12942" spans="1:1" x14ac:dyDescent="0.2">
      <c r="A12942" s="1" t="s">
        <v>3337</v>
      </c>
    </row>
    <row r="12943" spans="1:1" x14ac:dyDescent="0.2">
      <c r="A12943" s="1" t="s">
        <v>3338</v>
      </c>
    </row>
    <row r="12944" spans="1:1" x14ac:dyDescent="0.2">
      <c r="A12944" s="1" t="s">
        <v>3339</v>
      </c>
    </row>
    <row r="12945" spans="1:1" x14ac:dyDescent="0.2">
      <c r="A12945" s="1" t="s">
        <v>3340</v>
      </c>
    </row>
    <row r="12946" spans="1:1" x14ac:dyDescent="0.2">
      <c r="A12946" s="1" t="s">
        <v>3341</v>
      </c>
    </row>
    <row r="12947" spans="1:1" x14ac:dyDescent="0.2">
      <c r="A12947" s="1" t="s">
        <v>3342</v>
      </c>
    </row>
    <row r="12948" spans="1:1" x14ac:dyDescent="0.2">
      <c r="A12948" s="1" t="s">
        <v>3343</v>
      </c>
    </row>
    <row r="12949" spans="1:1" x14ac:dyDescent="0.2">
      <c r="A12949" s="1" t="s">
        <v>3344</v>
      </c>
    </row>
    <row r="12950" spans="1:1" x14ac:dyDescent="0.2">
      <c r="A12950" s="1" t="s">
        <v>3345</v>
      </c>
    </row>
    <row r="12951" spans="1:1" x14ac:dyDescent="0.2">
      <c r="A12951" s="1" t="s">
        <v>3346</v>
      </c>
    </row>
    <row r="12952" spans="1:1" x14ac:dyDescent="0.2">
      <c r="A12952" s="1" t="s">
        <v>3347</v>
      </c>
    </row>
    <row r="12953" spans="1:1" x14ac:dyDescent="0.2">
      <c r="A12953" s="1" t="s">
        <v>3348</v>
      </c>
    </row>
    <row r="12954" spans="1:1" x14ac:dyDescent="0.2">
      <c r="A12954" s="1" t="s">
        <v>3349</v>
      </c>
    </row>
    <row r="12955" spans="1:1" x14ac:dyDescent="0.2">
      <c r="A12955" s="1" t="s">
        <v>3350</v>
      </c>
    </row>
    <row r="12956" spans="1:1" x14ac:dyDescent="0.2">
      <c r="A12956" s="1" t="s">
        <v>3351</v>
      </c>
    </row>
    <row r="12957" spans="1:1" x14ac:dyDescent="0.2">
      <c r="A12957" s="1" t="s">
        <v>3352</v>
      </c>
    </row>
    <row r="12958" spans="1:1" x14ac:dyDescent="0.2">
      <c r="A12958" s="1" t="s">
        <v>3353</v>
      </c>
    </row>
    <row r="12959" spans="1:1" x14ac:dyDescent="0.2">
      <c r="A12959" s="1" t="s">
        <v>3354</v>
      </c>
    </row>
    <row r="12960" spans="1:1" x14ac:dyDescent="0.2">
      <c r="A12960" s="1" t="s">
        <v>3355</v>
      </c>
    </row>
    <row r="12961" spans="1:1" x14ac:dyDescent="0.2">
      <c r="A12961" s="1" t="s">
        <v>3356</v>
      </c>
    </row>
    <row r="12962" spans="1:1" x14ac:dyDescent="0.2">
      <c r="A12962" s="1" t="s">
        <v>3357</v>
      </c>
    </row>
    <row r="12963" spans="1:1" x14ac:dyDescent="0.2">
      <c r="A12963" s="1" t="s">
        <v>3358</v>
      </c>
    </row>
    <row r="12964" spans="1:1" x14ac:dyDescent="0.2">
      <c r="A12964" s="1" t="s">
        <v>3359</v>
      </c>
    </row>
    <row r="12965" spans="1:1" x14ac:dyDescent="0.2">
      <c r="A12965" s="1" t="s">
        <v>3360</v>
      </c>
    </row>
    <row r="12966" spans="1:1" x14ac:dyDescent="0.2">
      <c r="A12966" s="1" t="s">
        <v>3361</v>
      </c>
    </row>
    <row r="12967" spans="1:1" x14ac:dyDescent="0.2">
      <c r="A12967" s="1" t="s">
        <v>3362</v>
      </c>
    </row>
    <row r="12968" spans="1:1" x14ac:dyDescent="0.2">
      <c r="A12968" s="1" t="s">
        <v>3363</v>
      </c>
    </row>
    <row r="12969" spans="1:1" x14ac:dyDescent="0.2">
      <c r="A12969" s="1" t="s">
        <v>3364</v>
      </c>
    </row>
    <row r="12970" spans="1:1" x14ac:dyDescent="0.2">
      <c r="A12970" s="1" t="s">
        <v>3365</v>
      </c>
    </row>
    <row r="12971" spans="1:1" x14ac:dyDescent="0.2">
      <c r="A12971" s="1" t="s">
        <v>3366</v>
      </c>
    </row>
    <row r="12972" spans="1:1" x14ac:dyDescent="0.2">
      <c r="A12972" s="1" t="s">
        <v>3367</v>
      </c>
    </row>
    <row r="12973" spans="1:1" x14ac:dyDescent="0.2">
      <c r="A12973" s="1" t="s">
        <v>3368</v>
      </c>
    </row>
    <row r="12974" spans="1:1" x14ac:dyDescent="0.2">
      <c r="A12974" s="1" t="s">
        <v>3369</v>
      </c>
    </row>
    <row r="12975" spans="1:1" x14ac:dyDescent="0.2">
      <c r="A12975" s="1" t="s">
        <v>3369</v>
      </c>
    </row>
    <row r="12976" spans="1:1" x14ac:dyDescent="0.2">
      <c r="A12976" s="1" t="s">
        <v>3370</v>
      </c>
    </row>
    <row r="12977" spans="1:1" x14ac:dyDescent="0.2">
      <c r="A12977" s="1" t="s">
        <v>3371</v>
      </c>
    </row>
    <row r="12978" spans="1:1" x14ac:dyDescent="0.2">
      <c r="A12978" s="1" t="s">
        <v>3372</v>
      </c>
    </row>
    <row r="12979" spans="1:1" x14ac:dyDescent="0.2">
      <c r="A12979" s="1" t="s">
        <v>3373</v>
      </c>
    </row>
    <row r="12980" spans="1:1" x14ac:dyDescent="0.2">
      <c r="A12980" s="1" t="s">
        <v>3374</v>
      </c>
    </row>
    <row r="12981" spans="1:1" x14ac:dyDescent="0.2">
      <c r="A12981" s="1" t="s">
        <v>3375</v>
      </c>
    </row>
    <row r="12982" spans="1:1" x14ac:dyDescent="0.2">
      <c r="A12982" s="1" t="s">
        <v>3376</v>
      </c>
    </row>
    <row r="12983" spans="1:1" x14ac:dyDescent="0.2">
      <c r="A12983" s="1" t="s">
        <v>3377</v>
      </c>
    </row>
    <row r="12984" spans="1:1" x14ac:dyDescent="0.2">
      <c r="A12984" s="1" t="s">
        <v>3377</v>
      </c>
    </row>
    <row r="12985" spans="1:1" x14ac:dyDescent="0.2">
      <c r="A12985" s="1" t="s">
        <v>3377</v>
      </c>
    </row>
    <row r="12986" spans="1:1" x14ac:dyDescent="0.2">
      <c r="A12986" s="1" t="s">
        <v>3377</v>
      </c>
    </row>
    <row r="12987" spans="1:1" x14ac:dyDescent="0.2">
      <c r="A12987" s="1" t="s">
        <v>3378</v>
      </c>
    </row>
    <row r="12988" spans="1:1" x14ac:dyDescent="0.2">
      <c r="A12988" s="1" t="s">
        <v>3369</v>
      </c>
    </row>
    <row r="12989" spans="1:1" x14ac:dyDescent="0.2">
      <c r="A12989" s="1" t="s">
        <v>3369</v>
      </c>
    </row>
    <row r="12990" spans="1:1" x14ac:dyDescent="0.2">
      <c r="A12990" s="1" t="s">
        <v>3369</v>
      </c>
    </row>
    <row r="12991" spans="1:1" x14ac:dyDescent="0.2">
      <c r="A12991" s="1" t="s">
        <v>3370</v>
      </c>
    </row>
    <row r="12992" spans="1:1" x14ac:dyDescent="0.2">
      <c r="A12992" s="1" t="s">
        <v>3371</v>
      </c>
    </row>
    <row r="12993" spans="1:1" x14ac:dyDescent="0.2">
      <c r="A12993" s="1" t="s">
        <v>3372</v>
      </c>
    </row>
    <row r="12994" spans="1:1" x14ac:dyDescent="0.2">
      <c r="A12994" s="1" t="s">
        <v>3373</v>
      </c>
    </row>
    <row r="12995" spans="1:1" x14ac:dyDescent="0.2">
      <c r="A12995" s="1" t="s">
        <v>3374</v>
      </c>
    </row>
    <row r="12996" spans="1:1" x14ac:dyDescent="0.2">
      <c r="A12996" s="1" t="s">
        <v>3375</v>
      </c>
    </row>
    <row r="12997" spans="1:1" x14ac:dyDescent="0.2">
      <c r="A12997" s="1" t="s">
        <v>3376</v>
      </c>
    </row>
    <row r="12998" spans="1:1" x14ac:dyDescent="0.2">
      <c r="A12998" s="1" t="s">
        <v>3377</v>
      </c>
    </row>
    <row r="12999" spans="1:1" x14ac:dyDescent="0.2">
      <c r="A12999" s="1" t="s">
        <v>3377</v>
      </c>
    </row>
    <row r="13000" spans="1:1" x14ac:dyDescent="0.2">
      <c r="A13000" s="1" t="s">
        <v>3377</v>
      </c>
    </row>
    <row r="13001" spans="1:1" x14ac:dyDescent="0.2">
      <c r="A13001" s="1" t="s">
        <v>3377</v>
      </c>
    </row>
    <row r="13002" spans="1:1" x14ac:dyDescent="0.2">
      <c r="A13002" s="1" t="s">
        <v>3378</v>
      </c>
    </row>
    <row r="13003" spans="1:1" x14ac:dyDescent="0.2">
      <c r="A13003" s="1" t="s">
        <v>3369</v>
      </c>
    </row>
    <row r="13004" spans="1:1" x14ac:dyDescent="0.2">
      <c r="A13004" s="1" t="s">
        <v>3369</v>
      </c>
    </row>
    <row r="13005" spans="1:1" x14ac:dyDescent="0.2">
      <c r="A13005" s="1" t="s">
        <v>3369</v>
      </c>
    </row>
    <row r="13006" spans="1:1" x14ac:dyDescent="0.2">
      <c r="A13006" s="1" t="s">
        <v>3370</v>
      </c>
    </row>
    <row r="13007" spans="1:1" x14ac:dyDescent="0.2">
      <c r="A13007" s="1" t="s">
        <v>3371</v>
      </c>
    </row>
    <row r="13008" spans="1:1" x14ac:dyDescent="0.2">
      <c r="A13008" s="1" t="s">
        <v>3372</v>
      </c>
    </row>
    <row r="13009" spans="1:1" x14ac:dyDescent="0.2">
      <c r="A13009" s="1" t="s">
        <v>3373</v>
      </c>
    </row>
    <row r="13010" spans="1:1" x14ac:dyDescent="0.2">
      <c r="A13010" s="1" t="s">
        <v>3374</v>
      </c>
    </row>
    <row r="13011" spans="1:1" x14ac:dyDescent="0.2">
      <c r="A13011" s="1" t="s">
        <v>3375</v>
      </c>
    </row>
    <row r="13012" spans="1:1" x14ac:dyDescent="0.2">
      <c r="A13012" s="1" t="s">
        <v>3376</v>
      </c>
    </row>
    <row r="13013" spans="1:1" x14ac:dyDescent="0.2">
      <c r="A13013" s="1" t="s">
        <v>3377</v>
      </c>
    </row>
    <row r="13014" spans="1:1" x14ac:dyDescent="0.2">
      <c r="A13014" s="1" t="s">
        <v>3377</v>
      </c>
    </row>
    <row r="13015" spans="1:1" x14ac:dyDescent="0.2">
      <c r="A13015" s="1" t="s">
        <v>3377</v>
      </c>
    </row>
    <row r="13016" spans="1:1" x14ac:dyDescent="0.2">
      <c r="A13016" s="1" t="s">
        <v>3377</v>
      </c>
    </row>
    <row r="13017" spans="1:1" x14ac:dyDescent="0.2">
      <c r="A13017" s="1" t="s">
        <v>3378</v>
      </c>
    </row>
    <row r="13018" spans="1:1" x14ac:dyDescent="0.2">
      <c r="A13018" s="1" t="s">
        <v>3369</v>
      </c>
    </row>
    <row r="13019" spans="1:1" x14ac:dyDescent="0.2">
      <c r="A13019" s="1" t="s">
        <v>3369</v>
      </c>
    </row>
    <row r="13020" spans="1:1" x14ac:dyDescent="0.2">
      <c r="A13020" s="1" t="s">
        <v>3369</v>
      </c>
    </row>
    <row r="13021" spans="1:1" x14ac:dyDescent="0.2">
      <c r="A13021" s="1" t="s">
        <v>3370</v>
      </c>
    </row>
    <row r="13022" spans="1:1" x14ac:dyDescent="0.2">
      <c r="A13022" s="1" t="s">
        <v>3371</v>
      </c>
    </row>
    <row r="13023" spans="1:1" x14ac:dyDescent="0.2">
      <c r="A13023" s="1" t="s">
        <v>3372</v>
      </c>
    </row>
    <row r="13024" spans="1:1" x14ac:dyDescent="0.2">
      <c r="A13024" s="1" t="s">
        <v>3373</v>
      </c>
    </row>
    <row r="13025" spans="1:1" x14ac:dyDescent="0.2">
      <c r="A13025" s="1" t="s">
        <v>3374</v>
      </c>
    </row>
    <row r="13026" spans="1:1" x14ac:dyDescent="0.2">
      <c r="A13026" s="1" t="s">
        <v>3375</v>
      </c>
    </row>
    <row r="13027" spans="1:1" x14ac:dyDescent="0.2">
      <c r="A13027" s="1" t="s">
        <v>3376</v>
      </c>
    </row>
    <row r="13028" spans="1:1" x14ac:dyDescent="0.2">
      <c r="A13028" s="1" t="s">
        <v>3377</v>
      </c>
    </row>
    <row r="13029" spans="1:1" x14ac:dyDescent="0.2">
      <c r="A13029" s="1" t="s">
        <v>3377</v>
      </c>
    </row>
    <row r="13030" spans="1:1" x14ac:dyDescent="0.2">
      <c r="A13030" s="1" t="s">
        <v>3377</v>
      </c>
    </row>
    <row r="13031" spans="1:1" x14ac:dyDescent="0.2">
      <c r="A13031" s="1" t="s">
        <v>3377</v>
      </c>
    </row>
    <row r="13032" spans="1:1" x14ac:dyDescent="0.2">
      <c r="A13032" s="1" t="s">
        <v>3378</v>
      </c>
    </row>
    <row r="13033" spans="1:1" x14ac:dyDescent="0.2">
      <c r="A13033" s="1" t="s">
        <v>3369</v>
      </c>
    </row>
    <row r="13034" spans="1:1" x14ac:dyDescent="0.2">
      <c r="A13034" s="1" t="s">
        <v>3369</v>
      </c>
    </row>
    <row r="13035" spans="1:1" x14ac:dyDescent="0.2">
      <c r="A13035" s="1" t="s">
        <v>3369</v>
      </c>
    </row>
    <row r="13036" spans="1:1" x14ac:dyDescent="0.2">
      <c r="A13036" s="1" t="s">
        <v>3370</v>
      </c>
    </row>
    <row r="13037" spans="1:1" x14ac:dyDescent="0.2">
      <c r="A13037" s="1" t="s">
        <v>3371</v>
      </c>
    </row>
    <row r="13038" spans="1:1" x14ac:dyDescent="0.2">
      <c r="A13038" s="1" t="s">
        <v>3372</v>
      </c>
    </row>
    <row r="13039" spans="1:1" x14ac:dyDescent="0.2">
      <c r="A13039" s="1" t="s">
        <v>3373</v>
      </c>
    </row>
    <row r="13040" spans="1:1" x14ac:dyDescent="0.2">
      <c r="A13040" s="1" t="s">
        <v>3374</v>
      </c>
    </row>
    <row r="13041" spans="1:1" x14ac:dyDescent="0.2">
      <c r="A13041" s="1" t="s">
        <v>3375</v>
      </c>
    </row>
    <row r="13042" spans="1:1" x14ac:dyDescent="0.2">
      <c r="A13042" s="1" t="s">
        <v>3376</v>
      </c>
    </row>
    <row r="13043" spans="1:1" x14ac:dyDescent="0.2">
      <c r="A13043" s="1" t="s">
        <v>3377</v>
      </c>
    </row>
    <row r="13044" spans="1:1" x14ac:dyDescent="0.2">
      <c r="A13044" s="1" t="s">
        <v>3377</v>
      </c>
    </row>
    <row r="13045" spans="1:1" x14ac:dyDescent="0.2">
      <c r="A13045" s="1" t="s">
        <v>3377</v>
      </c>
    </row>
    <row r="13046" spans="1:1" x14ac:dyDescent="0.2">
      <c r="A13046" s="1" t="s">
        <v>3377</v>
      </c>
    </row>
    <row r="13047" spans="1:1" x14ac:dyDescent="0.2">
      <c r="A13047" s="1" t="s">
        <v>3378</v>
      </c>
    </row>
    <row r="13048" spans="1:1" x14ac:dyDescent="0.2">
      <c r="A13048" s="1" t="s">
        <v>3369</v>
      </c>
    </row>
    <row r="13049" spans="1:1" x14ac:dyDescent="0.2">
      <c r="A13049" s="1" t="s">
        <v>3379</v>
      </c>
    </row>
    <row r="13050" spans="1:1" x14ac:dyDescent="0.2">
      <c r="A13050" s="1" t="s">
        <v>3380</v>
      </c>
    </row>
    <row r="13051" spans="1:1" x14ac:dyDescent="0.2">
      <c r="A13051" s="1" t="s">
        <v>3369</v>
      </c>
    </row>
    <row r="13052" spans="1:1" x14ac:dyDescent="0.2">
      <c r="A13052" s="1" t="s">
        <v>3381</v>
      </c>
    </row>
    <row r="13053" spans="1:1" x14ac:dyDescent="0.2">
      <c r="A13053" s="1" t="s">
        <v>3382</v>
      </c>
    </row>
    <row r="13054" spans="1:1" x14ac:dyDescent="0.2">
      <c r="A13054" s="1" t="s">
        <v>3383</v>
      </c>
    </row>
    <row r="13055" spans="1:1" x14ac:dyDescent="0.2">
      <c r="A13055" s="1" t="s">
        <v>3384</v>
      </c>
    </row>
    <row r="13056" spans="1:1" x14ac:dyDescent="0.2">
      <c r="A13056" s="1" t="s">
        <v>3385</v>
      </c>
    </row>
    <row r="13057" spans="1:1" x14ac:dyDescent="0.2">
      <c r="A13057" s="1" t="s">
        <v>3386</v>
      </c>
    </row>
    <row r="13058" spans="1:1" x14ac:dyDescent="0.2">
      <c r="A13058" s="1" t="s">
        <v>3387</v>
      </c>
    </row>
    <row r="13059" spans="1:1" x14ac:dyDescent="0.2">
      <c r="A13059" s="1" t="s">
        <v>3388</v>
      </c>
    </row>
    <row r="13060" spans="1:1" x14ac:dyDescent="0.2">
      <c r="A13060" s="1" t="s">
        <v>3389</v>
      </c>
    </row>
    <row r="13061" spans="1:1" x14ac:dyDescent="0.2">
      <c r="A13061" s="1" t="s">
        <v>3389</v>
      </c>
    </row>
    <row r="13062" spans="1:1" x14ac:dyDescent="0.2">
      <c r="A13062" s="1" t="s">
        <v>3390</v>
      </c>
    </row>
    <row r="13063" spans="1:1" x14ac:dyDescent="0.2">
      <c r="A13063" s="1" t="s">
        <v>3391</v>
      </c>
    </row>
    <row r="13064" spans="1:1" x14ac:dyDescent="0.2">
      <c r="A13064" s="1" t="s">
        <v>3392</v>
      </c>
    </row>
    <row r="13065" spans="1:1" x14ac:dyDescent="0.2">
      <c r="A13065" s="1" t="s">
        <v>3393</v>
      </c>
    </row>
    <row r="13066" spans="1:1" x14ac:dyDescent="0.2">
      <c r="A13066" s="1" t="s">
        <v>3394</v>
      </c>
    </row>
    <row r="13067" spans="1:1" x14ac:dyDescent="0.2">
      <c r="A13067" s="1" t="s">
        <v>3395</v>
      </c>
    </row>
    <row r="13068" spans="1:1" x14ac:dyDescent="0.2">
      <c r="A13068" s="1" t="s">
        <v>3396</v>
      </c>
    </row>
    <row r="13069" spans="1:1" x14ac:dyDescent="0.2">
      <c r="A13069" s="1" t="s">
        <v>3397</v>
      </c>
    </row>
    <row r="13070" spans="1:1" x14ac:dyDescent="0.2">
      <c r="A13070" s="1" t="s">
        <v>3397</v>
      </c>
    </row>
    <row r="13071" spans="1:1" x14ac:dyDescent="0.2">
      <c r="A13071" s="1" t="s">
        <v>3397</v>
      </c>
    </row>
    <row r="13072" spans="1:1" x14ac:dyDescent="0.2">
      <c r="A13072" s="1" t="s">
        <v>3397</v>
      </c>
    </row>
    <row r="13073" spans="1:1" x14ac:dyDescent="0.2">
      <c r="A13073" s="1" t="s">
        <v>3398</v>
      </c>
    </row>
    <row r="13074" spans="1:1" x14ac:dyDescent="0.2">
      <c r="A13074" s="1" t="s">
        <v>3389</v>
      </c>
    </row>
    <row r="13075" spans="1:1" x14ac:dyDescent="0.2">
      <c r="A13075" s="1" t="s">
        <v>3389</v>
      </c>
    </row>
    <row r="13076" spans="1:1" x14ac:dyDescent="0.2">
      <c r="A13076" s="1" t="s">
        <v>3389</v>
      </c>
    </row>
    <row r="13077" spans="1:1" x14ac:dyDescent="0.2">
      <c r="A13077" s="1" t="s">
        <v>3390</v>
      </c>
    </row>
    <row r="13078" spans="1:1" x14ac:dyDescent="0.2">
      <c r="A13078" s="1" t="s">
        <v>3391</v>
      </c>
    </row>
    <row r="13079" spans="1:1" x14ac:dyDescent="0.2">
      <c r="A13079" s="1" t="s">
        <v>3392</v>
      </c>
    </row>
    <row r="13080" spans="1:1" x14ac:dyDescent="0.2">
      <c r="A13080" s="1" t="s">
        <v>3393</v>
      </c>
    </row>
    <row r="13081" spans="1:1" x14ac:dyDescent="0.2">
      <c r="A13081" s="1" t="s">
        <v>3394</v>
      </c>
    </row>
    <row r="13082" spans="1:1" x14ac:dyDescent="0.2">
      <c r="A13082" s="1" t="s">
        <v>3395</v>
      </c>
    </row>
    <row r="13083" spans="1:1" x14ac:dyDescent="0.2">
      <c r="A13083" s="1" t="s">
        <v>3396</v>
      </c>
    </row>
    <row r="13084" spans="1:1" x14ac:dyDescent="0.2">
      <c r="A13084" s="1" t="s">
        <v>3397</v>
      </c>
    </row>
    <row r="13085" spans="1:1" x14ac:dyDescent="0.2">
      <c r="A13085" s="1" t="s">
        <v>3397</v>
      </c>
    </row>
    <row r="13086" spans="1:1" x14ac:dyDescent="0.2">
      <c r="A13086" s="1" t="s">
        <v>3397</v>
      </c>
    </row>
    <row r="13087" spans="1:1" x14ac:dyDescent="0.2">
      <c r="A13087" s="1" t="s">
        <v>3397</v>
      </c>
    </row>
    <row r="13088" spans="1:1" x14ac:dyDescent="0.2">
      <c r="A13088" s="1" t="s">
        <v>3398</v>
      </c>
    </row>
    <row r="13089" spans="1:1" x14ac:dyDescent="0.2">
      <c r="A13089" s="1" t="s">
        <v>3389</v>
      </c>
    </row>
    <row r="13090" spans="1:1" x14ac:dyDescent="0.2">
      <c r="A13090" s="1" t="s">
        <v>3389</v>
      </c>
    </row>
    <row r="13091" spans="1:1" x14ac:dyDescent="0.2">
      <c r="A13091" s="1" t="s">
        <v>3389</v>
      </c>
    </row>
    <row r="13092" spans="1:1" x14ac:dyDescent="0.2">
      <c r="A13092" s="1" t="s">
        <v>3390</v>
      </c>
    </row>
    <row r="13093" spans="1:1" x14ac:dyDescent="0.2">
      <c r="A13093" s="1" t="s">
        <v>3391</v>
      </c>
    </row>
    <row r="13094" spans="1:1" x14ac:dyDescent="0.2">
      <c r="A13094" s="1" t="s">
        <v>3392</v>
      </c>
    </row>
    <row r="13095" spans="1:1" x14ac:dyDescent="0.2">
      <c r="A13095" s="1" t="s">
        <v>3393</v>
      </c>
    </row>
    <row r="13096" spans="1:1" x14ac:dyDescent="0.2">
      <c r="A13096" s="1" t="s">
        <v>3394</v>
      </c>
    </row>
    <row r="13097" spans="1:1" x14ac:dyDescent="0.2">
      <c r="A13097" s="1" t="s">
        <v>3395</v>
      </c>
    </row>
    <row r="13098" spans="1:1" x14ac:dyDescent="0.2">
      <c r="A13098" s="1" t="s">
        <v>3396</v>
      </c>
    </row>
    <row r="13099" spans="1:1" x14ac:dyDescent="0.2">
      <c r="A13099" s="1" t="s">
        <v>3397</v>
      </c>
    </row>
    <row r="13100" spans="1:1" x14ac:dyDescent="0.2">
      <c r="A13100" s="1" t="s">
        <v>3397</v>
      </c>
    </row>
    <row r="13101" spans="1:1" x14ac:dyDescent="0.2">
      <c r="A13101" s="1" t="s">
        <v>3397</v>
      </c>
    </row>
    <row r="13102" spans="1:1" x14ac:dyDescent="0.2">
      <c r="A13102" s="1" t="s">
        <v>3397</v>
      </c>
    </row>
    <row r="13103" spans="1:1" x14ac:dyDescent="0.2">
      <c r="A13103" s="1" t="s">
        <v>3398</v>
      </c>
    </row>
    <row r="13104" spans="1:1" x14ac:dyDescent="0.2">
      <c r="A13104" s="1" t="s">
        <v>3389</v>
      </c>
    </row>
    <row r="13105" spans="1:1" x14ac:dyDescent="0.2">
      <c r="A13105" s="1" t="s">
        <v>3389</v>
      </c>
    </row>
    <row r="13106" spans="1:1" x14ac:dyDescent="0.2">
      <c r="A13106" s="1" t="s">
        <v>3389</v>
      </c>
    </row>
    <row r="13107" spans="1:1" x14ac:dyDescent="0.2">
      <c r="A13107" s="1" t="s">
        <v>3390</v>
      </c>
    </row>
    <row r="13108" spans="1:1" x14ac:dyDescent="0.2">
      <c r="A13108" s="1" t="s">
        <v>3391</v>
      </c>
    </row>
    <row r="13109" spans="1:1" x14ac:dyDescent="0.2">
      <c r="A13109" s="1" t="s">
        <v>3392</v>
      </c>
    </row>
    <row r="13110" spans="1:1" x14ac:dyDescent="0.2">
      <c r="A13110" s="1" t="s">
        <v>3393</v>
      </c>
    </row>
    <row r="13111" spans="1:1" x14ac:dyDescent="0.2">
      <c r="A13111" s="1" t="s">
        <v>3394</v>
      </c>
    </row>
    <row r="13112" spans="1:1" x14ac:dyDescent="0.2">
      <c r="A13112" s="1" t="s">
        <v>3395</v>
      </c>
    </row>
    <row r="13113" spans="1:1" x14ac:dyDescent="0.2">
      <c r="A13113" s="1" t="s">
        <v>3396</v>
      </c>
    </row>
    <row r="13114" spans="1:1" x14ac:dyDescent="0.2">
      <c r="A13114" s="1" t="s">
        <v>3397</v>
      </c>
    </row>
    <row r="13115" spans="1:1" x14ac:dyDescent="0.2">
      <c r="A13115" s="1" t="s">
        <v>3397</v>
      </c>
    </row>
    <row r="13116" spans="1:1" x14ac:dyDescent="0.2">
      <c r="A13116" s="1" t="s">
        <v>3397</v>
      </c>
    </row>
    <row r="13117" spans="1:1" x14ac:dyDescent="0.2">
      <c r="A13117" s="1" t="s">
        <v>3397</v>
      </c>
    </row>
    <row r="13118" spans="1:1" x14ac:dyDescent="0.2">
      <c r="A13118" s="1" t="s">
        <v>3398</v>
      </c>
    </row>
    <row r="13119" spans="1:1" x14ac:dyDescent="0.2">
      <c r="A13119" s="1" t="s">
        <v>3389</v>
      </c>
    </row>
    <row r="13120" spans="1:1" x14ac:dyDescent="0.2">
      <c r="A13120" s="1" t="s">
        <v>3389</v>
      </c>
    </row>
    <row r="13121" spans="1:1" x14ac:dyDescent="0.2">
      <c r="A13121" s="1" t="s">
        <v>3389</v>
      </c>
    </row>
    <row r="13122" spans="1:1" x14ac:dyDescent="0.2">
      <c r="A13122" s="1" t="s">
        <v>3390</v>
      </c>
    </row>
    <row r="13123" spans="1:1" x14ac:dyDescent="0.2">
      <c r="A13123" s="1" t="s">
        <v>3391</v>
      </c>
    </row>
    <row r="13124" spans="1:1" x14ac:dyDescent="0.2">
      <c r="A13124" s="1" t="s">
        <v>3392</v>
      </c>
    </row>
    <row r="13125" spans="1:1" x14ac:dyDescent="0.2">
      <c r="A13125" s="1" t="s">
        <v>3393</v>
      </c>
    </row>
    <row r="13126" spans="1:1" x14ac:dyDescent="0.2">
      <c r="A13126" s="1" t="s">
        <v>3394</v>
      </c>
    </row>
    <row r="13127" spans="1:1" x14ac:dyDescent="0.2">
      <c r="A13127" s="1" t="s">
        <v>3395</v>
      </c>
    </row>
    <row r="13128" spans="1:1" x14ac:dyDescent="0.2">
      <c r="A13128" s="1" t="s">
        <v>3396</v>
      </c>
    </row>
    <row r="13129" spans="1:1" x14ac:dyDescent="0.2">
      <c r="A13129" s="1" t="s">
        <v>3397</v>
      </c>
    </row>
    <row r="13130" spans="1:1" x14ac:dyDescent="0.2">
      <c r="A13130" s="1" t="s">
        <v>3397</v>
      </c>
    </row>
    <row r="13131" spans="1:1" x14ac:dyDescent="0.2">
      <c r="A13131" s="1" t="s">
        <v>3397</v>
      </c>
    </row>
    <row r="13132" spans="1:1" x14ac:dyDescent="0.2">
      <c r="A13132" s="1" t="s">
        <v>3397</v>
      </c>
    </row>
    <row r="13133" spans="1:1" x14ac:dyDescent="0.2">
      <c r="A13133" s="1" t="s">
        <v>3398</v>
      </c>
    </row>
    <row r="13134" spans="1:1" x14ac:dyDescent="0.2">
      <c r="A13134" s="1" t="s">
        <v>3389</v>
      </c>
    </row>
    <row r="13135" spans="1:1" x14ac:dyDescent="0.2">
      <c r="A13135" s="1" t="s">
        <v>3399</v>
      </c>
    </row>
    <row r="13136" spans="1:1" x14ac:dyDescent="0.2">
      <c r="A13136" s="1" t="s">
        <v>3400</v>
      </c>
    </row>
    <row r="13137" spans="1:1" x14ac:dyDescent="0.2">
      <c r="A13137" s="1" t="s">
        <v>3389</v>
      </c>
    </row>
    <row r="13138" spans="1:1" x14ac:dyDescent="0.2">
      <c r="A13138" s="1" t="s">
        <v>3401</v>
      </c>
    </row>
    <row r="13139" spans="1:1" x14ac:dyDescent="0.2">
      <c r="A13139" s="1" t="s">
        <v>3402</v>
      </c>
    </row>
    <row r="13140" spans="1:1" x14ac:dyDescent="0.2">
      <c r="A13140" s="1" t="s">
        <v>3403</v>
      </c>
    </row>
    <row r="13141" spans="1:1" x14ac:dyDescent="0.2">
      <c r="A13141" s="1" t="s">
        <v>3404</v>
      </c>
    </row>
    <row r="13142" spans="1:1" x14ac:dyDescent="0.2">
      <c r="A13142" s="1" t="s">
        <v>3405</v>
      </c>
    </row>
    <row r="13143" spans="1:1" x14ac:dyDescent="0.2">
      <c r="A13143" s="1" t="s">
        <v>3406</v>
      </c>
    </row>
    <row r="13144" spans="1:1" x14ac:dyDescent="0.2">
      <c r="A13144" s="1" t="s">
        <v>3407</v>
      </c>
    </row>
    <row r="13145" spans="1:1" x14ac:dyDescent="0.2">
      <c r="A13145" s="1" t="s">
        <v>3408</v>
      </c>
    </row>
    <row r="13146" spans="1:1" x14ac:dyDescent="0.2">
      <c r="A13146" s="1" t="s">
        <v>3409</v>
      </c>
    </row>
    <row r="13147" spans="1:1" x14ac:dyDescent="0.2">
      <c r="A13147" s="1" t="s">
        <v>3410</v>
      </c>
    </row>
    <row r="13148" spans="1:1" x14ac:dyDescent="0.2">
      <c r="A13148" s="1" t="s">
        <v>3411</v>
      </c>
    </row>
    <row r="13149" spans="1:1" x14ac:dyDescent="0.2">
      <c r="A13149" s="1" t="s">
        <v>3412</v>
      </c>
    </row>
    <row r="13150" spans="1:1" x14ac:dyDescent="0.2">
      <c r="A13150" s="1" t="s">
        <v>3413</v>
      </c>
    </row>
    <row r="13151" spans="1:1" x14ac:dyDescent="0.2">
      <c r="A13151" s="1" t="s">
        <v>3414</v>
      </c>
    </row>
    <row r="13152" spans="1:1" x14ac:dyDescent="0.2">
      <c r="A13152" s="1" t="s">
        <v>3415</v>
      </c>
    </row>
    <row r="13153" spans="1:1" x14ac:dyDescent="0.2">
      <c r="A13153" s="1" t="s">
        <v>3416</v>
      </c>
    </row>
    <row r="13154" spans="1:1" x14ac:dyDescent="0.2">
      <c r="A13154" s="1" t="s">
        <v>3417</v>
      </c>
    </row>
    <row r="13155" spans="1:1" x14ac:dyDescent="0.2">
      <c r="A13155" s="1" t="s">
        <v>3418</v>
      </c>
    </row>
    <row r="13156" spans="1:1" x14ac:dyDescent="0.2">
      <c r="A13156" s="1" t="s">
        <v>3419</v>
      </c>
    </row>
    <row r="13157" spans="1:1" x14ac:dyDescent="0.2">
      <c r="A13157" s="1" t="s">
        <v>3420</v>
      </c>
    </row>
    <row r="13158" spans="1:1" x14ac:dyDescent="0.2">
      <c r="A13158" s="1" t="s">
        <v>3421</v>
      </c>
    </row>
    <row r="13159" spans="1:1" x14ac:dyDescent="0.2">
      <c r="A13159" s="1" t="s">
        <v>3422</v>
      </c>
    </row>
    <row r="13160" spans="1:1" x14ac:dyDescent="0.2">
      <c r="A13160" s="1" t="s">
        <v>3423</v>
      </c>
    </row>
    <row r="13161" spans="1:1" x14ac:dyDescent="0.2">
      <c r="A13161" s="1" t="s">
        <v>3424</v>
      </c>
    </row>
    <row r="13162" spans="1:1" x14ac:dyDescent="0.2">
      <c r="A13162" s="1" t="s">
        <v>3425</v>
      </c>
    </row>
    <row r="13163" spans="1:1" x14ac:dyDescent="0.2">
      <c r="A13163" s="1" t="s">
        <v>3426</v>
      </c>
    </row>
    <row r="13164" spans="1:1" x14ac:dyDescent="0.2">
      <c r="A13164" s="1" t="s">
        <v>3427</v>
      </c>
    </row>
    <row r="13165" spans="1:1" x14ac:dyDescent="0.2">
      <c r="A13165" s="1" t="s">
        <v>3428</v>
      </c>
    </row>
    <row r="13166" spans="1:1" x14ac:dyDescent="0.2">
      <c r="A13166" s="1" t="s">
        <v>3429</v>
      </c>
    </row>
    <row r="13167" spans="1:1" x14ac:dyDescent="0.2">
      <c r="A13167" s="1" t="s">
        <v>3430</v>
      </c>
    </row>
    <row r="13168" spans="1:1" x14ac:dyDescent="0.2">
      <c r="A13168" s="1" t="s">
        <v>3420</v>
      </c>
    </row>
    <row r="13169" spans="1:1" x14ac:dyDescent="0.2">
      <c r="A13169" s="1" t="s">
        <v>3431</v>
      </c>
    </row>
    <row r="13170" spans="1:1" x14ac:dyDescent="0.2">
      <c r="A13170" s="1" t="s">
        <v>3422</v>
      </c>
    </row>
    <row r="13171" spans="1:1" x14ac:dyDescent="0.2">
      <c r="A13171" s="1" t="s">
        <v>3423</v>
      </c>
    </row>
    <row r="13172" spans="1:1" x14ac:dyDescent="0.2">
      <c r="A13172" s="1" t="s">
        <v>3424</v>
      </c>
    </row>
    <row r="13173" spans="1:1" x14ac:dyDescent="0.2">
      <c r="A13173" s="1" t="s">
        <v>3432</v>
      </c>
    </row>
    <row r="13174" spans="1:1" x14ac:dyDescent="0.2">
      <c r="A13174" s="1" t="s">
        <v>3426</v>
      </c>
    </row>
    <row r="13175" spans="1:1" x14ac:dyDescent="0.2">
      <c r="A13175" s="1" t="s">
        <v>3427</v>
      </c>
    </row>
    <row r="13176" spans="1:1" x14ac:dyDescent="0.2">
      <c r="A13176" s="1" t="s">
        <v>3428</v>
      </c>
    </row>
    <row r="13177" spans="1:1" x14ac:dyDescent="0.2">
      <c r="A13177" s="1" t="s">
        <v>3429</v>
      </c>
    </row>
    <row r="13178" spans="1:1" x14ac:dyDescent="0.2">
      <c r="A13178" s="1" t="s">
        <v>3430</v>
      </c>
    </row>
    <row r="13179" spans="1:1" x14ac:dyDescent="0.2">
      <c r="A13179" s="1" t="s">
        <v>3433</v>
      </c>
    </row>
    <row r="13180" spans="1:1" x14ac:dyDescent="0.2">
      <c r="A13180" s="1" t="s">
        <v>3434</v>
      </c>
    </row>
    <row r="13181" spans="1:1" x14ac:dyDescent="0.2">
      <c r="A13181" s="1" t="s">
        <v>3435</v>
      </c>
    </row>
    <row r="13182" spans="1:1" x14ac:dyDescent="0.2">
      <c r="A13182" s="1" t="s">
        <v>3436</v>
      </c>
    </row>
    <row r="13183" spans="1:1" x14ac:dyDescent="0.2">
      <c r="A13183" s="1" t="s">
        <v>3437</v>
      </c>
    </row>
    <row r="13184" spans="1:1" x14ac:dyDescent="0.2">
      <c r="A13184" s="1" t="s">
        <v>3438</v>
      </c>
    </row>
    <row r="13185" spans="1:1" x14ac:dyDescent="0.2">
      <c r="A13185" s="1" t="s">
        <v>3439</v>
      </c>
    </row>
    <row r="13186" spans="1:1" x14ac:dyDescent="0.2">
      <c r="A13186" s="1" t="s">
        <v>3440</v>
      </c>
    </row>
    <row r="13187" spans="1:1" x14ac:dyDescent="0.2">
      <c r="A13187" s="1" t="s">
        <v>3441</v>
      </c>
    </row>
    <row r="13188" spans="1:1" x14ac:dyDescent="0.2">
      <c r="A13188" s="1" t="s">
        <v>3442</v>
      </c>
    </row>
    <row r="13189" spans="1:1" x14ac:dyDescent="0.2">
      <c r="A13189" s="1" t="s">
        <v>3443</v>
      </c>
    </row>
    <row r="13190" spans="1:1" x14ac:dyDescent="0.2">
      <c r="A13190" s="1" t="s">
        <v>3433</v>
      </c>
    </row>
    <row r="13191" spans="1:1" x14ac:dyDescent="0.2">
      <c r="A13191" s="1" t="s">
        <v>3444</v>
      </c>
    </row>
    <row r="13192" spans="1:1" x14ac:dyDescent="0.2">
      <c r="A13192" s="1" t="s">
        <v>3435</v>
      </c>
    </row>
    <row r="13193" spans="1:1" x14ac:dyDescent="0.2">
      <c r="A13193" s="1" t="s">
        <v>3436</v>
      </c>
    </row>
    <row r="13194" spans="1:1" x14ac:dyDescent="0.2">
      <c r="A13194" s="1" t="s">
        <v>3437</v>
      </c>
    </row>
    <row r="13195" spans="1:1" x14ac:dyDescent="0.2">
      <c r="A13195" s="1" t="s">
        <v>3445</v>
      </c>
    </row>
    <row r="13196" spans="1:1" x14ac:dyDescent="0.2">
      <c r="A13196" s="1" t="s">
        <v>3439</v>
      </c>
    </row>
    <row r="13197" spans="1:1" x14ac:dyDescent="0.2">
      <c r="A13197" s="1" t="s">
        <v>3440</v>
      </c>
    </row>
    <row r="13198" spans="1:1" x14ac:dyDescent="0.2">
      <c r="A13198" s="1" t="s">
        <v>3441</v>
      </c>
    </row>
    <row r="13199" spans="1:1" x14ac:dyDescent="0.2">
      <c r="A13199" s="1" t="s">
        <v>3442</v>
      </c>
    </row>
    <row r="13200" spans="1:1" x14ac:dyDescent="0.2">
      <c r="A13200" s="1" t="s">
        <v>3443</v>
      </c>
    </row>
    <row r="13201" spans="1:1" x14ac:dyDescent="0.2">
      <c r="A13201" s="1" t="s">
        <v>3446</v>
      </c>
    </row>
    <row r="13202" spans="1:1" x14ac:dyDescent="0.2">
      <c r="A13202" s="1" t="s">
        <v>3447</v>
      </c>
    </row>
    <row r="13203" spans="1:1" x14ac:dyDescent="0.2">
      <c r="A13203" s="1" t="s">
        <v>3448</v>
      </c>
    </row>
    <row r="13204" spans="1:1" x14ac:dyDescent="0.2">
      <c r="A13204" s="1" t="s">
        <v>3449</v>
      </c>
    </row>
    <row r="13205" spans="1:1" x14ac:dyDescent="0.2">
      <c r="A13205" s="1" t="s">
        <v>3450</v>
      </c>
    </row>
    <row r="13206" spans="1:1" x14ac:dyDescent="0.2">
      <c r="A13206" s="1" t="s">
        <v>3451</v>
      </c>
    </row>
    <row r="13207" spans="1:1" x14ac:dyDescent="0.2">
      <c r="A13207" s="1" t="s">
        <v>3452</v>
      </c>
    </row>
    <row r="13208" spans="1:1" x14ac:dyDescent="0.2">
      <c r="A13208" s="1" t="s">
        <v>3453</v>
      </c>
    </row>
    <row r="13209" spans="1:1" x14ac:dyDescent="0.2">
      <c r="A13209" s="1" t="s">
        <v>3454</v>
      </c>
    </row>
    <row r="13210" spans="1:1" x14ac:dyDescent="0.2">
      <c r="A13210" s="1" t="s">
        <v>3455</v>
      </c>
    </row>
    <row r="13211" spans="1:1" x14ac:dyDescent="0.2">
      <c r="A13211" s="1" t="s">
        <v>3456</v>
      </c>
    </row>
    <row r="13212" spans="1:1" x14ac:dyDescent="0.2">
      <c r="A13212" s="1" t="s">
        <v>3446</v>
      </c>
    </row>
    <row r="13213" spans="1:1" x14ac:dyDescent="0.2">
      <c r="A13213" s="1" t="s">
        <v>3457</v>
      </c>
    </row>
    <row r="13214" spans="1:1" x14ac:dyDescent="0.2">
      <c r="A13214" s="1" t="s">
        <v>3448</v>
      </c>
    </row>
    <row r="13215" spans="1:1" x14ac:dyDescent="0.2">
      <c r="A13215" s="1" t="s">
        <v>3449</v>
      </c>
    </row>
    <row r="13216" spans="1:1" x14ac:dyDescent="0.2">
      <c r="A13216" s="1" t="s">
        <v>3450</v>
      </c>
    </row>
    <row r="13217" spans="1:1" x14ac:dyDescent="0.2">
      <c r="A13217" s="1" t="s">
        <v>3458</v>
      </c>
    </row>
    <row r="13218" spans="1:1" x14ac:dyDescent="0.2">
      <c r="A13218" s="1" t="s">
        <v>3452</v>
      </c>
    </row>
    <row r="13219" spans="1:1" x14ac:dyDescent="0.2">
      <c r="A13219" s="1" t="s">
        <v>3453</v>
      </c>
    </row>
    <row r="13220" spans="1:1" x14ac:dyDescent="0.2">
      <c r="A13220" s="1" t="s">
        <v>3454</v>
      </c>
    </row>
    <row r="13221" spans="1:1" x14ac:dyDescent="0.2">
      <c r="A13221" s="1" t="s">
        <v>3455</v>
      </c>
    </row>
    <row r="13222" spans="1:1" x14ac:dyDescent="0.2">
      <c r="A13222" s="1" t="s">
        <v>3456</v>
      </c>
    </row>
    <row r="13223" spans="1:1" x14ac:dyDescent="0.2">
      <c r="A13223" s="1" t="s">
        <v>3459</v>
      </c>
    </row>
    <row r="13224" spans="1:1" x14ac:dyDescent="0.2">
      <c r="A13224" s="1" t="s">
        <v>3460</v>
      </c>
    </row>
    <row r="13225" spans="1:1" x14ac:dyDescent="0.2">
      <c r="A13225" s="1" t="s">
        <v>3461</v>
      </c>
    </row>
    <row r="13226" spans="1:1" x14ac:dyDescent="0.2">
      <c r="A13226" s="1" t="s">
        <v>3462</v>
      </c>
    </row>
    <row r="13227" spans="1:1" x14ac:dyDescent="0.2">
      <c r="A13227" s="1" t="s">
        <v>3463</v>
      </c>
    </row>
    <row r="13228" spans="1:1" x14ac:dyDescent="0.2">
      <c r="A13228" s="1" t="s">
        <v>3464</v>
      </c>
    </row>
    <row r="13229" spans="1:1" x14ac:dyDescent="0.2">
      <c r="A13229" s="1" t="s">
        <v>3465</v>
      </c>
    </row>
    <row r="13230" spans="1:1" x14ac:dyDescent="0.2">
      <c r="A13230" s="1" t="s">
        <v>3466</v>
      </c>
    </row>
    <row r="13231" spans="1:1" x14ac:dyDescent="0.2">
      <c r="A13231" s="1" t="s">
        <v>3467</v>
      </c>
    </row>
    <row r="13232" spans="1:1" x14ac:dyDescent="0.2">
      <c r="A13232" s="1" t="s">
        <v>3468</v>
      </c>
    </row>
    <row r="13233" spans="1:1" x14ac:dyDescent="0.2">
      <c r="A13233" s="1" t="s">
        <v>3469</v>
      </c>
    </row>
    <row r="13234" spans="1:1" x14ac:dyDescent="0.2">
      <c r="A13234" s="1" t="s">
        <v>3459</v>
      </c>
    </row>
    <row r="13235" spans="1:1" x14ac:dyDescent="0.2">
      <c r="A13235" s="1" t="s">
        <v>3470</v>
      </c>
    </row>
    <row r="13236" spans="1:1" x14ac:dyDescent="0.2">
      <c r="A13236" s="1" t="s">
        <v>3461</v>
      </c>
    </row>
    <row r="13237" spans="1:1" x14ac:dyDescent="0.2">
      <c r="A13237" s="1" t="s">
        <v>3462</v>
      </c>
    </row>
    <row r="13238" spans="1:1" x14ac:dyDescent="0.2">
      <c r="A13238" s="1" t="s">
        <v>3463</v>
      </c>
    </row>
    <row r="13239" spans="1:1" x14ac:dyDescent="0.2">
      <c r="A13239" s="1" t="s">
        <v>3471</v>
      </c>
    </row>
    <row r="13240" spans="1:1" x14ac:dyDescent="0.2">
      <c r="A13240" s="1" t="s">
        <v>3465</v>
      </c>
    </row>
    <row r="13241" spans="1:1" x14ac:dyDescent="0.2">
      <c r="A13241" s="1" t="s">
        <v>3466</v>
      </c>
    </row>
    <row r="13242" spans="1:1" x14ac:dyDescent="0.2">
      <c r="A13242" s="1" t="s">
        <v>3467</v>
      </c>
    </row>
    <row r="13243" spans="1:1" x14ac:dyDescent="0.2">
      <c r="A13243" s="1" t="s">
        <v>3468</v>
      </c>
    </row>
    <row r="13244" spans="1:1" x14ac:dyDescent="0.2">
      <c r="A13244" s="1" t="s">
        <v>3469</v>
      </c>
    </row>
    <row r="13245" spans="1:1" x14ac:dyDescent="0.2">
      <c r="A13245" s="1" t="s">
        <v>3472</v>
      </c>
    </row>
    <row r="13246" spans="1:1" x14ac:dyDescent="0.2">
      <c r="A13246" s="1" t="s">
        <v>3473</v>
      </c>
    </row>
    <row r="13247" spans="1:1" x14ac:dyDescent="0.2">
      <c r="A13247" s="1" t="s">
        <v>3474</v>
      </c>
    </row>
    <row r="13248" spans="1:1" x14ac:dyDescent="0.2">
      <c r="A13248" s="1" t="s">
        <v>3475</v>
      </c>
    </row>
    <row r="13249" spans="1:1" x14ac:dyDescent="0.2">
      <c r="A13249" s="1" t="s">
        <v>3476</v>
      </c>
    </row>
    <row r="13250" spans="1:1" x14ac:dyDescent="0.2">
      <c r="A13250" s="1" t="s">
        <v>3477</v>
      </c>
    </row>
    <row r="13251" spans="1:1" x14ac:dyDescent="0.2">
      <c r="A13251" s="1" t="s">
        <v>3478</v>
      </c>
    </row>
    <row r="13252" spans="1:1" x14ac:dyDescent="0.2">
      <c r="A13252" s="1" t="s">
        <v>3479</v>
      </c>
    </row>
    <row r="13253" spans="1:1" x14ac:dyDescent="0.2">
      <c r="A13253" s="1" t="s">
        <v>3480</v>
      </c>
    </row>
    <row r="13254" spans="1:1" x14ac:dyDescent="0.2">
      <c r="A13254" s="1" t="s">
        <v>3481</v>
      </c>
    </row>
    <row r="13255" spans="1:1" x14ac:dyDescent="0.2">
      <c r="A13255" s="1" t="s">
        <v>3482</v>
      </c>
    </row>
    <row r="13256" spans="1:1" x14ac:dyDescent="0.2">
      <c r="A13256" s="1" t="s">
        <v>3472</v>
      </c>
    </row>
    <row r="13257" spans="1:1" x14ac:dyDescent="0.2">
      <c r="A13257" s="1" t="s">
        <v>3483</v>
      </c>
    </row>
    <row r="13258" spans="1:1" x14ac:dyDescent="0.2">
      <c r="A13258" s="1" t="s">
        <v>3474</v>
      </c>
    </row>
    <row r="13259" spans="1:1" x14ac:dyDescent="0.2">
      <c r="A13259" s="1" t="s">
        <v>3475</v>
      </c>
    </row>
    <row r="13260" spans="1:1" x14ac:dyDescent="0.2">
      <c r="A13260" s="1" t="s">
        <v>3476</v>
      </c>
    </row>
    <row r="13261" spans="1:1" x14ac:dyDescent="0.2">
      <c r="A13261" s="1" t="s">
        <v>3484</v>
      </c>
    </row>
    <row r="13262" spans="1:1" x14ac:dyDescent="0.2">
      <c r="A13262" s="1" t="s">
        <v>3478</v>
      </c>
    </row>
    <row r="13263" spans="1:1" x14ac:dyDescent="0.2">
      <c r="A13263" s="1" t="s">
        <v>3479</v>
      </c>
    </row>
    <row r="13264" spans="1:1" x14ac:dyDescent="0.2">
      <c r="A13264" s="1" t="s">
        <v>3480</v>
      </c>
    </row>
    <row r="13265" spans="1:1" x14ac:dyDescent="0.2">
      <c r="A13265" s="1" t="s">
        <v>3481</v>
      </c>
    </row>
    <row r="13266" spans="1:1" x14ac:dyDescent="0.2">
      <c r="A13266" s="1" t="s">
        <v>3482</v>
      </c>
    </row>
    <row r="13267" spans="1:1" x14ac:dyDescent="0.2">
      <c r="A13267" s="1" t="s">
        <v>3485</v>
      </c>
    </row>
    <row r="13268" spans="1:1" x14ac:dyDescent="0.2">
      <c r="A13268" s="1" t="s">
        <v>3486</v>
      </c>
    </row>
    <row r="13269" spans="1:1" x14ac:dyDescent="0.2">
      <c r="A13269" s="1" t="s">
        <v>3487</v>
      </c>
    </row>
    <row r="13270" spans="1:1" x14ac:dyDescent="0.2">
      <c r="A13270" s="1" t="s">
        <v>3488</v>
      </c>
    </row>
    <row r="13271" spans="1:1" x14ac:dyDescent="0.2">
      <c r="A13271" s="1" t="s">
        <v>3489</v>
      </c>
    </row>
    <row r="13272" spans="1:1" x14ac:dyDescent="0.2">
      <c r="A13272" s="1" t="s">
        <v>3490</v>
      </c>
    </row>
    <row r="13273" spans="1:1" x14ac:dyDescent="0.2">
      <c r="A13273" s="1" t="s">
        <v>3491</v>
      </c>
    </row>
    <row r="13274" spans="1:1" x14ac:dyDescent="0.2">
      <c r="A13274" s="1" t="s">
        <v>3492</v>
      </c>
    </row>
    <row r="13275" spans="1:1" x14ac:dyDescent="0.2">
      <c r="A13275" s="1" t="s">
        <v>3493</v>
      </c>
    </row>
    <row r="13276" spans="1:1" x14ac:dyDescent="0.2">
      <c r="A13276" s="1" t="s">
        <v>3494</v>
      </c>
    </row>
    <row r="13277" spans="1:1" x14ac:dyDescent="0.2">
      <c r="A13277" s="1" t="s">
        <v>3495</v>
      </c>
    </row>
    <row r="13278" spans="1:1" x14ac:dyDescent="0.2">
      <c r="A13278" s="1" t="s">
        <v>3496</v>
      </c>
    </row>
    <row r="13279" spans="1:1" x14ac:dyDescent="0.2">
      <c r="A13279" s="1" t="s">
        <v>3497</v>
      </c>
    </row>
    <row r="13280" spans="1:1" x14ac:dyDescent="0.2">
      <c r="A13280" s="1" t="s">
        <v>3498</v>
      </c>
    </row>
    <row r="13281" spans="1:1" x14ac:dyDescent="0.2">
      <c r="A13281" s="1" t="s">
        <v>3499</v>
      </c>
    </row>
    <row r="13282" spans="1:1" x14ac:dyDescent="0.2">
      <c r="A13282" s="1" t="s">
        <v>3500</v>
      </c>
    </row>
    <row r="13283" spans="1:1" x14ac:dyDescent="0.2">
      <c r="A13283" s="1" t="s">
        <v>3501</v>
      </c>
    </row>
    <row r="13284" spans="1:1" x14ac:dyDescent="0.2">
      <c r="A13284" s="1" t="s">
        <v>3502</v>
      </c>
    </row>
    <row r="13285" spans="1:1" x14ac:dyDescent="0.2">
      <c r="A13285" s="1" t="s">
        <v>3503</v>
      </c>
    </row>
    <row r="13286" spans="1:1" x14ac:dyDescent="0.2">
      <c r="A13286" s="1" t="s">
        <v>3504</v>
      </c>
    </row>
    <row r="13287" spans="1:1" x14ac:dyDescent="0.2">
      <c r="A13287" s="1" t="s">
        <v>3505</v>
      </c>
    </row>
    <row r="13288" spans="1:1" x14ac:dyDescent="0.2">
      <c r="A13288" s="1" t="s">
        <v>3506</v>
      </c>
    </row>
    <row r="13289" spans="1:1" x14ac:dyDescent="0.2">
      <c r="A13289" s="1" t="s">
        <v>3507</v>
      </c>
    </row>
    <row r="13290" spans="1:1" x14ac:dyDescent="0.2">
      <c r="A13290" s="1" t="s">
        <v>3508</v>
      </c>
    </row>
    <row r="13291" spans="1:1" x14ac:dyDescent="0.2">
      <c r="A13291" s="1" t="s">
        <v>3509</v>
      </c>
    </row>
    <row r="13292" spans="1:1" x14ac:dyDescent="0.2">
      <c r="A13292" s="1" t="s">
        <v>3510</v>
      </c>
    </row>
    <row r="13293" spans="1:1" x14ac:dyDescent="0.2">
      <c r="A13293" s="1" t="s">
        <v>3511</v>
      </c>
    </row>
    <row r="13294" spans="1:1" x14ac:dyDescent="0.2">
      <c r="A13294" s="1" t="s">
        <v>3512</v>
      </c>
    </row>
    <row r="13295" spans="1:1" x14ac:dyDescent="0.2">
      <c r="A13295" s="1" t="s">
        <v>3513</v>
      </c>
    </row>
    <row r="13296" spans="1:1" x14ac:dyDescent="0.2">
      <c r="A13296" s="1" t="s">
        <v>3514</v>
      </c>
    </row>
    <row r="13297" spans="1:1" x14ac:dyDescent="0.2">
      <c r="A13297" s="1" t="s">
        <v>3515</v>
      </c>
    </row>
    <row r="13298" spans="1:1" x14ac:dyDescent="0.2">
      <c r="A13298" s="1" t="s">
        <v>3516</v>
      </c>
    </row>
    <row r="13299" spans="1:1" x14ac:dyDescent="0.2">
      <c r="A13299" s="1" t="s">
        <v>3517</v>
      </c>
    </row>
    <row r="13300" spans="1:1" x14ac:dyDescent="0.2">
      <c r="A13300" s="1" t="s">
        <v>3507</v>
      </c>
    </row>
    <row r="13301" spans="1:1" x14ac:dyDescent="0.2">
      <c r="A13301" s="1" t="s">
        <v>3518</v>
      </c>
    </row>
    <row r="13302" spans="1:1" x14ac:dyDescent="0.2">
      <c r="A13302" s="1" t="s">
        <v>3509</v>
      </c>
    </row>
    <row r="13303" spans="1:1" x14ac:dyDescent="0.2">
      <c r="A13303" s="1" t="s">
        <v>3510</v>
      </c>
    </row>
    <row r="13304" spans="1:1" x14ac:dyDescent="0.2">
      <c r="A13304" s="1" t="s">
        <v>3511</v>
      </c>
    </row>
    <row r="13305" spans="1:1" x14ac:dyDescent="0.2">
      <c r="A13305" s="1" t="s">
        <v>3519</v>
      </c>
    </row>
    <row r="13306" spans="1:1" x14ac:dyDescent="0.2">
      <c r="A13306" s="1" t="s">
        <v>3513</v>
      </c>
    </row>
    <row r="13307" spans="1:1" x14ac:dyDescent="0.2">
      <c r="A13307" s="1" t="s">
        <v>3514</v>
      </c>
    </row>
    <row r="13308" spans="1:1" x14ac:dyDescent="0.2">
      <c r="A13308" s="1" t="s">
        <v>3515</v>
      </c>
    </row>
    <row r="13309" spans="1:1" x14ac:dyDescent="0.2">
      <c r="A13309" s="1" t="s">
        <v>3516</v>
      </c>
    </row>
    <row r="13310" spans="1:1" x14ac:dyDescent="0.2">
      <c r="A13310" s="1" t="s">
        <v>3517</v>
      </c>
    </row>
    <row r="13311" spans="1:1" x14ac:dyDescent="0.2">
      <c r="A13311" s="1" t="s">
        <v>3520</v>
      </c>
    </row>
    <row r="13312" spans="1:1" x14ac:dyDescent="0.2">
      <c r="A13312" s="1" t="s">
        <v>3521</v>
      </c>
    </row>
    <row r="13313" spans="1:1" x14ac:dyDescent="0.2">
      <c r="A13313" s="1" t="s">
        <v>3522</v>
      </c>
    </row>
    <row r="13314" spans="1:1" x14ac:dyDescent="0.2">
      <c r="A13314" s="1" t="s">
        <v>3523</v>
      </c>
    </row>
    <row r="13315" spans="1:1" x14ac:dyDescent="0.2">
      <c r="A13315" s="1" t="s">
        <v>3524</v>
      </c>
    </row>
    <row r="13316" spans="1:1" x14ac:dyDescent="0.2">
      <c r="A13316" s="1" t="s">
        <v>3525</v>
      </c>
    </row>
    <row r="13317" spans="1:1" x14ac:dyDescent="0.2">
      <c r="A13317" s="1" t="s">
        <v>3526</v>
      </c>
    </row>
    <row r="13318" spans="1:1" x14ac:dyDescent="0.2">
      <c r="A13318" s="1" t="s">
        <v>3527</v>
      </c>
    </row>
    <row r="13319" spans="1:1" x14ac:dyDescent="0.2">
      <c r="A13319" s="1" t="s">
        <v>3528</v>
      </c>
    </row>
    <row r="13320" spans="1:1" x14ac:dyDescent="0.2">
      <c r="A13320" s="1" t="s">
        <v>3529</v>
      </c>
    </row>
    <row r="13321" spans="1:1" x14ac:dyDescent="0.2">
      <c r="A13321" s="1" t="s">
        <v>3530</v>
      </c>
    </row>
    <row r="13322" spans="1:1" x14ac:dyDescent="0.2">
      <c r="A13322" s="1" t="s">
        <v>3520</v>
      </c>
    </row>
    <row r="13323" spans="1:1" x14ac:dyDescent="0.2">
      <c r="A13323" s="1" t="s">
        <v>3531</v>
      </c>
    </row>
    <row r="13324" spans="1:1" x14ac:dyDescent="0.2">
      <c r="A13324" s="1" t="s">
        <v>3522</v>
      </c>
    </row>
    <row r="13325" spans="1:1" x14ac:dyDescent="0.2">
      <c r="A13325" s="1" t="s">
        <v>3523</v>
      </c>
    </row>
    <row r="13326" spans="1:1" x14ac:dyDescent="0.2">
      <c r="A13326" s="1" t="s">
        <v>3524</v>
      </c>
    </row>
    <row r="13327" spans="1:1" x14ac:dyDescent="0.2">
      <c r="A13327" s="1" t="s">
        <v>3532</v>
      </c>
    </row>
    <row r="13328" spans="1:1" x14ac:dyDescent="0.2">
      <c r="A13328" s="1" t="s">
        <v>3526</v>
      </c>
    </row>
    <row r="13329" spans="1:1" x14ac:dyDescent="0.2">
      <c r="A13329" s="1" t="s">
        <v>3527</v>
      </c>
    </row>
    <row r="13330" spans="1:1" x14ac:dyDescent="0.2">
      <c r="A13330" s="1" t="s">
        <v>3528</v>
      </c>
    </row>
    <row r="13331" spans="1:1" x14ac:dyDescent="0.2">
      <c r="A13331" s="1" t="s">
        <v>3529</v>
      </c>
    </row>
    <row r="13332" spans="1:1" x14ac:dyDescent="0.2">
      <c r="A13332" s="1" t="s">
        <v>3530</v>
      </c>
    </row>
    <row r="13333" spans="1:1" x14ac:dyDescent="0.2">
      <c r="A13333" s="1" t="s">
        <v>3533</v>
      </c>
    </row>
    <row r="13334" spans="1:1" x14ac:dyDescent="0.2">
      <c r="A13334" s="1" t="s">
        <v>3533</v>
      </c>
    </row>
    <row r="13335" spans="1:1" x14ac:dyDescent="0.2">
      <c r="A13335" s="1" t="s">
        <v>3534</v>
      </c>
    </row>
    <row r="13336" spans="1:1" x14ac:dyDescent="0.2">
      <c r="A13336" s="1" t="s">
        <v>3535</v>
      </c>
    </row>
    <row r="13337" spans="1:1" x14ac:dyDescent="0.2">
      <c r="A13337" s="1" t="s">
        <v>3536</v>
      </c>
    </row>
    <row r="13338" spans="1:1" x14ac:dyDescent="0.2">
      <c r="A13338" s="1" t="s">
        <v>3537</v>
      </c>
    </row>
    <row r="13339" spans="1:1" x14ac:dyDescent="0.2">
      <c r="A13339" s="1" t="s">
        <v>3538</v>
      </c>
    </row>
    <row r="13340" spans="1:1" x14ac:dyDescent="0.2">
      <c r="A13340" s="1" t="s">
        <v>3539</v>
      </c>
    </row>
    <row r="13341" spans="1:1" x14ac:dyDescent="0.2">
      <c r="A13341" s="1" t="s">
        <v>3540</v>
      </c>
    </row>
    <row r="13342" spans="1:1" x14ac:dyDescent="0.2">
      <c r="A13342" s="1" t="s">
        <v>3541</v>
      </c>
    </row>
    <row r="13343" spans="1:1" x14ac:dyDescent="0.2">
      <c r="A13343" s="1" t="s">
        <v>3541</v>
      </c>
    </row>
    <row r="13344" spans="1:1" x14ac:dyDescent="0.2">
      <c r="A13344" s="1" t="s">
        <v>3541</v>
      </c>
    </row>
    <row r="13345" spans="1:1" x14ac:dyDescent="0.2">
      <c r="A13345" s="1" t="s">
        <v>3541</v>
      </c>
    </row>
    <row r="13346" spans="1:1" x14ac:dyDescent="0.2">
      <c r="A13346" s="1" t="s">
        <v>3542</v>
      </c>
    </row>
    <row r="13347" spans="1:1" x14ac:dyDescent="0.2">
      <c r="A13347" s="1" t="s">
        <v>3533</v>
      </c>
    </row>
    <row r="13348" spans="1:1" x14ac:dyDescent="0.2">
      <c r="A13348" s="1" t="s">
        <v>3533</v>
      </c>
    </row>
    <row r="13349" spans="1:1" x14ac:dyDescent="0.2">
      <c r="A13349" s="1" t="s">
        <v>3533</v>
      </c>
    </row>
    <row r="13350" spans="1:1" x14ac:dyDescent="0.2">
      <c r="A13350" s="1" t="s">
        <v>3534</v>
      </c>
    </row>
    <row r="13351" spans="1:1" x14ac:dyDescent="0.2">
      <c r="A13351" s="1" t="s">
        <v>3535</v>
      </c>
    </row>
    <row r="13352" spans="1:1" x14ac:dyDescent="0.2">
      <c r="A13352" s="1" t="s">
        <v>3536</v>
      </c>
    </row>
    <row r="13353" spans="1:1" x14ac:dyDescent="0.2">
      <c r="A13353" s="1" t="s">
        <v>3537</v>
      </c>
    </row>
    <row r="13354" spans="1:1" x14ac:dyDescent="0.2">
      <c r="A13354" s="1" t="s">
        <v>3538</v>
      </c>
    </row>
    <row r="13355" spans="1:1" x14ac:dyDescent="0.2">
      <c r="A13355" s="1" t="s">
        <v>3539</v>
      </c>
    </row>
    <row r="13356" spans="1:1" x14ac:dyDescent="0.2">
      <c r="A13356" s="1" t="s">
        <v>3540</v>
      </c>
    </row>
    <row r="13357" spans="1:1" x14ac:dyDescent="0.2">
      <c r="A13357" s="1" t="s">
        <v>3541</v>
      </c>
    </row>
    <row r="13358" spans="1:1" x14ac:dyDescent="0.2">
      <c r="A13358" s="1" t="s">
        <v>3541</v>
      </c>
    </row>
    <row r="13359" spans="1:1" x14ac:dyDescent="0.2">
      <c r="A13359" s="1" t="s">
        <v>3541</v>
      </c>
    </row>
    <row r="13360" spans="1:1" x14ac:dyDescent="0.2">
      <c r="A13360" s="1" t="s">
        <v>3541</v>
      </c>
    </row>
    <row r="13361" spans="1:1" x14ac:dyDescent="0.2">
      <c r="A13361" s="1" t="s">
        <v>3542</v>
      </c>
    </row>
    <row r="13362" spans="1:1" x14ac:dyDescent="0.2">
      <c r="A13362" s="1" t="s">
        <v>3533</v>
      </c>
    </row>
    <row r="13363" spans="1:1" x14ac:dyDescent="0.2">
      <c r="A13363" s="1" t="s">
        <v>3533</v>
      </c>
    </row>
    <row r="13364" spans="1:1" x14ac:dyDescent="0.2">
      <c r="A13364" s="1" t="s">
        <v>3533</v>
      </c>
    </row>
    <row r="13365" spans="1:1" x14ac:dyDescent="0.2">
      <c r="A13365" s="1" t="s">
        <v>3534</v>
      </c>
    </row>
    <row r="13366" spans="1:1" x14ac:dyDescent="0.2">
      <c r="A13366" s="1" t="s">
        <v>3535</v>
      </c>
    </row>
    <row r="13367" spans="1:1" x14ac:dyDescent="0.2">
      <c r="A13367" s="1" t="s">
        <v>3536</v>
      </c>
    </row>
    <row r="13368" spans="1:1" x14ac:dyDescent="0.2">
      <c r="A13368" s="1" t="s">
        <v>3537</v>
      </c>
    </row>
    <row r="13369" spans="1:1" x14ac:dyDescent="0.2">
      <c r="A13369" s="1" t="s">
        <v>3538</v>
      </c>
    </row>
    <row r="13370" spans="1:1" x14ac:dyDescent="0.2">
      <c r="A13370" s="1" t="s">
        <v>3539</v>
      </c>
    </row>
    <row r="13371" spans="1:1" x14ac:dyDescent="0.2">
      <c r="A13371" s="1" t="s">
        <v>3540</v>
      </c>
    </row>
    <row r="13372" spans="1:1" x14ac:dyDescent="0.2">
      <c r="A13372" s="1" t="s">
        <v>3541</v>
      </c>
    </row>
    <row r="13373" spans="1:1" x14ac:dyDescent="0.2">
      <c r="A13373" s="1" t="s">
        <v>3541</v>
      </c>
    </row>
    <row r="13374" spans="1:1" x14ac:dyDescent="0.2">
      <c r="A13374" s="1" t="s">
        <v>3541</v>
      </c>
    </row>
    <row r="13375" spans="1:1" x14ac:dyDescent="0.2">
      <c r="A13375" s="1" t="s">
        <v>3541</v>
      </c>
    </row>
    <row r="13376" spans="1:1" x14ac:dyDescent="0.2">
      <c r="A13376" s="1" t="s">
        <v>3542</v>
      </c>
    </row>
    <row r="13377" spans="1:1" x14ac:dyDescent="0.2">
      <c r="A13377" s="1" t="s">
        <v>3533</v>
      </c>
    </row>
    <row r="13378" spans="1:1" x14ac:dyDescent="0.2">
      <c r="A13378" s="1" t="s">
        <v>3533</v>
      </c>
    </row>
    <row r="13379" spans="1:1" x14ac:dyDescent="0.2">
      <c r="A13379" s="1" t="s">
        <v>3533</v>
      </c>
    </row>
    <row r="13380" spans="1:1" x14ac:dyDescent="0.2">
      <c r="A13380" s="1" t="s">
        <v>3534</v>
      </c>
    </row>
    <row r="13381" spans="1:1" x14ac:dyDescent="0.2">
      <c r="A13381" s="1" t="s">
        <v>3535</v>
      </c>
    </row>
    <row r="13382" spans="1:1" x14ac:dyDescent="0.2">
      <c r="A13382" s="1" t="s">
        <v>3536</v>
      </c>
    </row>
    <row r="13383" spans="1:1" x14ac:dyDescent="0.2">
      <c r="A13383" s="1" t="s">
        <v>3537</v>
      </c>
    </row>
    <row r="13384" spans="1:1" x14ac:dyDescent="0.2">
      <c r="A13384" s="1" t="s">
        <v>3538</v>
      </c>
    </row>
    <row r="13385" spans="1:1" x14ac:dyDescent="0.2">
      <c r="A13385" s="1" t="s">
        <v>3539</v>
      </c>
    </row>
    <row r="13386" spans="1:1" x14ac:dyDescent="0.2">
      <c r="A13386" s="1" t="s">
        <v>3540</v>
      </c>
    </row>
    <row r="13387" spans="1:1" x14ac:dyDescent="0.2">
      <c r="A13387" s="1" t="s">
        <v>3541</v>
      </c>
    </row>
    <row r="13388" spans="1:1" x14ac:dyDescent="0.2">
      <c r="A13388" s="1" t="s">
        <v>3541</v>
      </c>
    </row>
    <row r="13389" spans="1:1" x14ac:dyDescent="0.2">
      <c r="A13389" s="1" t="s">
        <v>3541</v>
      </c>
    </row>
    <row r="13390" spans="1:1" x14ac:dyDescent="0.2">
      <c r="A13390" s="1" t="s">
        <v>3541</v>
      </c>
    </row>
    <row r="13391" spans="1:1" x14ac:dyDescent="0.2">
      <c r="A13391" s="1" t="s">
        <v>3542</v>
      </c>
    </row>
    <row r="13392" spans="1:1" x14ac:dyDescent="0.2">
      <c r="A13392" s="1" t="s">
        <v>3533</v>
      </c>
    </row>
    <row r="13393" spans="1:1" x14ac:dyDescent="0.2">
      <c r="A13393" s="1" t="s">
        <v>3533</v>
      </c>
    </row>
    <row r="13394" spans="1:1" x14ac:dyDescent="0.2">
      <c r="A13394" s="1" t="s">
        <v>3533</v>
      </c>
    </row>
    <row r="13395" spans="1:1" x14ac:dyDescent="0.2">
      <c r="A13395" s="1" t="s">
        <v>3534</v>
      </c>
    </row>
    <row r="13396" spans="1:1" x14ac:dyDescent="0.2">
      <c r="A13396" s="1" t="s">
        <v>3535</v>
      </c>
    </row>
    <row r="13397" spans="1:1" x14ac:dyDescent="0.2">
      <c r="A13397" s="1" t="s">
        <v>3536</v>
      </c>
    </row>
    <row r="13398" spans="1:1" x14ac:dyDescent="0.2">
      <c r="A13398" s="1" t="s">
        <v>3537</v>
      </c>
    </row>
    <row r="13399" spans="1:1" x14ac:dyDescent="0.2">
      <c r="A13399" s="1" t="s">
        <v>3538</v>
      </c>
    </row>
    <row r="13400" spans="1:1" x14ac:dyDescent="0.2">
      <c r="A13400" s="1" t="s">
        <v>3539</v>
      </c>
    </row>
    <row r="13401" spans="1:1" x14ac:dyDescent="0.2">
      <c r="A13401" s="1" t="s">
        <v>3540</v>
      </c>
    </row>
    <row r="13402" spans="1:1" x14ac:dyDescent="0.2">
      <c r="A13402" s="1" t="s">
        <v>3541</v>
      </c>
    </row>
    <row r="13403" spans="1:1" x14ac:dyDescent="0.2">
      <c r="A13403" s="1" t="s">
        <v>3541</v>
      </c>
    </row>
    <row r="13404" spans="1:1" x14ac:dyDescent="0.2">
      <c r="A13404" s="1" t="s">
        <v>3541</v>
      </c>
    </row>
    <row r="13405" spans="1:1" x14ac:dyDescent="0.2">
      <c r="A13405" s="1" t="s">
        <v>3541</v>
      </c>
    </row>
    <row r="13406" spans="1:1" x14ac:dyDescent="0.2">
      <c r="A13406" s="1" t="s">
        <v>3542</v>
      </c>
    </row>
    <row r="13407" spans="1:1" x14ac:dyDescent="0.2">
      <c r="A13407" s="1" t="s">
        <v>3533</v>
      </c>
    </row>
    <row r="13408" spans="1:1" x14ac:dyDescent="0.2">
      <c r="A13408" s="1" t="s">
        <v>3543</v>
      </c>
    </row>
    <row r="13409" spans="1:1" x14ac:dyDescent="0.2">
      <c r="A13409" s="1" t="s">
        <v>3544</v>
      </c>
    </row>
    <row r="13410" spans="1:1" x14ac:dyDescent="0.2">
      <c r="A13410" s="1" t="s">
        <v>3545</v>
      </c>
    </row>
    <row r="13411" spans="1:1" x14ac:dyDescent="0.2">
      <c r="A13411" s="1" t="s">
        <v>3546</v>
      </c>
    </row>
    <row r="13412" spans="1:1" x14ac:dyDescent="0.2">
      <c r="A13412" s="1" t="s">
        <v>3547</v>
      </c>
    </row>
    <row r="13413" spans="1:1" x14ac:dyDescent="0.2">
      <c r="A13413" s="1" t="s">
        <v>3548</v>
      </c>
    </row>
    <row r="13414" spans="1:1" x14ac:dyDescent="0.2">
      <c r="A13414" s="1" t="s">
        <v>3549</v>
      </c>
    </row>
    <row r="13415" spans="1:1" x14ac:dyDescent="0.2">
      <c r="A13415" s="1" t="s">
        <v>3550</v>
      </c>
    </row>
    <row r="13416" spans="1:1" x14ac:dyDescent="0.2">
      <c r="A13416" s="1" t="s">
        <v>3551</v>
      </c>
    </row>
    <row r="13417" spans="1:1" x14ac:dyDescent="0.2">
      <c r="A13417" s="1" t="s">
        <v>3552</v>
      </c>
    </row>
    <row r="13418" spans="1:1" x14ac:dyDescent="0.2">
      <c r="A13418" s="1" t="s">
        <v>3553</v>
      </c>
    </row>
    <row r="13419" spans="1:1" x14ac:dyDescent="0.2">
      <c r="A13419" s="1" t="s">
        <v>3543</v>
      </c>
    </row>
    <row r="13420" spans="1:1" x14ac:dyDescent="0.2">
      <c r="A13420" s="1" t="s">
        <v>3554</v>
      </c>
    </row>
    <row r="13421" spans="1:1" x14ac:dyDescent="0.2">
      <c r="A13421" s="1" t="s">
        <v>3545</v>
      </c>
    </row>
    <row r="13422" spans="1:1" x14ac:dyDescent="0.2">
      <c r="A13422" s="1" t="s">
        <v>3546</v>
      </c>
    </row>
    <row r="13423" spans="1:1" x14ac:dyDescent="0.2">
      <c r="A13423" s="1" t="s">
        <v>3547</v>
      </c>
    </row>
    <row r="13424" spans="1:1" x14ac:dyDescent="0.2">
      <c r="A13424" s="1" t="s">
        <v>3555</v>
      </c>
    </row>
    <row r="13425" spans="1:1" x14ac:dyDescent="0.2">
      <c r="A13425" s="1" t="s">
        <v>3549</v>
      </c>
    </row>
    <row r="13426" spans="1:1" x14ac:dyDescent="0.2">
      <c r="A13426" s="1" t="s">
        <v>3550</v>
      </c>
    </row>
    <row r="13427" spans="1:1" x14ac:dyDescent="0.2">
      <c r="A13427" s="1" t="s">
        <v>3551</v>
      </c>
    </row>
    <row r="13428" spans="1:1" x14ac:dyDescent="0.2">
      <c r="A13428" s="1" t="s">
        <v>3552</v>
      </c>
    </row>
    <row r="13429" spans="1:1" x14ac:dyDescent="0.2">
      <c r="A13429" s="1" t="s">
        <v>3553</v>
      </c>
    </row>
    <row r="13430" spans="1:1" x14ac:dyDescent="0.2">
      <c r="A13430" s="1" t="s">
        <v>3556</v>
      </c>
    </row>
    <row r="13431" spans="1:1" x14ac:dyDescent="0.2">
      <c r="A13431" s="1" t="s">
        <v>3556</v>
      </c>
    </row>
    <row r="13432" spans="1:1" x14ac:dyDescent="0.2">
      <c r="A13432" s="1" t="s">
        <v>3557</v>
      </c>
    </row>
    <row r="13433" spans="1:1" x14ac:dyDescent="0.2">
      <c r="A13433" s="1" t="s">
        <v>3558</v>
      </c>
    </row>
    <row r="13434" spans="1:1" x14ac:dyDescent="0.2">
      <c r="A13434" s="1" t="s">
        <v>3559</v>
      </c>
    </row>
    <row r="13435" spans="1:1" x14ac:dyDescent="0.2">
      <c r="A13435" s="1" t="s">
        <v>3560</v>
      </c>
    </row>
    <row r="13436" spans="1:1" x14ac:dyDescent="0.2">
      <c r="A13436" s="1" t="s">
        <v>3561</v>
      </c>
    </row>
    <row r="13437" spans="1:1" x14ac:dyDescent="0.2">
      <c r="A13437" s="1" t="s">
        <v>3562</v>
      </c>
    </row>
    <row r="13438" spans="1:1" x14ac:dyDescent="0.2">
      <c r="A13438" s="1" t="s">
        <v>3563</v>
      </c>
    </row>
    <row r="13439" spans="1:1" x14ac:dyDescent="0.2">
      <c r="A13439" s="1" t="s">
        <v>3564</v>
      </c>
    </row>
    <row r="13440" spans="1:1" x14ac:dyDescent="0.2">
      <c r="A13440" s="1" t="s">
        <v>3564</v>
      </c>
    </row>
    <row r="13441" spans="1:1" x14ac:dyDescent="0.2">
      <c r="A13441" s="1" t="s">
        <v>3564</v>
      </c>
    </row>
    <row r="13442" spans="1:1" x14ac:dyDescent="0.2">
      <c r="A13442" s="1" t="s">
        <v>3564</v>
      </c>
    </row>
    <row r="13443" spans="1:1" x14ac:dyDescent="0.2">
      <c r="A13443" s="1" t="s">
        <v>3565</v>
      </c>
    </row>
    <row r="13444" spans="1:1" x14ac:dyDescent="0.2">
      <c r="A13444" s="1" t="s">
        <v>3556</v>
      </c>
    </row>
    <row r="13445" spans="1:1" x14ac:dyDescent="0.2">
      <c r="A13445" s="1" t="s">
        <v>3556</v>
      </c>
    </row>
    <row r="13446" spans="1:1" x14ac:dyDescent="0.2">
      <c r="A13446" s="1" t="s">
        <v>3556</v>
      </c>
    </row>
    <row r="13447" spans="1:1" x14ac:dyDescent="0.2">
      <c r="A13447" s="1" t="s">
        <v>3557</v>
      </c>
    </row>
    <row r="13448" spans="1:1" x14ac:dyDescent="0.2">
      <c r="A13448" s="1" t="s">
        <v>3558</v>
      </c>
    </row>
    <row r="13449" spans="1:1" x14ac:dyDescent="0.2">
      <c r="A13449" s="1" t="s">
        <v>3559</v>
      </c>
    </row>
    <row r="13450" spans="1:1" x14ac:dyDescent="0.2">
      <c r="A13450" s="1" t="s">
        <v>3560</v>
      </c>
    </row>
    <row r="13451" spans="1:1" x14ac:dyDescent="0.2">
      <c r="A13451" s="1" t="s">
        <v>3561</v>
      </c>
    </row>
    <row r="13452" spans="1:1" x14ac:dyDescent="0.2">
      <c r="A13452" s="1" t="s">
        <v>3562</v>
      </c>
    </row>
    <row r="13453" spans="1:1" x14ac:dyDescent="0.2">
      <c r="A13453" s="1" t="s">
        <v>3563</v>
      </c>
    </row>
    <row r="13454" spans="1:1" x14ac:dyDescent="0.2">
      <c r="A13454" s="1" t="s">
        <v>3564</v>
      </c>
    </row>
    <row r="13455" spans="1:1" x14ac:dyDescent="0.2">
      <c r="A13455" s="1" t="s">
        <v>3564</v>
      </c>
    </row>
    <row r="13456" spans="1:1" x14ac:dyDescent="0.2">
      <c r="A13456" s="1" t="s">
        <v>3564</v>
      </c>
    </row>
    <row r="13457" spans="1:1" x14ac:dyDescent="0.2">
      <c r="A13457" s="1" t="s">
        <v>3564</v>
      </c>
    </row>
    <row r="13458" spans="1:1" x14ac:dyDescent="0.2">
      <c r="A13458" s="1" t="s">
        <v>3565</v>
      </c>
    </row>
    <row r="13459" spans="1:1" x14ac:dyDescent="0.2">
      <c r="A13459" s="1" t="s">
        <v>3556</v>
      </c>
    </row>
    <row r="13460" spans="1:1" x14ac:dyDescent="0.2">
      <c r="A13460" s="1" t="s">
        <v>3556</v>
      </c>
    </row>
    <row r="13461" spans="1:1" x14ac:dyDescent="0.2">
      <c r="A13461" s="1" t="s">
        <v>3556</v>
      </c>
    </row>
    <row r="13462" spans="1:1" x14ac:dyDescent="0.2">
      <c r="A13462" s="1" t="s">
        <v>3557</v>
      </c>
    </row>
    <row r="13463" spans="1:1" x14ac:dyDescent="0.2">
      <c r="A13463" s="1" t="s">
        <v>3558</v>
      </c>
    </row>
    <row r="13464" spans="1:1" x14ac:dyDescent="0.2">
      <c r="A13464" s="1" t="s">
        <v>3559</v>
      </c>
    </row>
    <row r="13465" spans="1:1" x14ac:dyDescent="0.2">
      <c r="A13465" s="1" t="s">
        <v>3560</v>
      </c>
    </row>
    <row r="13466" spans="1:1" x14ac:dyDescent="0.2">
      <c r="A13466" s="1" t="s">
        <v>3561</v>
      </c>
    </row>
    <row r="13467" spans="1:1" x14ac:dyDescent="0.2">
      <c r="A13467" s="1" t="s">
        <v>3562</v>
      </c>
    </row>
    <row r="13468" spans="1:1" x14ac:dyDescent="0.2">
      <c r="A13468" s="1" t="s">
        <v>3563</v>
      </c>
    </row>
    <row r="13469" spans="1:1" x14ac:dyDescent="0.2">
      <c r="A13469" s="1" t="s">
        <v>3564</v>
      </c>
    </row>
    <row r="13470" spans="1:1" x14ac:dyDescent="0.2">
      <c r="A13470" s="1" t="s">
        <v>3564</v>
      </c>
    </row>
    <row r="13471" spans="1:1" x14ac:dyDescent="0.2">
      <c r="A13471" s="1" t="s">
        <v>3564</v>
      </c>
    </row>
    <row r="13472" spans="1:1" x14ac:dyDescent="0.2">
      <c r="A13472" s="1" t="s">
        <v>3564</v>
      </c>
    </row>
    <row r="13473" spans="1:1" x14ac:dyDescent="0.2">
      <c r="A13473" s="1" t="s">
        <v>3565</v>
      </c>
    </row>
    <row r="13474" spans="1:1" x14ac:dyDescent="0.2">
      <c r="A13474" s="1" t="s">
        <v>3556</v>
      </c>
    </row>
    <row r="13475" spans="1:1" x14ac:dyDescent="0.2">
      <c r="A13475" s="1" t="s">
        <v>3556</v>
      </c>
    </row>
    <row r="13476" spans="1:1" x14ac:dyDescent="0.2">
      <c r="A13476" s="1" t="s">
        <v>3556</v>
      </c>
    </row>
    <row r="13477" spans="1:1" x14ac:dyDescent="0.2">
      <c r="A13477" s="1" t="s">
        <v>3557</v>
      </c>
    </row>
    <row r="13478" spans="1:1" x14ac:dyDescent="0.2">
      <c r="A13478" s="1" t="s">
        <v>3558</v>
      </c>
    </row>
    <row r="13479" spans="1:1" x14ac:dyDescent="0.2">
      <c r="A13479" s="1" t="s">
        <v>3559</v>
      </c>
    </row>
    <row r="13480" spans="1:1" x14ac:dyDescent="0.2">
      <c r="A13480" s="1" t="s">
        <v>3560</v>
      </c>
    </row>
    <row r="13481" spans="1:1" x14ac:dyDescent="0.2">
      <c r="A13481" s="1" t="s">
        <v>3561</v>
      </c>
    </row>
    <row r="13482" spans="1:1" x14ac:dyDescent="0.2">
      <c r="A13482" s="1" t="s">
        <v>3562</v>
      </c>
    </row>
    <row r="13483" spans="1:1" x14ac:dyDescent="0.2">
      <c r="A13483" s="1" t="s">
        <v>3563</v>
      </c>
    </row>
    <row r="13484" spans="1:1" x14ac:dyDescent="0.2">
      <c r="A13484" s="1" t="s">
        <v>3564</v>
      </c>
    </row>
    <row r="13485" spans="1:1" x14ac:dyDescent="0.2">
      <c r="A13485" s="1" t="s">
        <v>3564</v>
      </c>
    </row>
    <row r="13486" spans="1:1" x14ac:dyDescent="0.2">
      <c r="A13486" s="1" t="s">
        <v>3564</v>
      </c>
    </row>
    <row r="13487" spans="1:1" x14ac:dyDescent="0.2">
      <c r="A13487" s="1" t="s">
        <v>3564</v>
      </c>
    </row>
    <row r="13488" spans="1:1" x14ac:dyDescent="0.2">
      <c r="A13488" s="1" t="s">
        <v>3565</v>
      </c>
    </row>
    <row r="13489" spans="1:1" x14ac:dyDescent="0.2">
      <c r="A13489" s="1" t="s">
        <v>3556</v>
      </c>
    </row>
    <row r="13490" spans="1:1" x14ac:dyDescent="0.2">
      <c r="A13490" s="1" t="s">
        <v>3556</v>
      </c>
    </row>
    <row r="13491" spans="1:1" x14ac:dyDescent="0.2">
      <c r="A13491" s="1" t="s">
        <v>3556</v>
      </c>
    </row>
    <row r="13492" spans="1:1" x14ac:dyDescent="0.2">
      <c r="A13492" s="1" t="s">
        <v>3557</v>
      </c>
    </row>
    <row r="13493" spans="1:1" x14ac:dyDescent="0.2">
      <c r="A13493" s="1" t="s">
        <v>3558</v>
      </c>
    </row>
    <row r="13494" spans="1:1" x14ac:dyDescent="0.2">
      <c r="A13494" s="1" t="s">
        <v>3559</v>
      </c>
    </row>
    <row r="13495" spans="1:1" x14ac:dyDescent="0.2">
      <c r="A13495" s="1" t="s">
        <v>3560</v>
      </c>
    </row>
    <row r="13496" spans="1:1" x14ac:dyDescent="0.2">
      <c r="A13496" s="1" t="s">
        <v>3561</v>
      </c>
    </row>
    <row r="13497" spans="1:1" x14ac:dyDescent="0.2">
      <c r="A13497" s="1" t="s">
        <v>3562</v>
      </c>
    </row>
    <row r="13498" spans="1:1" x14ac:dyDescent="0.2">
      <c r="A13498" s="1" t="s">
        <v>3563</v>
      </c>
    </row>
    <row r="13499" spans="1:1" x14ac:dyDescent="0.2">
      <c r="A13499" s="1" t="s">
        <v>3564</v>
      </c>
    </row>
    <row r="13500" spans="1:1" x14ac:dyDescent="0.2">
      <c r="A13500" s="1" t="s">
        <v>3564</v>
      </c>
    </row>
    <row r="13501" spans="1:1" x14ac:dyDescent="0.2">
      <c r="A13501" s="1" t="s">
        <v>3564</v>
      </c>
    </row>
    <row r="13502" spans="1:1" x14ac:dyDescent="0.2">
      <c r="A13502" s="1" t="s">
        <v>3564</v>
      </c>
    </row>
    <row r="13503" spans="1:1" x14ac:dyDescent="0.2">
      <c r="A13503" s="1" t="s">
        <v>3565</v>
      </c>
    </row>
    <row r="13504" spans="1:1" x14ac:dyDescent="0.2">
      <c r="A13504" s="1" t="s">
        <v>3556</v>
      </c>
    </row>
    <row r="13505" spans="1:1" x14ac:dyDescent="0.2">
      <c r="A13505" s="1" t="s">
        <v>3566</v>
      </c>
    </row>
    <row r="13506" spans="1:1" x14ac:dyDescent="0.2">
      <c r="A13506" s="1" t="s">
        <v>3567</v>
      </c>
    </row>
    <row r="13507" spans="1:1" x14ac:dyDescent="0.2">
      <c r="A13507" s="1" t="s">
        <v>3556</v>
      </c>
    </row>
    <row r="13508" spans="1:1" x14ac:dyDescent="0.2">
      <c r="A13508" s="1" t="s">
        <v>3568</v>
      </c>
    </row>
    <row r="13509" spans="1:1" x14ac:dyDescent="0.2">
      <c r="A13509" s="1" t="s">
        <v>3569</v>
      </c>
    </row>
    <row r="13510" spans="1:1" x14ac:dyDescent="0.2">
      <c r="A13510" s="1" t="s">
        <v>3570</v>
      </c>
    </row>
    <row r="13511" spans="1:1" x14ac:dyDescent="0.2">
      <c r="A13511" s="1" t="s">
        <v>3571</v>
      </c>
    </row>
    <row r="13512" spans="1:1" x14ac:dyDescent="0.2">
      <c r="A13512" s="1" t="s">
        <v>3572</v>
      </c>
    </row>
    <row r="13513" spans="1:1" x14ac:dyDescent="0.2">
      <c r="A13513" s="1" t="s">
        <v>3573</v>
      </c>
    </row>
    <row r="13514" spans="1:1" x14ac:dyDescent="0.2">
      <c r="A13514" s="1" t="s">
        <v>3574</v>
      </c>
    </row>
    <row r="13515" spans="1:1" x14ac:dyDescent="0.2">
      <c r="A13515" s="1" t="s">
        <v>3575</v>
      </c>
    </row>
    <row r="13516" spans="1:1" x14ac:dyDescent="0.2">
      <c r="A13516" s="1" t="s">
        <v>3566</v>
      </c>
    </row>
    <row r="13517" spans="1:1" x14ac:dyDescent="0.2">
      <c r="A13517" s="1" t="s">
        <v>3576</v>
      </c>
    </row>
    <row r="13518" spans="1:1" x14ac:dyDescent="0.2">
      <c r="A13518" s="1" t="s">
        <v>3556</v>
      </c>
    </row>
    <row r="13519" spans="1:1" x14ac:dyDescent="0.2">
      <c r="A13519" s="1" t="s">
        <v>3568</v>
      </c>
    </row>
    <row r="13520" spans="1:1" x14ac:dyDescent="0.2">
      <c r="A13520" s="1" t="s">
        <v>3569</v>
      </c>
    </row>
    <row r="13521" spans="1:1" x14ac:dyDescent="0.2">
      <c r="A13521" s="1" t="s">
        <v>3577</v>
      </c>
    </row>
    <row r="13522" spans="1:1" x14ac:dyDescent="0.2">
      <c r="A13522" s="1" t="s">
        <v>3571</v>
      </c>
    </row>
    <row r="13523" spans="1:1" x14ac:dyDescent="0.2">
      <c r="A13523" s="1" t="s">
        <v>3572</v>
      </c>
    </row>
    <row r="13524" spans="1:1" x14ac:dyDescent="0.2">
      <c r="A13524" s="1" t="s">
        <v>3573</v>
      </c>
    </row>
    <row r="13525" spans="1:1" x14ac:dyDescent="0.2">
      <c r="A13525" s="1" t="s">
        <v>3574</v>
      </c>
    </row>
    <row r="13526" spans="1:1" x14ac:dyDescent="0.2">
      <c r="A13526" s="1" t="s">
        <v>3575</v>
      </c>
    </row>
    <row r="13527" spans="1:1" x14ac:dyDescent="0.2">
      <c r="A13527" s="1" t="s">
        <v>3578</v>
      </c>
    </row>
    <row r="13528" spans="1:1" x14ac:dyDescent="0.2">
      <c r="A13528" s="1" t="s">
        <v>3578</v>
      </c>
    </row>
    <row r="13529" spans="1:1" x14ac:dyDescent="0.2">
      <c r="A13529" s="1" t="s">
        <v>3579</v>
      </c>
    </row>
    <row r="13530" spans="1:1" x14ac:dyDescent="0.2">
      <c r="A13530" s="1" t="s">
        <v>3580</v>
      </c>
    </row>
    <row r="13531" spans="1:1" x14ac:dyDescent="0.2">
      <c r="A13531" s="1" t="s">
        <v>3581</v>
      </c>
    </row>
    <row r="13532" spans="1:1" x14ac:dyDescent="0.2">
      <c r="A13532" s="1" t="s">
        <v>3582</v>
      </c>
    </row>
    <row r="13533" spans="1:1" x14ac:dyDescent="0.2">
      <c r="A13533" s="1" t="s">
        <v>3583</v>
      </c>
    </row>
    <row r="13534" spans="1:1" x14ac:dyDescent="0.2">
      <c r="A13534" s="1" t="s">
        <v>3584</v>
      </c>
    </row>
    <row r="13535" spans="1:1" x14ac:dyDescent="0.2">
      <c r="A13535" s="1" t="s">
        <v>3585</v>
      </c>
    </row>
    <row r="13536" spans="1:1" x14ac:dyDescent="0.2">
      <c r="A13536" s="1" t="s">
        <v>3586</v>
      </c>
    </row>
    <row r="13537" spans="1:1" x14ac:dyDescent="0.2">
      <c r="A13537" s="1" t="s">
        <v>3586</v>
      </c>
    </row>
    <row r="13538" spans="1:1" x14ac:dyDescent="0.2">
      <c r="A13538" s="1" t="s">
        <v>3586</v>
      </c>
    </row>
    <row r="13539" spans="1:1" x14ac:dyDescent="0.2">
      <c r="A13539" s="1" t="s">
        <v>3586</v>
      </c>
    </row>
    <row r="13540" spans="1:1" x14ac:dyDescent="0.2">
      <c r="A13540" s="1" t="s">
        <v>3587</v>
      </c>
    </row>
    <row r="13541" spans="1:1" x14ac:dyDescent="0.2">
      <c r="A13541" s="1" t="s">
        <v>3578</v>
      </c>
    </row>
    <row r="13542" spans="1:1" x14ac:dyDescent="0.2">
      <c r="A13542" s="1" t="s">
        <v>3578</v>
      </c>
    </row>
    <row r="13543" spans="1:1" x14ac:dyDescent="0.2">
      <c r="A13543" s="1" t="s">
        <v>3578</v>
      </c>
    </row>
    <row r="13544" spans="1:1" x14ac:dyDescent="0.2">
      <c r="A13544" s="1" t="s">
        <v>3579</v>
      </c>
    </row>
    <row r="13545" spans="1:1" x14ac:dyDescent="0.2">
      <c r="A13545" s="1" t="s">
        <v>3580</v>
      </c>
    </row>
    <row r="13546" spans="1:1" x14ac:dyDescent="0.2">
      <c r="A13546" s="1" t="s">
        <v>3581</v>
      </c>
    </row>
    <row r="13547" spans="1:1" x14ac:dyDescent="0.2">
      <c r="A13547" s="1" t="s">
        <v>3582</v>
      </c>
    </row>
    <row r="13548" spans="1:1" x14ac:dyDescent="0.2">
      <c r="A13548" s="1" t="s">
        <v>3583</v>
      </c>
    </row>
    <row r="13549" spans="1:1" x14ac:dyDescent="0.2">
      <c r="A13549" s="1" t="s">
        <v>3584</v>
      </c>
    </row>
    <row r="13550" spans="1:1" x14ac:dyDescent="0.2">
      <c r="A13550" s="1" t="s">
        <v>3585</v>
      </c>
    </row>
    <row r="13551" spans="1:1" x14ac:dyDescent="0.2">
      <c r="A13551" s="1" t="s">
        <v>3586</v>
      </c>
    </row>
    <row r="13552" spans="1:1" x14ac:dyDescent="0.2">
      <c r="A13552" s="1" t="s">
        <v>3586</v>
      </c>
    </row>
    <row r="13553" spans="1:1" x14ac:dyDescent="0.2">
      <c r="A13553" s="1" t="s">
        <v>3586</v>
      </c>
    </row>
    <row r="13554" spans="1:1" x14ac:dyDescent="0.2">
      <c r="A13554" s="1" t="s">
        <v>3586</v>
      </c>
    </row>
    <row r="13555" spans="1:1" x14ac:dyDescent="0.2">
      <c r="A13555" s="1" t="s">
        <v>3587</v>
      </c>
    </row>
    <row r="13556" spans="1:1" x14ac:dyDescent="0.2">
      <c r="A13556" s="1" t="s">
        <v>3578</v>
      </c>
    </row>
    <row r="13557" spans="1:1" x14ac:dyDescent="0.2">
      <c r="A13557" s="1" t="s">
        <v>3578</v>
      </c>
    </row>
    <row r="13558" spans="1:1" x14ac:dyDescent="0.2">
      <c r="A13558" s="1" t="s">
        <v>3578</v>
      </c>
    </row>
    <row r="13559" spans="1:1" x14ac:dyDescent="0.2">
      <c r="A13559" s="1" t="s">
        <v>3579</v>
      </c>
    </row>
    <row r="13560" spans="1:1" x14ac:dyDescent="0.2">
      <c r="A13560" s="1" t="s">
        <v>3580</v>
      </c>
    </row>
    <row r="13561" spans="1:1" x14ac:dyDescent="0.2">
      <c r="A13561" s="1" t="s">
        <v>3581</v>
      </c>
    </row>
    <row r="13562" spans="1:1" x14ac:dyDescent="0.2">
      <c r="A13562" s="1" t="s">
        <v>3582</v>
      </c>
    </row>
    <row r="13563" spans="1:1" x14ac:dyDescent="0.2">
      <c r="A13563" s="1" t="s">
        <v>3583</v>
      </c>
    </row>
    <row r="13564" spans="1:1" x14ac:dyDescent="0.2">
      <c r="A13564" s="1" t="s">
        <v>3584</v>
      </c>
    </row>
    <row r="13565" spans="1:1" x14ac:dyDescent="0.2">
      <c r="A13565" s="1" t="s">
        <v>3585</v>
      </c>
    </row>
    <row r="13566" spans="1:1" x14ac:dyDescent="0.2">
      <c r="A13566" s="1" t="s">
        <v>3586</v>
      </c>
    </row>
    <row r="13567" spans="1:1" x14ac:dyDescent="0.2">
      <c r="A13567" s="1" t="s">
        <v>3586</v>
      </c>
    </row>
    <row r="13568" spans="1:1" x14ac:dyDescent="0.2">
      <c r="A13568" s="1" t="s">
        <v>3586</v>
      </c>
    </row>
    <row r="13569" spans="1:1" x14ac:dyDescent="0.2">
      <c r="A13569" s="1" t="s">
        <v>3586</v>
      </c>
    </row>
    <row r="13570" spans="1:1" x14ac:dyDescent="0.2">
      <c r="A13570" s="1" t="s">
        <v>3587</v>
      </c>
    </row>
    <row r="13571" spans="1:1" x14ac:dyDescent="0.2">
      <c r="A13571" s="1" t="s">
        <v>3578</v>
      </c>
    </row>
    <row r="13572" spans="1:1" x14ac:dyDescent="0.2">
      <c r="A13572" s="1" t="s">
        <v>3578</v>
      </c>
    </row>
    <row r="13573" spans="1:1" x14ac:dyDescent="0.2">
      <c r="A13573" s="1" t="s">
        <v>3578</v>
      </c>
    </row>
    <row r="13574" spans="1:1" x14ac:dyDescent="0.2">
      <c r="A13574" s="1" t="s">
        <v>3579</v>
      </c>
    </row>
    <row r="13575" spans="1:1" x14ac:dyDescent="0.2">
      <c r="A13575" s="1" t="s">
        <v>3580</v>
      </c>
    </row>
    <row r="13576" spans="1:1" x14ac:dyDescent="0.2">
      <c r="A13576" s="1" t="s">
        <v>3581</v>
      </c>
    </row>
    <row r="13577" spans="1:1" x14ac:dyDescent="0.2">
      <c r="A13577" s="1" t="s">
        <v>3582</v>
      </c>
    </row>
    <row r="13578" spans="1:1" x14ac:dyDescent="0.2">
      <c r="A13578" s="1" t="s">
        <v>3583</v>
      </c>
    </row>
    <row r="13579" spans="1:1" x14ac:dyDescent="0.2">
      <c r="A13579" s="1" t="s">
        <v>3584</v>
      </c>
    </row>
    <row r="13580" spans="1:1" x14ac:dyDescent="0.2">
      <c r="A13580" s="1" t="s">
        <v>3585</v>
      </c>
    </row>
    <row r="13581" spans="1:1" x14ac:dyDescent="0.2">
      <c r="A13581" s="1" t="s">
        <v>3586</v>
      </c>
    </row>
    <row r="13582" spans="1:1" x14ac:dyDescent="0.2">
      <c r="A13582" s="1" t="s">
        <v>3586</v>
      </c>
    </row>
    <row r="13583" spans="1:1" x14ac:dyDescent="0.2">
      <c r="A13583" s="1" t="s">
        <v>3586</v>
      </c>
    </row>
    <row r="13584" spans="1:1" x14ac:dyDescent="0.2">
      <c r="A13584" s="1" t="s">
        <v>3586</v>
      </c>
    </row>
    <row r="13585" spans="1:1" x14ac:dyDescent="0.2">
      <c r="A13585" s="1" t="s">
        <v>3587</v>
      </c>
    </row>
    <row r="13586" spans="1:1" x14ac:dyDescent="0.2">
      <c r="A13586" s="1" t="s">
        <v>3578</v>
      </c>
    </row>
    <row r="13587" spans="1:1" x14ac:dyDescent="0.2">
      <c r="A13587" s="1" t="s">
        <v>3578</v>
      </c>
    </row>
    <row r="13588" spans="1:1" x14ac:dyDescent="0.2">
      <c r="A13588" s="1" t="s">
        <v>3578</v>
      </c>
    </row>
    <row r="13589" spans="1:1" x14ac:dyDescent="0.2">
      <c r="A13589" s="1" t="s">
        <v>3579</v>
      </c>
    </row>
    <row r="13590" spans="1:1" x14ac:dyDescent="0.2">
      <c r="A13590" s="1" t="s">
        <v>3580</v>
      </c>
    </row>
    <row r="13591" spans="1:1" x14ac:dyDescent="0.2">
      <c r="A13591" s="1" t="s">
        <v>3581</v>
      </c>
    </row>
    <row r="13592" spans="1:1" x14ac:dyDescent="0.2">
      <c r="A13592" s="1" t="s">
        <v>3582</v>
      </c>
    </row>
    <row r="13593" spans="1:1" x14ac:dyDescent="0.2">
      <c r="A13593" s="1" t="s">
        <v>3583</v>
      </c>
    </row>
    <row r="13594" spans="1:1" x14ac:dyDescent="0.2">
      <c r="A13594" s="1" t="s">
        <v>3584</v>
      </c>
    </row>
    <row r="13595" spans="1:1" x14ac:dyDescent="0.2">
      <c r="A13595" s="1" t="s">
        <v>3585</v>
      </c>
    </row>
    <row r="13596" spans="1:1" x14ac:dyDescent="0.2">
      <c r="A13596" s="1" t="s">
        <v>3586</v>
      </c>
    </row>
    <row r="13597" spans="1:1" x14ac:dyDescent="0.2">
      <c r="A13597" s="1" t="s">
        <v>3586</v>
      </c>
    </row>
    <row r="13598" spans="1:1" x14ac:dyDescent="0.2">
      <c r="A13598" s="1" t="s">
        <v>3586</v>
      </c>
    </row>
    <row r="13599" spans="1:1" x14ac:dyDescent="0.2">
      <c r="A13599" s="1" t="s">
        <v>3586</v>
      </c>
    </row>
    <row r="13600" spans="1:1" x14ac:dyDescent="0.2">
      <c r="A13600" s="1" t="s">
        <v>3587</v>
      </c>
    </row>
    <row r="13601" spans="1:1" x14ac:dyDescent="0.2">
      <c r="A13601" s="1" t="s">
        <v>3578</v>
      </c>
    </row>
    <row r="13602" spans="1:1" x14ac:dyDescent="0.2">
      <c r="A13602" s="1" t="s">
        <v>3588</v>
      </c>
    </row>
    <row r="13603" spans="1:1" x14ac:dyDescent="0.2">
      <c r="A13603" s="1" t="s">
        <v>3589</v>
      </c>
    </row>
    <row r="13604" spans="1:1" x14ac:dyDescent="0.2">
      <c r="A13604" s="1" t="s">
        <v>3578</v>
      </c>
    </row>
    <row r="13605" spans="1:1" x14ac:dyDescent="0.2">
      <c r="A13605" s="1" t="s">
        <v>3590</v>
      </c>
    </row>
    <row r="13606" spans="1:1" x14ac:dyDescent="0.2">
      <c r="A13606" s="1" t="s">
        <v>3591</v>
      </c>
    </row>
    <row r="13607" spans="1:1" x14ac:dyDescent="0.2">
      <c r="A13607" s="1" t="s">
        <v>3592</v>
      </c>
    </row>
    <row r="13608" spans="1:1" x14ac:dyDescent="0.2">
      <c r="A13608" s="1" t="s">
        <v>3593</v>
      </c>
    </row>
    <row r="13609" spans="1:1" x14ac:dyDescent="0.2">
      <c r="A13609" s="1" t="s">
        <v>3594</v>
      </c>
    </row>
    <row r="13610" spans="1:1" x14ac:dyDescent="0.2">
      <c r="A13610" s="1" t="s">
        <v>3595</v>
      </c>
    </row>
    <row r="13611" spans="1:1" x14ac:dyDescent="0.2">
      <c r="A13611" s="1" t="s">
        <v>3596</v>
      </c>
    </row>
    <row r="13612" spans="1:1" x14ac:dyDescent="0.2">
      <c r="A13612" s="1" t="s">
        <v>3597</v>
      </c>
    </row>
    <row r="13613" spans="1:1" x14ac:dyDescent="0.2">
      <c r="A13613" s="1" t="s">
        <v>3588</v>
      </c>
    </row>
    <row r="13614" spans="1:1" x14ac:dyDescent="0.2">
      <c r="A13614" s="1" t="s">
        <v>3598</v>
      </c>
    </row>
    <row r="13615" spans="1:1" x14ac:dyDescent="0.2">
      <c r="A13615" s="1" t="s">
        <v>3578</v>
      </c>
    </row>
    <row r="13616" spans="1:1" x14ac:dyDescent="0.2">
      <c r="A13616" s="1" t="s">
        <v>3590</v>
      </c>
    </row>
    <row r="13617" spans="1:1" x14ac:dyDescent="0.2">
      <c r="A13617" s="1" t="s">
        <v>3591</v>
      </c>
    </row>
    <row r="13618" spans="1:1" x14ac:dyDescent="0.2">
      <c r="A13618" s="1" t="s">
        <v>3599</v>
      </c>
    </row>
    <row r="13619" spans="1:1" x14ac:dyDescent="0.2">
      <c r="A13619" s="1" t="s">
        <v>3593</v>
      </c>
    </row>
    <row r="13620" spans="1:1" x14ac:dyDescent="0.2">
      <c r="A13620" s="1" t="s">
        <v>3594</v>
      </c>
    </row>
    <row r="13621" spans="1:1" x14ac:dyDescent="0.2">
      <c r="A13621" s="1" t="s">
        <v>3595</v>
      </c>
    </row>
    <row r="13622" spans="1:1" x14ac:dyDescent="0.2">
      <c r="A13622" s="1" t="s">
        <v>3596</v>
      </c>
    </row>
    <row r="13623" spans="1:1" x14ac:dyDescent="0.2">
      <c r="A13623" s="1" t="s">
        <v>3597</v>
      </c>
    </row>
    <row r="13624" spans="1:1" x14ac:dyDescent="0.2">
      <c r="A13624" s="1" t="s">
        <v>3600</v>
      </c>
    </row>
    <row r="13625" spans="1:1" x14ac:dyDescent="0.2">
      <c r="A13625" s="1" t="s">
        <v>3600</v>
      </c>
    </row>
    <row r="13626" spans="1:1" x14ac:dyDescent="0.2">
      <c r="A13626" s="1" t="s">
        <v>3601</v>
      </c>
    </row>
    <row r="13627" spans="1:1" x14ac:dyDescent="0.2">
      <c r="A13627" s="1" t="s">
        <v>3602</v>
      </c>
    </row>
    <row r="13628" spans="1:1" x14ac:dyDescent="0.2">
      <c r="A13628" s="1" t="s">
        <v>3603</v>
      </c>
    </row>
    <row r="13629" spans="1:1" x14ac:dyDescent="0.2">
      <c r="A13629" s="1" t="s">
        <v>3604</v>
      </c>
    </row>
    <row r="13630" spans="1:1" x14ac:dyDescent="0.2">
      <c r="A13630" s="1" t="s">
        <v>3605</v>
      </c>
    </row>
    <row r="13631" spans="1:1" x14ac:dyDescent="0.2">
      <c r="A13631" s="1" t="s">
        <v>3606</v>
      </c>
    </row>
    <row r="13632" spans="1:1" x14ac:dyDescent="0.2">
      <c r="A13632" s="1" t="s">
        <v>3607</v>
      </c>
    </row>
    <row r="13633" spans="1:1" x14ac:dyDescent="0.2">
      <c r="A13633" s="1" t="s">
        <v>3608</v>
      </c>
    </row>
    <row r="13634" spans="1:1" x14ac:dyDescent="0.2">
      <c r="A13634" s="1" t="s">
        <v>3608</v>
      </c>
    </row>
    <row r="13635" spans="1:1" x14ac:dyDescent="0.2">
      <c r="A13635" s="1" t="s">
        <v>3608</v>
      </c>
    </row>
    <row r="13636" spans="1:1" x14ac:dyDescent="0.2">
      <c r="A13636" s="1" t="s">
        <v>3608</v>
      </c>
    </row>
    <row r="13637" spans="1:1" x14ac:dyDescent="0.2">
      <c r="A13637" s="1" t="s">
        <v>3609</v>
      </c>
    </row>
    <row r="13638" spans="1:1" x14ac:dyDescent="0.2">
      <c r="A13638" s="1" t="s">
        <v>3600</v>
      </c>
    </row>
    <row r="13639" spans="1:1" x14ac:dyDescent="0.2">
      <c r="A13639" s="1" t="s">
        <v>3600</v>
      </c>
    </row>
    <row r="13640" spans="1:1" x14ac:dyDescent="0.2">
      <c r="A13640" s="1" t="s">
        <v>3600</v>
      </c>
    </row>
    <row r="13641" spans="1:1" x14ac:dyDescent="0.2">
      <c r="A13641" s="1" t="s">
        <v>3601</v>
      </c>
    </row>
    <row r="13642" spans="1:1" x14ac:dyDescent="0.2">
      <c r="A13642" s="1" t="s">
        <v>3602</v>
      </c>
    </row>
    <row r="13643" spans="1:1" x14ac:dyDescent="0.2">
      <c r="A13643" s="1" t="s">
        <v>3603</v>
      </c>
    </row>
    <row r="13644" spans="1:1" x14ac:dyDescent="0.2">
      <c r="A13644" s="1" t="s">
        <v>3604</v>
      </c>
    </row>
    <row r="13645" spans="1:1" x14ac:dyDescent="0.2">
      <c r="A13645" s="1" t="s">
        <v>3605</v>
      </c>
    </row>
    <row r="13646" spans="1:1" x14ac:dyDescent="0.2">
      <c r="A13646" s="1" t="s">
        <v>3606</v>
      </c>
    </row>
    <row r="13647" spans="1:1" x14ac:dyDescent="0.2">
      <c r="A13647" s="1" t="s">
        <v>3607</v>
      </c>
    </row>
    <row r="13648" spans="1:1" x14ac:dyDescent="0.2">
      <c r="A13648" s="1" t="s">
        <v>3608</v>
      </c>
    </row>
    <row r="13649" spans="1:1" x14ac:dyDescent="0.2">
      <c r="A13649" s="1" t="s">
        <v>3608</v>
      </c>
    </row>
    <row r="13650" spans="1:1" x14ac:dyDescent="0.2">
      <c r="A13650" s="1" t="s">
        <v>3608</v>
      </c>
    </row>
    <row r="13651" spans="1:1" x14ac:dyDescent="0.2">
      <c r="A13651" s="1" t="s">
        <v>3608</v>
      </c>
    </row>
    <row r="13652" spans="1:1" x14ac:dyDescent="0.2">
      <c r="A13652" s="1" t="s">
        <v>3609</v>
      </c>
    </row>
    <row r="13653" spans="1:1" x14ac:dyDescent="0.2">
      <c r="A13653" s="1" t="s">
        <v>3600</v>
      </c>
    </row>
    <row r="13654" spans="1:1" x14ac:dyDescent="0.2">
      <c r="A13654" s="1" t="s">
        <v>3600</v>
      </c>
    </row>
    <row r="13655" spans="1:1" x14ac:dyDescent="0.2">
      <c r="A13655" s="1" t="s">
        <v>3600</v>
      </c>
    </row>
    <row r="13656" spans="1:1" x14ac:dyDescent="0.2">
      <c r="A13656" s="1" t="s">
        <v>3601</v>
      </c>
    </row>
    <row r="13657" spans="1:1" x14ac:dyDescent="0.2">
      <c r="A13657" s="1" t="s">
        <v>3602</v>
      </c>
    </row>
    <row r="13658" spans="1:1" x14ac:dyDescent="0.2">
      <c r="A13658" s="1" t="s">
        <v>3603</v>
      </c>
    </row>
    <row r="13659" spans="1:1" x14ac:dyDescent="0.2">
      <c r="A13659" s="1" t="s">
        <v>3604</v>
      </c>
    </row>
    <row r="13660" spans="1:1" x14ac:dyDescent="0.2">
      <c r="A13660" s="1" t="s">
        <v>3605</v>
      </c>
    </row>
    <row r="13661" spans="1:1" x14ac:dyDescent="0.2">
      <c r="A13661" s="1" t="s">
        <v>3606</v>
      </c>
    </row>
    <row r="13662" spans="1:1" x14ac:dyDescent="0.2">
      <c r="A13662" s="1" t="s">
        <v>3607</v>
      </c>
    </row>
    <row r="13663" spans="1:1" x14ac:dyDescent="0.2">
      <c r="A13663" s="1" t="s">
        <v>3608</v>
      </c>
    </row>
    <row r="13664" spans="1:1" x14ac:dyDescent="0.2">
      <c r="A13664" s="1" t="s">
        <v>3608</v>
      </c>
    </row>
    <row r="13665" spans="1:1" x14ac:dyDescent="0.2">
      <c r="A13665" s="1" t="s">
        <v>3608</v>
      </c>
    </row>
    <row r="13666" spans="1:1" x14ac:dyDescent="0.2">
      <c r="A13666" s="1" t="s">
        <v>3608</v>
      </c>
    </row>
    <row r="13667" spans="1:1" x14ac:dyDescent="0.2">
      <c r="A13667" s="1" t="s">
        <v>3609</v>
      </c>
    </row>
    <row r="13668" spans="1:1" x14ac:dyDescent="0.2">
      <c r="A13668" s="1" t="s">
        <v>3600</v>
      </c>
    </row>
    <row r="13669" spans="1:1" x14ac:dyDescent="0.2">
      <c r="A13669" s="1" t="s">
        <v>3600</v>
      </c>
    </row>
    <row r="13670" spans="1:1" x14ac:dyDescent="0.2">
      <c r="A13670" s="1" t="s">
        <v>3600</v>
      </c>
    </row>
    <row r="13671" spans="1:1" x14ac:dyDescent="0.2">
      <c r="A13671" s="1" t="s">
        <v>3601</v>
      </c>
    </row>
    <row r="13672" spans="1:1" x14ac:dyDescent="0.2">
      <c r="A13672" s="1" t="s">
        <v>3602</v>
      </c>
    </row>
    <row r="13673" spans="1:1" x14ac:dyDescent="0.2">
      <c r="A13673" s="1" t="s">
        <v>3603</v>
      </c>
    </row>
    <row r="13674" spans="1:1" x14ac:dyDescent="0.2">
      <c r="A13674" s="1" t="s">
        <v>3604</v>
      </c>
    </row>
    <row r="13675" spans="1:1" x14ac:dyDescent="0.2">
      <c r="A13675" s="1" t="s">
        <v>3605</v>
      </c>
    </row>
    <row r="13676" spans="1:1" x14ac:dyDescent="0.2">
      <c r="A13676" s="1" t="s">
        <v>3606</v>
      </c>
    </row>
    <row r="13677" spans="1:1" x14ac:dyDescent="0.2">
      <c r="A13677" s="1" t="s">
        <v>3607</v>
      </c>
    </row>
    <row r="13678" spans="1:1" x14ac:dyDescent="0.2">
      <c r="A13678" s="1" t="s">
        <v>3608</v>
      </c>
    </row>
    <row r="13679" spans="1:1" x14ac:dyDescent="0.2">
      <c r="A13679" s="1" t="s">
        <v>3608</v>
      </c>
    </row>
    <row r="13680" spans="1:1" x14ac:dyDescent="0.2">
      <c r="A13680" s="1" t="s">
        <v>3608</v>
      </c>
    </row>
    <row r="13681" spans="1:1" x14ac:dyDescent="0.2">
      <c r="A13681" s="1" t="s">
        <v>3608</v>
      </c>
    </row>
    <row r="13682" spans="1:1" x14ac:dyDescent="0.2">
      <c r="A13682" s="1" t="s">
        <v>3609</v>
      </c>
    </row>
    <row r="13683" spans="1:1" x14ac:dyDescent="0.2">
      <c r="A13683" s="1" t="s">
        <v>3600</v>
      </c>
    </row>
    <row r="13684" spans="1:1" x14ac:dyDescent="0.2">
      <c r="A13684" s="1" t="s">
        <v>3600</v>
      </c>
    </row>
    <row r="13685" spans="1:1" x14ac:dyDescent="0.2">
      <c r="A13685" s="1" t="s">
        <v>3600</v>
      </c>
    </row>
    <row r="13686" spans="1:1" x14ac:dyDescent="0.2">
      <c r="A13686" s="1" t="s">
        <v>3601</v>
      </c>
    </row>
    <row r="13687" spans="1:1" x14ac:dyDescent="0.2">
      <c r="A13687" s="1" t="s">
        <v>3602</v>
      </c>
    </row>
    <row r="13688" spans="1:1" x14ac:dyDescent="0.2">
      <c r="A13688" s="1" t="s">
        <v>3603</v>
      </c>
    </row>
    <row r="13689" spans="1:1" x14ac:dyDescent="0.2">
      <c r="A13689" s="1" t="s">
        <v>3604</v>
      </c>
    </row>
    <row r="13690" spans="1:1" x14ac:dyDescent="0.2">
      <c r="A13690" s="1" t="s">
        <v>3605</v>
      </c>
    </row>
    <row r="13691" spans="1:1" x14ac:dyDescent="0.2">
      <c r="A13691" s="1" t="s">
        <v>3606</v>
      </c>
    </row>
    <row r="13692" spans="1:1" x14ac:dyDescent="0.2">
      <c r="A13692" s="1" t="s">
        <v>3607</v>
      </c>
    </row>
    <row r="13693" spans="1:1" x14ac:dyDescent="0.2">
      <c r="A13693" s="1" t="s">
        <v>3608</v>
      </c>
    </row>
    <row r="13694" spans="1:1" x14ac:dyDescent="0.2">
      <c r="A13694" s="1" t="s">
        <v>3608</v>
      </c>
    </row>
    <row r="13695" spans="1:1" x14ac:dyDescent="0.2">
      <c r="A13695" s="1" t="s">
        <v>3608</v>
      </c>
    </row>
    <row r="13696" spans="1:1" x14ac:dyDescent="0.2">
      <c r="A13696" s="1" t="s">
        <v>3608</v>
      </c>
    </row>
    <row r="13697" spans="1:1" x14ac:dyDescent="0.2">
      <c r="A13697" s="1" t="s">
        <v>3609</v>
      </c>
    </row>
    <row r="13698" spans="1:1" x14ac:dyDescent="0.2">
      <c r="A13698" s="1" t="s">
        <v>3600</v>
      </c>
    </row>
    <row r="13699" spans="1:1" x14ac:dyDescent="0.2">
      <c r="A13699" s="1" t="s">
        <v>3610</v>
      </c>
    </row>
    <row r="13700" spans="1:1" x14ac:dyDescent="0.2">
      <c r="A13700" s="1" t="s">
        <v>3611</v>
      </c>
    </row>
    <row r="13701" spans="1:1" x14ac:dyDescent="0.2">
      <c r="A13701" s="1" t="s">
        <v>3600</v>
      </c>
    </row>
    <row r="13702" spans="1:1" x14ac:dyDescent="0.2">
      <c r="A13702" s="1" t="s">
        <v>3612</v>
      </c>
    </row>
    <row r="13703" spans="1:1" x14ac:dyDescent="0.2">
      <c r="A13703" s="1" t="s">
        <v>3613</v>
      </c>
    </row>
    <row r="13704" spans="1:1" x14ac:dyDescent="0.2">
      <c r="A13704" s="1" t="s">
        <v>3614</v>
      </c>
    </row>
    <row r="13705" spans="1:1" x14ac:dyDescent="0.2">
      <c r="A13705" s="1" t="s">
        <v>3615</v>
      </c>
    </row>
    <row r="13706" spans="1:1" x14ac:dyDescent="0.2">
      <c r="A13706" s="1" t="s">
        <v>3616</v>
      </c>
    </row>
    <row r="13707" spans="1:1" x14ac:dyDescent="0.2">
      <c r="A13707" s="1" t="s">
        <v>3617</v>
      </c>
    </row>
    <row r="13708" spans="1:1" x14ac:dyDescent="0.2">
      <c r="A13708" s="1" t="s">
        <v>3618</v>
      </c>
    </row>
    <row r="13709" spans="1:1" x14ac:dyDescent="0.2">
      <c r="A13709" s="1" t="s">
        <v>3619</v>
      </c>
    </row>
    <row r="13710" spans="1:1" x14ac:dyDescent="0.2">
      <c r="A13710" s="1" t="s">
        <v>3620</v>
      </c>
    </row>
    <row r="13711" spans="1:1" x14ac:dyDescent="0.2">
      <c r="A13711" s="1" t="s">
        <v>3621</v>
      </c>
    </row>
    <row r="13712" spans="1:1" x14ac:dyDescent="0.2">
      <c r="A13712" s="1" t="s">
        <v>3622</v>
      </c>
    </row>
    <row r="13713" spans="1:1" x14ac:dyDescent="0.2">
      <c r="A13713" s="1" t="s">
        <v>3623</v>
      </c>
    </row>
    <row r="13714" spans="1:1" x14ac:dyDescent="0.2">
      <c r="A13714" s="1" t="s">
        <v>3624</v>
      </c>
    </row>
    <row r="13715" spans="1:1" x14ac:dyDescent="0.2">
      <c r="A13715" s="1" t="s">
        <v>3625</v>
      </c>
    </row>
    <row r="13716" spans="1:1" x14ac:dyDescent="0.2">
      <c r="A13716" s="1" t="s">
        <v>3626</v>
      </c>
    </row>
    <row r="13717" spans="1:1" x14ac:dyDescent="0.2">
      <c r="A13717" s="1" t="s">
        <v>3627</v>
      </c>
    </row>
    <row r="13718" spans="1:1" x14ac:dyDescent="0.2">
      <c r="A13718" s="1" t="s">
        <v>3628</v>
      </c>
    </row>
    <row r="13719" spans="1:1" x14ac:dyDescent="0.2">
      <c r="A13719" s="1" t="s">
        <v>3629</v>
      </c>
    </row>
    <row r="13720" spans="1:1" x14ac:dyDescent="0.2">
      <c r="A13720" s="1" t="s">
        <v>3630</v>
      </c>
    </row>
    <row r="13721" spans="1:1" x14ac:dyDescent="0.2">
      <c r="A13721" s="1" t="s">
        <v>3631</v>
      </c>
    </row>
    <row r="13722" spans="1:1" x14ac:dyDescent="0.2">
      <c r="A13722" s="1" t="s">
        <v>3631</v>
      </c>
    </row>
    <row r="13723" spans="1:1" x14ac:dyDescent="0.2">
      <c r="A13723" s="1" t="s">
        <v>3632</v>
      </c>
    </row>
    <row r="13724" spans="1:1" x14ac:dyDescent="0.2">
      <c r="A13724" s="1" t="s">
        <v>3633</v>
      </c>
    </row>
    <row r="13725" spans="1:1" x14ac:dyDescent="0.2">
      <c r="A13725" s="1" t="s">
        <v>3634</v>
      </c>
    </row>
    <row r="13726" spans="1:1" x14ac:dyDescent="0.2">
      <c r="A13726" s="1" t="s">
        <v>3635</v>
      </c>
    </row>
    <row r="13727" spans="1:1" x14ac:dyDescent="0.2">
      <c r="A13727" s="1" t="s">
        <v>3636</v>
      </c>
    </row>
    <row r="13728" spans="1:1" x14ac:dyDescent="0.2">
      <c r="A13728" s="1" t="s">
        <v>3637</v>
      </c>
    </row>
    <row r="13729" spans="1:1" x14ac:dyDescent="0.2">
      <c r="A13729" s="1" t="s">
        <v>3638</v>
      </c>
    </row>
    <row r="13730" spans="1:1" x14ac:dyDescent="0.2">
      <c r="A13730" s="1" t="s">
        <v>3639</v>
      </c>
    </row>
    <row r="13731" spans="1:1" x14ac:dyDescent="0.2">
      <c r="A13731" s="1" t="s">
        <v>3639</v>
      </c>
    </row>
    <row r="13732" spans="1:1" x14ac:dyDescent="0.2">
      <c r="A13732" s="1" t="s">
        <v>3639</v>
      </c>
    </row>
    <row r="13733" spans="1:1" x14ac:dyDescent="0.2">
      <c r="A13733" s="1" t="s">
        <v>3639</v>
      </c>
    </row>
    <row r="13734" spans="1:1" x14ac:dyDescent="0.2">
      <c r="A13734" s="1" t="s">
        <v>3640</v>
      </c>
    </row>
    <row r="13735" spans="1:1" x14ac:dyDescent="0.2">
      <c r="A13735" s="1" t="s">
        <v>3631</v>
      </c>
    </row>
    <row r="13736" spans="1:1" x14ac:dyDescent="0.2">
      <c r="A13736" s="1" t="s">
        <v>3631</v>
      </c>
    </row>
    <row r="13737" spans="1:1" x14ac:dyDescent="0.2">
      <c r="A13737" s="1" t="s">
        <v>3631</v>
      </c>
    </row>
    <row r="13738" spans="1:1" x14ac:dyDescent="0.2">
      <c r="A13738" s="1" t="s">
        <v>3632</v>
      </c>
    </row>
    <row r="13739" spans="1:1" x14ac:dyDescent="0.2">
      <c r="A13739" s="1" t="s">
        <v>3633</v>
      </c>
    </row>
    <row r="13740" spans="1:1" x14ac:dyDescent="0.2">
      <c r="A13740" s="1" t="s">
        <v>3634</v>
      </c>
    </row>
    <row r="13741" spans="1:1" x14ac:dyDescent="0.2">
      <c r="A13741" s="1" t="s">
        <v>3635</v>
      </c>
    </row>
    <row r="13742" spans="1:1" x14ac:dyDescent="0.2">
      <c r="A13742" s="1" t="s">
        <v>3636</v>
      </c>
    </row>
    <row r="13743" spans="1:1" x14ac:dyDescent="0.2">
      <c r="A13743" s="1" t="s">
        <v>3637</v>
      </c>
    </row>
    <row r="13744" spans="1:1" x14ac:dyDescent="0.2">
      <c r="A13744" s="1" t="s">
        <v>3638</v>
      </c>
    </row>
    <row r="13745" spans="1:1" x14ac:dyDescent="0.2">
      <c r="A13745" s="1" t="s">
        <v>3639</v>
      </c>
    </row>
    <row r="13746" spans="1:1" x14ac:dyDescent="0.2">
      <c r="A13746" s="1" t="s">
        <v>3639</v>
      </c>
    </row>
    <row r="13747" spans="1:1" x14ac:dyDescent="0.2">
      <c r="A13747" s="1" t="s">
        <v>3639</v>
      </c>
    </row>
    <row r="13748" spans="1:1" x14ac:dyDescent="0.2">
      <c r="A13748" s="1" t="s">
        <v>3639</v>
      </c>
    </row>
    <row r="13749" spans="1:1" x14ac:dyDescent="0.2">
      <c r="A13749" s="1" t="s">
        <v>3640</v>
      </c>
    </row>
    <row r="13750" spans="1:1" x14ac:dyDescent="0.2">
      <c r="A13750" s="1" t="s">
        <v>3631</v>
      </c>
    </row>
    <row r="13751" spans="1:1" x14ac:dyDescent="0.2">
      <c r="A13751" s="1" t="s">
        <v>3631</v>
      </c>
    </row>
    <row r="13752" spans="1:1" x14ac:dyDescent="0.2">
      <c r="A13752" s="1" t="s">
        <v>3631</v>
      </c>
    </row>
    <row r="13753" spans="1:1" x14ac:dyDescent="0.2">
      <c r="A13753" s="1" t="s">
        <v>3632</v>
      </c>
    </row>
    <row r="13754" spans="1:1" x14ac:dyDescent="0.2">
      <c r="A13754" s="1" t="s">
        <v>3633</v>
      </c>
    </row>
    <row r="13755" spans="1:1" x14ac:dyDescent="0.2">
      <c r="A13755" s="1" t="s">
        <v>3634</v>
      </c>
    </row>
    <row r="13756" spans="1:1" x14ac:dyDescent="0.2">
      <c r="A13756" s="1" t="s">
        <v>3635</v>
      </c>
    </row>
    <row r="13757" spans="1:1" x14ac:dyDescent="0.2">
      <c r="A13757" s="1" t="s">
        <v>3636</v>
      </c>
    </row>
    <row r="13758" spans="1:1" x14ac:dyDescent="0.2">
      <c r="A13758" s="1" t="s">
        <v>3637</v>
      </c>
    </row>
    <row r="13759" spans="1:1" x14ac:dyDescent="0.2">
      <c r="A13759" s="1" t="s">
        <v>3638</v>
      </c>
    </row>
    <row r="13760" spans="1:1" x14ac:dyDescent="0.2">
      <c r="A13760" s="1" t="s">
        <v>3639</v>
      </c>
    </row>
    <row r="13761" spans="1:1" x14ac:dyDescent="0.2">
      <c r="A13761" s="1" t="s">
        <v>3639</v>
      </c>
    </row>
    <row r="13762" spans="1:1" x14ac:dyDescent="0.2">
      <c r="A13762" s="1" t="s">
        <v>3639</v>
      </c>
    </row>
    <row r="13763" spans="1:1" x14ac:dyDescent="0.2">
      <c r="A13763" s="1" t="s">
        <v>3639</v>
      </c>
    </row>
    <row r="13764" spans="1:1" x14ac:dyDescent="0.2">
      <c r="A13764" s="1" t="s">
        <v>3640</v>
      </c>
    </row>
    <row r="13765" spans="1:1" x14ac:dyDescent="0.2">
      <c r="A13765" s="1" t="s">
        <v>3631</v>
      </c>
    </row>
    <row r="13766" spans="1:1" x14ac:dyDescent="0.2">
      <c r="A13766" s="1" t="s">
        <v>3631</v>
      </c>
    </row>
    <row r="13767" spans="1:1" x14ac:dyDescent="0.2">
      <c r="A13767" s="1" t="s">
        <v>3631</v>
      </c>
    </row>
    <row r="13768" spans="1:1" x14ac:dyDescent="0.2">
      <c r="A13768" s="1" t="s">
        <v>3632</v>
      </c>
    </row>
    <row r="13769" spans="1:1" x14ac:dyDescent="0.2">
      <c r="A13769" s="1" t="s">
        <v>3633</v>
      </c>
    </row>
    <row r="13770" spans="1:1" x14ac:dyDescent="0.2">
      <c r="A13770" s="1" t="s">
        <v>3634</v>
      </c>
    </row>
    <row r="13771" spans="1:1" x14ac:dyDescent="0.2">
      <c r="A13771" s="1" t="s">
        <v>3635</v>
      </c>
    </row>
    <row r="13772" spans="1:1" x14ac:dyDescent="0.2">
      <c r="A13772" s="1" t="s">
        <v>3636</v>
      </c>
    </row>
    <row r="13773" spans="1:1" x14ac:dyDescent="0.2">
      <c r="A13773" s="1" t="s">
        <v>3637</v>
      </c>
    </row>
    <row r="13774" spans="1:1" x14ac:dyDescent="0.2">
      <c r="A13774" s="1" t="s">
        <v>3638</v>
      </c>
    </row>
    <row r="13775" spans="1:1" x14ac:dyDescent="0.2">
      <c r="A13775" s="1" t="s">
        <v>3639</v>
      </c>
    </row>
    <row r="13776" spans="1:1" x14ac:dyDescent="0.2">
      <c r="A13776" s="1" t="s">
        <v>3639</v>
      </c>
    </row>
    <row r="13777" spans="1:1" x14ac:dyDescent="0.2">
      <c r="A13777" s="1" t="s">
        <v>3639</v>
      </c>
    </row>
    <row r="13778" spans="1:1" x14ac:dyDescent="0.2">
      <c r="A13778" s="1" t="s">
        <v>3639</v>
      </c>
    </row>
    <row r="13779" spans="1:1" x14ac:dyDescent="0.2">
      <c r="A13779" s="1" t="s">
        <v>3640</v>
      </c>
    </row>
    <row r="13780" spans="1:1" x14ac:dyDescent="0.2">
      <c r="A13780" s="1" t="s">
        <v>3631</v>
      </c>
    </row>
    <row r="13781" spans="1:1" x14ac:dyDescent="0.2">
      <c r="A13781" s="1" t="s">
        <v>3631</v>
      </c>
    </row>
    <row r="13782" spans="1:1" x14ac:dyDescent="0.2">
      <c r="A13782" s="1" t="s">
        <v>3631</v>
      </c>
    </row>
    <row r="13783" spans="1:1" x14ac:dyDescent="0.2">
      <c r="A13783" s="1" t="s">
        <v>3632</v>
      </c>
    </row>
    <row r="13784" spans="1:1" x14ac:dyDescent="0.2">
      <c r="A13784" s="1" t="s">
        <v>3633</v>
      </c>
    </row>
    <row r="13785" spans="1:1" x14ac:dyDescent="0.2">
      <c r="A13785" s="1" t="s">
        <v>3634</v>
      </c>
    </row>
    <row r="13786" spans="1:1" x14ac:dyDescent="0.2">
      <c r="A13786" s="1" t="s">
        <v>3635</v>
      </c>
    </row>
    <row r="13787" spans="1:1" x14ac:dyDescent="0.2">
      <c r="A13787" s="1" t="s">
        <v>3636</v>
      </c>
    </row>
    <row r="13788" spans="1:1" x14ac:dyDescent="0.2">
      <c r="A13788" s="1" t="s">
        <v>3637</v>
      </c>
    </row>
    <row r="13789" spans="1:1" x14ac:dyDescent="0.2">
      <c r="A13789" s="1" t="s">
        <v>3638</v>
      </c>
    </row>
    <row r="13790" spans="1:1" x14ac:dyDescent="0.2">
      <c r="A13790" s="1" t="s">
        <v>3639</v>
      </c>
    </row>
    <row r="13791" spans="1:1" x14ac:dyDescent="0.2">
      <c r="A13791" s="1" t="s">
        <v>3639</v>
      </c>
    </row>
    <row r="13792" spans="1:1" x14ac:dyDescent="0.2">
      <c r="A13792" s="1" t="s">
        <v>3639</v>
      </c>
    </row>
    <row r="13793" spans="1:1" x14ac:dyDescent="0.2">
      <c r="A13793" s="1" t="s">
        <v>3639</v>
      </c>
    </row>
    <row r="13794" spans="1:1" x14ac:dyDescent="0.2">
      <c r="A13794" s="1" t="s">
        <v>3640</v>
      </c>
    </row>
    <row r="13795" spans="1:1" x14ac:dyDescent="0.2">
      <c r="A13795" s="1" t="s">
        <v>3631</v>
      </c>
    </row>
    <row r="13796" spans="1:1" x14ac:dyDescent="0.2">
      <c r="A13796" s="1" t="s">
        <v>3641</v>
      </c>
    </row>
    <row r="13797" spans="1:1" x14ac:dyDescent="0.2">
      <c r="A13797" s="1" t="s">
        <v>3642</v>
      </c>
    </row>
    <row r="13798" spans="1:1" x14ac:dyDescent="0.2">
      <c r="A13798" s="1" t="s">
        <v>3631</v>
      </c>
    </row>
    <row r="13799" spans="1:1" x14ac:dyDescent="0.2">
      <c r="A13799" s="1" t="s">
        <v>3643</v>
      </c>
    </row>
    <row r="13800" spans="1:1" x14ac:dyDescent="0.2">
      <c r="A13800" s="1" t="s">
        <v>3644</v>
      </c>
    </row>
    <row r="13801" spans="1:1" x14ac:dyDescent="0.2">
      <c r="A13801" s="1" t="s">
        <v>3645</v>
      </c>
    </row>
    <row r="13802" spans="1:1" x14ac:dyDescent="0.2">
      <c r="A13802" s="1" t="s">
        <v>3646</v>
      </c>
    </row>
    <row r="13803" spans="1:1" x14ac:dyDescent="0.2">
      <c r="A13803" s="1" t="s">
        <v>3647</v>
      </c>
    </row>
    <row r="13804" spans="1:1" x14ac:dyDescent="0.2">
      <c r="A13804" s="1" t="s">
        <v>3648</v>
      </c>
    </row>
    <row r="13805" spans="1:1" x14ac:dyDescent="0.2">
      <c r="A13805" s="1" t="s">
        <v>3649</v>
      </c>
    </row>
    <row r="13806" spans="1:1" x14ac:dyDescent="0.2">
      <c r="A13806" s="1" t="s">
        <v>3650</v>
      </c>
    </row>
    <row r="13807" spans="1:1" x14ac:dyDescent="0.2">
      <c r="A13807" s="1" t="s">
        <v>3641</v>
      </c>
    </row>
    <row r="13808" spans="1:1" x14ac:dyDescent="0.2">
      <c r="A13808" s="1" t="s">
        <v>3651</v>
      </c>
    </row>
    <row r="13809" spans="1:1" x14ac:dyDescent="0.2">
      <c r="A13809" s="1" t="s">
        <v>3631</v>
      </c>
    </row>
    <row r="13810" spans="1:1" x14ac:dyDescent="0.2">
      <c r="A13810" s="1" t="s">
        <v>3643</v>
      </c>
    </row>
    <row r="13811" spans="1:1" x14ac:dyDescent="0.2">
      <c r="A13811" s="1" t="s">
        <v>3644</v>
      </c>
    </row>
    <row r="13812" spans="1:1" x14ac:dyDescent="0.2">
      <c r="A13812" s="1" t="s">
        <v>3652</v>
      </c>
    </row>
    <row r="13813" spans="1:1" x14ac:dyDescent="0.2">
      <c r="A13813" s="1" t="s">
        <v>3646</v>
      </c>
    </row>
    <row r="13814" spans="1:1" x14ac:dyDescent="0.2">
      <c r="A13814" s="1" t="s">
        <v>3647</v>
      </c>
    </row>
    <row r="13815" spans="1:1" x14ac:dyDescent="0.2">
      <c r="A13815" s="1" t="s">
        <v>3648</v>
      </c>
    </row>
    <row r="13816" spans="1:1" x14ac:dyDescent="0.2">
      <c r="A13816" s="1" t="s">
        <v>3649</v>
      </c>
    </row>
    <row r="13817" spans="1:1" x14ac:dyDescent="0.2">
      <c r="A13817" s="1" t="s">
        <v>3650</v>
      </c>
    </row>
    <row r="13818" spans="1:1" x14ac:dyDescent="0.2">
      <c r="A13818" s="1" t="s">
        <v>3653</v>
      </c>
    </row>
    <row r="13819" spans="1:1" x14ac:dyDescent="0.2">
      <c r="A13819" s="1" t="s">
        <v>3653</v>
      </c>
    </row>
    <row r="13820" spans="1:1" x14ac:dyDescent="0.2">
      <c r="A13820" s="1" t="s">
        <v>3654</v>
      </c>
    </row>
    <row r="13821" spans="1:1" x14ac:dyDescent="0.2">
      <c r="A13821" s="1" t="s">
        <v>3655</v>
      </c>
    </row>
    <row r="13822" spans="1:1" x14ac:dyDescent="0.2">
      <c r="A13822" s="1" t="s">
        <v>3656</v>
      </c>
    </row>
    <row r="13823" spans="1:1" x14ac:dyDescent="0.2">
      <c r="A13823" s="1" t="s">
        <v>3657</v>
      </c>
    </row>
    <row r="13824" spans="1:1" x14ac:dyDescent="0.2">
      <c r="A13824" s="1" t="s">
        <v>3658</v>
      </c>
    </row>
    <row r="13825" spans="1:1" x14ac:dyDescent="0.2">
      <c r="A13825" s="1" t="s">
        <v>3659</v>
      </c>
    </row>
    <row r="13826" spans="1:1" x14ac:dyDescent="0.2">
      <c r="A13826" s="1" t="s">
        <v>3660</v>
      </c>
    </row>
    <row r="13827" spans="1:1" x14ac:dyDescent="0.2">
      <c r="A13827" s="1" t="s">
        <v>3661</v>
      </c>
    </row>
    <row r="13828" spans="1:1" x14ac:dyDescent="0.2">
      <c r="A13828" s="1" t="s">
        <v>3661</v>
      </c>
    </row>
    <row r="13829" spans="1:1" x14ac:dyDescent="0.2">
      <c r="A13829" s="1" t="s">
        <v>3661</v>
      </c>
    </row>
    <row r="13830" spans="1:1" x14ac:dyDescent="0.2">
      <c r="A13830" s="1" t="s">
        <v>3661</v>
      </c>
    </row>
    <row r="13831" spans="1:1" x14ac:dyDescent="0.2">
      <c r="A13831" s="1" t="s">
        <v>3662</v>
      </c>
    </row>
    <row r="13832" spans="1:1" x14ac:dyDescent="0.2">
      <c r="A13832" s="1" t="s">
        <v>3653</v>
      </c>
    </row>
    <row r="13833" spans="1:1" x14ac:dyDescent="0.2">
      <c r="A13833" s="1" t="s">
        <v>3653</v>
      </c>
    </row>
    <row r="13834" spans="1:1" x14ac:dyDescent="0.2">
      <c r="A13834" s="1" t="s">
        <v>3653</v>
      </c>
    </row>
    <row r="13835" spans="1:1" x14ac:dyDescent="0.2">
      <c r="A13835" s="1" t="s">
        <v>3654</v>
      </c>
    </row>
    <row r="13836" spans="1:1" x14ac:dyDescent="0.2">
      <c r="A13836" s="1" t="s">
        <v>3655</v>
      </c>
    </row>
    <row r="13837" spans="1:1" x14ac:dyDescent="0.2">
      <c r="A13837" s="1" t="s">
        <v>3656</v>
      </c>
    </row>
    <row r="13838" spans="1:1" x14ac:dyDescent="0.2">
      <c r="A13838" s="1" t="s">
        <v>3657</v>
      </c>
    </row>
    <row r="13839" spans="1:1" x14ac:dyDescent="0.2">
      <c r="A13839" s="1" t="s">
        <v>3658</v>
      </c>
    </row>
    <row r="13840" spans="1:1" x14ac:dyDescent="0.2">
      <c r="A13840" s="1" t="s">
        <v>3659</v>
      </c>
    </row>
    <row r="13841" spans="1:1" x14ac:dyDescent="0.2">
      <c r="A13841" s="1" t="s">
        <v>3660</v>
      </c>
    </row>
    <row r="13842" spans="1:1" x14ac:dyDescent="0.2">
      <c r="A13842" s="1" t="s">
        <v>3661</v>
      </c>
    </row>
    <row r="13843" spans="1:1" x14ac:dyDescent="0.2">
      <c r="A13843" s="1" t="s">
        <v>3661</v>
      </c>
    </row>
    <row r="13844" spans="1:1" x14ac:dyDescent="0.2">
      <c r="A13844" s="1" t="s">
        <v>3661</v>
      </c>
    </row>
    <row r="13845" spans="1:1" x14ac:dyDescent="0.2">
      <c r="A13845" s="1" t="s">
        <v>3661</v>
      </c>
    </row>
    <row r="13846" spans="1:1" x14ac:dyDescent="0.2">
      <c r="A13846" s="1" t="s">
        <v>3662</v>
      </c>
    </row>
    <row r="13847" spans="1:1" x14ac:dyDescent="0.2">
      <c r="A13847" s="1" t="s">
        <v>3653</v>
      </c>
    </row>
    <row r="13848" spans="1:1" x14ac:dyDescent="0.2">
      <c r="A13848" s="1" t="s">
        <v>3653</v>
      </c>
    </row>
    <row r="13849" spans="1:1" x14ac:dyDescent="0.2">
      <c r="A13849" s="1" t="s">
        <v>3653</v>
      </c>
    </row>
    <row r="13850" spans="1:1" x14ac:dyDescent="0.2">
      <c r="A13850" s="1" t="s">
        <v>3654</v>
      </c>
    </row>
    <row r="13851" spans="1:1" x14ac:dyDescent="0.2">
      <c r="A13851" s="1" t="s">
        <v>3655</v>
      </c>
    </row>
    <row r="13852" spans="1:1" x14ac:dyDescent="0.2">
      <c r="A13852" s="1" t="s">
        <v>3656</v>
      </c>
    </row>
    <row r="13853" spans="1:1" x14ac:dyDescent="0.2">
      <c r="A13853" s="1" t="s">
        <v>3657</v>
      </c>
    </row>
    <row r="13854" spans="1:1" x14ac:dyDescent="0.2">
      <c r="A13854" s="1" t="s">
        <v>3658</v>
      </c>
    </row>
    <row r="13855" spans="1:1" x14ac:dyDescent="0.2">
      <c r="A13855" s="1" t="s">
        <v>3659</v>
      </c>
    </row>
    <row r="13856" spans="1:1" x14ac:dyDescent="0.2">
      <c r="A13856" s="1" t="s">
        <v>3660</v>
      </c>
    </row>
    <row r="13857" spans="1:1" x14ac:dyDescent="0.2">
      <c r="A13857" s="1" t="s">
        <v>3661</v>
      </c>
    </row>
    <row r="13858" spans="1:1" x14ac:dyDescent="0.2">
      <c r="A13858" s="1" t="s">
        <v>3661</v>
      </c>
    </row>
    <row r="13859" spans="1:1" x14ac:dyDescent="0.2">
      <c r="A13859" s="1" t="s">
        <v>3661</v>
      </c>
    </row>
    <row r="13860" spans="1:1" x14ac:dyDescent="0.2">
      <c r="A13860" s="1" t="s">
        <v>3661</v>
      </c>
    </row>
    <row r="13861" spans="1:1" x14ac:dyDescent="0.2">
      <c r="A13861" s="1" t="s">
        <v>3662</v>
      </c>
    </row>
    <row r="13862" spans="1:1" x14ac:dyDescent="0.2">
      <c r="A13862" s="1" t="s">
        <v>3653</v>
      </c>
    </row>
    <row r="13863" spans="1:1" x14ac:dyDescent="0.2">
      <c r="A13863" s="1" t="s">
        <v>3653</v>
      </c>
    </row>
    <row r="13864" spans="1:1" x14ac:dyDescent="0.2">
      <c r="A13864" s="1" t="s">
        <v>3653</v>
      </c>
    </row>
    <row r="13865" spans="1:1" x14ac:dyDescent="0.2">
      <c r="A13865" s="1" t="s">
        <v>3654</v>
      </c>
    </row>
    <row r="13866" spans="1:1" x14ac:dyDescent="0.2">
      <c r="A13866" s="1" t="s">
        <v>3655</v>
      </c>
    </row>
    <row r="13867" spans="1:1" x14ac:dyDescent="0.2">
      <c r="A13867" s="1" t="s">
        <v>3656</v>
      </c>
    </row>
    <row r="13868" spans="1:1" x14ac:dyDescent="0.2">
      <c r="A13868" s="1" t="s">
        <v>3657</v>
      </c>
    </row>
    <row r="13869" spans="1:1" x14ac:dyDescent="0.2">
      <c r="A13869" s="1" t="s">
        <v>3658</v>
      </c>
    </row>
    <row r="13870" spans="1:1" x14ac:dyDescent="0.2">
      <c r="A13870" s="1" t="s">
        <v>3659</v>
      </c>
    </row>
    <row r="13871" spans="1:1" x14ac:dyDescent="0.2">
      <c r="A13871" s="1" t="s">
        <v>3660</v>
      </c>
    </row>
    <row r="13872" spans="1:1" x14ac:dyDescent="0.2">
      <c r="A13872" s="1" t="s">
        <v>3661</v>
      </c>
    </row>
    <row r="13873" spans="1:1" x14ac:dyDescent="0.2">
      <c r="A13873" s="1" t="s">
        <v>3661</v>
      </c>
    </row>
    <row r="13874" spans="1:1" x14ac:dyDescent="0.2">
      <c r="A13874" s="1" t="s">
        <v>3661</v>
      </c>
    </row>
    <row r="13875" spans="1:1" x14ac:dyDescent="0.2">
      <c r="A13875" s="1" t="s">
        <v>3661</v>
      </c>
    </row>
    <row r="13876" spans="1:1" x14ac:dyDescent="0.2">
      <c r="A13876" s="1" t="s">
        <v>3662</v>
      </c>
    </row>
    <row r="13877" spans="1:1" x14ac:dyDescent="0.2">
      <c r="A13877" s="1" t="s">
        <v>3653</v>
      </c>
    </row>
    <row r="13878" spans="1:1" x14ac:dyDescent="0.2">
      <c r="A13878" s="1" t="s">
        <v>3653</v>
      </c>
    </row>
    <row r="13879" spans="1:1" x14ac:dyDescent="0.2">
      <c r="A13879" s="1" t="s">
        <v>3653</v>
      </c>
    </row>
    <row r="13880" spans="1:1" x14ac:dyDescent="0.2">
      <c r="A13880" s="1" t="s">
        <v>3654</v>
      </c>
    </row>
    <row r="13881" spans="1:1" x14ac:dyDescent="0.2">
      <c r="A13881" s="1" t="s">
        <v>3655</v>
      </c>
    </row>
    <row r="13882" spans="1:1" x14ac:dyDescent="0.2">
      <c r="A13882" s="1" t="s">
        <v>3656</v>
      </c>
    </row>
    <row r="13883" spans="1:1" x14ac:dyDescent="0.2">
      <c r="A13883" s="1" t="s">
        <v>3657</v>
      </c>
    </row>
    <row r="13884" spans="1:1" x14ac:dyDescent="0.2">
      <c r="A13884" s="1" t="s">
        <v>3658</v>
      </c>
    </row>
    <row r="13885" spans="1:1" x14ac:dyDescent="0.2">
      <c r="A13885" s="1" t="s">
        <v>3659</v>
      </c>
    </row>
    <row r="13886" spans="1:1" x14ac:dyDescent="0.2">
      <c r="A13886" s="1" t="s">
        <v>3660</v>
      </c>
    </row>
    <row r="13887" spans="1:1" x14ac:dyDescent="0.2">
      <c r="A13887" s="1" t="s">
        <v>3661</v>
      </c>
    </row>
    <row r="13888" spans="1:1" x14ac:dyDescent="0.2">
      <c r="A13888" s="1" t="s">
        <v>3661</v>
      </c>
    </row>
    <row r="13889" spans="1:1" x14ac:dyDescent="0.2">
      <c r="A13889" s="1" t="s">
        <v>3661</v>
      </c>
    </row>
    <row r="13890" spans="1:1" x14ac:dyDescent="0.2">
      <c r="A13890" s="1" t="s">
        <v>3661</v>
      </c>
    </row>
    <row r="13891" spans="1:1" x14ac:dyDescent="0.2">
      <c r="A13891" s="1" t="s">
        <v>3662</v>
      </c>
    </row>
    <row r="13892" spans="1:1" x14ac:dyDescent="0.2">
      <c r="A13892" s="1" t="s">
        <v>3653</v>
      </c>
    </row>
    <row r="13893" spans="1:1" x14ac:dyDescent="0.2">
      <c r="A13893" s="1" t="s">
        <v>3663</v>
      </c>
    </row>
    <row r="13894" spans="1:1" x14ac:dyDescent="0.2">
      <c r="A13894" s="1" t="s">
        <v>3664</v>
      </c>
    </row>
    <row r="13895" spans="1:1" x14ac:dyDescent="0.2">
      <c r="A13895" s="1" t="s">
        <v>3653</v>
      </c>
    </row>
    <row r="13896" spans="1:1" x14ac:dyDescent="0.2">
      <c r="A13896" s="1" t="s">
        <v>3665</v>
      </c>
    </row>
    <row r="13897" spans="1:1" x14ac:dyDescent="0.2">
      <c r="A13897" s="1" t="s">
        <v>3666</v>
      </c>
    </row>
    <row r="13898" spans="1:1" x14ac:dyDescent="0.2">
      <c r="A13898" s="1" t="s">
        <v>3667</v>
      </c>
    </row>
    <row r="13899" spans="1:1" x14ac:dyDescent="0.2">
      <c r="A13899" s="1" t="s">
        <v>3668</v>
      </c>
    </row>
    <row r="13900" spans="1:1" x14ac:dyDescent="0.2">
      <c r="A13900" s="1" t="s">
        <v>3669</v>
      </c>
    </row>
    <row r="13901" spans="1:1" x14ac:dyDescent="0.2">
      <c r="A13901" s="1" t="s">
        <v>3670</v>
      </c>
    </row>
    <row r="13902" spans="1:1" x14ac:dyDescent="0.2">
      <c r="A13902" s="1" t="s">
        <v>3671</v>
      </c>
    </row>
    <row r="13903" spans="1:1" x14ac:dyDescent="0.2">
      <c r="A13903" s="1" t="s">
        <v>3672</v>
      </c>
    </row>
    <row r="13904" spans="1:1" x14ac:dyDescent="0.2">
      <c r="A13904" s="1" t="s">
        <v>3673</v>
      </c>
    </row>
    <row r="13905" spans="1:1" x14ac:dyDescent="0.2">
      <c r="A13905" s="1" t="s">
        <v>3674</v>
      </c>
    </row>
    <row r="13906" spans="1:1" x14ac:dyDescent="0.2">
      <c r="A13906" s="1" t="s">
        <v>3675</v>
      </c>
    </row>
    <row r="13907" spans="1:1" x14ac:dyDescent="0.2">
      <c r="A13907" s="1" t="s">
        <v>3676</v>
      </c>
    </row>
    <row r="13908" spans="1:1" x14ac:dyDescent="0.2">
      <c r="A13908" s="1" t="s">
        <v>3677</v>
      </c>
    </row>
    <row r="13909" spans="1:1" x14ac:dyDescent="0.2">
      <c r="A13909" s="1" t="s">
        <v>3678</v>
      </c>
    </row>
    <row r="13910" spans="1:1" x14ac:dyDescent="0.2">
      <c r="A13910" s="1" t="s">
        <v>3679</v>
      </c>
    </row>
    <row r="13911" spans="1:1" x14ac:dyDescent="0.2">
      <c r="A13911" s="1" t="s">
        <v>3680</v>
      </c>
    </row>
    <row r="13912" spans="1:1" x14ac:dyDescent="0.2">
      <c r="A13912" s="1" t="s">
        <v>3681</v>
      </c>
    </row>
    <row r="13913" spans="1:1" x14ac:dyDescent="0.2">
      <c r="A13913" s="1" t="s">
        <v>3682</v>
      </c>
    </row>
    <row r="13914" spans="1:1" x14ac:dyDescent="0.2">
      <c r="A13914" s="1" t="s">
        <v>3683</v>
      </c>
    </row>
    <row r="13915" spans="1:1" x14ac:dyDescent="0.2">
      <c r="A13915" s="1" t="s">
        <v>3684</v>
      </c>
    </row>
    <row r="13916" spans="1:1" x14ac:dyDescent="0.2">
      <c r="A13916" s="1" t="s">
        <v>3685</v>
      </c>
    </row>
    <row r="13917" spans="1:1" x14ac:dyDescent="0.2">
      <c r="A13917" s="1" t="s">
        <v>3686</v>
      </c>
    </row>
    <row r="13918" spans="1:1" x14ac:dyDescent="0.2">
      <c r="A13918" s="1" t="s">
        <v>3687</v>
      </c>
    </row>
    <row r="13919" spans="1:1" x14ac:dyDescent="0.2">
      <c r="A13919" s="1" t="s">
        <v>3688</v>
      </c>
    </row>
    <row r="13920" spans="1:1" x14ac:dyDescent="0.2">
      <c r="A13920" s="1" t="s">
        <v>3689</v>
      </c>
    </row>
    <row r="13921" spans="1:1" x14ac:dyDescent="0.2">
      <c r="A13921" s="1" t="s">
        <v>3690</v>
      </c>
    </row>
    <row r="13922" spans="1:1" x14ac:dyDescent="0.2">
      <c r="A13922" s="1" t="s">
        <v>3691</v>
      </c>
    </row>
    <row r="13923" spans="1:1" x14ac:dyDescent="0.2">
      <c r="A13923" s="1" t="s">
        <v>3692</v>
      </c>
    </row>
    <row r="13924" spans="1:1" x14ac:dyDescent="0.2">
      <c r="A13924" s="1" t="s">
        <v>3693</v>
      </c>
    </row>
    <row r="13925" spans="1:1" x14ac:dyDescent="0.2">
      <c r="A13925" s="1" t="s">
        <v>3694</v>
      </c>
    </row>
    <row r="13926" spans="1:1" x14ac:dyDescent="0.2">
      <c r="A13926" s="1" t="s">
        <v>3695</v>
      </c>
    </row>
    <row r="13927" spans="1:1" x14ac:dyDescent="0.2">
      <c r="A13927" s="1" t="s">
        <v>3696</v>
      </c>
    </row>
    <row r="13928" spans="1:1" x14ac:dyDescent="0.2">
      <c r="A13928" s="1" t="s">
        <v>3697</v>
      </c>
    </row>
    <row r="13929" spans="1:1" x14ac:dyDescent="0.2">
      <c r="A13929" s="1" t="s">
        <v>3698</v>
      </c>
    </row>
    <row r="13930" spans="1:1" x14ac:dyDescent="0.2">
      <c r="A13930" s="1" t="s">
        <v>3699</v>
      </c>
    </row>
    <row r="13931" spans="1:1" x14ac:dyDescent="0.2">
      <c r="A13931" s="1" t="s">
        <v>3700</v>
      </c>
    </row>
    <row r="13932" spans="1:1" x14ac:dyDescent="0.2">
      <c r="A13932" s="1" t="s">
        <v>3701</v>
      </c>
    </row>
    <row r="13933" spans="1:1" x14ac:dyDescent="0.2">
      <c r="A13933" s="1" t="s">
        <v>3702</v>
      </c>
    </row>
    <row r="13934" spans="1:1" x14ac:dyDescent="0.2">
      <c r="A13934" s="1" t="s">
        <v>3703</v>
      </c>
    </row>
    <row r="13935" spans="1:1" x14ac:dyDescent="0.2">
      <c r="A13935" s="1" t="s">
        <v>3704</v>
      </c>
    </row>
    <row r="13936" spans="1:1" x14ac:dyDescent="0.2">
      <c r="A13936" s="1" t="s">
        <v>3705</v>
      </c>
    </row>
    <row r="13937" spans="1:1" x14ac:dyDescent="0.2">
      <c r="A13937" s="1" t="s">
        <v>3706</v>
      </c>
    </row>
    <row r="13938" spans="1:1" x14ac:dyDescent="0.2">
      <c r="A13938" s="1" t="s">
        <v>3707</v>
      </c>
    </row>
    <row r="13939" spans="1:1" x14ac:dyDescent="0.2">
      <c r="A13939" s="1" t="s">
        <v>3708</v>
      </c>
    </row>
    <row r="13940" spans="1:1" x14ac:dyDescent="0.2">
      <c r="A13940" s="1" t="s">
        <v>3709</v>
      </c>
    </row>
    <row r="13941" spans="1:1" x14ac:dyDescent="0.2">
      <c r="A13941" s="1" t="s">
        <v>3710</v>
      </c>
    </row>
    <row r="13942" spans="1:1" x14ac:dyDescent="0.2">
      <c r="A13942" s="1" t="s">
        <v>3711</v>
      </c>
    </row>
    <row r="13943" spans="1:1" x14ac:dyDescent="0.2">
      <c r="A13943" s="1" t="s">
        <v>3712</v>
      </c>
    </row>
    <row r="13944" spans="1:1" x14ac:dyDescent="0.2">
      <c r="A13944" s="1" t="s">
        <v>3713</v>
      </c>
    </row>
    <row r="13945" spans="1:1" x14ac:dyDescent="0.2">
      <c r="A13945" s="1" t="s">
        <v>3714</v>
      </c>
    </row>
    <row r="13946" spans="1:1" x14ac:dyDescent="0.2">
      <c r="A13946" s="1" t="s">
        <v>3715</v>
      </c>
    </row>
    <row r="13947" spans="1:1" x14ac:dyDescent="0.2">
      <c r="A13947" s="1" t="s">
        <v>3716</v>
      </c>
    </row>
    <row r="13948" spans="1:1" x14ac:dyDescent="0.2">
      <c r="A13948" s="1" t="s">
        <v>3717</v>
      </c>
    </row>
    <row r="13949" spans="1:1" x14ac:dyDescent="0.2">
      <c r="A13949" s="1" t="s">
        <v>3717</v>
      </c>
    </row>
    <row r="13950" spans="1:1" x14ac:dyDescent="0.2">
      <c r="A13950" s="1" t="s">
        <v>3718</v>
      </c>
    </row>
    <row r="13951" spans="1:1" x14ac:dyDescent="0.2">
      <c r="A13951" s="1" t="s">
        <v>3719</v>
      </c>
    </row>
    <row r="13952" spans="1:1" x14ac:dyDescent="0.2">
      <c r="A13952" s="1" t="s">
        <v>3720</v>
      </c>
    </row>
    <row r="13953" spans="1:1" x14ac:dyDescent="0.2">
      <c r="A13953" s="1" t="s">
        <v>3721</v>
      </c>
    </row>
    <row r="13954" spans="1:1" x14ac:dyDescent="0.2">
      <c r="A13954" s="1" t="s">
        <v>3722</v>
      </c>
    </row>
    <row r="13955" spans="1:1" x14ac:dyDescent="0.2">
      <c r="A13955" s="1" t="s">
        <v>3723</v>
      </c>
    </row>
    <row r="13956" spans="1:1" x14ac:dyDescent="0.2">
      <c r="A13956" s="1" t="s">
        <v>3724</v>
      </c>
    </row>
    <row r="13957" spans="1:1" x14ac:dyDescent="0.2">
      <c r="A13957" s="1" t="s">
        <v>3725</v>
      </c>
    </row>
    <row r="13958" spans="1:1" x14ac:dyDescent="0.2">
      <c r="A13958" s="1" t="s">
        <v>3725</v>
      </c>
    </row>
    <row r="13959" spans="1:1" x14ac:dyDescent="0.2">
      <c r="A13959" s="1" t="s">
        <v>3725</v>
      </c>
    </row>
    <row r="13960" spans="1:1" x14ac:dyDescent="0.2">
      <c r="A13960" s="1" t="s">
        <v>3725</v>
      </c>
    </row>
    <row r="13961" spans="1:1" x14ac:dyDescent="0.2">
      <c r="A13961" s="1" t="s">
        <v>3726</v>
      </c>
    </row>
    <row r="13962" spans="1:1" x14ac:dyDescent="0.2">
      <c r="A13962" s="1" t="s">
        <v>3717</v>
      </c>
    </row>
    <row r="13963" spans="1:1" x14ac:dyDescent="0.2">
      <c r="A13963" s="1" t="s">
        <v>3717</v>
      </c>
    </row>
    <row r="13964" spans="1:1" x14ac:dyDescent="0.2">
      <c r="A13964" s="1" t="s">
        <v>3717</v>
      </c>
    </row>
    <row r="13965" spans="1:1" x14ac:dyDescent="0.2">
      <c r="A13965" s="1" t="s">
        <v>3718</v>
      </c>
    </row>
    <row r="13966" spans="1:1" x14ac:dyDescent="0.2">
      <c r="A13966" s="1" t="s">
        <v>3719</v>
      </c>
    </row>
    <row r="13967" spans="1:1" x14ac:dyDescent="0.2">
      <c r="A13967" s="1" t="s">
        <v>3720</v>
      </c>
    </row>
    <row r="13968" spans="1:1" x14ac:dyDescent="0.2">
      <c r="A13968" s="1" t="s">
        <v>3721</v>
      </c>
    </row>
    <row r="13969" spans="1:1" x14ac:dyDescent="0.2">
      <c r="A13969" s="1" t="s">
        <v>3722</v>
      </c>
    </row>
    <row r="13970" spans="1:1" x14ac:dyDescent="0.2">
      <c r="A13970" s="1" t="s">
        <v>3723</v>
      </c>
    </row>
    <row r="13971" spans="1:1" x14ac:dyDescent="0.2">
      <c r="A13971" s="1" t="s">
        <v>3724</v>
      </c>
    </row>
    <row r="13972" spans="1:1" x14ac:dyDescent="0.2">
      <c r="A13972" s="1" t="s">
        <v>3725</v>
      </c>
    </row>
    <row r="13973" spans="1:1" x14ac:dyDescent="0.2">
      <c r="A13973" s="1" t="s">
        <v>3725</v>
      </c>
    </row>
    <row r="13974" spans="1:1" x14ac:dyDescent="0.2">
      <c r="A13974" s="1" t="s">
        <v>3725</v>
      </c>
    </row>
    <row r="13975" spans="1:1" x14ac:dyDescent="0.2">
      <c r="A13975" s="1" t="s">
        <v>3725</v>
      </c>
    </row>
    <row r="13976" spans="1:1" x14ac:dyDescent="0.2">
      <c r="A13976" s="1" t="s">
        <v>3726</v>
      </c>
    </row>
    <row r="13977" spans="1:1" x14ac:dyDescent="0.2">
      <c r="A13977" s="1" t="s">
        <v>3717</v>
      </c>
    </row>
    <row r="13978" spans="1:1" x14ac:dyDescent="0.2">
      <c r="A13978" s="1" t="s">
        <v>3717</v>
      </c>
    </row>
    <row r="13979" spans="1:1" x14ac:dyDescent="0.2">
      <c r="A13979" s="1" t="s">
        <v>3717</v>
      </c>
    </row>
    <row r="13980" spans="1:1" x14ac:dyDescent="0.2">
      <c r="A13980" s="1" t="s">
        <v>3718</v>
      </c>
    </row>
    <row r="13981" spans="1:1" x14ac:dyDescent="0.2">
      <c r="A13981" s="1" t="s">
        <v>3719</v>
      </c>
    </row>
    <row r="13982" spans="1:1" x14ac:dyDescent="0.2">
      <c r="A13982" s="1" t="s">
        <v>3720</v>
      </c>
    </row>
    <row r="13983" spans="1:1" x14ac:dyDescent="0.2">
      <c r="A13983" s="1" t="s">
        <v>3721</v>
      </c>
    </row>
    <row r="13984" spans="1:1" x14ac:dyDescent="0.2">
      <c r="A13984" s="1" t="s">
        <v>3722</v>
      </c>
    </row>
    <row r="13985" spans="1:1" x14ac:dyDescent="0.2">
      <c r="A13985" s="1" t="s">
        <v>3723</v>
      </c>
    </row>
    <row r="13986" spans="1:1" x14ac:dyDescent="0.2">
      <c r="A13986" s="1" t="s">
        <v>3724</v>
      </c>
    </row>
    <row r="13987" spans="1:1" x14ac:dyDescent="0.2">
      <c r="A13987" s="1" t="s">
        <v>3725</v>
      </c>
    </row>
    <row r="13988" spans="1:1" x14ac:dyDescent="0.2">
      <c r="A13988" s="1" t="s">
        <v>3725</v>
      </c>
    </row>
    <row r="13989" spans="1:1" x14ac:dyDescent="0.2">
      <c r="A13989" s="1" t="s">
        <v>3725</v>
      </c>
    </row>
    <row r="13990" spans="1:1" x14ac:dyDescent="0.2">
      <c r="A13990" s="1" t="s">
        <v>3725</v>
      </c>
    </row>
    <row r="13991" spans="1:1" x14ac:dyDescent="0.2">
      <c r="A13991" s="1" t="s">
        <v>3726</v>
      </c>
    </row>
    <row r="13992" spans="1:1" x14ac:dyDescent="0.2">
      <c r="A13992" s="1" t="s">
        <v>3717</v>
      </c>
    </row>
    <row r="13993" spans="1:1" x14ac:dyDescent="0.2">
      <c r="A13993" s="1" t="s">
        <v>3717</v>
      </c>
    </row>
    <row r="13994" spans="1:1" x14ac:dyDescent="0.2">
      <c r="A13994" s="1" t="s">
        <v>3717</v>
      </c>
    </row>
    <row r="13995" spans="1:1" x14ac:dyDescent="0.2">
      <c r="A13995" s="1" t="s">
        <v>3718</v>
      </c>
    </row>
    <row r="13996" spans="1:1" x14ac:dyDescent="0.2">
      <c r="A13996" s="1" t="s">
        <v>3719</v>
      </c>
    </row>
    <row r="13997" spans="1:1" x14ac:dyDescent="0.2">
      <c r="A13997" s="1" t="s">
        <v>3720</v>
      </c>
    </row>
    <row r="13998" spans="1:1" x14ac:dyDescent="0.2">
      <c r="A13998" s="1" t="s">
        <v>3721</v>
      </c>
    </row>
    <row r="13999" spans="1:1" x14ac:dyDescent="0.2">
      <c r="A13999" s="1" t="s">
        <v>3722</v>
      </c>
    </row>
    <row r="14000" spans="1:1" x14ac:dyDescent="0.2">
      <c r="A14000" s="1" t="s">
        <v>3723</v>
      </c>
    </row>
    <row r="14001" spans="1:1" x14ac:dyDescent="0.2">
      <c r="A14001" s="1" t="s">
        <v>3724</v>
      </c>
    </row>
    <row r="14002" spans="1:1" x14ac:dyDescent="0.2">
      <c r="A14002" s="1" t="s">
        <v>3725</v>
      </c>
    </row>
    <row r="14003" spans="1:1" x14ac:dyDescent="0.2">
      <c r="A14003" s="1" t="s">
        <v>3725</v>
      </c>
    </row>
    <row r="14004" spans="1:1" x14ac:dyDescent="0.2">
      <c r="A14004" s="1" t="s">
        <v>3725</v>
      </c>
    </row>
    <row r="14005" spans="1:1" x14ac:dyDescent="0.2">
      <c r="A14005" s="1" t="s">
        <v>3725</v>
      </c>
    </row>
    <row r="14006" spans="1:1" x14ac:dyDescent="0.2">
      <c r="A14006" s="1" t="s">
        <v>3726</v>
      </c>
    </row>
    <row r="14007" spans="1:1" x14ac:dyDescent="0.2">
      <c r="A14007" s="1" t="s">
        <v>3717</v>
      </c>
    </row>
    <row r="14008" spans="1:1" x14ac:dyDescent="0.2">
      <c r="A14008" s="1" t="s">
        <v>3717</v>
      </c>
    </row>
    <row r="14009" spans="1:1" x14ac:dyDescent="0.2">
      <c r="A14009" s="1" t="s">
        <v>3717</v>
      </c>
    </row>
    <row r="14010" spans="1:1" x14ac:dyDescent="0.2">
      <c r="A14010" s="1" t="s">
        <v>3718</v>
      </c>
    </row>
    <row r="14011" spans="1:1" x14ac:dyDescent="0.2">
      <c r="A14011" s="1" t="s">
        <v>3719</v>
      </c>
    </row>
    <row r="14012" spans="1:1" x14ac:dyDescent="0.2">
      <c r="A14012" s="1" t="s">
        <v>3720</v>
      </c>
    </row>
    <row r="14013" spans="1:1" x14ac:dyDescent="0.2">
      <c r="A14013" s="1" t="s">
        <v>3721</v>
      </c>
    </row>
    <row r="14014" spans="1:1" x14ac:dyDescent="0.2">
      <c r="A14014" s="1" t="s">
        <v>3722</v>
      </c>
    </row>
    <row r="14015" spans="1:1" x14ac:dyDescent="0.2">
      <c r="A14015" s="1" t="s">
        <v>3723</v>
      </c>
    </row>
    <row r="14016" spans="1:1" x14ac:dyDescent="0.2">
      <c r="A14016" s="1" t="s">
        <v>3724</v>
      </c>
    </row>
    <row r="14017" spans="1:1" x14ac:dyDescent="0.2">
      <c r="A14017" s="1" t="s">
        <v>3725</v>
      </c>
    </row>
    <row r="14018" spans="1:1" x14ac:dyDescent="0.2">
      <c r="A14018" s="1" t="s">
        <v>3725</v>
      </c>
    </row>
    <row r="14019" spans="1:1" x14ac:dyDescent="0.2">
      <c r="A14019" s="1" t="s">
        <v>3725</v>
      </c>
    </row>
    <row r="14020" spans="1:1" x14ac:dyDescent="0.2">
      <c r="A14020" s="1" t="s">
        <v>3725</v>
      </c>
    </row>
    <row r="14021" spans="1:1" x14ac:dyDescent="0.2">
      <c r="A14021" s="1" t="s">
        <v>3726</v>
      </c>
    </row>
    <row r="14022" spans="1:1" x14ac:dyDescent="0.2">
      <c r="A14022" s="1" t="s">
        <v>3717</v>
      </c>
    </row>
    <row r="14023" spans="1:1" x14ac:dyDescent="0.2">
      <c r="A14023" s="1" t="s">
        <v>3727</v>
      </c>
    </row>
    <row r="14024" spans="1:1" x14ac:dyDescent="0.2">
      <c r="A14024" s="1" t="s">
        <v>3728</v>
      </c>
    </row>
    <row r="14025" spans="1:1" x14ac:dyDescent="0.2">
      <c r="A14025" s="1" t="s">
        <v>3729</v>
      </c>
    </row>
    <row r="14026" spans="1:1" x14ac:dyDescent="0.2">
      <c r="A14026" s="1" t="s">
        <v>3730</v>
      </c>
    </row>
    <row r="14027" spans="1:1" x14ac:dyDescent="0.2">
      <c r="A14027" s="1" t="s">
        <v>3731</v>
      </c>
    </row>
    <row r="14028" spans="1:1" x14ac:dyDescent="0.2">
      <c r="A14028" s="1" t="s">
        <v>3732</v>
      </c>
    </row>
    <row r="14029" spans="1:1" x14ac:dyDescent="0.2">
      <c r="A14029" s="1" t="s">
        <v>3733</v>
      </c>
    </row>
    <row r="14030" spans="1:1" x14ac:dyDescent="0.2">
      <c r="A14030" s="1" t="s">
        <v>3734</v>
      </c>
    </row>
    <row r="14031" spans="1:1" x14ac:dyDescent="0.2">
      <c r="A14031" s="1" t="s">
        <v>3735</v>
      </c>
    </row>
    <row r="14032" spans="1:1" x14ac:dyDescent="0.2">
      <c r="A14032" s="1" t="s">
        <v>3736</v>
      </c>
    </row>
    <row r="14033" spans="1:1" x14ac:dyDescent="0.2">
      <c r="A14033" s="1" t="s">
        <v>3737</v>
      </c>
    </row>
    <row r="14034" spans="1:1" x14ac:dyDescent="0.2">
      <c r="A14034" s="1" t="s">
        <v>3727</v>
      </c>
    </row>
    <row r="14035" spans="1:1" x14ac:dyDescent="0.2">
      <c r="A14035" s="1" t="s">
        <v>3738</v>
      </c>
    </row>
    <row r="14036" spans="1:1" x14ac:dyDescent="0.2">
      <c r="A14036" s="1" t="s">
        <v>3729</v>
      </c>
    </row>
    <row r="14037" spans="1:1" x14ac:dyDescent="0.2">
      <c r="A14037" s="1" t="s">
        <v>3730</v>
      </c>
    </row>
    <row r="14038" spans="1:1" x14ac:dyDescent="0.2">
      <c r="A14038" s="1" t="s">
        <v>3731</v>
      </c>
    </row>
    <row r="14039" spans="1:1" x14ac:dyDescent="0.2">
      <c r="A14039" s="1" t="s">
        <v>3739</v>
      </c>
    </row>
    <row r="14040" spans="1:1" x14ac:dyDescent="0.2">
      <c r="A14040" s="1" t="s">
        <v>3733</v>
      </c>
    </row>
    <row r="14041" spans="1:1" x14ac:dyDescent="0.2">
      <c r="A14041" s="1" t="s">
        <v>3734</v>
      </c>
    </row>
    <row r="14042" spans="1:1" x14ac:dyDescent="0.2">
      <c r="A14042" s="1" t="s">
        <v>3735</v>
      </c>
    </row>
    <row r="14043" spans="1:1" x14ac:dyDescent="0.2">
      <c r="A14043" s="1" t="s">
        <v>3736</v>
      </c>
    </row>
    <row r="14044" spans="1:1" x14ac:dyDescent="0.2">
      <c r="A14044" s="1" t="s">
        <v>3737</v>
      </c>
    </row>
    <row r="14045" spans="1:1" x14ac:dyDescent="0.2">
      <c r="A14045" s="1" t="s">
        <v>3727</v>
      </c>
    </row>
    <row r="14046" spans="1:1" x14ac:dyDescent="0.2">
      <c r="A14046" s="1" t="s">
        <v>3740</v>
      </c>
    </row>
    <row r="14047" spans="1:1" x14ac:dyDescent="0.2">
      <c r="A14047" s="1" t="s">
        <v>3729</v>
      </c>
    </row>
    <row r="14048" spans="1:1" x14ac:dyDescent="0.2">
      <c r="A14048" s="1" t="s">
        <v>3730</v>
      </c>
    </row>
    <row r="14049" spans="1:1" x14ac:dyDescent="0.2">
      <c r="A14049" s="1" t="s">
        <v>3731</v>
      </c>
    </row>
    <row r="14050" spans="1:1" x14ac:dyDescent="0.2">
      <c r="A14050" s="1" t="s">
        <v>3741</v>
      </c>
    </row>
    <row r="14051" spans="1:1" x14ac:dyDescent="0.2">
      <c r="A14051" s="1" t="s">
        <v>3733</v>
      </c>
    </row>
    <row r="14052" spans="1:1" x14ac:dyDescent="0.2">
      <c r="A14052" s="1" t="s">
        <v>3734</v>
      </c>
    </row>
    <row r="14053" spans="1:1" x14ac:dyDescent="0.2">
      <c r="A14053" s="1" t="s">
        <v>3735</v>
      </c>
    </row>
    <row r="14054" spans="1:1" x14ac:dyDescent="0.2">
      <c r="A14054" s="1" t="s">
        <v>3736</v>
      </c>
    </row>
    <row r="14055" spans="1:1" x14ac:dyDescent="0.2">
      <c r="A14055" s="1" t="s">
        <v>3737</v>
      </c>
    </row>
    <row r="14056" spans="1:1" x14ac:dyDescent="0.2">
      <c r="A14056" s="1" t="s">
        <v>3727</v>
      </c>
    </row>
    <row r="14057" spans="1:1" x14ac:dyDescent="0.2">
      <c r="A14057" s="1" t="s">
        <v>3738</v>
      </c>
    </row>
    <row r="14058" spans="1:1" x14ac:dyDescent="0.2">
      <c r="A14058" s="1" t="s">
        <v>3742</v>
      </c>
    </row>
    <row r="14059" spans="1:1" x14ac:dyDescent="0.2">
      <c r="A14059" s="1" t="s">
        <v>3743</v>
      </c>
    </row>
    <row r="14060" spans="1:1" x14ac:dyDescent="0.2">
      <c r="A14060" s="1" t="s">
        <v>3744</v>
      </c>
    </row>
    <row r="14061" spans="1:1" x14ac:dyDescent="0.2">
      <c r="A14061" s="1" t="s">
        <v>3745</v>
      </c>
    </row>
    <row r="14062" spans="1:1" x14ac:dyDescent="0.2">
      <c r="A14062" s="1" t="s">
        <v>3746</v>
      </c>
    </row>
    <row r="14063" spans="1:1" x14ac:dyDescent="0.2">
      <c r="A14063" s="1" t="s">
        <v>3747</v>
      </c>
    </row>
    <row r="14064" spans="1:1" x14ac:dyDescent="0.2">
      <c r="A14064" s="1" t="s">
        <v>3748</v>
      </c>
    </row>
    <row r="14065" spans="1:1" x14ac:dyDescent="0.2">
      <c r="A14065" s="1" t="s">
        <v>3749</v>
      </c>
    </row>
    <row r="14066" spans="1:1" x14ac:dyDescent="0.2">
      <c r="A14066" s="1" t="s">
        <v>3750</v>
      </c>
    </row>
    <row r="14067" spans="1:1" x14ac:dyDescent="0.2">
      <c r="A14067" s="1" t="s">
        <v>3751</v>
      </c>
    </row>
    <row r="14068" spans="1:1" x14ac:dyDescent="0.2">
      <c r="A14068" s="1" t="s">
        <v>3752</v>
      </c>
    </row>
    <row r="14069" spans="1:1" x14ac:dyDescent="0.2">
      <c r="A14069" s="1" t="s">
        <v>3742</v>
      </c>
    </row>
    <row r="14070" spans="1:1" x14ac:dyDescent="0.2">
      <c r="A14070" s="1" t="s">
        <v>3753</v>
      </c>
    </row>
    <row r="14071" spans="1:1" x14ac:dyDescent="0.2">
      <c r="A14071" s="1" t="s">
        <v>3744</v>
      </c>
    </row>
    <row r="14072" spans="1:1" x14ac:dyDescent="0.2">
      <c r="A14072" s="1" t="s">
        <v>3745</v>
      </c>
    </row>
    <row r="14073" spans="1:1" x14ac:dyDescent="0.2">
      <c r="A14073" s="1" t="s">
        <v>3746</v>
      </c>
    </row>
    <row r="14074" spans="1:1" x14ac:dyDescent="0.2">
      <c r="A14074" s="1" t="s">
        <v>3754</v>
      </c>
    </row>
    <row r="14075" spans="1:1" x14ac:dyDescent="0.2">
      <c r="A14075" s="1" t="s">
        <v>3748</v>
      </c>
    </row>
    <row r="14076" spans="1:1" x14ac:dyDescent="0.2">
      <c r="A14076" s="1" t="s">
        <v>3749</v>
      </c>
    </row>
    <row r="14077" spans="1:1" x14ac:dyDescent="0.2">
      <c r="A14077" s="1" t="s">
        <v>3750</v>
      </c>
    </row>
    <row r="14078" spans="1:1" x14ac:dyDescent="0.2">
      <c r="A14078" s="1" t="s">
        <v>3751</v>
      </c>
    </row>
    <row r="14079" spans="1:1" x14ac:dyDescent="0.2">
      <c r="A14079" s="1" t="s">
        <v>3752</v>
      </c>
    </row>
    <row r="14080" spans="1:1" x14ac:dyDescent="0.2">
      <c r="A14080" s="1" t="s">
        <v>3755</v>
      </c>
    </row>
    <row r="14081" spans="1:1" x14ac:dyDescent="0.2">
      <c r="A14081" s="1" t="s">
        <v>3756</v>
      </c>
    </row>
    <row r="14082" spans="1:1" x14ac:dyDescent="0.2">
      <c r="A14082" s="1" t="s">
        <v>3757</v>
      </c>
    </row>
    <row r="14083" spans="1:1" x14ac:dyDescent="0.2">
      <c r="A14083" s="1" t="s">
        <v>3758</v>
      </c>
    </row>
    <row r="14084" spans="1:1" x14ac:dyDescent="0.2">
      <c r="A14084" s="1" t="s">
        <v>3759</v>
      </c>
    </row>
    <row r="14085" spans="1:1" x14ac:dyDescent="0.2">
      <c r="A14085" s="1" t="s">
        <v>3760</v>
      </c>
    </row>
    <row r="14086" spans="1:1" x14ac:dyDescent="0.2">
      <c r="A14086" s="1" t="s">
        <v>3761</v>
      </c>
    </row>
    <row r="14087" spans="1:1" x14ac:dyDescent="0.2">
      <c r="A14087" s="1" t="s">
        <v>3762</v>
      </c>
    </row>
    <row r="14088" spans="1:1" x14ac:dyDescent="0.2">
      <c r="A14088" s="1" t="s">
        <v>3763</v>
      </c>
    </row>
    <row r="14089" spans="1:1" x14ac:dyDescent="0.2">
      <c r="A14089" s="1" t="s">
        <v>3764</v>
      </c>
    </row>
    <row r="14090" spans="1:1" x14ac:dyDescent="0.2">
      <c r="A14090" s="1" t="s">
        <v>3765</v>
      </c>
    </row>
    <row r="14091" spans="1:1" x14ac:dyDescent="0.2">
      <c r="A14091" s="1" t="s">
        <v>3755</v>
      </c>
    </row>
    <row r="14092" spans="1:1" x14ac:dyDescent="0.2">
      <c r="A14092" s="1" t="s">
        <v>3766</v>
      </c>
    </row>
    <row r="14093" spans="1:1" x14ac:dyDescent="0.2">
      <c r="A14093" s="1" t="s">
        <v>3767</v>
      </c>
    </row>
    <row r="14094" spans="1:1" x14ac:dyDescent="0.2">
      <c r="A14094" s="1" t="s">
        <v>3768</v>
      </c>
    </row>
    <row r="14095" spans="1:1" x14ac:dyDescent="0.2">
      <c r="A14095" s="1" t="s">
        <v>3769</v>
      </c>
    </row>
    <row r="14096" spans="1:1" x14ac:dyDescent="0.2">
      <c r="A14096" s="1" t="s">
        <v>3770</v>
      </c>
    </row>
    <row r="14097" spans="1:1" x14ac:dyDescent="0.2">
      <c r="A14097" s="1" t="s">
        <v>3771</v>
      </c>
    </row>
    <row r="14098" spans="1:1" x14ac:dyDescent="0.2">
      <c r="A14098" s="1" t="s">
        <v>3772</v>
      </c>
    </row>
    <row r="14099" spans="1:1" x14ac:dyDescent="0.2">
      <c r="A14099" s="1" t="s">
        <v>3773</v>
      </c>
    </row>
    <row r="14100" spans="1:1" x14ac:dyDescent="0.2">
      <c r="A14100" s="1" t="s">
        <v>3774</v>
      </c>
    </row>
    <row r="14101" spans="1:1" x14ac:dyDescent="0.2">
      <c r="A14101" s="1" t="s">
        <v>3775</v>
      </c>
    </row>
    <row r="14102" spans="1:1" x14ac:dyDescent="0.2">
      <c r="A14102" s="1" t="s">
        <v>3776</v>
      </c>
    </row>
    <row r="14103" spans="1:1" x14ac:dyDescent="0.2">
      <c r="A14103" s="1" t="s">
        <v>3777</v>
      </c>
    </row>
    <row r="14104" spans="1:1" x14ac:dyDescent="0.2">
      <c r="A14104" s="1" t="s">
        <v>3767</v>
      </c>
    </row>
    <row r="14105" spans="1:1" x14ac:dyDescent="0.2">
      <c r="A14105" s="1" t="s">
        <v>3778</v>
      </c>
    </row>
    <row r="14106" spans="1:1" x14ac:dyDescent="0.2">
      <c r="A14106" s="1" t="s">
        <v>3769</v>
      </c>
    </row>
    <row r="14107" spans="1:1" x14ac:dyDescent="0.2">
      <c r="A14107" s="1" t="s">
        <v>3770</v>
      </c>
    </row>
    <row r="14108" spans="1:1" x14ac:dyDescent="0.2">
      <c r="A14108" s="1" t="s">
        <v>3771</v>
      </c>
    </row>
    <row r="14109" spans="1:1" x14ac:dyDescent="0.2">
      <c r="A14109" s="1" t="s">
        <v>3779</v>
      </c>
    </row>
    <row r="14110" spans="1:1" x14ac:dyDescent="0.2">
      <c r="A14110" s="1" t="s">
        <v>3773</v>
      </c>
    </row>
    <row r="14111" spans="1:1" x14ac:dyDescent="0.2">
      <c r="A14111" s="1" t="s">
        <v>3774</v>
      </c>
    </row>
    <row r="14112" spans="1:1" x14ac:dyDescent="0.2">
      <c r="A14112" s="1" t="s">
        <v>3775</v>
      </c>
    </row>
    <row r="14113" spans="1:1" x14ac:dyDescent="0.2">
      <c r="A14113" s="1" t="s">
        <v>3776</v>
      </c>
    </row>
    <row r="14114" spans="1:1" x14ac:dyDescent="0.2">
      <c r="A14114" s="1" t="s">
        <v>3777</v>
      </c>
    </row>
    <row r="14115" spans="1:1" x14ac:dyDescent="0.2">
      <c r="A14115" s="1" t="s">
        <v>3767</v>
      </c>
    </row>
    <row r="14116" spans="1:1" x14ac:dyDescent="0.2">
      <c r="A14116" s="1" t="s">
        <v>3780</v>
      </c>
    </row>
    <row r="14117" spans="1:1" x14ac:dyDescent="0.2">
      <c r="A14117" s="1" t="s">
        <v>3769</v>
      </c>
    </row>
    <row r="14118" spans="1:1" x14ac:dyDescent="0.2">
      <c r="A14118" s="1" t="s">
        <v>3770</v>
      </c>
    </row>
    <row r="14119" spans="1:1" x14ac:dyDescent="0.2">
      <c r="A14119" s="1" t="s">
        <v>3771</v>
      </c>
    </row>
    <row r="14120" spans="1:1" x14ac:dyDescent="0.2">
      <c r="A14120" s="1" t="s">
        <v>3781</v>
      </c>
    </row>
    <row r="14121" spans="1:1" x14ac:dyDescent="0.2">
      <c r="A14121" s="1" t="s">
        <v>3773</v>
      </c>
    </row>
    <row r="14122" spans="1:1" x14ac:dyDescent="0.2">
      <c r="A14122" s="1" t="s">
        <v>3774</v>
      </c>
    </row>
    <row r="14123" spans="1:1" x14ac:dyDescent="0.2">
      <c r="A14123" s="1" t="s">
        <v>3775</v>
      </c>
    </row>
    <row r="14124" spans="1:1" x14ac:dyDescent="0.2">
      <c r="A14124" s="1" t="s">
        <v>3776</v>
      </c>
    </row>
    <row r="14125" spans="1:1" x14ac:dyDescent="0.2">
      <c r="A14125" s="1" t="s">
        <v>3777</v>
      </c>
    </row>
    <row r="14126" spans="1:1" x14ac:dyDescent="0.2">
      <c r="A14126" s="1" t="s">
        <v>3767</v>
      </c>
    </row>
    <row r="14127" spans="1:1" x14ac:dyDescent="0.2">
      <c r="A14127" s="1" t="s">
        <v>3782</v>
      </c>
    </row>
    <row r="14128" spans="1:1" x14ac:dyDescent="0.2">
      <c r="A14128" s="1" t="s">
        <v>3769</v>
      </c>
    </row>
    <row r="14129" spans="1:1" x14ac:dyDescent="0.2">
      <c r="A14129" s="1" t="s">
        <v>3770</v>
      </c>
    </row>
    <row r="14130" spans="1:1" x14ac:dyDescent="0.2">
      <c r="A14130" s="1" t="s">
        <v>3771</v>
      </c>
    </row>
    <row r="14131" spans="1:1" x14ac:dyDescent="0.2">
      <c r="A14131" s="1" t="s">
        <v>3783</v>
      </c>
    </row>
    <row r="14132" spans="1:1" x14ac:dyDescent="0.2">
      <c r="A14132" s="1" t="s">
        <v>3773</v>
      </c>
    </row>
    <row r="14133" spans="1:1" x14ac:dyDescent="0.2">
      <c r="A14133" s="1" t="s">
        <v>3774</v>
      </c>
    </row>
    <row r="14134" spans="1:1" x14ac:dyDescent="0.2">
      <c r="A14134" s="1" t="s">
        <v>3775</v>
      </c>
    </row>
    <row r="14135" spans="1:1" x14ac:dyDescent="0.2">
      <c r="A14135" s="1" t="s">
        <v>3776</v>
      </c>
    </row>
    <row r="14136" spans="1:1" x14ac:dyDescent="0.2">
      <c r="A14136" s="1" t="s">
        <v>3777</v>
      </c>
    </row>
    <row r="14137" spans="1:1" x14ac:dyDescent="0.2">
      <c r="A14137" s="1" t="s">
        <v>3767</v>
      </c>
    </row>
    <row r="14138" spans="1:1" x14ac:dyDescent="0.2">
      <c r="A14138" s="1" t="s">
        <v>3784</v>
      </c>
    </row>
    <row r="14139" spans="1:1" x14ac:dyDescent="0.2">
      <c r="A14139" s="1" t="s">
        <v>3769</v>
      </c>
    </row>
    <row r="14140" spans="1:1" x14ac:dyDescent="0.2">
      <c r="A14140" s="1" t="s">
        <v>3770</v>
      </c>
    </row>
    <row r="14141" spans="1:1" x14ac:dyDescent="0.2">
      <c r="A14141" s="1" t="s">
        <v>3771</v>
      </c>
    </row>
    <row r="14142" spans="1:1" x14ac:dyDescent="0.2">
      <c r="A14142" s="1" t="s">
        <v>3785</v>
      </c>
    </row>
    <row r="14143" spans="1:1" x14ac:dyDescent="0.2">
      <c r="A14143" s="1" t="s">
        <v>3773</v>
      </c>
    </row>
    <row r="14144" spans="1:1" x14ac:dyDescent="0.2">
      <c r="A14144" s="1" t="s">
        <v>3774</v>
      </c>
    </row>
    <row r="14145" spans="1:1" x14ac:dyDescent="0.2">
      <c r="A14145" s="1" t="s">
        <v>3775</v>
      </c>
    </row>
    <row r="14146" spans="1:1" x14ac:dyDescent="0.2">
      <c r="A14146" s="1" t="s">
        <v>3776</v>
      </c>
    </row>
    <row r="14147" spans="1:1" x14ac:dyDescent="0.2">
      <c r="A14147" s="1" t="s">
        <v>3777</v>
      </c>
    </row>
    <row r="14148" spans="1:1" x14ac:dyDescent="0.2">
      <c r="A14148" s="1" t="s">
        <v>3767</v>
      </c>
    </row>
    <row r="14149" spans="1:1" x14ac:dyDescent="0.2">
      <c r="A14149" s="1" t="s">
        <v>3786</v>
      </c>
    </row>
    <row r="14150" spans="1:1" x14ac:dyDescent="0.2">
      <c r="A14150" s="1" t="s">
        <v>3769</v>
      </c>
    </row>
    <row r="14151" spans="1:1" x14ac:dyDescent="0.2">
      <c r="A14151" s="1" t="s">
        <v>3770</v>
      </c>
    </row>
    <row r="14152" spans="1:1" x14ac:dyDescent="0.2">
      <c r="A14152" s="1" t="s">
        <v>3771</v>
      </c>
    </row>
    <row r="14153" spans="1:1" x14ac:dyDescent="0.2">
      <c r="A14153" s="1" t="s">
        <v>3787</v>
      </c>
    </row>
    <row r="14154" spans="1:1" x14ac:dyDescent="0.2">
      <c r="A14154" s="1" t="s">
        <v>3773</v>
      </c>
    </row>
    <row r="14155" spans="1:1" x14ac:dyDescent="0.2">
      <c r="A14155" s="1" t="s">
        <v>3774</v>
      </c>
    </row>
    <row r="14156" spans="1:1" x14ac:dyDescent="0.2">
      <c r="A14156" s="1" t="s">
        <v>3775</v>
      </c>
    </row>
    <row r="14157" spans="1:1" x14ac:dyDescent="0.2">
      <c r="A14157" s="1" t="s">
        <v>3776</v>
      </c>
    </row>
    <row r="14158" spans="1:1" x14ac:dyDescent="0.2">
      <c r="A14158" s="1" t="s">
        <v>3777</v>
      </c>
    </row>
    <row r="14159" spans="1:1" x14ac:dyDescent="0.2">
      <c r="A14159" s="1" t="s">
        <v>3767</v>
      </c>
    </row>
    <row r="14160" spans="1:1" x14ac:dyDescent="0.2">
      <c r="A14160" s="1" t="s">
        <v>3788</v>
      </c>
    </row>
    <row r="14161" spans="1:1" x14ac:dyDescent="0.2">
      <c r="A14161" s="1" t="s">
        <v>3769</v>
      </c>
    </row>
    <row r="14162" spans="1:1" x14ac:dyDescent="0.2">
      <c r="A14162" s="1" t="s">
        <v>3770</v>
      </c>
    </row>
    <row r="14163" spans="1:1" x14ac:dyDescent="0.2">
      <c r="A14163" s="1" t="s">
        <v>3771</v>
      </c>
    </row>
    <row r="14164" spans="1:1" x14ac:dyDescent="0.2">
      <c r="A14164" s="1" t="s">
        <v>3789</v>
      </c>
    </row>
    <row r="14165" spans="1:1" x14ac:dyDescent="0.2">
      <c r="A14165" s="1" t="s">
        <v>3773</v>
      </c>
    </row>
    <row r="14166" spans="1:1" x14ac:dyDescent="0.2">
      <c r="A14166" s="1" t="s">
        <v>3774</v>
      </c>
    </row>
    <row r="14167" spans="1:1" x14ac:dyDescent="0.2">
      <c r="A14167" s="1" t="s">
        <v>3775</v>
      </c>
    </row>
    <row r="14168" spans="1:1" x14ac:dyDescent="0.2">
      <c r="A14168" s="1" t="s">
        <v>3776</v>
      </c>
    </row>
    <row r="14169" spans="1:1" x14ac:dyDescent="0.2">
      <c r="A14169" s="1" t="s">
        <v>3777</v>
      </c>
    </row>
    <row r="14170" spans="1:1" x14ac:dyDescent="0.2">
      <c r="A14170" s="1" t="s">
        <v>3767</v>
      </c>
    </row>
    <row r="14171" spans="1:1" x14ac:dyDescent="0.2">
      <c r="A14171" s="1" t="s">
        <v>3790</v>
      </c>
    </row>
    <row r="14172" spans="1:1" x14ac:dyDescent="0.2">
      <c r="A14172" s="1" t="s">
        <v>3769</v>
      </c>
    </row>
    <row r="14173" spans="1:1" x14ac:dyDescent="0.2">
      <c r="A14173" s="1" t="s">
        <v>3770</v>
      </c>
    </row>
    <row r="14174" spans="1:1" x14ac:dyDescent="0.2">
      <c r="A14174" s="1" t="s">
        <v>3771</v>
      </c>
    </row>
    <row r="14175" spans="1:1" x14ac:dyDescent="0.2">
      <c r="A14175" s="1" t="s">
        <v>3791</v>
      </c>
    </row>
    <row r="14176" spans="1:1" x14ac:dyDescent="0.2">
      <c r="A14176" s="1" t="s">
        <v>3773</v>
      </c>
    </row>
    <row r="14177" spans="1:1" x14ac:dyDescent="0.2">
      <c r="A14177" s="1" t="s">
        <v>3774</v>
      </c>
    </row>
    <row r="14178" spans="1:1" x14ac:dyDescent="0.2">
      <c r="A14178" s="1" t="s">
        <v>3775</v>
      </c>
    </row>
    <row r="14179" spans="1:1" x14ac:dyDescent="0.2">
      <c r="A14179" s="1" t="s">
        <v>3776</v>
      </c>
    </row>
    <row r="14180" spans="1:1" x14ac:dyDescent="0.2">
      <c r="A14180" s="1" t="s">
        <v>3777</v>
      </c>
    </row>
    <row r="14181" spans="1:1" x14ac:dyDescent="0.2">
      <c r="A14181" s="1" t="s">
        <v>3792</v>
      </c>
    </row>
    <row r="14182" spans="1:1" x14ac:dyDescent="0.2">
      <c r="A14182" s="1" t="s">
        <v>3793</v>
      </c>
    </row>
    <row r="14183" spans="1:1" x14ac:dyDescent="0.2">
      <c r="A14183" s="1" t="s">
        <v>3794</v>
      </c>
    </row>
    <row r="14184" spans="1:1" x14ac:dyDescent="0.2">
      <c r="A14184" s="1" t="s">
        <v>3795</v>
      </c>
    </row>
    <row r="14185" spans="1:1" x14ac:dyDescent="0.2">
      <c r="A14185" s="1" t="s">
        <v>3796</v>
      </c>
    </row>
    <row r="14186" spans="1:1" x14ac:dyDescent="0.2">
      <c r="A14186" s="1" t="s">
        <v>3797</v>
      </c>
    </row>
    <row r="14187" spans="1:1" x14ac:dyDescent="0.2">
      <c r="A14187" s="1" t="s">
        <v>3798</v>
      </c>
    </row>
    <row r="14188" spans="1:1" x14ac:dyDescent="0.2">
      <c r="A14188" s="1" t="s">
        <v>3799</v>
      </c>
    </row>
    <row r="14189" spans="1:1" x14ac:dyDescent="0.2">
      <c r="A14189" s="1" t="s">
        <v>3800</v>
      </c>
    </row>
    <row r="14190" spans="1:1" x14ac:dyDescent="0.2">
      <c r="A14190" s="1" t="s">
        <v>3801</v>
      </c>
    </row>
    <row r="14191" spans="1:1" x14ac:dyDescent="0.2">
      <c r="A14191" s="1" t="s">
        <v>3802</v>
      </c>
    </row>
    <row r="14192" spans="1:1" x14ac:dyDescent="0.2">
      <c r="A14192" s="1" t="s">
        <v>3792</v>
      </c>
    </row>
    <row r="14193" spans="1:1" x14ac:dyDescent="0.2">
      <c r="A14193" s="1" t="s">
        <v>3803</v>
      </c>
    </row>
    <row r="14194" spans="1:1" x14ac:dyDescent="0.2">
      <c r="A14194" s="1" t="s">
        <v>3794</v>
      </c>
    </row>
    <row r="14195" spans="1:1" x14ac:dyDescent="0.2">
      <c r="A14195" s="1" t="s">
        <v>3795</v>
      </c>
    </row>
    <row r="14196" spans="1:1" x14ac:dyDescent="0.2">
      <c r="A14196" s="1" t="s">
        <v>3796</v>
      </c>
    </row>
    <row r="14197" spans="1:1" x14ac:dyDescent="0.2">
      <c r="A14197" s="1" t="s">
        <v>3804</v>
      </c>
    </row>
    <row r="14198" spans="1:1" x14ac:dyDescent="0.2">
      <c r="A14198" s="1" t="s">
        <v>3798</v>
      </c>
    </row>
    <row r="14199" spans="1:1" x14ac:dyDescent="0.2">
      <c r="A14199" s="1" t="s">
        <v>3799</v>
      </c>
    </row>
    <row r="14200" spans="1:1" x14ac:dyDescent="0.2">
      <c r="A14200" s="1" t="s">
        <v>3800</v>
      </c>
    </row>
    <row r="14201" spans="1:1" x14ac:dyDescent="0.2">
      <c r="A14201" s="1" t="s">
        <v>3801</v>
      </c>
    </row>
    <row r="14202" spans="1:1" x14ac:dyDescent="0.2">
      <c r="A14202" s="1" t="s">
        <v>3802</v>
      </c>
    </row>
    <row r="14203" spans="1:1" x14ac:dyDescent="0.2">
      <c r="A14203" s="1" t="s">
        <v>3805</v>
      </c>
    </row>
    <row r="14204" spans="1:1" x14ac:dyDescent="0.2">
      <c r="A14204" s="1" t="s">
        <v>3806</v>
      </c>
    </row>
    <row r="14205" spans="1:1" x14ac:dyDescent="0.2">
      <c r="A14205" s="1" t="s">
        <v>3807</v>
      </c>
    </row>
    <row r="14206" spans="1:1" x14ac:dyDescent="0.2">
      <c r="A14206" s="1" t="s">
        <v>3808</v>
      </c>
    </row>
    <row r="14207" spans="1:1" x14ac:dyDescent="0.2">
      <c r="A14207" s="1" t="s">
        <v>3809</v>
      </c>
    </row>
    <row r="14208" spans="1:1" x14ac:dyDescent="0.2">
      <c r="A14208" s="1" t="s">
        <v>3810</v>
      </c>
    </row>
    <row r="14209" spans="1:1" x14ac:dyDescent="0.2">
      <c r="A14209" s="1" t="s">
        <v>3811</v>
      </c>
    </row>
    <row r="14210" spans="1:1" x14ac:dyDescent="0.2">
      <c r="A14210" s="1" t="s">
        <v>3812</v>
      </c>
    </row>
    <row r="14211" spans="1:1" x14ac:dyDescent="0.2">
      <c r="A14211" s="1" t="s">
        <v>3813</v>
      </c>
    </row>
    <row r="14212" spans="1:1" x14ac:dyDescent="0.2">
      <c r="A14212" s="1" t="s">
        <v>3814</v>
      </c>
    </row>
    <row r="14213" spans="1:1" x14ac:dyDescent="0.2">
      <c r="A14213" s="1" t="s">
        <v>3815</v>
      </c>
    </row>
    <row r="14214" spans="1:1" x14ac:dyDescent="0.2">
      <c r="A14214" s="1" t="s">
        <v>3816</v>
      </c>
    </row>
    <row r="14215" spans="1:1" x14ac:dyDescent="0.2">
      <c r="A14215" s="1" t="s">
        <v>3817</v>
      </c>
    </row>
    <row r="14216" spans="1:1" x14ac:dyDescent="0.2">
      <c r="A14216" s="1" t="s">
        <v>3818</v>
      </c>
    </row>
    <row r="14217" spans="1:1" x14ac:dyDescent="0.2">
      <c r="A14217" s="1" t="s">
        <v>3819</v>
      </c>
    </row>
    <row r="14218" spans="1:1" x14ac:dyDescent="0.2">
      <c r="A14218" s="1" t="s">
        <v>3820</v>
      </c>
    </row>
    <row r="14219" spans="1:1" x14ac:dyDescent="0.2">
      <c r="A14219" s="1" t="s">
        <v>3821</v>
      </c>
    </row>
    <row r="14220" spans="1:1" x14ac:dyDescent="0.2">
      <c r="A14220" s="1" t="s">
        <v>3822</v>
      </c>
    </row>
    <row r="14221" spans="1:1" x14ac:dyDescent="0.2">
      <c r="A14221" s="1" t="s">
        <v>3823</v>
      </c>
    </row>
    <row r="14222" spans="1:1" x14ac:dyDescent="0.2">
      <c r="A14222" s="1" t="s">
        <v>3824</v>
      </c>
    </row>
    <row r="14223" spans="1:1" x14ac:dyDescent="0.2">
      <c r="A14223" s="1" t="s">
        <v>3825</v>
      </c>
    </row>
    <row r="14224" spans="1:1" x14ac:dyDescent="0.2">
      <c r="A14224" s="1" t="s">
        <v>3826</v>
      </c>
    </row>
    <row r="14225" spans="1:1" x14ac:dyDescent="0.2">
      <c r="A14225" s="1" t="s">
        <v>3816</v>
      </c>
    </row>
    <row r="14226" spans="1:1" x14ac:dyDescent="0.2">
      <c r="A14226" s="1" t="s">
        <v>3827</v>
      </c>
    </row>
    <row r="14227" spans="1:1" x14ac:dyDescent="0.2">
      <c r="A14227" s="1" t="s">
        <v>3818</v>
      </c>
    </row>
    <row r="14228" spans="1:1" x14ac:dyDescent="0.2">
      <c r="A14228" s="1" t="s">
        <v>3819</v>
      </c>
    </row>
    <row r="14229" spans="1:1" x14ac:dyDescent="0.2">
      <c r="A14229" s="1" t="s">
        <v>3820</v>
      </c>
    </row>
    <row r="14230" spans="1:1" x14ac:dyDescent="0.2">
      <c r="A14230" s="1" t="s">
        <v>3828</v>
      </c>
    </row>
    <row r="14231" spans="1:1" x14ac:dyDescent="0.2">
      <c r="A14231" s="1" t="s">
        <v>3822</v>
      </c>
    </row>
    <row r="14232" spans="1:1" x14ac:dyDescent="0.2">
      <c r="A14232" s="1" t="s">
        <v>3823</v>
      </c>
    </row>
    <row r="14233" spans="1:1" x14ac:dyDescent="0.2">
      <c r="A14233" s="1" t="s">
        <v>3824</v>
      </c>
    </row>
    <row r="14234" spans="1:1" x14ac:dyDescent="0.2">
      <c r="A14234" s="1" t="s">
        <v>3825</v>
      </c>
    </row>
    <row r="14235" spans="1:1" x14ac:dyDescent="0.2">
      <c r="A14235" s="1" t="s">
        <v>3826</v>
      </c>
    </row>
    <row r="14236" spans="1:1" x14ac:dyDescent="0.2">
      <c r="A14236" s="1" t="s">
        <v>3816</v>
      </c>
    </row>
    <row r="14237" spans="1:1" x14ac:dyDescent="0.2">
      <c r="A14237" s="1" t="s">
        <v>3829</v>
      </c>
    </row>
    <row r="14238" spans="1:1" x14ac:dyDescent="0.2">
      <c r="A14238" s="1" t="s">
        <v>3818</v>
      </c>
    </row>
    <row r="14239" spans="1:1" x14ac:dyDescent="0.2">
      <c r="A14239" s="1" t="s">
        <v>3819</v>
      </c>
    </row>
    <row r="14240" spans="1:1" x14ac:dyDescent="0.2">
      <c r="A14240" s="1" t="s">
        <v>3820</v>
      </c>
    </row>
    <row r="14241" spans="1:1" x14ac:dyDescent="0.2">
      <c r="A14241" s="1" t="s">
        <v>3830</v>
      </c>
    </row>
    <row r="14242" spans="1:1" x14ac:dyDescent="0.2">
      <c r="A14242" s="1" t="s">
        <v>3822</v>
      </c>
    </row>
    <row r="14243" spans="1:1" x14ac:dyDescent="0.2">
      <c r="A14243" s="1" t="s">
        <v>3823</v>
      </c>
    </row>
    <row r="14244" spans="1:1" x14ac:dyDescent="0.2">
      <c r="A14244" s="1" t="s">
        <v>3824</v>
      </c>
    </row>
    <row r="14245" spans="1:1" x14ac:dyDescent="0.2">
      <c r="A14245" s="1" t="s">
        <v>3825</v>
      </c>
    </row>
    <row r="14246" spans="1:1" x14ac:dyDescent="0.2">
      <c r="A14246" s="1" t="s">
        <v>3826</v>
      </c>
    </row>
    <row r="14247" spans="1:1" x14ac:dyDescent="0.2">
      <c r="A14247" s="1" t="s">
        <v>3831</v>
      </c>
    </row>
    <row r="14248" spans="1:1" x14ac:dyDescent="0.2">
      <c r="A14248" s="1" t="s">
        <v>3832</v>
      </c>
    </row>
    <row r="14249" spans="1:1" x14ac:dyDescent="0.2">
      <c r="A14249" s="1" t="s">
        <v>3833</v>
      </c>
    </row>
    <row r="14250" spans="1:1" x14ac:dyDescent="0.2">
      <c r="A14250" s="1" t="s">
        <v>3834</v>
      </c>
    </row>
    <row r="14251" spans="1:1" x14ac:dyDescent="0.2">
      <c r="A14251" s="1" t="s">
        <v>3835</v>
      </c>
    </row>
    <row r="14252" spans="1:1" x14ac:dyDescent="0.2">
      <c r="A14252" s="1" t="s">
        <v>3836</v>
      </c>
    </row>
    <row r="14253" spans="1:1" x14ac:dyDescent="0.2">
      <c r="A14253" s="1" t="s">
        <v>3837</v>
      </c>
    </row>
    <row r="14254" spans="1:1" x14ac:dyDescent="0.2">
      <c r="A14254" s="1" t="s">
        <v>3838</v>
      </c>
    </row>
    <row r="14255" spans="1:1" x14ac:dyDescent="0.2">
      <c r="A14255" s="1" t="s">
        <v>3839</v>
      </c>
    </row>
    <row r="14256" spans="1:1" x14ac:dyDescent="0.2">
      <c r="A14256" s="1" t="s">
        <v>3840</v>
      </c>
    </row>
    <row r="14257" spans="1:1" x14ac:dyDescent="0.2">
      <c r="A14257" s="1" t="s">
        <v>3841</v>
      </c>
    </row>
    <row r="14258" spans="1:1" x14ac:dyDescent="0.2">
      <c r="A14258" s="1" t="s">
        <v>3842</v>
      </c>
    </row>
    <row r="14259" spans="1:1" x14ac:dyDescent="0.2">
      <c r="A14259" s="1" t="s">
        <v>3842</v>
      </c>
    </row>
    <row r="14260" spans="1:1" x14ac:dyDescent="0.2">
      <c r="A14260" s="1" t="s">
        <v>3843</v>
      </c>
    </row>
    <row r="14261" spans="1:1" x14ac:dyDescent="0.2">
      <c r="A14261" s="1" t="s">
        <v>3844</v>
      </c>
    </row>
    <row r="14262" spans="1:1" x14ac:dyDescent="0.2">
      <c r="A14262" s="1" t="s">
        <v>3845</v>
      </c>
    </row>
    <row r="14263" spans="1:1" x14ac:dyDescent="0.2">
      <c r="A14263" s="1" t="s">
        <v>3846</v>
      </c>
    </row>
    <row r="14264" spans="1:1" x14ac:dyDescent="0.2">
      <c r="A14264" s="1" t="s">
        <v>3847</v>
      </c>
    </row>
    <row r="14265" spans="1:1" x14ac:dyDescent="0.2">
      <c r="A14265" s="1" t="s">
        <v>3848</v>
      </c>
    </row>
    <row r="14266" spans="1:1" x14ac:dyDescent="0.2">
      <c r="A14266" s="1" t="s">
        <v>3849</v>
      </c>
    </row>
    <row r="14267" spans="1:1" x14ac:dyDescent="0.2">
      <c r="A14267" s="1" t="s">
        <v>3850</v>
      </c>
    </row>
    <row r="14268" spans="1:1" x14ac:dyDescent="0.2">
      <c r="A14268" s="1" t="s">
        <v>3850</v>
      </c>
    </row>
    <row r="14269" spans="1:1" x14ac:dyDescent="0.2">
      <c r="A14269" s="1" t="s">
        <v>3850</v>
      </c>
    </row>
    <row r="14270" spans="1:1" x14ac:dyDescent="0.2">
      <c r="A14270" s="1" t="s">
        <v>3850</v>
      </c>
    </row>
    <row r="14271" spans="1:1" x14ac:dyDescent="0.2">
      <c r="A14271" s="1" t="s">
        <v>3851</v>
      </c>
    </row>
    <row r="14272" spans="1:1" x14ac:dyDescent="0.2">
      <c r="A14272" s="1" t="s">
        <v>3842</v>
      </c>
    </row>
    <row r="14273" spans="1:1" x14ac:dyDescent="0.2">
      <c r="A14273" s="1" t="s">
        <v>3842</v>
      </c>
    </row>
    <row r="14274" spans="1:1" x14ac:dyDescent="0.2">
      <c r="A14274" s="1" t="s">
        <v>3842</v>
      </c>
    </row>
    <row r="14275" spans="1:1" x14ac:dyDescent="0.2">
      <c r="A14275" s="1" t="s">
        <v>3843</v>
      </c>
    </row>
    <row r="14276" spans="1:1" x14ac:dyDescent="0.2">
      <c r="A14276" s="1" t="s">
        <v>3844</v>
      </c>
    </row>
    <row r="14277" spans="1:1" x14ac:dyDescent="0.2">
      <c r="A14277" s="1" t="s">
        <v>3845</v>
      </c>
    </row>
    <row r="14278" spans="1:1" x14ac:dyDescent="0.2">
      <c r="A14278" s="1" t="s">
        <v>3846</v>
      </c>
    </row>
    <row r="14279" spans="1:1" x14ac:dyDescent="0.2">
      <c r="A14279" s="1" t="s">
        <v>3847</v>
      </c>
    </row>
    <row r="14280" spans="1:1" x14ac:dyDescent="0.2">
      <c r="A14280" s="1" t="s">
        <v>3848</v>
      </c>
    </row>
    <row r="14281" spans="1:1" x14ac:dyDescent="0.2">
      <c r="A14281" s="1" t="s">
        <v>3849</v>
      </c>
    </row>
    <row r="14282" spans="1:1" x14ac:dyDescent="0.2">
      <c r="A14282" s="1" t="s">
        <v>3850</v>
      </c>
    </row>
    <row r="14283" spans="1:1" x14ac:dyDescent="0.2">
      <c r="A14283" s="1" t="s">
        <v>3850</v>
      </c>
    </row>
    <row r="14284" spans="1:1" x14ac:dyDescent="0.2">
      <c r="A14284" s="1" t="s">
        <v>3850</v>
      </c>
    </row>
    <row r="14285" spans="1:1" x14ac:dyDescent="0.2">
      <c r="A14285" s="1" t="s">
        <v>3850</v>
      </c>
    </row>
    <row r="14286" spans="1:1" x14ac:dyDescent="0.2">
      <c r="A14286" s="1" t="s">
        <v>3851</v>
      </c>
    </row>
    <row r="14287" spans="1:1" x14ac:dyDescent="0.2">
      <c r="A14287" s="1" t="s">
        <v>3842</v>
      </c>
    </row>
    <row r="14288" spans="1:1" x14ac:dyDescent="0.2">
      <c r="A14288" s="1" t="s">
        <v>3842</v>
      </c>
    </row>
    <row r="14289" spans="1:1" x14ac:dyDescent="0.2">
      <c r="A14289" s="1" t="s">
        <v>3842</v>
      </c>
    </row>
    <row r="14290" spans="1:1" x14ac:dyDescent="0.2">
      <c r="A14290" s="1" t="s">
        <v>3843</v>
      </c>
    </row>
    <row r="14291" spans="1:1" x14ac:dyDescent="0.2">
      <c r="A14291" s="1" t="s">
        <v>3844</v>
      </c>
    </row>
    <row r="14292" spans="1:1" x14ac:dyDescent="0.2">
      <c r="A14292" s="1" t="s">
        <v>3845</v>
      </c>
    </row>
    <row r="14293" spans="1:1" x14ac:dyDescent="0.2">
      <c r="A14293" s="1" t="s">
        <v>3846</v>
      </c>
    </row>
    <row r="14294" spans="1:1" x14ac:dyDescent="0.2">
      <c r="A14294" s="1" t="s">
        <v>3847</v>
      </c>
    </row>
    <row r="14295" spans="1:1" x14ac:dyDescent="0.2">
      <c r="A14295" s="1" t="s">
        <v>3848</v>
      </c>
    </row>
    <row r="14296" spans="1:1" x14ac:dyDescent="0.2">
      <c r="A14296" s="1" t="s">
        <v>3849</v>
      </c>
    </row>
    <row r="14297" spans="1:1" x14ac:dyDescent="0.2">
      <c r="A14297" s="1" t="s">
        <v>3850</v>
      </c>
    </row>
    <row r="14298" spans="1:1" x14ac:dyDescent="0.2">
      <c r="A14298" s="1" t="s">
        <v>3850</v>
      </c>
    </row>
    <row r="14299" spans="1:1" x14ac:dyDescent="0.2">
      <c r="A14299" s="1" t="s">
        <v>3850</v>
      </c>
    </row>
    <row r="14300" spans="1:1" x14ac:dyDescent="0.2">
      <c r="A14300" s="1" t="s">
        <v>3850</v>
      </c>
    </row>
    <row r="14301" spans="1:1" x14ac:dyDescent="0.2">
      <c r="A14301" s="1" t="s">
        <v>3851</v>
      </c>
    </row>
    <row r="14302" spans="1:1" x14ac:dyDescent="0.2">
      <c r="A14302" s="1" t="s">
        <v>3842</v>
      </c>
    </row>
    <row r="14303" spans="1:1" x14ac:dyDescent="0.2">
      <c r="A14303" s="1" t="s">
        <v>3842</v>
      </c>
    </row>
    <row r="14304" spans="1:1" x14ac:dyDescent="0.2">
      <c r="A14304" s="1" t="s">
        <v>3842</v>
      </c>
    </row>
    <row r="14305" spans="1:1" x14ac:dyDescent="0.2">
      <c r="A14305" s="1" t="s">
        <v>3843</v>
      </c>
    </row>
    <row r="14306" spans="1:1" x14ac:dyDescent="0.2">
      <c r="A14306" s="1" t="s">
        <v>3844</v>
      </c>
    </row>
    <row r="14307" spans="1:1" x14ac:dyDescent="0.2">
      <c r="A14307" s="1" t="s">
        <v>3845</v>
      </c>
    </row>
    <row r="14308" spans="1:1" x14ac:dyDescent="0.2">
      <c r="A14308" s="1" t="s">
        <v>3846</v>
      </c>
    </row>
    <row r="14309" spans="1:1" x14ac:dyDescent="0.2">
      <c r="A14309" s="1" t="s">
        <v>3847</v>
      </c>
    </row>
    <row r="14310" spans="1:1" x14ac:dyDescent="0.2">
      <c r="A14310" s="1" t="s">
        <v>3848</v>
      </c>
    </row>
    <row r="14311" spans="1:1" x14ac:dyDescent="0.2">
      <c r="A14311" s="1" t="s">
        <v>3849</v>
      </c>
    </row>
    <row r="14312" spans="1:1" x14ac:dyDescent="0.2">
      <c r="A14312" s="1" t="s">
        <v>3850</v>
      </c>
    </row>
    <row r="14313" spans="1:1" x14ac:dyDescent="0.2">
      <c r="A14313" s="1" t="s">
        <v>3850</v>
      </c>
    </row>
    <row r="14314" spans="1:1" x14ac:dyDescent="0.2">
      <c r="A14314" s="1" t="s">
        <v>3850</v>
      </c>
    </row>
    <row r="14315" spans="1:1" x14ac:dyDescent="0.2">
      <c r="A14315" s="1" t="s">
        <v>3850</v>
      </c>
    </row>
    <row r="14316" spans="1:1" x14ac:dyDescent="0.2">
      <c r="A14316" s="1" t="s">
        <v>3851</v>
      </c>
    </row>
    <row r="14317" spans="1:1" x14ac:dyDescent="0.2">
      <c r="A14317" s="1" t="s">
        <v>3842</v>
      </c>
    </row>
    <row r="14318" spans="1:1" x14ac:dyDescent="0.2">
      <c r="A14318" s="1" t="s">
        <v>3842</v>
      </c>
    </row>
    <row r="14319" spans="1:1" x14ac:dyDescent="0.2">
      <c r="A14319" s="1" t="s">
        <v>3842</v>
      </c>
    </row>
    <row r="14320" spans="1:1" x14ac:dyDescent="0.2">
      <c r="A14320" s="1" t="s">
        <v>3843</v>
      </c>
    </row>
    <row r="14321" spans="1:1" x14ac:dyDescent="0.2">
      <c r="A14321" s="1" t="s">
        <v>3844</v>
      </c>
    </row>
    <row r="14322" spans="1:1" x14ac:dyDescent="0.2">
      <c r="A14322" s="1" t="s">
        <v>3845</v>
      </c>
    </row>
    <row r="14323" spans="1:1" x14ac:dyDescent="0.2">
      <c r="A14323" s="1" t="s">
        <v>3846</v>
      </c>
    </row>
    <row r="14324" spans="1:1" x14ac:dyDescent="0.2">
      <c r="A14324" s="1" t="s">
        <v>3847</v>
      </c>
    </row>
    <row r="14325" spans="1:1" x14ac:dyDescent="0.2">
      <c r="A14325" s="1" t="s">
        <v>3848</v>
      </c>
    </row>
    <row r="14326" spans="1:1" x14ac:dyDescent="0.2">
      <c r="A14326" s="1" t="s">
        <v>3849</v>
      </c>
    </row>
    <row r="14327" spans="1:1" x14ac:dyDescent="0.2">
      <c r="A14327" s="1" t="s">
        <v>3850</v>
      </c>
    </row>
    <row r="14328" spans="1:1" x14ac:dyDescent="0.2">
      <c r="A14328" s="1" t="s">
        <v>3850</v>
      </c>
    </row>
    <row r="14329" spans="1:1" x14ac:dyDescent="0.2">
      <c r="A14329" s="1" t="s">
        <v>3850</v>
      </c>
    </row>
    <row r="14330" spans="1:1" x14ac:dyDescent="0.2">
      <c r="A14330" s="1" t="s">
        <v>3850</v>
      </c>
    </row>
    <row r="14331" spans="1:1" x14ac:dyDescent="0.2">
      <c r="A14331" s="1" t="s">
        <v>3851</v>
      </c>
    </row>
    <row r="14332" spans="1:1" x14ac:dyDescent="0.2">
      <c r="A14332" s="1" t="s">
        <v>3842</v>
      </c>
    </row>
    <row r="14333" spans="1:1" x14ac:dyDescent="0.2">
      <c r="A14333" s="1" t="s">
        <v>3852</v>
      </c>
    </row>
    <row r="14334" spans="1:1" x14ac:dyDescent="0.2">
      <c r="A14334" s="1" t="s">
        <v>3853</v>
      </c>
    </row>
    <row r="14335" spans="1:1" x14ac:dyDescent="0.2">
      <c r="A14335" s="1" t="s">
        <v>3854</v>
      </c>
    </row>
    <row r="14336" spans="1:1" x14ac:dyDescent="0.2">
      <c r="A14336" s="1" t="s">
        <v>3855</v>
      </c>
    </row>
    <row r="14337" spans="1:1" x14ac:dyDescent="0.2">
      <c r="A14337" s="1" t="s">
        <v>3856</v>
      </c>
    </row>
    <row r="14338" spans="1:1" x14ac:dyDescent="0.2">
      <c r="A14338" s="1" t="s">
        <v>3857</v>
      </c>
    </row>
    <row r="14339" spans="1:1" x14ac:dyDescent="0.2">
      <c r="A14339" s="1" t="s">
        <v>3858</v>
      </c>
    </row>
    <row r="14340" spans="1:1" x14ac:dyDescent="0.2">
      <c r="A14340" s="1" t="s">
        <v>3859</v>
      </c>
    </row>
    <row r="14341" spans="1:1" x14ac:dyDescent="0.2">
      <c r="A14341" s="1" t="s">
        <v>3860</v>
      </c>
    </row>
    <row r="14342" spans="1:1" x14ac:dyDescent="0.2">
      <c r="A14342" s="1" t="s">
        <v>3861</v>
      </c>
    </row>
    <row r="14343" spans="1:1" x14ac:dyDescent="0.2">
      <c r="A14343" s="1" t="s">
        <v>3862</v>
      </c>
    </row>
    <row r="14344" spans="1:1" x14ac:dyDescent="0.2">
      <c r="A14344" s="1" t="s">
        <v>3863</v>
      </c>
    </row>
    <row r="14345" spans="1:1" x14ac:dyDescent="0.2">
      <c r="A14345" s="1" t="s">
        <v>3864</v>
      </c>
    </row>
    <row r="14346" spans="1:1" x14ac:dyDescent="0.2">
      <c r="A14346" s="1" t="s">
        <v>3865</v>
      </c>
    </row>
    <row r="14347" spans="1:1" x14ac:dyDescent="0.2">
      <c r="A14347" s="1" t="s">
        <v>3866</v>
      </c>
    </row>
    <row r="14348" spans="1:1" x14ac:dyDescent="0.2">
      <c r="A14348" s="1" t="s">
        <v>3867</v>
      </c>
    </row>
    <row r="14349" spans="1:1" x14ac:dyDescent="0.2">
      <c r="A14349" s="1" t="s">
        <v>3868</v>
      </c>
    </row>
    <row r="14350" spans="1:1" x14ac:dyDescent="0.2">
      <c r="A14350" s="1" t="s">
        <v>3869</v>
      </c>
    </row>
    <row r="14351" spans="1:1" x14ac:dyDescent="0.2">
      <c r="A14351" s="1" t="s">
        <v>3870</v>
      </c>
    </row>
    <row r="14352" spans="1:1" x14ac:dyDescent="0.2">
      <c r="A14352" s="1" t="s">
        <v>3871</v>
      </c>
    </row>
    <row r="14353" spans="1:1" x14ac:dyDescent="0.2">
      <c r="A14353" s="1" t="s">
        <v>3872</v>
      </c>
    </row>
    <row r="14354" spans="1:1" x14ac:dyDescent="0.2">
      <c r="A14354" s="1" t="s">
        <v>3873</v>
      </c>
    </row>
    <row r="14355" spans="1:1" x14ac:dyDescent="0.2">
      <c r="A14355" s="1" t="s">
        <v>3863</v>
      </c>
    </row>
    <row r="14356" spans="1:1" x14ac:dyDescent="0.2">
      <c r="A14356" s="1" t="s">
        <v>3874</v>
      </c>
    </row>
    <row r="14357" spans="1:1" x14ac:dyDescent="0.2">
      <c r="A14357" s="1" t="s">
        <v>3865</v>
      </c>
    </row>
    <row r="14358" spans="1:1" x14ac:dyDescent="0.2">
      <c r="A14358" s="1" t="s">
        <v>3866</v>
      </c>
    </row>
    <row r="14359" spans="1:1" x14ac:dyDescent="0.2">
      <c r="A14359" s="1" t="s">
        <v>3867</v>
      </c>
    </row>
    <row r="14360" spans="1:1" x14ac:dyDescent="0.2">
      <c r="A14360" s="1" t="s">
        <v>3875</v>
      </c>
    </row>
    <row r="14361" spans="1:1" x14ac:dyDescent="0.2">
      <c r="A14361" s="1" t="s">
        <v>3869</v>
      </c>
    </row>
    <row r="14362" spans="1:1" x14ac:dyDescent="0.2">
      <c r="A14362" s="1" t="s">
        <v>3870</v>
      </c>
    </row>
    <row r="14363" spans="1:1" x14ac:dyDescent="0.2">
      <c r="A14363" s="1" t="s">
        <v>3871</v>
      </c>
    </row>
    <row r="14364" spans="1:1" x14ac:dyDescent="0.2">
      <c r="A14364" s="1" t="s">
        <v>3872</v>
      </c>
    </row>
    <row r="14365" spans="1:1" x14ac:dyDescent="0.2">
      <c r="A14365" s="1" t="s">
        <v>3873</v>
      </c>
    </row>
    <row r="14366" spans="1:1" x14ac:dyDescent="0.2">
      <c r="A14366" s="1" t="s">
        <v>3863</v>
      </c>
    </row>
    <row r="14367" spans="1:1" x14ac:dyDescent="0.2">
      <c r="A14367" s="1" t="s">
        <v>3876</v>
      </c>
    </row>
    <row r="14368" spans="1:1" x14ac:dyDescent="0.2">
      <c r="A14368" s="1" t="s">
        <v>3865</v>
      </c>
    </row>
    <row r="14369" spans="1:1" x14ac:dyDescent="0.2">
      <c r="A14369" s="1" t="s">
        <v>3866</v>
      </c>
    </row>
    <row r="14370" spans="1:1" x14ac:dyDescent="0.2">
      <c r="A14370" s="1" t="s">
        <v>3867</v>
      </c>
    </row>
    <row r="14371" spans="1:1" x14ac:dyDescent="0.2">
      <c r="A14371" s="1" t="s">
        <v>3877</v>
      </c>
    </row>
    <row r="14372" spans="1:1" x14ac:dyDescent="0.2">
      <c r="A14372" s="1" t="s">
        <v>3869</v>
      </c>
    </row>
    <row r="14373" spans="1:1" x14ac:dyDescent="0.2">
      <c r="A14373" s="1" t="s">
        <v>3870</v>
      </c>
    </row>
    <row r="14374" spans="1:1" x14ac:dyDescent="0.2">
      <c r="A14374" s="1" t="s">
        <v>3871</v>
      </c>
    </row>
    <row r="14375" spans="1:1" x14ac:dyDescent="0.2">
      <c r="A14375" s="1" t="s">
        <v>3872</v>
      </c>
    </row>
    <row r="14376" spans="1:1" x14ac:dyDescent="0.2">
      <c r="A14376" s="1" t="s">
        <v>3873</v>
      </c>
    </row>
    <row r="14377" spans="1:1" x14ac:dyDescent="0.2">
      <c r="A14377" s="1" t="s">
        <v>3878</v>
      </c>
    </row>
    <row r="14378" spans="1:1" x14ac:dyDescent="0.2">
      <c r="A14378" s="1" t="s">
        <v>3878</v>
      </c>
    </row>
    <row r="14379" spans="1:1" x14ac:dyDescent="0.2">
      <c r="A14379" s="1" t="s">
        <v>3879</v>
      </c>
    </row>
    <row r="14380" spans="1:1" x14ac:dyDescent="0.2">
      <c r="A14380" s="1" t="s">
        <v>3880</v>
      </c>
    </row>
    <row r="14381" spans="1:1" x14ac:dyDescent="0.2">
      <c r="A14381" s="1" t="s">
        <v>3881</v>
      </c>
    </row>
    <row r="14382" spans="1:1" x14ac:dyDescent="0.2">
      <c r="A14382" s="1" t="s">
        <v>3882</v>
      </c>
    </row>
    <row r="14383" spans="1:1" x14ac:dyDescent="0.2">
      <c r="A14383" s="1" t="s">
        <v>3883</v>
      </c>
    </row>
    <row r="14384" spans="1:1" x14ac:dyDescent="0.2">
      <c r="A14384" s="1" t="s">
        <v>3884</v>
      </c>
    </row>
    <row r="14385" spans="1:1" x14ac:dyDescent="0.2">
      <c r="A14385" s="1" t="s">
        <v>3885</v>
      </c>
    </row>
    <row r="14386" spans="1:1" x14ac:dyDescent="0.2">
      <c r="A14386" s="1" t="s">
        <v>3886</v>
      </c>
    </row>
    <row r="14387" spans="1:1" x14ac:dyDescent="0.2">
      <c r="A14387" s="1" t="s">
        <v>3886</v>
      </c>
    </row>
    <row r="14388" spans="1:1" x14ac:dyDescent="0.2">
      <c r="A14388" s="1" t="s">
        <v>3886</v>
      </c>
    </row>
    <row r="14389" spans="1:1" x14ac:dyDescent="0.2">
      <c r="A14389" s="1" t="s">
        <v>3886</v>
      </c>
    </row>
    <row r="14390" spans="1:1" x14ac:dyDescent="0.2">
      <c r="A14390" s="1" t="s">
        <v>3887</v>
      </c>
    </row>
    <row r="14391" spans="1:1" x14ac:dyDescent="0.2">
      <c r="A14391" s="1" t="s">
        <v>3878</v>
      </c>
    </row>
    <row r="14392" spans="1:1" x14ac:dyDescent="0.2">
      <c r="A14392" s="1" t="s">
        <v>3878</v>
      </c>
    </row>
    <row r="14393" spans="1:1" x14ac:dyDescent="0.2">
      <c r="A14393" s="1" t="s">
        <v>3878</v>
      </c>
    </row>
    <row r="14394" spans="1:1" x14ac:dyDescent="0.2">
      <c r="A14394" s="1" t="s">
        <v>3879</v>
      </c>
    </row>
    <row r="14395" spans="1:1" x14ac:dyDescent="0.2">
      <c r="A14395" s="1" t="s">
        <v>3880</v>
      </c>
    </row>
    <row r="14396" spans="1:1" x14ac:dyDescent="0.2">
      <c r="A14396" s="1" t="s">
        <v>3881</v>
      </c>
    </row>
    <row r="14397" spans="1:1" x14ac:dyDescent="0.2">
      <c r="A14397" s="1" t="s">
        <v>3882</v>
      </c>
    </row>
    <row r="14398" spans="1:1" x14ac:dyDescent="0.2">
      <c r="A14398" s="1" t="s">
        <v>3883</v>
      </c>
    </row>
    <row r="14399" spans="1:1" x14ac:dyDescent="0.2">
      <c r="A14399" s="1" t="s">
        <v>3884</v>
      </c>
    </row>
    <row r="14400" spans="1:1" x14ac:dyDescent="0.2">
      <c r="A14400" s="1" t="s">
        <v>3885</v>
      </c>
    </row>
    <row r="14401" spans="1:1" x14ac:dyDescent="0.2">
      <c r="A14401" s="1" t="s">
        <v>3886</v>
      </c>
    </row>
    <row r="14402" spans="1:1" x14ac:dyDescent="0.2">
      <c r="A14402" s="1" t="s">
        <v>3886</v>
      </c>
    </row>
    <row r="14403" spans="1:1" x14ac:dyDescent="0.2">
      <c r="A14403" s="1" t="s">
        <v>3886</v>
      </c>
    </row>
    <row r="14404" spans="1:1" x14ac:dyDescent="0.2">
      <c r="A14404" s="1" t="s">
        <v>3886</v>
      </c>
    </row>
    <row r="14405" spans="1:1" x14ac:dyDescent="0.2">
      <c r="A14405" s="1" t="s">
        <v>3887</v>
      </c>
    </row>
    <row r="14406" spans="1:1" x14ac:dyDescent="0.2">
      <c r="A14406" s="1" t="s">
        <v>3878</v>
      </c>
    </row>
    <row r="14407" spans="1:1" x14ac:dyDescent="0.2">
      <c r="A14407" s="1" t="s">
        <v>3878</v>
      </c>
    </row>
    <row r="14408" spans="1:1" x14ac:dyDescent="0.2">
      <c r="A14408" s="1" t="s">
        <v>3878</v>
      </c>
    </row>
    <row r="14409" spans="1:1" x14ac:dyDescent="0.2">
      <c r="A14409" s="1" t="s">
        <v>3879</v>
      </c>
    </row>
    <row r="14410" spans="1:1" x14ac:dyDescent="0.2">
      <c r="A14410" s="1" t="s">
        <v>3880</v>
      </c>
    </row>
    <row r="14411" spans="1:1" x14ac:dyDescent="0.2">
      <c r="A14411" s="1" t="s">
        <v>3881</v>
      </c>
    </row>
    <row r="14412" spans="1:1" x14ac:dyDescent="0.2">
      <c r="A14412" s="1" t="s">
        <v>3882</v>
      </c>
    </row>
    <row r="14413" spans="1:1" x14ac:dyDescent="0.2">
      <c r="A14413" s="1" t="s">
        <v>3883</v>
      </c>
    </row>
    <row r="14414" spans="1:1" x14ac:dyDescent="0.2">
      <c r="A14414" s="1" t="s">
        <v>3884</v>
      </c>
    </row>
    <row r="14415" spans="1:1" x14ac:dyDescent="0.2">
      <c r="A14415" s="1" t="s">
        <v>3885</v>
      </c>
    </row>
    <row r="14416" spans="1:1" x14ac:dyDescent="0.2">
      <c r="A14416" s="1" t="s">
        <v>3886</v>
      </c>
    </row>
    <row r="14417" spans="1:1" x14ac:dyDescent="0.2">
      <c r="A14417" s="1" t="s">
        <v>3886</v>
      </c>
    </row>
    <row r="14418" spans="1:1" x14ac:dyDescent="0.2">
      <c r="A14418" s="1" t="s">
        <v>3886</v>
      </c>
    </row>
    <row r="14419" spans="1:1" x14ac:dyDescent="0.2">
      <c r="A14419" s="1" t="s">
        <v>3886</v>
      </c>
    </row>
    <row r="14420" spans="1:1" x14ac:dyDescent="0.2">
      <c r="A14420" s="1" t="s">
        <v>3887</v>
      </c>
    </row>
    <row r="14421" spans="1:1" x14ac:dyDescent="0.2">
      <c r="A14421" s="1" t="s">
        <v>3878</v>
      </c>
    </row>
    <row r="14422" spans="1:1" x14ac:dyDescent="0.2">
      <c r="A14422" s="1" t="s">
        <v>3878</v>
      </c>
    </row>
    <row r="14423" spans="1:1" x14ac:dyDescent="0.2">
      <c r="A14423" s="1" t="s">
        <v>3878</v>
      </c>
    </row>
    <row r="14424" spans="1:1" x14ac:dyDescent="0.2">
      <c r="A14424" s="1" t="s">
        <v>3879</v>
      </c>
    </row>
    <row r="14425" spans="1:1" x14ac:dyDescent="0.2">
      <c r="A14425" s="1" t="s">
        <v>3880</v>
      </c>
    </row>
    <row r="14426" spans="1:1" x14ac:dyDescent="0.2">
      <c r="A14426" s="1" t="s">
        <v>3881</v>
      </c>
    </row>
    <row r="14427" spans="1:1" x14ac:dyDescent="0.2">
      <c r="A14427" s="1" t="s">
        <v>3882</v>
      </c>
    </row>
    <row r="14428" spans="1:1" x14ac:dyDescent="0.2">
      <c r="A14428" s="1" t="s">
        <v>3883</v>
      </c>
    </row>
    <row r="14429" spans="1:1" x14ac:dyDescent="0.2">
      <c r="A14429" s="1" t="s">
        <v>3884</v>
      </c>
    </row>
    <row r="14430" spans="1:1" x14ac:dyDescent="0.2">
      <c r="A14430" s="1" t="s">
        <v>3885</v>
      </c>
    </row>
    <row r="14431" spans="1:1" x14ac:dyDescent="0.2">
      <c r="A14431" s="1" t="s">
        <v>3886</v>
      </c>
    </row>
    <row r="14432" spans="1:1" x14ac:dyDescent="0.2">
      <c r="A14432" s="1" t="s">
        <v>3886</v>
      </c>
    </row>
    <row r="14433" spans="1:1" x14ac:dyDescent="0.2">
      <c r="A14433" s="1" t="s">
        <v>3886</v>
      </c>
    </row>
    <row r="14434" spans="1:1" x14ac:dyDescent="0.2">
      <c r="A14434" s="1" t="s">
        <v>3886</v>
      </c>
    </row>
    <row r="14435" spans="1:1" x14ac:dyDescent="0.2">
      <c r="A14435" s="1" t="s">
        <v>3887</v>
      </c>
    </row>
    <row r="14436" spans="1:1" x14ac:dyDescent="0.2">
      <c r="A14436" s="1" t="s">
        <v>3878</v>
      </c>
    </row>
    <row r="14437" spans="1:1" x14ac:dyDescent="0.2">
      <c r="A14437" s="1" t="s">
        <v>3878</v>
      </c>
    </row>
    <row r="14438" spans="1:1" x14ac:dyDescent="0.2">
      <c r="A14438" s="1" t="s">
        <v>3878</v>
      </c>
    </row>
    <row r="14439" spans="1:1" x14ac:dyDescent="0.2">
      <c r="A14439" s="1" t="s">
        <v>3879</v>
      </c>
    </row>
    <row r="14440" spans="1:1" x14ac:dyDescent="0.2">
      <c r="A14440" s="1" t="s">
        <v>3880</v>
      </c>
    </row>
    <row r="14441" spans="1:1" x14ac:dyDescent="0.2">
      <c r="A14441" s="1" t="s">
        <v>3881</v>
      </c>
    </row>
    <row r="14442" spans="1:1" x14ac:dyDescent="0.2">
      <c r="A14442" s="1" t="s">
        <v>3882</v>
      </c>
    </row>
    <row r="14443" spans="1:1" x14ac:dyDescent="0.2">
      <c r="A14443" s="1" t="s">
        <v>3883</v>
      </c>
    </row>
    <row r="14444" spans="1:1" x14ac:dyDescent="0.2">
      <c r="A14444" s="1" t="s">
        <v>3884</v>
      </c>
    </row>
    <row r="14445" spans="1:1" x14ac:dyDescent="0.2">
      <c r="A14445" s="1" t="s">
        <v>3885</v>
      </c>
    </row>
    <row r="14446" spans="1:1" x14ac:dyDescent="0.2">
      <c r="A14446" s="1" t="s">
        <v>3886</v>
      </c>
    </row>
    <row r="14447" spans="1:1" x14ac:dyDescent="0.2">
      <c r="A14447" s="1" t="s">
        <v>3886</v>
      </c>
    </row>
    <row r="14448" spans="1:1" x14ac:dyDescent="0.2">
      <c r="A14448" s="1" t="s">
        <v>3886</v>
      </c>
    </row>
    <row r="14449" spans="1:1" x14ac:dyDescent="0.2">
      <c r="A14449" s="1" t="s">
        <v>3886</v>
      </c>
    </row>
    <row r="14450" spans="1:1" x14ac:dyDescent="0.2">
      <c r="A14450" s="1" t="s">
        <v>3887</v>
      </c>
    </row>
    <row r="14451" spans="1:1" x14ac:dyDescent="0.2">
      <c r="A14451" s="1" t="s">
        <v>3878</v>
      </c>
    </row>
    <row r="14452" spans="1:1" x14ac:dyDescent="0.2">
      <c r="A14452" s="1" t="s">
        <v>3888</v>
      </c>
    </row>
    <row r="14453" spans="1:1" x14ac:dyDescent="0.2">
      <c r="A14453" s="1" t="s">
        <v>3889</v>
      </c>
    </row>
    <row r="14454" spans="1:1" x14ac:dyDescent="0.2">
      <c r="A14454" s="1" t="s">
        <v>3878</v>
      </c>
    </row>
    <row r="14455" spans="1:1" x14ac:dyDescent="0.2">
      <c r="A14455" s="1" t="s">
        <v>3890</v>
      </c>
    </row>
    <row r="14456" spans="1:1" x14ac:dyDescent="0.2">
      <c r="A14456" s="1" t="s">
        <v>3891</v>
      </c>
    </row>
    <row r="14457" spans="1:1" x14ac:dyDescent="0.2">
      <c r="A14457" s="1" t="s">
        <v>3892</v>
      </c>
    </row>
    <row r="14458" spans="1:1" x14ac:dyDescent="0.2">
      <c r="A14458" s="1" t="s">
        <v>3893</v>
      </c>
    </row>
    <row r="14459" spans="1:1" x14ac:dyDescent="0.2">
      <c r="A14459" s="1" t="s">
        <v>3894</v>
      </c>
    </row>
    <row r="14460" spans="1:1" x14ac:dyDescent="0.2">
      <c r="A14460" s="1" t="s">
        <v>3895</v>
      </c>
    </row>
    <row r="14461" spans="1:1" x14ac:dyDescent="0.2">
      <c r="A14461" s="1" t="s">
        <v>3896</v>
      </c>
    </row>
    <row r="14462" spans="1:1" x14ac:dyDescent="0.2">
      <c r="A14462" s="1" t="s">
        <v>3897</v>
      </c>
    </row>
    <row r="14463" spans="1:1" x14ac:dyDescent="0.2">
      <c r="A14463" s="1" t="s">
        <v>3898</v>
      </c>
    </row>
    <row r="14464" spans="1:1" x14ac:dyDescent="0.2">
      <c r="A14464" s="1" t="s">
        <v>3899</v>
      </c>
    </row>
    <row r="14465" spans="1:1" x14ac:dyDescent="0.2">
      <c r="A14465" s="1" t="s">
        <v>3900</v>
      </c>
    </row>
    <row r="14466" spans="1:1" x14ac:dyDescent="0.2">
      <c r="A14466" s="1" t="s">
        <v>3901</v>
      </c>
    </row>
    <row r="14467" spans="1:1" x14ac:dyDescent="0.2">
      <c r="A14467" s="1" t="s">
        <v>3902</v>
      </c>
    </row>
    <row r="14468" spans="1:1" x14ac:dyDescent="0.2">
      <c r="A14468" s="1" t="s">
        <v>3903</v>
      </c>
    </row>
    <row r="14469" spans="1:1" x14ac:dyDescent="0.2">
      <c r="A14469" s="1" t="s">
        <v>3904</v>
      </c>
    </row>
    <row r="14470" spans="1:1" x14ac:dyDescent="0.2">
      <c r="A14470" s="1" t="s">
        <v>3905</v>
      </c>
    </row>
    <row r="14471" spans="1:1" x14ac:dyDescent="0.2">
      <c r="A14471" s="1" t="s">
        <v>3906</v>
      </c>
    </row>
    <row r="14472" spans="1:1" x14ac:dyDescent="0.2">
      <c r="A14472" s="1" t="s">
        <v>3907</v>
      </c>
    </row>
    <row r="14473" spans="1:1" x14ac:dyDescent="0.2">
      <c r="A14473" s="1" t="s">
        <v>3908</v>
      </c>
    </row>
    <row r="14474" spans="1:1" x14ac:dyDescent="0.2">
      <c r="A14474" s="1" t="s">
        <v>3909</v>
      </c>
    </row>
    <row r="14475" spans="1:1" x14ac:dyDescent="0.2">
      <c r="A14475" s="1" t="s">
        <v>3910</v>
      </c>
    </row>
    <row r="14476" spans="1:1" x14ac:dyDescent="0.2">
      <c r="A14476" s="1" t="s">
        <v>3911</v>
      </c>
    </row>
    <row r="14477" spans="1:1" x14ac:dyDescent="0.2">
      <c r="A14477" s="1" t="s">
        <v>3912</v>
      </c>
    </row>
    <row r="14478" spans="1:1" x14ac:dyDescent="0.2">
      <c r="A14478" s="1" t="s">
        <v>3913</v>
      </c>
    </row>
    <row r="14479" spans="1:1" x14ac:dyDescent="0.2">
      <c r="A14479" s="1" t="s">
        <v>3914</v>
      </c>
    </row>
    <row r="14480" spans="1:1" x14ac:dyDescent="0.2">
      <c r="A14480" s="1" t="s">
        <v>3915</v>
      </c>
    </row>
    <row r="14481" spans="1:1" x14ac:dyDescent="0.2">
      <c r="A14481" s="1" t="s">
        <v>3916</v>
      </c>
    </row>
    <row r="14482" spans="1:1" x14ac:dyDescent="0.2">
      <c r="A14482" s="1" t="s">
        <v>3917</v>
      </c>
    </row>
    <row r="14483" spans="1:1" x14ac:dyDescent="0.2">
      <c r="A14483" s="1" t="s">
        <v>3918</v>
      </c>
    </row>
    <row r="14484" spans="1:1" x14ac:dyDescent="0.2">
      <c r="A14484" s="1" t="s">
        <v>3919</v>
      </c>
    </row>
    <row r="14485" spans="1:1" x14ac:dyDescent="0.2">
      <c r="A14485" s="1" t="s">
        <v>3909</v>
      </c>
    </row>
    <row r="14486" spans="1:1" x14ac:dyDescent="0.2">
      <c r="A14486" s="1" t="s">
        <v>3920</v>
      </c>
    </row>
    <row r="14487" spans="1:1" x14ac:dyDescent="0.2">
      <c r="A14487" s="1" t="s">
        <v>3911</v>
      </c>
    </row>
    <row r="14488" spans="1:1" x14ac:dyDescent="0.2">
      <c r="A14488" s="1" t="s">
        <v>3912</v>
      </c>
    </row>
    <row r="14489" spans="1:1" x14ac:dyDescent="0.2">
      <c r="A14489" s="1" t="s">
        <v>3913</v>
      </c>
    </row>
    <row r="14490" spans="1:1" x14ac:dyDescent="0.2">
      <c r="A14490" s="1" t="s">
        <v>3921</v>
      </c>
    </row>
    <row r="14491" spans="1:1" x14ac:dyDescent="0.2">
      <c r="A14491" s="1" t="s">
        <v>3915</v>
      </c>
    </row>
    <row r="14492" spans="1:1" x14ac:dyDescent="0.2">
      <c r="A14492" s="1" t="s">
        <v>3916</v>
      </c>
    </row>
    <row r="14493" spans="1:1" x14ac:dyDescent="0.2">
      <c r="A14493" s="1" t="s">
        <v>3917</v>
      </c>
    </row>
    <row r="14494" spans="1:1" x14ac:dyDescent="0.2">
      <c r="A14494" s="1" t="s">
        <v>3918</v>
      </c>
    </row>
    <row r="14495" spans="1:1" x14ac:dyDescent="0.2">
      <c r="A14495" s="1" t="s">
        <v>3919</v>
      </c>
    </row>
    <row r="14496" spans="1:1" x14ac:dyDescent="0.2">
      <c r="A14496" s="1" t="s">
        <v>3909</v>
      </c>
    </row>
    <row r="14497" spans="1:1" x14ac:dyDescent="0.2">
      <c r="A14497" s="1" t="s">
        <v>3922</v>
      </c>
    </row>
    <row r="14498" spans="1:1" x14ac:dyDescent="0.2">
      <c r="A14498" s="1" t="s">
        <v>3911</v>
      </c>
    </row>
    <row r="14499" spans="1:1" x14ac:dyDescent="0.2">
      <c r="A14499" s="1" t="s">
        <v>3912</v>
      </c>
    </row>
    <row r="14500" spans="1:1" x14ac:dyDescent="0.2">
      <c r="A14500" s="1" t="s">
        <v>3913</v>
      </c>
    </row>
    <row r="14501" spans="1:1" x14ac:dyDescent="0.2">
      <c r="A14501" s="1" t="s">
        <v>3923</v>
      </c>
    </row>
    <row r="14502" spans="1:1" x14ac:dyDescent="0.2">
      <c r="A14502" s="1" t="s">
        <v>3915</v>
      </c>
    </row>
    <row r="14503" spans="1:1" x14ac:dyDescent="0.2">
      <c r="A14503" s="1" t="s">
        <v>3916</v>
      </c>
    </row>
    <row r="14504" spans="1:1" x14ac:dyDescent="0.2">
      <c r="A14504" s="1" t="s">
        <v>3917</v>
      </c>
    </row>
    <row r="14505" spans="1:1" x14ac:dyDescent="0.2">
      <c r="A14505" s="1" t="s">
        <v>3918</v>
      </c>
    </row>
    <row r="14506" spans="1:1" x14ac:dyDescent="0.2">
      <c r="A14506" s="1" t="s">
        <v>3919</v>
      </c>
    </row>
    <row r="14507" spans="1:1" x14ac:dyDescent="0.2">
      <c r="A14507" s="1" t="s">
        <v>3911</v>
      </c>
    </row>
    <row r="14508" spans="1:1" x14ac:dyDescent="0.2">
      <c r="A14508" s="1" t="s">
        <v>3911</v>
      </c>
    </row>
    <row r="14509" spans="1:1" x14ac:dyDescent="0.2">
      <c r="A14509" s="1" t="s">
        <v>3924</v>
      </c>
    </row>
    <row r="14510" spans="1:1" x14ac:dyDescent="0.2">
      <c r="A14510" s="1" t="s">
        <v>3925</v>
      </c>
    </row>
    <row r="14511" spans="1:1" x14ac:dyDescent="0.2">
      <c r="A14511" s="1" t="s">
        <v>3926</v>
      </c>
    </row>
    <row r="14512" spans="1:1" x14ac:dyDescent="0.2">
      <c r="A14512" s="1" t="s">
        <v>3927</v>
      </c>
    </row>
    <row r="14513" spans="1:1" x14ac:dyDescent="0.2">
      <c r="A14513" s="1" t="s">
        <v>3928</v>
      </c>
    </row>
    <row r="14514" spans="1:1" x14ac:dyDescent="0.2">
      <c r="A14514" s="1" t="s">
        <v>3929</v>
      </c>
    </row>
    <row r="14515" spans="1:1" x14ac:dyDescent="0.2">
      <c r="A14515" s="1" t="s">
        <v>3930</v>
      </c>
    </row>
    <row r="14516" spans="1:1" x14ac:dyDescent="0.2">
      <c r="A14516" s="1" t="s">
        <v>3931</v>
      </c>
    </row>
    <row r="14517" spans="1:1" x14ac:dyDescent="0.2">
      <c r="A14517" s="1" t="s">
        <v>3931</v>
      </c>
    </row>
    <row r="14518" spans="1:1" x14ac:dyDescent="0.2">
      <c r="A14518" s="1" t="s">
        <v>3931</v>
      </c>
    </row>
    <row r="14519" spans="1:1" x14ac:dyDescent="0.2">
      <c r="A14519" s="1" t="s">
        <v>3931</v>
      </c>
    </row>
    <row r="14520" spans="1:1" x14ac:dyDescent="0.2">
      <c r="A14520" s="1" t="s">
        <v>3932</v>
      </c>
    </row>
    <row r="14521" spans="1:1" x14ac:dyDescent="0.2">
      <c r="A14521" s="1" t="s">
        <v>3911</v>
      </c>
    </row>
    <row r="14522" spans="1:1" x14ac:dyDescent="0.2">
      <c r="A14522" s="1" t="s">
        <v>3911</v>
      </c>
    </row>
    <row r="14523" spans="1:1" x14ac:dyDescent="0.2">
      <c r="A14523" s="1" t="s">
        <v>3911</v>
      </c>
    </row>
    <row r="14524" spans="1:1" x14ac:dyDescent="0.2">
      <c r="A14524" s="1" t="s">
        <v>3924</v>
      </c>
    </row>
    <row r="14525" spans="1:1" x14ac:dyDescent="0.2">
      <c r="A14525" s="1" t="s">
        <v>3925</v>
      </c>
    </row>
    <row r="14526" spans="1:1" x14ac:dyDescent="0.2">
      <c r="A14526" s="1" t="s">
        <v>3926</v>
      </c>
    </row>
    <row r="14527" spans="1:1" x14ac:dyDescent="0.2">
      <c r="A14527" s="1" t="s">
        <v>3927</v>
      </c>
    </row>
    <row r="14528" spans="1:1" x14ac:dyDescent="0.2">
      <c r="A14528" s="1" t="s">
        <v>3928</v>
      </c>
    </row>
    <row r="14529" spans="1:1" x14ac:dyDescent="0.2">
      <c r="A14529" s="1" t="s">
        <v>3929</v>
      </c>
    </row>
    <row r="14530" spans="1:1" x14ac:dyDescent="0.2">
      <c r="A14530" s="1" t="s">
        <v>3930</v>
      </c>
    </row>
    <row r="14531" spans="1:1" x14ac:dyDescent="0.2">
      <c r="A14531" s="1" t="s">
        <v>3931</v>
      </c>
    </row>
    <row r="14532" spans="1:1" x14ac:dyDescent="0.2">
      <c r="A14532" s="1" t="s">
        <v>3931</v>
      </c>
    </row>
    <row r="14533" spans="1:1" x14ac:dyDescent="0.2">
      <c r="A14533" s="1" t="s">
        <v>3931</v>
      </c>
    </row>
    <row r="14534" spans="1:1" x14ac:dyDescent="0.2">
      <c r="A14534" s="1" t="s">
        <v>3931</v>
      </c>
    </row>
    <row r="14535" spans="1:1" x14ac:dyDescent="0.2">
      <c r="A14535" s="1" t="s">
        <v>3932</v>
      </c>
    </row>
    <row r="14536" spans="1:1" x14ac:dyDescent="0.2">
      <c r="A14536" s="1" t="s">
        <v>3911</v>
      </c>
    </row>
    <row r="14537" spans="1:1" x14ac:dyDescent="0.2">
      <c r="A14537" s="1" t="s">
        <v>3911</v>
      </c>
    </row>
    <row r="14538" spans="1:1" x14ac:dyDescent="0.2">
      <c r="A14538" s="1" t="s">
        <v>3911</v>
      </c>
    </row>
    <row r="14539" spans="1:1" x14ac:dyDescent="0.2">
      <c r="A14539" s="1" t="s">
        <v>3924</v>
      </c>
    </row>
    <row r="14540" spans="1:1" x14ac:dyDescent="0.2">
      <c r="A14540" s="1" t="s">
        <v>3925</v>
      </c>
    </row>
    <row r="14541" spans="1:1" x14ac:dyDescent="0.2">
      <c r="A14541" s="1" t="s">
        <v>3926</v>
      </c>
    </row>
    <row r="14542" spans="1:1" x14ac:dyDescent="0.2">
      <c r="A14542" s="1" t="s">
        <v>3927</v>
      </c>
    </row>
    <row r="14543" spans="1:1" x14ac:dyDescent="0.2">
      <c r="A14543" s="1" t="s">
        <v>3928</v>
      </c>
    </row>
    <row r="14544" spans="1:1" x14ac:dyDescent="0.2">
      <c r="A14544" s="1" t="s">
        <v>3929</v>
      </c>
    </row>
    <row r="14545" spans="1:1" x14ac:dyDescent="0.2">
      <c r="A14545" s="1" t="s">
        <v>3930</v>
      </c>
    </row>
    <row r="14546" spans="1:1" x14ac:dyDescent="0.2">
      <c r="A14546" s="1" t="s">
        <v>3931</v>
      </c>
    </row>
    <row r="14547" spans="1:1" x14ac:dyDescent="0.2">
      <c r="A14547" s="1" t="s">
        <v>3931</v>
      </c>
    </row>
    <row r="14548" spans="1:1" x14ac:dyDescent="0.2">
      <c r="A14548" s="1" t="s">
        <v>3931</v>
      </c>
    </row>
    <row r="14549" spans="1:1" x14ac:dyDescent="0.2">
      <c r="A14549" s="1" t="s">
        <v>3931</v>
      </c>
    </row>
    <row r="14550" spans="1:1" x14ac:dyDescent="0.2">
      <c r="A14550" s="1" t="s">
        <v>3932</v>
      </c>
    </row>
    <row r="14551" spans="1:1" x14ac:dyDescent="0.2">
      <c r="A14551" s="1" t="s">
        <v>3911</v>
      </c>
    </row>
    <row r="14552" spans="1:1" x14ac:dyDescent="0.2">
      <c r="A14552" s="1" t="s">
        <v>3911</v>
      </c>
    </row>
    <row r="14553" spans="1:1" x14ac:dyDescent="0.2">
      <c r="A14553" s="1" t="s">
        <v>3911</v>
      </c>
    </row>
    <row r="14554" spans="1:1" x14ac:dyDescent="0.2">
      <c r="A14554" s="1" t="s">
        <v>3924</v>
      </c>
    </row>
    <row r="14555" spans="1:1" x14ac:dyDescent="0.2">
      <c r="A14555" s="1" t="s">
        <v>3925</v>
      </c>
    </row>
    <row r="14556" spans="1:1" x14ac:dyDescent="0.2">
      <c r="A14556" s="1" t="s">
        <v>3926</v>
      </c>
    </row>
    <row r="14557" spans="1:1" x14ac:dyDescent="0.2">
      <c r="A14557" s="1" t="s">
        <v>3927</v>
      </c>
    </row>
    <row r="14558" spans="1:1" x14ac:dyDescent="0.2">
      <c r="A14558" s="1" t="s">
        <v>3928</v>
      </c>
    </row>
    <row r="14559" spans="1:1" x14ac:dyDescent="0.2">
      <c r="A14559" s="1" t="s">
        <v>3929</v>
      </c>
    </row>
    <row r="14560" spans="1:1" x14ac:dyDescent="0.2">
      <c r="A14560" s="1" t="s">
        <v>3930</v>
      </c>
    </row>
    <row r="14561" spans="1:1" x14ac:dyDescent="0.2">
      <c r="A14561" s="1" t="s">
        <v>3931</v>
      </c>
    </row>
    <row r="14562" spans="1:1" x14ac:dyDescent="0.2">
      <c r="A14562" s="1" t="s">
        <v>3931</v>
      </c>
    </row>
    <row r="14563" spans="1:1" x14ac:dyDescent="0.2">
      <c r="A14563" s="1" t="s">
        <v>3931</v>
      </c>
    </row>
    <row r="14564" spans="1:1" x14ac:dyDescent="0.2">
      <c r="A14564" s="1" t="s">
        <v>3931</v>
      </c>
    </row>
    <row r="14565" spans="1:1" x14ac:dyDescent="0.2">
      <c r="A14565" s="1" t="s">
        <v>3932</v>
      </c>
    </row>
    <row r="14566" spans="1:1" x14ac:dyDescent="0.2">
      <c r="A14566" s="1" t="s">
        <v>3911</v>
      </c>
    </row>
    <row r="14567" spans="1:1" x14ac:dyDescent="0.2">
      <c r="A14567" s="1" t="s">
        <v>3911</v>
      </c>
    </row>
    <row r="14568" spans="1:1" x14ac:dyDescent="0.2">
      <c r="A14568" s="1" t="s">
        <v>3911</v>
      </c>
    </row>
    <row r="14569" spans="1:1" x14ac:dyDescent="0.2">
      <c r="A14569" s="1" t="s">
        <v>3924</v>
      </c>
    </row>
    <row r="14570" spans="1:1" x14ac:dyDescent="0.2">
      <c r="A14570" s="1" t="s">
        <v>3925</v>
      </c>
    </row>
    <row r="14571" spans="1:1" x14ac:dyDescent="0.2">
      <c r="A14571" s="1" t="s">
        <v>3926</v>
      </c>
    </row>
    <row r="14572" spans="1:1" x14ac:dyDescent="0.2">
      <c r="A14572" s="1" t="s">
        <v>3927</v>
      </c>
    </row>
    <row r="14573" spans="1:1" x14ac:dyDescent="0.2">
      <c r="A14573" s="1" t="s">
        <v>3928</v>
      </c>
    </row>
    <row r="14574" spans="1:1" x14ac:dyDescent="0.2">
      <c r="A14574" s="1" t="s">
        <v>3929</v>
      </c>
    </row>
    <row r="14575" spans="1:1" x14ac:dyDescent="0.2">
      <c r="A14575" s="1" t="s">
        <v>3930</v>
      </c>
    </row>
    <row r="14576" spans="1:1" x14ac:dyDescent="0.2">
      <c r="A14576" s="1" t="s">
        <v>3931</v>
      </c>
    </row>
    <row r="14577" spans="1:1" x14ac:dyDescent="0.2">
      <c r="A14577" s="1" t="s">
        <v>3931</v>
      </c>
    </row>
    <row r="14578" spans="1:1" x14ac:dyDescent="0.2">
      <c r="A14578" s="1" t="s">
        <v>3931</v>
      </c>
    </row>
    <row r="14579" spans="1:1" x14ac:dyDescent="0.2">
      <c r="A14579" s="1" t="s">
        <v>3931</v>
      </c>
    </row>
    <row r="14580" spans="1:1" x14ac:dyDescent="0.2">
      <c r="A14580" s="1" t="s">
        <v>3932</v>
      </c>
    </row>
    <row r="14581" spans="1:1" x14ac:dyDescent="0.2">
      <c r="A14581" s="1" t="s">
        <v>3911</v>
      </c>
    </row>
    <row r="14582" spans="1:1" x14ac:dyDescent="0.2">
      <c r="A14582" s="1" t="s">
        <v>3933</v>
      </c>
    </row>
    <row r="14583" spans="1:1" x14ac:dyDescent="0.2">
      <c r="A14583" s="1" t="s">
        <v>3934</v>
      </c>
    </row>
    <row r="14584" spans="1:1" x14ac:dyDescent="0.2">
      <c r="A14584" s="1" t="s">
        <v>3935</v>
      </c>
    </row>
    <row r="14585" spans="1:1" x14ac:dyDescent="0.2">
      <c r="A14585" s="1" t="s">
        <v>3936</v>
      </c>
    </row>
    <row r="14586" spans="1:1" x14ac:dyDescent="0.2">
      <c r="A14586" s="1" t="s">
        <v>3937</v>
      </c>
    </row>
    <row r="14587" spans="1:1" x14ac:dyDescent="0.2">
      <c r="A14587" s="1" t="s">
        <v>3938</v>
      </c>
    </row>
    <row r="14588" spans="1:1" x14ac:dyDescent="0.2">
      <c r="A14588" s="1" t="s">
        <v>3939</v>
      </c>
    </row>
    <row r="14589" spans="1:1" x14ac:dyDescent="0.2">
      <c r="A14589" s="1" t="s">
        <v>3940</v>
      </c>
    </row>
    <row r="14590" spans="1:1" x14ac:dyDescent="0.2">
      <c r="A14590" s="1" t="s">
        <v>3941</v>
      </c>
    </row>
    <row r="14591" spans="1:1" x14ac:dyDescent="0.2">
      <c r="A14591" s="1" t="s">
        <v>3942</v>
      </c>
    </row>
    <row r="14592" spans="1:1" x14ac:dyDescent="0.2">
      <c r="A14592" s="1" t="s">
        <v>3943</v>
      </c>
    </row>
    <row r="14593" spans="1:1" x14ac:dyDescent="0.2">
      <c r="A14593" s="1" t="s">
        <v>3933</v>
      </c>
    </row>
    <row r="14594" spans="1:1" x14ac:dyDescent="0.2">
      <c r="A14594" s="1" t="s">
        <v>3944</v>
      </c>
    </row>
    <row r="14595" spans="1:1" x14ac:dyDescent="0.2">
      <c r="A14595" s="1" t="s">
        <v>3935</v>
      </c>
    </row>
    <row r="14596" spans="1:1" x14ac:dyDescent="0.2">
      <c r="A14596" s="1" t="s">
        <v>3936</v>
      </c>
    </row>
    <row r="14597" spans="1:1" x14ac:dyDescent="0.2">
      <c r="A14597" s="1" t="s">
        <v>3937</v>
      </c>
    </row>
    <row r="14598" spans="1:1" x14ac:dyDescent="0.2">
      <c r="A14598" s="1" t="s">
        <v>3945</v>
      </c>
    </row>
    <row r="14599" spans="1:1" x14ac:dyDescent="0.2">
      <c r="A14599" s="1" t="s">
        <v>3939</v>
      </c>
    </row>
    <row r="14600" spans="1:1" x14ac:dyDescent="0.2">
      <c r="A14600" s="1" t="s">
        <v>3940</v>
      </c>
    </row>
    <row r="14601" spans="1:1" x14ac:dyDescent="0.2">
      <c r="A14601" s="1" t="s">
        <v>3941</v>
      </c>
    </row>
    <row r="14602" spans="1:1" x14ac:dyDescent="0.2">
      <c r="A14602" s="1" t="s">
        <v>3942</v>
      </c>
    </row>
    <row r="14603" spans="1:1" x14ac:dyDescent="0.2">
      <c r="A14603" s="1" t="s">
        <v>3943</v>
      </c>
    </row>
    <row r="14604" spans="1:1" x14ac:dyDescent="0.2">
      <c r="A14604" s="1" t="s">
        <v>3933</v>
      </c>
    </row>
    <row r="14605" spans="1:1" x14ac:dyDescent="0.2">
      <c r="A14605" s="1" t="s">
        <v>3946</v>
      </c>
    </row>
    <row r="14606" spans="1:1" x14ac:dyDescent="0.2">
      <c r="A14606" s="1" t="s">
        <v>3935</v>
      </c>
    </row>
    <row r="14607" spans="1:1" x14ac:dyDescent="0.2">
      <c r="A14607" s="1" t="s">
        <v>3936</v>
      </c>
    </row>
    <row r="14608" spans="1:1" x14ac:dyDescent="0.2">
      <c r="A14608" s="1" t="s">
        <v>3937</v>
      </c>
    </row>
    <row r="14609" spans="1:1" x14ac:dyDescent="0.2">
      <c r="A14609" s="1" t="s">
        <v>3947</v>
      </c>
    </row>
    <row r="14610" spans="1:1" x14ac:dyDescent="0.2">
      <c r="A14610" s="1" t="s">
        <v>3939</v>
      </c>
    </row>
    <row r="14611" spans="1:1" x14ac:dyDescent="0.2">
      <c r="A14611" s="1" t="s">
        <v>3940</v>
      </c>
    </row>
    <row r="14612" spans="1:1" x14ac:dyDescent="0.2">
      <c r="A14612" s="1" t="s">
        <v>3941</v>
      </c>
    </row>
    <row r="14613" spans="1:1" x14ac:dyDescent="0.2">
      <c r="A14613" s="1" t="s">
        <v>3942</v>
      </c>
    </row>
    <row r="14614" spans="1:1" x14ac:dyDescent="0.2">
      <c r="A14614" s="1" t="s">
        <v>3943</v>
      </c>
    </row>
    <row r="14615" spans="1:1" x14ac:dyDescent="0.2">
      <c r="A14615" s="1" t="s">
        <v>3948</v>
      </c>
    </row>
    <row r="14616" spans="1:1" x14ac:dyDescent="0.2">
      <c r="A14616" s="1" t="s">
        <v>3948</v>
      </c>
    </row>
    <row r="14617" spans="1:1" x14ac:dyDescent="0.2">
      <c r="A14617" s="1" t="s">
        <v>3949</v>
      </c>
    </row>
    <row r="14618" spans="1:1" x14ac:dyDescent="0.2">
      <c r="A14618" s="1" t="s">
        <v>3950</v>
      </c>
    </row>
    <row r="14619" spans="1:1" x14ac:dyDescent="0.2">
      <c r="A14619" s="1" t="s">
        <v>3951</v>
      </c>
    </row>
    <row r="14620" spans="1:1" x14ac:dyDescent="0.2">
      <c r="A14620" s="1" t="s">
        <v>3952</v>
      </c>
    </row>
    <row r="14621" spans="1:1" x14ac:dyDescent="0.2">
      <c r="A14621" s="1" t="s">
        <v>3953</v>
      </c>
    </row>
    <row r="14622" spans="1:1" x14ac:dyDescent="0.2">
      <c r="A14622" s="1" t="s">
        <v>3954</v>
      </c>
    </row>
    <row r="14623" spans="1:1" x14ac:dyDescent="0.2">
      <c r="A14623" s="1" t="s">
        <v>3955</v>
      </c>
    </row>
    <row r="14624" spans="1:1" x14ac:dyDescent="0.2">
      <c r="A14624" s="1" t="s">
        <v>3956</v>
      </c>
    </row>
    <row r="14625" spans="1:1" x14ac:dyDescent="0.2">
      <c r="A14625" s="1" t="s">
        <v>3956</v>
      </c>
    </row>
    <row r="14626" spans="1:1" x14ac:dyDescent="0.2">
      <c r="A14626" s="1" t="s">
        <v>3956</v>
      </c>
    </row>
    <row r="14627" spans="1:1" x14ac:dyDescent="0.2">
      <c r="A14627" s="1" t="s">
        <v>3956</v>
      </c>
    </row>
    <row r="14628" spans="1:1" x14ac:dyDescent="0.2">
      <c r="A14628" s="1" t="s">
        <v>3957</v>
      </c>
    </row>
    <row r="14629" spans="1:1" x14ac:dyDescent="0.2">
      <c r="A14629" s="1" t="s">
        <v>3948</v>
      </c>
    </row>
    <row r="14630" spans="1:1" x14ac:dyDescent="0.2">
      <c r="A14630" s="1" t="s">
        <v>3948</v>
      </c>
    </row>
    <row r="14631" spans="1:1" x14ac:dyDescent="0.2">
      <c r="A14631" s="1" t="s">
        <v>3948</v>
      </c>
    </row>
    <row r="14632" spans="1:1" x14ac:dyDescent="0.2">
      <c r="A14632" s="1" t="s">
        <v>3949</v>
      </c>
    </row>
    <row r="14633" spans="1:1" x14ac:dyDescent="0.2">
      <c r="A14633" s="1" t="s">
        <v>3950</v>
      </c>
    </row>
    <row r="14634" spans="1:1" x14ac:dyDescent="0.2">
      <c r="A14634" s="1" t="s">
        <v>3951</v>
      </c>
    </row>
    <row r="14635" spans="1:1" x14ac:dyDescent="0.2">
      <c r="A14635" s="1" t="s">
        <v>3952</v>
      </c>
    </row>
    <row r="14636" spans="1:1" x14ac:dyDescent="0.2">
      <c r="A14636" s="1" t="s">
        <v>3953</v>
      </c>
    </row>
    <row r="14637" spans="1:1" x14ac:dyDescent="0.2">
      <c r="A14637" s="1" t="s">
        <v>3954</v>
      </c>
    </row>
    <row r="14638" spans="1:1" x14ac:dyDescent="0.2">
      <c r="A14638" s="1" t="s">
        <v>3955</v>
      </c>
    </row>
    <row r="14639" spans="1:1" x14ac:dyDescent="0.2">
      <c r="A14639" s="1" t="s">
        <v>3956</v>
      </c>
    </row>
    <row r="14640" spans="1:1" x14ac:dyDescent="0.2">
      <c r="A14640" s="1" t="s">
        <v>3956</v>
      </c>
    </row>
    <row r="14641" spans="1:1" x14ac:dyDescent="0.2">
      <c r="A14641" s="1" t="s">
        <v>3956</v>
      </c>
    </row>
    <row r="14642" spans="1:1" x14ac:dyDescent="0.2">
      <c r="A14642" s="1" t="s">
        <v>3956</v>
      </c>
    </row>
    <row r="14643" spans="1:1" x14ac:dyDescent="0.2">
      <c r="A14643" s="1" t="s">
        <v>3957</v>
      </c>
    </row>
    <row r="14644" spans="1:1" x14ac:dyDescent="0.2">
      <c r="A14644" s="1" t="s">
        <v>3948</v>
      </c>
    </row>
    <row r="14645" spans="1:1" x14ac:dyDescent="0.2">
      <c r="A14645" s="1" t="s">
        <v>3948</v>
      </c>
    </row>
    <row r="14646" spans="1:1" x14ac:dyDescent="0.2">
      <c r="A14646" s="1" t="s">
        <v>3948</v>
      </c>
    </row>
    <row r="14647" spans="1:1" x14ac:dyDescent="0.2">
      <c r="A14647" s="1" t="s">
        <v>3949</v>
      </c>
    </row>
    <row r="14648" spans="1:1" x14ac:dyDescent="0.2">
      <c r="A14648" s="1" t="s">
        <v>3950</v>
      </c>
    </row>
    <row r="14649" spans="1:1" x14ac:dyDescent="0.2">
      <c r="A14649" s="1" t="s">
        <v>3951</v>
      </c>
    </row>
    <row r="14650" spans="1:1" x14ac:dyDescent="0.2">
      <c r="A14650" s="1" t="s">
        <v>3952</v>
      </c>
    </row>
    <row r="14651" spans="1:1" x14ac:dyDescent="0.2">
      <c r="A14651" s="1" t="s">
        <v>3953</v>
      </c>
    </row>
    <row r="14652" spans="1:1" x14ac:dyDescent="0.2">
      <c r="A14652" s="1" t="s">
        <v>3954</v>
      </c>
    </row>
    <row r="14653" spans="1:1" x14ac:dyDescent="0.2">
      <c r="A14653" s="1" t="s">
        <v>3955</v>
      </c>
    </row>
    <row r="14654" spans="1:1" x14ac:dyDescent="0.2">
      <c r="A14654" s="1" t="s">
        <v>3956</v>
      </c>
    </row>
    <row r="14655" spans="1:1" x14ac:dyDescent="0.2">
      <c r="A14655" s="1" t="s">
        <v>3956</v>
      </c>
    </row>
    <row r="14656" spans="1:1" x14ac:dyDescent="0.2">
      <c r="A14656" s="1" t="s">
        <v>3956</v>
      </c>
    </row>
    <row r="14657" spans="1:1" x14ac:dyDescent="0.2">
      <c r="A14657" s="1" t="s">
        <v>3956</v>
      </c>
    </row>
    <row r="14658" spans="1:1" x14ac:dyDescent="0.2">
      <c r="A14658" s="1" t="s">
        <v>3957</v>
      </c>
    </row>
    <row r="14659" spans="1:1" x14ac:dyDescent="0.2">
      <c r="A14659" s="1" t="s">
        <v>3948</v>
      </c>
    </row>
    <row r="14660" spans="1:1" x14ac:dyDescent="0.2">
      <c r="A14660" s="1" t="s">
        <v>3948</v>
      </c>
    </row>
    <row r="14661" spans="1:1" x14ac:dyDescent="0.2">
      <c r="A14661" s="1" t="s">
        <v>3948</v>
      </c>
    </row>
    <row r="14662" spans="1:1" x14ac:dyDescent="0.2">
      <c r="A14662" s="1" t="s">
        <v>3949</v>
      </c>
    </row>
    <row r="14663" spans="1:1" x14ac:dyDescent="0.2">
      <c r="A14663" s="1" t="s">
        <v>3950</v>
      </c>
    </row>
    <row r="14664" spans="1:1" x14ac:dyDescent="0.2">
      <c r="A14664" s="1" t="s">
        <v>3951</v>
      </c>
    </row>
    <row r="14665" spans="1:1" x14ac:dyDescent="0.2">
      <c r="A14665" s="1" t="s">
        <v>3952</v>
      </c>
    </row>
    <row r="14666" spans="1:1" x14ac:dyDescent="0.2">
      <c r="A14666" s="1" t="s">
        <v>3953</v>
      </c>
    </row>
    <row r="14667" spans="1:1" x14ac:dyDescent="0.2">
      <c r="A14667" s="1" t="s">
        <v>3954</v>
      </c>
    </row>
    <row r="14668" spans="1:1" x14ac:dyDescent="0.2">
      <c r="A14668" s="1" t="s">
        <v>3955</v>
      </c>
    </row>
    <row r="14669" spans="1:1" x14ac:dyDescent="0.2">
      <c r="A14669" s="1" t="s">
        <v>3956</v>
      </c>
    </row>
    <row r="14670" spans="1:1" x14ac:dyDescent="0.2">
      <c r="A14670" s="1" t="s">
        <v>3956</v>
      </c>
    </row>
    <row r="14671" spans="1:1" x14ac:dyDescent="0.2">
      <c r="A14671" s="1" t="s">
        <v>3956</v>
      </c>
    </row>
    <row r="14672" spans="1:1" x14ac:dyDescent="0.2">
      <c r="A14672" s="1" t="s">
        <v>3956</v>
      </c>
    </row>
    <row r="14673" spans="1:1" x14ac:dyDescent="0.2">
      <c r="A14673" s="1" t="s">
        <v>3957</v>
      </c>
    </row>
    <row r="14674" spans="1:1" x14ac:dyDescent="0.2">
      <c r="A14674" s="1" t="s">
        <v>3948</v>
      </c>
    </row>
    <row r="14675" spans="1:1" x14ac:dyDescent="0.2">
      <c r="A14675" s="1" t="s">
        <v>3948</v>
      </c>
    </row>
    <row r="14676" spans="1:1" x14ac:dyDescent="0.2">
      <c r="A14676" s="1" t="s">
        <v>3948</v>
      </c>
    </row>
    <row r="14677" spans="1:1" x14ac:dyDescent="0.2">
      <c r="A14677" s="1" t="s">
        <v>3949</v>
      </c>
    </row>
    <row r="14678" spans="1:1" x14ac:dyDescent="0.2">
      <c r="A14678" s="1" t="s">
        <v>3950</v>
      </c>
    </row>
    <row r="14679" spans="1:1" x14ac:dyDescent="0.2">
      <c r="A14679" s="1" t="s">
        <v>3951</v>
      </c>
    </row>
    <row r="14680" spans="1:1" x14ac:dyDescent="0.2">
      <c r="A14680" s="1" t="s">
        <v>3952</v>
      </c>
    </row>
    <row r="14681" spans="1:1" x14ac:dyDescent="0.2">
      <c r="A14681" s="1" t="s">
        <v>3953</v>
      </c>
    </row>
    <row r="14682" spans="1:1" x14ac:dyDescent="0.2">
      <c r="A14682" s="1" t="s">
        <v>3954</v>
      </c>
    </row>
    <row r="14683" spans="1:1" x14ac:dyDescent="0.2">
      <c r="A14683" s="1" t="s">
        <v>3955</v>
      </c>
    </row>
    <row r="14684" spans="1:1" x14ac:dyDescent="0.2">
      <c r="A14684" s="1" t="s">
        <v>3956</v>
      </c>
    </row>
    <row r="14685" spans="1:1" x14ac:dyDescent="0.2">
      <c r="A14685" s="1" t="s">
        <v>3956</v>
      </c>
    </row>
    <row r="14686" spans="1:1" x14ac:dyDescent="0.2">
      <c r="A14686" s="1" t="s">
        <v>3956</v>
      </c>
    </row>
    <row r="14687" spans="1:1" x14ac:dyDescent="0.2">
      <c r="A14687" s="1" t="s">
        <v>3956</v>
      </c>
    </row>
    <row r="14688" spans="1:1" x14ac:dyDescent="0.2">
      <c r="A14688" s="1" t="s">
        <v>3957</v>
      </c>
    </row>
    <row r="14689" spans="1:1" x14ac:dyDescent="0.2">
      <c r="A14689" s="1" t="s">
        <v>3948</v>
      </c>
    </row>
    <row r="14690" spans="1:1" x14ac:dyDescent="0.2">
      <c r="A14690" s="1" t="s">
        <v>3958</v>
      </c>
    </row>
    <row r="14691" spans="1:1" x14ac:dyDescent="0.2">
      <c r="A14691" s="1" t="s">
        <v>3959</v>
      </c>
    </row>
    <row r="14692" spans="1:1" x14ac:dyDescent="0.2">
      <c r="A14692" s="1" t="s">
        <v>3948</v>
      </c>
    </row>
    <row r="14693" spans="1:1" x14ac:dyDescent="0.2">
      <c r="A14693" s="1" t="s">
        <v>3960</v>
      </c>
    </row>
    <row r="14694" spans="1:1" x14ac:dyDescent="0.2">
      <c r="A14694" s="1" t="s">
        <v>3961</v>
      </c>
    </row>
    <row r="14695" spans="1:1" x14ac:dyDescent="0.2">
      <c r="A14695" s="1" t="s">
        <v>3962</v>
      </c>
    </row>
    <row r="14696" spans="1:1" x14ac:dyDescent="0.2">
      <c r="A14696" s="1" t="s">
        <v>3963</v>
      </c>
    </row>
    <row r="14697" spans="1:1" x14ac:dyDescent="0.2">
      <c r="A14697" s="1" t="s">
        <v>3964</v>
      </c>
    </row>
    <row r="14698" spans="1:1" x14ac:dyDescent="0.2">
      <c r="A14698" s="1" t="s">
        <v>3965</v>
      </c>
    </row>
    <row r="14699" spans="1:1" x14ac:dyDescent="0.2">
      <c r="A14699" s="1" t="s">
        <v>3966</v>
      </c>
    </row>
    <row r="14700" spans="1:1" x14ac:dyDescent="0.2">
      <c r="A14700" s="1" t="s">
        <v>3967</v>
      </c>
    </row>
    <row r="14701" spans="1:1" x14ac:dyDescent="0.2">
      <c r="A14701" s="1" t="s">
        <v>3968</v>
      </c>
    </row>
    <row r="14702" spans="1:1" x14ac:dyDescent="0.2">
      <c r="A14702" s="1" t="s">
        <v>3968</v>
      </c>
    </row>
    <row r="14703" spans="1:1" x14ac:dyDescent="0.2">
      <c r="A14703" s="1" t="s">
        <v>3969</v>
      </c>
    </row>
    <row r="14704" spans="1:1" x14ac:dyDescent="0.2">
      <c r="A14704" s="1" t="s">
        <v>3970</v>
      </c>
    </row>
    <row r="14705" spans="1:1" x14ac:dyDescent="0.2">
      <c r="A14705" s="1" t="s">
        <v>3971</v>
      </c>
    </row>
    <row r="14706" spans="1:1" x14ac:dyDescent="0.2">
      <c r="A14706" s="1" t="s">
        <v>3972</v>
      </c>
    </row>
    <row r="14707" spans="1:1" x14ac:dyDescent="0.2">
      <c r="A14707" s="1" t="s">
        <v>3973</v>
      </c>
    </row>
    <row r="14708" spans="1:1" x14ac:dyDescent="0.2">
      <c r="A14708" s="1" t="s">
        <v>3974</v>
      </c>
    </row>
    <row r="14709" spans="1:1" x14ac:dyDescent="0.2">
      <c r="A14709" s="1" t="s">
        <v>3975</v>
      </c>
    </row>
    <row r="14710" spans="1:1" x14ac:dyDescent="0.2">
      <c r="A14710" s="1" t="s">
        <v>3976</v>
      </c>
    </row>
    <row r="14711" spans="1:1" x14ac:dyDescent="0.2">
      <c r="A14711" s="1" t="s">
        <v>3976</v>
      </c>
    </row>
    <row r="14712" spans="1:1" x14ac:dyDescent="0.2">
      <c r="A14712" s="1" t="s">
        <v>3976</v>
      </c>
    </row>
    <row r="14713" spans="1:1" x14ac:dyDescent="0.2">
      <c r="A14713" s="1" t="s">
        <v>3976</v>
      </c>
    </row>
    <row r="14714" spans="1:1" x14ac:dyDescent="0.2">
      <c r="A14714" s="1" t="s">
        <v>3977</v>
      </c>
    </row>
    <row r="14715" spans="1:1" x14ac:dyDescent="0.2">
      <c r="A14715" s="1" t="s">
        <v>3968</v>
      </c>
    </row>
    <row r="14716" spans="1:1" x14ac:dyDescent="0.2">
      <c r="A14716" s="1" t="s">
        <v>3968</v>
      </c>
    </row>
    <row r="14717" spans="1:1" x14ac:dyDescent="0.2">
      <c r="A14717" s="1" t="s">
        <v>3968</v>
      </c>
    </row>
    <row r="14718" spans="1:1" x14ac:dyDescent="0.2">
      <c r="A14718" s="1" t="s">
        <v>3969</v>
      </c>
    </row>
    <row r="14719" spans="1:1" x14ac:dyDescent="0.2">
      <c r="A14719" s="1" t="s">
        <v>3970</v>
      </c>
    </row>
    <row r="14720" spans="1:1" x14ac:dyDescent="0.2">
      <c r="A14720" s="1" t="s">
        <v>3971</v>
      </c>
    </row>
    <row r="14721" spans="1:1" x14ac:dyDescent="0.2">
      <c r="A14721" s="1" t="s">
        <v>3972</v>
      </c>
    </row>
    <row r="14722" spans="1:1" x14ac:dyDescent="0.2">
      <c r="A14722" s="1" t="s">
        <v>3973</v>
      </c>
    </row>
    <row r="14723" spans="1:1" x14ac:dyDescent="0.2">
      <c r="A14723" s="1" t="s">
        <v>3974</v>
      </c>
    </row>
    <row r="14724" spans="1:1" x14ac:dyDescent="0.2">
      <c r="A14724" s="1" t="s">
        <v>3975</v>
      </c>
    </row>
    <row r="14725" spans="1:1" x14ac:dyDescent="0.2">
      <c r="A14725" s="1" t="s">
        <v>3976</v>
      </c>
    </row>
    <row r="14726" spans="1:1" x14ac:dyDescent="0.2">
      <c r="A14726" s="1" t="s">
        <v>3976</v>
      </c>
    </row>
    <row r="14727" spans="1:1" x14ac:dyDescent="0.2">
      <c r="A14727" s="1" t="s">
        <v>3976</v>
      </c>
    </row>
    <row r="14728" spans="1:1" x14ac:dyDescent="0.2">
      <c r="A14728" s="1" t="s">
        <v>3976</v>
      </c>
    </row>
    <row r="14729" spans="1:1" x14ac:dyDescent="0.2">
      <c r="A14729" s="1" t="s">
        <v>3977</v>
      </c>
    </row>
    <row r="14730" spans="1:1" x14ac:dyDescent="0.2">
      <c r="A14730" s="1" t="s">
        <v>3968</v>
      </c>
    </row>
    <row r="14731" spans="1:1" x14ac:dyDescent="0.2">
      <c r="A14731" s="1" t="s">
        <v>3968</v>
      </c>
    </row>
    <row r="14732" spans="1:1" x14ac:dyDescent="0.2">
      <c r="A14732" s="1" t="s">
        <v>3968</v>
      </c>
    </row>
    <row r="14733" spans="1:1" x14ac:dyDescent="0.2">
      <c r="A14733" s="1" t="s">
        <v>3969</v>
      </c>
    </row>
    <row r="14734" spans="1:1" x14ac:dyDescent="0.2">
      <c r="A14734" s="1" t="s">
        <v>3970</v>
      </c>
    </row>
    <row r="14735" spans="1:1" x14ac:dyDescent="0.2">
      <c r="A14735" s="1" t="s">
        <v>3971</v>
      </c>
    </row>
    <row r="14736" spans="1:1" x14ac:dyDescent="0.2">
      <c r="A14736" s="1" t="s">
        <v>3972</v>
      </c>
    </row>
    <row r="14737" spans="1:1" x14ac:dyDescent="0.2">
      <c r="A14737" s="1" t="s">
        <v>3973</v>
      </c>
    </row>
    <row r="14738" spans="1:1" x14ac:dyDescent="0.2">
      <c r="A14738" s="1" t="s">
        <v>3974</v>
      </c>
    </row>
    <row r="14739" spans="1:1" x14ac:dyDescent="0.2">
      <c r="A14739" s="1" t="s">
        <v>3975</v>
      </c>
    </row>
    <row r="14740" spans="1:1" x14ac:dyDescent="0.2">
      <c r="A14740" s="1" t="s">
        <v>3976</v>
      </c>
    </row>
    <row r="14741" spans="1:1" x14ac:dyDescent="0.2">
      <c r="A14741" s="1" t="s">
        <v>3976</v>
      </c>
    </row>
    <row r="14742" spans="1:1" x14ac:dyDescent="0.2">
      <c r="A14742" s="1" t="s">
        <v>3976</v>
      </c>
    </row>
    <row r="14743" spans="1:1" x14ac:dyDescent="0.2">
      <c r="A14743" s="1" t="s">
        <v>3976</v>
      </c>
    </row>
    <row r="14744" spans="1:1" x14ac:dyDescent="0.2">
      <c r="A14744" s="1" t="s">
        <v>3977</v>
      </c>
    </row>
    <row r="14745" spans="1:1" x14ac:dyDescent="0.2">
      <c r="A14745" s="1" t="s">
        <v>3968</v>
      </c>
    </row>
    <row r="14746" spans="1:1" x14ac:dyDescent="0.2">
      <c r="A14746" s="1" t="s">
        <v>3968</v>
      </c>
    </row>
    <row r="14747" spans="1:1" x14ac:dyDescent="0.2">
      <c r="A14747" s="1" t="s">
        <v>3968</v>
      </c>
    </row>
    <row r="14748" spans="1:1" x14ac:dyDescent="0.2">
      <c r="A14748" s="1" t="s">
        <v>3969</v>
      </c>
    </row>
    <row r="14749" spans="1:1" x14ac:dyDescent="0.2">
      <c r="A14749" s="1" t="s">
        <v>3970</v>
      </c>
    </row>
    <row r="14750" spans="1:1" x14ac:dyDescent="0.2">
      <c r="A14750" s="1" t="s">
        <v>3971</v>
      </c>
    </row>
    <row r="14751" spans="1:1" x14ac:dyDescent="0.2">
      <c r="A14751" s="1" t="s">
        <v>3972</v>
      </c>
    </row>
    <row r="14752" spans="1:1" x14ac:dyDescent="0.2">
      <c r="A14752" s="1" t="s">
        <v>3973</v>
      </c>
    </row>
    <row r="14753" spans="1:1" x14ac:dyDescent="0.2">
      <c r="A14753" s="1" t="s">
        <v>3974</v>
      </c>
    </row>
    <row r="14754" spans="1:1" x14ac:dyDescent="0.2">
      <c r="A14754" s="1" t="s">
        <v>3975</v>
      </c>
    </row>
    <row r="14755" spans="1:1" x14ac:dyDescent="0.2">
      <c r="A14755" s="1" t="s">
        <v>3976</v>
      </c>
    </row>
    <row r="14756" spans="1:1" x14ac:dyDescent="0.2">
      <c r="A14756" s="1" t="s">
        <v>3976</v>
      </c>
    </row>
    <row r="14757" spans="1:1" x14ac:dyDescent="0.2">
      <c r="A14757" s="1" t="s">
        <v>3976</v>
      </c>
    </row>
    <row r="14758" spans="1:1" x14ac:dyDescent="0.2">
      <c r="A14758" s="1" t="s">
        <v>3976</v>
      </c>
    </row>
    <row r="14759" spans="1:1" x14ac:dyDescent="0.2">
      <c r="A14759" s="1" t="s">
        <v>3977</v>
      </c>
    </row>
    <row r="14760" spans="1:1" x14ac:dyDescent="0.2">
      <c r="A14760" s="1" t="s">
        <v>3968</v>
      </c>
    </row>
    <row r="14761" spans="1:1" x14ac:dyDescent="0.2">
      <c r="A14761" s="1" t="s">
        <v>3968</v>
      </c>
    </row>
    <row r="14762" spans="1:1" x14ac:dyDescent="0.2">
      <c r="A14762" s="1" t="s">
        <v>3968</v>
      </c>
    </row>
    <row r="14763" spans="1:1" x14ac:dyDescent="0.2">
      <c r="A14763" s="1" t="s">
        <v>3969</v>
      </c>
    </row>
    <row r="14764" spans="1:1" x14ac:dyDescent="0.2">
      <c r="A14764" s="1" t="s">
        <v>3970</v>
      </c>
    </row>
    <row r="14765" spans="1:1" x14ac:dyDescent="0.2">
      <c r="A14765" s="1" t="s">
        <v>3971</v>
      </c>
    </row>
    <row r="14766" spans="1:1" x14ac:dyDescent="0.2">
      <c r="A14766" s="1" t="s">
        <v>3972</v>
      </c>
    </row>
    <row r="14767" spans="1:1" x14ac:dyDescent="0.2">
      <c r="A14767" s="1" t="s">
        <v>3973</v>
      </c>
    </row>
    <row r="14768" spans="1:1" x14ac:dyDescent="0.2">
      <c r="A14768" s="1" t="s">
        <v>3974</v>
      </c>
    </row>
    <row r="14769" spans="1:1" x14ac:dyDescent="0.2">
      <c r="A14769" s="1" t="s">
        <v>3975</v>
      </c>
    </row>
    <row r="14770" spans="1:1" x14ac:dyDescent="0.2">
      <c r="A14770" s="1" t="s">
        <v>3976</v>
      </c>
    </row>
    <row r="14771" spans="1:1" x14ac:dyDescent="0.2">
      <c r="A14771" s="1" t="s">
        <v>3976</v>
      </c>
    </row>
    <row r="14772" spans="1:1" x14ac:dyDescent="0.2">
      <c r="A14772" s="1" t="s">
        <v>3976</v>
      </c>
    </row>
    <row r="14773" spans="1:1" x14ac:dyDescent="0.2">
      <c r="A14773" s="1" t="s">
        <v>3976</v>
      </c>
    </row>
    <row r="14774" spans="1:1" x14ac:dyDescent="0.2">
      <c r="A14774" s="1" t="s">
        <v>3977</v>
      </c>
    </row>
    <row r="14775" spans="1:1" x14ac:dyDescent="0.2">
      <c r="A14775" s="1" t="s">
        <v>3968</v>
      </c>
    </row>
    <row r="14776" spans="1:1" x14ac:dyDescent="0.2">
      <c r="A14776" s="1" t="s">
        <v>3978</v>
      </c>
    </row>
    <row r="14777" spans="1:1" x14ac:dyDescent="0.2">
      <c r="A14777" s="1" t="s">
        <v>3979</v>
      </c>
    </row>
    <row r="14778" spans="1:1" x14ac:dyDescent="0.2">
      <c r="A14778" s="1" t="s">
        <v>3980</v>
      </c>
    </row>
    <row r="14779" spans="1:1" x14ac:dyDescent="0.2">
      <c r="A14779" s="1" t="s">
        <v>3981</v>
      </c>
    </row>
    <row r="14780" spans="1:1" x14ac:dyDescent="0.2">
      <c r="A14780" s="1" t="s">
        <v>3982</v>
      </c>
    </row>
    <row r="14781" spans="1:1" x14ac:dyDescent="0.2">
      <c r="A14781" s="1" t="s">
        <v>3983</v>
      </c>
    </row>
    <row r="14782" spans="1:1" x14ac:dyDescent="0.2">
      <c r="A14782" s="1" t="s">
        <v>3984</v>
      </c>
    </row>
    <row r="14783" spans="1:1" x14ac:dyDescent="0.2">
      <c r="A14783" s="1" t="s">
        <v>3985</v>
      </c>
    </row>
    <row r="14784" spans="1:1" x14ac:dyDescent="0.2">
      <c r="A14784" s="1" t="s">
        <v>3986</v>
      </c>
    </row>
    <row r="14785" spans="1:1" x14ac:dyDescent="0.2">
      <c r="A14785" s="1" t="s">
        <v>3987</v>
      </c>
    </row>
    <row r="14786" spans="1:1" x14ac:dyDescent="0.2">
      <c r="A14786" s="1" t="s">
        <v>3988</v>
      </c>
    </row>
    <row r="14787" spans="1:1" x14ac:dyDescent="0.2">
      <c r="A14787" s="1" t="s">
        <v>3978</v>
      </c>
    </row>
    <row r="14788" spans="1:1" x14ac:dyDescent="0.2">
      <c r="A14788" s="1" t="s">
        <v>3989</v>
      </c>
    </row>
    <row r="14789" spans="1:1" x14ac:dyDescent="0.2">
      <c r="A14789" s="1" t="s">
        <v>3980</v>
      </c>
    </row>
    <row r="14790" spans="1:1" x14ac:dyDescent="0.2">
      <c r="A14790" s="1" t="s">
        <v>3981</v>
      </c>
    </row>
    <row r="14791" spans="1:1" x14ac:dyDescent="0.2">
      <c r="A14791" s="1" t="s">
        <v>3982</v>
      </c>
    </row>
    <row r="14792" spans="1:1" x14ac:dyDescent="0.2">
      <c r="A14792" s="1" t="s">
        <v>3990</v>
      </c>
    </row>
    <row r="14793" spans="1:1" x14ac:dyDescent="0.2">
      <c r="A14793" s="1" t="s">
        <v>3984</v>
      </c>
    </row>
    <row r="14794" spans="1:1" x14ac:dyDescent="0.2">
      <c r="A14794" s="1" t="s">
        <v>3985</v>
      </c>
    </row>
    <row r="14795" spans="1:1" x14ac:dyDescent="0.2">
      <c r="A14795" s="1" t="s">
        <v>3986</v>
      </c>
    </row>
    <row r="14796" spans="1:1" x14ac:dyDescent="0.2">
      <c r="A14796" s="1" t="s">
        <v>3987</v>
      </c>
    </row>
    <row r="14797" spans="1:1" x14ac:dyDescent="0.2">
      <c r="A14797" s="1" t="s">
        <v>3988</v>
      </c>
    </row>
    <row r="14798" spans="1:1" x14ac:dyDescent="0.2">
      <c r="A14798" s="1" t="s">
        <v>3978</v>
      </c>
    </row>
    <row r="14799" spans="1:1" x14ac:dyDescent="0.2">
      <c r="A14799" s="1" t="s">
        <v>3991</v>
      </c>
    </row>
    <row r="14800" spans="1:1" x14ac:dyDescent="0.2">
      <c r="A14800" s="1" t="s">
        <v>3980</v>
      </c>
    </row>
    <row r="14801" spans="1:1" x14ac:dyDescent="0.2">
      <c r="A14801" s="1" t="s">
        <v>3981</v>
      </c>
    </row>
    <row r="14802" spans="1:1" x14ac:dyDescent="0.2">
      <c r="A14802" s="1" t="s">
        <v>3982</v>
      </c>
    </row>
    <row r="14803" spans="1:1" x14ac:dyDescent="0.2">
      <c r="A14803" s="1" t="s">
        <v>3992</v>
      </c>
    </row>
    <row r="14804" spans="1:1" x14ac:dyDescent="0.2">
      <c r="A14804" s="1" t="s">
        <v>3984</v>
      </c>
    </row>
    <row r="14805" spans="1:1" x14ac:dyDescent="0.2">
      <c r="A14805" s="1" t="s">
        <v>3985</v>
      </c>
    </row>
    <row r="14806" spans="1:1" x14ac:dyDescent="0.2">
      <c r="A14806" s="1" t="s">
        <v>3986</v>
      </c>
    </row>
    <row r="14807" spans="1:1" x14ac:dyDescent="0.2">
      <c r="A14807" s="1" t="s">
        <v>3987</v>
      </c>
    </row>
    <row r="14808" spans="1:1" x14ac:dyDescent="0.2">
      <c r="A14808" s="1" t="s">
        <v>3988</v>
      </c>
    </row>
    <row r="14809" spans="1:1" x14ac:dyDescent="0.2">
      <c r="A14809" s="1" t="s">
        <v>3993</v>
      </c>
    </row>
    <row r="14810" spans="1:1" x14ac:dyDescent="0.2">
      <c r="A14810" s="1" t="s">
        <v>3993</v>
      </c>
    </row>
    <row r="14811" spans="1:1" x14ac:dyDescent="0.2">
      <c r="A14811" s="1" t="s">
        <v>3994</v>
      </c>
    </row>
    <row r="14812" spans="1:1" x14ac:dyDescent="0.2">
      <c r="A14812" s="1" t="s">
        <v>3995</v>
      </c>
    </row>
    <row r="14813" spans="1:1" x14ac:dyDescent="0.2">
      <c r="A14813" s="1" t="s">
        <v>3996</v>
      </c>
    </row>
    <row r="14814" spans="1:1" x14ac:dyDescent="0.2">
      <c r="A14814" s="1" t="s">
        <v>3997</v>
      </c>
    </row>
    <row r="14815" spans="1:1" x14ac:dyDescent="0.2">
      <c r="A14815" s="1" t="s">
        <v>3998</v>
      </c>
    </row>
    <row r="14816" spans="1:1" x14ac:dyDescent="0.2">
      <c r="A14816" s="1" t="s">
        <v>3999</v>
      </c>
    </row>
    <row r="14817" spans="1:1" x14ac:dyDescent="0.2">
      <c r="A14817" s="1" t="s">
        <v>4000</v>
      </c>
    </row>
    <row r="14818" spans="1:1" x14ac:dyDescent="0.2">
      <c r="A14818" s="1" t="s">
        <v>4001</v>
      </c>
    </row>
    <row r="14819" spans="1:1" x14ac:dyDescent="0.2">
      <c r="A14819" s="1" t="s">
        <v>4001</v>
      </c>
    </row>
    <row r="14820" spans="1:1" x14ac:dyDescent="0.2">
      <c r="A14820" s="1" t="s">
        <v>4001</v>
      </c>
    </row>
    <row r="14821" spans="1:1" x14ac:dyDescent="0.2">
      <c r="A14821" s="1" t="s">
        <v>4001</v>
      </c>
    </row>
    <row r="14822" spans="1:1" x14ac:dyDescent="0.2">
      <c r="A14822" s="1" t="s">
        <v>4002</v>
      </c>
    </row>
    <row r="14823" spans="1:1" x14ac:dyDescent="0.2">
      <c r="A14823" s="1" t="s">
        <v>3993</v>
      </c>
    </row>
    <row r="14824" spans="1:1" x14ac:dyDescent="0.2">
      <c r="A14824" s="1" t="s">
        <v>3993</v>
      </c>
    </row>
    <row r="14825" spans="1:1" x14ac:dyDescent="0.2">
      <c r="A14825" s="1" t="s">
        <v>3993</v>
      </c>
    </row>
    <row r="14826" spans="1:1" x14ac:dyDescent="0.2">
      <c r="A14826" s="1" t="s">
        <v>3994</v>
      </c>
    </row>
    <row r="14827" spans="1:1" x14ac:dyDescent="0.2">
      <c r="A14827" s="1" t="s">
        <v>3995</v>
      </c>
    </row>
    <row r="14828" spans="1:1" x14ac:dyDescent="0.2">
      <c r="A14828" s="1" t="s">
        <v>3996</v>
      </c>
    </row>
    <row r="14829" spans="1:1" x14ac:dyDescent="0.2">
      <c r="A14829" s="1" t="s">
        <v>3997</v>
      </c>
    </row>
    <row r="14830" spans="1:1" x14ac:dyDescent="0.2">
      <c r="A14830" s="1" t="s">
        <v>3998</v>
      </c>
    </row>
    <row r="14831" spans="1:1" x14ac:dyDescent="0.2">
      <c r="A14831" s="1" t="s">
        <v>3999</v>
      </c>
    </row>
    <row r="14832" spans="1:1" x14ac:dyDescent="0.2">
      <c r="A14832" s="1" t="s">
        <v>4000</v>
      </c>
    </row>
    <row r="14833" spans="1:1" x14ac:dyDescent="0.2">
      <c r="A14833" s="1" t="s">
        <v>4001</v>
      </c>
    </row>
    <row r="14834" spans="1:1" x14ac:dyDescent="0.2">
      <c r="A14834" s="1" t="s">
        <v>4001</v>
      </c>
    </row>
    <row r="14835" spans="1:1" x14ac:dyDescent="0.2">
      <c r="A14835" s="1" t="s">
        <v>4001</v>
      </c>
    </row>
    <row r="14836" spans="1:1" x14ac:dyDescent="0.2">
      <c r="A14836" s="1" t="s">
        <v>4001</v>
      </c>
    </row>
    <row r="14837" spans="1:1" x14ac:dyDescent="0.2">
      <c r="A14837" s="1" t="s">
        <v>4002</v>
      </c>
    </row>
    <row r="14838" spans="1:1" x14ac:dyDescent="0.2">
      <c r="A14838" s="1" t="s">
        <v>3993</v>
      </c>
    </row>
    <row r="14839" spans="1:1" x14ac:dyDescent="0.2">
      <c r="A14839" s="1" t="s">
        <v>3993</v>
      </c>
    </row>
    <row r="14840" spans="1:1" x14ac:dyDescent="0.2">
      <c r="A14840" s="1" t="s">
        <v>3993</v>
      </c>
    </row>
    <row r="14841" spans="1:1" x14ac:dyDescent="0.2">
      <c r="A14841" s="1" t="s">
        <v>3994</v>
      </c>
    </row>
    <row r="14842" spans="1:1" x14ac:dyDescent="0.2">
      <c r="A14842" s="1" t="s">
        <v>3995</v>
      </c>
    </row>
    <row r="14843" spans="1:1" x14ac:dyDescent="0.2">
      <c r="A14843" s="1" t="s">
        <v>3996</v>
      </c>
    </row>
    <row r="14844" spans="1:1" x14ac:dyDescent="0.2">
      <c r="A14844" s="1" t="s">
        <v>3997</v>
      </c>
    </row>
    <row r="14845" spans="1:1" x14ac:dyDescent="0.2">
      <c r="A14845" s="1" t="s">
        <v>3998</v>
      </c>
    </row>
    <row r="14846" spans="1:1" x14ac:dyDescent="0.2">
      <c r="A14846" s="1" t="s">
        <v>3999</v>
      </c>
    </row>
    <row r="14847" spans="1:1" x14ac:dyDescent="0.2">
      <c r="A14847" s="1" t="s">
        <v>4000</v>
      </c>
    </row>
    <row r="14848" spans="1:1" x14ac:dyDescent="0.2">
      <c r="A14848" s="1" t="s">
        <v>4001</v>
      </c>
    </row>
    <row r="14849" spans="1:1" x14ac:dyDescent="0.2">
      <c r="A14849" s="1" t="s">
        <v>4001</v>
      </c>
    </row>
    <row r="14850" spans="1:1" x14ac:dyDescent="0.2">
      <c r="A14850" s="1" t="s">
        <v>4001</v>
      </c>
    </row>
    <row r="14851" spans="1:1" x14ac:dyDescent="0.2">
      <c r="A14851" s="1" t="s">
        <v>4001</v>
      </c>
    </row>
    <row r="14852" spans="1:1" x14ac:dyDescent="0.2">
      <c r="A14852" s="1" t="s">
        <v>4002</v>
      </c>
    </row>
    <row r="14853" spans="1:1" x14ac:dyDescent="0.2">
      <c r="A14853" s="1" t="s">
        <v>3993</v>
      </c>
    </row>
    <row r="14854" spans="1:1" x14ac:dyDescent="0.2">
      <c r="A14854" s="1" t="s">
        <v>3993</v>
      </c>
    </row>
    <row r="14855" spans="1:1" x14ac:dyDescent="0.2">
      <c r="A14855" s="1" t="s">
        <v>3993</v>
      </c>
    </row>
    <row r="14856" spans="1:1" x14ac:dyDescent="0.2">
      <c r="A14856" s="1" t="s">
        <v>3994</v>
      </c>
    </row>
    <row r="14857" spans="1:1" x14ac:dyDescent="0.2">
      <c r="A14857" s="1" t="s">
        <v>3995</v>
      </c>
    </row>
    <row r="14858" spans="1:1" x14ac:dyDescent="0.2">
      <c r="A14858" s="1" t="s">
        <v>3996</v>
      </c>
    </row>
    <row r="14859" spans="1:1" x14ac:dyDescent="0.2">
      <c r="A14859" s="1" t="s">
        <v>3997</v>
      </c>
    </row>
    <row r="14860" spans="1:1" x14ac:dyDescent="0.2">
      <c r="A14860" s="1" t="s">
        <v>3998</v>
      </c>
    </row>
    <row r="14861" spans="1:1" x14ac:dyDescent="0.2">
      <c r="A14861" s="1" t="s">
        <v>3999</v>
      </c>
    </row>
    <row r="14862" spans="1:1" x14ac:dyDescent="0.2">
      <c r="A14862" s="1" t="s">
        <v>4000</v>
      </c>
    </row>
    <row r="14863" spans="1:1" x14ac:dyDescent="0.2">
      <c r="A14863" s="1" t="s">
        <v>4001</v>
      </c>
    </row>
    <row r="14864" spans="1:1" x14ac:dyDescent="0.2">
      <c r="A14864" s="1" t="s">
        <v>4001</v>
      </c>
    </row>
    <row r="14865" spans="1:1" x14ac:dyDescent="0.2">
      <c r="A14865" s="1" t="s">
        <v>4001</v>
      </c>
    </row>
    <row r="14866" spans="1:1" x14ac:dyDescent="0.2">
      <c r="A14866" s="1" t="s">
        <v>4001</v>
      </c>
    </row>
    <row r="14867" spans="1:1" x14ac:dyDescent="0.2">
      <c r="A14867" s="1" t="s">
        <v>4002</v>
      </c>
    </row>
    <row r="14868" spans="1:1" x14ac:dyDescent="0.2">
      <c r="A14868" s="1" t="s">
        <v>3993</v>
      </c>
    </row>
    <row r="14869" spans="1:1" x14ac:dyDescent="0.2">
      <c r="A14869" s="1" t="s">
        <v>3993</v>
      </c>
    </row>
    <row r="14870" spans="1:1" x14ac:dyDescent="0.2">
      <c r="A14870" s="1" t="s">
        <v>3993</v>
      </c>
    </row>
    <row r="14871" spans="1:1" x14ac:dyDescent="0.2">
      <c r="A14871" s="1" t="s">
        <v>3994</v>
      </c>
    </row>
    <row r="14872" spans="1:1" x14ac:dyDescent="0.2">
      <c r="A14872" s="1" t="s">
        <v>3995</v>
      </c>
    </row>
    <row r="14873" spans="1:1" x14ac:dyDescent="0.2">
      <c r="A14873" s="1" t="s">
        <v>3996</v>
      </c>
    </row>
    <row r="14874" spans="1:1" x14ac:dyDescent="0.2">
      <c r="A14874" s="1" t="s">
        <v>3997</v>
      </c>
    </row>
    <row r="14875" spans="1:1" x14ac:dyDescent="0.2">
      <c r="A14875" s="1" t="s">
        <v>3998</v>
      </c>
    </row>
    <row r="14876" spans="1:1" x14ac:dyDescent="0.2">
      <c r="A14876" s="1" t="s">
        <v>3999</v>
      </c>
    </row>
    <row r="14877" spans="1:1" x14ac:dyDescent="0.2">
      <c r="A14877" s="1" t="s">
        <v>4000</v>
      </c>
    </row>
    <row r="14878" spans="1:1" x14ac:dyDescent="0.2">
      <c r="A14878" s="1" t="s">
        <v>4001</v>
      </c>
    </row>
    <row r="14879" spans="1:1" x14ac:dyDescent="0.2">
      <c r="A14879" s="1" t="s">
        <v>4001</v>
      </c>
    </row>
    <row r="14880" spans="1:1" x14ac:dyDescent="0.2">
      <c r="A14880" s="1" t="s">
        <v>4001</v>
      </c>
    </row>
    <row r="14881" spans="1:1" x14ac:dyDescent="0.2">
      <c r="A14881" s="1" t="s">
        <v>4001</v>
      </c>
    </row>
    <row r="14882" spans="1:1" x14ac:dyDescent="0.2">
      <c r="A14882" s="1" t="s">
        <v>4002</v>
      </c>
    </row>
    <row r="14883" spans="1:1" x14ac:dyDescent="0.2">
      <c r="A14883" s="1" t="s">
        <v>3993</v>
      </c>
    </row>
    <row r="14884" spans="1:1" x14ac:dyDescent="0.2">
      <c r="A14884" s="1" t="s">
        <v>4003</v>
      </c>
    </row>
    <row r="14885" spans="1:1" x14ac:dyDescent="0.2">
      <c r="A14885" s="1" t="s">
        <v>4004</v>
      </c>
    </row>
    <row r="14886" spans="1:1" x14ac:dyDescent="0.2">
      <c r="A14886" s="1" t="s">
        <v>3993</v>
      </c>
    </row>
    <row r="14887" spans="1:1" x14ac:dyDescent="0.2">
      <c r="A14887" s="1" t="s">
        <v>4005</v>
      </c>
    </row>
    <row r="14888" spans="1:1" x14ac:dyDescent="0.2">
      <c r="A14888" s="1" t="s">
        <v>4006</v>
      </c>
    </row>
    <row r="14889" spans="1:1" x14ac:dyDescent="0.2">
      <c r="A14889" s="1" t="s">
        <v>4007</v>
      </c>
    </row>
    <row r="14890" spans="1:1" x14ac:dyDescent="0.2">
      <c r="A14890" s="1" t="s">
        <v>4008</v>
      </c>
    </row>
    <row r="14891" spans="1:1" x14ac:dyDescent="0.2">
      <c r="A14891" s="1" t="s">
        <v>4009</v>
      </c>
    </row>
    <row r="14892" spans="1:1" x14ac:dyDescent="0.2">
      <c r="A14892" s="1" t="s">
        <v>4010</v>
      </c>
    </row>
    <row r="14893" spans="1:1" x14ac:dyDescent="0.2">
      <c r="A14893" s="1" t="s">
        <v>4011</v>
      </c>
    </row>
    <row r="14894" spans="1:1" x14ac:dyDescent="0.2">
      <c r="A14894" s="1" t="s">
        <v>4012</v>
      </c>
    </row>
    <row r="14895" spans="1:1" x14ac:dyDescent="0.2">
      <c r="A14895" s="1" t="s">
        <v>4013</v>
      </c>
    </row>
    <row r="14896" spans="1:1" x14ac:dyDescent="0.2">
      <c r="A14896" s="1" t="s">
        <v>4013</v>
      </c>
    </row>
    <row r="14897" spans="1:1" x14ac:dyDescent="0.2">
      <c r="A14897" s="1" t="s">
        <v>4014</v>
      </c>
    </row>
    <row r="14898" spans="1:1" x14ac:dyDescent="0.2">
      <c r="A14898" s="1" t="s">
        <v>4015</v>
      </c>
    </row>
    <row r="14899" spans="1:1" x14ac:dyDescent="0.2">
      <c r="A14899" s="1" t="s">
        <v>4016</v>
      </c>
    </row>
    <row r="14900" spans="1:1" x14ac:dyDescent="0.2">
      <c r="A14900" s="1" t="s">
        <v>4017</v>
      </c>
    </row>
    <row r="14901" spans="1:1" x14ac:dyDescent="0.2">
      <c r="A14901" s="1" t="s">
        <v>4018</v>
      </c>
    </row>
    <row r="14902" spans="1:1" x14ac:dyDescent="0.2">
      <c r="A14902" s="1" t="s">
        <v>4019</v>
      </c>
    </row>
    <row r="14903" spans="1:1" x14ac:dyDescent="0.2">
      <c r="A14903" s="1" t="s">
        <v>4020</v>
      </c>
    </row>
    <row r="14904" spans="1:1" x14ac:dyDescent="0.2">
      <c r="A14904" s="1" t="s">
        <v>4021</v>
      </c>
    </row>
    <row r="14905" spans="1:1" x14ac:dyDescent="0.2">
      <c r="A14905" s="1" t="s">
        <v>4021</v>
      </c>
    </row>
    <row r="14906" spans="1:1" x14ac:dyDescent="0.2">
      <c r="A14906" s="1" t="s">
        <v>4021</v>
      </c>
    </row>
    <row r="14907" spans="1:1" x14ac:dyDescent="0.2">
      <c r="A14907" s="1" t="s">
        <v>4021</v>
      </c>
    </row>
    <row r="14908" spans="1:1" x14ac:dyDescent="0.2">
      <c r="A14908" s="1" t="s">
        <v>4022</v>
      </c>
    </row>
    <row r="14909" spans="1:1" x14ac:dyDescent="0.2">
      <c r="A14909" s="1" t="s">
        <v>4013</v>
      </c>
    </row>
    <row r="14910" spans="1:1" x14ac:dyDescent="0.2">
      <c r="A14910" s="1" t="s">
        <v>4013</v>
      </c>
    </row>
    <row r="14911" spans="1:1" x14ac:dyDescent="0.2">
      <c r="A14911" s="1" t="s">
        <v>4013</v>
      </c>
    </row>
    <row r="14912" spans="1:1" x14ac:dyDescent="0.2">
      <c r="A14912" s="1" t="s">
        <v>4014</v>
      </c>
    </row>
    <row r="14913" spans="1:1" x14ac:dyDescent="0.2">
      <c r="A14913" s="1" t="s">
        <v>4015</v>
      </c>
    </row>
    <row r="14914" spans="1:1" x14ac:dyDescent="0.2">
      <c r="A14914" s="1" t="s">
        <v>4016</v>
      </c>
    </row>
    <row r="14915" spans="1:1" x14ac:dyDescent="0.2">
      <c r="A14915" s="1" t="s">
        <v>4017</v>
      </c>
    </row>
    <row r="14916" spans="1:1" x14ac:dyDescent="0.2">
      <c r="A14916" s="1" t="s">
        <v>4018</v>
      </c>
    </row>
    <row r="14917" spans="1:1" x14ac:dyDescent="0.2">
      <c r="A14917" s="1" t="s">
        <v>4019</v>
      </c>
    </row>
    <row r="14918" spans="1:1" x14ac:dyDescent="0.2">
      <c r="A14918" s="1" t="s">
        <v>4020</v>
      </c>
    </row>
    <row r="14919" spans="1:1" x14ac:dyDescent="0.2">
      <c r="A14919" s="1" t="s">
        <v>4021</v>
      </c>
    </row>
    <row r="14920" spans="1:1" x14ac:dyDescent="0.2">
      <c r="A14920" s="1" t="s">
        <v>4021</v>
      </c>
    </row>
    <row r="14921" spans="1:1" x14ac:dyDescent="0.2">
      <c r="A14921" s="1" t="s">
        <v>4021</v>
      </c>
    </row>
    <row r="14922" spans="1:1" x14ac:dyDescent="0.2">
      <c r="A14922" s="1" t="s">
        <v>4021</v>
      </c>
    </row>
    <row r="14923" spans="1:1" x14ac:dyDescent="0.2">
      <c r="A14923" s="1" t="s">
        <v>4022</v>
      </c>
    </row>
    <row r="14924" spans="1:1" x14ac:dyDescent="0.2">
      <c r="A14924" s="1" t="s">
        <v>4013</v>
      </c>
    </row>
    <row r="14925" spans="1:1" x14ac:dyDescent="0.2">
      <c r="A14925" s="1" t="s">
        <v>4013</v>
      </c>
    </row>
    <row r="14926" spans="1:1" x14ac:dyDescent="0.2">
      <c r="A14926" s="1" t="s">
        <v>4013</v>
      </c>
    </row>
    <row r="14927" spans="1:1" x14ac:dyDescent="0.2">
      <c r="A14927" s="1" t="s">
        <v>4014</v>
      </c>
    </row>
    <row r="14928" spans="1:1" x14ac:dyDescent="0.2">
      <c r="A14928" s="1" t="s">
        <v>4015</v>
      </c>
    </row>
    <row r="14929" spans="1:1" x14ac:dyDescent="0.2">
      <c r="A14929" s="1" t="s">
        <v>4016</v>
      </c>
    </row>
    <row r="14930" spans="1:1" x14ac:dyDescent="0.2">
      <c r="A14930" s="1" t="s">
        <v>4017</v>
      </c>
    </row>
    <row r="14931" spans="1:1" x14ac:dyDescent="0.2">
      <c r="A14931" s="1" t="s">
        <v>4018</v>
      </c>
    </row>
    <row r="14932" spans="1:1" x14ac:dyDescent="0.2">
      <c r="A14932" s="1" t="s">
        <v>4019</v>
      </c>
    </row>
    <row r="14933" spans="1:1" x14ac:dyDescent="0.2">
      <c r="A14933" s="1" t="s">
        <v>4020</v>
      </c>
    </row>
    <row r="14934" spans="1:1" x14ac:dyDescent="0.2">
      <c r="A14934" s="1" t="s">
        <v>4021</v>
      </c>
    </row>
    <row r="14935" spans="1:1" x14ac:dyDescent="0.2">
      <c r="A14935" s="1" t="s">
        <v>4021</v>
      </c>
    </row>
    <row r="14936" spans="1:1" x14ac:dyDescent="0.2">
      <c r="A14936" s="1" t="s">
        <v>4021</v>
      </c>
    </row>
    <row r="14937" spans="1:1" x14ac:dyDescent="0.2">
      <c r="A14937" s="1" t="s">
        <v>4021</v>
      </c>
    </row>
    <row r="14938" spans="1:1" x14ac:dyDescent="0.2">
      <c r="A14938" s="1" t="s">
        <v>4022</v>
      </c>
    </row>
    <row r="14939" spans="1:1" x14ac:dyDescent="0.2">
      <c r="A14939" s="1" t="s">
        <v>4013</v>
      </c>
    </row>
    <row r="14940" spans="1:1" x14ac:dyDescent="0.2">
      <c r="A14940" s="1" t="s">
        <v>4013</v>
      </c>
    </row>
    <row r="14941" spans="1:1" x14ac:dyDescent="0.2">
      <c r="A14941" s="1" t="s">
        <v>4013</v>
      </c>
    </row>
    <row r="14942" spans="1:1" x14ac:dyDescent="0.2">
      <c r="A14942" s="1" t="s">
        <v>4014</v>
      </c>
    </row>
    <row r="14943" spans="1:1" x14ac:dyDescent="0.2">
      <c r="A14943" s="1" t="s">
        <v>4015</v>
      </c>
    </row>
    <row r="14944" spans="1:1" x14ac:dyDescent="0.2">
      <c r="A14944" s="1" t="s">
        <v>4016</v>
      </c>
    </row>
    <row r="14945" spans="1:1" x14ac:dyDescent="0.2">
      <c r="A14945" s="1" t="s">
        <v>4017</v>
      </c>
    </row>
    <row r="14946" spans="1:1" x14ac:dyDescent="0.2">
      <c r="A14946" s="1" t="s">
        <v>4018</v>
      </c>
    </row>
    <row r="14947" spans="1:1" x14ac:dyDescent="0.2">
      <c r="A14947" s="1" t="s">
        <v>4019</v>
      </c>
    </row>
    <row r="14948" spans="1:1" x14ac:dyDescent="0.2">
      <c r="A14948" s="1" t="s">
        <v>4020</v>
      </c>
    </row>
    <row r="14949" spans="1:1" x14ac:dyDescent="0.2">
      <c r="A14949" s="1" t="s">
        <v>4021</v>
      </c>
    </row>
    <row r="14950" spans="1:1" x14ac:dyDescent="0.2">
      <c r="A14950" s="1" t="s">
        <v>4021</v>
      </c>
    </row>
    <row r="14951" spans="1:1" x14ac:dyDescent="0.2">
      <c r="A14951" s="1" t="s">
        <v>4021</v>
      </c>
    </row>
    <row r="14952" spans="1:1" x14ac:dyDescent="0.2">
      <c r="A14952" s="1" t="s">
        <v>4021</v>
      </c>
    </row>
    <row r="14953" spans="1:1" x14ac:dyDescent="0.2">
      <c r="A14953" s="1" t="s">
        <v>4022</v>
      </c>
    </row>
    <row r="14954" spans="1:1" x14ac:dyDescent="0.2">
      <c r="A14954" s="1" t="s">
        <v>4013</v>
      </c>
    </row>
    <row r="14955" spans="1:1" x14ac:dyDescent="0.2">
      <c r="A14955" s="1" t="s">
        <v>4013</v>
      </c>
    </row>
    <row r="14956" spans="1:1" x14ac:dyDescent="0.2">
      <c r="A14956" s="1" t="s">
        <v>4013</v>
      </c>
    </row>
    <row r="14957" spans="1:1" x14ac:dyDescent="0.2">
      <c r="A14957" s="1" t="s">
        <v>4014</v>
      </c>
    </row>
    <row r="14958" spans="1:1" x14ac:dyDescent="0.2">
      <c r="A14958" s="1" t="s">
        <v>4015</v>
      </c>
    </row>
    <row r="14959" spans="1:1" x14ac:dyDescent="0.2">
      <c r="A14959" s="1" t="s">
        <v>4016</v>
      </c>
    </row>
    <row r="14960" spans="1:1" x14ac:dyDescent="0.2">
      <c r="A14960" s="1" t="s">
        <v>4017</v>
      </c>
    </row>
    <row r="14961" spans="1:1" x14ac:dyDescent="0.2">
      <c r="A14961" s="1" t="s">
        <v>4018</v>
      </c>
    </row>
    <row r="14962" spans="1:1" x14ac:dyDescent="0.2">
      <c r="A14962" s="1" t="s">
        <v>4019</v>
      </c>
    </row>
    <row r="14963" spans="1:1" x14ac:dyDescent="0.2">
      <c r="A14963" s="1" t="s">
        <v>4020</v>
      </c>
    </row>
    <row r="14964" spans="1:1" x14ac:dyDescent="0.2">
      <c r="A14964" s="1" t="s">
        <v>4021</v>
      </c>
    </row>
    <row r="14965" spans="1:1" x14ac:dyDescent="0.2">
      <c r="A14965" s="1" t="s">
        <v>4021</v>
      </c>
    </row>
    <row r="14966" spans="1:1" x14ac:dyDescent="0.2">
      <c r="A14966" s="1" t="s">
        <v>4021</v>
      </c>
    </row>
    <row r="14967" spans="1:1" x14ac:dyDescent="0.2">
      <c r="A14967" s="1" t="s">
        <v>4021</v>
      </c>
    </row>
    <row r="14968" spans="1:1" x14ac:dyDescent="0.2">
      <c r="A14968" s="1" t="s">
        <v>4022</v>
      </c>
    </row>
    <row r="14969" spans="1:1" x14ac:dyDescent="0.2">
      <c r="A14969" s="1" t="s">
        <v>4013</v>
      </c>
    </row>
    <row r="14970" spans="1:1" x14ac:dyDescent="0.2">
      <c r="A14970" s="1" t="s">
        <v>4023</v>
      </c>
    </row>
    <row r="14971" spans="1:1" x14ac:dyDescent="0.2">
      <c r="A14971" s="1" t="s">
        <v>4024</v>
      </c>
    </row>
    <row r="14972" spans="1:1" x14ac:dyDescent="0.2">
      <c r="A14972" s="1" t="s">
        <v>4025</v>
      </c>
    </row>
    <row r="14973" spans="1:1" x14ac:dyDescent="0.2">
      <c r="A14973" s="1" t="s">
        <v>4026</v>
      </c>
    </row>
    <row r="14974" spans="1:1" x14ac:dyDescent="0.2">
      <c r="A14974" s="1" t="s">
        <v>4027</v>
      </c>
    </row>
    <row r="14975" spans="1:1" x14ac:dyDescent="0.2">
      <c r="A14975" s="1" t="s">
        <v>4028</v>
      </c>
    </row>
    <row r="14976" spans="1:1" x14ac:dyDescent="0.2">
      <c r="A14976" s="1" t="s">
        <v>4029</v>
      </c>
    </row>
    <row r="14977" spans="1:1" x14ac:dyDescent="0.2">
      <c r="A14977" s="1" t="s">
        <v>4030</v>
      </c>
    </row>
    <row r="14978" spans="1:1" x14ac:dyDescent="0.2">
      <c r="A14978" s="1" t="s">
        <v>4031</v>
      </c>
    </row>
    <row r="14979" spans="1:1" x14ac:dyDescent="0.2">
      <c r="A14979" s="1" t="s">
        <v>4032</v>
      </c>
    </row>
    <row r="14980" spans="1:1" x14ac:dyDescent="0.2">
      <c r="A14980" s="1" t="s">
        <v>4033</v>
      </c>
    </row>
    <row r="14981" spans="1:1" x14ac:dyDescent="0.2">
      <c r="A14981" s="1" t="s">
        <v>4034</v>
      </c>
    </row>
    <row r="14982" spans="1:1" x14ac:dyDescent="0.2">
      <c r="A14982" s="1" t="s">
        <v>4034</v>
      </c>
    </row>
    <row r="14983" spans="1:1" x14ac:dyDescent="0.2">
      <c r="A14983" s="1" t="s">
        <v>4035</v>
      </c>
    </row>
    <row r="14984" spans="1:1" x14ac:dyDescent="0.2">
      <c r="A14984" s="1" t="s">
        <v>4036</v>
      </c>
    </row>
    <row r="14985" spans="1:1" x14ac:dyDescent="0.2">
      <c r="A14985" s="1" t="s">
        <v>4037</v>
      </c>
    </row>
    <row r="14986" spans="1:1" x14ac:dyDescent="0.2">
      <c r="A14986" s="1" t="s">
        <v>4038</v>
      </c>
    </row>
    <row r="14987" spans="1:1" x14ac:dyDescent="0.2">
      <c r="A14987" s="1" t="s">
        <v>4039</v>
      </c>
    </row>
    <row r="14988" spans="1:1" x14ac:dyDescent="0.2">
      <c r="A14988" s="1" t="s">
        <v>4040</v>
      </c>
    </row>
    <row r="14989" spans="1:1" x14ac:dyDescent="0.2">
      <c r="A14989" s="1" t="s">
        <v>4041</v>
      </c>
    </row>
    <row r="14990" spans="1:1" x14ac:dyDescent="0.2">
      <c r="A14990" s="1" t="s">
        <v>4042</v>
      </c>
    </row>
    <row r="14991" spans="1:1" x14ac:dyDescent="0.2">
      <c r="A14991" s="1" t="s">
        <v>4042</v>
      </c>
    </row>
    <row r="14992" spans="1:1" x14ac:dyDescent="0.2">
      <c r="A14992" s="1" t="s">
        <v>4042</v>
      </c>
    </row>
    <row r="14993" spans="1:1" x14ac:dyDescent="0.2">
      <c r="A14993" s="1" t="s">
        <v>4042</v>
      </c>
    </row>
    <row r="14994" spans="1:1" x14ac:dyDescent="0.2">
      <c r="A14994" s="1" t="s">
        <v>4043</v>
      </c>
    </row>
    <row r="14995" spans="1:1" x14ac:dyDescent="0.2">
      <c r="A14995" s="1" t="s">
        <v>4034</v>
      </c>
    </row>
    <row r="14996" spans="1:1" x14ac:dyDescent="0.2">
      <c r="A14996" s="1" t="s">
        <v>4034</v>
      </c>
    </row>
    <row r="14997" spans="1:1" x14ac:dyDescent="0.2">
      <c r="A14997" s="1" t="s">
        <v>4034</v>
      </c>
    </row>
    <row r="14998" spans="1:1" x14ac:dyDescent="0.2">
      <c r="A14998" s="1" t="s">
        <v>4035</v>
      </c>
    </row>
    <row r="14999" spans="1:1" x14ac:dyDescent="0.2">
      <c r="A14999" s="1" t="s">
        <v>4036</v>
      </c>
    </row>
    <row r="15000" spans="1:1" x14ac:dyDescent="0.2">
      <c r="A15000" s="1" t="s">
        <v>4037</v>
      </c>
    </row>
    <row r="15001" spans="1:1" x14ac:dyDescent="0.2">
      <c r="A15001" s="1" t="s">
        <v>4038</v>
      </c>
    </row>
    <row r="15002" spans="1:1" x14ac:dyDescent="0.2">
      <c r="A15002" s="1" t="s">
        <v>4039</v>
      </c>
    </row>
    <row r="15003" spans="1:1" x14ac:dyDescent="0.2">
      <c r="A15003" s="1" t="s">
        <v>4040</v>
      </c>
    </row>
    <row r="15004" spans="1:1" x14ac:dyDescent="0.2">
      <c r="A15004" s="1" t="s">
        <v>4041</v>
      </c>
    </row>
    <row r="15005" spans="1:1" x14ac:dyDescent="0.2">
      <c r="A15005" s="1" t="s">
        <v>4042</v>
      </c>
    </row>
    <row r="15006" spans="1:1" x14ac:dyDescent="0.2">
      <c r="A15006" s="1" t="s">
        <v>4042</v>
      </c>
    </row>
    <row r="15007" spans="1:1" x14ac:dyDescent="0.2">
      <c r="A15007" s="1" t="s">
        <v>4042</v>
      </c>
    </row>
    <row r="15008" spans="1:1" x14ac:dyDescent="0.2">
      <c r="A15008" s="1" t="s">
        <v>4042</v>
      </c>
    </row>
    <row r="15009" spans="1:1" x14ac:dyDescent="0.2">
      <c r="A15009" s="1" t="s">
        <v>4043</v>
      </c>
    </row>
    <row r="15010" spans="1:1" x14ac:dyDescent="0.2">
      <c r="A15010" s="1" t="s">
        <v>4034</v>
      </c>
    </row>
    <row r="15011" spans="1:1" x14ac:dyDescent="0.2">
      <c r="A15011" s="1" t="s">
        <v>4034</v>
      </c>
    </row>
    <row r="15012" spans="1:1" x14ac:dyDescent="0.2">
      <c r="A15012" s="1" t="s">
        <v>4034</v>
      </c>
    </row>
    <row r="15013" spans="1:1" x14ac:dyDescent="0.2">
      <c r="A15013" s="1" t="s">
        <v>4035</v>
      </c>
    </row>
    <row r="15014" spans="1:1" x14ac:dyDescent="0.2">
      <c r="A15014" s="1" t="s">
        <v>4036</v>
      </c>
    </row>
    <row r="15015" spans="1:1" x14ac:dyDescent="0.2">
      <c r="A15015" s="1" t="s">
        <v>4037</v>
      </c>
    </row>
    <row r="15016" spans="1:1" x14ac:dyDescent="0.2">
      <c r="A15016" s="1" t="s">
        <v>4038</v>
      </c>
    </row>
    <row r="15017" spans="1:1" x14ac:dyDescent="0.2">
      <c r="A15017" s="1" t="s">
        <v>4039</v>
      </c>
    </row>
    <row r="15018" spans="1:1" x14ac:dyDescent="0.2">
      <c r="A15018" s="1" t="s">
        <v>4040</v>
      </c>
    </row>
    <row r="15019" spans="1:1" x14ac:dyDescent="0.2">
      <c r="A15019" s="1" t="s">
        <v>4041</v>
      </c>
    </row>
    <row r="15020" spans="1:1" x14ac:dyDescent="0.2">
      <c r="A15020" s="1" t="s">
        <v>4042</v>
      </c>
    </row>
    <row r="15021" spans="1:1" x14ac:dyDescent="0.2">
      <c r="A15021" s="1" t="s">
        <v>4042</v>
      </c>
    </row>
    <row r="15022" spans="1:1" x14ac:dyDescent="0.2">
      <c r="A15022" s="1" t="s">
        <v>4042</v>
      </c>
    </row>
    <row r="15023" spans="1:1" x14ac:dyDescent="0.2">
      <c r="A15023" s="1" t="s">
        <v>4042</v>
      </c>
    </row>
    <row r="15024" spans="1:1" x14ac:dyDescent="0.2">
      <c r="A15024" s="1" t="s">
        <v>4043</v>
      </c>
    </row>
    <row r="15025" spans="1:1" x14ac:dyDescent="0.2">
      <c r="A15025" s="1" t="s">
        <v>4034</v>
      </c>
    </row>
    <row r="15026" spans="1:1" x14ac:dyDescent="0.2">
      <c r="A15026" s="1" t="s">
        <v>4034</v>
      </c>
    </row>
    <row r="15027" spans="1:1" x14ac:dyDescent="0.2">
      <c r="A15027" s="1" t="s">
        <v>4034</v>
      </c>
    </row>
    <row r="15028" spans="1:1" x14ac:dyDescent="0.2">
      <c r="A15028" s="1" t="s">
        <v>4035</v>
      </c>
    </row>
    <row r="15029" spans="1:1" x14ac:dyDescent="0.2">
      <c r="A15029" s="1" t="s">
        <v>4036</v>
      </c>
    </row>
    <row r="15030" spans="1:1" x14ac:dyDescent="0.2">
      <c r="A15030" s="1" t="s">
        <v>4037</v>
      </c>
    </row>
    <row r="15031" spans="1:1" x14ac:dyDescent="0.2">
      <c r="A15031" s="1" t="s">
        <v>4038</v>
      </c>
    </row>
    <row r="15032" spans="1:1" x14ac:dyDescent="0.2">
      <c r="A15032" s="1" t="s">
        <v>4039</v>
      </c>
    </row>
    <row r="15033" spans="1:1" x14ac:dyDescent="0.2">
      <c r="A15033" s="1" t="s">
        <v>4040</v>
      </c>
    </row>
    <row r="15034" spans="1:1" x14ac:dyDescent="0.2">
      <c r="A15034" s="1" t="s">
        <v>4041</v>
      </c>
    </row>
    <row r="15035" spans="1:1" x14ac:dyDescent="0.2">
      <c r="A15035" s="1" t="s">
        <v>4042</v>
      </c>
    </row>
    <row r="15036" spans="1:1" x14ac:dyDescent="0.2">
      <c r="A15036" s="1" t="s">
        <v>4042</v>
      </c>
    </row>
    <row r="15037" spans="1:1" x14ac:dyDescent="0.2">
      <c r="A15037" s="1" t="s">
        <v>4042</v>
      </c>
    </row>
    <row r="15038" spans="1:1" x14ac:dyDescent="0.2">
      <c r="A15038" s="1" t="s">
        <v>4042</v>
      </c>
    </row>
    <row r="15039" spans="1:1" x14ac:dyDescent="0.2">
      <c r="A15039" s="1" t="s">
        <v>4043</v>
      </c>
    </row>
    <row r="15040" spans="1:1" x14ac:dyDescent="0.2">
      <c r="A15040" s="1" t="s">
        <v>4034</v>
      </c>
    </row>
    <row r="15041" spans="1:1" x14ac:dyDescent="0.2">
      <c r="A15041" s="1" t="s">
        <v>4034</v>
      </c>
    </row>
    <row r="15042" spans="1:1" x14ac:dyDescent="0.2">
      <c r="A15042" s="1" t="s">
        <v>4034</v>
      </c>
    </row>
    <row r="15043" spans="1:1" x14ac:dyDescent="0.2">
      <c r="A15043" s="1" t="s">
        <v>4035</v>
      </c>
    </row>
    <row r="15044" spans="1:1" x14ac:dyDescent="0.2">
      <c r="A15044" s="1" t="s">
        <v>4036</v>
      </c>
    </row>
    <row r="15045" spans="1:1" x14ac:dyDescent="0.2">
      <c r="A15045" s="1" t="s">
        <v>4037</v>
      </c>
    </row>
    <row r="15046" spans="1:1" x14ac:dyDescent="0.2">
      <c r="A15046" s="1" t="s">
        <v>4038</v>
      </c>
    </row>
    <row r="15047" spans="1:1" x14ac:dyDescent="0.2">
      <c r="A15047" s="1" t="s">
        <v>4039</v>
      </c>
    </row>
    <row r="15048" spans="1:1" x14ac:dyDescent="0.2">
      <c r="A15048" s="1" t="s">
        <v>4040</v>
      </c>
    </row>
    <row r="15049" spans="1:1" x14ac:dyDescent="0.2">
      <c r="A15049" s="1" t="s">
        <v>4041</v>
      </c>
    </row>
    <row r="15050" spans="1:1" x14ac:dyDescent="0.2">
      <c r="A15050" s="1" t="s">
        <v>4042</v>
      </c>
    </row>
    <row r="15051" spans="1:1" x14ac:dyDescent="0.2">
      <c r="A15051" s="1" t="s">
        <v>4042</v>
      </c>
    </row>
    <row r="15052" spans="1:1" x14ac:dyDescent="0.2">
      <c r="A15052" s="1" t="s">
        <v>4042</v>
      </c>
    </row>
    <row r="15053" spans="1:1" x14ac:dyDescent="0.2">
      <c r="A15053" s="1" t="s">
        <v>4042</v>
      </c>
    </row>
    <row r="15054" spans="1:1" x14ac:dyDescent="0.2">
      <c r="A15054" s="1" t="s">
        <v>4043</v>
      </c>
    </row>
    <row r="15055" spans="1:1" x14ac:dyDescent="0.2">
      <c r="A15055" s="1" t="s">
        <v>4034</v>
      </c>
    </row>
    <row r="15056" spans="1:1" x14ac:dyDescent="0.2">
      <c r="A15056" s="1" t="s">
        <v>4044</v>
      </c>
    </row>
    <row r="15057" spans="1:1" x14ac:dyDescent="0.2">
      <c r="A15057" s="1" t="s">
        <v>4045</v>
      </c>
    </row>
    <row r="15058" spans="1:1" x14ac:dyDescent="0.2">
      <c r="A15058" s="1" t="s">
        <v>4046</v>
      </c>
    </row>
    <row r="15059" spans="1:1" x14ac:dyDescent="0.2">
      <c r="A15059" s="1" t="s">
        <v>4047</v>
      </c>
    </row>
    <row r="15060" spans="1:1" x14ac:dyDescent="0.2">
      <c r="A15060" s="1" t="s">
        <v>4048</v>
      </c>
    </row>
    <row r="15061" spans="1:1" x14ac:dyDescent="0.2">
      <c r="A15061" s="1" t="s">
        <v>4049</v>
      </c>
    </row>
    <row r="15062" spans="1:1" x14ac:dyDescent="0.2">
      <c r="A15062" s="1" t="s">
        <v>4050</v>
      </c>
    </row>
    <row r="15063" spans="1:1" x14ac:dyDescent="0.2">
      <c r="A15063" s="1" t="s">
        <v>4051</v>
      </c>
    </row>
    <row r="15064" spans="1:1" x14ac:dyDescent="0.2">
      <c r="A15064" s="1" t="s">
        <v>4052</v>
      </c>
    </row>
    <row r="15065" spans="1:1" x14ac:dyDescent="0.2">
      <c r="A15065" s="1" t="s">
        <v>4053</v>
      </c>
    </row>
    <row r="15066" spans="1:1" x14ac:dyDescent="0.2">
      <c r="A15066" s="1" t="s">
        <v>4054</v>
      </c>
    </row>
    <row r="15067" spans="1:1" x14ac:dyDescent="0.2">
      <c r="A15067" s="1" t="s">
        <v>4044</v>
      </c>
    </row>
    <row r="15068" spans="1:1" x14ac:dyDescent="0.2">
      <c r="A15068" s="1" t="s">
        <v>4055</v>
      </c>
    </row>
    <row r="15069" spans="1:1" x14ac:dyDescent="0.2">
      <c r="A15069" s="1" t="s">
        <v>4046</v>
      </c>
    </row>
    <row r="15070" spans="1:1" x14ac:dyDescent="0.2">
      <c r="A15070" s="1" t="s">
        <v>4047</v>
      </c>
    </row>
    <row r="15071" spans="1:1" x14ac:dyDescent="0.2">
      <c r="A15071" s="1" t="s">
        <v>4048</v>
      </c>
    </row>
    <row r="15072" spans="1:1" x14ac:dyDescent="0.2">
      <c r="A15072" s="1" t="s">
        <v>4056</v>
      </c>
    </row>
    <row r="15073" spans="1:1" x14ac:dyDescent="0.2">
      <c r="A15073" s="1" t="s">
        <v>4050</v>
      </c>
    </row>
    <row r="15074" spans="1:1" x14ac:dyDescent="0.2">
      <c r="A15074" s="1" t="s">
        <v>4051</v>
      </c>
    </row>
    <row r="15075" spans="1:1" x14ac:dyDescent="0.2">
      <c r="A15075" s="1" t="s">
        <v>4052</v>
      </c>
    </row>
    <row r="15076" spans="1:1" x14ac:dyDescent="0.2">
      <c r="A15076" s="1" t="s">
        <v>4053</v>
      </c>
    </row>
    <row r="15077" spans="1:1" x14ac:dyDescent="0.2">
      <c r="A15077" s="1" t="s">
        <v>4054</v>
      </c>
    </row>
    <row r="15078" spans="1:1" x14ac:dyDescent="0.2">
      <c r="A15078" s="1" t="s">
        <v>4044</v>
      </c>
    </row>
    <row r="15079" spans="1:1" x14ac:dyDescent="0.2">
      <c r="A15079" s="1" t="s">
        <v>4057</v>
      </c>
    </row>
    <row r="15080" spans="1:1" x14ac:dyDescent="0.2">
      <c r="A15080" s="1" t="s">
        <v>4046</v>
      </c>
    </row>
    <row r="15081" spans="1:1" x14ac:dyDescent="0.2">
      <c r="A15081" s="1" t="s">
        <v>4047</v>
      </c>
    </row>
    <row r="15082" spans="1:1" x14ac:dyDescent="0.2">
      <c r="A15082" s="1" t="s">
        <v>4048</v>
      </c>
    </row>
    <row r="15083" spans="1:1" x14ac:dyDescent="0.2">
      <c r="A15083" s="1" t="s">
        <v>4058</v>
      </c>
    </row>
    <row r="15084" spans="1:1" x14ac:dyDescent="0.2">
      <c r="A15084" s="1" t="s">
        <v>4050</v>
      </c>
    </row>
    <row r="15085" spans="1:1" x14ac:dyDescent="0.2">
      <c r="A15085" s="1" t="s">
        <v>4051</v>
      </c>
    </row>
    <row r="15086" spans="1:1" x14ac:dyDescent="0.2">
      <c r="A15086" s="1" t="s">
        <v>4052</v>
      </c>
    </row>
    <row r="15087" spans="1:1" x14ac:dyDescent="0.2">
      <c r="A15087" s="1" t="s">
        <v>4053</v>
      </c>
    </row>
    <row r="15088" spans="1:1" x14ac:dyDescent="0.2">
      <c r="A15088" s="1" t="s">
        <v>4054</v>
      </c>
    </row>
    <row r="15089" spans="1:1" x14ac:dyDescent="0.2">
      <c r="A15089" s="1" t="s">
        <v>4044</v>
      </c>
    </row>
    <row r="15090" spans="1:1" x14ac:dyDescent="0.2">
      <c r="A15090" s="1" t="s">
        <v>4059</v>
      </c>
    </row>
    <row r="15091" spans="1:1" x14ac:dyDescent="0.2">
      <c r="A15091" s="1" t="s">
        <v>4046</v>
      </c>
    </row>
    <row r="15092" spans="1:1" x14ac:dyDescent="0.2">
      <c r="A15092" s="1" t="s">
        <v>4047</v>
      </c>
    </row>
    <row r="15093" spans="1:1" x14ac:dyDescent="0.2">
      <c r="A15093" s="1" t="s">
        <v>4048</v>
      </c>
    </row>
    <row r="15094" spans="1:1" x14ac:dyDescent="0.2">
      <c r="A15094" s="1" t="s">
        <v>4060</v>
      </c>
    </row>
    <row r="15095" spans="1:1" x14ac:dyDescent="0.2">
      <c r="A15095" s="1" t="s">
        <v>4050</v>
      </c>
    </row>
    <row r="15096" spans="1:1" x14ac:dyDescent="0.2">
      <c r="A15096" s="1" t="s">
        <v>4061</v>
      </c>
    </row>
    <row r="15097" spans="1:1" x14ac:dyDescent="0.2">
      <c r="A15097" s="1" t="s">
        <v>4062</v>
      </c>
    </row>
    <row r="15098" spans="1:1" x14ac:dyDescent="0.2">
      <c r="A15098" s="1" t="s">
        <v>4063</v>
      </c>
    </row>
    <row r="15099" spans="1:1" x14ac:dyDescent="0.2">
      <c r="A15099" s="1" t="s">
        <v>4064</v>
      </c>
    </row>
    <row r="15100" spans="1:1" x14ac:dyDescent="0.2">
      <c r="A15100" s="1" t="s">
        <v>4065</v>
      </c>
    </row>
    <row r="15101" spans="1:1" x14ac:dyDescent="0.2">
      <c r="A15101" s="1" t="s">
        <v>4066</v>
      </c>
    </row>
    <row r="15102" spans="1:1" x14ac:dyDescent="0.2">
      <c r="A15102" s="1" t="s">
        <v>4067</v>
      </c>
    </row>
    <row r="15103" spans="1:1" x14ac:dyDescent="0.2">
      <c r="A15103" s="1" t="s">
        <v>4068</v>
      </c>
    </row>
    <row r="15104" spans="1:1" x14ac:dyDescent="0.2">
      <c r="A15104" s="1" t="s">
        <v>4069</v>
      </c>
    </row>
    <row r="15105" spans="1:1" x14ac:dyDescent="0.2">
      <c r="A15105" s="1" t="s">
        <v>4070</v>
      </c>
    </row>
    <row r="15106" spans="1:1" x14ac:dyDescent="0.2">
      <c r="A15106" s="1" t="s">
        <v>4071</v>
      </c>
    </row>
    <row r="15107" spans="1:1" x14ac:dyDescent="0.2">
      <c r="A15107" s="1" t="s">
        <v>4061</v>
      </c>
    </row>
    <row r="15108" spans="1:1" x14ac:dyDescent="0.2">
      <c r="A15108" s="1" t="s">
        <v>4062</v>
      </c>
    </row>
    <row r="15109" spans="1:1" x14ac:dyDescent="0.2">
      <c r="A15109" s="1" t="s">
        <v>4063</v>
      </c>
    </row>
    <row r="15110" spans="1:1" x14ac:dyDescent="0.2">
      <c r="A15110" s="1" t="s">
        <v>4064</v>
      </c>
    </row>
    <row r="15111" spans="1:1" x14ac:dyDescent="0.2">
      <c r="A15111" s="1" t="s">
        <v>4072</v>
      </c>
    </row>
    <row r="15112" spans="1:1" x14ac:dyDescent="0.2">
      <c r="A15112" s="1" t="s">
        <v>4072</v>
      </c>
    </row>
    <row r="15113" spans="1:1" x14ac:dyDescent="0.2">
      <c r="A15113" s="1" t="s">
        <v>4073</v>
      </c>
    </row>
    <row r="15114" spans="1:1" x14ac:dyDescent="0.2">
      <c r="A15114" s="1" t="s">
        <v>4074</v>
      </c>
    </row>
    <row r="15115" spans="1:1" x14ac:dyDescent="0.2">
      <c r="A15115" s="1" t="s">
        <v>4075</v>
      </c>
    </row>
    <row r="15116" spans="1:1" x14ac:dyDescent="0.2">
      <c r="A15116" s="1" t="s">
        <v>4076</v>
      </c>
    </row>
    <row r="15117" spans="1:1" x14ac:dyDescent="0.2">
      <c r="A15117" s="1" t="s">
        <v>4077</v>
      </c>
    </row>
    <row r="15118" spans="1:1" x14ac:dyDescent="0.2">
      <c r="A15118" s="1" t="s">
        <v>4078</v>
      </c>
    </row>
    <row r="15119" spans="1:1" x14ac:dyDescent="0.2">
      <c r="A15119" s="1" t="s">
        <v>4079</v>
      </c>
    </row>
    <row r="15120" spans="1:1" x14ac:dyDescent="0.2">
      <c r="A15120" s="1" t="s">
        <v>4080</v>
      </c>
    </row>
    <row r="15121" spans="1:1" x14ac:dyDescent="0.2">
      <c r="A15121" s="1" t="s">
        <v>4080</v>
      </c>
    </row>
    <row r="15122" spans="1:1" x14ac:dyDescent="0.2">
      <c r="A15122" s="1" t="s">
        <v>4080</v>
      </c>
    </row>
    <row r="15123" spans="1:1" x14ac:dyDescent="0.2">
      <c r="A15123" s="1" t="s">
        <v>4080</v>
      </c>
    </row>
    <row r="15124" spans="1:1" x14ac:dyDescent="0.2">
      <c r="A15124" s="1" t="s">
        <v>4081</v>
      </c>
    </row>
    <row r="15125" spans="1:1" x14ac:dyDescent="0.2">
      <c r="A15125" s="1" t="s">
        <v>4072</v>
      </c>
    </row>
    <row r="15126" spans="1:1" x14ac:dyDescent="0.2">
      <c r="A15126" s="1" t="s">
        <v>4072</v>
      </c>
    </row>
    <row r="15127" spans="1:1" x14ac:dyDescent="0.2">
      <c r="A15127" s="1" t="s">
        <v>4072</v>
      </c>
    </row>
    <row r="15128" spans="1:1" x14ac:dyDescent="0.2">
      <c r="A15128" s="1" t="s">
        <v>4073</v>
      </c>
    </row>
    <row r="15129" spans="1:1" x14ac:dyDescent="0.2">
      <c r="A15129" s="1" t="s">
        <v>4074</v>
      </c>
    </row>
    <row r="15130" spans="1:1" x14ac:dyDescent="0.2">
      <c r="A15130" s="1" t="s">
        <v>4075</v>
      </c>
    </row>
    <row r="15131" spans="1:1" x14ac:dyDescent="0.2">
      <c r="A15131" s="1" t="s">
        <v>4076</v>
      </c>
    </row>
    <row r="15132" spans="1:1" x14ac:dyDescent="0.2">
      <c r="A15132" s="1" t="s">
        <v>4077</v>
      </c>
    </row>
    <row r="15133" spans="1:1" x14ac:dyDescent="0.2">
      <c r="A15133" s="1" t="s">
        <v>4078</v>
      </c>
    </row>
    <row r="15134" spans="1:1" x14ac:dyDescent="0.2">
      <c r="A15134" s="1" t="s">
        <v>4079</v>
      </c>
    </row>
    <row r="15135" spans="1:1" x14ac:dyDescent="0.2">
      <c r="A15135" s="1" t="s">
        <v>4080</v>
      </c>
    </row>
    <row r="15136" spans="1:1" x14ac:dyDescent="0.2">
      <c r="A15136" s="1" t="s">
        <v>4080</v>
      </c>
    </row>
    <row r="15137" spans="1:1" x14ac:dyDescent="0.2">
      <c r="A15137" s="1" t="s">
        <v>4080</v>
      </c>
    </row>
    <row r="15138" spans="1:1" x14ac:dyDescent="0.2">
      <c r="A15138" s="1" t="s">
        <v>4080</v>
      </c>
    </row>
    <row r="15139" spans="1:1" x14ac:dyDescent="0.2">
      <c r="A15139" s="1" t="s">
        <v>4081</v>
      </c>
    </row>
    <row r="15140" spans="1:1" x14ac:dyDescent="0.2">
      <c r="A15140" s="1" t="s">
        <v>4072</v>
      </c>
    </row>
    <row r="15141" spans="1:1" x14ac:dyDescent="0.2">
      <c r="A15141" s="1" t="s">
        <v>4072</v>
      </c>
    </row>
    <row r="15142" spans="1:1" x14ac:dyDescent="0.2">
      <c r="A15142" s="1" t="s">
        <v>4072</v>
      </c>
    </row>
    <row r="15143" spans="1:1" x14ac:dyDescent="0.2">
      <c r="A15143" s="1" t="s">
        <v>4073</v>
      </c>
    </row>
    <row r="15144" spans="1:1" x14ac:dyDescent="0.2">
      <c r="A15144" s="1" t="s">
        <v>4074</v>
      </c>
    </row>
    <row r="15145" spans="1:1" x14ac:dyDescent="0.2">
      <c r="A15145" s="1" t="s">
        <v>4075</v>
      </c>
    </row>
    <row r="15146" spans="1:1" x14ac:dyDescent="0.2">
      <c r="A15146" s="1" t="s">
        <v>4076</v>
      </c>
    </row>
    <row r="15147" spans="1:1" x14ac:dyDescent="0.2">
      <c r="A15147" s="1" t="s">
        <v>4077</v>
      </c>
    </row>
    <row r="15148" spans="1:1" x14ac:dyDescent="0.2">
      <c r="A15148" s="1" t="s">
        <v>4078</v>
      </c>
    </row>
    <row r="15149" spans="1:1" x14ac:dyDescent="0.2">
      <c r="A15149" s="1" t="s">
        <v>4079</v>
      </c>
    </row>
    <row r="15150" spans="1:1" x14ac:dyDescent="0.2">
      <c r="A15150" s="1" t="s">
        <v>4080</v>
      </c>
    </row>
    <row r="15151" spans="1:1" x14ac:dyDescent="0.2">
      <c r="A15151" s="1" t="s">
        <v>4080</v>
      </c>
    </row>
    <row r="15152" spans="1:1" x14ac:dyDescent="0.2">
      <c r="A15152" s="1" t="s">
        <v>4080</v>
      </c>
    </row>
    <row r="15153" spans="1:1" x14ac:dyDescent="0.2">
      <c r="A15153" s="1" t="s">
        <v>4080</v>
      </c>
    </row>
    <row r="15154" spans="1:1" x14ac:dyDescent="0.2">
      <c r="A15154" s="1" t="s">
        <v>4081</v>
      </c>
    </row>
    <row r="15155" spans="1:1" x14ac:dyDescent="0.2">
      <c r="A15155" s="1" t="s">
        <v>4072</v>
      </c>
    </row>
    <row r="15156" spans="1:1" x14ac:dyDescent="0.2">
      <c r="A15156" s="1" t="s">
        <v>4072</v>
      </c>
    </row>
    <row r="15157" spans="1:1" x14ac:dyDescent="0.2">
      <c r="A15157" s="1" t="s">
        <v>4072</v>
      </c>
    </row>
    <row r="15158" spans="1:1" x14ac:dyDescent="0.2">
      <c r="A15158" s="1" t="s">
        <v>4073</v>
      </c>
    </row>
    <row r="15159" spans="1:1" x14ac:dyDescent="0.2">
      <c r="A15159" s="1" t="s">
        <v>4074</v>
      </c>
    </row>
    <row r="15160" spans="1:1" x14ac:dyDescent="0.2">
      <c r="A15160" s="1" t="s">
        <v>4075</v>
      </c>
    </row>
    <row r="15161" spans="1:1" x14ac:dyDescent="0.2">
      <c r="A15161" s="1" t="s">
        <v>4076</v>
      </c>
    </row>
    <row r="15162" spans="1:1" x14ac:dyDescent="0.2">
      <c r="A15162" s="1" t="s">
        <v>4077</v>
      </c>
    </row>
    <row r="15163" spans="1:1" x14ac:dyDescent="0.2">
      <c r="A15163" s="1" t="s">
        <v>4078</v>
      </c>
    </row>
    <row r="15164" spans="1:1" x14ac:dyDescent="0.2">
      <c r="A15164" s="1" t="s">
        <v>4079</v>
      </c>
    </row>
    <row r="15165" spans="1:1" x14ac:dyDescent="0.2">
      <c r="A15165" s="1" t="s">
        <v>4080</v>
      </c>
    </row>
    <row r="15166" spans="1:1" x14ac:dyDescent="0.2">
      <c r="A15166" s="1" t="s">
        <v>4080</v>
      </c>
    </row>
    <row r="15167" spans="1:1" x14ac:dyDescent="0.2">
      <c r="A15167" s="1" t="s">
        <v>4080</v>
      </c>
    </row>
    <row r="15168" spans="1:1" x14ac:dyDescent="0.2">
      <c r="A15168" s="1" t="s">
        <v>4080</v>
      </c>
    </row>
    <row r="15169" spans="1:1" x14ac:dyDescent="0.2">
      <c r="A15169" s="1" t="s">
        <v>4081</v>
      </c>
    </row>
    <row r="15170" spans="1:1" x14ac:dyDescent="0.2">
      <c r="A15170" s="1" t="s">
        <v>4072</v>
      </c>
    </row>
    <row r="15171" spans="1:1" x14ac:dyDescent="0.2">
      <c r="A15171" s="1" t="s">
        <v>4072</v>
      </c>
    </row>
    <row r="15172" spans="1:1" x14ac:dyDescent="0.2">
      <c r="A15172" s="1" t="s">
        <v>4072</v>
      </c>
    </row>
    <row r="15173" spans="1:1" x14ac:dyDescent="0.2">
      <c r="A15173" s="1" t="s">
        <v>4073</v>
      </c>
    </row>
    <row r="15174" spans="1:1" x14ac:dyDescent="0.2">
      <c r="A15174" s="1" t="s">
        <v>4074</v>
      </c>
    </row>
    <row r="15175" spans="1:1" x14ac:dyDescent="0.2">
      <c r="A15175" s="1" t="s">
        <v>4075</v>
      </c>
    </row>
    <row r="15176" spans="1:1" x14ac:dyDescent="0.2">
      <c r="A15176" s="1" t="s">
        <v>4076</v>
      </c>
    </row>
    <row r="15177" spans="1:1" x14ac:dyDescent="0.2">
      <c r="A15177" s="1" t="s">
        <v>4077</v>
      </c>
    </row>
    <row r="15178" spans="1:1" x14ac:dyDescent="0.2">
      <c r="A15178" s="1" t="s">
        <v>4078</v>
      </c>
    </row>
    <row r="15179" spans="1:1" x14ac:dyDescent="0.2">
      <c r="A15179" s="1" t="s">
        <v>4079</v>
      </c>
    </row>
    <row r="15180" spans="1:1" x14ac:dyDescent="0.2">
      <c r="A15180" s="1" t="s">
        <v>4080</v>
      </c>
    </row>
    <row r="15181" spans="1:1" x14ac:dyDescent="0.2">
      <c r="A15181" s="1" t="s">
        <v>4080</v>
      </c>
    </row>
    <row r="15182" spans="1:1" x14ac:dyDescent="0.2">
      <c r="A15182" s="1" t="s">
        <v>4080</v>
      </c>
    </row>
    <row r="15183" spans="1:1" x14ac:dyDescent="0.2">
      <c r="A15183" s="1" t="s">
        <v>4080</v>
      </c>
    </row>
    <row r="15184" spans="1:1" x14ac:dyDescent="0.2">
      <c r="A15184" s="1" t="s">
        <v>4081</v>
      </c>
    </row>
    <row r="15185" spans="1:1" x14ac:dyDescent="0.2">
      <c r="A15185" s="1" t="s">
        <v>4072</v>
      </c>
    </row>
    <row r="15186" spans="1:1" x14ac:dyDescent="0.2">
      <c r="A15186" s="1" t="s">
        <v>4082</v>
      </c>
    </row>
    <row r="15187" spans="1:1" x14ac:dyDescent="0.2">
      <c r="A15187" s="1" t="s">
        <v>4083</v>
      </c>
    </row>
    <row r="15188" spans="1:1" x14ac:dyDescent="0.2">
      <c r="A15188" s="1" t="s">
        <v>4084</v>
      </c>
    </row>
    <row r="15189" spans="1:1" x14ac:dyDescent="0.2">
      <c r="A15189" s="1" t="s">
        <v>4085</v>
      </c>
    </row>
    <row r="15190" spans="1:1" x14ac:dyDescent="0.2">
      <c r="A15190" s="1" t="s">
        <v>4086</v>
      </c>
    </row>
    <row r="15191" spans="1:1" x14ac:dyDescent="0.2">
      <c r="A15191" s="1" t="s">
        <v>4087</v>
      </c>
    </row>
    <row r="15192" spans="1:1" x14ac:dyDescent="0.2">
      <c r="A15192" s="1" t="s">
        <v>4088</v>
      </c>
    </row>
    <row r="15193" spans="1:1" x14ac:dyDescent="0.2">
      <c r="A15193" s="1" t="s">
        <v>4089</v>
      </c>
    </row>
    <row r="15194" spans="1:1" x14ac:dyDescent="0.2">
      <c r="A15194" s="1" t="s">
        <v>4090</v>
      </c>
    </row>
    <row r="15195" spans="1:1" x14ac:dyDescent="0.2">
      <c r="A15195" s="1" t="s">
        <v>4091</v>
      </c>
    </row>
    <row r="15196" spans="1:1" x14ac:dyDescent="0.2">
      <c r="A15196" s="1" t="s">
        <v>4092</v>
      </c>
    </row>
    <row r="15197" spans="1:1" x14ac:dyDescent="0.2">
      <c r="A15197" s="1" t="s">
        <v>4093</v>
      </c>
    </row>
    <row r="15198" spans="1:1" x14ac:dyDescent="0.2">
      <c r="A15198" s="1" t="s">
        <v>4093</v>
      </c>
    </row>
    <row r="15199" spans="1:1" x14ac:dyDescent="0.2">
      <c r="A15199" s="1" t="s">
        <v>4094</v>
      </c>
    </row>
    <row r="15200" spans="1:1" x14ac:dyDescent="0.2">
      <c r="A15200" s="1" t="s">
        <v>4095</v>
      </c>
    </row>
    <row r="15201" spans="1:1" x14ac:dyDescent="0.2">
      <c r="A15201" s="1" t="s">
        <v>4096</v>
      </c>
    </row>
    <row r="15202" spans="1:1" x14ac:dyDescent="0.2">
      <c r="A15202" s="1" t="s">
        <v>4097</v>
      </c>
    </row>
    <row r="15203" spans="1:1" x14ac:dyDescent="0.2">
      <c r="A15203" s="1" t="s">
        <v>4098</v>
      </c>
    </row>
    <row r="15204" spans="1:1" x14ac:dyDescent="0.2">
      <c r="A15204" s="1" t="s">
        <v>4099</v>
      </c>
    </row>
    <row r="15205" spans="1:1" x14ac:dyDescent="0.2">
      <c r="A15205" s="1" t="s">
        <v>4100</v>
      </c>
    </row>
    <row r="15206" spans="1:1" x14ac:dyDescent="0.2">
      <c r="A15206" s="1" t="s">
        <v>4101</v>
      </c>
    </row>
    <row r="15207" spans="1:1" x14ac:dyDescent="0.2">
      <c r="A15207" s="1" t="s">
        <v>4101</v>
      </c>
    </row>
    <row r="15208" spans="1:1" x14ac:dyDescent="0.2">
      <c r="A15208" s="1" t="s">
        <v>4101</v>
      </c>
    </row>
    <row r="15209" spans="1:1" x14ac:dyDescent="0.2">
      <c r="A15209" s="1" t="s">
        <v>4101</v>
      </c>
    </row>
    <row r="15210" spans="1:1" x14ac:dyDescent="0.2">
      <c r="A15210" s="1" t="s">
        <v>4102</v>
      </c>
    </row>
    <row r="15211" spans="1:1" x14ac:dyDescent="0.2">
      <c r="A15211" s="1" t="s">
        <v>4093</v>
      </c>
    </row>
    <row r="15212" spans="1:1" x14ac:dyDescent="0.2">
      <c r="A15212" s="1" t="s">
        <v>4093</v>
      </c>
    </row>
    <row r="15213" spans="1:1" x14ac:dyDescent="0.2">
      <c r="A15213" s="1" t="s">
        <v>4093</v>
      </c>
    </row>
    <row r="15214" spans="1:1" x14ac:dyDescent="0.2">
      <c r="A15214" s="1" t="s">
        <v>4094</v>
      </c>
    </row>
    <row r="15215" spans="1:1" x14ac:dyDescent="0.2">
      <c r="A15215" s="1" t="s">
        <v>4095</v>
      </c>
    </row>
    <row r="15216" spans="1:1" x14ac:dyDescent="0.2">
      <c r="A15216" s="1" t="s">
        <v>4096</v>
      </c>
    </row>
    <row r="15217" spans="1:1" x14ac:dyDescent="0.2">
      <c r="A15217" s="1" t="s">
        <v>4097</v>
      </c>
    </row>
    <row r="15218" spans="1:1" x14ac:dyDescent="0.2">
      <c r="A15218" s="1" t="s">
        <v>4098</v>
      </c>
    </row>
    <row r="15219" spans="1:1" x14ac:dyDescent="0.2">
      <c r="A15219" s="1" t="s">
        <v>4099</v>
      </c>
    </row>
    <row r="15220" spans="1:1" x14ac:dyDescent="0.2">
      <c r="A15220" s="1" t="s">
        <v>4100</v>
      </c>
    </row>
    <row r="15221" spans="1:1" x14ac:dyDescent="0.2">
      <c r="A15221" s="1" t="s">
        <v>4101</v>
      </c>
    </row>
    <row r="15222" spans="1:1" x14ac:dyDescent="0.2">
      <c r="A15222" s="1" t="s">
        <v>4101</v>
      </c>
    </row>
    <row r="15223" spans="1:1" x14ac:dyDescent="0.2">
      <c r="A15223" s="1" t="s">
        <v>4101</v>
      </c>
    </row>
    <row r="15224" spans="1:1" x14ac:dyDescent="0.2">
      <c r="A15224" s="1" t="s">
        <v>4101</v>
      </c>
    </row>
    <row r="15225" spans="1:1" x14ac:dyDescent="0.2">
      <c r="A15225" s="1" t="s">
        <v>4102</v>
      </c>
    </row>
    <row r="15226" spans="1:1" x14ac:dyDescent="0.2">
      <c r="A15226" s="1" t="s">
        <v>4093</v>
      </c>
    </row>
    <row r="15227" spans="1:1" x14ac:dyDescent="0.2">
      <c r="A15227" s="1" t="s">
        <v>4093</v>
      </c>
    </row>
    <row r="15228" spans="1:1" x14ac:dyDescent="0.2">
      <c r="A15228" s="1" t="s">
        <v>4093</v>
      </c>
    </row>
    <row r="15229" spans="1:1" x14ac:dyDescent="0.2">
      <c r="A15229" s="1" t="s">
        <v>4094</v>
      </c>
    </row>
    <row r="15230" spans="1:1" x14ac:dyDescent="0.2">
      <c r="A15230" s="1" t="s">
        <v>4095</v>
      </c>
    </row>
    <row r="15231" spans="1:1" x14ac:dyDescent="0.2">
      <c r="A15231" s="1" t="s">
        <v>4096</v>
      </c>
    </row>
    <row r="15232" spans="1:1" x14ac:dyDescent="0.2">
      <c r="A15232" s="1" t="s">
        <v>4097</v>
      </c>
    </row>
    <row r="15233" spans="1:1" x14ac:dyDescent="0.2">
      <c r="A15233" s="1" t="s">
        <v>4098</v>
      </c>
    </row>
    <row r="15234" spans="1:1" x14ac:dyDescent="0.2">
      <c r="A15234" s="1" t="s">
        <v>4099</v>
      </c>
    </row>
    <row r="15235" spans="1:1" x14ac:dyDescent="0.2">
      <c r="A15235" s="1" t="s">
        <v>4100</v>
      </c>
    </row>
    <row r="15236" spans="1:1" x14ac:dyDescent="0.2">
      <c r="A15236" s="1" t="s">
        <v>4101</v>
      </c>
    </row>
    <row r="15237" spans="1:1" x14ac:dyDescent="0.2">
      <c r="A15237" s="1" t="s">
        <v>4101</v>
      </c>
    </row>
    <row r="15238" spans="1:1" x14ac:dyDescent="0.2">
      <c r="A15238" s="1" t="s">
        <v>4101</v>
      </c>
    </row>
    <row r="15239" spans="1:1" x14ac:dyDescent="0.2">
      <c r="A15239" s="1" t="s">
        <v>4101</v>
      </c>
    </row>
    <row r="15240" spans="1:1" x14ac:dyDescent="0.2">
      <c r="A15240" s="1" t="s">
        <v>4102</v>
      </c>
    </row>
    <row r="15241" spans="1:1" x14ac:dyDescent="0.2">
      <c r="A15241" s="1" t="s">
        <v>4093</v>
      </c>
    </row>
    <row r="15242" spans="1:1" x14ac:dyDescent="0.2">
      <c r="A15242" s="1" t="s">
        <v>4093</v>
      </c>
    </row>
    <row r="15243" spans="1:1" x14ac:dyDescent="0.2">
      <c r="A15243" s="1" t="s">
        <v>4093</v>
      </c>
    </row>
    <row r="15244" spans="1:1" x14ac:dyDescent="0.2">
      <c r="A15244" s="1" t="s">
        <v>4094</v>
      </c>
    </row>
    <row r="15245" spans="1:1" x14ac:dyDescent="0.2">
      <c r="A15245" s="1" t="s">
        <v>4095</v>
      </c>
    </row>
    <row r="15246" spans="1:1" x14ac:dyDescent="0.2">
      <c r="A15246" s="1" t="s">
        <v>4096</v>
      </c>
    </row>
    <row r="15247" spans="1:1" x14ac:dyDescent="0.2">
      <c r="A15247" s="1" t="s">
        <v>4097</v>
      </c>
    </row>
    <row r="15248" spans="1:1" x14ac:dyDescent="0.2">
      <c r="A15248" s="1" t="s">
        <v>4098</v>
      </c>
    </row>
    <row r="15249" spans="1:1" x14ac:dyDescent="0.2">
      <c r="A15249" s="1" t="s">
        <v>4099</v>
      </c>
    </row>
    <row r="15250" spans="1:1" x14ac:dyDescent="0.2">
      <c r="A15250" s="1" t="s">
        <v>4100</v>
      </c>
    </row>
    <row r="15251" spans="1:1" x14ac:dyDescent="0.2">
      <c r="A15251" s="1" t="s">
        <v>4101</v>
      </c>
    </row>
    <row r="15252" spans="1:1" x14ac:dyDescent="0.2">
      <c r="A15252" s="1" t="s">
        <v>4101</v>
      </c>
    </row>
    <row r="15253" spans="1:1" x14ac:dyDescent="0.2">
      <c r="A15253" s="1" t="s">
        <v>4101</v>
      </c>
    </row>
    <row r="15254" spans="1:1" x14ac:dyDescent="0.2">
      <c r="A15254" s="1" t="s">
        <v>4101</v>
      </c>
    </row>
    <row r="15255" spans="1:1" x14ac:dyDescent="0.2">
      <c r="A15255" s="1" t="s">
        <v>4102</v>
      </c>
    </row>
    <row r="15256" spans="1:1" x14ac:dyDescent="0.2">
      <c r="A15256" s="1" t="s">
        <v>4093</v>
      </c>
    </row>
    <row r="15257" spans="1:1" x14ac:dyDescent="0.2">
      <c r="A15257" s="1" t="s">
        <v>4093</v>
      </c>
    </row>
    <row r="15258" spans="1:1" x14ac:dyDescent="0.2">
      <c r="A15258" s="1" t="s">
        <v>4093</v>
      </c>
    </row>
    <row r="15259" spans="1:1" x14ac:dyDescent="0.2">
      <c r="A15259" s="1" t="s">
        <v>4094</v>
      </c>
    </row>
    <row r="15260" spans="1:1" x14ac:dyDescent="0.2">
      <c r="A15260" s="1" t="s">
        <v>4095</v>
      </c>
    </row>
    <row r="15261" spans="1:1" x14ac:dyDescent="0.2">
      <c r="A15261" s="1" t="s">
        <v>4096</v>
      </c>
    </row>
    <row r="15262" spans="1:1" x14ac:dyDescent="0.2">
      <c r="A15262" s="1" t="s">
        <v>4097</v>
      </c>
    </row>
    <row r="15263" spans="1:1" x14ac:dyDescent="0.2">
      <c r="A15263" s="1" t="s">
        <v>4098</v>
      </c>
    </row>
    <row r="15264" spans="1:1" x14ac:dyDescent="0.2">
      <c r="A15264" s="1" t="s">
        <v>4099</v>
      </c>
    </row>
    <row r="15265" spans="1:1" x14ac:dyDescent="0.2">
      <c r="A15265" s="1" t="s">
        <v>4100</v>
      </c>
    </row>
    <row r="15266" spans="1:1" x14ac:dyDescent="0.2">
      <c r="A15266" s="1" t="s">
        <v>4101</v>
      </c>
    </row>
    <row r="15267" spans="1:1" x14ac:dyDescent="0.2">
      <c r="A15267" s="1" t="s">
        <v>4101</v>
      </c>
    </row>
    <row r="15268" spans="1:1" x14ac:dyDescent="0.2">
      <c r="A15268" s="1" t="s">
        <v>4101</v>
      </c>
    </row>
    <row r="15269" spans="1:1" x14ac:dyDescent="0.2">
      <c r="A15269" s="1" t="s">
        <v>4101</v>
      </c>
    </row>
    <row r="15270" spans="1:1" x14ac:dyDescent="0.2">
      <c r="A15270" s="1" t="s">
        <v>4102</v>
      </c>
    </row>
    <row r="15271" spans="1:1" x14ac:dyDescent="0.2">
      <c r="A15271" s="1" t="s">
        <v>4093</v>
      </c>
    </row>
    <row r="15272" spans="1:1" x14ac:dyDescent="0.2">
      <c r="A15272" s="1" t="s">
        <v>4103</v>
      </c>
    </row>
    <row r="15273" spans="1:1" x14ac:dyDescent="0.2">
      <c r="A15273" s="1" t="s">
        <v>4104</v>
      </c>
    </row>
    <row r="15274" spans="1:1" x14ac:dyDescent="0.2">
      <c r="A15274" s="1" t="s">
        <v>4093</v>
      </c>
    </row>
    <row r="15275" spans="1:1" x14ac:dyDescent="0.2">
      <c r="A15275" s="1" t="s">
        <v>4105</v>
      </c>
    </row>
    <row r="15276" spans="1:1" x14ac:dyDescent="0.2">
      <c r="A15276" s="1" t="s">
        <v>4106</v>
      </c>
    </row>
    <row r="15277" spans="1:1" x14ac:dyDescent="0.2">
      <c r="A15277" s="1" t="s">
        <v>4107</v>
      </c>
    </row>
    <row r="15278" spans="1:1" x14ac:dyDescent="0.2">
      <c r="A15278" s="1" t="s">
        <v>4108</v>
      </c>
    </row>
    <row r="15279" spans="1:1" x14ac:dyDescent="0.2">
      <c r="A15279" s="1" t="s">
        <v>4109</v>
      </c>
    </row>
    <row r="15280" spans="1:1" x14ac:dyDescent="0.2">
      <c r="A15280" s="1" t="s">
        <v>4110</v>
      </c>
    </row>
    <row r="15281" spans="1:1" x14ac:dyDescent="0.2">
      <c r="A15281" s="1" t="s">
        <v>4111</v>
      </c>
    </row>
    <row r="15282" spans="1:1" x14ac:dyDescent="0.2">
      <c r="A15282" s="1" t="s">
        <v>4112</v>
      </c>
    </row>
    <row r="15283" spans="1:1" x14ac:dyDescent="0.2">
      <c r="A15283" s="1" t="s">
        <v>4103</v>
      </c>
    </row>
    <row r="15284" spans="1:1" x14ac:dyDescent="0.2">
      <c r="A15284" s="1" t="s">
        <v>4113</v>
      </c>
    </row>
    <row r="15285" spans="1:1" x14ac:dyDescent="0.2">
      <c r="A15285" s="1" t="s">
        <v>4093</v>
      </c>
    </row>
    <row r="15286" spans="1:1" x14ac:dyDescent="0.2">
      <c r="A15286" s="1" t="s">
        <v>4105</v>
      </c>
    </row>
    <row r="15287" spans="1:1" x14ac:dyDescent="0.2">
      <c r="A15287" s="1" t="s">
        <v>4106</v>
      </c>
    </row>
    <row r="15288" spans="1:1" x14ac:dyDescent="0.2">
      <c r="A15288" s="1" t="s">
        <v>4114</v>
      </c>
    </row>
    <row r="15289" spans="1:1" x14ac:dyDescent="0.2">
      <c r="A15289" s="1" t="s">
        <v>4108</v>
      </c>
    </row>
    <row r="15290" spans="1:1" x14ac:dyDescent="0.2">
      <c r="A15290" s="1" t="s">
        <v>4109</v>
      </c>
    </row>
    <row r="15291" spans="1:1" x14ac:dyDescent="0.2">
      <c r="A15291" s="1" t="s">
        <v>4110</v>
      </c>
    </row>
    <row r="15292" spans="1:1" x14ac:dyDescent="0.2">
      <c r="A15292" s="1" t="s">
        <v>4111</v>
      </c>
    </row>
    <row r="15293" spans="1:1" x14ac:dyDescent="0.2">
      <c r="A15293" s="1" t="s">
        <v>4112</v>
      </c>
    </row>
    <row r="15294" spans="1:1" x14ac:dyDescent="0.2">
      <c r="A15294" s="1" t="s">
        <v>4103</v>
      </c>
    </row>
    <row r="15295" spans="1:1" x14ac:dyDescent="0.2">
      <c r="A15295" s="1" t="s">
        <v>4115</v>
      </c>
    </row>
    <row r="15296" spans="1:1" x14ac:dyDescent="0.2">
      <c r="A15296" s="1" t="s">
        <v>4093</v>
      </c>
    </row>
    <row r="15297" spans="1:1" x14ac:dyDescent="0.2">
      <c r="A15297" s="1" t="s">
        <v>4105</v>
      </c>
    </row>
    <row r="15298" spans="1:1" x14ac:dyDescent="0.2">
      <c r="A15298" s="1" t="s">
        <v>4106</v>
      </c>
    </row>
    <row r="15299" spans="1:1" x14ac:dyDescent="0.2">
      <c r="A15299" s="1" t="s">
        <v>4116</v>
      </c>
    </row>
    <row r="15300" spans="1:1" x14ac:dyDescent="0.2">
      <c r="A15300" s="1" t="s">
        <v>4108</v>
      </c>
    </row>
    <row r="15301" spans="1:1" x14ac:dyDescent="0.2">
      <c r="A15301" s="1" t="s">
        <v>4109</v>
      </c>
    </row>
    <row r="15302" spans="1:1" x14ac:dyDescent="0.2">
      <c r="A15302" s="1" t="s">
        <v>4110</v>
      </c>
    </row>
    <row r="15303" spans="1:1" x14ac:dyDescent="0.2">
      <c r="A15303" s="1" t="s">
        <v>4111</v>
      </c>
    </row>
    <row r="15304" spans="1:1" x14ac:dyDescent="0.2">
      <c r="A15304" s="1" t="s">
        <v>4112</v>
      </c>
    </row>
    <row r="15305" spans="1:1" x14ac:dyDescent="0.2">
      <c r="A15305" s="1" t="s">
        <v>4117</v>
      </c>
    </row>
    <row r="15306" spans="1:1" x14ac:dyDescent="0.2">
      <c r="A15306" s="1" t="s">
        <v>4118</v>
      </c>
    </row>
    <row r="15307" spans="1:1" x14ac:dyDescent="0.2">
      <c r="A15307" s="1" t="s">
        <v>4119</v>
      </c>
    </row>
    <row r="15308" spans="1:1" x14ac:dyDescent="0.2">
      <c r="A15308" s="1" t="s">
        <v>4120</v>
      </c>
    </row>
    <row r="15309" spans="1:1" x14ac:dyDescent="0.2">
      <c r="A15309" s="1" t="s">
        <v>4121</v>
      </c>
    </row>
    <row r="15310" spans="1:1" x14ac:dyDescent="0.2">
      <c r="A15310" s="1" t="s">
        <v>4122</v>
      </c>
    </row>
    <row r="15311" spans="1:1" x14ac:dyDescent="0.2">
      <c r="A15311" s="1" t="s">
        <v>4123</v>
      </c>
    </row>
    <row r="15312" spans="1:1" x14ac:dyDescent="0.2">
      <c r="A15312" s="1" t="s">
        <v>4124</v>
      </c>
    </row>
    <row r="15313" spans="1:1" x14ac:dyDescent="0.2">
      <c r="A15313" s="1" t="s">
        <v>4125</v>
      </c>
    </row>
    <row r="15314" spans="1:1" x14ac:dyDescent="0.2">
      <c r="A15314" s="1" t="s">
        <v>4126</v>
      </c>
    </row>
    <row r="15315" spans="1:1" x14ac:dyDescent="0.2">
      <c r="A15315" s="1" t="s">
        <v>4127</v>
      </c>
    </row>
    <row r="15316" spans="1:1" x14ac:dyDescent="0.2">
      <c r="A15316" s="1" t="s">
        <v>4117</v>
      </c>
    </row>
    <row r="15317" spans="1:1" x14ac:dyDescent="0.2">
      <c r="A15317" s="1" t="s">
        <v>4128</v>
      </c>
    </row>
    <row r="15318" spans="1:1" x14ac:dyDescent="0.2">
      <c r="A15318" s="1" t="s">
        <v>4119</v>
      </c>
    </row>
    <row r="15319" spans="1:1" x14ac:dyDescent="0.2">
      <c r="A15319" s="1" t="s">
        <v>4120</v>
      </c>
    </row>
    <row r="15320" spans="1:1" x14ac:dyDescent="0.2">
      <c r="A15320" s="1" t="s">
        <v>4121</v>
      </c>
    </row>
    <row r="15321" spans="1:1" x14ac:dyDescent="0.2">
      <c r="A15321" s="1" t="s">
        <v>4129</v>
      </c>
    </row>
    <row r="15322" spans="1:1" x14ac:dyDescent="0.2">
      <c r="A15322" s="1" t="s">
        <v>4123</v>
      </c>
    </row>
    <row r="15323" spans="1:1" x14ac:dyDescent="0.2">
      <c r="A15323" s="1" t="s">
        <v>4124</v>
      </c>
    </row>
    <row r="15324" spans="1:1" x14ac:dyDescent="0.2">
      <c r="A15324" s="1" t="s">
        <v>4125</v>
      </c>
    </row>
    <row r="15325" spans="1:1" x14ac:dyDescent="0.2">
      <c r="A15325" s="1" t="s">
        <v>4126</v>
      </c>
    </row>
    <row r="15326" spans="1:1" x14ac:dyDescent="0.2">
      <c r="A15326" s="1" t="s">
        <v>4127</v>
      </c>
    </row>
    <row r="15327" spans="1:1" x14ac:dyDescent="0.2">
      <c r="A15327" s="1" t="s">
        <v>4130</v>
      </c>
    </row>
    <row r="15328" spans="1:1" x14ac:dyDescent="0.2">
      <c r="A15328" s="1" t="s">
        <v>4130</v>
      </c>
    </row>
    <row r="15329" spans="1:1" x14ac:dyDescent="0.2">
      <c r="A15329" s="1" t="s">
        <v>4131</v>
      </c>
    </row>
    <row r="15330" spans="1:1" x14ac:dyDescent="0.2">
      <c r="A15330" s="1" t="s">
        <v>4132</v>
      </c>
    </row>
    <row r="15331" spans="1:1" x14ac:dyDescent="0.2">
      <c r="A15331" s="1" t="s">
        <v>4133</v>
      </c>
    </row>
    <row r="15332" spans="1:1" x14ac:dyDescent="0.2">
      <c r="A15332" s="1" t="s">
        <v>4134</v>
      </c>
    </row>
    <row r="15333" spans="1:1" x14ac:dyDescent="0.2">
      <c r="A15333" s="1" t="s">
        <v>4135</v>
      </c>
    </row>
    <row r="15334" spans="1:1" x14ac:dyDescent="0.2">
      <c r="A15334" s="1" t="s">
        <v>4136</v>
      </c>
    </row>
    <row r="15335" spans="1:1" x14ac:dyDescent="0.2">
      <c r="A15335" s="1" t="s">
        <v>4137</v>
      </c>
    </row>
    <row r="15336" spans="1:1" x14ac:dyDescent="0.2">
      <c r="A15336" s="1" t="s">
        <v>4138</v>
      </c>
    </row>
    <row r="15337" spans="1:1" x14ac:dyDescent="0.2">
      <c r="A15337" s="1" t="s">
        <v>4138</v>
      </c>
    </row>
    <row r="15338" spans="1:1" x14ac:dyDescent="0.2">
      <c r="A15338" s="1" t="s">
        <v>4138</v>
      </c>
    </row>
    <row r="15339" spans="1:1" x14ac:dyDescent="0.2">
      <c r="A15339" s="1" t="s">
        <v>4138</v>
      </c>
    </row>
    <row r="15340" spans="1:1" x14ac:dyDescent="0.2">
      <c r="A15340" s="1" t="s">
        <v>4139</v>
      </c>
    </row>
    <row r="15341" spans="1:1" x14ac:dyDescent="0.2">
      <c r="A15341" s="1" t="s">
        <v>4130</v>
      </c>
    </row>
    <row r="15342" spans="1:1" x14ac:dyDescent="0.2">
      <c r="A15342" s="1" t="s">
        <v>4130</v>
      </c>
    </row>
    <row r="15343" spans="1:1" x14ac:dyDescent="0.2">
      <c r="A15343" s="1" t="s">
        <v>4130</v>
      </c>
    </row>
    <row r="15344" spans="1:1" x14ac:dyDescent="0.2">
      <c r="A15344" s="1" t="s">
        <v>4131</v>
      </c>
    </row>
    <row r="15345" spans="1:1" x14ac:dyDescent="0.2">
      <c r="A15345" s="1" t="s">
        <v>4132</v>
      </c>
    </row>
    <row r="15346" spans="1:1" x14ac:dyDescent="0.2">
      <c r="A15346" s="1" t="s">
        <v>4133</v>
      </c>
    </row>
    <row r="15347" spans="1:1" x14ac:dyDescent="0.2">
      <c r="A15347" s="1" t="s">
        <v>4134</v>
      </c>
    </row>
    <row r="15348" spans="1:1" x14ac:dyDescent="0.2">
      <c r="A15348" s="1" t="s">
        <v>4135</v>
      </c>
    </row>
    <row r="15349" spans="1:1" x14ac:dyDescent="0.2">
      <c r="A15349" s="1" t="s">
        <v>4136</v>
      </c>
    </row>
    <row r="15350" spans="1:1" x14ac:dyDescent="0.2">
      <c r="A15350" s="1" t="s">
        <v>4137</v>
      </c>
    </row>
    <row r="15351" spans="1:1" x14ac:dyDescent="0.2">
      <c r="A15351" s="1" t="s">
        <v>4138</v>
      </c>
    </row>
    <row r="15352" spans="1:1" x14ac:dyDescent="0.2">
      <c r="A15352" s="1" t="s">
        <v>4138</v>
      </c>
    </row>
    <row r="15353" spans="1:1" x14ac:dyDescent="0.2">
      <c r="A15353" s="1" t="s">
        <v>4138</v>
      </c>
    </row>
    <row r="15354" spans="1:1" x14ac:dyDescent="0.2">
      <c r="A15354" s="1" t="s">
        <v>4138</v>
      </c>
    </row>
    <row r="15355" spans="1:1" x14ac:dyDescent="0.2">
      <c r="A15355" s="1" t="s">
        <v>4139</v>
      </c>
    </row>
    <row r="15356" spans="1:1" x14ac:dyDescent="0.2">
      <c r="A15356" s="1" t="s">
        <v>4130</v>
      </c>
    </row>
    <row r="15357" spans="1:1" x14ac:dyDescent="0.2">
      <c r="A15357" s="1" t="s">
        <v>4130</v>
      </c>
    </row>
    <row r="15358" spans="1:1" x14ac:dyDescent="0.2">
      <c r="A15358" s="1" t="s">
        <v>4130</v>
      </c>
    </row>
    <row r="15359" spans="1:1" x14ac:dyDescent="0.2">
      <c r="A15359" s="1" t="s">
        <v>4131</v>
      </c>
    </row>
    <row r="15360" spans="1:1" x14ac:dyDescent="0.2">
      <c r="A15360" s="1" t="s">
        <v>4132</v>
      </c>
    </row>
    <row r="15361" spans="1:1" x14ac:dyDescent="0.2">
      <c r="A15361" s="1" t="s">
        <v>4133</v>
      </c>
    </row>
    <row r="15362" spans="1:1" x14ac:dyDescent="0.2">
      <c r="A15362" s="1" t="s">
        <v>4134</v>
      </c>
    </row>
    <row r="15363" spans="1:1" x14ac:dyDescent="0.2">
      <c r="A15363" s="1" t="s">
        <v>4135</v>
      </c>
    </row>
    <row r="15364" spans="1:1" x14ac:dyDescent="0.2">
      <c r="A15364" s="1" t="s">
        <v>4136</v>
      </c>
    </row>
    <row r="15365" spans="1:1" x14ac:dyDescent="0.2">
      <c r="A15365" s="1" t="s">
        <v>4137</v>
      </c>
    </row>
    <row r="15366" spans="1:1" x14ac:dyDescent="0.2">
      <c r="A15366" s="1" t="s">
        <v>4138</v>
      </c>
    </row>
    <row r="15367" spans="1:1" x14ac:dyDescent="0.2">
      <c r="A15367" s="1" t="s">
        <v>4138</v>
      </c>
    </row>
    <row r="15368" spans="1:1" x14ac:dyDescent="0.2">
      <c r="A15368" s="1" t="s">
        <v>4138</v>
      </c>
    </row>
    <row r="15369" spans="1:1" x14ac:dyDescent="0.2">
      <c r="A15369" s="1" t="s">
        <v>4138</v>
      </c>
    </row>
    <row r="15370" spans="1:1" x14ac:dyDescent="0.2">
      <c r="A15370" s="1" t="s">
        <v>4139</v>
      </c>
    </row>
    <row r="15371" spans="1:1" x14ac:dyDescent="0.2">
      <c r="A15371" s="1" t="s">
        <v>4130</v>
      </c>
    </row>
    <row r="15372" spans="1:1" x14ac:dyDescent="0.2">
      <c r="A15372" s="1" t="s">
        <v>4130</v>
      </c>
    </row>
    <row r="15373" spans="1:1" x14ac:dyDescent="0.2">
      <c r="A15373" s="1" t="s">
        <v>4130</v>
      </c>
    </row>
    <row r="15374" spans="1:1" x14ac:dyDescent="0.2">
      <c r="A15374" s="1" t="s">
        <v>4131</v>
      </c>
    </row>
    <row r="15375" spans="1:1" x14ac:dyDescent="0.2">
      <c r="A15375" s="1" t="s">
        <v>4132</v>
      </c>
    </row>
    <row r="15376" spans="1:1" x14ac:dyDescent="0.2">
      <c r="A15376" s="1" t="s">
        <v>4133</v>
      </c>
    </row>
    <row r="15377" spans="1:1" x14ac:dyDescent="0.2">
      <c r="A15377" s="1" t="s">
        <v>4134</v>
      </c>
    </row>
    <row r="15378" spans="1:1" x14ac:dyDescent="0.2">
      <c r="A15378" s="1" t="s">
        <v>4135</v>
      </c>
    </row>
    <row r="15379" spans="1:1" x14ac:dyDescent="0.2">
      <c r="A15379" s="1" t="s">
        <v>4136</v>
      </c>
    </row>
    <row r="15380" spans="1:1" x14ac:dyDescent="0.2">
      <c r="A15380" s="1" t="s">
        <v>4137</v>
      </c>
    </row>
    <row r="15381" spans="1:1" x14ac:dyDescent="0.2">
      <c r="A15381" s="1" t="s">
        <v>4138</v>
      </c>
    </row>
    <row r="15382" spans="1:1" x14ac:dyDescent="0.2">
      <c r="A15382" s="1" t="s">
        <v>4138</v>
      </c>
    </row>
    <row r="15383" spans="1:1" x14ac:dyDescent="0.2">
      <c r="A15383" s="1" t="s">
        <v>4138</v>
      </c>
    </row>
    <row r="15384" spans="1:1" x14ac:dyDescent="0.2">
      <c r="A15384" s="1" t="s">
        <v>4138</v>
      </c>
    </row>
    <row r="15385" spans="1:1" x14ac:dyDescent="0.2">
      <c r="A15385" s="1" t="s">
        <v>4139</v>
      </c>
    </row>
    <row r="15386" spans="1:1" x14ac:dyDescent="0.2">
      <c r="A15386" s="1" t="s">
        <v>4130</v>
      </c>
    </row>
    <row r="15387" spans="1:1" x14ac:dyDescent="0.2">
      <c r="A15387" s="1" t="s">
        <v>4130</v>
      </c>
    </row>
    <row r="15388" spans="1:1" x14ac:dyDescent="0.2">
      <c r="A15388" s="1" t="s">
        <v>4130</v>
      </c>
    </row>
    <row r="15389" spans="1:1" x14ac:dyDescent="0.2">
      <c r="A15389" s="1" t="s">
        <v>4131</v>
      </c>
    </row>
    <row r="15390" spans="1:1" x14ac:dyDescent="0.2">
      <c r="A15390" s="1" t="s">
        <v>4132</v>
      </c>
    </row>
    <row r="15391" spans="1:1" x14ac:dyDescent="0.2">
      <c r="A15391" s="1" t="s">
        <v>4133</v>
      </c>
    </row>
    <row r="15392" spans="1:1" x14ac:dyDescent="0.2">
      <c r="A15392" s="1" t="s">
        <v>4134</v>
      </c>
    </row>
    <row r="15393" spans="1:1" x14ac:dyDescent="0.2">
      <c r="A15393" s="1" t="s">
        <v>4135</v>
      </c>
    </row>
    <row r="15394" spans="1:1" x14ac:dyDescent="0.2">
      <c r="A15394" s="1" t="s">
        <v>4136</v>
      </c>
    </row>
    <row r="15395" spans="1:1" x14ac:dyDescent="0.2">
      <c r="A15395" s="1" t="s">
        <v>4137</v>
      </c>
    </row>
    <row r="15396" spans="1:1" x14ac:dyDescent="0.2">
      <c r="A15396" s="1" t="s">
        <v>4138</v>
      </c>
    </row>
    <row r="15397" spans="1:1" x14ac:dyDescent="0.2">
      <c r="A15397" s="1" t="s">
        <v>4138</v>
      </c>
    </row>
    <row r="15398" spans="1:1" x14ac:dyDescent="0.2">
      <c r="A15398" s="1" t="s">
        <v>4138</v>
      </c>
    </row>
    <row r="15399" spans="1:1" x14ac:dyDescent="0.2">
      <c r="A15399" s="1" t="s">
        <v>4138</v>
      </c>
    </row>
    <row r="15400" spans="1:1" x14ac:dyDescent="0.2">
      <c r="A15400" s="1" t="s">
        <v>4139</v>
      </c>
    </row>
    <row r="15401" spans="1:1" x14ac:dyDescent="0.2">
      <c r="A15401" s="1" t="s">
        <v>4130</v>
      </c>
    </row>
    <row r="15402" spans="1:1" x14ac:dyDescent="0.2">
      <c r="A15402" s="1" t="s">
        <v>4140</v>
      </c>
    </row>
    <row r="15403" spans="1:1" x14ac:dyDescent="0.2">
      <c r="A15403" s="1" t="s">
        <v>4140</v>
      </c>
    </row>
    <row r="15404" spans="1:1" x14ac:dyDescent="0.2">
      <c r="A15404" s="1" t="s">
        <v>4141</v>
      </c>
    </row>
    <row r="15405" spans="1:1" x14ac:dyDescent="0.2">
      <c r="A15405" s="1" t="s">
        <v>4142</v>
      </c>
    </row>
    <row r="15406" spans="1:1" x14ac:dyDescent="0.2">
      <c r="A15406" s="1" t="s">
        <v>4143</v>
      </c>
    </row>
    <row r="15407" spans="1:1" x14ac:dyDescent="0.2">
      <c r="A15407" s="1" t="s">
        <v>4144</v>
      </c>
    </row>
    <row r="15408" spans="1:1" x14ac:dyDescent="0.2">
      <c r="A15408" s="1" t="s">
        <v>4145</v>
      </c>
    </row>
    <row r="15409" spans="1:1" x14ac:dyDescent="0.2">
      <c r="A15409" s="1" t="s">
        <v>4146</v>
      </c>
    </row>
    <row r="15410" spans="1:1" x14ac:dyDescent="0.2">
      <c r="A15410" s="1" t="s">
        <v>4147</v>
      </c>
    </row>
    <row r="15411" spans="1:1" x14ac:dyDescent="0.2">
      <c r="A15411" s="1" t="s">
        <v>4148</v>
      </c>
    </row>
    <row r="15412" spans="1:1" x14ac:dyDescent="0.2">
      <c r="A15412" s="1" t="s">
        <v>4148</v>
      </c>
    </row>
    <row r="15413" spans="1:1" x14ac:dyDescent="0.2">
      <c r="A15413" s="1" t="s">
        <v>4148</v>
      </c>
    </row>
    <row r="15414" spans="1:1" x14ac:dyDescent="0.2">
      <c r="A15414" s="1" t="s">
        <v>4148</v>
      </c>
    </row>
    <row r="15415" spans="1:1" x14ac:dyDescent="0.2">
      <c r="A15415" s="1" t="s">
        <v>4149</v>
      </c>
    </row>
    <row r="15416" spans="1:1" x14ac:dyDescent="0.2">
      <c r="A15416" s="1" t="s">
        <v>4140</v>
      </c>
    </row>
    <row r="15417" spans="1:1" x14ac:dyDescent="0.2">
      <c r="A15417" s="1" t="s">
        <v>4140</v>
      </c>
    </row>
    <row r="15418" spans="1:1" x14ac:dyDescent="0.2">
      <c r="A15418" s="1" t="s">
        <v>4140</v>
      </c>
    </row>
    <row r="15419" spans="1:1" x14ac:dyDescent="0.2">
      <c r="A15419" s="1" t="s">
        <v>4141</v>
      </c>
    </row>
    <row r="15420" spans="1:1" x14ac:dyDescent="0.2">
      <c r="A15420" s="1" t="s">
        <v>4142</v>
      </c>
    </row>
    <row r="15421" spans="1:1" x14ac:dyDescent="0.2">
      <c r="A15421" s="1" t="s">
        <v>4143</v>
      </c>
    </row>
    <row r="15422" spans="1:1" x14ac:dyDescent="0.2">
      <c r="A15422" s="1" t="s">
        <v>4144</v>
      </c>
    </row>
    <row r="15423" spans="1:1" x14ac:dyDescent="0.2">
      <c r="A15423" s="1" t="s">
        <v>4145</v>
      </c>
    </row>
    <row r="15424" spans="1:1" x14ac:dyDescent="0.2">
      <c r="A15424" s="1" t="s">
        <v>4146</v>
      </c>
    </row>
    <row r="15425" spans="1:1" x14ac:dyDescent="0.2">
      <c r="A15425" s="1" t="s">
        <v>4147</v>
      </c>
    </row>
    <row r="15426" spans="1:1" x14ac:dyDescent="0.2">
      <c r="A15426" s="1" t="s">
        <v>4148</v>
      </c>
    </row>
    <row r="15427" spans="1:1" x14ac:dyDescent="0.2">
      <c r="A15427" s="1" t="s">
        <v>4148</v>
      </c>
    </row>
    <row r="15428" spans="1:1" x14ac:dyDescent="0.2">
      <c r="A15428" s="1" t="s">
        <v>4148</v>
      </c>
    </row>
    <row r="15429" spans="1:1" x14ac:dyDescent="0.2">
      <c r="A15429" s="1" t="s">
        <v>4148</v>
      </c>
    </row>
    <row r="15430" spans="1:1" x14ac:dyDescent="0.2">
      <c r="A15430" s="1" t="s">
        <v>4149</v>
      </c>
    </row>
    <row r="15431" spans="1:1" x14ac:dyDescent="0.2">
      <c r="A15431" s="1" t="s">
        <v>4140</v>
      </c>
    </row>
    <row r="15432" spans="1:1" x14ac:dyDescent="0.2">
      <c r="A15432" s="1" t="s">
        <v>4140</v>
      </c>
    </row>
    <row r="15433" spans="1:1" x14ac:dyDescent="0.2">
      <c r="A15433" s="1" t="s">
        <v>4140</v>
      </c>
    </row>
    <row r="15434" spans="1:1" x14ac:dyDescent="0.2">
      <c r="A15434" s="1" t="s">
        <v>4141</v>
      </c>
    </row>
    <row r="15435" spans="1:1" x14ac:dyDescent="0.2">
      <c r="A15435" s="1" t="s">
        <v>4142</v>
      </c>
    </row>
    <row r="15436" spans="1:1" x14ac:dyDescent="0.2">
      <c r="A15436" s="1" t="s">
        <v>4143</v>
      </c>
    </row>
    <row r="15437" spans="1:1" x14ac:dyDescent="0.2">
      <c r="A15437" s="1" t="s">
        <v>4144</v>
      </c>
    </row>
    <row r="15438" spans="1:1" x14ac:dyDescent="0.2">
      <c r="A15438" s="1" t="s">
        <v>4145</v>
      </c>
    </row>
    <row r="15439" spans="1:1" x14ac:dyDescent="0.2">
      <c r="A15439" s="1" t="s">
        <v>4146</v>
      </c>
    </row>
    <row r="15440" spans="1:1" x14ac:dyDescent="0.2">
      <c r="A15440" s="1" t="s">
        <v>4147</v>
      </c>
    </row>
    <row r="15441" spans="1:1" x14ac:dyDescent="0.2">
      <c r="A15441" s="1" t="s">
        <v>4148</v>
      </c>
    </row>
    <row r="15442" spans="1:1" x14ac:dyDescent="0.2">
      <c r="A15442" s="1" t="s">
        <v>4148</v>
      </c>
    </row>
    <row r="15443" spans="1:1" x14ac:dyDescent="0.2">
      <c r="A15443" s="1" t="s">
        <v>4148</v>
      </c>
    </row>
    <row r="15444" spans="1:1" x14ac:dyDescent="0.2">
      <c r="A15444" s="1" t="s">
        <v>4148</v>
      </c>
    </row>
    <row r="15445" spans="1:1" x14ac:dyDescent="0.2">
      <c r="A15445" s="1" t="s">
        <v>4149</v>
      </c>
    </row>
    <row r="15446" spans="1:1" x14ac:dyDescent="0.2">
      <c r="A15446" s="1" t="s">
        <v>4140</v>
      </c>
    </row>
    <row r="15447" spans="1:1" x14ac:dyDescent="0.2">
      <c r="A15447" s="1" t="s">
        <v>4140</v>
      </c>
    </row>
    <row r="15448" spans="1:1" x14ac:dyDescent="0.2">
      <c r="A15448" s="1" t="s">
        <v>4140</v>
      </c>
    </row>
    <row r="15449" spans="1:1" x14ac:dyDescent="0.2">
      <c r="A15449" s="1" t="s">
        <v>4141</v>
      </c>
    </row>
    <row r="15450" spans="1:1" x14ac:dyDescent="0.2">
      <c r="A15450" s="1" t="s">
        <v>4142</v>
      </c>
    </row>
    <row r="15451" spans="1:1" x14ac:dyDescent="0.2">
      <c r="A15451" s="1" t="s">
        <v>4143</v>
      </c>
    </row>
    <row r="15452" spans="1:1" x14ac:dyDescent="0.2">
      <c r="A15452" s="1" t="s">
        <v>4144</v>
      </c>
    </row>
    <row r="15453" spans="1:1" x14ac:dyDescent="0.2">
      <c r="A15453" s="1" t="s">
        <v>4145</v>
      </c>
    </row>
    <row r="15454" spans="1:1" x14ac:dyDescent="0.2">
      <c r="A15454" s="1" t="s">
        <v>4146</v>
      </c>
    </row>
    <row r="15455" spans="1:1" x14ac:dyDescent="0.2">
      <c r="A15455" s="1" t="s">
        <v>4147</v>
      </c>
    </row>
    <row r="15456" spans="1:1" x14ac:dyDescent="0.2">
      <c r="A15456" s="1" t="s">
        <v>4148</v>
      </c>
    </row>
    <row r="15457" spans="1:1" x14ac:dyDescent="0.2">
      <c r="A15457" s="1" t="s">
        <v>4148</v>
      </c>
    </row>
    <row r="15458" spans="1:1" x14ac:dyDescent="0.2">
      <c r="A15458" s="1" t="s">
        <v>4148</v>
      </c>
    </row>
    <row r="15459" spans="1:1" x14ac:dyDescent="0.2">
      <c r="A15459" s="1" t="s">
        <v>4148</v>
      </c>
    </row>
    <row r="15460" spans="1:1" x14ac:dyDescent="0.2">
      <c r="A15460" s="1" t="s">
        <v>4149</v>
      </c>
    </row>
    <row r="15461" spans="1:1" x14ac:dyDescent="0.2">
      <c r="A15461" s="1" t="s">
        <v>4140</v>
      </c>
    </row>
    <row r="15462" spans="1:1" x14ac:dyDescent="0.2">
      <c r="A15462" s="1" t="s">
        <v>4140</v>
      </c>
    </row>
    <row r="15463" spans="1:1" x14ac:dyDescent="0.2">
      <c r="A15463" s="1" t="s">
        <v>4140</v>
      </c>
    </row>
    <row r="15464" spans="1:1" x14ac:dyDescent="0.2">
      <c r="A15464" s="1" t="s">
        <v>4141</v>
      </c>
    </row>
    <row r="15465" spans="1:1" x14ac:dyDescent="0.2">
      <c r="A15465" s="1" t="s">
        <v>4142</v>
      </c>
    </row>
    <row r="15466" spans="1:1" x14ac:dyDescent="0.2">
      <c r="A15466" s="1" t="s">
        <v>4143</v>
      </c>
    </row>
    <row r="15467" spans="1:1" x14ac:dyDescent="0.2">
      <c r="A15467" s="1" t="s">
        <v>4144</v>
      </c>
    </row>
    <row r="15468" spans="1:1" x14ac:dyDescent="0.2">
      <c r="A15468" s="1" t="s">
        <v>4145</v>
      </c>
    </row>
    <row r="15469" spans="1:1" x14ac:dyDescent="0.2">
      <c r="A15469" s="1" t="s">
        <v>4146</v>
      </c>
    </row>
    <row r="15470" spans="1:1" x14ac:dyDescent="0.2">
      <c r="A15470" s="1" t="s">
        <v>4147</v>
      </c>
    </row>
    <row r="15471" spans="1:1" x14ac:dyDescent="0.2">
      <c r="A15471" s="1" t="s">
        <v>4148</v>
      </c>
    </row>
    <row r="15472" spans="1:1" x14ac:dyDescent="0.2">
      <c r="A15472" s="1" t="s">
        <v>4148</v>
      </c>
    </row>
    <row r="15473" spans="1:1" x14ac:dyDescent="0.2">
      <c r="A15473" s="1" t="s">
        <v>4148</v>
      </c>
    </row>
    <row r="15474" spans="1:1" x14ac:dyDescent="0.2">
      <c r="A15474" s="1" t="s">
        <v>4148</v>
      </c>
    </row>
    <row r="15475" spans="1:1" x14ac:dyDescent="0.2">
      <c r="A15475" s="1" t="s">
        <v>4149</v>
      </c>
    </row>
    <row r="15476" spans="1:1" x14ac:dyDescent="0.2">
      <c r="A15476" s="1" t="s">
        <v>4140</v>
      </c>
    </row>
    <row r="15477" spans="1:1" x14ac:dyDescent="0.2">
      <c r="A15477" s="1" t="s">
        <v>4150</v>
      </c>
    </row>
    <row r="15478" spans="1:1" x14ac:dyDescent="0.2">
      <c r="A15478" s="1" t="s">
        <v>4151</v>
      </c>
    </row>
    <row r="15479" spans="1:1" x14ac:dyDescent="0.2">
      <c r="A15479" s="1" t="s">
        <v>4140</v>
      </c>
    </row>
    <row r="15480" spans="1:1" x14ac:dyDescent="0.2">
      <c r="A15480" s="1" t="s">
        <v>4152</v>
      </c>
    </row>
    <row r="15481" spans="1:1" x14ac:dyDescent="0.2">
      <c r="A15481" s="1" t="s">
        <v>4153</v>
      </c>
    </row>
    <row r="15482" spans="1:1" x14ac:dyDescent="0.2">
      <c r="A15482" s="1" t="s">
        <v>4154</v>
      </c>
    </row>
    <row r="15483" spans="1:1" x14ac:dyDescent="0.2">
      <c r="A15483" s="1" t="s">
        <v>4155</v>
      </c>
    </row>
    <row r="15484" spans="1:1" x14ac:dyDescent="0.2">
      <c r="A15484" s="1" t="s">
        <v>4156</v>
      </c>
    </row>
    <row r="15485" spans="1:1" x14ac:dyDescent="0.2">
      <c r="A15485" s="1" t="s">
        <v>4157</v>
      </c>
    </row>
    <row r="15486" spans="1:1" x14ac:dyDescent="0.2">
      <c r="A15486" s="1" t="s">
        <v>4158</v>
      </c>
    </row>
    <row r="15487" spans="1:1" x14ac:dyDescent="0.2">
      <c r="A15487" s="1" t="s">
        <v>4159</v>
      </c>
    </row>
    <row r="15488" spans="1:1" x14ac:dyDescent="0.2">
      <c r="A15488" s="1" t="s">
        <v>4160</v>
      </c>
    </row>
    <row r="15489" spans="1:1" x14ac:dyDescent="0.2">
      <c r="A15489" s="1" t="s">
        <v>4160</v>
      </c>
    </row>
    <row r="15490" spans="1:1" x14ac:dyDescent="0.2">
      <c r="A15490" s="1" t="s">
        <v>4161</v>
      </c>
    </row>
    <row r="15491" spans="1:1" x14ac:dyDescent="0.2">
      <c r="A15491" s="1" t="s">
        <v>4162</v>
      </c>
    </row>
    <row r="15492" spans="1:1" x14ac:dyDescent="0.2">
      <c r="A15492" s="1" t="s">
        <v>4163</v>
      </c>
    </row>
    <row r="15493" spans="1:1" x14ac:dyDescent="0.2">
      <c r="A15493" s="1" t="s">
        <v>4164</v>
      </c>
    </row>
    <row r="15494" spans="1:1" x14ac:dyDescent="0.2">
      <c r="A15494" s="1" t="s">
        <v>4165</v>
      </c>
    </row>
    <row r="15495" spans="1:1" x14ac:dyDescent="0.2">
      <c r="A15495" s="1" t="s">
        <v>4166</v>
      </c>
    </row>
    <row r="15496" spans="1:1" x14ac:dyDescent="0.2">
      <c r="A15496" s="1" t="s">
        <v>4167</v>
      </c>
    </row>
    <row r="15497" spans="1:1" x14ac:dyDescent="0.2">
      <c r="A15497" s="1" t="s">
        <v>4168</v>
      </c>
    </row>
    <row r="15498" spans="1:1" x14ac:dyDescent="0.2">
      <c r="A15498" s="1" t="s">
        <v>4168</v>
      </c>
    </row>
    <row r="15499" spans="1:1" x14ac:dyDescent="0.2">
      <c r="A15499" s="1" t="s">
        <v>4168</v>
      </c>
    </row>
    <row r="15500" spans="1:1" x14ac:dyDescent="0.2">
      <c r="A15500" s="1" t="s">
        <v>4168</v>
      </c>
    </row>
    <row r="15501" spans="1:1" x14ac:dyDescent="0.2">
      <c r="A15501" s="1" t="s">
        <v>4169</v>
      </c>
    </row>
    <row r="15502" spans="1:1" x14ac:dyDescent="0.2">
      <c r="A15502" s="1" t="s">
        <v>4160</v>
      </c>
    </row>
    <row r="15503" spans="1:1" x14ac:dyDescent="0.2">
      <c r="A15503" s="1" t="s">
        <v>4160</v>
      </c>
    </row>
    <row r="15504" spans="1:1" x14ac:dyDescent="0.2">
      <c r="A15504" s="1" t="s">
        <v>4160</v>
      </c>
    </row>
    <row r="15505" spans="1:1" x14ac:dyDescent="0.2">
      <c r="A15505" s="1" t="s">
        <v>4161</v>
      </c>
    </row>
    <row r="15506" spans="1:1" x14ac:dyDescent="0.2">
      <c r="A15506" s="1" t="s">
        <v>4162</v>
      </c>
    </row>
    <row r="15507" spans="1:1" x14ac:dyDescent="0.2">
      <c r="A15507" s="1" t="s">
        <v>4163</v>
      </c>
    </row>
    <row r="15508" spans="1:1" x14ac:dyDescent="0.2">
      <c r="A15508" s="1" t="s">
        <v>4164</v>
      </c>
    </row>
    <row r="15509" spans="1:1" x14ac:dyDescent="0.2">
      <c r="A15509" s="1" t="s">
        <v>4165</v>
      </c>
    </row>
    <row r="15510" spans="1:1" x14ac:dyDescent="0.2">
      <c r="A15510" s="1" t="s">
        <v>4166</v>
      </c>
    </row>
    <row r="15511" spans="1:1" x14ac:dyDescent="0.2">
      <c r="A15511" s="1" t="s">
        <v>4167</v>
      </c>
    </row>
    <row r="15512" spans="1:1" x14ac:dyDescent="0.2">
      <c r="A15512" s="1" t="s">
        <v>4168</v>
      </c>
    </row>
    <row r="15513" spans="1:1" x14ac:dyDescent="0.2">
      <c r="A15513" s="1" t="s">
        <v>4168</v>
      </c>
    </row>
    <row r="15514" spans="1:1" x14ac:dyDescent="0.2">
      <c r="A15514" s="1" t="s">
        <v>4168</v>
      </c>
    </row>
    <row r="15515" spans="1:1" x14ac:dyDescent="0.2">
      <c r="A15515" s="1" t="s">
        <v>4168</v>
      </c>
    </row>
    <row r="15516" spans="1:1" x14ac:dyDescent="0.2">
      <c r="A15516" s="1" t="s">
        <v>4169</v>
      </c>
    </row>
    <row r="15517" spans="1:1" x14ac:dyDescent="0.2">
      <c r="A15517" s="1" t="s">
        <v>4160</v>
      </c>
    </row>
    <row r="15518" spans="1:1" x14ac:dyDescent="0.2">
      <c r="A15518" s="1" t="s">
        <v>4160</v>
      </c>
    </row>
    <row r="15519" spans="1:1" x14ac:dyDescent="0.2">
      <c r="A15519" s="1" t="s">
        <v>4160</v>
      </c>
    </row>
    <row r="15520" spans="1:1" x14ac:dyDescent="0.2">
      <c r="A15520" s="1" t="s">
        <v>4161</v>
      </c>
    </row>
    <row r="15521" spans="1:1" x14ac:dyDescent="0.2">
      <c r="A15521" s="1" t="s">
        <v>4162</v>
      </c>
    </row>
    <row r="15522" spans="1:1" x14ac:dyDescent="0.2">
      <c r="A15522" s="1" t="s">
        <v>4163</v>
      </c>
    </row>
    <row r="15523" spans="1:1" x14ac:dyDescent="0.2">
      <c r="A15523" s="1" t="s">
        <v>4164</v>
      </c>
    </row>
    <row r="15524" spans="1:1" x14ac:dyDescent="0.2">
      <c r="A15524" s="1" t="s">
        <v>4165</v>
      </c>
    </row>
    <row r="15525" spans="1:1" x14ac:dyDescent="0.2">
      <c r="A15525" s="1" t="s">
        <v>4166</v>
      </c>
    </row>
    <row r="15526" spans="1:1" x14ac:dyDescent="0.2">
      <c r="A15526" s="1" t="s">
        <v>4167</v>
      </c>
    </row>
    <row r="15527" spans="1:1" x14ac:dyDescent="0.2">
      <c r="A15527" s="1" t="s">
        <v>4168</v>
      </c>
    </row>
    <row r="15528" spans="1:1" x14ac:dyDescent="0.2">
      <c r="A15528" s="1" t="s">
        <v>4168</v>
      </c>
    </row>
    <row r="15529" spans="1:1" x14ac:dyDescent="0.2">
      <c r="A15529" s="1" t="s">
        <v>4168</v>
      </c>
    </row>
    <row r="15530" spans="1:1" x14ac:dyDescent="0.2">
      <c r="A15530" s="1" t="s">
        <v>4168</v>
      </c>
    </row>
    <row r="15531" spans="1:1" x14ac:dyDescent="0.2">
      <c r="A15531" s="1" t="s">
        <v>4169</v>
      </c>
    </row>
    <row r="15532" spans="1:1" x14ac:dyDescent="0.2">
      <c r="A15532" s="1" t="s">
        <v>4160</v>
      </c>
    </row>
    <row r="15533" spans="1:1" x14ac:dyDescent="0.2">
      <c r="A15533" s="1" t="s">
        <v>4160</v>
      </c>
    </row>
    <row r="15534" spans="1:1" x14ac:dyDescent="0.2">
      <c r="A15534" s="1" t="s">
        <v>4160</v>
      </c>
    </row>
    <row r="15535" spans="1:1" x14ac:dyDescent="0.2">
      <c r="A15535" s="1" t="s">
        <v>4161</v>
      </c>
    </row>
    <row r="15536" spans="1:1" x14ac:dyDescent="0.2">
      <c r="A15536" s="1" t="s">
        <v>4162</v>
      </c>
    </row>
    <row r="15537" spans="1:1" x14ac:dyDescent="0.2">
      <c r="A15537" s="1" t="s">
        <v>4163</v>
      </c>
    </row>
    <row r="15538" spans="1:1" x14ac:dyDescent="0.2">
      <c r="A15538" s="1" t="s">
        <v>4164</v>
      </c>
    </row>
    <row r="15539" spans="1:1" x14ac:dyDescent="0.2">
      <c r="A15539" s="1" t="s">
        <v>4165</v>
      </c>
    </row>
    <row r="15540" spans="1:1" x14ac:dyDescent="0.2">
      <c r="A15540" s="1" t="s">
        <v>4166</v>
      </c>
    </row>
    <row r="15541" spans="1:1" x14ac:dyDescent="0.2">
      <c r="A15541" s="1" t="s">
        <v>4167</v>
      </c>
    </row>
    <row r="15542" spans="1:1" x14ac:dyDescent="0.2">
      <c r="A15542" s="1" t="s">
        <v>4168</v>
      </c>
    </row>
    <row r="15543" spans="1:1" x14ac:dyDescent="0.2">
      <c r="A15543" s="1" t="s">
        <v>4168</v>
      </c>
    </row>
    <row r="15544" spans="1:1" x14ac:dyDescent="0.2">
      <c r="A15544" s="1" t="s">
        <v>4168</v>
      </c>
    </row>
    <row r="15545" spans="1:1" x14ac:dyDescent="0.2">
      <c r="A15545" s="1" t="s">
        <v>4168</v>
      </c>
    </row>
    <row r="15546" spans="1:1" x14ac:dyDescent="0.2">
      <c r="A15546" s="1" t="s">
        <v>4169</v>
      </c>
    </row>
    <row r="15547" spans="1:1" x14ac:dyDescent="0.2">
      <c r="A15547" s="1" t="s">
        <v>4160</v>
      </c>
    </row>
    <row r="15548" spans="1:1" x14ac:dyDescent="0.2">
      <c r="A15548" s="1" t="s">
        <v>4160</v>
      </c>
    </row>
    <row r="15549" spans="1:1" x14ac:dyDescent="0.2">
      <c r="A15549" s="1" t="s">
        <v>4160</v>
      </c>
    </row>
    <row r="15550" spans="1:1" x14ac:dyDescent="0.2">
      <c r="A15550" s="1" t="s">
        <v>4161</v>
      </c>
    </row>
    <row r="15551" spans="1:1" x14ac:dyDescent="0.2">
      <c r="A15551" s="1" t="s">
        <v>4162</v>
      </c>
    </row>
    <row r="15552" spans="1:1" x14ac:dyDescent="0.2">
      <c r="A15552" s="1" t="s">
        <v>4163</v>
      </c>
    </row>
    <row r="15553" spans="1:1" x14ac:dyDescent="0.2">
      <c r="A15553" s="1" t="s">
        <v>4164</v>
      </c>
    </row>
    <row r="15554" spans="1:1" x14ac:dyDescent="0.2">
      <c r="A15554" s="1" t="s">
        <v>4165</v>
      </c>
    </row>
    <row r="15555" spans="1:1" x14ac:dyDescent="0.2">
      <c r="A15555" s="1" t="s">
        <v>4166</v>
      </c>
    </row>
    <row r="15556" spans="1:1" x14ac:dyDescent="0.2">
      <c r="A15556" s="1" t="s">
        <v>4167</v>
      </c>
    </row>
    <row r="15557" spans="1:1" x14ac:dyDescent="0.2">
      <c r="A15557" s="1" t="s">
        <v>4168</v>
      </c>
    </row>
    <row r="15558" spans="1:1" x14ac:dyDescent="0.2">
      <c r="A15558" s="1" t="s">
        <v>4168</v>
      </c>
    </row>
    <row r="15559" spans="1:1" x14ac:dyDescent="0.2">
      <c r="A15559" s="1" t="s">
        <v>4168</v>
      </c>
    </row>
    <row r="15560" spans="1:1" x14ac:dyDescent="0.2">
      <c r="A15560" s="1" t="s">
        <v>4168</v>
      </c>
    </row>
    <row r="15561" spans="1:1" x14ac:dyDescent="0.2">
      <c r="A15561" s="1" t="s">
        <v>4169</v>
      </c>
    </row>
    <row r="15562" spans="1:1" x14ac:dyDescent="0.2">
      <c r="A15562" s="1" t="s">
        <v>4160</v>
      </c>
    </row>
    <row r="15563" spans="1:1" x14ac:dyDescent="0.2">
      <c r="A15563" s="1" t="s">
        <v>4170</v>
      </c>
    </row>
    <row r="15564" spans="1:1" x14ac:dyDescent="0.2">
      <c r="A15564" s="1" t="s">
        <v>4170</v>
      </c>
    </row>
    <row r="15565" spans="1:1" x14ac:dyDescent="0.2">
      <c r="A15565" s="1" t="s">
        <v>4171</v>
      </c>
    </row>
    <row r="15566" spans="1:1" x14ac:dyDescent="0.2">
      <c r="A15566" s="1" t="s">
        <v>4172</v>
      </c>
    </row>
    <row r="15567" spans="1:1" x14ac:dyDescent="0.2">
      <c r="A15567" s="1" t="s">
        <v>4173</v>
      </c>
    </row>
    <row r="15568" spans="1:1" x14ac:dyDescent="0.2">
      <c r="A15568" s="1" t="s">
        <v>4174</v>
      </c>
    </row>
    <row r="15569" spans="1:1" x14ac:dyDescent="0.2">
      <c r="A15569" s="1" t="s">
        <v>4175</v>
      </c>
    </row>
    <row r="15570" spans="1:1" x14ac:dyDescent="0.2">
      <c r="A15570" s="1" t="s">
        <v>4176</v>
      </c>
    </row>
    <row r="15571" spans="1:1" x14ac:dyDescent="0.2">
      <c r="A15571" s="1" t="s">
        <v>4177</v>
      </c>
    </row>
    <row r="15572" spans="1:1" x14ac:dyDescent="0.2">
      <c r="A15572" s="1" t="s">
        <v>4178</v>
      </c>
    </row>
    <row r="15573" spans="1:1" x14ac:dyDescent="0.2">
      <c r="A15573" s="1" t="s">
        <v>4178</v>
      </c>
    </row>
    <row r="15574" spans="1:1" x14ac:dyDescent="0.2">
      <c r="A15574" s="1" t="s">
        <v>4178</v>
      </c>
    </row>
    <row r="15575" spans="1:1" x14ac:dyDescent="0.2">
      <c r="A15575" s="1" t="s">
        <v>4178</v>
      </c>
    </row>
    <row r="15576" spans="1:1" x14ac:dyDescent="0.2">
      <c r="A15576" s="1" t="s">
        <v>4179</v>
      </c>
    </row>
    <row r="15577" spans="1:1" x14ac:dyDescent="0.2">
      <c r="A15577" s="1" t="s">
        <v>4170</v>
      </c>
    </row>
    <row r="15578" spans="1:1" x14ac:dyDescent="0.2">
      <c r="A15578" s="1" t="s">
        <v>4170</v>
      </c>
    </row>
    <row r="15579" spans="1:1" x14ac:dyDescent="0.2">
      <c r="A15579" s="1" t="s">
        <v>4170</v>
      </c>
    </row>
    <row r="15580" spans="1:1" x14ac:dyDescent="0.2">
      <c r="A15580" s="1" t="s">
        <v>4171</v>
      </c>
    </row>
    <row r="15581" spans="1:1" x14ac:dyDescent="0.2">
      <c r="A15581" s="1" t="s">
        <v>4172</v>
      </c>
    </row>
    <row r="15582" spans="1:1" x14ac:dyDescent="0.2">
      <c r="A15582" s="1" t="s">
        <v>4173</v>
      </c>
    </row>
    <row r="15583" spans="1:1" x14ac:dyDescent="0.2">
      <c r="A15583" s="1" t="s">
        <v>4174</v>
      </c>
    </row>
    <row r="15584" spans="1:1" x14ac:dyDescent="0.2">
      <c r="A15584" s="1" t="s">
        <v>4175</v>
      </c>
    </row>
    <row r="15585" spans="1:1" x14ac:dyDescent="0.2">
      <c r="A15585" s="1" t="s">
        <v>4176</v>
      </c>
    </row>
    <row r="15586" spans="1:1" x14ac:dyDescent="0.2">
      <c r="A15586" s="1" t="s">
        <v>4177</v>
      </c>
    </row>
    <row r="15587" spans="1:1" x14ac:dyDescent="0.2">
      <c r="A15587" s="1" t="s">
        <v>4178</v>
      </c>
    </row>
    <row r="15588" spans="1:1" x14ac:dyDescent="0.2">
      <c r="A15588" s="1" t="s">
        <v>4178</v>
      </c>
    </row>
    <row r="15589" spans="1:1" x14ac:dyDescent="0.2">
      <c r="A15589" s="1" t="s">
        <v>4178</v>
      </c>
    </row>
    <row r="15590" spans="1:1" x14ac:dyDescent="0.2">
      <c r="A15590" s="1" t="s">
        <v>4178</v>
      </c>
    </row>
    <row r="15591" spans="1:1" x14ac:dyDescent="0.2">
      <c r="A15591" s="1" t="s">
        <v>4179</v>
      </c>
    </row>
    <row r="15592" spans="1:1" x14ac:dyDescent="0.2">
      <c r="A15592" s="1" t="s">
        <v>4170</v>
      </c>
    </row>
    <row r="15593" spans="1:1" x14ac:dyDescent="0.2">
      <c r="A15593" s="1" t="s">
        <v>4170</v>
      </c>
    </row>
    <row r="15594" spans="1:1" x14ac:dyDescent="0.2">
      <c r="A15594" s="1" t="s">
        <v>4170</v>
      </c>
    </row>
    <row r="15595" spans="1:1" x14ac:dyDescent="0.2">
      <c r="A15595" s="1" t="s">
        <v>4171</v>
      </c>
    </row>
    <row r="15596" spans="1:1" x14ac:dyDescent="0.2">
      <c r="A15596" s="1" t="s">
        <v>4172</v>
      </c>
    </row>
    <row r="15597" spans="1:1" x14ac:dyDescent="0.2">
      <c r="A15597" s="1" t="s">
        <v>4173</v>
      </c>
    </row>
    <row r="15598" spans="1:1" x14ac:dyDescent="0.2">
      <c r="A15598" s="1" t="s">
        <v>4174</v>
      </c>
    </row>
    <row r="15599" spans="1:1" x14ac:dyDescent="0.2">
      <c r="A15599" s="1" t="s">
        <v>4175</v>
      </c>
    </row>
    <row r="15600" spans="1:1" x14ac:dyDescent="0.2">
      <c r="A15600" s="1" t="s">
        <v>4176</v>
      </c>
    </row>
    <row r="15601" spans="1:1" x14ac:dyDescent="0.2">
      <c r="A15601" s="1" t="s">
        <v>4177</v>
      </c>
    </row>
    <row r="15602" spans="1:1" x14ac:dyDescent="0.2">
      <c r="A15602" s="1" t="s">
        <v>4178</v>
      </c>
    </row>
    <row r="15603" spans="1:1" x14ac:dyDescent="0.2">
      <c r="A15603" s="1" t="s">
        <v>4178</v>
      </c>
    </row>
    <row r="15604" spans="1:1" x14ac:dyDescent="0.2">
      <c r="A15604" s="1" t="s">
        <v>4178</v>
      </c>
    </row>
    <row r="15605" spans="1:1" x14ac:dyDescent="0.2">
      <c r="A15605" s="1" t="s">
        <v>4178</v>
      </c>
    </row>
    <row r="15606" spans="1:1" x14ac:dyDescent="0.2">
      <c r="A15606" s="1" t="s">
        <v>4179</v>
      </c>
    </row>
    <row r="15607" spans="1:1" x14ac:dyDescent="0.2">
      <c r="A15607" s="1" t="s">
        <v>4170</v>
      </c>
    </row>
    <row r="15608" spans="1:1" x14ac:dyDescent="0.2">
      <c r="A15608" s="1" t="s">
        <v>4170</v>
      </c>
    </row>
    <row r="15609" spans="1:1" x14ac:dyDescent="0.2">
      <c r="A15609" s="1" t="s">
        <v>4170</v>
      </c>
    </row>
    <row r="15610" spans="1:1" x14ac:dyDescent="0.2">
      <c r="A15610" s="1" t="s">
        <v>4171</v>
      </c>
    </row>
    <row r="15611" spans="1:1" x14ac:dyDescent="0.2">
      <c r="A15611" s="1" t="s">
        <v>4172</v>
      </c>
    </row>
    <row r="15612" spans="1:1" x14ac:dyDescent="0.2">
      <c r="A15612" s="1" t="s">
        <v>4173</v>
      </c>
    </row>
    <row r="15613" spans="1:1" x14ac:dyDescent="0.2">
      <c r="A15613" s="1" t="s">
        <v>4174</v>
      </c>
    </row>
    <row r="15614" spans="1:1" x14ac:dyDescent="0.2">
      <c r="A15614" s="1" t="s">
        <v>4175</v>
      </c>
    </row>
    <row r="15615" spans="1:1" x14ac:dyDescent="0.2">
      <c r="A15615" s="1" t="s">
        <v>4176</v>
      </c>
    </row>
    <row r="15616" spans="1:1" x14ac:dyDescent="0.2">
      <c r="A15616" s="1" t="s">
        <v>4177</v>
      </c>
    </row>
    <row r="15617" spans="1:1" x14ac:dyDescent="0.2">
      <c r="A15617" s="1" t="s">
        <v>4178</v>
      </c>
    </row>
    <row r="15618" spans="1:1" x14ac:dyDescent="0.2">
      <c r="A15618" s="1" t="s">
        <v>4178</v>
      </c>
    </row>
    <row r="15619" spans="1:1" x14ac:dyDescent="0.2">
      <c r="A15619" s="1" t="s">
        <v>4178</v>
      </c>
    </row>
    <row r="15620" spans="1:1" x14ac:dyDescent="0.2">
      <c r="A15620" s="1" t="s">
        <v>4178</v>
      </c>
    </row>
    <row r="15621" spans="1:1" x14ac:dyDescent="0.2">
      <c r="A15621" s="1" t="s">
        <v>4179</v>
      </c>
    </row>
    <row r="15622" spans="1:1" x14ac:dyDescent="0.2">
      <c r="A15622" s="1" t="s">
        <v>4170</v>
      </c>
    </row>
    <row r="15623" spans="1:1" x14ac:dyDescent="0.2">
      <c r="A15623" s="1" t="s">
        <v>4170</v>
      </c>
    </row>
    <row r="15624" spans="1:1" x14ac:dyDescent="0.2">
      <c r="A15624" s="1" t="s">
        <v>4170</v>
      </c>
    </row>
    <row r="15625" spans="1:1" x14ac:dyDescent="0.2">
      <c r="A15625" s="1" t="s">
        <v>4171</v>
      </c>
    </row>
    <row r="15626" spans="1:1" x14ac:dyDescent="0.2">
      <c r="A15626" s="1" t="s">
        <v>4172</v>
      </c>
    </row>
    <row r="15627" spans="1:1" x14ac:dyDescent="0.2">
      <c r="A15627" s="1" t="s">
        <v>4173</v>
      </c>
    </row>
    <row r="15628" spans="1:1" x14ac:dyDescent="0.2">
      <c r="A15628" s="1" t="s">
        <v>4174</v>
      </c>
    </row>
    <row r="15629" spans="1:1" x14ac:dyDescent="0.2">
      <c r="A15629" s="1" t="s">
        <v>4175</v>
      </c>
    </row>
    <row r="15630" spans="1:1" x14ac:dyDescent="0.2">
      <c r="A15630" s="1" t="s">
        <v>4176</v>
      </c>
    </row>
    <row r="15631" spans="1:1" x14ac:dyDescent="0.2">
      <c r="A15631" s="1" t="s">
        <v>4177</v>
      </c>
    </row>
    <row r="15632" spans="1:1" x14ac:dyDescent="0.2">
      <c r="A15632" s="1" t="s">
        <v>4178</v>
      </c>
    </row>
    <row r="15633" spans="1:1" x14ac:dyDescent="0.2">
      <c r="A15633" s="1" t="s">
        <v>4178</v>
      </c>
    </row>
    <row r="15634" spans="1:1" x14ac:dyDescent="0.2">
      <c r="A15634" s="1" t="s">
        <v>4178</v>
      </c>
    </row>
    <row r="15635" spans="1:1" x14ac:dyDescent="0.2">
      <c r="A15635" s="1" t="s">
        <v>4178</v>
      </c>
    </row>
    <row r="15636" spans="1:1" x14ac:dyDescent="0.2">
      <c r="A15636" s="1" t="s">
        <v>4179</v>
      </c>
    </row>
    <row r="15637" spans="1:1" x14ac:dyDescent="0.2">
      <c r="A15637" s="1" t="s">
        <v>4170</v>
      </c>
    </row>
    <row r="15638" spans="1:1" x14ac:dyDescent="0.2">
      <c r="A15638" s="1" t="s">
        <v>4180</v>
      </c>
    </row>
    <row r="15639" spans="1:1" x14ac:dyDescent="0.2">
      <c r="A15639" s="1" t="s">
        <v>4181</v>
      </c>
    </row>
    <row r="15640" spans="1:1" x14ac:dyDescent="0.2">
      <c r="A15640" s="1" t="s">
        <v>4182</v>
      </c>
    </row>
    <row r="15641" spans="1:1" x14ac:dyDescent="0.2">
      <c r="A15641" s="1" t="s">
        <v>4183</v>
      </c>
    </row>
    <row r="15642" spans="1:1" x14ac:dyDescent="0.2">
      <c r="A15642" s="1" t="s">
        <v>4184</v>
      </c>
    </row>
    <row r="15643" spans="1:1" x14ac:dyDescent="0.2">
      <c r="A15643" s="1" t="s">
        <v>4185</v>
      </c>
    </row>
    <row r="15644" spans="1:1" x14ac:dyDescent="0.2">
      <c r="A15644" s="1" t="s">
        <v>4186</v>
      </c>
    </row>
    <row r="15645" spans="1:1" x14ac:dyDescent="0.2">
      <c r="A15645" s="1" t="s">
        <v>4187</v>
      </c>
    </row>
    <row r="15646" spans="1:1" x14ac:dyDescent="0.2">
      <c r="A15646" s="1" t="s">
        <v>4188</v>
      </c>
    </row>
    <row r="15647" spans="1:1" x14ac:dyDescent="0.2">
      <c r="A15647" s="1" t="s">
        <v>4189</v>
      </c>
    </row>
    <row r="15648" spans="1:1" x14ac:dyDescent="0.2">
      <c r="A15648" s="1" t="s">
        <v>4190</v>
      </c>
    </row>
    <row r="15649" spans="1:1" x14ac:dyDescent="0.2">
      <c r="A15649" s="1" t="s">
        <v>4192</v>
      </c>
    </row>
    <row r="15650" spans="1:1" x14ac:dyDescent="0.2">
      <c r="A15650" s="1" t="s">
        <v>4192</v>
      </c>
    </row>
    <row r="15651" spans="1:1" x14ac:dyDescent="0.2">
      <c r="A15651" s="1" t="s">
        <v>4193</v>
      </c>
    </row>
    <row r="15652" spans="1:1" x14ac:dyDescent="0.2">
      <c r="A15652" s="1" t="s">
        <v>4194</v>
      </c>
    </row>
    <row r="15653" spans="1:1" x14ac:dyDescent="0.2">
      <c r="A15653" s="1" t="s">
        <v>4195</v>
      </c>
    </row>
    <row r="15654" spans="1:1" x14ac:dyDescent="0.2">
      <c r="A15654" s="1" t="s">
        <v>4196</v>
      </c>
    </row>
    <row r="15655" spans="1:1" x14ac:dyDescent="0.2">
      <c r="A15655" s="1" t="s">
        <v>4197</v>
      </c>
    </row>
    <row r="15656" spans="1:1" x14ac:dyDescent="0.2">
      <c r="A15656" s="1" t="s">
        <v>4198</v>
      </c>
    </row>
    <row r="15657" spans="1:1" x14ac:dyDescent="0.2">
      <c r="A15657" s="1" t="s">
        <v>4199</v>
      </c>
    </row>
    <row r="15658" spans="1:1" x14ac:dyDescent="0.2">
      <c r="A15658" s="1" t="s">
        <v>4200</v>
      </c>
    </row>
    <row r="15659" spans="1:1" x14ac:dyDescent="0.2">
      <c r="A15659" s="1" t="s">
        <v>4200</v>
      </c>
    </row>
    <row r="15660" spans="1:1" x14ac:dyDescent="0.2">
      <c r="A15660" s="1" t="s">
        <v>4200</v>
      </c>
    </row>
    <row r="15661" spans="1:1" x14ac:dyDescent="0.2">
      <c r="A15661" s="1" t="s">
        <v>4200</v>
      </c>
    </row>
    <row r="15662" spans="1:1" x14ac:dyDescent="0.2">
      <c r="A15662" s="1" t="s">
        <v>4201</v>
      </c>
    </row>
    <row r="15663" spans="1:1" x14ac:dyDescent="0.2">
      <c r="A15663" s="1" t="s">
        <v>4192</v>
      </c>
    </row>
    <row r="15664" spans="1:1" x14ac:dyDescent="0.2">
      <c r="A15664" s="1" t="s">
        <v>4192</v>
      </c>
    </row>
    <row r="15665" spans="1:1" x14ac:dyDescent="0.2">
      <c r="A15665" s="1" t="s">
        <v>4192</v>
      </c>
    </row>
    <row r="15666" spans="1:1" x14ac:dyDescent="0.2">
      <c r="A15666" s="1" t="s">
        <v>4193</v>
      </c>
    </row>
    <row r="15667" spans="1:1" x14ac:dyDescent="0.2">
      <c r="A15667" s="1" t="s">
        <v>4194</v>
      </c>
    </row>
    <row r="15668" spans="1:1" x14ac:dyDescent="0.2">
      <c r="A15668" s="1" t="s">
        <v>4195</v>
      </c>
    </row>
    <row r="15669" spans="1:1" x14ac:dyDescent="0.2">
      <c r="A15669" s="1" t="s">
        <v>4196</v>
      </c>
    </row>
    <row r="15670" spans="1:1" x14ac:dyDescent="0.2">
      <c r="A15670" s="1" t="s">
        <v>4197</v>
      </c>
    </row>
    <row r="15671" spans="1:1" x14ac:dyDescent="0.2">
      <c r="A15671" s="1" t="s">
        <v>4198</v>
      </c>
    </row>
    <row r="15672" spans="1:1" x14ac:dyDescent="0.2">
      <c r="A15672" s="1" t="s">
        <v>4199</v>
      </c>
    </row>
    <row r="15673" spans="1:1" x14ac:dyDescent="0.2">
      <c r="A15673" s="1" t="s">
        <v>4200</v>
      </c>
    </row>
    <row r="15674" spans="1:1" x14ac:dyDescent="0.2">
      <c r="A15674" s="1" t="s">
        <v>4200</v>
      </c>
    </row>
    <row r="15675" spans="1:1" x14ac:dyDescent="0.2">
      <c r="A15675" s="1" t="s">
        <v>4200</v>
      </c>
    </row>
    <row r="15676" spans="1:1" x14ac:dyDescent="0.2">
      <c r="A15676" s="1" t="s">
        <v>4200</v>
      </c>
    </row>
    <row r="15677" spans="1:1" x14ac:dyDescent="0.2">
      <c r="A15677" s="1" t="s">
        <v>4201</v>
      </c>
    </row>
    <row r="15678" spans="1:1" x14ac:dyDescent="0.2">
      <c r="A15678" s="1" t="s">
        <v>4192</v>
      </c>
    </row>
    <row r="15679" spans="1:1" x14ac:dyDescent="0.2">
      <c r="A15679" s="1" t="s">
        <v>4192</v>
      </c>
    </row>
    <row r="15680" spans="1:1" x14ac:dyDescent="0.2">
      <c r="A15680" s="1" t="s">
        <v>4192</v>
      </c>
    </row>
    <row r="15681" spans="1:1" x14ac:dyDescent="0.2">
      <c r="A15681" s="1" t="s">
        <v>4193</v>
      </c>
    </row>
    <row r="15682" spans="1:1" x14ac:dyDescent="0.2">
      <c r="A15682" s="1" t="s">
        <v>4194</v>
      </c>
    </row>
    <row r="15683" spans="1:1" x14ac:dyDescent="0.2">
      <c r="A15683" s="1" t="s">
        <v>4195</v>
      </c>
    </row>
    <row r="15684" spans="1:1" x14ac:dyDescent="0.2">
      <c r="A15684" s="1" t="s">
        <v>4196</v>
      </c>
    </row>
    <row r="15685" spans="1:1" x14ac:dyDescent="0.2">
      <c r="A15685" s="1" t="s">
        <v>4197</v>
      </c>
    </row>
    <row r="15686" spans="1:1" x14ac:dyDescent="0.2">
      <c r="A15686" s="1" t="s">
        <v>4198</v>
      </c>
    </row>
    <row r="15687" spans="1:1" x14ac:dyDescent="0.2">
      <c r="A15687" s="1" t="s">
        <v>4199</v>
      </c>
    </row>
    <row r="15688" spans="1:1" x14ac:dyDescent="0.2">
      <c r="A15688" s="1" t="s">
        <v>4200</v>
      </c>
    </row>
    <row r="15689" spans="1:1" x14ac:dyDescent="0.2">
      <c r="A15689" s="1" t="s">
        <v>4200</v>
      </c>
    </row>
    <row r="15690" spans="1:1" x14ac:dyDescent="0.2">
      <c r="A15690" s="1" t="s">
        <v>4200</v>
      </c>
    </row>
    <row r="15691" spans="1:1" x14ac:dyDescent="0.2">
      <c r="A15691" s="1" t="s">
        <v>4200</v>
      </c>
    </row>
    <row r="15692" spans="1:1" x14ac:dyDescent="0.2">
      <c r="A15692" s="1" t="s">
        <v>4201</v>
      </c>
    </row>
    <row r="15693" spans="1:1" x14ac:dyDescent="0.2">
      <c r="A15693" s="1" t="s">
        <v>4192</v>
      </c>
    </row>
    <row r="15694" spans="1:1" x14ac:dyDescent="0.2">
      <c r="A15694" s="1" t="s">
        <v>4192</v>
      </c>
    </row>
    <row r="15695" spans="1:1" x14ac:dyDescent="0.2">
      <c r="A15695" s="1" t="s">
        <v>4192</v>
      </c>
    </row>
    <row r="15696" spans="1:1" x14ac:dyDescent="0.2">
      <c r="A15696" s="1" t="s">
        <v>4193</v>
      </c>
    </row>
    <row r="15697" spans="1:1" x14ac:dyDescent="0.2">
      <c r="A15697" s="1" t="s">
        <v>4194</v>
      </c>
    </row>
    <row r="15698" spans="1:1" x14ac:dyDescent="0.2">
      <c r="A15698" s="1" t="s">
        <v>4195</v>
      </c>
    </row>
    <row r="15699" spans="1:1" x14ac:dyDescent="0.2">
      <c r="A15699" s="1" t="s">
        <v>4196</v>
      </c>
    </row>
    <row r="15700" spans="1:1" x14ac:dyDescent="0.2">
      <c r="A15700" s="1" t="s">
        <v>4197</v>
      </c>
    </row>
    <row r="15701" spans="1:1" x14ac:dyDescent="0.2">
      <c r="A15701" s="1" t="s">
        <v>4198</v>
      </c>
    </row>
    <row r="15702" spans="1:1" x14ac:dyDescent="0.2">
      <c r="A15702" s="1" t="s">
        <v>4199</v>
      </c>
    </row>
    <row r="15703" spans="1:1" x14ac:dyDescent="0.2">
      <c r="A15703" s="1" t="s">
        <v>4200</v>
      </c>
    </row>
    <row r="15704" spans="1:1" x14ac:dyDescent="0.2">
      <c r="A15704" s="1" t="s">
        <v>4200</v>
      </c>
    </row>
    <row r="15705" spans="1:1" x14ac:dyDescent="0.2">
      <c r="A15705" s="1" t="s">
        <v>4200</v>
      </c>
    </row>
    <row r="15706" spans="1:1" x14ac:dyDescent="0.2">
      <c r="A15706" s="1" t="s">
        <v>4200</v>
      </c>
    </row>
    <row r="15707" spans="1:1" x14ac:dyDescent="0.2">
      <c r="A15707" s="1" t="s">
        <v>4201</v>
      </c>
    </row>
    <row r="15708" spans="1:1" x14ac:dyDescent="0.2">
      <c r="A15708" s="1" t="s">
        <v>4192</v>
      </c>
    </row>
    <row r="15709" spans="1:1" x14ac:dyDescent="0.2">
      <c r="A15709" s="1" t="s">
        <v>4192</v>
      </c>
    </row>
    <row r="15710" spans="1:1" x14ac:dyDescent="0.2">
      <c r="A15710" s="1" t="s">
        <v>4192</v>
      </c>
    </row>
    <row r="15711" spans="1:1" x14ac:dyDescent="0.2">
      <c r="A15711" s="1" t="s">
        <v>4193</v>
      </c>
    </row>
    <row r="15712" spans="1:1" x14ac:dyDescent="0.2">
      <c r="A15712" s="1" t="s">
        <v>4194</v>
      </c>
    </row>
    <row r="15713" spans="1:1" x14ac:dyDescent="0.2">
      <c r="A15713" s="1" t="s">
        <v>4195</v>
      </c>
    </row>
    <row r="15714" spans="1:1" x14ac:dyDescent="0.2">
      <c r="A15714" s="1" t="s">
        <v>4196</v>
      </c>
    </row>
    <row r="15715" spans="1:1" x14ac:dyDescent="0.2">
      <c r="A15715" s="1" t="s">
        <v>4197</v>
      </c>
    </row>
    <row r="15716" spans="1:1" x14ac:dyDescent="0.2">
      <c r="A15716" s="1" t="s">
        <v>4198</v>
      </c>
    </row>
    <row r="15717" spans="1:1" x14ac:dyDescent="0.2">
      <c r="A15717" s="1" t="s">
        <v>4199</v>
      </c>
    </row>
    <row r="15718" spans="1:1" x14ac:dyDescent="0.2">
      <c r="A15718" s="1" t="s">
        <v>4200</v>
      </c>
    </row>
    <row r="15719" spans="1:1" x14ac:dyDescent="0.2">
      <c r="A15719" s="1" t="s">
        <v>4200</v>
      </c>
    </row>
    <row r="15720" spans="1:1" x14ac:dyDescent="0.2">
      <c r="A15720" s="1" t="s">
        <v>4200</v>
      </c>
    </row>
    <row r="15721" spans="1:1" x14ac:dyDescent="0.2">
      <c r="A15721" s="1" t="s">
        <v>4200</v>
      </c>
    </row>
    <row r="15722" spans="1:1" x14ac:dyDescent="0.2">
      <c r="A15722" s="1" t="s">
        <v>4201</v>
      </c>
    </row>
    <row r="15723" spans="1:1" x14ac:dyDescent="0.2">
      <c r="A15723" s="1" t="s">
        <v>4192</v>
      </c>
    </row>
    <row r="15724" spans="1:1" x14ac:dyDescent="0.2">
      <c r="A15724" s="1" t="s">
        <v>4202</v>
      </c>
    </row>
    <row r="15725" spans="1:1" x14ac:dyDescent="0.2">
      <c r="A15725" s="1" t="s">
        <v>4202</v>
      </c>
    </row>
    <row r="15726" spans="1:1" x14ac:dyDescent="0.2">
      <c r="A15726" s="1" t="s">
        <v>4203</v>
      </c>
    </row>
    <row r="15727" spans="1:1" x14ac:dyDescent="0.2">
      <c r="A15727" s="1" t="s">
        <v>4204</v>
      </c>
    </row>
    <row r="15728" spans="1:1" x14ac:dyDescent="0.2">
      <c r="A15728" s="1" t="s">
        <v>4205</v>
      </c>
    </row>
    <row r="15729" spans="1:1" x14ac:dyDescent="0.2">
      <c r="A15729" s="1" t="s">
        <v>4206</v>
      </c>
    </row>
    <row r="15730" spans="1:1" x14ac:dyDescent="0.2">
      <c r="A15730" s="1" t="s">
        <v>4207</v>
      </c>
    </row>
    <row r="15731" spans="1:1" x14ac:dyDescent="0.2">
      <c r="A15731" s="1" t="s">
        <v>4208</v>
      </c>
    </row>
    <row r="15732" spans="1:1" x14ac:dyDescent="0.2">
      <c r="A15732" s="1" t="s">
        <v>4209</v>
      </c>
    </row>
    <row r="15733" spans="1:1" x14ac:dyDescent="0.2">
      <c r="A15733" s="1" t="s">
        <v>4210</v>
      </c>
    </row>
    <row r="15734" spans="1:1" x14ac:dyDescent="0.2">
      <c r="A15734" s="1" t="s">
        <v>4210</v>
      </c>
    </row>
    <row r="15735" spans="1:1" x14ac:dyDescent="0.2">
      <c r="A15735" s="1" t="s">
        <v>4210</v>
      </c>
    </row>
    <row r="15736" spans="1:1" x14ac:dyDescent="0.2">
      <c r="A15736" s="1" t="s">
        <v>4210</v>
      </c>
    </row>
    <row r="15737" spans="1:1" x14ac:dyDescent="0.2">
      <c r="A15737" s="1" t="s">
        <v>4211</v>
      </c>
    </row>
    <row r="15738" spans="1:1" x14ac:dyDescent="0.2">
      <c r="A15738" s="1" t="s">
        <v>4202</v>
      </c>
    </row>
    <row r="15739" spans="1:1" x14ac:dyDescent="0.2">
      <c r="A15739" s="1" t="s">
        <v>4202</v>
      </c>
    </row>
    <row r="15740" spans="1:1" x14ac:dyDescent="0.2">
      <c r="A15740" s="1" t="s">
        <v>4202</v>
      </c>
    </row>
    <row r="15741" spans="1:1" x14ac:dyDescent="0.2">
      <c r="A15741" s="1" t="s">
        <v>4203</v>
      </c>
    </row>
    <row r="15742" spans="1:1" x14ac:dyDescent="0.2">
      <c r="A15742" s="1" t="s">
        <v>4204</v>
      </c>
    </row>
    <row r="15743" spans="1:1" x14ac:dyDescent="0.2">
      <c r="A15743" s="1" t="s">
        <v>4205</v>
      </c>
    </row>
    <row r="15744" spans="1:1" x14ac:dyDescent="0.2">
      <c r="A15744" s="1" t="s">
        <v>4206</v>
      </c>
    </row>
    <row r="15745" spans="1:1" x14ac:dyDescent="0.2">
      <c r="A15745" s="1" t="s">
        <v>4207</v>
      </c>
    </row>
    <row r="15746" spans="1:1" x14ac:dyDescent="0.2">
      <c r="A15746" s="1" t="s">
        <v>4208</v>
      </c>
    </row>
    <row r="15747" spans="1:1" x14ac:dyDescent="0.2">
      <c r="A15747" s="1" t="s">
        <v>4209</v>
      </c>
    </row>
    <row r="15748" spans="1:1" x14ac:dyDescent="0.2">
      <c r="A15748" s="1" t="s">
        <v>4210</v>
      </c>
    </row>
    <row r="15749" spans="1:1" x14ac:dyDescent="0.2">
      <c r="A15749" s="1" t="s">
        <v>4210</v>
      </c>
    </row>
    <row r="15750" spans="1:1" x14ac:dyDescent="0.2">
      <c r="A15750" s="1" t="s">
        <v>4210</v>
      </c>
    </row>
    <row r="15751" spans="1:1" x14ac:dyDescent="0.2">
      <c r="A15751" s="1" t="s">
        <v>4210</v>
      </c>
    </row>
    <row r="15752" spans="1:1" x14ac:dyDescent="0.2">
      <c r="A15752" s="1" t="s">
        <v>4211</v>
      </c>
    </row>
    <row r="15753" spans="1:1" x14ac:dyDescent="0.2">
      <c r="A15753" s="1" t="s">
        <v>4202</v>
      </c>
    </row>
    <row r="15754" spans="1:1" x14ac:dyDescent="0.2">
      <c r="A15754" s="1" t="s">
        <v>4202</v>
      </c>
    </row>
    <row r="15755" spans="1:1" x14ac:dyDescent="0.2">
      <c r="A15755" s="1" t="s">
        <v>4202</v>
      </c>
    </row>
    <row r="15756" spans="1:1" x14ac:dyDescent="0.2">
      <c r="A15756" s="1" t="s">
        <v>4203</v>
      </c>
    </row>
    <row r="15757" spans="1:1" x14ac:dyDescent="0.2">
      <c r="A15757" s="1" t="s">
        <v>4204</v>
      </c>
    </row>
    <row r="15758" spans="1:1" x14ac:dyDescent="0.2">
      <c r="A15758" s="1" t="s">
        <v>4205</v>
      </c>
    </row>
    <row r="15759" spans="1:1" x14ac:dyDescent="0.2">
      <c r="A15759" s="1" t="s">
        <v>4206</v>
      </c>
    </row>
    <row r="15760" spans="1:1" x14ac:dyDescent="0.2">
      <c r="A15760" s="1" t="s">
        <v>4207</v>
      </c>
    </row>
    <row r="15761" spans="1:1" x14ac:dyDescent="0.2">
      <c r="A15761" s="1" t="s">
        <v>4208</v>
      </c>
    </row>
    <row r="15762" spans="1:1" x14ac:dyDescent="0.2">
      <c r="A15762" s="1" t="s">
        <v>4209</v>
      </c>
    </row>
    <row r="15763" spans="1:1" x14ac:dyDescent="0.2">
      <c r="A15763" s="1" t="s">
        <v>4210</v>
      </c>
    </row>
    <row r="15764" spans="1:1" x14ac:dyDescent="0.2">
      <c r="A15764" s="1" t="s">
        <v>4210</v>
      </c>
    </row>
    <row r="15765" spans="1:1" x14ac:dyDescent="0.2">
      <c r="A15765" s="1" t="s">
        <v>4210</v>
      </c>
    </row>
    <row r="15766" spans="1:1" x14ac:dyDescent="0.2">
      <c r="A15766" s="1" t="s">
        <v>4210</v>
      </c>
    </row>
    <row r="15767" spans="1:1" x14ac:dyDescent="0.2">
      <c r="A15767" s="1" t="s">
        <v>4211</v>
      </c>
    </row>
    <row r="15768" spans="1:1" x14ac:dyDescent="0.2">
      <c r="A15768" s="1" t="s">
        <v>4202</v>
      </c>
    </row>
    <row r="15769" spans="1:1" x14ac:dyDescent="0.2">
      <c r="A15769" s="1" t="s">
        <v>4202</v>
      </c>
    </row>
    <row r="15770" spans="1:1" x14ac:dyDescent="0.2">
      <c r="A15770" s="1" t="s">
        <v>4202</v>
      </c>
    </row>
    <row r="15771" spans="1:1" x14ac:dyDescent="0.2">
      <c r="A15771" s="1" t="s">
        <v>4203</v>
      </c>
    </row>
    <row r="15772" spans="1:1" x14ac:dyDescent="0.2">
      <c r="A15772" s="1" t="s">
        <v>4204</v>
      </c>
    </row>
    <row r="15773" spans="1:1" x14ac:dyDescent="0.2">
      <c r="A15773" s="1" t="s">
        <v>4205</v>
      </c>
    </row>
    <row r="15774" spans="1:1" x14ac:dyDescent="0.2">
      <c r="A15774" s="1" t="s">
        <v>4206</v>
      </c>
    </row>
    <row r="15775" spans="1:1" x14ac:dyDescent="0.2">
      <c r="A15775" s="1" t="s">
        <v>4207</v>
      </c>
    </row>
    <row r="15776" spans="1:1" x14ac:dyDescent="0.2">
      <c r="A15776" s="1" t="s">
        <v>4208</v>
      </c>
    </row>
    <row r="15777" spans="1:1" x14ac:dyDescent="0.2">
      <c r="A15777" s="1" t="s">
        <v>4209</v>
      </c>
    </row>
    <row r="15778" spans="1:1" x14ac:dyDescent="0.2">
      <c r="A15778" s="1" t="s">
        <v>4210</v>
      </c>
    </row>
    <row r="15779" spans="1:1" x14ac:dyDescent="0.2">
      <c r="A15779" s="1" t="s">
        <v>4210</v>
      </c>
    </row>
    <row r="15780" spans="1:1" x14ac:dyDescent="0.2">
      <c r="A15780" s="1" t="s">
        <v>4210</v>
      </c>
    </row>
    <row r="15781" spans="1:1" x14ac:dyDescent="0.2">
      <c r="A15781" s="1" t="s">
        <v>4210</v>
      </c>
    </row>
    <row r="15782" spans="1:1" x14ac:dyDescent="0.2">
      <c r="A15782" s="1" t="s">
        <v>4211</v>
      </c>
    </row>
    <row r="15783" spans="1:1" x14ac:dyDescent="0.2">
      <c r="A15783" s="1" t="s">
        <v>4202</v>
      </c>
    </row>
    <row r="15784" spans="1:1" x14ac:dyDescent="0.2">
      <c r="A15784" s="1" t="s">
        <v>4202</v>
      </c>
    </row>
    <row r="15785" spans="1:1" x14ac:dyDescent="0.2">
      <c r="A15785" s="1" t="s">
        <v>4202</v>
      </c>
    </row>
    <row r="15786" spans="1:1" x14ac:dyDescent="0.2">
      <c r="A15786" s="1" t="s">
        <v>4203</v>
      </c>
    </row>
    <row r="15787" spans="1:1" x14ac:dyDescent="0.2">
      <c r="A15787" s="1" t="s">
        <v>4204</v>
      </c>
    </row>
    <row r="15788" spans="1:1" x14ac:dyDescent="0.2">
      <c r="A15788" s="1" t="s">
        <v>4205</v>
      </c>
    </row>
    <row r="15789" spans="1:1" x14ac:dyDescent="0.2">
      <c r="A15789" s="1" t="s">
        <v>4206</v>
      </c>
    </row>
    <row r="15790" spans="1:1" x14ac:dyDescent="0.2">
      <c r="A15790" s="1" t="s">
        <v>4207</v>
      </c>
    </row>
    <row r="15791" spans="1:1" x14ac:dyDescent="0.2">
      <c r="A15791" s="1" t="s">
        <v>4208</v>
      </c>
    </row>
    <row r="15792" spans="1:1" x14ac:dyDescent="0.2">
      <c r="A15792" s="1" t="s">
        <v>4209</v>
      </c>
    </row>
    <row r="15793" spans="1:1" x14ac:dyDescent="0.2">
      <c r="A15793" s="1" t="s">
        <v>4210</v>
      </c>
    </row>
    <row r="15794" spans="1:1" x14ac:dyDescent="0.2">
      <c r="A15794" s="1" t="s">
        <v>4210</v>
      </c>
    </row>
    <row r="15795" spans="1:1" x14ac:dyDescent="0.2">
      <c r="A15795" s="1" t="s">
        <v>4210</v>
      </c>
    </row>
    <row r="15796" spans="1:1" x14ac:dyDescent="0.2">
      <c r="A15796" s="1" t="s">
        <v>4210</v>
      </c>
    </row>
    <row r="15797" spans="1:1" x14ac:dyDescent="0.2">
      <c r="A15797" s="1" t="s">
        <v>4211</v>
      </c>
    </row>
    <row r="15798" spans="1:1" x14ac:dyDescent="0.2">
      <c r="A15798" s="1" t="s">
        <v>4202</v>
      </c>
    </row>
    <row r="15799" spans="1:1" x14ac:dyDescent="0.2">
      <c r="A15799" s="1" t="s">
        <v>4213</v>
      </c>
    </row>
    <row r="15800" spans="1:1" x14ac:dyDescent="0.2">
      <c r="A15800" s="1" t="s">
        <v>4213</v>
      </c>
    </row>
    <row r="15801" spans="1:1" x14ac:dyDescent="0.2">
      <c r="A15801" s="1" t="s">
        <v>4214</v>
      </c>
    </row>
    <row r="15802" spans="1:1" x14ac:dyDescent="0.2">
      <c r="A15802" s="1" t="s">
        <v>4215</v>
      </c>
    </row>
    <row r="15803" spans="1:1" x14ac:dyDescent="0.2">
      <c r="A15803" s="1" t="s">
        <v>4216</v>
      </c>
    </row>
    <row r="15804" spans="1:1" x14ac:dyDescent="0.2">
      <c r="A15804" s="1" t="s">
        <v>4217</v>
      </c>
    </row>
    <row r="15805" spans="1:1" x14ac:dyDescent="0.2">
      <c r="A15805" s="1" t="s">
        <v>4218</v>
      </c>
    </row>
    <row r="15806" spans="1:1" x14ac:dyDescent="0.2">
      <c r="A15806" s="1" t="s">
        <v>4219</v>
      </c>
    </row>
    <row r="15807" spans="1:1" x14ac:dyDescent="0.2">
      <c r="A15807" s="1" t="s">
        <v>4220</v>
      </c>
    </row>
    <row r="15808" spans="1:1" x14ac:dyDescent="0.2">
      <c r="A15808" s="1" t="s">
        <v>4221</v>
      </c>
    </row>
    <row r="15809" spans="1:1" x14ac:dyDescent="0.2">
      <c r="A15809" s="1" t="s">
        <v>4221</v>
      </c>
    </row>
    <row r="15810" spans="1:1" x14ac:dyDescent="0.2">
      <c r="A15810" s="1" t="s">
        <v>4221</v>
      </c>
    </row>
    <row r="15811" spans="1:1" x14ac:dyDescent="0.2">
      <c r="A15811" s="1" t="s">
        <v>4221</v>
      </c>
    </row>
    <row r="15812" spans="1:1" x14ac:dyDescent="0.2">
      <c r="A15812" s="1" t="s">
        <v>4222</v>
      </c>
    </row>
    <row r="15813" spans="1:1" x14ac:dyDescent="0.2">
      <c r="A15813" s="1" t="s">
        <v>4213</v>
      </c>
    </row>
    <row r="15814" spans="1:1" x14ac:dyDescent="0.2">
      <c r="A15814" s="1" t="s">
        <v>4213</v>
      </c>
    </row>
    <row r="15815" spans="1:1" x14ac:dyDescent="0.2">
      <c r="A15815" s="1" t="s">
        <v>4213</v>
      </c>
    </row>
    <row r="15816" spans="1:1" x14ac:dyDescent="0.2">
      <c r="A15816" s="1" t="s">
        <v>4214</v>
      </c>
    </row>
    <row r="15817" spans="1:1" x14ac:dyDescent="0.2">
      <c r="A15817" s="1" t="s">
        <v>4215</v>
      </c>
    </row>
    <row r="15818" spans="1:1" x14ac:dyDescent="0.2">
      <c r="A15818" s="1" t="s">
        <v>4216</v>
      </c>
    </row>
    <row r="15819" spans="1:1" x14ac:dyDescent="0.2">
      <c r="A15819" s="1" t="s">
        <v>4217</v>
      </c>
    </row>
    <row r="15820" spans="1:1" x14ac:dyDescent="0.2">
      <c r="A15820" s="1" t="s">
        <v>4218</v>
      </c>
    </row>
    <row r="15821" spans="1:1" x14ac:dyDescent="0.2">
      <c r="A15821" s="1" t="s">
        <v>4219</v>
      </c>
    </row>
    <row r="15822" spans="1:1" x14ac:dyDescent="0.2">
      <c r="A15822" s="1" t="s">
        <v>4220</v>
      </c>
    </row>
    <row r="15823" spans="1:1" x14ac:dyDescent="0.2">
      <c r="A15823" s="1" t="s">
        <v>4221</v>
      </c>
    </row>
    <row r="15824" spans="1:1" x14ac:dyDescent="0.2">
      <c r="A15824" s="1" t="s">
        <v>4221</v>
      </c>
    </row>
    <row r="15825" spans="1:1" x14ac:dyDescent="0.2">
      <c r="A15825" s="1" t="s">
        <v>4221</v>
      </c>
    </row>
    <row r="15826" spans="1:1" x14ac:dyDescent="0.2">
      <c r="A15826" s="1" t="s">
        <v>4221</v>
      </c>
    </row>
    <row r="15827" spans="1:1" x14ac:dyDescent="0.2">
      <c r="A15827" s="1" t="s">
        <v>4222</v>
      </c>
    </row>
    <row r="15828" spans="1:1" x14ac:dyDescent="0.2">
      <c r="A15828" s="1" t="s">
        <v>4213</v>
      </c>
    </row>
    <row r="15829" spans="1:1" x14ac:dyDescent="0.2">
      <c r="A15829" s="1" t="s">
        <v>4213</v>
      </c>
    </row>
    <row r="15830" spans="1:1" x14ac:dyDescent="0.2">
      <c r="A15830" s="1" t="s">
        <v>4213</v>
      </c>
    </row>
    <row r="15831" spans="1:1" x14ac:dyDescent="0.2">
      <c r="A15831" s="1" t="s">
        <v>4214</v>
      </c>
    </row>
    <row r="15832" spans="1:1" x14ac:dyDescent="0.2">
      <c r="A15832" s="1" t="s">
        <v>4215</v>
      </c>
    </row>
    <row r="15833" spans="1:1" x14ac:dyDescent="0.2">
      <c r="A15833" s="1" t="s">
        <v>4216</v>
      </c>
    </row>
    <row r="15834" spans="1:1" x14ac:dyDescent="0.2">
      <c r="A15834" s="1" t="s">
        <v>4217</v>
      </c>
    </row>
    <row r="15835" spans="1:1" x14ac:dyDescent="0.2">
      <c r="A15835" s="1" t="s">
        <v>4218</v>
      </c>
    </row>
    <row r="15836" spans="1:1" x14ac:dyDescent="0.2">
      <c r="A15836" s="1" t="s">
        <v>4219</v>
      </c>
    </row>
    <row r="15837" spans="1:1" x14ac:dyDescent="0.2">
      <c r="A15837" s="1" t="s">
        <v>4220</v>
      </c>
    </row>
    <row r="15838" spans="1:1" x14ac:dyDescent="0.2">
      <c r="A15838" s="1" t="s">
        <v>4221</v>
      </c>
    </row>
    <row r="15839" spans="1:1" x14ac:dyDescent="0.2">
      <c r="A15839" s="1" t="s">
        <v>4221</v>
      </c>
    </row>
    <row r="15840" spans="1:1" x14ac:dyDescent="0.2">
      <c r="A15840" s="1" t="s">
        <v>4221</v>
      </c>
    </row>
    <row r="15841" spans="1:1" x14ac:dyDescent="0.2">
      <c r="A15841" s="1" t="s">
        <v>4221</v>
      </c>
    </row>
    <row r="15842" spans="1:1" x14ac:dyDescent="0.2">
      <c r="A15842" s="1" t="s">
        <v>4222</v>
      </c>
    </row>
    <row r="15843" spans="1:1" x14ac:dyDescent="0.2">
      <c r="A15843" s="1" t="s">
        <v>4213</v>
      </c>
    </row>
    <row r="15844" spans="1:1" x14ac:dyDescent="0.2">
      <c r="A15844" s="1" t="s">
        <v>4213</v>
      </c>
    </row>
    <row r="15845" spans="1:1" x14ac:dyDescent="0.2">
      <c r="A15845" s="1" t="s">
        <v>4213</v>
      </c>
    </row>
    <row r="15846" spans="1:1" x14ac:dyDescent="0.2">
      <c r="A15846" s="1" t="s">
        <v>4214</v>
      </c>
    </row>
    <row r="15847" spans="1:1" x14ac:dyDescent="0.2">
      <c r="A15847" s="1" t="s">
        <v>4215</v>
      </c>
    </row>
    <row r="15848" spans="1:1" x14ac:dyDescent="0.2">
      <c r="A15848" s="1" t="s">
        <v>4216</v>
      </c>
    </row>
    <row r="15849" spans="1:1" x14ac:dyDescent="0.2">
      <c r="A15849" s="1" t="s">
        <v>4217</v>
      </c>
    </row>
    <row r="15850" spans="1:1" x14ac:dyDescent="0.2">
      <c r="A15850" s="1" t="s">
        <v>4218</v>
      </c>
    </row>
    <row r="15851" spans="1:1" x14ac:dyDescent="0.2">
      <c r="A15851" s="1" t="s">
        <v>4219</v>
      </c>
    </row>
    <row r="15852" spans="1:1" x14ac:dyDescent="0.2">
      <c r="A15852" s="1" t="s">
        <v>4220</v>
      </c>
    </row>
    <row r="15853" spans="1:1" x14ac:dyDescent="0.2">
      <c r="A15853" s="1" t="s">
        <v>4221</v>
      </c>
    </row>
    <row r="15854" spans="1:1" x14ac:dyDescent="0.2">
      <c r="A15854" s="1" t="s">
        <v>4221</v>
      </c>
    </row>
    <row r="15855" spans="1:1" x14ac:dyDescent="0.2">
      <c r="A15855" s="1" t="s">
        <v>4221</v>
      </c>
    </row>
    <row r="15856" spans="1:1" x14ac:dyDescent="0.2">
      <c r="A15856" s="1" t="s">
        <v>4221</v>
      </c>
    </row>
    <row r="15857" spans="1:1" x14ac:dyDescent="0.2">
      <c r="A15857" s="1" t="s">
        <v>4222</v>
      </c>
    </row>
    <row r="15858" spans="1:1" x14ac:dyDescent="0.2">
      <c r="A15858" s="1" t="s">
        <v>4213</v>
      </c>
    </row>
    <row r="15859" spans="1:1" x14ac:dyDescent="0.2">
      <c r="A15859" s="1" t="s">
        <v>4213</v>
      </c>
    </row>
    <row r="15860" spans="1:1" x14ac:dyDescent="0.2">
      <c r="A15860" s="1" t="s">
        <v>4213</v>
      </c>
    </row>
    <row r="15861" spans="1:1" x14ac:dyDescent="0.2">
      <c r="A15861" s="1" t="s">
        <v>4214</v>
      </c>
    </row>
    <row r="15862" spans="1:1" x14ac:dyDescent="0.2">
      <c r="A15862" s="1" t="s">
        <v>4215</v>
      </c>
    </row>
    <row r="15863" spans="1:1" x14ac:dyDescent="0.2">
      <c r="A15863" s="1" t="s">
        <v>4216</v>
      </c>
    </row>
    <row r="15864" spans="1:1" x14ac:dyDescent="0.2">
      <c r="A15864" s="1" t="s">
        <v>4217</v>
      </c>
    </row>
    <row r="15865" spans="1:1" x14ac:dyDescent="0.2">
      <c r="A15865" s="1" t="s">
        <v>4218</v>
      </c>
    </row>
    <row r="15866" spans="1:1" x14ac:dyDescent="0.2">
      <c r="A15866" s="1" t="s">
        <v>4219</v>
      </c>
    </row>
    <row r="15867" spans="1:1" x14ac:dyDescent="0.2">
      <c r="A15867" s="1" t="s">
        <v>4220</v>
      </c>
    </row>
    <row r="15868" spans="1:1" x14ac:dyDescent="0.2">
      <c r="A15868" s="1" t="s">
        <v>4221</v>
      </c>
    </row>
    <row r="15869" spans="1:1" x14ac:dyDescent="0.2">
      <c r="A15869" s="1" t="s">
        <v>4221</v>
      </c>
    </row>
    <row r="15870" spans="1:1" x14ac:dyDescent="0.2">
      <c r="A15870" s="1" t="s">
        <v>4221</v>
      </c>
    </row>
    <row r="15871" spans="1:1" x14ac:dyDescent="0.2">
      <c r="A15871" s="1" t="s">
        <v>4221</v>
      </c>
    </row>
    <row r="15872" spans="1:1" x14ac:dyDescent="0.2">
      <c r="A15872" s="1" t="s">
        <v>4222</v>
      </c>
    </row>
    <row r="15873" spans="1:1" x14ac:dyDescent="0.2">
      <c r="A15873" s="1" t="s">
        <v>4213</v>
      </c>
    </row>
    <row r="15874" spans="1:1" x14ac:dyDescent="0.2">
      <c r="A15874" s="1" t="s">
        <v>4223</v>
      </c>
    </row>
    <row r="15875" spans="1:1" x14ac:dyDescent="0.2">
      <c r="A15875" s="1" t="s">
        <v>4223</v>
      </c>
    </row>
    <row r="15876" spans="1:1" x14ac:dyDescent="0.2">
      <c r="A15876" s="1" t="s">
        <v>4214</v>
      </c>
    </row>
    <row r="15877" spans="1:1" x14ac:dyDescent="0.2">
      <c r="A15877" s="1" t="s">
        <v>4215</v>
      </c>
    </row>
    <row r="15878" spans="1:1" x14ac:dyDescent="0.2">
      <c r="A15878" s="1" t="s">
        <v>4216</v>
      </c>
    </row>
    <row r="15879" spans="1:1" x14ac:dyDescent="0.2">
      <c r="A15879" s="1" t="s">
        <v>4217</v>
      </c>
    </row>
    <row r="15880" spans="1:1" x14ac:dyDescent="0.2">
      <c r="A15880" s="1" t="s">
        <v>4218</v>
      </c>
    </row>
    <row r="15881" spans="1:1" x14ac:dyDescent="0.2">
      <c r="A15881" s="1" t="s">
        <v>4219</v>
      </c>
    </row>
    <row r="15882" spans="1:1" x14ac:dyDescent="0.2">
      <c r="A15882" s="1" t="s">
        <v>4220</v>
      </c>
    </row>
    <row r="15883" spans="1:1" x14ac:dyDescent="0.2">
      <c r="A15883" s="1" t="s">
        <v>4221</v>
      </c>
    </row>
    <row r="15884" spans="1:1" x14ac:dyDescent="0.2">
      <c r="A15884" s="1" t="s">
        <v>4221</v>
      </c>
    </row>
    <row r="15885" spans="1:1" x14ac:dyDescent="0.2">
      <c r="A15885" s="1" t="s">
        <v>4221</v>
      </c>
    </row>
    <row r="15886" spans="1:1" x14ac:dyDescent="0.2">
      <c r="A15886" s="1" t="s">
        <v>4221</v>
      </c>
    </row>
    <row r="15887" spans="1:1" x14ac:dyDescent="0.2">
      <c r="A15887" s="1" t="s">
        <v>4222</v>
      </c>
    </row>
    <row r="15888" spans="1:1" x14ac:dyDescent="0.2">
      <c r="A15888" s="1" t="s">
        <v>4223</v>
      </c>
    </row>
    <row r="15889" spans="1:1" x14ac:dyDescent="0.2">
      <c r="A15889" s="1" t="s">
        <v>4223</v>
      </c>
    </row>
    <row r="15890" spans="1:1" x14ac:dyDescent="0.2">
      <c r="A15890" s="1" t="s">
        <v>4223</v>
      </c>
    </row>
    <row r="15891" spans="1:1" x14ac:dyDescent="0.2">
      <c r="A15891" s="1" t="s">
        <v>4214</v>
      </c>
    </row>
    <row r="15892" spans="1:1" x14ac:dyDescent="0.2">
      <c r="A15892" s="1" t="s">
        <v>4215</v>
      </c>
    </row>
    <row r="15893" spans="1:1" x14ac:dyDescent="0.2">
      <c r="A15893" s="1" t="s">
        <v>4216</v>
      </c>
    </row>
    <row r="15894" spans="1:1" x14ac:dyDescent="0.2">
      <c r="A15894" s="1" t="s">
        <v>4217</v>
      </c>
    </row>
    <row r="15895" spans="1:1" x14ac:dyDescent="0.2">
      <c r="A15895" s="1" t="s">
        <v>4218</v>
      </c>
    </row>
    <row r="15896" spans="1:1" x14ac:dyDescent="0.2">
      <c r="A15896" s="1" t="s">
        <v>4219</v>
      </c>
    </row>
    <row r="15897" spans="1:1" x14ac:dyDescent="0.2">
      <c r="A15897" s="1" t="s">
        <v>4220</v>
      </c>
    </row>
    <row r="15898" spans="1:1" x14ac:dyDescent="0.2">
      <c r="A15898" s="1" t="s">
        <v>4221</v>
      </c>
    </row>
    <row r="15899" spans="1:1" x14ac:dyDescent="0.2">
      <c r="A15899" s="1" t="s">
        <v>4221</v>
      </c>
    </row>
    <row r="15900" spans="1:1" x14ac:dyDescent="0.2">
      <c r="A15900" s="1" t="s">
        <v>4221</v>
      </c>
    </row>
    <row r="15901" spans="1:1" x14ac:dyDescent="0.2">
      <c r="A15901" s="1" t="s">
        <v>4221</v>
      </c>
    </row>
    <row r="15902" spans="1:1" x14ac:dyDescent="0.2">
      <c r="A15902" s="1" t="s">
        <v>4222</v>
      </c>
    </row>
    <row r="15903" spans="1:1" x14ac:dyDescent="0.2">
      <c r="A15903" s="1" t="s">
        <v>4223</v>
      </c>
    </row>
    <row r="15904" spans="1:1" x14ac:dyDescent="0.2">
      <c r="A15904" s="1" t="s">
        <v>4223</v>
      </c>
    </row>
    <row r="15905" spans="1:1" x14ac:dyDescent="0.2">
      <c r="A15905" s="1" t="s">
        <v>4223</v>
      </c>
    </row>
    <row r="15906" spans="1:1" x14ac:dyDescent="0.2">
      <c r="A15906" s="1" t="s">
        <v>4214</v>
      </c>
    </row>
    <row r="15907" spans="1:1" x14ac:dyDescent="0.2">
      <c r="A15907" s="1" t="s">
        <v>4215</v>
      </c>
    </row>
    <row r="15908" spans="1:1" x14ac:dyDescent="0.2">
      <c r="A15908" s="1" t="s">
        <v>4216</v>
      </c>
    </row>
    <row r="15909" spans="1:1" x14ac:dyDescent="0.2">
      <c r="A15909" s="1" t="s">
        <v>4217</v>
      </c>
    </row>
    <row r="15910" spans="1:1" x14ac:dyDescent="0.2">
      <c r="A15910" s="1" t="s">
        <v>4218</v>
      </c>
    </row>
    <row r="15911" spans="1:1" x14ac:dyDescent="0.2">
      <c r="A15911" s="1" t="s">
        <v>4219</v>
      </c>
    </row>
    <row r="15912" spans="1:1" x14ac:dyDescent="0.2">
      <c r="A15912" s="1" t="s">
        <v>4220</v>
      </c>
    </row>
    <row r="15913" spans="1:1" x14ac:dyDescent="0.2">
      <c r="A15913" s="1" t="s">
        <v>4221</v>
      </c>
    </row>
    <row r="15914" spans="1:1" x14ac:dyDescent="0.2">
      <c r="A15914" s="1" t="s">
        <v>4221</v>
      </c>
    </row>
    <row r="15915" spans="1:1" x14ac:dyDescent="0.2">
      <c r="A15915" s="1" t="s">
        <v>4221</v>
      </c>
    </row>
    <row r="15916" spans="1:1" x14ac:dyDescent="0.2">
      <c r="A15916" s="1" t="s">
        <v>4221</v>
      </c>
    </row>
    <row r="15917" spans="1:1" x14ac:dyDescent="0.2">
      <c r="A15917" s="1" t="s">
        <v>4222</v>
      </c>
    </row>
    <row r="15918" spans="1:1" x14ac:dyDescent="0.2">
      <c r="A15918" s="1" t="s">
        <v>4223</v>
      </c>
    </row>
    <row r="15919" spans="1:1" x14ac:dyDescent="0.2">
      <c r="A15919" s="1" t="s">
        <v>4223</v>
      </c>
    </row>
    <row r="15920" spans="1:1" x14ac:dyDescent="0.2">
      <c r="A15920" s="1" t="s">
        <v>4223</v>
      </c>
    </row>
    <row r="15921" spans="1:1" x14ac:dyDescent="0.2">
      <c r="A15921" s="1" t="s">
        <v>4214</v>
      </c>
    </row>
    <row r="15922" spans="1:1" x14ac:dyDescent="0.2">
      <c r="A15922" s="1" t="s">
        <v>4215</v>
      </c>
    </row>
    <row r="15923" spans="1:1" x14ac:dyDescent="0.2">
      <c r="A15923" s="1" t="s">
        <v>4216</v>
      </c>
    </row>
    <row r="15924" spans="1:1" x14ac:dyDescent="0.2">
      <c r="A15924" s="1" t="s">
        <v>4217</v>
      </c>
    </row>
    <row r="15925" spans="1:1" x14ac:dyDescent="0.2">
      <c r="A15925" s="1" t="s">
        <v>4218</v>
      </c>
    </row>
    <row r="15926" spans="1:1" x14ac:dyDescent="0.2">
      <c r="A15926" s="1" t="s">
        <v>4219</v>
      </c>
    </row>
    <row r="15927" spans="1:1" x14ac:dyDescent="0.2">
      <c r="A15927" s="1" t="s">
        <v>4220</v>
      </c>
    </row>
    <row r="15928" spans="1:1" x14ac:dyDescent="0.2">
      <c r="A15928" s="1" t="s">
        <v>4221</v>
      </c>
    </row>
    <row r="15929" spans="1:1" x14ac:dyDescent="0.2">
      <c r="A15929" s="1" t="s">
        <v>4221</v>
      </c>
    </row>
    <row r="15930" spans="1:1" x14ac:dyDescent="0.2">
      <c r="A15930" s="1" t="s">
        <v>4221</v>
      </c>
    </row>
    <row r="15931" spans="1:1" x14ac:dyDescent="0.2">
      <c r="A15931" s="1" t="s">
        <v>4221</v>
      </c>
    </row>
    <row r="15932" spans="1:1" x14ac:dyDescent="0.2">
      <c r="A15932" s="1" t="s">
        <v>4222</v>
      </c>
    </row>
    <row r="15933" spans="1:1" x14ac:dyDescent="0.2">
      <c r="A15933" s="1" t="s">
        <v>4223</v>
      </c>
    </row>
    <row r="15934" spans="1:1" x14ac:dyDescent="0.2">
      <c r="A15934" s="1" t="s">
        <v>4223</v>
      </c>
    </row>
    <row r="15935" spans="1:1" x14ac:dyDescent="0.2">
      <c r="A15935" s="1" t="s">
        <v>4223</v>
      </c>
    </row>
    <row r="15936" spans="1:1" x14ac:dyDescent="0.2">
      <c r="A15936" s="1" t="s">
        <v>4214</v>
      </c>
    </row>
    <row r="15937" spans="1:1" x14ac:dyDescent="0.2">
      <c r="A15937" s="1" t="s">
        <v>4215</v>
      </c>
    </row>
    <row r="15938" spans="1:1" x14ac:dyDescent="0.2">
      <c r="A15938" s="1" t="s">
        <v>4216</v>
      </c>
    </row>
    <row r="15939" spans="1:1" x14ac:dyDescent="0.2">
      <c r="A15939" s="1" t="s">
        <v>4217</v>
      </c>
    </row>
    <row r="15940" spans="1:1" x14ac:dyDescent="0.2">
      <c r="A15940" s="1" t="s">
        <v>4218</v>
      </c>
    </row>
    <row r="15941" spans="1:1" x14ac:dyDescent="0.2">
      <c r="A15941" s="1" t="s">
        <v>4219</v>
      </c>
    </row>
    <row r="15942" spans="1:1" x14ac:dyDescent="0.2">
      <c r="A15942" s="1" t="s">
        <v>4220</v>
      </c>
    </row>
    <row r="15943" spans="1:1" x14ac:dyDescent="0.2">
      <c r="A15943" s="1" t="s">
        <v>4221</v>
      </c>
    </row>
    <row r="15944" spans="1:1" x14ac:dyDescent="0.2">
      <c r="A15944" s="1" t="s">
        <v>4221</v>
      </c>
    </row>
    <row r="15945" spans="1:1" x14ac:dyDescent="0.2">
      <c r="A15945" s="1" t="s">
        <v>4221</v>
      </c>
    </row>
    <row r="15946" spans="1:1" x14ac:dyDescent="0.2">
      <c r="A15946" s="1" t="s">
        <v>4221</v>
      </c>
    </row>
    <row r="15947" spans="1:1" x14ac:dyDescent="0.2">
      <c r="A15947" s="1" t="s">
        <v>4222</v>
      </c>
    </row>
    <row r="15948" spans="1:1" x14ac:dyDescent="0.2">
      <c r="A15948" s="1" t="s">
        <v>4223</v>
      </c>
    </row>
    <row r="15949" spans="1:1" x14ac:dyDescent="0.2">
      <c r="A15949" s="1" t="s">
        <v>4224</v>
      </c>
    </row>
    <row r="15950" spans="1:1" x14ac:dyDescent="0.2">
      <c r="A15950" s="1" t="s">
        <v>4224</v>
      </c>
    </row>
    <row r="15951" spans="1:1" x14ac:dyDescent="0.2">
      <c r="A15951" s="1" t="s">
        <v>4225</v>
      </c>
    </row>
    <row r="15952" spans="1:1" x14ac:dyDescent="0.2">
      <c r="A15952" s="1" t="s">
        <v>4226</v>
      </c>
    </row>
    <row r="15953" spans="1:1" x14ac:dyDescent="0.2">
      <c r="A15953" s="1" t="s">
        <v>4227</v>
      </c>
    </row>
    <row r="15954" spans="1:1" x14ac:dyDescent="0.2">
      <c r="A15954" s="1" t="s">
        <v>4228</v>
      </c>
    </row>
    <row r="15955" spans="1:1" x14ac:dyDescent="0.2">
      <c r="A15955" s="1" t="s">
        <v>4229</v>
      </c>
    </row>
    <row r="15956" spans="1:1" x14ac:dyDescent="0.2">
      <c r="A15956" s="1" t="s">
        <v>4230</v>
      </c>
    </row>
    <row r="15957" spans="1:1" x14ac:dyDescent="0.2">
      <c r="A15957" s="1" t="s">
        <v>4231</v>
      </c>
    </row>
    <row r="15958" spans="1:1" x14ac:dyDescent="0.2">
      <c r="A15958" s="1" t="s">
        <v>4232</v>
      </c>
    </row>
    <row r="15959" spans="1:1" x14ac:dyDescent="0.2">
      <c r="A15959" s="1" t="s">
        <v>4232</v>
      </c>
    </row>
    <row r="15960" spans="1:1" x14ac:dyDescent="0.2">
      <c r="A15960" s="1" t="s">
        <v>4232</v>
      </c>
    </row>
    <row r="15961" spans="1:1" x14ac:dyDescent="0.2">
      <c r="A15961" s="1" t="s">
        <v>4232</v>
      </c>
    </row>
    <row r="15962" spans="1:1" x14ac:dyDescent="0.2">
      <c r="A15962" s="1" t="s">
        <v>4233</v>
      </c>
    </row>
    <row r="15963" spans="1:1" x14ac:dyDescent="0.2">
      <c r="A15963" s="1" t="s">
        <v>4224</v>
      </c>
    </row>
    <row r="15964" spans="1:1" x14ac:dyDescent="0.2">
      <c r="A15964" s="1" t="s">
        <v>4224</v>
      </c>
    </row>
    <row r="15965" spans="1:1" x14ac:dyDescent="0.2">
      <c r="A15965" s="1" t="s">
        <v>4224</v>
      </c>
    </row>
    <row r="15966" spans="1:1" x14ac:dyDescent="0.2">
      <c r="A15966" s="1" t="s">
        <v>4225</v>
      </c>
    </row>
    <row r="15967" spans="1:1" x14ac:dyDescent="0.2">
      <c r="A15967" s="1" t="s">
        <v>4226</v>
      </c>
    </row>
    <row r="15968" spans="1:1" x14ac:dyDescent="0.2">
      <c r="A15968" s="1" t="s">
        <v>4227</v>
      </c>
    </row>
    <row r="15969" spans="1:1" x14ac:dyDescent="0.2">
      <c r="A15969" s="1" t="s">
        <v>4228</v>
      </c>
    </row>
    <row r="15970" spans="1:1" x14ac:dyDescent="0.2">
      <c r="A15970" s="1" t="s">
        <v>4229</v>
      </c>
    </row>
    <row r="15971" spans="1:1" x14ac:dyDescent="0.2">
      <c r="A15971" s="1" t="s">
        <v>4230</v>
      </c>
    </row>
    <row r="15972" spans="1:1" x14ac:dyDescent="0.2">
      <c r="A15972" s="1" t="s">
        <v>4231</v>
      </c>
    </row>
    <row r="15973" spans="1:1" x14ac:dyDescent="0.2">
      <c r="A15973" s="1" t="s">
        <v>4232</v>
      </c>
    </row>
    <row r="15974" spans="1:1" x14ac:dyDescent="0.2">
      <c r="A15974" s="1" t="s">
        <v>4232</v>
      </c>
    </row>
    <row r="15975" spans="1:1" x14ac:dyDescent="0.2">
      <c r="A15975" s="1" t="s">
        <v>4232</v>
      </c>
    </row>
    <row r="15976" spans="1:1" x14ac:dyDescent="0.2">
      <c r="A15976" s="1" t="s">
        <v>4232</v>
      </c>
    </row>
    <row r="15977" spans="1:1" x14ac:dyDescent="0.2">
      <c r="A15977" s="1" t="s">
        <v>4233</v>
      </c>
    </row>
    <row r="15978" spans="1:1" x14ac:dyDescent="0.2">
      <c r="A15978" s="1" t="s">
        <v>4224</v>
      </c>
    </row>
    <row r="15979" spans="1:1" x14ac:dyDescent="0.2">
      <c r="A15979" s="1" t="s">
        <v>4224</v>
      </c>
    </row>
    <row r="15980" spans="1:1" x14ac:dyDescent="0.2">
      <c r="A15980" s="1" t="s">
        <v>4224</v>
      </c>
    </row>
    <row r="15981" spans="1:1" x14ac:dyDescent="0.2">
      <c r="A15981" s="1" t="s">
        <v>4225</v>
      </c>
    </row>
    <row r="15982" spans="1:1" x14ac:dyDescent="0.2">
      <c r="A15982" s="1" t="s">
        <v>4226</v>
      </c>
    </row>
    <row r="15983" spans="1:1" x14ac:dyDescent="0.2">
      <c r="A15983" s="1" t="s">
        <v>4227</v>
      </c>
    </row>
    <row r="15984" spans="1:1" x14ac:dyDescent="0.2">
      <c r="A15984" s="1" t="s">
        <v>4228</v>
      </c>
    </row>
    <row r="15985" spans="1:1" x14ac:dyDescent="0.2">
      <c r="A15985" s="1" t="s">
        <v>4229</v>
      </c>
    </row>
    <row r="15986" spans="1:1" x14ac:dyDescent="0.2">
      <c r="A15986" s="1" t="s">
        <v>4230</v>
      </c>
    </row>
    <row r="15987" spans="1:1" x14ac:dyDescent="0.2">
      <c r="A15987" s="1" t="s">
        <v>4231</v>
      </c>
    </row>
    <row r="15988" spans="1:1" x14ac:dyDescent="0.2">
      <c r="A15988" s="1" t="s">
        <v>4232</v>
      </c>
    </row>
    <row r="15989" spans="1:1" x14ac:dyDescent="0.2">
      <c r="A15989" s="1" t="s">
        <v>4232</v>
      </c>
    </row>
    <row r="15990" spans="1:1" x14ac:dyDescent="0.2">
      <c r="A15990" s="1" t="s">
        <v>4232</v>
      </c>
    </row>
    <row r="15991" spans="1:1" x14ac:dyDescent="0.2">
      <c r="A15991" s="1" t="s">
        <v>4232</v>
      </c>
    </row>
    <row r="15992" spans="1:1" x14ac:dyDescent="0.2">
      <c r="A15992" s="1" t="s">
        <v>4233</v>
      </c>
    </row>
    <row r="15993" spans="1:1" x14ac:dyDescent="0.2">
      <c r="A15993" s="1" t="s">
        <v>4224</v>
      </c>
    </row>
    <row r="15994" spans="1:1" x14ac:dyDescent="0.2">
      <c r="A15994" s="1" t="s">
        <v>4224</v>
      </c>
    </row>
    <row r="15995" spans="1:1" x14ac:dyDescent="0.2">
      <c r="A15995" s="1" t="s">
        <v>4224</v>
      </c>
    </row>
    <row r="15996" spans="1:1" x14ac:dyDescent="0.2">
      <c r="A15996" s="1" t="s">
        <v>4225</v>
      </c>
    </row>
    <row r="15997" spans="1:1" x14ac:dyDescent="0.2">
      <c r="A15997" s="1" t="s">
        <v>4226</v>
      </c>
    </row>
    <row r="15998" spans="1:1" x14ac:dyDescent="0.2">
      <c r="A15998" s="1" t="s">
        <v>4227</v>
      </c>
    </row>
    <row r="15999" spans="1:1" x14ac:dyDescent="0.2">
      <c r="A15999" s="1" t="s">
        <v>4228</v>
      </c>
    </row>
    <row r="16000" spans="1:1" x14ac:dyDescent="0.2">
      <c r="A16000" s="1" t="s">
        <v>4229</v>
      </c>
    </row>
    <row r="16001" spans="1:1" x14ac:dyDescent="0.2">
      <c r="A16001" s="1" t="s">
        <v>4230</v>
      </c>
    </row>
    <row r="16002" spans="1:1" x14ac:dyDescent="0.2">
      <c r="A16002" s="1" t="s">
        <v>4231</v>
      </c>
    </row>
    <row r="16003" spans="1:1" x14ac:dyDescent="0.2">
      <c r="A16003" s="1" t="s">
        <v>4232</v>
      </c>
    </row>
    <row r="16004" spans="1:1" x14ac:dyDescent="0.2">
      <c r="A16004" s="1" t="s">
        <v>4232</v>
      </c>
    </row>
    <row r="16005" spans="1:1" x14ac:dyDescent="0.2">
      <c r="A16005" s="1" t="s">
        <v>4232</v>
      </c>
    </row>
    <row r="16006" spans="1:1" x14ac:dyDescent="0.2">
      <c r="A16006" s="1" t="s">
        <v>4232</v>
      </c>
    </row>
    <row r="16007" spans="1:1" x14ac:dyDescent="0.2">
      <c r="A16007" s="1" t="s">
        <v>4233</v>
      </c>
    </row>
    <row r="16008" spans="1:1" x14ac:dyDescent="0.2">
      <c r="A16008" s="1" t="s">
        <v>4224</v>
      </c>
    </row>
    <row r="16009" spans="1:1" x14ac:dyDescent="0.2">
      <c r="A16009" s="1" t="s">
        <v>4224</v>
      </c>
    </row>
    <row r="16010" spans="1:1" x14ac:dyDescent="0.2">
      <c r="A16010" s="1" t="s">
        <v>4224</v>
      </c>
    </row>
    <row r="16011" spans="1:1" x14ac:dyDescent="0.2">
      <c r="A16011" s="1" t="s">
        <v>4225</v>
      </c>
    </row>
    <row r="16012" spans="1:1" x14ac:dyDescent="0.2">
      <c r="A16012" s="1" t="s">
        <v>4226</v>
      </c>
    </row>
    <row r="16013" spans="1:1" x14ac:dyDescent="0.2">
      <c r="A16013" s="1" t="s">
        <v>4227</v>
      </c>
    </row>
    <row r="16014" spans="1:1" x14ac:dyDescent="0.2">
      <c r="A16014" s="1" t="s">
        <v>4228</v>
      </c>
    </row>
    <row r="16015" spans="1:1" x14ac:dyDescent="0.2">
      <c r="A16015" s="1" t="s">
        <v>4229</v>
      </c>
    </row>
    <row r="16016" spans="1:1" x14ac:dyDescent="0.2">
      <c r="A16016" s="1" t="s">
        <v>4230</v>
      </c>
    </row>
    <row r="16017" spans="1:1" x14ac:dyDescent="0.2">
      <c r="A16017" s="1" t="s">
        <v>4231</v>
      </c>
    </row>
    <row r="16018" spans="1:1" x14ac:dyDescent="0.2">
      <c r="A16018" s="1" t="s">
        <v>4232</v>
      </c>
    </row>
    <row r="16019" spans="1:1" x14ac:dyDescent="0.2">
      <c r="A16019" s="1" t="s">
        <v>4232</v>
      </c>
    </row>
    <row r="16020" spans="1:1" x14ac:dyDescent="0.2">
      <c r="A16020" s="1" t="s">
        <v>4232</v>
      </c>
    </row>
    <row r="16021" spans="1:1" x14ac:dyDescent="0.2">
      <c r="A16021" s="1" t="s">
        <v>4232</v>
      </c>
    </row>
    <row r="16022" spans="1:1" x14ac:dyDescent="0.2">
      <c r="A16022" s="1" t="s">
        <v>4233</v>
      </c>
    </row>
    <row r="16023" spans="1:1" x14ac:dyDescent="0.2">
      <c r="A16023" s="1" t="s">
        <v>4224</v>
      </c>
    </row>
    <row r="16024" spans="1:1" x14ac:dyDescent="0.2">
      <c r="A16024" s="1" t="s">
        <v>4234</v>
      </c>
    </row>
    <row r="16025" spans="1:1" x14ac:dyDescent="0.2">
      <c r="A16025" s="1" t="s">
        <v>4234</v>
      </c>
    </row>
    <row r="16026" spans="1:1" x14ac:dyDescent="0.2">
      <c r="A16026" s="1" t="s">
        <v>4235</v>
      </c>
    </row>
    <row r="16027" spans="1:1" x14ac:dyDescent="0.2">
      <c r="A16027" s="1" t="s">
        <v>4236</v>
      </c>
    </row>
    <row r="16028" spans="1:1" x14ac:dyDescent="0.2">
      <c r="A16028" s="1" t="s">
        <v>4237</v>
      </c>
    </row>
    <row r="16029" spans="1:1" x14ac:dyDescent="0.2">
      <c r="A16029" s="1" t="s">
        <v>4238</v>
      </c>
    </row>
    <row r="16030" spans="1:1" x14ac:dyDescent="0.2">
      <c r="A16030" s="1" t="s">
        <v>4239</v>
      </c>
    </row>
    <row r="16031" spans="1:1" x14ac:dyDescent="0.2">
      <c r="A16031" s="1" t="s">
        <v>4240</v>
      </c>
    </row>
    <row r="16032" spans="1:1" x14ac:dyDescent="0.2">
      <c r="A16032" s="1" t="s">
        <v>4241</v>
      </c>
    </row>
    <row r="16033" spans="1:1" x14ac:dyDescent="0.2">
      <c r="A16033" s="1" t="s">
        <v>4242</v>
      </c>
    </row>
    <row r="16034" spans="1:1" x14ac:dyDescent="0.2">
      <c r="A16034" s="1" t="s">
        <v>4242</v>
      </c>
    </row>
    <row r="16035" spans="1:1" x14ac:dyDescent="0.2">
      <c r="A16035" s="1" t="s">
        <v>4242</v>
      </c>
    </row>
    <row r="16036" spans="1:1" x14ac:dyDescent="0.2">
      <c r="A16036" s="1" t="s">
        <v>4242</v>
      </c>
    </row>
    <row r="16037" spans="1:1" x14ac:dyDescent="0.2">
      <c r="A16037" s="1" t="s">
        <v>4243</v>
      </c>
    </row>
    <row r="16038" spans="1:1" x14ac:dyDescent="0.2">
      <c r="A16038" s="1" t="s">
        <v>4234</v>
      </c>
    </row>
    <row r="16039" spans="1:1" x14ac:dyDescent="0.2">
      <c r="A16039" s="1" t="s">
        <v>4234</v>
      </c>
    </row>
    <row r="16040" spans="1:1" x14ac:dyDescent="0.2">
      <c r="A16040" s="1" t="s">
        <v>4234</v>
      </c>
    </row>
    <row r="16041" spans="1:1" x14ac:dyDescent="0.2">
      <c r="A16041" s="1" t="s">
        <v>4235</v>
      </c>
    </row>
    <row r="16042" spans="1:1" x14ac:dyDescent="0.2">
      <c r="A16042" s="1" t="s">
        <v>4236</v>
      </c>
    </row>
    <row r="16043" spans="1:1" x14ac:dyDescent="0.2">
      <c r="A16043" s="1" t="s">
        <v>4237</v>
      </c>
    </row>
    <row r="16044" spans="1:1" x14ac:dyDescent="0.2">
      <c r="A16044" s="1" t="s">
        <v>4238</v>
      </c>
    </row>
    <row r="16045" spans="1:1" x14ac:dyDescent="0.2">
      <c r="A16045" s="1" t="s">
        <v>4239</v>
      </c>
    </row>
    <row r="16046" spans="1:1" x14ac:dyDescent="0.2">
      <c r="A16046" s="1" t="s">
        <v>4240</v>
      </c>
    </row>
    <row r="16047" spans="1:1" x14ac:dyDescent="0.2">
      <c r="A16047" s="1" t="s">
        <v>4241</v>
      </c>
    </row>
    <row r="16048" spans="1:1" x14ac:dyDescent="0.2">
      <c r="A16048" s="1" t="s">
        <v>4242</v>
      </c>
    </row>
    <row r="16049" spans="1:1" x14ac:dyDescent="0.2">
      <c r="A16049" s="1" t="s">
        <v>4242</v>
      </c>
    </row>
    <row r="16050" spans="1:1" x14ac:dyDescent="0.2">
      <c r="A16050" s="1" t="s">
        <v>4242</v>
      </c>
    </row>
    <row r="16051" spans="1:1" x14ac:dyDescent="0.2">
      <c r="A16051" s="1" t="s">
        <v>4242</v>
      </c>
    </row>
    <row r="16052" spans="1:1" x14ac:dyDescent="0.2">
      <c r="A16052" s="1" t="s">
        <v>4243</v>
      </c>
    </row>
    <row r="16053" spans="1:1" x14ac:dyDescent="0.2">
      <c r="A16053" s="1" t="s">
        <v>4234</v>
      </c>
    </row>
    <row r="16054" spans="1:1" x14ac:dyDescent="0.2">
      <c r="A16054" s="1" t="s">
        <v>4234</v>
      </c>
    </row>
    <row r="16055" spans="1:1" x14ac:dyDescent="0.2">
      <c r="A16055" s="1" t="s">
        <v>4234</v>
      </c>
    </row>
    <row r="16056" spans="1:1" x14ac:dyDescent="0.2">
      <c r="A16056" s="1" t="s">
        <v>4235</v>
      </c>
    </row>
    <row r="16057" spans="1:1" x14ac:dyDescent="0.2">
      <c r="A16057" s="1" t="s">
        <v>4236</v>
      </c>
    </row>
    <row r="16058" spans="1:1" x14ac:dyDescent="0.2">
      <c r="A16058" s="1" t="s">
        <v>4237</v>
      </c>
    </row>
    <row r="16059" spans="1:1" x14ac:dyDescent="0.2">
      <c r="A16059" s="1" t="s">
        <v>4238</v>
      </c>
    </row>
    <row r="16060" spans="1:1" x14ac:dyDescent="0.2">
      <c r="A16060" s="1" t="s">
        <v>4239</v>
      </c>
    </row>
    <row r="16061" spans="1:1" x14ac:dyDescent="0.2">
      <c r="A16061" s="1" t="s">
        <v>4240</v>
      </c>
    </row>
    <row r="16062" spans="1:1" x14ac:dyDescent="0.2">
      <c r="A16062" s="1" t="s">
        <v>4241</v>
      </c>
    </row>
    <row r="16063" spans="1:1" x14ac:dyDescent="0.2">
      <c r="A16063" s="1" t="s">
        <v>4242</v>
      </c>
    </row>
    <row r="16064" spans="1:1" x14ac:dyDescent="0.2">
      <c r="A16064" s="1" t="s">
        <v>4242</v>
      </c>
    </row>
    <row r="16065" spans="1:1" x14ac:dyDescent="0.2">
      <c r="A16065" s="1" t="s">
        <v>4242</v>
      </c>
    </row>
    <row r="16066" spans="1:1" x14ac:dyDescent="0.2">
      <c r="A16066" s="1" t="s">
        <v>4242</v>
      </c>
    </row>
    <row r="16067" spans="1:1" x14ac:dyDescent="0.2">
      <c r="A16067" s="1" t="s">
        <v>4243</v>
      </c>
    </row>
    <row r="16068" spans="1:1" x14ac:dyDescent="0.2">
      <c r="A16068" s="1" t="s">
        <v>4234</v>
      </c>
    </row>
    <row r="16069" spans="1:1" x14ac:dyDescent="0.2">
      <c r="A16069" s="1" t="s">
        <v>4234</v>
      </c>
    </row>
    <row r="16070" spans="1:1" x14ac:dyDescent="0.2">
      <c r="A16070" s="1" t="s">
        <v>4234</v>
      </c>
    </row>
    <row r="16071" spans="1:1" x14ac:dyDescent="0.2">
      <c r="A16071" s="1" t="s">
        <v>4235</v>
      </c>
    </row>
    <row r="16072" spans="1:1" x14ac:dyDescent="0.2">
      <c r="A16072" s="1" t="s">
        <v>4236</v>
      </c>
    </row>
    <row r="16073" spans="1:1" x14ac:dyDescent="0.2">
      <c r="A16073" s="1" t="s">
        <v>4237</v>
      </c>
    </row>
    <row r="16074" spans="1:1" x14ac:dyDescent="0.2">
      <c r="A16074" s="1" t="s">
        <v>4238</v>
      </c>
    </row>
    <row r="16075" spans="1:1" x14ac:dyDescent="0.2">
      <c r="A16075" s="1" t="s">
        <v>4239</v>
      </c>
    </row>
    <row r="16076" spans="1:1" x14ac:dyDescent="0.2">
      <c r="A16076" s="1" t="s">
        <v>4240</v>
      </c>
    </row>
    <row r="16077" spans="1:1" x14ac:dyDescent="0.2">
      <c r="A16077" s="1" t="s">
        <v>4241</v>
      </c>
    </row>
    <row r="16078" spans="1:1" x14ac:dyDescent="0.2">
      <c r="A16078" s="1" t="s">
        <v>4242</v>
      </c>
    </row>
    <row r="16079" spans="1:1" x14ac:dyDescent="0.2">
      <c r="A16079" s="1" t="s">
        <v>4242</v>
      </c>
    </row>
    <row r="16080" spans="1:1" x14ac:dyDescent="0.2">
      <c r="A16080" s="1" t="s">
        <v>4242</v>
      </c>
    </row>
    <row r="16081" spans="1:1" x14ac:dyDescent="0.2">
      <c r="A16081" s="1" t="s">
        <v>4242</v>
      </c>
    </row>
    <row r="16082" spans="1:1" x14ac:dyDescent="0.2">
      <c r="A16082" s="1" t="s">
        <v>4243</v>
      </c>
    </row>
    <row r="16083" spans="1:1" x14ac:dyDescent="0.2">
      <c r="A16083" s="1" t="s">
        <v>4234</v>
      </c>
    </row>
    <row r="16084" spans="1:1" x14ac:dyDescent="0.2">
      <c r="A16084" s="1" t="s">
        <v>4234</v>
      </c>
    </row>
    <row r="16085" spans="1:1" x14ac:dyDescent="0.2">
      <c r="A16085" s="1" t="s">
        <v>4234</v>
      </c>
    </row>
    <row r="16086" spans="1:1" x14ac:dyDescent="0.2">
      <c r="A16086" s="1" t="s">
        <v>4235</v>
      </c>
    </row>
    <row r="16087" spans="1:1" x14ac:dyDescent="0.2">
      <c r="A16087" s="1" t="s">
        <v>4236</v>
      </c>
    </row>
    <row r="16088" spans="1:1" x14ac:dyDescent="0.2">
      <c r="A16088" s="1" t="s">
        <v>4237</v>
      </c>
    </row>
    <row r="16089" spans="1:1" x14ac:dyDescent="0.2">
      <c r="A16089" s="1" t="s">
        <v>4238</v>
      </c>
    </row>
    <row r="16090" spans="1:1" x14ac:dyDescent="0.2">
      <c r="A16090" s="1" t="s">
        <v>4239</v>
      </c>
    </row>
    <row r="16091" spans="1:1" x14ac:dyDescent="0.2">
      <c r="A16091" s="1" t="s">
        <v>4240</v>
      </c>
    </row>
    <row r="16092" spans="1:1" x14ac:dyDescent="0.2">
      <c r="A16092" s="1" t="s">
        <v>4241</v>
      </c>
    </row>
    <row r="16093" spans="1:1" x14ac:dyDescent="0.2">
      <c r="A16093" s="1" t="s">
        <v>4242</v>
      </c>
    </row>
    <row r="16094" spans="1:1" x14ac:dyDescent="0.2">
      <c r="A16094" s="1" t="s">
        <v>4242</v>
      </c>
    </row>
    <row r="16095" spans="1:1" x14ac:dyDescent="0.2">
      <c r="A16095" s="1" t="s">
        <v>4242</v>
      </c>
    </row>
    <row r="16096" spans="1:1" x14ac:dyDescent="0.2">
      <c r="A16096" s="1" t="s">
        <v>4242</v>
      </c>
    </row>
    <row r="16097" spans="1:1" x14ac:dyDescent="0.2">
      <c r="A16097" s="1" t="s">
        <v>4243</v>
      </c>
    </row>
    <row r="16098" spans="1:1" x14ac:dyDescent="0.2">
      <c r="A16098" s="1" t="s">
        <v>4234</v>
      </c>
    </row>
    <row r="16099" spans="1:1" x14ac:dyDescent="0.2">
      <c r="A16099" s="1" t="s">
        <v>4244</v>
      </c>
    </row>
    <row r="16100" spans="1:1" x14ac:dyDescent="0.2">
      <c r="A16100" s="1" t="s">
        <v>4244</v>
      </c>
    </row>
    <row r="16101" spans="1:1" x14ac:dyDescent="0.2">
      <c r="A16101" s="1" t="s">
        <v>4245</v>
      </c>
    </row>
    <row r="16102" spans="1:1" x14ac:dyDescent="0.2">
      <c r="A16102" s="1" t="s">
        <v>4246</v>
      </c>
    </row>
    <row r="16103" spans="1:1" x14ac:dyDescent="0.2">
      <c r="A16103" s="1" t="s">
        <v>4247</v>
      </c>
    </row>
    <row r="16104" spans="1:1" x14ac:dyDescent="0.2">
      <c r="A16104" s="1" t="s">
        <v>4248</v>
      </c>
    </row>
    <row r="16105" spans="1:1" x14ac:dyDescent="0.2">
      <c r="A16105" s="1" t="s">
        <v>4249</v>
      </c>
    </row>
    <row r="16106" spans="1:1" x14ac:dyDescent="0.2">
      <c r="A16106" s="1" t="s">
        <v>4250</v>
      </c>
    </row>
    <row r="16107" spans="1:1" x14ac:dyDescent="0.2">
      <c r="A16107" s="1" t="s">
        <v>4251</v>
      </c>
    </row>
    <row r="16108" spans="1:1" x14ac:dyDescent="0.2">
      <c r="A16108" s="1" t="s">
        <v>4252</v>
      </c>
    </row>
    <row r="16109" spans="1:1" x14ac:dyDescent="0.2">
      <c r="A16109" s="1" t="s">
        <v>4252</v>
      </c>
    </row>
    <row r="16110" spans="1:1" x14ac:dyDescent="0.2">
      <c r="A16110" s="1" t="s">
        <v>4252</v>
      </c>
    </row>
    <row r="16111" spans="1:1" x14ac:dyDescent="0.2">
      <c r="A16111" s="1" t="s">
        <v>4252</v>
      </c>
    </row>
    <row r="16112" spans="1:1" x14ac:dyDescent="0.2">
      <c r="A16112" s="1" t="s">
        <v>4253</v>
      </c>
    </row>
    <row r="16113" spans="1:1" x14ac:dyDescent="0.2">
      <c r="A16113" s="1" t="s">
        <v>4244</v>
      </c>
    </row>
    <row r="16114" spans="1:1" x14ac:dyDescent="0.2">
      <c r="A16114" s="1" t="s">
        <v>4244</v>
      </c>
    </row>
    <row r="16115" spans="1:1" x14ac:dyDescent="0.2">
      <c r="A16115" s="1" t="s">
        <v>4244</v>
      </c>
    </row>
    <row r="16116" spans="1:1" x14ac:dyDescent="0.2">
      <c r="A16116" s="1" t="s">
        <v>4245</v>
      </c>
    </row>
    <row r="16117" spans="1:1" x14ac:dyDescent="0.2">
      <c r="A16117" s="1" t="s">
        <v>4246</v>
      </c>
    </row>
    <row r="16118" spans="1:1" x14ac:dyDescent="0.2">
      <c r="A16118" s="1" t="s">
        <v>4247</v>
      </c>
    </row>
    <row r="16119" spans="1:1" x14ac:dyDescent="0.2">
      <c r="A16119" s="1" t="s">
        <v>4248</v>
      </c>
    </row>
    <row r="16120" spans="1:1" x14ac:dyDescent="0.2">
      <c r="A16120" s="1" t="s">
        <v>4249</v>
      </c>
    </row>
    <row r="16121" spans="1:1" x14ac:dyDescent="0.2">
      <c r="A16121" s="1" t="s">
        <v>4250</v>
      </c>
    </row>
    <row r="16122" spans="1:1" x14ac:dyDescent="0.2">
      <c r="A16122" s="1" t="s">
        <v>4251</v>
      </c>
    </row>
    <row r="16123" spans="1:1" x14ac:dyDescent="0.2">
      <c r="A16123" s="1" t="s">
        <v>4252</v>
      </c>
    </row>
    <row r="16124" spans="1:1" x14ac:dyDescent="0.2">
      <c r="A16124" s="1" t="s">
        <v>4252</v>
      </c>
    </row>
    <row r="16125" spans="1:1" x14ac:dyDescent="0.2">
      <c r="A16125" s="1" t="s">
        <v>4252</v>
      </c>
    </row>
    <row r="16126" spans="1:1" x14ac:dyDescent="0.2">
      <c r="A16126" s="1" t="s">
        <v>4252</v>
      </c>
    </row>
    <row r="16127" spans="1:1" x14ac:dyDescent="0.2">
      <c r="A16127" s="1" t="s">
        <v>4253</v>
      </c>
    </row>
    <row r="16128" spans="1:1" x14ac:dyDescent="0.2">
      <c r="A16128" s="1" t="s">
        <v>4244</v>
      </c>
    </row>
    <row r="16129" spans="1:1" x14ac:dyDescent="0.2">
      <c r="A16129" s="1" t="s">
        <v>4244</v>
      </c>
    </row>
    <row r="16130" spans="1:1" x14ac:dyDescent="0.2">
      <c r="A16130" s="1" t="s">
        <v>4244</v>
      </c>
    </row>
    <row r="16131" spans="1:1" x14ac:dyDescent="0.2">
      <c r="A16131" s="1" t="s">
        <v>4245</v>
      </c>
    </row>
    <row r="16132" spans="1:1" x14ac:dyDescent="0.2">
      <c r="A16132" s="1" t="s">
        <v>4246</v>
      </c>
    </row>
    <row r="16133" spans="1:1" x14ac:dyDescent="0.2">
      <c r="A16133" s="1" t="s">
        <v>4247</v>
      </c>
    </row>
    <row r="16134" spans="1:1" x14ac:dyDescent="0.2">
      <c r="A16134" s="1" t="s">
        <v>4248</v>
      </c>
    </row>
    <row r="16135" spans="1:1" x14ac:dyDescent="0.2">
      <c r="A16135" s="1" t="s">
        <v>4249</v>
      </c>
    </row>
    <row r="16136" spans="1:1" x14ac:dyDescent="0.2">
      <c r="A16136" s="1" t="s">
        <v>4250</v>
      </c>
    </row>
    <row r="16137" spans="1:1" x14ac:dyDescent="0.2">
      <c r="A16137" s="1" t="s">
        <v>4251</v>
      </c>
    </row>
    <row r="16138" spans="1:1" x14ac:dyDescent="0.2">
      <c r="A16138" s="1" t="s">
        <v>4252</v>
      </c>
    </row>
    <row r="16139" spans="1:1" x14ac:dyDescent="0.2">
      <c r="A16139" s="1" t="s">
        <v>4252</v>
      </c>
    </row>
    <row r="16140" spans="1:1" x14ac:dyDescent="0.2">
      <c r="A16140" s="1" t="s">
        <v>4252</v>
      </c>
    </row>
    <row r="16141" spans="1:1" x14ac:dyDescent="0.2">
      <c r="A16141" s="1" t="s">
        <v>4252</v>
      </c>
    </row>
    <row r="16142" spans="1:1" x14ac:dyDescent="0.2">
      <c r="A16142" s="1" t="s">
        <v>4253</v>
      </c>
    </row>
    <row r="16143" spans="1:1" x14ac:dyDescent="0.2">
      <c r="A16143" s="1" t="s">
        <v>4244</v>
      </c>
    </row>
    <row r="16144" spans="1:1" x14ac:dyDescent="0.2">
      <c r="A16144" s="1" t="s">
        <v>4244</v>
      </c>
    </row>
    <row r="16145" spans="1:1" x14ac:dyDescent="0.2">
      <c r="A16145" s="1" t="s">
        <v>4244</v>
      </c>
    </row>
    <row r="16146" spans="1:1" x14ac:dyDescent="0.2">
      <c r="A16146" s="1" t="s">
        <v>4245</v>
      </c>
    </row>
    <row r="16147" spans="1:1" x14ac:dyDescent="0.2">
      <c r="A16147" s="1" t="s">
        <v>4246</v>
      </c>
    </row>
    <row r="16148" spans="1:1" x14ac:dyDescent="0.2">
      <c r="A16148" s="1" t="s">
        <v>4247</v>
      </c>
    </row>
    <row r="16149" spans="1:1" x14ac:dyDescent="0.2">
      <c r="A16149" s="1" t="s">
        <v>4248</v>
      </c>
    </row>
    <row r="16150" spans="1:1" x14ac:dyDescent="0.2">
      <c r="A16150" s="1" t="s">
        <v>4249</v>
      </c>
    </row>
    <row r="16151" spans="1:1" x14ac:dyDescent="0.2">
      <c r="A16151" s="1" t="s">
        <v>4250</v>
      </c>
    </row>
    <row r="16152" spans="1:1" x14ac:dyDescent="0.2">
      <c r="A16152" s="1" t="s">
        <v>4251</v>
      </c>
    </row>
    <row r="16153" spans="1:1" x14ac:dyDescent="0.2">
      <c r="A16153" s="1" t="s">
        <v>4252</v>
      </c>
    </row>
    <row r="16154" spans="1:1" x14ac:dyDescent="0.2">
      <c r="A16154" s="1" t="s">
        <v>4252</v>
      </c>
    </row>
    <row r="16155" spans="1:1" x14ac:dyDescent="0.2">
      <c r="A16155" s="1" t="s">
        <v>4252</v>
      </c>
    </row>
    <row r="16156" spans="1:1" x14ac:dyDescent="0.2">
      <c r="A16156" s="1" t="s">
        <v>4252</v>
      </c>
    </row>
    <row r="16157" spans="1:1" x14ac:dyDescent="0.2">
      <c r="A16157" s="1" t="s">
        <v>4253</v>
      </c>
    </row>
    <row r="16158" spans="1:1" x14ac:dyDescent="0.2">
      <c r="A16158" s="1" t="s">
        <v>4244</v>
      </c>
    </row>
    <row r="16159" spans="1:1" x14ac:dyDescent="0.2">
      <c r="A16159" s="1" t="s">
        <v>4244</v>
      </c>
    </row>
    <row r="16160" spans="1:1" x14ac:dyDescent="0.2">
      <c r="A16160" s="1" t="s">
        <v>4244</v>
      </c>
    </row>
    <row r="16161" spans="1:1" x14ac:dyDescent="0.2">
      <c r="A16161" s="1" t="s">
        <v>4245</v>
      </c>
    </row>
    <row r="16162" spans="1:1" x14ac:dyDescent="0.2">
      <c r="A16162" s="1" t="s">
        <v>4246</v>
      </c>
    </row>
    <row r="16163" spans="1:1" x14ac:dyDescent="0.2">
      <c r="A16163" s="1" t="s">
        <v>4247</v>
      </c>
    </row>
    <row r="16164" spans="1:1" x14ac:dyDescent="0.2">
      <c r="A16164" s="1" t="s">
        <v>4248</v>
      </c>
    </row>
    <row r="16165" spans="1:1" x14ac:dyDescent="0.2">
      <c r="A16165" s="1" t="s">
        <v>4249</v>
      </c>
    </row>
    <row r="16166" spans="1:1" x14ac:dyDescent="0.2">
      <c r="A16166" s="1" t="s">
        <v>4250</v>
      </c>
    </row>
    <row r="16167" spans="1:1" x14ac:dyDescent="0.2">
      <c r="A16167" s="1" t="s">
        <v>4251</v>
      </c>
    </row>
    <row r="16168" spans="1:1" x14ac:dyDescent="0.2">
      <c r="A16168" s="1" t="s">
        <v>4252</v>
      </c>
    </row>
    <row r="16169" spans="1:1" x14ac:dyDescent="0.2">
      <c r="A16169" s="1" t="s">
        <v>4252</v>
      </c>
    </row>
    <row r="16170" spans="1:1" x14ac:dyDescent="0.2">
      <c r="A16170" s="1" t="s">
        <v>4252</v>
      </c>
    </row>
    <row r="16171" spans="1:1" x14ac:dyDescent="0.2">
      <c r="A16171" s="1" t="s">
        <v>4252</v>
      </c>
    </row>
    <row r="16172" spans="1:1" x14ac:dyDescent="0.2">
      <c r="A16172" s="1" t="s">
        <v>4253</v>
      </c>
    </row>
    <row r="16173" spans="1:1" x14ac:dyDescent="0.2">
      <c r="A16173" s="1" t="s">
        <v>4244</v>
      </c>
    </row>
    <row r="16174" spans="1:1" x14ac:dyDescent="0.2">
      <c r="A16174" s="1" t="s">
        <v>4255</v>
      </c>
    </row>
    <row r="16175" spans="1:1" x14ac:dyDescent="0.2">
      <c r="A16175" s="1" t="s">
        <v>4255</v>
      </c>
    </row>
    <row r="16176" spans="1:1" x14ac:dyDescent="0.2">
      <c r="A16176" s="1" t="s">
        <v>4256</v>
      </c>
    </row>
    <row r="16177" spans="1:1" x14ac:dyDescent="0.2">
      <c r="A16177" s="1" t="s">
        <v>4257</v>
      </c>
    </row>
    <row r="16178" spans="1:1" x14ac:dyDescent="0.2">
      <c r="A16178" s="1" t="s">
        <v>4258</v>
      </c>
    </row>
    <row r="16179" spans="1:1" x14ac:dyDescent="0.2">
      <c r="A16179" s="1" t="s">
        <v>4259</v>
      </c>
    </row>
    <row r="16180" spans="1:1" x14ac:dyDescent="0.2">
      <c r="A16180" s="1" t="s">
        <v>4260</v>
      </c>
    </row>
    <row r="16181" spans="1:1" x14ac:dyDescent="0.2">
      <c r="A16181" s="1" t="s">
        <v>4261</v>
      </c>
    </row>
    <row r="16182" spans="1:1" x14ac:dyDescent="0.2">
      <c r="A16182" s="1" t="s">
        <v>4262</v>
      </c>
    </row>
    <row r="16183" spans="1:1" x14ac:dyDescent="0.2">
      <c r="A16183" s="1" t="s">
        <v>4263</v>
      </c>
    </row>
    <row r="16184" spans="1:1" x14ac:dyDescent="0.2">
      <c r="A16184" s="1" t="s">
        <v>4263</v>
      </c>
    </row>
    <row r="16185" spans="1:1" x14ac:dyDescent="0.2">
      <c r="A16185" s="1" t="s">
        <v>4263</v>
      </c>
    </row>
    <row r="16186" spans="1:1" x14ac:dyDescent="0.2">
      <c r="A16186" s="1" t="s">
        <v>4263</v>
      </c>
    </row>
    <row r="16187" spans="1:1" x14ac:dyDescent="0.2">
      <c r="A16187" s="1" t="s">
        <v>4264</v>
      </c>
    </row>
    <row r="16188" spans="1:1" x14ac:dyDescent="0.2">
      <c r="A16188" s="1" t="s">
        <v>4255</v>
      </c>
    </row>
    <row r="16189" spans="1:1" x14ac:dyDescent="0.2">
      <c r="A16189" s="1" t="s">
        <v>4255</v>
      </c>
    </row>
    <row r="16190" spans="1:1" x14ac:dyDescent="0.2">
      <c r="A16190" s="1" t="s">
        <v>4255</v>
      </c>
    </row>
    <row r="16191" spans="1:1" x14ac:dyDescent="0.2">
      <c r="A16191" s="1" t="s">
        <v>4265</v>
      </c>
    </row>
    <row r="16192" spans="1:1" x14ac:dyDescent="0.2">
      <c r="A16192" s="1" t="s">
        <v>4266</v>
      </c>
    </row>
    <row r="16193" spans="1:1" x14ac:dyDescent="0.2">
      <c r="A16193" s="1" t="s">
        <v>4267</v>
      </c>
    </row>
    <row r="16194" spans="1:1" x14ac:dyDescent="0.2">
      <c r="A16194" s="1" t="s">
        <v>4268</v>
      </c>
    </row>
    <row r="16195" spans="1:1" x14ac:dyDescent="0.2">
      <c r="A16195" s="1" t="s">
        <v>4269</v>
      </c>
    </row>
    <row r="16196" spans="1:1" x14ac:dyDescent="0.2">
      <c r="A16196" s="1" t="s">
        <v>4270</v>
      </c>
    </row>
    <row r="16197" spans="1:1" x14ac:dyDescent="0.2">
      <c r="A16197" s="1" t="s">
        <v>4271</v>
      </c>
    </row>
    <row r="16198" spans="1:1" x14ac:dyDescent="0.2">
      <c r="A16198" s="1" t="s">
        <v>4272</v>
      </c>
    </row>
    <row r="16199" spans="1:1" x14ac:dyDescent="0.2">
      <c r="A16199" s="1" t="s">
        <v>4272</v>
      </c>
    </row>
    <row r="16200" spans="1:1" x14ac:dyDescent="0.2">
      <c r="A16200" s="1" t="s">
        <v>4272</v>
      </c>
    </row>
    <row r="16201" spans="1:1" x14ac:dyDescent="0.2">
      <c r="A16201" s="1" t="s">
        <v>4272</v>
      </c>
    </row>
    <row r="16202" spans="1:1" x14ac:dyDescent="0.2">
      <c r="A16202" s="1" t="s">
        <v>4273</v>
      </c>
    </row>
    <row r="16203" spans="1:1" x14ac:dyDescent="0.2">
      <c r="A16203" s="1" t="s">
        <v>4274</v>
      </c>
    </row>
    <row r="16204" spans="1:1" x14ac:dyDescent="0.2">
      <c r="A16204" s="1" t="s">
        <v>4274</v>
      </c>
    </row>
    <row r="16205" spans="1:1" x14ac:dyDescent="0.2">
      <c r="A16205" s="1" t="s">
        <v>4274</v>
      </c>
    </row>
    <row r="16206" spans="1:1" x14ac:dyDescent="0.2">
      <c r="A16206" s="1" t="s">
        <v>4265</v>
      </c>
    </row>
    <row r="16207" spans="1:1" x14ac:dyDescent="0.2">
      <c r="A16207" s="1" t="s">
        <v>4266</v>
      </c>
    </row>
    <row r="16208" spans="1:1" x14ac:dyDescent="0.2">
      <c r="A16208" s="1" t="s">
        <v>4267</v>
      </c>
    </row>
    <row r="16209" spans="1:1" x14ac:dyDescent="0.2">
      <c r="A16209" s="1" t="s">
        <v>4268</v>
      </c>
    </row>
    <row r="16210" spans="1:1" x14ac:dyDescent="0.2">
      <c r="A16210" s="1" t="s">
        <v>4269</v>
      </c>
    </row>
    <row r="16211" spans="1:1" x14ac:dyDescent="0.2">
      <c r="A16211" s="1" t="s">
        <v>4270</v>
      </c>
    </row>
    <row r="16212" spans="1:1" x14ac:dyDescent="0.2">
      <c r="A16212" s="1" t="s">
        <v>4271</v>
      </c>
    </row>
    <row r="16213" spans="1:1" x14ac:dyDescent="0.2">
      <c r="A16213" s="1" t="s">
        <v>4272</v>
      </c>
    </row>
    <row r="16214" spans="1:1" x14ac:dyDescent="0.2">
      <c r="A16214" s="1" t="s">
        <v>4272</v>
      </c>
    </row>
    <row r="16215" spans="1:1" x14ac:dyDescent="0.2">
      <c r="A16215" s="1" t="s">
        <v>4272</v>
      </c>
    </row>
    <row r="16216" spans="1:1" x14ac:dyDescent="0.2">
      <c r="A16216" s="1" t="s">
        <v>4272</v>
      </c>
    </row>
    <row r="16217" spans="1:1" x14ac:dyDescent="0.2">
      <c r="A16217" s="1" t="s">
        <v>4273</v>
      </c>
    </row>
    <row r="16218" spans="1:1" x14ac:dyDescent="0.2">
      <c r="A16218" s="1" t="s">
        <v>4274</v>
      </c>
    </row>
    <row r="16219" spans="1:1" x14ac:dyDescent="0.2">
      <c r="A16219" s="1" t="s">
        <v>4274</v>
      </c>
    </row>
    <row r="16220" spans="1:1" x14ac:dyDescent="0.2">
      <c r="A16220" s="1" t="s">
        <v>4274</v>
      </c>
    </row>
    <row r="16221" spans="1:1" x14ac:dyDescent="0.2">
      <c r="A16221" s="1" t="s">
        <v>4265</v>
      </c>
    </row>
    <row r="16222" spans="1:1" x14ac:dyDescent="0.2">
      <c r="A16222" s="1" t="s">
        <v>4266</v>
      </c>
    </row>
    <row r="16223" spans="1:1" x14ac:dyDescent="0.2">
      <c r="A16223" s="1" t="s">
        <v>4267</v>
      </c>
    </row>
    <row r="16224" spans="1:1" x14ac:dyDescent="0.2">
      <c r="A16224" s="1" t="s">
        <v>4268</v>
      </c>
    </row>
    <row r="16225" spans="1:1" x14ac:dyDescent="0.2">
      <c r="A16225" s="1" t="s">
        <v>4269</v>
      </c>
    </row>
    <row r="16226" spans="1:1" x14ac:dyDescent="0.2">
      <c r="A16226" s="1" t="s">
        <v>4270</v>
      </c>
    </row>
    <row r="16227" spans="1:1" x14ac:dyDescent="0.2">
      <c r="A16227" s="1" t="s">
        <v>4271</v>
      </c>
    </row>
    <row r="16228" spans="1:1" x14ac:dyDescent="0.2">
      <c r="A16228" s="1" t="s">
        <v>4272</v>
      </c>
    </row>
    <row r="16229" spans="1:1" x14ac:dyDescent="0.2">
      <c r="A16229" s="1" t="s">
        <v>4272</v>
      </c>
    </row>
    <row r="16230" spans="1:1" x14ac:dyDescent="0.2">
      <c r="A16230" s="1" t="s">
        <v>4272</v>
      </c>
    </row>
    <row r="16231" spans="1:1" x14ac:dyDescent="0.2">
      <c r="A16231" s="1" t="s">
        <v>4272</v>
      </c>
    </row>
    <row r="16232" spans="1:1" x14ac:dyDescent="0.2">
      <c r="A16232" s="1" t="s">
        <v>4273</v>
      </c>
    </row>
    <row r="16233" spans="1:1" x14ac:dyDescent="0.2">
      <c r="A16233" s="1" t="s">
        <v>4274</v>
      </c>
    </row>
    <row r="16234" spans="1:1" x14ac:dyDescent="0.2">
      <c r="A16234" s="1" t="s">
        <v>4274</v>
      </c>
    </row>
    <row r="16235" spans="1:1" x14ac:dyDescent="0.2">
      <c r="A16235" s="1" t="s">
        <v>4274</v>
      </c>
    </row>
    <row r="16236" spans="1:1" x14ac:dyDescent="0.2">
      <c r="A16236" s="1" t="s">
        <v>4265</v>
      </c>
    </row>
    <row r="16237" spans="1:1" x14ac:dyDescent="0.2">
      <c r="A16237" s="1" t="s">
        <v>4266</v>
      </c>
    </row>
    <row r="16238" spans="1:1" x14ac:dyDescent="0.2">
      <c r="A16238" s="1" t="s">
        <v>4267</v>
      </c>
    </row>
    <row r="16239" spans="1:1" x14ac:dyDescent="0.2">
      <c r="A16239" s="1" t="s">
        <v>4268</v>
      </c>
    </row>
    <row r="16240" spans="1:1" x14ac:dyDescent="0.2">
      <c r="A16240" s="1" t="s">
        <v>4269</v>
      </c>
    </row>
    <row r="16241" spans="1:1" x14ac:dyDescent="0.2">
      <c r="A16241" s="1" t="s">
        <v>4270</v>
      </c>
    </row>
    <row r="16242" spans="1:1" x14ac:dyDescent="0.2">
      <c r="A16242" s="1" t="s">
        <v>4271</v>
      </c>
    </row>
    <row r="16243" spans="1:1" x14ac:dyDescent="0.2">
      <c r="A16243" s="1" t="s">
        <v>4272</v>
      </c>
    </row>
    <row r="16244" spans="1:1" x14ac:dyDescent="0.2">
      <c r="A16244" s="1" t="s">
        <v>4272</v>
      </c>
    </row>
    <row r="16245" spans="1:1" x14ac:dyDescent="0.2">
      <c r="A16245" s="1" t="s">
        <v>4272</v>
      </c>
    </row>
    <row r="16246" spans="1:1" x14ac:dyDescent="0.2">
      <c r="A16246" s="1" t="s">
        <v>4272</v>
      </c>
    </row>
    <row r="16247" spans="1:1" x14ac:dyDescent="0.2">
      <c r="A16247" s="1" t="s">
        <v>4273</v>
      </c>
    </row>
    <row r="16248" spans="1:1" x14ac:dyDescent="0.2">
      <c r="A16248" s="1" t="s">
        <v>4274</v>
      </c>
    </row>
    <row r="16249" spans="1:1" x14ac:dyDescent="0.2">
      <c r="A16249" s="1" t="s">
        <v>4275</v>
      </c>
    </row>
    <row r="16250" spans="1:1" x14ac:dyDescent="0.2">
      <c r="A16250" s="1" t="s">
        <v>4276</v>
      </c>
    </row>
    <row r="16251" spans="1:1" x14ac:dyDescent="0.2">
      <c r="A16251" s="1" t="s">
        <v>4277</v>
      </c>
    </row>
    <row r="16252" spans="1:1" x14ac:dyDescent="0.2">
      <c r="A16252" s="1" t="s">
        <v>4278</v>
      </c>
    </row>
    <row r="16253" spans="1:1" x14ac:dyDescent="0.2">
      <c r="A16253" s="1" t="s">
        <v>4279</v>
      </c>
    </row>
    <row r="16254" spans="1:1" x14ac:dyDescent="0.2">
      <c r="A16254" s="1" t="s">
        <v>4280</v>
      </c>
    </row>
    <row r="16255" spans="1:1" x14ac:dyDescent="0.2">
      <c r="A16255" s="1" t="s">
        <v>4281</v>
      </c>
    </row>
    <row r="16256" spans="1:1" x14ac:dyDescent="0.2">
      <c r="A16256" s="1" t="s">
        <v>4282</v>
      </c>
    </row>
    <row r="16257" spans="1:1" x14ac:dyDescent="0.2">
      <c r="A16257" s="1" t="s">
        <v>4282</v>
      </c>
    </row>
    <row r="16258" spans="1:1" x14ac:dyDescent="0.2">
      <c r="A16258" s="1" t="s">
        <v>4283</v>
      </c>
    </row>
    <row r="16259" spans="1:1" x14ac:dyDescent="0.2">
      <c r="A16259" s="1" t="s">
        <v>4284</v>
      </c>
    </row>
    <row r="16260" spans="1:1" x14ac:dyDescent="0.2">
      <c r="A16260" s="1" t="s">
        <v>4285</v>
      </c>
    </row>
    <row r="16261" spans="1:1" x14ac:dyDescent="0.2">
      <c r="A16261" s="1" t="s">
        <v>4286</v>
      </c>
    </row>
    <row r="16262" spans="1:1" x14ac:dyDescent="0.2">
      <c r="A16262" s="1" t="s">
        <v>4287</v>
      </c>
    </row>
    <row r="16263" spans="1:1" x14ac:dyDescent="0.2">
      <c r="A16263" s="1" t="s">
        <v>4288</v>
      </c>
    </row>
    <row r="16264" spans="1:1" x14ac:dyDescent="0.2">
      <c r="A16264" s="1" t="s">
        <v>4289</v>
      </c>
    </row>
    <row r="16265" spans="1:1" x14ac:dyDescent="0.2">
      <c r="A16265" s="1" t="s">
        <v>4290</v>
      </c>
    </row>
    <row r="16266" spans="1:1" x14ac:dyDescent="0.2">
      <c r="A16266" s="1" t="s">
        <v>4290</v>
      </c>
    </row>
    <row r="16267" spans="1:1" x14ac:dyDescent="0.2">
      <c r="A16267" s="1" t="s">
        <v>4290</v>
      </c>
    </row>
    <row r="16268" spans="1:1" x14ac:dyDescent="0.2">
      <c r="A16268" s="1" t="s">
        <v>4290</v>
      </c>
    </row>
    <row r="16269" spans="1:1" x14ac:dyDescent="0.2">
      <c r="A16269" s="1" t="s">
        <v>4291</v>
      </c>
    </row>
    <row r="16270" spans="1:1" x14ac:dyDescent="0.2">
      <c r="A16270" s="1" t="s">
        <v>4282</v>
      </c>
    </row>
    <row r="16271" spans="1:1" x14ac:dyDescent="0.2">
      <c r="A16271" s="1" t="s">
        <v>4282</v>
      </c>
    </row>
    <row r="16272" spans="1:1" x14ac:dyDescent="0.2">
      <c r="A16272" s="1" t="s">
        <v>4282</v>
      </c>
    </row>
    <row r="16273" spans="1:1" x14ac:dyDescent="0.2">
      <c r="A16273" s="1" t="s">
        <v>4283</v>
      </c>
    </row>
    <row r="16274" spans="1:1" x14ac:dyDescent="0.2">
      <c r="A16274" s="1" t="s">
        <v>4284</v>
      </c>
    </row>
    <row r="16275" spans="1:1" x14ac:dyDescent="0.2">
      <c r="A16275" s="1" t="s">
        <v>4285</v>
      </c>
    </row>
    <row r="16276" spans="1:1" x14ac:dyDescent="0.2">
      <c r="A16276" s="1" t="s">
        <v>4286</v>
      </c>
    </row>
    <row r="16277" spans="1:1" x14ac:dyDescent="0.2">
      <c r="A16277" s="1" t="s">
        <v>4287</v>
      </c>
    </row>
    <row r="16278" spans="1:1" x14ac:dyDescent="0.2">
      <c r="A16278" s="1" t="s">
        <v>4288</v>
      </c>
    </row>
    <row r="16279" spans="1:1" x14ac:dyDescent="0.2">
      <c r="A16279" s="1" t="s">
        <v>4289</v>
      </c>
    </row>
    <row r="16280" spans="1:1" x14ac:dyDescent="0.2">
      <c r="A16280" s="1" t="s">
        <v>4290</v>
      </c>
    </row>
    <row r="16281" spans="1:1" x14ac:dyDescent="0.2">
      <c r="A16281" s="1" t="s">
        <v>4292</v>
      </c>
    </row>
    <row r="16282" spans="1:1" x14ac:dyDescent="0.2">
      <c r="A16282" s="1" t="s">
        <v>4292</v>
      </c>
    </row>
    <row r="16283" spans="1:1" x14ac:dyDescent="0.2">
      <c r="A16283" s="1" t="s">
        <v>4293</v>
      </c>
    </row>
    <row r="16284" spans="1:1" x14ac:dyDescent="0.2">
      <c r="A16284" s="1" t="s">
        <v>4294</v>
      </c>
    </row>
    <row r="16285" spans="1:1" x14ac:dyDescent="0.2">
      <c r="A16285" s="1" t="s">
        <v>4295</v>
      </c>
    </row>
    <row r="16286" spans="1:1" x14ac:dyDescent="0.2">
      <c r="A16286" s="1" t="s">
        <v>4296</v>
      </c>
    </row>
    <row r="16287" spans="1:1" x14ac:dyDescent="0.2">
      <c r="A16287" s="1" t="s">
        <v>4297</v>
      </c>
    </row>
    <row r="16288" spans="1:1" x14ac:dyDescent="0.2">
      <c r="A16288" s="1" t="s">
        <v>4298</v>
      </c>
    </row>
    <row r="16289" spans="1:1" x14ac:dyDescent="0.2">
      <c r="A16289" s="1" t="s">
        <v>4299</v>
      </c>
    </row>
    <row r="16290" spans="1:1" x14ac:dyDescent="0.2">
      <c r="A16290" s="1" t="s">
        <v>4300</v>
      </c>
    </row>
    <row r="16291" spans="1:1" x14ac:dyDescent="0.2">
      <c r="A16291" s="1" t="s">
        <v>4300</v>
      </c>
    </row>
    <row r="16292" spans="1:1" x14ac:dyDescent="0.2">
      <c r="A16292" s="1" t="s">
        <v>4300</v>
      </c>
    </row>
    <row r="16293" spans="1:1" x14ac:dyDescent="0.2">
      <c r="A16293" s="1" t="s">
        <v>4300</v>
      </c>
    </row>
    <row r="16294" spans="1:1" x14ac:dyDescent="0.2">
      <c r="A16294" s="1" t="s">
        <v>4301</v>
      </c>
    </row>
    <row r="16295" spans="1:1" x14ac:dyDescent="0.2">
      <c r="A16295" s="1" t="s">
        <v>4292</v>
      </c>
    </row>
    <row r="16296" spans="1:1" x14ac:dyDescent="0.2">
      <c r="A16296" s="1" t="s">
        <v>4292</v>
      </c>
    </row>
    <row r="16297" spans="1:1" x14ac:dyDescent="0.2">
      <c r="A16297" s="1" t="s">
        <v>4292</v>
      </c>
    </row>
    <row r="16298" spans="1:1" x14ac:dyDescent="0.2">
      <c r="A16298" s="1" t="s">
        <v>4293</v>
      </c>
    </row>
    <row r="16299" spans="1:1" x14ac:dyDescent="0.2">
      <c r="A16299" s="1" t="s">
        <v>4294</v>
      </c>
    </row>
    <row r="16300" spans="1:1" x14ac:dyDescent="0.2">
      <c r="A16300" s="1" t="s">
        <v>4295</v>
      </c>
    </row>
    <row r="16301" spans="1:1" x14ac:dyDescent="0.2">
      <c r="A16301" s="1" t="s">
        <v>4296</v>
      </c>
    </row>
    <row r="16302" spans="1:1" x14ac:dyDescent="0.2">
      <c r="A16302" s="1" t="s">
        <v>4297</v>
      </c>
    </row>
    <row r="16303" spans="1:1" x14ac:dyDescent="0.2">
      <c r="A16303" s="1" t="s">
        <v>4298</v>
      </c>
    </row>
    <row r="16304" spans="1:1" x14ac:dyDescent="0.2">
      <c r="A16304" s="1" t="s">
        <v>4299</v>
      </c>
    </row>
    <row r="16305" spans="1:1" x14ac:dyDescent="0.2">
      <c r="A16305" s="1" t="s">
        <v>4300</v>
      </c>
    </row>
    <row r="16306" spans="1:1" x14ac:dyDescent="0.2">
      <c r="A16306" s="1" t="s">
        <v>4302</v>
      </c>
    </row>
    <row r="16307" spans="1:1" x14ac:dyDescent="0.2">
      <c r="A16307" s="1" t="s">
        <v>4302</v>
      </c>
    </row>
    <row r="16308" spans="1:1" x14ac:dyDescent="0.2">
      <c r="A16308" s="1" t="s">
        <v>4303</v>
      </c>
    </row>
    <row r="16309" spans="1:1" x14ac:dyDescent="0.2">
      <c r="A16309" s="1" t="s">
        <v>4304</v>
      </c>
    </row>
    <row r="16310" spans="1:1" x14ac:dyDescent="0.2">
      <c r="A16310" s="1" t="s">
        <v>4305</v>
      </c>
    </row>
    <row r="16311" spans="1:1" x14ac:dyDescent="0.2">
      <c r="A16311" s="1" t="s">
        <v>4306</v>
      </c>
    </row>
    <row r="16312" spans="1:1" x14ac:dyDescent="0.2">
      <c r="A16312" s="1" t="s">
        <v>4307</v>
      </c>
    </row>
    <row r="16313" spans="1:1" x14ac:dyDescent="0.2">
      <c r="A16313" s="1" t="s">
        <v>4308</v>
      </c>
    </row>
    <row r="16314" spans="1:1" x14ac:dyDescent="0.2">
      <c r="A16314" s="1" t="s">
        <v>4309</v>
      </c>
    </row>
    <row r="16315" spans="1:1" x14ac:dyDescent="0.2">
      <c r="A16315" s="1" t="s">
        <v>4310</v>
      </c>
    </row>
    <row r="16316" spans="1:1" x14ac:dyDescent="0.2">
      <c r="A16316" s="1" t="s">
        <v>4310</v>
      </c>
    </row>
    <row r="16317" spans="1:1" x14ac:dyDescent="0.2">
      <c r="A16317" s="1" t="s">
        <v>4310</v>
      </c>
    </row>
    <row r="16318" spans="1:1" x14ac:dyDescent="0.2">
      <c r="A16318" s="1" t="s">
        <v>4310</v>
      </c>
    </row>
    <row r="16319" spans="1:1" x14ac:dyDescent="0.2">
      <c r="A16319" s="1" t="s">
        <v>4311</v>
      </c>
    </row>
    <row r="16320" spans="1:1" x14ac:dyDescent="0.2">
      <c r="A16320" s="1" t="s">
        <v>4302</v>
      </c>
    </row>
    <row r="16321" spans="1:1" x14ac:dyDescent="0.2">
      <c r="A16321" s="1" t="s">
        <v>4302</v>
      </c>
    </row>
    <row r="16322" spans="1:1" x14ac:dyDescent="0.2">
      <c r="A16322" s="1" t="s">
        <v>4302</v>
      </c>
    </row>
    <row r="16323" spans="1:1" x14ac:dyDescent="0.2">
      <c r="A16323" s="1" t="s">
        <v>4303</v>
      </c>
    </row>
    <row r="16324" spans="1:1" x14ac:dyDescent="0.2">
      <c r="A16324" s="1" t="s">
        <v>4304</v>
      </c>
    </row>
    <row r="16325" spans="1:1" x14ac:dyDescent="0.2">
      <c r="A16325" s="1" t="s">
        <v>4305</v>
      </c>
    </row>
    <row r="16326" spans="1:1" x14ac:dyDescent="0.2">
      <c r="A16326" s="1" t="s">
        <v>4306</v>
      </c>
    </row>
    <row r="16327" spans="1:1" x14ac:dyDescent="0.2">
      <c r="A16327" s="1" t="s">
        <v>4307</v>
      </c>
    </row>
    <row r="16328" spans="1:1" x14ac:dyDescent="0.2">
      <c r="A16328" s="1" t="s">
        <v>4308</v>
      </c>
    </row>
    <row r="16329" spans="1:1" x14ac:dyDescent="0.2">
      <c r="A16329" s="1" t="s">
        <v>4309</v>
      </c>
    </row>
    <row r="16330" spans="1:1" x14ac:dyDescent="0.2">
      <c r="A16330" s="1" t="s">
        <v>4310</v>
      </c>
    </row>
    <row r="16331" spans="1:1" x14ac:dyDescent="0.2">
      <c r="A16331" s="1" t="s">
        <v>4310</v>
      </c>
    </row>
    <row r="16332" spans="1:1" x14ac:dyDescent="0.2">
      <c r="A16332" s="1" t="s">
        <v>4310</v>
      </c>
    </row>
    <row r="16333" spans="1:1" x14ac:dyDescent="0.2">
      <c r="A16333" s="1" t="s">
        <v>4310</v>
      </c>
    </row>
    <row r="16334" spans="1:1" x14ac:dyDescent="0.2">
      <c r="A16334" s="1" t="s">
        <v>4311</v>
      </c>
    </row>
    <row r="16335" spans="1:1" x14ac:dyDescent="0.2">
      <c r="A16335" s="1" t="s">
        <v>4302</v>
      </c>
    </row>
    <row r="16336" spans="1:1" x14ac:dyDescent="0.2">
      <c r="A16336" s="1" t="s">
        <v>4302</v>
      </c>
    </row>
    <row r="16337" spans="1:1" x14ac:dyDescent="0.2">
      <c r="A16337" s="1" t="s">
        <v>4302</v>
      </c>
    </row>
    <row r="16338" spans="1:1" x14ac:dyDescent="0.2">
      <c r="A16338" s="1" t="s">
        <v>4303</v>
      </c>
    </row>
    <row r="16339" spans="1:1" x14ac:dyDescent="0.2">
      <c r="A16339" s="1" t="s">
        <v>4304</v>
      </c>
    </row>
    <row r="16340" spans="1:1" x14ac:dyDescent="0.2">
      <c r="A16340" s="1" t="s">
        <v>4305</v>
      </c>
    </row>
    <row r="16341" spans="1:1" x14ac:dyDescent="0.2">
      <c r="A16341" s="1" t="s">
        <v>4306</v>
      </c>
    </row>
    <row r="16342" spans="1:1" x14ac:dyDescent="0.2">
      <c r="A16342" s="1" t="s">
        <v>4307</v>
      </c>
    </row>
    <row r="16343" spans="1:1" x14ac:dyDescent="0.2">
      <c r="A16343" s="1" t="s">
        <v>4308</v>
      </c>
    </row>
    <row r="16344" spans="1:1" x14ac:dyDescent="0.2">
      <c r="A16344" s="1" t="s">
        <v>4309</v>
      </c>
    </row>
    <row r="16345" spans="1:1" x14ac:dyDescent="0.2">
      <c r="A16345" s="1" t="s">
        <v>4310</v>
      </c>
    </row>
    <row r="16346" spans="1:1" x14ac:dyDescent="0.2">
      <c r="A16346" s="1" t="s">
        <v>4310</v>
      </c>
    </row>
    <row r="16347" spans="1:1" x14ac:dyDescent="0.2">
      <c r="A16347" s="1" t="s">
        <v>4310</v>
      </c>
    </row>
    <row r="16348" spans="1:1" x14ac:dyDescent="0.2">
      <c r="A16348" s="1" t="s">
        <v>4310</v>
      </c>
    </row>
    <row r="16349" spans="1:1" x14ac:dyDescent="0.2">
      <c r="A16349" s="1" t="s">
        <v>4311</v>
      </c>
    </row>
    <row r="16350" spans="1:1" x14ac:dyDescent="0.2">
      <c r="A16350" s="1" t="s">
        <v>4302</v>
      </c>
    </row>
    <row r="16351" spans="1:1" x14ac:dyDescent="0.2">
      <c r="A16351" s="1" t="s">
        <v>4302</v>
      </c>
    </row>
    <row r="16352" spans="1:1" x14ac:dyDescent="0.2">
      <c r="A16352" s="1" t="s">
        <v>4302</v>
      </c>
    </row>
    <row r="16353" spans="1:1" x14ac:dyDescent="0.2">
      <c r="A16353" s="1" t="s">
        <v>4303</v>
      </c>
    </row>
    <row r="16354" spans="1:1" x14ac:dyDescent="0.2">
      <c r="A16354" s="1" t="s">
        <v>4304</v>
      </c>
    </row>
    <row r="16355" spans="1:1" x14ac:dyDescent="0.2">
      <c r="A16355" s="1" t="s">
        <v>4305</v>
      </c>
    </row>
    <row r="16356" spans="1:1" x14ac:dyDescent="0.2">
      <c r="A16356" s="1" t="s">
        <v>4306</v>
      </c>
    </row>
    <row r="16357" spans="1:1" x14ac:dyDescent="0.2">
      <c r="A16357" s="1" t="s">
        <v>4307</v>
      </c>
    </row>
    <row r="16358" spans="1:1" x14ac:dyDescent="0.2">
      <c r="A16358" s="1" t="s">
        <v>4308</v>
      </c>
    </row>
    <row r="16359" spans="1:1" x14ac:dyDescent="0.2">
      <c r="A16359" s="1" t="s">
        <v>4309</v>
      </c>
    </row>
    <row r="16360" spans="1:1" x14ac:dyDescent="0.2">
      <c r="A16360" s="1" t="s">
        <v>4310</v>
      </c>
    </row>
    <row r="16361" spans="1:1" x14ac:dyDescent="0.2">
      <c r="A16361" s="1" t="s">
        <v>4310</v>
      </c>
    </row>
    <row r="16362" spans="1:1" x14ac:dyDescent="0.2">
      <c r="A16362" s="1" t="s">
        <v>4310</v>
      </c>
    </row>
    <row r="16363" spans="1:1" x14ac:dyDescent="0.2">
      <c r="A16363" s="1" t="s">
        <v>4310</v>
      </c>
    </row>
    <row r="16364" spans="1:1" x14ac:dyDescent="0.2">
      <c r="A16364" s="1" t="s">
        <v>4311</v>
      </c>
    </row>
    <row r="16365" spans="1:1" x14ac:dyDescent="0.2">
      <c r="A16365" s="1" t="s">
        <v>4302</v>
      </c>
    </row>
    <row r="16366" spans="1:1" x14ac:dyDescent="0.2">
      <c r="A16366" s="1" t="s">
        <v>4302</v>
      </c>
    </row>
    <row r="16367" spans="1:1" x14ac:dyDescent="0.2">
      <c r="A16367" s="1" t="s">
        <v>4302</v>
      </c>
    </row>
    <row r="16368" spans="1:1" x14ac:dyDescent="0.2">
      <c r="A16368" s="1" t="s">
        <v>4303</v>
      </c>
    </row>
    <row r="16369" spans="1:1" x14ac:dyDescent="0.2">
      <c r="A16369" s="1" t="s">
        <v>4304</v>
      </c>
    </row>
    <row r="16370" spans="1:1" x14ac:dyDescent="0.2">
      <c r="A16370" s="1" t="s">
        <v>4305</v>
      </c>
    </row>
    <row r="16371" spans="1:1" x14ac:dyDescent="0.2">
      <c r="A16371" s="1" t="s">
        <v>4306</v>
      </c>
    </row>
    <row r="16372" spans="1:1" x14ac:dyDescent="0.2">
      <c r="A16372" s="1" t="s">
        <v>4307</v>
      </c>
    </row>
    <row r="16373" spans="1:1" x14ac:dyDescent="0.2">
      <c r="A16373" s="1" t="s">
        <v>4308</v>
      </c>
    </row>
    <row r="16374" spans="1:1" x14ac:dyDescent="0.2">
      <c r="A16374" s="1" t="s">
        <v>4309</v>
      </c>
    </row>
    <row r="16375" spans="1:1" x14ac:dyDescent="0.2">
      <c r="A16375" s="1" t="s">
        <v>4310</v>
      </c>
    </row>
    <row r="16376" spans="1:1" x14ac:dyDescent="0.2">
      <c r="A16376" s="1" t="s">
        <v>4310</v>
      </c>
    </row>
    <row r="16377" spans="1:1" x14ac:dyDescent="0.2">
      <c r="A16377" s="1" t="s">
        <v>4310</v>
      </c>
    </row>
    <row r="16378" spans="1:1" x14ac:dyDescent="0.2">
      <c r="A16378" s="1" t="s">
        <v>4310</v>
      </c>
    </row>
    <row r="16379" spans="1:1" x14ac:dyDescent="0.2">
      <c r="A16379" s="1" t="s">
        <v>4311</v>
      </c>
    </row>
    <row r="16380" spans="1:1" x14ac:dyDescent="0.2">
      <c r="A16380" s="1" t="s">
        <v>4302</v>
      </c>
    </row>
    <row r="16381" spans="1:1" x14ac:dyDescent="0.2">
      <c r="A16381" s="1" t="s">
        <v>4312</v>
      </c>
    </row>
    <row r="16382" spans="1:1" x14ac:dyDescent="0.2">
      <c r="A16382" s="1" t="s">
        <v>4312</v>
      </c>
    </row>
    <row r="16383" spans="1:1" x14ac:dyDescent="0.2">
      <c r="A16383" s="1" t="s">
        <v>4313</v>
      </c>
    </row>
    <row r="16384" spans="1:1" x14ac:dyDescent="0.2">
      <c r="A16384" s="1" t="s">
        <v>4314</v>
      </c>
    </row>
    <row r="16385" spans="1:1" x14ac:dyDescent="0.2">
      <c r="A16385" s="1" t="s">
        <v>4315</v>
      </c>
    </row>
    <row r="16386" spans="1:1" x14ac:dyDescent="0.2">
      <c r="A16386" s="1" t="s">
        <v>4316</v>
      </c>
    </row>
    <row r="16387" spans="1:1" x14ac:dyDescent="0.2">
      <c r="A16387" s="1" t="s">
        <v>4317</v>
      </c>
    </row>
    <row r="16388" spans="1:1" x14ac:dyDescent="0.2">
      <c r="A16388" s="1" t="s">
        <v>4318</v>
      </c>
    </row>
    <row r="16389" spans="1:1" x14ac:dyDescent="0.2">
      <c r="A16389" s="1" t="s">
        <v>4319</v>
      </c>
    </row>
    <row r="16390" spans="1:1" x14ac:dyDescent="0.2">
      <c r="A16390" s="1" t="s">
        <v>4320</v>
      </c>
    </row>
    <row r="16391" spans="1:1" x14ac:dyDescent="0.2">
      <c r="A16391" s="1" t="s">
        <v>4320</v>
      </c>
    </row>
    <row r="16392" spans="1:1" x14ac:dyDescent="0.2">
      <c r="A16392" s="1" t="s">
        <v>4320</v>
      </c>
    </row>
    <row r="16393" spans="1:1" x14ac:dyDescent="0.2">
      <c r="A16393" s="1" t="s">
        <v>4320</v>
      </c>
    </row>
    <row r="16394" spans="1:1" x14ac:dyDescent="0.2">
      <c r="A16394" s="1" t="s">
        <v>4321</v>
      </c>
    </row>
    <row r="16395" spans="1:1" x14ac:dyDescent="0.2">
      <c r="A16395" s="1" t="s">
        <v>4312</v>
      </c>
    </row>
    <row r="16396" spans="1:1" x14ac:dyDescent="0.2">
      <c r="A16396" s="1" t="s">
        <v>4312</v>
      </c>
    </row>
    <row r="16397" spans="1:1" x14ac:dyDescent="0.2">
      <c r="A16397" s="1" t="s">
        <v>4312</v>
      </c>
    </row>
    <row r="16398" spans="1:1" x14ac:dyDescent="0.2">
      <c r="A16398" s="1" t="s">
        <v>4313</v>
      </c>
    </row>
    <row r="16399" spans="1:1" x14ac:dyDescent="0.2">
      <c r="A16399" s="1" t="s">
        <v>4314</v>
      </c>
    </row>
    <row r="16400" spans="1:1" x14ac:dyDescent="0.2">
      <c r="A16400" s="1" t="s">
        <v>4315</v>
      </c>
    </row>
    <row r="16401" spans="1:1" x14ac:dyDescent="0.2">
      <c r="A16401" s="1" t="s">
        <v>4316</v>
      </c>
    </row>
    <row r="16402" spans="1:1" x14ac:dyDescent="0.2">
      <c r="A16402" s="1" t="s">
        <v>4317</v>
      </c>
    </row>
    <row r="16403" spans="1:1" x14ac:dyDescent="0.2">
      <c r="A16403" s="1" t="s">
        <v>4318</v>
      </c>
    </row>
    <row r="16404" spans="1:1" x14ac:dyDescent="0.2">
      <c r="A16404" s="1" t="s">
        <v>4319</v>
      </c>
    </row>
    <row r="16405" spans="1:1" x14ac:dyDescent="0.2">
      <c r="A16405" s="1" t="s">
        <v>4320</v>
      </c>
    </row>
    <row r="16406" spans="1:1" x14ac:dyDescent="0.2">
      <c r="A16406" s="1" t="s">
        <v>4320</v>
      </c>
    </row>
    <row r="16407" spans="1:1" x14ac:dyDescent="0.2">
      <c r="A16407" s="1" t="s">
        <v>4320</v>
      </c>
    </row>
    <row r="16408" spans="1:1" x14ac:dyDescent="0.2">
      <c r="A16408" s="1" t="s">
        <v>4320</v>
      </c>
    </row>
    <row r="16409" spans="1:1" x14ac:dyDescent="0.2">
      <c r="A16409" s="1" t="s">
        <v>4321</v>
      </c>
    </row>
    <row r="16410" spans="1:1" x14ac:dyDescent="0.2">
      <c r="A16410" s="1" t="s">
        <v>4312</v>
      </c>
    </row>
    <row r="16411" spans="1:1" x14ac:dyDescent="0.2">
      <c r="A16411" s="1" t="s">
        <v>4312</v>
      </c>
    </row>
    <row r="16412" spans="1:1" x14ac:dyDescent="0.2">
      <c r="A16412" s="1" t="s">
        <v>4312</v>
      </c>
    </row>
    <row r="16413" spans="1:1" x14ac:dyDescent="0.2">
      <c r="A16413" s="1" t="s">
        <v>4313</v>
      </c>
    </row>
    <row r="16414" spans="1:1" x14ac:dyDescent="0.2">
      <c r="A16414" s="1" t="s">
        <v>4314</v>
      </c>
    </row>
    <row r="16415" spans="1:1" x14ac:dyDescent="0.2">
      <c r="A16415" s="1" t="s">
        <v>4315</v>
      </c>
    </row>
    <row r="16416" spans="1:1" x14ac:dyDescent="0.2">
      <c r="A16416" s="1" t="s">
        <v>4316</v>
      </c>
    </row>
    <row r="16417" spans="1:1" x14ac:dyDescent="0.2">
      <c r="A16417" s="1" t="s">
        <v>4317</v>
      </c>
    </row>
    <row r="16418" spans="1:1" x14ac:dyDescent="0.2">
      <c r="A16418" s="1" t="s">
        <v>4318</v>
      </c>
    </row>
    <row r="16419" spans="1:1" x14ac:dyDescent="0.2">
      <c r="A16419" s="1" t="s">
        <v>4319</v>
      </c>
    </row>
    <row r="16420" spans="1:1" x14ac:dyDescent="0.2">
      <c r="A16420" s="1" t="s">
        <v>4320</v>
      </c>
    </row>
    <row r="16421" spans="1:1" x14ac:dyDescent="0.2">
      <c r="A16421" s="1" t="s">
        <v>4320</v>
      </c>
    </row>
    <row r="16422" spans="1:1" x14ac:dyDescent="0.2">
      <c r="A16422" s="1" t="s">
        <v>4320</v>
      </c>
    </row>
    <row r="16423" spans="1:1" x14ac:dyDescent="0.2">
      <c r="A16423" s="1" t="s">
        <v>4320</v>
      </c>
    </row>
    <row r="16424" spans="1:1" x14ac:dyDescent="0.2">
      <c r="A16424" s="1" t="s">
        <v>4321</v>
      </c>
    </row>
    <row r="16425" spans="1:1" x14ac:dyDescent="0.2">
      <c r="A16425" s="1" t="s">
        <v>4312</v>
      </c>
    </row>
    <row r="16426" spans="1:1" x14ac:dyDescent="0.2">
      <c r="A16426" s="1" t="s">
        <v>4312</v>
      </c>
    </row>
    <row r="16427" spans="1:1" x14ac:dyDescent="0.2">
      <c r="A16427" s="1" t="s">
        <v>4312</v>
      </c>
    </row>
    <row r="16428" spans="1:1" x14ac:dyDescent="0.2">
      <c r="A16428" s="1" t="s">
        <v>4313</v>
      </c>
    </row>
    <row r="16429" spans="1:1" x14ac:dyDescent="0.2">
      <c r="A16429" s="1" t="s">
        <v>4314</v>
      </c>
    </row>
    <row r="16430" spans="1:1" x14ac:dyDescent="0.2">
      <c r="A16430" s="1" t="s">
        <v>4315</v>
      </c>
    </row>
    <row r="16431" spans="1:1" x14ac:dyDescent="0.2">
      <c r="A16431" s="1" t="s">
        <v>4316</v>
      </c>
    </row>
    <row r="16432" spans="1:1" x14ac:dyDescent="0.2">
      <c r="A16432" s="1" t="s">
        <v>4317</v>
      </c>
    </row>
    <row r="16433" spans="1:1" x14ac:dyDescent="0.2">
      <c r="A16433" s="1" t="s">
        <v>4318</v>
      </c>
    </row>
    <row r="16434" spans="1:1" x14ac:dyDescent="0.2">
      <c r="A16434" s="1" t="s">
        <v>4319</v>
      </c>
    </row>
    <row r="16435" spans="1:1" x14ac:dyDescent="0.2">
      <c r="A16435" s="1" t="s">
        <v>4320</v>
      </c>
    </row>
    <row r="16436" spans="1:1" x14ac:dyDescent="0.2">
      <c r="A16436" s="1" t="s">
        <v>4320</v>
      </c>
    </row>
    <row r="16437" spans="1:1" x14ac:dyDescent="0.2">
      <c r="A16437" s="1" t="s">
        <v>4320</v>
      </c>
    </row>
    <row r="16438" spans="1:1" x14ac:dyDescent="0.2">
      <c r="A16438" s="1" t="s">
        <v>4320</v>
      </c>
    </row>
    <row r="16439" spans="1:1" x14ac:dyDescent="0.2">
      <c r="A16439" s="1" t="s">
        <v>4321</v>
      </c>
    </row>
    <row r="16440" spans="1:1" x14ac:dyDescent="0.2">
      <c r="A16440" s="1" t="s">
        <v>4312</v>
      </c>
    </row>
    <row r="16441" spans="1:1" x14ac:dyDescent="0.2">
      <c r="A16441" s="1" t="s">
        <v>4312</v>
      </c>
    </row>
    <row r="16442" spans="1:1" x14ac:dyDescent="0.2">
      <c r="A16442" s="1" t="s">
        <v>4312</v>
      </c>
    </row>
    <row r="16443" spans="1:1" x14ac:dyDescent="0.2">
      <c r="A16443" s="1" t="s">
        <v>4313</v>
      </c>
    </row>
    <row r="16444" spans="1:1" x14ac:dyDescent="0.2">
      <c r="A16444" s="1" t="s">
        <v>4314</v>
      </c>
    </row>
    <row r="16445" spans="1:1" x14ac:dyDescent="0.2">
      <c r="A16445" s="1" t="s">
        <v>4315</v>
      </c>
    </row>
    <row r="16446" spans="1:1" x14ac:dyDescent="0.2">
      <c r="A16446" s="1" t="s">
        <v>4316</v>
      </c>
    </row>
    <row r="16447" spans="1:1" x14ac:dyDescent="0.2">
      <c r="A16447" s="1" t="s">
        <v>4317</v>
      </c>
    </row>
    <row r="16448" spans="1:1" x14ac:dyDescent="0.2">
      <c r="A16448" s="1" t="s">
        <v>4318</v>
      </c>
    </row>
    <row r="16449" spans="1:1" x14ac:dyDescent="0.2">
      <c r="A16449" s="1" t="s">
        <v>4319</v>
      </c>
    </row>
    <row r="16450" spans="1:1" x14ac:dyDescent="0.2">
      <c r="A16450" s="1" t="s">
        <v>4320</v>
      </c>
    </row>
    <row r="16451" spans="1:1" x14ac:dyDescent="0.2">
      <c r="A16451" s="1" t="s">
        <v>4320</v>
      </c>
    </row>
    <row r="16452" spans="1:1" x14ac:dyDescent="0.2">
      <c r="A16452" s="1" t="s">
        <v>4320</v>
      </c>
    </row>
    <row r="16453" spans="1:1" x14ac:dyDescent="0.2">
      <c r="A16453" s="1" t="s">
        <v>4320</v>
      </c>
    </row>
    <row r="16454" spans="1:1" x14ac:dyDescent="0.2">
      <c r="A16454" s="1" t="s">
        <v>4321</v>
      </c>
    </row>
    <row r="16455" spans="1:1" x14ac:dyDescent="0.2">
      <c r="A16455" s="1" t="s">
        <v>4312</v>
      </c>
    </row>
    <row r="16456" spans="1:1" x14ac:dyDescent="0.2">
      <c r="A16456" s="1" t="s">
        <v>4322</v>
      </c>
    </row>
    <row r="16457" spans="1:1" x14ac:dyDescent="0.2">
      <c r="A16457" s="1" t="s">
        <v>4322</v>
      </c>
    </row>
    <row r="16458" spans="1:1" x14ac:dyDescent="0.2">
      <c r="A16458" s="1" t="s">
        <v>4323</v>
      </c>
    </row>
    <row r="16459" spans="1:1" x14ac:dyDescent="0.2">
      <c r="A16459" s="1" t="s">
        <v>4324</v>
      </c>
    </row>
    <row r="16460" spans="1:1" x14ac:dyDescent="0.2">
      <c r="A16460" s="1" t="s">
        <v>4325</v>
      </c>
    </row>
    <row r="16461" spans="1:1" x14ac:dyDescent="0.2">
      <c r="A16461" s="1" t="s">
        <v>4326</v>
      </c>
    </row>
    <row r="16462" spans="1:1" x14ac:dyDescent="0.2">
      <c r="A16462" s="1" t="s">
        <v>4327</v>
      </c>
    </row>
    <row r="16463" spans="1:1" x14ac:dyDescent="0.2">
      <c r="A16463" s="1" t="s">
        <v>4328</v>
      </c>
    </row>
    <row r="16464" spans="1:1" x14ac:dyDescent="0.2">
      <c r="A16464" s="1" t="s">
        <v>4329</v>
      </c>
    </row>
    <row r="16465" spans="1:1" x14ac:dyDescent="0.2">
      <c r="A16465" s="1" t="s">
        <v>4330</v>
      </c>
    </row>
    <row r="16466" spans="1:1" x14ac:dyDescent="0.2">
      <c r="A16466" s="1" t="s">
        <v>4330</v>
      </c>
    </row>
    <row r="16467" spans="1:1" x14ac:dyDescent="0.2">
      <c r="A16467" s="1" t="s">
        <v>4330</v>
      </c>
    </row>
    <row r="16468" spans="1:1" x14ac:dyDescent="0.2">
      <c r="A16468" s="1" t="s">
        <v>4330</v>
      </c>
    </row>
    <row r="16469" spans="1:1" x14ac:dyDescent="0.2">
      <c r="A16469" s="1" t="s">
        <v>4331</v>
      </c>
    </row>
    <row r="16470" spans="1:1" x14ac:dyDescent="0.2">
      <c r="A16470" s="1" t="s">
        <v>4322</v>
      </c>
    </row>
    <row r="16471" spans="1:1" x14ac:dyDescent="0.2">
      <c r="A16471" s="1" t="s">
        <v>4322</v>
      </c>
    </row>
    <row r="16472" spans="1:1" x14ac:dyDescent="0.2">
      <c r="A16472" s="1" t="s">
        <v>4322</v>
      </c>
    </row>
    <row r="16473" spans="1:1" x14ac:dyDescent="0.2">
      <c r="A16473" s="1" t="s">
        <v>4323</v>
      </c>
    </row>
    <row r="16474" spans="1:1" x14ac:dyDescent="0.2">
      <c r="A16474" s="1" t="s">
        <v>4324</v>
      </c>
    </row>
    <row r="16475" spans="1:1" x14ac:dyDescent="0.2">
      <c r="A16475" s="1" t="s">
        <v>4325</v>
      </c>
    </row>
    <row r="16476" spans="1:1" x14ac:dyDescent="0.2">
      <c r="A16476" s="1" t="s">
        <v>4326</v>
      </c>
    </row>
    <row r="16477" spans="1:1" x14ac:dyDescent="0.2">
      <c r="A16477" s="1" t="s">
        <v>4327</v>
      </c>
    </row>
    <row r="16478" spans="1:1" x14ac:dyDescent="0.2">
      <c r="A16478" s="1" t="s">
        <v>4328</v>
      </c>
    </row>
    <row r="16479" spans="1:1" x14ac:dyDescent="0.2">
      <c r="A16479" s="1" t="s">
        <v>4329</v>
      </c>
    </row>
    <row r="16480" spans="1:1" x14ac:dyDescent="0.2">
      <c r="A16480" s="1" t="s">
        <v>4330</v>
      </c>
    </row>
    <row r="16481" spans="1:1" x14ac:dyDescent="0.2">
      <c r="A16481" s="1" t="s">
        <v>4330</v>
      </c>
    </row>
    <row r="16482" spans="1:1" x14ac:dyDescent="0.2">
      <c r="A16482" s="1" t="s">
        <v>4330</v>
      </c>
    </row>
    <row r="16483" spans="1:1" x14ac:dyDescent="0.2">
      <c r="A16483" s="1" t="s">
        <v>4330</v>
      </c>
    </row>
    <row r="16484" spans="1:1" x14ac:dyDescent="0.2">
      <c r="A16484" s="1" t="s">
        <v>4331</v>
      </c>
    </row>
    <row r="16485" spans="1:1" x14ac:dyDescent="0.2">
      <c r="A16485" s="1" t="s">
        <v>4322</v>
      </c>
    </row>
    <row r="16486" spans="1:1" x14ac:dyDescent="0.2">
      <c r="A16486" s="1" t="s">
        <v>4322</v>
      </c>
    </row>
    <row r="16487" spans="1:1" x14ac:dyDescent="0.2">
      <c r="A16487" s="1" t="s">
        <v>4322</v>
      </c>
    </row>
    <row r="16488" spans="1:1" x14ac:dyDescent="0.2">
      <c r="A16488" s="1" t="s">
        <v>4323</v>
      </c>
    </row>
    <row r="16489" spans="1:1" x14ac:dyDescent="0.2">
      <c r="A16489" s="1" t="s">
        <v>4324</v>
      </c>
    </row>
    <row r="16490" spans="1:1" x14ac:dyDescent="0.2">
      <c r="A16490" s="1" t="s">
        <v>4325</v>
      </c>
    </row>
    <row r="16491" spans="1:1" x14ac:dyDescent="0.2">
      <c r="A16491" s="1" t="s">
        <v>4326</v>
      </c>
    </row>
    <row r="16492" spans="1:1" x14ac:dyDescent="0.2">
      <c r="A16492" s="1" t="s">
        <v>4327</v>
      </c>
    </row>
    <row r="16493" spans="1:1" x14ac:dyDescent="0.2">
      <c r="A16493" s="1" t="s">
        <v>4328</v>
      </c>
    </row>
    <row r="16494" spans="1:1" x14ac:dyDescent="0.2">
      <c r="A16494" s="1" t="s">
        <v>4329</v>
      </c>
    </row>
    <row r="16495" spans="1:1" x14ac:dyDescent="0.2">
      <c r="A16495" s="1" t="s">
        <v>4330</v>
      </c>
    </row>
    <row r="16496" spans="1:1" x14ac:dyDescent="0.2">
      <c r="A16496" s="1" t="s">
        <v>4330</v>
      </c>
    </row>
    <row r="16497" spans="1:1" x14ac:dyDescent="0.2">
      <c r="A16497" s="1" t="s">
        <v>4330</v>
      </c>
    </row>
    <row r="16498" spans="1:1" x14ac:dyDescent="0.2">
      <c r="A16498" s="1" t="s">
        <v>4330</v>
      </c>
    </row>
    <row r="16499" spans="1:1" x14ac:dyDescent="0.2">
      <c r="A16499" s="1" t="s">
        <v>4331</v>
      </c>
    </row>
    <row r="16500" spans="1:1" x14ac:dyDescent="0.2">
      <c r="A16500" s="1" t="s">
        <v>4322</v>
      </c>
    </row>
    <row r="16501" spans="1:1" x14ac:dyDescent="0.2">
      <c r="A16501" s="1" t="s">
        <v>4322</v>
      </c>
    </row>
    <row r="16502" spans="1:1" x14ac:dyDescent="0.2">
      <c r="A16502" s="1" t="s">
        <v>4322</v>
      </c>
    </row>
    <row r="16503" spans="1:1" x14ac:dyDescent="0.2">
      <c r="A16503" s="1" t="s">
        <v>4323</v>
      </c>
    </row>
    <row r="16504" spans="1:1" x14ac:dyDescent="0.2">
      <c r="A16504" s="1" t="s">
        <v>4324</v>
      </c>
    </row>
    <row r="16505" spans="1:1" x14ac:dyDescent="0.2">
      <c r="A16505" s="1" t="s">
        <v>4325</v>
      </c>
    </row>
    <row r="16506" spans="1:1" x14ac:dyDescent="0.2">
      <c r="A16506" s="1" t="s">
        <v>4326</v>
      </c>
    </row>
    <row r="16507" spans="1:1" x14ac:dyDescent="0.2">
      <c r="A16507" s="1" t="s">
        <v>4327</v>
      </c>
    </row>
    <row r="16508" spans="1:1" x14ac:dyDescent="0.2">
      <c r="A16508" s="1" t="s">
        <v>4328</v>
      </c>
    </row>
    <row r="16509" spans="1:1" x14ac:dyDescent="0.2">
      <c r="A16509" s="1" t="s">
        <v>4329</v>
      </c>
    </row>
    <row r="16510" spans="1:1" x14ac:dyDescent="0.2">
      <c r="A16510" s="1" t="s">
        <v>4330</v>
      </c>
    </row>
    <row r="16511" spans="1:1" x14ac:dyDescent="0.2">
      <c r="A16511" s="1" t="s">
        <v>4330</v>
      </c>
    </row>
    <row r="16512" spans="1:1" x14ac:dyDescent="0.2">
      <c r="A16512" s="1" t="s">
        <v>4330</v>
      </c>
    </row>
    <row r="16513" spans="1:1" x14ac:dyDescent="0.2">
      <c r="A16513" s="1" t="s">
        <v>4330</v>
      </c>
    </row>
    <row r="16514" spans="1:1" x14ac:dyDescent="0.2">
      <c r="A16514" s="1" t="s">
        <v>4331</v>
      </c>
    </row>
    <row r="16515" spans="1:1" x14ac:dyDescent="0.2">
      <c r="A16515" s="1" t="s">
        <v>4322</v>
      </c>
    </row>
    <row r="16516" spans="1:1" x14ac:dyDescent="0.2">
      <c r="A16516" s="1" t="s">
        <v>4322</v>
      </c>
    </row>
    <row r="16517" spans="1:1" x14ac:dyDescent="0.2">
      <c r="A16517" s="1" t="s">
        <v>4322</v>
      </c>
    </row>
    <row r="16518" spans="1:1" x14ac:dyDescent="0.2">
      <c r="A16518" s="1" t="s">
        <v>4323</v>
      </c>
    </row>
    <row r="16519" spans="1:1" x14ac:dyDescent="0.2">
      <c r="A16519" s="1" t="s">
        <v>4324</v>
      </c>
    </row>
    <row r="16520" spans="1:1" x14ac:dyDescent="0.2">
      <c r="A16520" s="1" t="s">
        <v>4325</v>
      </c>
    </row>
    <row r="16521" spans="1:1" x14ac:dyDescent="0.2">
      <c r="A16521" s="1" t="s">
        <v>4326</v>
      </c>
    </row>
    <row r="16522" spans="1:1" x14ac:dyDescent="0.2">
      <c r="A16522" s="1" t="s">
        <v>4327</v>
      </c>
    </row>
    <row r="16523" spans="1:1" x14ac:dyDescent="0.2">
      <c r="A16523" s="1" t="s">
        <v>4328</v>
      </c>
    </row>
    <row r="16524" spans="1:1" x14ac:dyDescent="0.2">
      <c r="A16524" s="1" t="s">
        <v>4329</v>
      </c>
    </row>
    <row r="16525" spans="1:1" x14ac:dyDescent="0.2">
      <c r="A16525" s="1" t="s">
        <v>4330</v>
      </c>
    </row>
    <row r="16526" spans="1:1" x14ac:dyDescent="0.2">
      <c r="A16526" s="1" t="s">
        <v>4330</v>
      </c>
    </row>
    <row r="16527" spans="1:1" x14ac:dyDescent="0.2">
      <c r="A16527" s="1" t="s">
        <v>4330</v>
      </c>
    </row>
    <row r="16528" spans="1:1" x14ac:dyDescent="0.2">
      <c r="A16528" s="1" t="s">
        <v>4330</v>
      </c>
    </row>
    <row r="16529" spans="1:1" x14ac:dyDescent="0.2">
      <c r="A16529" s="1" t="s">
        <v>4331</v>
      </c>
    </row>
    <row r="16530" spans="1:1" x14ac:dyDescent="0.2">
      <c r="A16530" s="1" t="s">
        <v>4322</v>
      </c>
    </row>
    <row r="16531" spans="1:1" x14ac:dyDescent="0.2">
      <c r="A16531" s="1" t="s">
        <v>4332</v>
      </c>
    </row>
    <row r="16532" spans="1:1" x14ac:dyDescent="0.2">
      <c r="A16532" s="1" t="s">
        <v>4332</v>
      </c>
    </row>
    <row r="16533" spans="1:1" x14ac:dyDescent="0.2">
      <c r="A16533" s="1" t="s">
        <v>4333</v>
      </c>
    </row>
    <row r="16534" spans="1:1" x14ac:dyDescent="0.2">
      <c r="A16534" s="1" t="s">
        <v>4334</v>
      </c>
    </row>
    <row r="16535" spans="1:1" x14ac:dyDescent="0.2">
      <c r="A16535" s="1" t="s">
        <v>4335</v>
      </c>
    </row>
    <row r="16536" spans="1:1" x14ac:dyDescent="0.2">
      <c r="A16536" s="1" t="s">
        <v>4336</v>
      </c>
    </row>
    <row r="16537" spans="1:1" x14ac:dyDescent="0.2">
      <c r="A16537" s="1" t="s">
        <v>4337</v>
      </c>
    </row>
    <row r="16538" spans="1:1" x14ac:dyDescent="0.2">
      <c r="A16538" s="1" t="s">
        <v>4338</v>
      </c>
    </row>
    <row r="16539" spans="1:1" x14ac:dyDescent="0.2">
      <c r="A16539" s="1" t="s">
        <v>4339</v>
      </c>
    </row>
    <row r="16540" spans="1:1" x14ac:dyDescent="0.2">
      <c r="A16540" s="1" t="s">
        <v>4340</v>
      </c>
    </row>
    <row r="16541" spans="1:1" x14ac:dyDescent="0.2">
      <c r="A16541" s="1" t="s">
        <v>4340</v>
      </c>
    </row>
    <row r="16542" spans="1:1" x14ac:dyDescent="0.2">
      <c r="A16542" s="1" t="s">
        <v>4340</v>
      </c>
    </row>
    <row r="16543" spans="1:1" x14ac:dyDescent="0.2">
      <c r="A16543" s="1" t="s">
        <v>4340</v>
      </c>
    </row>
    <row r="16544" spans="1:1" x14ac:dyDescent="0.2">
      <c r="A16544" s="1" t="s">
        <v>4341</v>
      </c>
    </row>
    <row r="16545" spans="1:1" x14ac:dyDescent="0.2">
      <c r="A16545" s="1" t="s">
        <v>4332</v>
      </c>
    </row>
    <row r="16546" spans="1:1" x14ac:dyDescent="0.2">
      <c r="A16546" s="1" t="s">
        <v>4332</v>
      </c>
    </row>
    <row r="16547" spans="1:1" x14ac:dyDescent="0.2">
      <c r="A16547" s="1" t="s">
        <v>4332</v>
      </c>
    </row>
    <row r="16548" spans="1:1" x14ac:dyDescent="0.2">
      <c r="A16548" s="1" t="s">
        <v>4333</v>
      </c>
    </row>
    <row r="16549" spans="1:1" x14ac:dyDescent="0.2">
      <c r="A16549" s="1" t="s">
        <v>4334</v>
      </c>
    </row>
    <row r="16550" spans="1:1" x14ac:dyDescent="0.2">
      <c r="A16550" s="1" t="s">
        <v>4335</v>
      </c>
    </row>
    <row r="16551" spans="1:1" x14ac:dyDescent="0.2">
      <c r="A16551" s="1" t="s">
        <v>4336</v>
      </c>
    </row>
    <row r="16552" spans="1:1" x14ac:dyDescent="0.2">
      <c r="A16552" s="1" t="s">
        <v>4337</v>
      </c>
    </row>
    <row r="16553" spans="1:1" x14ac:dyDescent="0.2">
      <c r="A16553" s="1" t="s">
        <v>4338</v>
      </c>
    </row>
    <row r="16554" spans="1:1" x14ac:dyDescent="0.2">
      <c r="A16554" s="1" t="s">
        <v>4339</v>
      </c>
    </row>
    <row r="16555" spans="1:1" x14ac:dyDescent="0.2">
      <c r="A16555" s="1" t="s">
        <v>4340</v>
      </c>
    </row>
    <row r="16556" spans="1:1" x14ac:dyDescent="0.2">
      <c r="A16556" s="1" t="s">
        <v>4340</v>
      </c>
    </row>
    <row r="16557" spans="1:1" x14ac:dyDescent="0.2">
      <c r="A16557" s="1" t="s">
        <v>4340</v>
      </c>
    </row>
    <row r="16558" spans="1:1" x14ac:dyDescent="0.2">
      <c r="A16558" s="1" t="s">
        <v>4340</v>
      </c>
    </row>
    <row r="16559" spans="1:1" x14ac:dyDescent="0.2">
      <c r="A16559" s="1" t="s">
        <v>4341</v>
      </c>
    </row>
    <row r="16560" spans="1:1" x14ac:dyDescent="0.2">
      <c r="A16560" s="1" t="s">
        <v>4332</v>
      </c>
    </row>
    <row r="16561" spans="1:1" x14ac:dyDescent="0.2">
      <c r="A16561" s="1" t="s">
        <v>4332</v>
      </c>
    </row>
    <row r="16562" spans="1:1" x14ac:dyDescent="0.2">
      <c r="A16562" s="1" t="s">
        <v>4332</v>
      </c>
    </row>
    <row r="16563" spans="1:1" x14ac:dyDescent="0.2">
      <c r="A16563" s="1" t="s">
        <v>4333</v>
      </c>
    </row>
    <row r="16564" spans="1:1" x14ac:dyDescent="0.2">
      <c r="A16564" s="1" t="s">
        <v>4334</v>
      </c>
    </row>
    <row r="16565" spans="1:1" x14ac:dyDescent="0.2">
      <c r="A16565" s="1" t="s">
        <v>4335</v>
      </c>
    </row>
    <row r="16566" spans="1:1" x14ac:dyDescent="0.2">
      <c r="A16566" s="1" t="s">
        <v>4336</v>
      </c>
    </row>
    <row r="16567" spans="1:1" x14ac:dyDescent="0.2">
      <c r="A16567" s="1" t="s">
        <v>4337</v>
      </c>
    </row>
    <row r="16568" spans="1:1" x14ac:dyDescent="0.2">
      <c r="A16568" s="1" t="s">
        <v>4338</v>
      </c>
    </row>
    <row r="16569" spans="1:1" x14ac:dyDescent="0.2">
      <c r="A16569" s="1" t="s">
        <v>4339</v>
      </c>
    </row>
    <row r="16570" spans="1:1" x14ac:dyDescent="0.2">
      <c r="A16570" s="1" t="s">
        <v>4340</v>
      </c>
    </row>
    <row r="16571" spans="1:1" x14ac:dyDescent="0.2">
      <c r="A16571" s="1" t="s">
        <v>4340</v>
      </c>
    </row>
    <row r="16572" spans="1:1" x14ac:dyDescent="0.2">
      <c r="A16572" s="1" t="s">
        <v>4340</v>
      </c>
    </row>
    <row r="16573" spans="1:1" x14ac:dyDescent="0.2">
      <c r="A16573" s="1" t="s">
        <v>4340</v>
      </c>
    </row>
    <row r="16574" spans="1:1" x14ac:dyDescent="0.2">
      <c r="A16574" s="1" t="s">
        <v>4341</v>
      </c>
    </row>
    <row r="16575" spans="1:1" x14ac:dyDescent="0.2">
      <c r="A16575" s="1" t="s">
        <v>4332</v>
      </c>
    </row>
    <row r="16576" spans="1:1" x14ac:dyDescent="0.2">
      <c r="A16576" s="1" t="s">
        <v>4332</v>
      </c>
    </row>
    <row r="16577" spans="1:1" x14ac:dyDescent="0.2">
      <c r="A16577" s="1" t="s">
        <v>4332</v>
      </c>
    </row>
    <row r="16578" spans="1:1" x14ac:dyDescent="0.2">
      <c r="A16578" s="1" t="s">
        <v>4333</v>
      </c>
    </row>
    <row r="16579" spans="1:1" x14ac:dyDescent="0.2">
      <c r="A16579" s="1" t="s">
        <v>4334</v>
      </c>
    </row>
    <row r="16580" spans="1:1" x14ac:dyDescent="0.2">
      <c r="A16580" s="1" t="s">
        <v>4335</v>
      </c>
    </row>
    <row r="16581" spans="1:1" x14ac:dyDescent="0.2">
      <c r="A16581" s="1" t="s">
        <v>4336</v>
      </c>
    </row>
    <row r="16582" spans="1:1" x14ac:dyDescent="0.2">
      <c r="A16582" s="1" t="s">
        <v>4337</v>
      </c>
    </row>
    <row r="16583" spans="1:1" x14ac:dyDescent="0.2">
      <c r="A16583" s="1" t="s">
        <v>4338</v>
      </c>
    </row>
    <row r="16584" spans="1:1" x14ac:dyDescent="0.2">
      <c r="A16584" s="1" t="s">
        <v>4339</v>
      </c>
    </row>
    <row r="16585" spans="1:1" x14ac:dyDescent="0.2">
      <c r="A16585" s="1" t="s">
        <v>4340</v>
      </c>
    </row>
    <row r="16586" spans="1:1" x14ac:dyDescent="0.2">
      <c r="A16586" s="1" t="s">
        <v>4340</v>
      </c>
    </row>
    <row r="16587" spans="1:1" x14ac:dyDescent="0.2">
      <c r="A16587" s="1" t="s">
        <v>4340</v>
      </c>
    </row>
    <row r="16588" spans="1:1" x14ac:dyDescent="0.2">
      <c r="A16588" s="1" t="s">
        <v>4340</v>
      </c>
    </row>
    <row r="16589" spans="1:1" x14ac:dyDescent="0.2">
      <c r="A16589" s="1" t="s">
        <v>4341</v>
      </c>
    </row>
    <row r="16590" spans="1:1" x14ac:dyDescent="0.2">
      <c r="A16590" s="1" t="s">
        <v>4332</v>
      </c>
    </row>
    <row r="16591" spans="1:1" x14ac:dyDescent="0.2">
      <c r="A16591" s="1" t="s">
        <v>4332</v>
      </c>
    </row>
    <row r="16592" spans="1:1" x14ac:dyDescent="0.2">
      <c r="A16592" s="1" t="s">
        <v>4332</v>
      </c>
    </row>
    <row r="16593" spans="1:1" x14ac:dyDescent="0.2">
      <c r="A16593" s="1" t="s">
        <v>4333</v>
      </c>
    </row>
    <row r="16594" spans="1:1" x14ac:dyDescent="0.2">
      <c r="A16594" s="1" t="s">
        <v>4334</v>
      </c>
    </row>
    <row r="16595" spans="1:1" x14ac:dyDescent="0.2">
      <c r="A16595" s="1" t="s">
        <v>4335</v>
      </c>
    </row>
    <row r="16596" spans="1:1" x14ac:dyDescent="0.2">
      <c r="A16596" s="1" t="s">
        <v>4336</v>
      </c>
    </row>
    <row r="16597" spans="1:1" x14ac:dyDescent="0.2">
      <c r="A16597" s="1" t="s">
        <v>4337</v>
      </c>
    </row>
    <row r="16598" spans="1:1" x14ac:dyDescent="0.2">
      <c r="A16598" s="1" t="s">
        <v>4338</v>
      </c>
    </row>
    <row r="16599" spans="1:1" x14ac:dyDescent="0.2">
      <c r="A16599" s="1" t="s">
        <v>4339</v>
      </c>
    </row>
    <row r="16600" spans="1:1" x14ac:dyDescent="0.2">
      <c r="A16600" s="1" t="s">
        <v>4340</v>
      </c>
    </row>
    <row r="16601" spans="1:1" x14ac:dyDescent="0.2">
      <c r="A16601" s="1" t="s">
        <v>4340</v>
      </c>
    </row>
    <row r="16602" spans="1:1" x14ac:dyDescent="0.2">
      <c r="A16602" s="1" t="s">
        <v>4340</v>
      </c>
    </row>
    <row r="16603" spans="1:1" x14ac:dyDescent="0.2">
      <c r="A16603" s="1" t="s">
        <v>4340</v>
      </c>
    </row>
    <row r="16604" spans="1:1" x14ac:dyDescent="0.2">
      <c r="A16604" s="1" t="s">
        <v>4341</v>
      </c>
    </row>
    <row r="16605" spans="1:1" x14ac:dyDescent="0.2">
      <c r="A16605" s="1" t="s">
        <v>4332</v>
      </c>
    </row>
    <row r="16606" spans="1:1" x14ac:dyDescent="0.2">
      <c r="A16606" s="1" t="s">
        <v>4342</v>
      </c>
    </row>
    <row r="16607" spans="1:1" x14ac:dyDescent="0.2">
      <c r="A16607" s="1" t="s">
        <v>4342</v>
      </c>
    </row>
    <row r="16608" spans="1:1" x14ac:dyDescent="0.2">
      <c r="A16608" s="1" t="s">
        <v>4343</v>
      </c>
    </row>
    <row r="16609" spans="1:1" x14ac:dyDescent="0.2">
      <c r="A16609" s="1" t="s">
        <v>4344</v>
      </c>
    </row>
    <row r="16610" spans="1:1" x14ac:dyDescent="0.2">
      <c r="A16610" s="1" t="s">
        <v>4345</v>
      </c>
    </row>
    <row r="16611" spans="1:1" x14ac:dyDescent="0.2">
      <c r="A16611" s="1" t="s">
        <v>4346</v>
      </c>
    </row>
    <row r="16612" spans="1:1" x14ac:dyDescent="0.2">
      <c r="A16612" s="1" t="s">
        <v>4347</v>
      </c>
    </row>
    <row r="16613" spans="1:1" x14ac:dyDescent="0.2">
      <c r="A16613" s="1" t="s">
        <v>4348</v>
      </c>
    </row>
    <row r="16614" spans="1:1" x14ac:dyDescent="0.2">
      <c r="A16614" s="1" t="s">
        <v>4349</v>
      </c>
    </row>
    <row r="16615" spans="1:1" x14ac:dyDescent="0.2">
      <c r="A16615" s="1" t="s">
        <v>4350</v>
      </c>
    </row>
    <row r="16616" spans="1:1" x14ac:dyDescent="0.2">
      <c r="A16616" s="1" t="s">
        <v>4350</v>
      </c>
    </row>
    <row r="16617" spans="1:1" x14ac:dyDescent="0.2">
      <c r="A16617" s="1" t="s">
        <v>4350</v>
      </c>
    </row>
    <row r="16618" spans="1:1" x14ac:dyDescent="0.2">
      <c r="A16618" s="1" t="s">
        <v>4350</v>
      </c>
    </row>
    <row r="16619" spans="1:1" x14ac:dyDescent="0.2">
      <c r="A16619" s="1" t="s">
        <v>4351</v>
      </c>
    </row>
    <row r="16620" spans="1:1" x14ac:dyDescent="0.2">
      <c r="A16620" s="1" t="s">
        <v>4342</v>
      </c>
    </row>
    <row r="16621" spans="1:1" x14ac:dyDescent="0.2">
      <c r="A16621" s="1" t="s">
        <v>4342</v>
      </c>
    </row>
    <row r="16622" spans="1:1" x14ac:dyDescent="0.2">
      <c r="A16622" s="1" t="s">
        <v>4342</v>
      </c>
    </row>
    <row r="16623" spans="1:1" x14ac:dyDescent="0.2">
      <c r="A16623" s="1" t="s">
        <v>4343</v>
      </c>
    </row>
    <row r="16624" spans="1:1" x14ac:dyDescent="0.2">
      <c r="A16624" s="1" t="s">
        <v>4352</v>
      </c>
    </row>
    <row r="16625" spans="1:1" x14ac:dyDescent="0.2">
      <c r="A16625" s="1" t="s">
        <v>4352</v>
      </c>
    </row>
    <row r="16626" spans="1:1" x14ac:dyDescent="0.2">
      <c r="A16626" s="1" t="s">
        <v>4353</v>
      </c>
    </row>
    <row r="16627" spans="1:1" x14ac:dyDescent="0.2">
      <c r="A16627" s="1" t="s">
        <v>4354</v>
      </c>
    </row>
    <row r="16628" spans="1:1" x14ac:dyDescent="0.2">
      <c r="A16628" s="1" t="s">
        <v>4354</v>
      </c>
    </row>
    <row r="16629" spans="1:1" x14ac:dyDescent="0.2">
      <c r="A16629" s="1" t="s">
        <v>4355</v>
      </c>
    </row>
    <row r="16630" spans="1:1" x14ac:dyDescent="0.2">
      <c r="A16630" s="1" t="s">
        <v>4356</v>
      </c>
    </row>
    <row r="16631" spans="1:1" x14ac:dyDescent="0.2">
      <c r="A16631" s="1" t="s">
        <v>4357</v>
      </c>
    </row>
    <row r="16632" spans="1:1" x14ac:dyDescent="0.2">
      <c r="A16632" s="1" t="s">
        <v>4358</v>
      </c>
    </row>
    <row r="16633" spans="1:1" x14ac:dyDescent="0.2">
      <c r="A16633" s="1" t="s">
        <v>4359</v>
      </c>
    </row>
    <row r="16634" spans="1:1" x14ac:dyDescent="0.2">
      <c r="A16634" s="1" t="s">
        <v>4360</v>
      </c>
    </row>
    <row r="16635" spans="1:1" x14ac:dyDescent="0.2">
      <c r="A16635" s="1" t="s">
        <v>4361</v>
      </c>
    </row>
    <row r="16636" spans="1:1" x14ac:dyDescent="0.2">
      <c r="A16636" s="1" t="s">
        <v>4362</v>
      </c>
    </row>
    <row r="16637" spans="1:1" x14ac:dyDescent="0.2">
      <c r="A16637" s="1" t="s">
        <v>4362</v>
      </c>
    </row>
    <row r="16638" spans="1:1" x14ac:dyDescent="0.2">
      <c r="A16638" s="1" t="s">
        <v>4362</v>
      </c>
    </row>
    <row r="16639" spans="1:1" x14ac:dyDescent="0.2">
      <c r="A16639" s="1" t="s">
        <v>4362</v>
      </c>
    </row>
    <row r="16640" spans="1:1" x14ac:dyDescent="0.2">
      <c r="A16640" s="1" t="s">
        <v>4363</v>
      </c>
    </row>
    <row r="16641" spans="1:1" x14ac:dyDescent="0.2">
      <c r="A16641" s="1" t="s">
        <v>4354</v>
      </c>
    </row>
    <row r="16642" spans="1:1" x14ac:dyDescent="0.2">
      <c r="A16642" s="1" t="s">
        <v>4354</v>
      </c>
    </row>
    <row r="16643" spans="1:1" x14ac:dyDescent="0.2">
      <c r="A16643" s="1" t="s">
        <v>4354</v>
      </c>
    </row>
    <row r="16644" spans="1:1" x14ac:dyDescent="0.2">
      <c r="A16644" s="1" t="s">
        <v>4355</v>
      </c>
    </row>
    <row r="16645" spans="1:1" x14ac:dyDescent="0.2">
      <c r="A16645" s="1" t="s">
        <v>4356</v>
      </c>
    </row>
    <row r="16646" spans="1:1" x14ac:dyDescent="0.2">
      <c r="A16646" s="1" t="s">
        <v>4357</v>
      </c>
    </row>
    <row r="16647" spans="1:1" x14ac:dyDescent="0.2">
      <c r="A16647" s="1" t="s">
        <v>4358</v>
      </c>
    </row>
    <row r="16648" spans="1:1" x14ac:dyDescent="0.2">
      <c r="A16648" s="1" t="s">
        <v>4359</v>
      </c>
    </row>
    <row r="16649" spans="1:1" x14ac:dyDescent="0.2">
      <c r="A16649" s="1" t="s">
        <v>4360</v>
      </c>
    </row>
    <row r="16650" spans="1:1" x14ac:dyDescent="0.2">
      <c r="A16650" s="1" t="s">
        <v>4361</v>
      </c>
    </row>
    <row r="16651" spans="1:1" x14ac:dyDescent="0.2">
      <c r="A16651" s="1" t="s">
        <v>4362</v>
      </c>
    </row>
    <row r="16652" spans="1:1" x14ac:dyDescent="0.2">
      <c r="A16652" s="1" t="s">
        <v>4362</v>
      </c>
    </row>
    <row r="16653" spans="1:1" x14ac:dyDescent="0.2">
      <c r="A16653" s="1" t="s">
        <v>4362</v>
      </c>
    </row>
    <row r="16654" spans="1:1" x14ac:dyDescent="0.2">
      <c r="A16654" s="1" t="s">
        <v>4362</v>
      </c>
    </row>
    <row r="16655" spans="1:1" x14ac:dyDescent="0.2">
      <c r="A16655" s="1" t="s">
        <v>4363</v>
      </c>
    </row>
    <row r="16656" spans="1:1" x14ac:dyDescent="0.2">
      <c r="A16656" s="1" t="s">
        <v>4354</v>
      </c>
    </row>
    <row r="16657" spans="1:1" x14ac:dyDescent="0.2">
      <c r="A16657" s="1" t="s">
        <v>4354</v>
      </c>
    </row>
    <row r="16658" spans="1:1" x14ac:dyDescent="0.2">
      <c r="A16658" s="1" t="s">
        <v>4354</v>
      </c>
    </row>
    <row r="16659" spans="1:1" x14ac:dyDescent="0.2">
      <c r="A16659" s="1" t="s">
        <v>4355</v>
      </c>
    </row>
    <row r="16660" spans="1:1" x14ac:dyDescent="0.2">
      <c r="A16660" s="1" t="s">
        <v>4356</v>
      </c>
    </row>
    <row r="16661" spans="1:1" x14ac:dyDescent="0.2">
      <c r="A16661" s="1" t="s">
        <v>4357</v>
      </c>
    </row>
    <row r="16662" spans="1:1" x14ac:dyDescent="0.2">
      <c r="A16662" s="1" t="s">
        <v>4358</v>
      </c>
    </row>
    <row r="16663" spans="1:1" x14ac:dyDescent="0.2">
      <c r="A16663" s="1" t="s">
        <v>4359</v>
      </c>
    </row>
    <row r="16664" spans="1:1" x14ac:dyDescent="0.2">
      <c r="A16664" s="1" t="s">
        <v>4360</v>
      </c>
    </row>
    <row r="16665" spans="1:1" x14ac:dyDescent="0.2">
      <c r="A16665" s="1" t="s">
        <v>4361</v>
      </c>
    </row>
    <row r="16666" spans="1:1" x14ac:dyDescent="0.2">
      <c r="A16666" s="1" t="s">
        <v>4362</v>
      </c>
    </row>
    <row r="16667" spans="1:1" x14ac:dyDescent="0.2">
      <c r="A16667" s="1" t="s">
        <v>4362</v>
      </c>
    </row>
    <row r="16668" spans="1:1" x14ac:dyDescent="0.2">
      <c r="A16668" s="1" t="s">
        <v>4362</v>
      </c>
    </row>
    <row r="16669" spans="1:1" x14ac:dyDescent="0.2">
      <c r="A16669" s="1" t="s">
        <v>4362</v>
      </c>
    </row>
    <row r="16670" spans="1:1" x14ac:dyDescent="0.2">
      <c r="A16670" s="1" t="s">
        <v>4363</v>
      </c>
    </row>
    <row r="16671" spans="1:1" x14ac:dyDescent="0.2">
      <c r="A16671" s="1" t="s">
        <v>4354</v>
      </c>
    </row>
    <row r="16672" spans="1:1" x14ac:dyDescent="0.2">
      <c r="A16672" s="1" t="s">
        <v>4354</v>
      </c>
    </row>
    <row r="16673" spans="1:1" x14ac:dyDescent="0.2">
      <c r="A16673" s="1" t="s">
        <v>4354</v>
      </c>
    </row>
    <row r="16674" spans="1:1" x14ac:dyDescent="0.2">
      <c r="A16674" s="1" t="s">
        <v>4355</v>
      </c>
    </row>
    <row r="16675" spans="1:1" x14ac:dyDescent="0.2">
      <c r="A16675" s="1" t="s">
        <v>4356</v>
      </c>
    </row>
    <row r="16676" spans="1:1" x14ac:dyDescent="0.2">
      <c r="A16676" s="1" t="s">
        <v>4357</v>
      </c>
    </row>
    <row r="16677" spans="1:1" x14ac:dyDescent="0.2">
      <c r="A16677" s="1" t="s">
        <v>4358</v>
      </c>
    </row>
    <row r="16678" spans="1:1" x14ac:dyDescent="0.2">
      <c r="A16678" s="1" t="s">
        <v>4359</v>
      </c>
    </row>
    <row r="16679" spans="1:1" x14ac:dyDescent="0.2">
      <c r="A16679" s="1" t="s">
        <v>4360</v>
      </c>
    </row>
    <row r="16680" spans="1:1" x14ac:dyDescent="0.2">
      <c r="A16680" s="1" t="s">
        <v>4361</v>
      </c>
    </row>
    <row r="16681" spans="1:1" x14ac:dyDescent="0.2">
      <c r="A16681" s="1" t="s">
        <v>4362</v>
      </c>
    </row>
    <row r="16682" spans="1:1" x14ac:dyDescent="0.2">
      <c r="A16682" s="1" t="s">
        <v>4362</v>
      </c>
    </row>
    <row r="16683" spans="1:1" x14ac:dyDescent="0.2">
      <c r="A16683" s="1" t="s">
        <v>4362</v>
      </c>
    </row>
    <row r="16684" spans="1:1" x14ac:dyDescent="0.2">
      <c r="A16684" s="1" t="s">
        <v>4362</v>
      </c>
    </row>
    <row r="16685" spans="1:1" x14ac:dyDescent="0.2">
      <c r="A16685" s="1" t="s">
        <v>4363</v>
      </c>
    </row>
    <row r="16686" spans="1:1" x14ac:dyDescent="0.2">
      <c r="A16686" s="1" t="s">
        <v>4354</v>
      </c>
    </row>
    <row r="16687" spans="1:1" x14ac:dyDescent="0.2">
      <c r="A16687" s="1" t="s">
        <v>4354</v>
      </c>
    </row>
    <row r="16688" spans="1:1" x14ac:dyDescent="0.2">
      <c r="A16688" s="1" t="s">
        <v>4354</v>
      </c>
    </row>
    <row r="16689" spans="1:1" x14ac:dyDescent="0.2">
      <c r="A16689" s="1" t="s">
        <v>4355</v>
      </c>
    </row>
    <row r="16690" spans="1:1" x14ac:dyDescent="0.2">
      <c r="A16690" s="1" t="s">
        <v>4356</v>
      </c>
    </row>
    <row r="16691" spans="1:1" x14ac:dyDescent="0.2">
      <c r="A16691" s="1" t="s">
        <v>4357</v>
      </c>
    </row>
    <row r="16692" spans="1:1" x14ac:dyDescent="0.2">
      <c r="A16692" s="1" t="s">
        <v>4358</v>
      </c>
    </row>
    <row r="16693" spans="1:1" x14ac:dyDescent="0.2">
      <c r="A16693" s="1" t="s">
        <v>4359</v>
      </c>
    </row>
    <row r="16694" spans="1:1" x14ac:dyDescent="0.2">
      <c r="A16694" s="1" t="s">
        <v>4360</v>
      </c>
    </row>
    <row r="16695" spans="1:1" x14ac:dyDescent="0.2">
      <c r="A16695" s="1" t="s">
        <v>4361</v>
      </c>
    </row>
    <row r="16696" spans="1:1" x14ac:dyDescent="0.2">
      <c r="A16696" s="1" t="s">
        <v>4362</v>
      </c>
    </row>
    <row r="16697" spans="1:1" x14ac:dyDescent="0.2">
      <c r="A16697" s="1" t="s">
        <v>4362</v>
      </c>
    </row>
    <row r="16698" spans="1:1" x14ac:dyDescent="0.2">
      <c r="A16698" s="1" t="s">
        <v>4362</v>
      </c>
    </row>
    <row r="16699" spans="1:1" x14ac:dyDescent="0.2">
      <c r="A16699" s="1" t="s">
        <v>4362</v>
      </c>
    </row>
    <row r="16700" spans="1:1" x14ac:dyDescent="0.2">
      <c r="A16700" s="1" t="s">
        <v>4363</v>
      </c>
    </row>
    <row r="16701" spans="1:1" x14ac:dyDescent="0.2">
      <c r="A16701" s="1" t="s">
        <v>4354</v>
      </c>
    </row>
    <row r="16702" spans="1:1" x14ac:dyDescent="0.2">
      <c r="A16702" s="1" t="s">
        <v>4365</v>
      </c>
    </row>
    <row r="16703" spans="1:1" x14ac:dyDescent="0.2">
      <c r="A16703" s="1" t="s">
        <v>4365</v>
      </c>
    </row>
    <row r="16704" spans="1:1" x14ac:dyDescent="0.2">
      <c r="A16704" s="1" t="s">
        <v>4366</v>
      </c>
    </row>
    <row r="16705" spans="1:1" x14ac:dyDescent="0.2">
      <c r="A16705" s="1" t="s">
        <v>4367</v>
      </c>
    </row>
    <row r="16706" spans="1:1" x14ac:dyDescent="0.2">
      <c r="A16706" s="1" t="s">
        <v>4368</v>
      </c>
    </row>
    <row r="16707" spans="1:1" x14ac:dyDescent="0.2">
      <c r="A16707" s="1" t="s">
        <v>4369</v>
      </c>
    </row>
    <row r="16708" spans="1:1" x14ac:dyDescent="0.2">
      <c r="A16708" s="1" t="s">
        <v>4370</v>
      </c>
    </row>
    <row r="16709" spans="1:1" x14ac:dyDescent="0.2">
      <c r="A16709" s="1" t="s">
        <v>4371</v>
      </c>
    </row>
    <row r="16710" spans="1:1" x14ac:dyDescent="0.2">
      <c r="A16710" s="1" t="s">
        <v>4372</v>
      </c>
    </row>
    <row r="16711" spans="1:1" x14ac:dyDescent="0.2">
      <c r="A16711" s="1" t="s">
        <v>4373</v>
      </c>
    </row>
    <row r="16712" spans="1:1" x14ac:dyDescent="0.2">
      <c r="A16712" s="1" t="s">
        <v>4373</v>
      </c>
    </row>
    <row r="16713" spans="1:1" x14ac:dyDescent="0.2">
      <c r="A16713" s="1" t="s">
        <v>4373</v>
      </c>
    </row>
    <row r="16714" spans="1:1" x14ac:dyDescent="0.2">
      <c r="A16714" s="1" t="s">
        <v>4373</v>
      </c>
    </row>
    <row r="16715" spans="1:1" x14ac:dyDescent="0.2">
      <c r="A16715" s="1" t="s">
        <v>4374</v>
      </c>
    </row>
    <row r="16716" spans="1:1" x14ac:dyDescent="0.2">
      <c r="A16716" s="1" t="s">
        <v>4365</v>
      </c>
    </row>
    <row r="16717" spans="1:1" x14ac:dyDescent="0.2">
      <c r="A16717" s="1" t="s">
        <v>4365</v>
      </c>
    </row>
    <row r="16718" spans="1:1" x14ac:dyDescent="0.2">
      <c r="A16718" s="1" t="s">
        <v>4365</v>
      </c>
    </row>
    <row r="16719" spans="1:1" x14ac:dyDescent="0.2">
      <c r="A16719" s="1" t="s">
        <v>4366</v>
      </c>
    </row>
    <row r="16720" spans="1:1" x14ac:dyDescent="0.2">
      <c r="A16720" s="1" t="s">
        <v>4367</v>
      </c>
    </row>
    <row r="16721" spans="1:1" x14ac:dyDescent="0.2">
      <c r="A16721" s="1" t="s">
        <v>4368</v>
      </c>
    </row>
    <row r="16722" spans="1:1" x14ac:dyDescent="0.2">
      <c r="A16722" s="1" t="s">
        <v>4369</v>
      </c>
    </row>
    <row r="16723" spans="1:1" x14ac:dyDescent="0.2">
      <c r="A16723" s="1" t="s">
        <v>4370</v>
      </c>
    </row>
    <row r="16724" spans="1:1" x14ac:dyDescent="0.2">
      <c r="A16724" s="1" t="s">
        <v>4371</v>
      </c>
    </row>
    <row r="16725" spans="1:1" x14ac:dyDescent="0.2">
      <c r="A16725" s="1" t="s">
        <v>4372</v>
      </c>
    </row>
    <row r="16726" spans="1:1" x14ac:dyDescent="0.2">
      <c r="A16726" s="1" t="s">
        <v>4373</v>
      </c>
    </row>
    <row r="16727" spans="1:1" x14ac:dyDescent="0.2">
      <c r="A16727" s="1" t="s">
        <v>4373</v>
      </c>
    </row>
    <row r="16728" spans="1:1" x14ac:dyDescent="0.2">
      <c r="A16728" s="1" t="s">
        <v>4373</v>
      </c>
    </row>
    <row r="16729" spans="1:1" x14ac:dyDescent="0.2">
      <c r="A16729" s="1" t="s">
        <v>4373</v>
      </c>
    </row>
    <row r="16730" spans="1:1" x14ac:dyDescent="0.2">
      <c r="A16730" s="1" t="s">
        <v>4374</v>
      </c>
    </row>
    <row r="16731" spans="1:1" x14ac:dyDescent="0.2">
      <c r="A16731" s="1" t="s">
        <v>4365</v>
      </c>
    </row>
    <row r="16732" spans="1:1" x14ac:dyDescent="0.2">
      <c r="A16732" s="1" t="s">
        <v>4365</v>
      </c>
    </row>
    <row r="16733" spans="1:1" x14ac:dyDescent="0.2">
      <c r="A16733" s="1" t="s">
        <v>4365</v>
      </c>
    </row>
    <row r="16734" spans="1:1" x14ac:dyDescent="0.2">
      <c r="A16734" s="1" t="s">
        <v>4366</v>
      </c>
    </row>
    <row r="16735" spans="1:1" x14ac:dyDescent="0.2">
      <c r="A16735" s="1" t="s">
        <v>4367</v>
      </c>
    </row>
    <row r="16736" spans="1:1" x14ac:dyDescent="0.2">
      <c r="A16736" s="1" t="s">
        <v>4368</v>
      </c>
    </row>
    <row r="16737" spans="1:1" x14ac:dyDescent="0.2">
      <c r="A16737" s="1" t="s">
        <v>4369</v>
      </c>
    </row>
    <row r="16738" spans="1:1" x14ac:dyDescent="0.2">
      <c r="A16738" s="1" t="s">
        <v>4370</v>
      </c>
    </row>
    <row r="16739" spans="1:1" x14ac:dyDescent="0.2">
      <c r="A16739" s="1" t="s">
        <v>4371</v>
      </c>
    </row>
    <row r="16740" spans="1:1" x14ac:dyDescent="0.2">
      <c r="A16740" s="1" t="s">
        <v>4372</v>
      </c>
    </row>
    <row r="16741" spans="1:1" x14ac:dyDescent="0.2">
      <c r="A16741" s="1" t="s">
        <v>4373</v>
      </c>
    </row>
    <row r="16742" spans="1:1" x14ac:dyDescent="0.2">
      <c r="A16742" s="1" t="s">
        <v>4373</v>
      </c>
    </row>
    <row r="16743" spans="1:1" x14ac:dyDescent="0.2">
      <c r="A16743" s="1" t="s">
        <v>4373</v>
      </c>
    </row>
    <row r="16744" spans="1:1" x14ac:dyDescent="0.2">
      <c r="A16744" s="1" t="s">
        <v>4373</v>
      </c>
    </row>
    <row r="16745" spans="1:1" x14ac:dyDescent="0.2">
      <c r="A16745" s="1" t="s">
        <v>4374</v>
      </c>
    </row>
    <row r="16746" spans="1:1" x14ac:dyDescent="0.2">
      <c r="A16746" s="1" t="s">
        <v>4365</v>
      </c>
    </row>
    <row r="16747" spans="1:1" x14ac:dyDescent="0.2">
      <c r="A16747" s="1" t="s">
        <v>4365</v>
      </c>
    </row>
    <row r="16748" spans="1:1" x14ac:dyDescent="0.2">
      <c r="A16748" s="1" t="s">
        <v>4365</v>
      </c>
    </row>
    <row r="16749" spans="1:1" x14ac:dyDescent="0.2">
      <c r="A16749" s="1" t="s">
        <v>4366</v>
      </c>
    </row>
    <row r="16750" spans="1:1" x14ac:dyDescent="0.2">
      <c r="A16750" s="1" t="s">
        <v>4367</v>
      </c>
    </row>
    <row r="16751" spans="1:1" x14ac:dyDescent="0.2">
      <c r="A16751" s="1" t="s">
        <v>4368</v>
      </c>
    </row>
    <row r="16752" spans="1:1" x14ac:dyDescent="0.2">
      <c r="A16752" s="1" t="s">
        <v>4369</v>
      </c>
    </row>
    <row r="16753" spans="1:1" x14ac:dyDescent="0.2">
      <c r="A16753" s="1" t="s">
        <v>4370</v>
      </c>
    </row>
    <row r="16754" spans="1:1" x14ac:dyDescent="0.2">
      <c r="A16754" s="1" t="s">
        <v>4371</v>
      </c>
    </row>
    <row r="16755" spans="1:1" x14ac:dyDescent="0.2">
      <c r="A16755" s="1" t="s">
        <v>4372</v>
      </c>
    </row>
    <row r="16756" spans="1:1" x14ac:dyDescent="0.2">
      <c r="A16756" s="1" t="s">
        <v>4373</v>
      </c>
    </row>
    <row r="16757" spans="1:1" x14ac:dyDescent="0.2">
      <c r="A16757" s="1" t="s">
        <v>4373</v>
      </c>
    </row>
    <row r="16758" spans="1:1" x14ac:dyDescent="0.2">
      <c r="A16758" s="1" t="s">
        <v>4373</v>
      </c>
    </row>
    <row r="16759" spans="1:1" x14ac:dyDescent="0.2">
      <c r="A16759" s="1" t="s">
        <v>4373</v>
      </c>
    </row>
    <row r="16760" spans="1:1" x14ac:dyDescent="0.2">
      <c r="A16760" s="1" t="s">
        <v>4374</v>
      </c>
    </row>
    <row r="16761" spans="1:1" x14ac:dyDescent="0.2">
      <c r="A16761" s="1" t="s">
        <v>4365</v>
      </c>
    </row>
    <row r="16762" spans="1:1" x14ac:dyDescent="0.2">
      <c r="A16762" s="1" t="s">
        <v>4365</v>
      </c>
    </row>
    <row r="16763" spans="1:1" x14ac:dyDescent="0.2">
      <c r="A16763" s="1" t="s">
        <v>4365</v>
      </c>
    </row>
    <row r="16764" spans="1:1" x14ac:dyDescent="0.2">
      <c r="A16764" s="1" t="s">
        <v>4366</v>
      </c>
    </row>
    <row r="16765" spans="1:1" x14ac:dyDescent="0.2">
      <c r="A16765" s="1" t="s">
        <v>4367</v>
      </c>
    </row>
    <row r="16766" spans="1:1" x14ac:dyDescent="0.2">
      <c r="A16766" s="1" t="s">
        <v>4368</v>
      </c>
    </row>
    <row r="16767" spans="1:1" x14ac:dyDescent="0.2">
      <c r="A16767" s="1" t="s">
        <v>4369</v>
      </c>
    </row>
    <row r="16768" spans="1:1" x14ac:dyDescent="0.2">
      <c r="A16768" s="1" t="s">
        <v>4370</v>
      </c>
    </row>
    <row r="16769" spans="1:1" x14ac:dyDescent="0.2">
      <c r="A16769" s="1" t="s">
        <v>4371</v>
      </c>
    </row>
    <row r="16770" spans="1:1" x14ac:dyDescent="0.2">
      <c r="A16770" s="1" t="s">
        <v>4372</v>
      </c>
    </row>
    <row r="16771" spans="1:1" x14ac:dyDescent="0.2">
      <c r="A16771" s="1" t="s">
        <v>4373</v>
      </c>
    </row>
    <row r="16772" spans="1:1" x14ac:dyDescent="0.2">
      <c r="A16772" s="1" t="s">
        <v>4373</v>
      </c>
    </row>
    <row r="16773" spans="1:1" x14ac:dyDescent="0.2">
      <c r="A16773" s="1" t="s">
        <v>4373</v>
      </c>
    </row>
    <row r="16774" spans="1:1" x14ac:dyDescent="0.2">
      <c r="A16774" s="1" t="s">
        <v>4373</v>
      </c>
    </row>
    <row r="16775" spans="1:1" x14ac:dyDescent="0.2">
      <c r="A16775" s="1" t="s">
        <v>4374</v>
      </c>
    </row>
    <row r="16776" spans="1:1" x14ac:dyDescent="0.2">
      <c r="A16776" s="1" t="s">
        <v>4365</v>
      </c>
    </row>
    <row r="16777" spans="1:1" x14ac:dyDescent="0.2">
      <c r="A16777" s="1" t="s">
        <v>4376</v>
      </c>
    </row>
    <row r="16778" spans="1:1" x14ac:dyDescent="0.2">
      <c r="A16778" s="1" t="s">
        <v>4376</v>
      </c>
    </row>
    <row r="16779" spans="1:1" x14ac:dyDescent="0.2">
      <c r="A16779" s="1" t="s">
        <v>4377</v>
      </c>
    </row>
    <row r="16780" spans="1:1" x14ac:dyDescent="0.2">
      <c r="A16780" s="1" t="s">
        <v>4378</v>
      </c>
    </row>
    <row r="16781" spans="1:1" x14ac:dyDescent="0.2">
      <c r="A16781" s="1" t="s">
        <v>4379</v>
      </c>
    </row>
    <row r="16782" spans="1:1" x14ac:dyDescent="0.2">
      <c r="A16782" s="1" t="s">
        <v>4380</v>
      </c>
    </row>
    <row r="16783" spans="1:1" x14ac:dyDescent="0.2">
      <c r="A16783" s="1" t="s">
        <v>4381</v>
      </c>
    </row>
    <row r="16784" spans="1:1" x14ac:dyDescent="0.2">
      <c r="A16784" s="1" t="s">
        <v>4382</v>
      </c>
    </row>
    <row r="16785" spans="1:1" x14ac:dyDescent="0.2">
      <c r="A16785" s="1" t="s">
        <v>4383</v>
      </c>
    </row>
    <row r="16786" spans="1:1" x14ac:dyDescent="0.2">
      <c r="A16786" s="1" t="s">
        <v>4384</v>
      </c>
    </row>
    <row r="16787" spans="1:1" x14ac:dyDescent="0.2">
      <c r="A16787" s="1" t="s">
        <v>4384</v>
      </c>
    </row>
    <row r="16788" spans="1:1" x14ac:dyDescent="0.2">
      <c r="A16788" s="1" t="s">
        <v>4384</v>
      </c>
    </row>
    <row r="16789" spans="1:1" x14ac:dyDescent="0.2">
      <c r="A16789" s="1" t="s">
        <v>4384</v>
      </c>
    </row>
    <row r="16790" spans="1:1" x14ac:dyDescent="0.2">
      <c r="A16790" s="1" t="s">
        <v>4385</v>
      </c>
    </row>
    <row r="16791" spans="1:1" x14ac:dyDescent="0.2">
      <c r="A16791" s="1" t="s">
        <v>4376</v>
      </c>
    </row>
    <row r="16792" spans="1:1" x14ac:dyDescent="0.2">
      <c r="A16792" s="1" t="s">
        <v>4376</v>
      </c>
    </row>
    <row r="16793" spans="1:1" x14ac:dyDescent="0.2">
      <c r="A16793" s="1" t="s">
        <v>4376</v>
      </c>
    </row>
    <row r="16794" spans="1:1" x14ac:dyDescent="0.2">
      <c r="A16794" s="1" t="s">
        <v>4377</v>
      </c>
    </row>
    <row r="16795" spans="1:1" x14ac:dyDescent="0.2">
      <c r="A16795" s="1" t="s">
        <v>4378</v>
      </c>
    </row>
    <row r="16796" spans="1:1" x14ac:dyDescent="0.2">
      <c r="A16796" s="1" t="s">
        <v>4379</v>
      </c>
    </row>
    <row r="16797" spans="1:1" x14ac:dyDescent="0.2">
      <c r="A16797" s="1" t="s">
        <v>4380</v>
      </c>
    </row>
    <row r="16798" spans="1:1" x14ac:dyDescent="0.2">
      <c r="A16798" s="1" t="s">
        <v>4381</v>
      </c>
    </row>
    <row r="16799" spans="1:1" x14ac:dyDescent="0.2">
      <c r="A16799" s="1" t="s">
        <v>4382</v>
      </c>
    </row>
    <row r="16800" spans="1:1" x14ac:dyDescent="0.2">
      <c r="A16800" s="1" t="s">
        <v>4383</v>
      </c>
    </row>
    <row r="16801" spans="1:1" x14ac:dyDescent="0.2">
      <c r="A16801" s="1" t="s">
        <v>4384</v>
      </c>
    </row>
    <row r="16802" spans="1:1" x14ac:dyDescent="0.2">
      <c r="A16802" s="1" t="s">
        <v>4384</v>
      </c>
    </row>
    <row r="16803" spans="1:1" x14ac:dyDescent="0.2">
      <c r="A16803" s="1" t="s">
        <v>4384</v>
      </c>
    </row>
    <row r="16804" spans="1:1" x14ac:dyDescent="0.2">
      <c r="A16804" s="1" t="s">
        <v>4384</v>
      </c>
    </row>
    <row r="16805" spans="1:1" x14ac:dyDescent="0.2">
      <c r="A16805" s="1" t="s">
        <v>4385</v>
      </c>
    </row>
    <row r="16806" spans="1:1" x14ac:dyDescent="0.2">
      <c r="A16806" s="1" t="s">
        <v>4376</v>
      </c>
    </row>
    <row r="16807" spans="1:1" x14ac:dyDescent="0.2">
      <c r="A16807" s="1" t="s">
        <v>4376</v>
      </c>
    </row>
    <row r="16808" spans="1:1" x14ac:dyDescent="0.2">
      <c r="A16808" s="1" t="s">
        <v>4376</v>
      </c>
    </row>
    <row r="16809" spans="1:1" x14ac:dyDescent="0.2">
      <c r="A16809" s="1" t="s">
        <v>4377</v>
      </c>
    </row>
    <row r="16810" spans="1:1" x14ac:dyDescent="0.2">
      <c r="A16810" s="1" t="s">
        <v>4378</v>
      </c>
    </row>
    <row r="16811" spans="1:1" x14ac:dyDescent="0.2">
      <c r="A16811" s="1" t="s">
        <v>4379</v>
      </c>
    </row>
    <row r="16812" spans="1:1" x14ac:dyDescent="0.2">
      <c r="A16812" s="1" t="s">
        <v>4380</v>
      </c>
    </row>
    <row r="16813" spans="1:1" x14ac:dyDescent="0.2">
      <c r="A16813" s="1" t="s">
        <v>4381</v>
      </c>
    </row>
    <row r="16814" spans="1:1" x14ac:dyDescent="0.2">
      <c r="A16814" s="1" t="s">
        <v>4382</v>
      </c>
    </row>
    <row r="16815" spans="1:1" x14ac:dyDescent="0.2">
      <c r="A16815" s="1" t="s">
        <v>4383</v>
      </c>
    </row>
    <row r="16816" spans="1:1" x14ac:dyDescent="0.2">
      <c r="A16816" s="1" t="s">
        <v>4384</v>
      </c>
    </row>
    <row r="16817" spans="1:1" x14ac:dyDescent="0.2">
      <c r="A16817" s="1" t="s">
        <v>4384</v>
      </c>
    </row>
    <row r="16818" spans="1:1" x14ac:dyDescent="0.2">
      <c r="A16818" s="1" t="s">
        <v>4384</v>
      </c>
    </row>
    <row r="16819" spans="1:1" x14ac:dyDescent="0.2">
      <c r="A16819" s="1" t="s">
        <v>4384</v>
      </c>
    </row>
    <row r="16820" spans="1:1" x14ac:dyDescent="0.2">
      <c r="A16820" s="1" t="s">
        <v>4385</v>
      </c>
    </row>
    <row r="16821" spans="1:1" x14ac:dyDescent="0.2">
      <c r="A16821" s="1" t="s">
        <v>4376</v>
      </c>
    </row>
    <row r="16822" spans="1:1" x14ac:dyDescent="0.2">
      <c r="A16822" s="1" t="s">
        <v>4376</v>
      </c>
    </row>
    <row r="16823" spans="1:1" x14ac:dyDescent="0.2">
      <c r="A16823" s="1" t="s">
        <v>4376</v>
      </c>
    </row>
    <row r="16824" spans="1:1" x14ac:dyDescent="0.2">
      <c r="A16824" s="1" t="s">
        <v>4377</v>
      </c>
    </row>
    <row r="16825" spans="1:1" x14ac:dyDescent="0.2">
      <c r="A16825" s="1" t="s">
        <v>4378</v>
      </c>
    </row>
    <row r="16826" spans="1:1" x14ac:dyDescent="0.2">
      <c r="A16826" s="1" t="s">
        <v>4379</v>
      </c>
    </row>
    <row r="16827" spans="1:1" x14ac:dyDescent="0.2">
      <c r="A16827" s="1" t="s">
        <v>4380</v>
      </c>
    </row>
    <row r="16828" spans="1:1" x14ac:dyDescent="0.2">
      <c r="A16828" s="1" t="s">
        <v>4381</v>
      </c>
    </row>
    <row r="16829" spans="1:1" x14ac:dyDescent="0.2">
      <c r="A16829" s="1" t="s">
        <v>4382</v>
      </c>
    </row>
    <row r="16830" spans="1:1" x14ac:dyDescent="0.2">
      <c r="A16830" s="1" t="s">
        <v>4383</v>
      </c>
    </row>
    <row r="16831" spans="1:1" x14ac:dyDescent="0.2">
      <c r="A16831" s="1" t="s">
        <v>4384</v>
      </c>
    </row>
    <row r="16832" spans="1:1" x14ac:dyDescent="0.2">
      <c r="A16832" s="1" t="s">
        <v>4384</v>
      </c>
    </row>
    <row r="16833" spans="1:1" x14ac:dyDescent="0.2">
      <c r="A16833" s="1" t="s">
        <v>4384</v>
      </c>
    </row>
    <row r="16834" spans="1:1" x14ac:dyDescent="0.2">
      <c r="A16834" s="1" t="s">
        <v>4384</v>
      </c>
    </row>
    <row r="16835" spans="1:1" x14ac:dyDescent="0.2">
      <c r="A16835" s="1" t="s">
        <v>4385</v>
      </c>
    </row>
    <row r="16836" spans="1:1" x14ac:dyDescent="0.2">
      <c r="A16836" s="1" t="s">
        <v>4376</v>
      </c>
    </row>
    <row r="16837" spans="1:1" x14ac:dyDescent="0.2">
      <c r="A16837" s="1" t="s">
        <v>4376</v>
      </c>
    </row>
    <row r="16838" spans="1:1" x14ac:dyDescent="0.2">
      <c r="A16838" s="1" t="s">
        <v>4376</v>
      </c>
    </row>
    <row r="16839" spans="1:1" x14ac:dyDescent="0.2">
      <c r="A16839" s="1" t="s">
        <v>4377</v>
      </c>
    </row>
    <row r="16840" spans="1:1" x14ac:dyDescent="0.2">
      <c r="A16840" s="1" t="s">
        <v>4378</v>
      </c>
    </row>
    <row r="16841" spans="1:1" x14ac:dyDescent="0.2">
      <c r="A16841" s="1" t="s">
        <v>4379</v>
      </c>
    </row>
    <row r="16842" spans="1:1" x14ac:dyDescent="0.2">
      <c r="A16842" s="1" t="s">
        <v>4380</v>
      </c>
    </row>
    <row r="16843" spans="1:1" x14ac:dyDescent="0.2">
      <c r="A16843" s="1" t="s">
        <v>4381</v>
      </c>
    </row>
    <row r="16844" spans="1:1" x14ac:dyDescent="0.2">
      <c r="A16844" s="1" t="s">
        <v>4382</v>
      </c>
    </row>
    <row r="16845" spans="1:1" x14ac:dyDescent="0.2">
      <c r="A16845" s="1" t="s">
        <v>4383</v>
      </c>
    </row>
    <row r="16846" spans="1:1" x14ac:dyDescent="0.2">
      <c r="A16846" s="1" t="s">
        <v>4384</v>
      </c>
    </row>
    <row r="16847" spans="1:1" x14ac:dyDescent="0.2">
      <c r="A16847" s="1" t="s">
        <v>4384</v>
      </c>
    </row>
    <row r="16848" spans="1:1" x14ac:dyDescent="0.2">
      <c r="A16848" s="1" t="s">
        <v>4384</v>
      </c>
    </row>
    <row r="16849" spans="1:1" x14ac:dyDescent="0.2">
      <c r="A16849" s="1" t="s">
        <v>4384</v>
      </c>
    </row>
    <row r="16850" spans="1:1" x14ac:dyDescent="0.2">
      <c r="A16850" s="1" t="s">
        <v>4385</v>
      </c>
    </row>
    <row r="16851" spans="1:1" x14ac:dyDescent="0.2">
      <c r="A16851" s="1" t="s">
        <v>4376</v>
      </c>
    </row>
    <row r="16852" spans="1:1" x14ac:dyDescent="0.2">
      <c r="A16852" s="1" t="s">
        <v>4386</v>
      </c>
    </row>
    <row r="16853" spans="1:1" x14ac:dyDescent="0.2">
      <c r="A16853" s="1" t="s">
        <v>4386</v>
      </c>
    </row>
    <row r="16854" spans="1:1" x14ac:dyDescent="0.2">
      <c r="A16854" s="1" t="s">
        <v>4387</v>
      </c>
    </row>
    <row r="16855" spans="1:1" x14ac:dyDescent="0.2">
      <c r="A16855" s="1" t="s">
        <v>4388</v>
      </c>
    </row>
    <row r="16856" spans="1:1" x14ac:dyDescent="0.2">
      <c r="A16856" s="1" t="s">
        <v>4389</v>
      </c>
    </row>
    <row r="16857" spans="1:1" x14ac:dyDescent="0.2">
      <c r="A16857" s="1" t="s">
        <v>4390</v>
      </c>
    </row>
    <row r="16858" spans="1:1" x14ac:dyDescent="0.2">
      <c r="A16858" s="1" t="s">
        <v>4391</v>
      </c>
    </row>
    <row r="16859" spans="1:1" x14ac:dyDescent="0.2">
      <c r="A16859" s="1" t="s">
        <v>4392</v>
      </c>
    </row>
    <row r="16860" spans="1:1" x14ac:dyDescent="0.2">
      <c r="A16860" s="1" t="s">
        <v>4393</v>
      </c>
    </row>
    <row r="16861" spans="1:1" x14ac:dyDescent="0.2">
      <c r="A16861" s="1" t="s">
        <v>4394</v>
      </c>
    </row>
    <row r="16862" spans="1:1" x14ac:dyDescent="0.2">
      <c r="A16862" s="1" t="s">
        <v>4394</v>
      </c>
    </row>
    <row r="16863" spans="1:1" x14ac:dyDescent="0.2">
      <c r="A16863" s="1" t="s">
        <v>4394</v>
      </c>
    </row>
    <row r="16864" spans="1:1" x14ac:dyDescent="0.2">
      <c r="A16864" s="1" t="s">
        <v>4394</v>
      </c>
    </row>
    <row r="16865" spans="1:1" x14ac:dyDescent="0.2">
      <c r="A16865" s="1" t="s">
        <v>4395</v>
      </c>
    </row>
    <row r="16866" spans="1:1" x14ac:dyDescent="0.2">
      <c r="A16866" s="1" t="s">
        <v>4386</v>
      </c>
    </row>
    <row r="16867" spans="1:1" x14ac:dyDescent="0.2">
      <c r="A16867" s="1" t="s">
        <v>4386</v>
      </c>
    </row>
    <row r="16868" spans="1:1" x14ac:dyDescent="0.2">
      <c r="A16868" s="1" t="s">
        <v>4386</v>
      </c>
    </row>
    <row r="16869" spans="1:1" x14ac:dyDescent="0.2">
      <c r="A16869" s="1" t="s">
        <v>4387</v>
      </c>
    </row>
    <row r="16870" spans="1:1" x14ac:dyDescent="0.2">
      <c r="A16870" s="1" t="s">
        <v>4388</v>
      </c>
    </row>
    <row r="16871" spans="1:1" x14ac:dyDescent="0.2">
      <c r="A16871" s="1" t="s">
        <v>4389</v>
      </c>
    </row>
    <row r="16872" spans="1:1" x14ac:dyDescent="0.2">
      <c r="A16872" s="1" t="s">
        <v>4390</v>
      </c>
    </row>
    <row r="16873" spans="1:1" x14ac:dyDescent="0.2">
      <c r="A16873" s="1" t="s">
        <v>4391</v>
      </c>
    </row>
    <row r="16874" spans="1:1" x14ac:dyDescent="0.2">
      <c r="A16874" s="1" t="s">
        <v>4392</v>
      </c>
    </row>
    <row r="16875" spans="1:1" x14ac:dyDescent="0.2">
      <c r="A16875" s="1" t="s">
        <v>4393</v>
      </c>
    </row>
    <row r="16876" spans="1:1" x14ac:dyDescent="0.2">
      <c r="A16876" s="1" t="s">
        <v>4394</v>
      </c>
    </row>
    <row r="16877" spans="1:1" x14ac:dyDescent="0.2">
      <c r="A16877" s="1" t="s">
        <v>4394</v>
      </c>
    </row>
    <row r="16878" spans="1:1" x14ac:dyDescent="0.2">
      <c r="A16878" s="1" t="s">
        <v>4394</v>
      </c>
    </row>
    <row r="16879" spans="1:1" x14ac:dyDescent="0.2">
      <c r="A16879" s="1" t="s">
        <v>4394</v>
      </c>
    </row>
    <row r="16880" spans="1:1" x14ac:dyDescent="0.2">
      <c r="A16880" s="1" t="s">
        <v>4395</v>
      </c>
    </row>
    <row r="16881" spans="1:1" x14ac:dyDescent="0.2">
      <c r="A16881" s="1" t="s">
        <v>4386</v>
      </c>
    </row>
    <row r="16882" spans="1:1" x14ac:dyDescent="0.2">
      <c r="A16882" s="1" t="s">
        <v>4386</v>
      </c>
    </row>
    <row r="16883" spans="1:1" x14ac:dyDescent="0.2">
      <c r="A16883" s="1" t="s">
        <v>4386</v>
      </c>
    </row>
    <row r="16884" spans="1:1" x14ac:dyDescent="0.2">
      <c r="A16884" s="1" t="s">
        <v>4387</v>
      </c>
    </row>
    <row r="16885" spans="1:1" x14ac:dyDescent="0.2">
      <c r="A16885" s="1" t="s">
        <v>4388</v>
      </c>
    </row>
    <row r="16886" spans="1:1" x14ac:dyDescent="0.2">
      <c r="A16886" s="1" t="s">
        <v>4389</v>
      </c>
    </row>
    <row r="16887" spans="1:1" x14ac:dyDescent="0.2">
      <c r="A16887" s="1" t="s">
        <v>4390</v>
      </c>
    </row>
    <row r="16888" spans="1:1" x14ac:dyDescent="0.2">
      <c r="A16888" s="1" t="s">
        <v>4391</v>
      </c>
    </row>
    <row r="16889" spans="1:1" x14ac:dyDescent="0.2">
      <c r="A16889" s="1" t="s">
        <v>4392</v>
      </c>
    </row>
    <row r="16890" spans="1:1" x14ac:dyDescent="0.2">
      <c r="A16890" s="1" t="s">
        <v>4393</v>
      </c>
    </row>
    <row r="16891" spans="1:1" x14ac:dyDescent="0.2">
      <c r="A16891" s="1" t="s">
        <v>4394</v>
      </c>
    </row>
    <row r="16892" spans="1:1" x14ac:dyDescent="0.2">
      <c r="A16892" s="1" t="s">
        <v>4394</v>
      </c>
    </row>
    <row r="16893" spans="1:1" x14ac:dyDescent="0.2">
      <c r="A16893" s="1" t="s">
        <v>4394</v>
      </c>
    </row>
    <row r="16894" spans="1:1" x14ac:dyDescent="0.2">
      <c r="A16894" s="1" t="s">
        <v>4394</v>
      </c>
    </row>
    <row r="16895" spans="1:1" x14ac:dyDescent="0.2">
      <c r="A16895" s="1" t="s">
        <v>4395</v>
      </c>
    </row>
    <row r="16896" spans="1:1" x14ac:dyDescent="0.2">
      <c r="A16896" s="1" t="s">
        <v>4386</v>
      </c>
    </row>
    <row r="16897" spans="1:1" x14ac:dyDescent="0.2">
      <c r="A16897" s="1" t="s">
        <v>4386</v>
      </c>
    </row>
    <row r="16898" spans="1:1" x14ac:dyDescent="0.2">
      <c r="A16898" s="1" t="s">
        <v>4386</v>
      </c>
    </row>
    <row r="16899" spans="1:1" x14ac:dyDescent="0.2">
      <c r="A16899" s="1" t="s">
        <v>4387</v>
      </c>
    </row>
    <row r="16900" spans="1:1" x14ac:dyDescent="0.2">
      <c r="A16900" s="1" t="s">
        <v>4388</v>
      </c>
    </row>
    <row r="16901" spans="1:1" x14ac:dyDescent="0.2">
      <c r="A16901" s="1" t="s">
        <v>4389</v>
      </c>
    </row>
    <row r="16902" spans="1:1" x14ac:dyDescent="0.2">
      <c r="A16902" s="1" t="s">
        <v>4390</v>
      </c>
    </row>
    <row r="16903" spans="1:1" x14ac:dyDescent="0.2">
      <c r="A16903" s="1" t="s">
        <v>4391</v>
      </c>
    </row>
    <row r="16904" spans="1:1" x14ac:dyDescent="0.2">
      <c r="A16904" s="1" t="s">
        <v>4392</v>
      </c>
    </row>
    <row r="16905" spans="1:1" x14ac:dyDescent="0.2">
      <c r="A16905" s="1" t="s">
        <v>4393</v>
      </c>
    </row>
    <row r="16906" spans="1:1" x14ac:dyDescent="0.2">
      <c r="A16906" s="1" t="s">
        <v>4394</v>
      </c>
    </row>
    <row r="16907" spans="1:1" x14ac:dyDescent="0.2">
      <c r="A16907" s="1" t="s">
        <v>4394</v>
      </c>
    </row>
    <row r="16908" spans="1:1" x14ac:dyDescent="0.2">
      <c r="A16908" s="1" t="s">
        <v>4394</v>
      </c>
    </row>
    <row r="16909" spans="1:1" x14ac:dyDescent="0.2">
      <c r="A16909" s="1" t="s">
        <v>4394</v>
      </c>
    </row>
    <row r="16910" spans="1:1" x14ac:dyDescent="0.2">
      <c r="A16910" s="1" t="s">
        <v>4395</v>
      </c>
    </row>
    <row r="16911" spans="1:1" x14ac:dyDescent="0.2">
      <c r="A16911" s="1" t="s">
        <v>4386</v>
      </c>
    </row>
    <row r="16912" spans="1:1" x14ac:dyDescent="0.2">
      <c r="A16912" s="1" t="s">
        <v>4386</v>
      </c>
    </row>
    <row r="16913" spans="1:1" x14ac:dyDescent="0.2">
      <c r="A16913" s="1" t="s">
        <v>4386</v>
      </c>
    </row>
    <row r="16914" spans="1:1" x14ac:dyDescent="0.2">
      <c r="A16914" s="1" t="s">
        <v>4387</v>
      </c>
    </row>
    <row r="16915" spans="1:1" x14ac:dyDescent="0.2">
      <c r="A16915" s="1" t="s">
        <v>4388</v>
      </c>
    </row>
    <row r="16916" spans="1:1" x14ac:dyDescent="0.2">
      <c r="A16916" s="1" t="s">
        <v>4389</v>
      </c>
    </row>
    <row r="16917" spans="1:1" x14ac:dyDescent="0.2">
      <c r="A16917" s="1" t="s">
        <v>4390</v>
      </c>
    </row>
    <row r="16918" spans="1:1" x14ac:dyDescent="0.2">
      <c r="A16918" s="1" t="s">
        <v>4391</v>
      </c>
    </row>
    <row r="16919" spans="1:1" x14ac:dyDescent="0.2">
      <c r="A16919" s="1" t="s">
        <v>4392</v>
      </c>
    </row>
    <row r="16920" spans="1:1" x14ac:dyDescent="0.2">
      <c r="A16920" s="1" t="s">
        <v>4393</v>
      </c>
    </row>
    <row r="16921" spans="1:1" x14ac:dyDescent="0.2">
      <c r="A16921" s="1" t="s">
        <v>4394</v>
      </c>
    </row>
    <row r="16922" spans="1:1" x14ac:dyDescent="0.2">
      <c r="A16922" s="1" t="s">
        <v>4394</v>
      </c>
    </row>
    <row r="16923" spans="1:1" x14ac:dyDescent="0.2">
      <c r="A16923" s="1" t="s">
        <v>4394</v>
      </c>
    </row>
    <row r="16924" spans="1:1" x14ac:dyDescent="0.2">
      <c r="A16924" s="1" t="s">
        <v>4394</v>
      </c>
    </row>
    <row r="16925" spans="1:1" x14ac:dyDescent="0.2">
      <c r="A16925" s="1" t="s">
        <v>4395</v>
      </c>
    </row>
    <row r="16926" spans="1:1" x14ac:dyDescent="0.2">
      <c r="A16926" s="1" t="s">
        <v>4386</v>
      </c>
    </row>
    <row r="16927" spans="1:1" x14ac:dyDescent="0.2">
      <c r="A16927" s="1" t="s">
        <v>4396</v>
      </c>
    </row>
    <row r="16928" spans="1:1" x14ac:dyDescent="0.2">
      <c r="A16928" s="1" t="s">
        <v>4397</v>
      </c>
    </row>
    <row r="16929" spans="1:1" x14ac:dyDescent="0.2">
      <c r="A16929" s="1" t="s">
        <v>4398</v>
      </c>
    </row>
    <row r="16930" spans="1:1" x14ac:dyDescent="0.2">
      <c r="A16930" s="1" t="s">
        <v>4399</v>
      </c>
    </row>
    <row r="16931" spans="1:1" x14ac:dyDescent="0.2">
      <c r="A16931" s="1" t="s">
        <v>4400</v>
      </c>
    </row>
    <row r="16932" spans="1:1" x14ac:dyDescent="0.2">
      <c r="A16932" s="1" t="s">
        <v>4401</v>
      </c>
    </row>
    <row r="16933" spans="1:1" x14ac:dyDescent="0.2">
      <c r="A16933" s="1" t="s">
        <v>4402</v>
      </c>
    </row>
    <row r="16934" spans="1:1" x14ac:dyDescent="0.2">
      <c r="A16934" s="1" t="s">
        <v>4403</v>
      </c>
    </row>
    <row r="16935" spans="1:1" x14ac:dyDescent="0.2">
      <c r="A16935" s="1" t="s">
        <v>4404</v>
      </c>
    </row>
    <row r="16936" spans="1:1" x14ac:dyDescent="0.2">
      <c r="A16936" s="1" t="s">
        <v>4405</v>
      </c>
    </row>
    <row r="16937" spans="1:1" x14ac:dyDescent="0.2">
      <c r="A16937" s="1" t="s">
        <v>4406</v>
      </c>
    </row>
    <row r="16938" spans="1:1" x14ac:dyDescent="0.2">
      <c r="A16938" s="1" t="s">
        <v>4407</v>
      </c>
    </row>
    <row r="16939" spans="1:1" x14ac:dyDescent="0.2">
      <c r="A16939" s="1" t="s">
        <v>4408</v>
      </c>
    </row>
    <row r="16940" spans="1:1" x14ac:dyDescent="0.2">
      <c r="A16940" s="1" t="s">
        <v>4409</v>
      </c>
    </row>
    <row r="16941" spans="1:1" x14ac:dyDescent="0.2">
      <c r="A16941" s="1" t="s">
        <v>4410</v>
      </c>
    </row>
    <row r="16942" spans="1:1" x14ac:dyDescent="0.2">
      <c r="A16942" s="1" t="s">
        <v>4411</v>
      </c>
    </row>
    <row r="16943" spans="1:1" x14ac:dyDescent="0.2">
      <c r="A16943" s="1" t="s">
        <v>4412</v>
      </c>
    </row>
    <row r="16944" spans="1:1" x14ac:dyDescent="0.2">
      <c r="A16944" s="1" t="s">
        <v>4413</v>
      </c>
    </row>
    <row r="16945" spans="1:1" x14ac:dyDescent="0.2">
      <c r="A16945" s="1" t="s">
        <v>4414</v>
      </c>
    </row>
    <row r="16946" spans="1:1" x14ac:dyDescent="0.2">
      <c r="A16946" s="1" t="s">
        <v>4415</v>
      </c>
    </row>
    <row r="16947" spans="1:1" x14ac:dyDescent="0.2">
      <c r="A16947" s="1" t="s">
        <v>4416</v>
      </c>
    </row>
    <row r="16948" spans="1:1" x14ac:dyDescent="0.2">
      <c r="A16948" s="1" t="s">
        <v>4417</v>
      </c>
    </row>
    <row r="16949" spans="1:1" x14ac:dyDescent="0.2">
      <c r="A16949" s="1" t="s">
        <v>4418</v>
      </c>
    </row>
    <row r="16950" spans="1:1" x14ac:dyDescent="0.2">
      <c r="A16950" s="1" t="s">
        <v>4419</v>
      </c>
    </row>
    <row r="16951" spans="1:1" x14ac:dyDescent="0.2">
      <c r="A16951" s="1" t="s">
        <v>4420</v>
      </c>
    </row>
    <row r="16952" spans="1:1" x14ac:dyDescent="0.2">
      <c r="A16952" s="1" t="s">
        <v>4421</v>
      </c>
    </row>
    <row r="16953" spans="1:1" x14ac:dyDescent="0.2">
      <c r="A16953" s="1" t="s">
        <v>4421</v>
      </c>
    </row>
    <row r="16954" spans="1:1" x14ac:dyDescent="0.2">
      <c r="A16954" s="1" t="s">
        <v>4422</v>
      </c>
    </row>
    <row r="16955" spans="1:1" x14ac:dyDescent="0.2">
      <c r="A16955" s="1" t="s">
        <v>4423</v>
      </c>
    </row>
    <row r="16956" spans="1:1" x14ac:dyDescent="0.2">
      <c r="A16956" s="1" t="s">
        <v>4424</v>
      </c>
    </row>
    <row r="16957" spans="1:1" x14ac:dyDescent="0.2">
      <c r="A16957" s="1" t="s">
        <v>4425</v>
      </c>
    </row>
    <row r="16958" spans="1:1" x14ac:dyDescent="0.2">
      <c r="A16958" s="1" t="s">
        <v>4426</v>
      </c>
    </row>
    <row r="16959" spans="1:1" x14ac:dyDescent="0.2">
      <c r="A16959" s="1" t="s">
        <v>4427</v>
      </c>
    </row>
    <row r="16960" spans="1:1" x14ac:dyDescent="0.2">
      <c r="A16960" s="1" t="s">
        <v>4428</v>
      </c>
    </row>
    <row r="16961" spans="1:1" x14ac:dyDescent="0.2">
      <c r="A16961" s="1" t="s">
        <v>4429</v>
      </c>
    </row>
    <row r="16962" spans="1:1" x14ac:dyDescent="0.2">
      <c r="A16962" s="1" t="s">
        <v>4429</v>
      </c>
    </row>
    <row r="16963" spans="1:1" x14ac:dyDescent="0.2">
      <c r="A16963" s="1" t="s">
        <v>4429</v>
      </c>
    </row>
    <row r="16964" spans="1:1" x14ac:dyDescent="0.2">
      <c r="A16964" s="1" t="s">
        <v>4429</v>
      </c>
    </row>
    <row r="16965" spans="1:1" x14ac:dyDescent="0.2">
      <c r="A16965" s="1" t="s">
        <v>4430</v>
      </c>
    </row>
    <row r="16966" spans="1:1" x14ac:dyDescent="0.2">
      <c r="A16966" s="1" t="s">
        <v>4421</v>
      </c>
    </row>
    <row r="16967" spans="1:1" x14ac:dyDescent="0.2">
      <c r="A16967" s="1" t="s">
        <v>4421</v>
      </c>
    </row>
    <row r="16968" spans="1:1" x14ac:dyDescent="0.2">
      <c r="A16968" s="1" t="s">
        <v>4421</v>
      </c>
    </row>
    <row r="16969" spans="1:1" x14ac:dyDescent="0.2">
      <c r="A16969" s="1" t="s">
        <v>4422</v>
      </c>
    </row>
    <row r="16970" spans="1:1" x14ac:dyDescent="0.2">
      <c r="A16970" s="1" t="s">
        <v>4423</v>
      </c>
    </row>
    <row r="16971" spans="1:1" x14ac:dyDescent="0.2">
      <c r="A16971" s="1" t="s">
        <v>4424</v>
      </c>
    </row>
    <row r="16972" spans="1:1" x14ac:dyDescent="0.2">
      <c r="A16972" s="1" t="s">
        <v>4425</v>
      </c>
    </row>
    <row r="16973" spans="1:1" x14ac:dyDescent="0.2">
      <c r="A16973" s="1" t="s">
        <v>4426</v>
      </c>
    </row>
    <row r="16974" spans="1:1" x14ac:dyDescent="0.2">
      <c r="A16974" s="1" t="s">
        <v>4427</v>
      </c>
    </row>
    <row r="16975" spans="1:1" x14ac:dyDescent="0.2">
      <c r="A16975" s="1" t="s">
        <v>4428</v>
      </c>
    </row>
    <row r="16976" spans="1:1" x14ac:dyDescent="0.2">
      <c r="A16976" s="1" t="s">
        <v>4429</v>
      </c>
    </row>
    <row r="16977" spans="1:1" x14ac:dyDescent="0.2">
      <c r="A16977" s="1" t="s">
        <v>4429</v>
      </c>
    </row>
    <row r="16978" spans="1:1" x14ac:dyDescent="0.2">
      <c r="A16978" s="1" t="s">
        <v>4429</v>
      </c>
    </row>
    <row r="16979" spans="1:1" x14ac:dyDescent="0.2">
      <c r="A16979" s="1" t="s">
        <v>4429</v>
      </c>
    </row>
    <row r="16980" spans="1:1" x14ac:dyDescent="0.2">
      <c r="A16980" s="1" t="s">
        <v>4430</v>
      </c>
    </row>
    <row r="16981" spans="1:1" x14ac:dyDescent="0.2">
      <c r="A16981" s="1" t="s">
        <v>4421</v>
      </c>
    </row>
    <row r="16982" spans="1:1" x14ac:dyDescent="0.2">
      <c r="A16982" s="1" t="s">
        <v>4421</v>
      </c>
    </row>
    <row r="16983" spans="1:1" x14ac:dyDescent="0.2">
      <c r="A16983" s="1" t="s">
        <v>4421</v>
      </c>
    </row>
    <row r="16984" spans="1:1" x14ac:dyDescent="0.2">
      <c r="A16984" s="1" t="s">
        <v>4422</v>
      </c>
    </row>
    <row r="16985" spans="1:1" x14ac:dyDescent="0.2">
      <c r="A16985" s="1" t="s">
        <v>4423</v>
      </c>
    </row>
    <row r="16986" spans="1:1" x14ac:dyDescent="0.2">
      <c r="A16986" s="1" t="s">
        <v>4424</v>
      </c>
    </row>
    <row r="16987" spans="1:1" x14ac:dyDescent="0.2">
      <c r="A16987" s="1" t="s">
        <v>4425</v>
      </c>
    </row>
    <row r="16988" spans="1:1" x14ac:dyDescent="0.2">
      <c r="A16988" s="1" t="s">
        <v>4426</v>
      </c>
    </row>
    <row r="16989" spans="1:1" x14ac:dyDescent="0.2">
      <c r="A16989" s="1" t="s">
        <v>4427</v>
      </c>
    </row>
    <row r="16990" spans="1:1" x14ac:dyDescent="0.2">
      <c r="A16990" s="1" t="s">
        <v>4428</v>
      </c>
    </row>
    <row r="16991" spans="1:1" x14ac:dyDescent="0.2">
      <c r="A16991" s="1" t="s">
        <v>4429</v>
      </c>
    </row>
    <row r="16992" spans="1:1" x14ac:dyDescent="0.2">
      <c r="A16992" s="1" t="s">
        <v>4429</v>
      </c>
    </row>
    <row r="16993" spans="1:1" x14ac:dyDescent="0.2">
      <c r="A16993" s="1" t="s">
        <v>4429</v>
      </c>
    </row>
    <row r="16994" spans="1:1" x14ac:dyDescent="0.2">
      <c r="A16994" s="1" t="s">
        <v>4429</v>
      </c>
    </row>
    <row r="16995" spans="1:1" x14ac:dyDescent="0.2">
      <c r="A16995" s="1" t="s">
        <v>4430</v>
      </c>
    </row>
    <row r="16996" spans="1:1" x14ac:dyDescent="0.2">
      <c r="A16996" s="1" t="s">
        <v>4421</v>
      </c>
    </row>
    <row r="16997" spans="1:1" x14ac:dyDescent="0.2">
      <c r="A16997" s="1" t="s">
        <v>4421</v>
      </c>
    </row>
    <row r="16998" spans="1:1" x14ac:dyDescent="0.2">
      <c r="A16998" s="1" t="s">
        <v>4421</v>
      </c>
    </row>
    <row r="16999" spans="1:1" x14ac:dyDescent="0.2">
      <c r="A16999" s="1" t="s">
        <v>4422</v>
      </c>
    </row>
    <row r="17000" spans="1:1" x14ac:dyDescent="0.2">
      <c r="A17000" s="1" t="s">
        <v>4423</v>
      </c>
    </row>
    <row r="17001" spans="1:1" x14ac:dyDescent="0.2">
      <c r="A17001" s="1" t="s">
        <v>4424</v>
      </c>
    </row>
    <row r="17002" spans="1:1" x14ac:dyDescent="0.2">
      <c r="A17002" s="1" t="s">
        <v>4425</v>
      </c>
    </row>
    <row r="17003" spans="1:1" x14ac:dyDescent="0.2">
      <c r="A17003" s="1" t="s">
        <v>4426</v>
      </c>
    </row>
    <row r="17004" spans="1:1" x14ac:dyDescent="0.2">
      <c r="A17004" s="1" t="s">
        <v>4427</v>
      </c>
    </row>
    <row r="17005" spans="1:1" x14ac:dyDescent="0.2">
      <c r="A17005" s="1" t="s">
        <v>4428</v>
      </c>
    </row>
    <row r="17006" spans="1:1" x14ac:dyDescent="0.2">
      <c r="A17006" s="1" t="s">
        <v>4429</v>
      </c>
    </row>
    <row r="17007" spans="1:1" x14ac:dyDescent="0.2">
      <c r="A17007" s="1" t="s">
        <v>4429</v>
      </c>
    </row>
    <row r="17008" spans="1:1" x14ac:dyDescent="0.2">
      <c r="A17008" s="1" t="s">
        <v>4429</v>
      </c>
    </row>
    <row r="17009" spans="1:1" x14ac:dyDescent="0.2">
      <c r="A17009" s="1" t="s">
        <v>4429</v>
      </c>
    </row>
    <row r="17010" spans="1:1" x14ac:dyDescent="0.2">
      <c r="A17010" s="1" t="s">
        <v>4430</v>
      </c>
    </row>
    <row r="17011" spans="1:1" x14ac:dyDescent="0.2">
      <c r="A17011" s="1" t="s">
        <v>4421</v>
      </c>
    </row>
    <row r="17012" spans="1:1" x14ac:dyDescent="0.2">
      <c r="A17012" s="1" t="s">
        <v>4421</v>
      </c>
    </row>
    <row r="17013" spans="1:1" x14ac:dyDescent="0.2">
      <c r="A17013" s="1" t="s">
        <v>4421</v>
      </c>
    </row>
    <row r="17014" spans="1:1" x14ac:dyDescent="0.2">
      <c r="A17014" s="1" t="s">
        <v>4422</v>
      </c>
    </row>
    <row r="17015" spans="1:1" x14ac:dyDescent="0.2">
      <c r="A17015" s="1" t="s">
        <v>4423</v>
      </c>
    </row>
    <row r="17016" spans="1:1" x14ac:dyDescent="0.2">
      <c r="A17016" s="1" t="s">
        <v>4424</v>
      </c>
    </row>
    <row r="17017" spans="1:1" x14ac:dyDescent="0.2">
      <c r="A17017" s="1" t="s">
        <v>4425</v>
      </c>
    </row>
    <row r="17018" spans="1:1" x14ac:dyDescent="0.2">
      <c r="A17018" s="1" t="s">
        <v>4426</v>
      </c>
    </row>
    <row r="17019" spans="1:1" x14ac:dyDescent="0.2">
      <c r="A17019" s="1" t="s">
        <v>4427</v>
      </c>
    </row>
    <row r="17020" spans="1:1" x14ac:dyDescent="0.2">
      <c r="A17020" s="1" t="s">
        <v>4428</v>
      </c>
    </row>
    <row r="17021" spans="1:1" x14ac:dyDescent="0.2">
      <c r="A17021" s="1" t="s">
        <v>4429</v>
      </c>
    </row>
    <row r="17022" spans="1:1" x14ac:dyDescent="0.2">
      <c r="A17022" s="1" t="s">
        <v>4429</v>
      </c>
    </row>
    <row r="17023" spans="1:1" x14ac:dyDescent="0.2">
      <c r="A17023" s="1" t="s">
        <v>4429</v>
      </c>
    </row>
    <row r="17024" spans="1:1" x14ac:dyDescent="0.2">
      <c r="A17024" s="1" t="s">
        <v>4429</v>
      </c>
    </row>
    <row r="17025" spans="1:1" x14ac:dyDescent="0.2">
      <c r="A17025" s="1" t="s">
        <v>4430</v>
      </c>
    </row>
    <row r="17026" spans="1:1" x14ac:dyDescent="0.2">
      <c r="A17026" s="1" t="s">
        <v>4421</v>
      </c>
    </row>
    <row r="17027" spans="1:1" x14ac:dyDescent="0.2">
      <c r="A17027" s="1" t="s">
        <v>4431</v>
      </c>
    </row>
    <row r="17028" spans="1:1" x14ac:dyDescent="0.2">
      <c r="A17028" s="1" t="s">
        <v>4432</v>
      </c>
    </row>
    <row r="17029" spans="1:1" x14ac:dyDescent="0.2">
      <c r="A17029" s="1" t="s">
        <v>4433</v>
      </c>
    </row>
    <row r="17030" spans="1:1" x14ac:dyDescent="0.2">
      <c r="A17030" s="1" t="s">
        <v>4434</v>
      </c>
    </row>
    <row r="17031" spans="1:1" x14ac:dyDescent="0.2">
      <c r="A17031" s="1" t="s">
        <v>4435</v>
      </c>
    </row>
    <row r="17032" spans="1:1" x14ac:dyDescent="0.2">
      <c r="A17032" s="1" t="s">
        <v>4436</v>
      </c>
    </row>
    <row r="17033" spans="1:1" x14ac:dyDescent="0.2">
      <c r="A17033" s="1" t="s">
        <v>4437</v>
      </c>
    </row>
    <row r="17034" spans="1:1" x14ac:dyDescent="0.2">
      <c r="A17034" s="1" t="s">
        <v>4438</v>
      </c>
    </row>
    <row r="17035" spans="1:1" x14ac:dyDescent="0.2">
      <c r="A17035" s="1" t="s">
        <v>4439</v>
      </c>
    </row>
    <row r="17036" spans="1:1" x14ac:dyDescent="0.2">
      <c r="A17036" s="1" t="s">
        <v>4440</v>
      </c>
    </row>
    <row r="17037" spans="1:1" x14ac:dyDescent="0.2">
      <c r="A17037" s="1" t="s">
        <v>4441</v>
      </c>
    </row>
    <row r="17038" spans="1:1" x14ac:dyDescent="0.2">
      <c r="A17038" s="1" t="s">
        <v>4442</v>
      </c>
    </row>
    <row r="17039" spans="1:1" x14ac:dyDescent="0.2">
      <c r="A17039" s="1" t="s">
        <v>4443</v>
      </c>
    </row>
    <row r="17040" spans="1:1" x14ac:dyDescent="0.2">
      <c r="A17040" s="1" t="s">
        <v>4444</v>
      </c>
    </row>
    <row r="17041" spans="1:1" x14ac:dyDescent="0.2">
      <c r="A17041" s="1" t="s">
        <v>4445</v>
      </c>
    </row>
    <row r="17042" spans="1:1" x14ac:dyDescent="0.2">
      <c r="A17042" s="1" t="s">
        <v>4446</v>
      </c>
    </row>
    <row r="17043" spans="1:1" x14ac:dyDescent="0.2">
      <c r="A17043" s="1" t="s">
        <v>4447</v>
      </c>
    </row>
    <row r="17044" spans="1:1" x14ac:dyDescent="0.2">
      <c r="A17044" s="1" t="s">
        <v>4448</v>
      </c>
    </row>
    <row r="17045" spans="1:1" x14ac:dyDescent="0.2">
      <c r="A17045" s="1" t="s">
        <v>4449</v>
      </c>
    </row>
    <row r="17046" spans="1:1" x14ac:dyDescent="0.2">
      <c r="A17046" s="1" t="s">
        <v>4450</v>
      </c>
    </row>
    <row r="17047" spans="1:1" x14ac:dyDescent="0.2">
      <c r="A17047" s="1" t="s">
        <v>4451</v>
      </c>
    </row>
    <row r="17048" spans="1:1" x14ac:dyDescent="0.2">
      <c r="A17048" s="1" t="s">
        <v>4452</v>
      </c>
    </row>
    <row r="17049" spans="1:1" x14ac:dyDescent="0.2">
      <c r="A17049" s="1" t="s">
        <v>4453</v>
      </c>
    </row>
    <row r="17050" spans="1:1" x14ac:dyDescent="0.2">
      <c r="A17050" s="1" t="s">
        <v>4453</v>
      </c>
    </row>
    <row r="17051" spans="1:1" x14ac:dyDescent="0.2">
      <c r="A17051" s="1" t="s">
        <v>4454</v>
      </c>
    </row>
    <row r="17052" spans="1:1" x14ac:dyDescent="0.2">
      <c r="A17052" s="1" t="s">
        <v>4455</v>
      </c>
    </row>
    <row r="17053" spans="1:1" x14ac:dyDescent="0.2">
      <c r="A17053" s="1" t="s">
        <v>4456</v>
      </c>
    </row>
    <row r="17054" spans="1:1" x14ac:dyDescent="0.2">
      <c r="A17054" s="1" t="s">
        <v>4457</v>
      </c>
    </row>
    <row r="17055" spans="1:1" x14ac:dyDescent="0.2">
      <c r="A17055" s="1" t="s">
        <v>4458</v>
      </c>
    </row>
    <row r="17056" spans="1:1" x14ac:dyDescent="0.2">
      <c r="A17056" s="1" t="s">
        <v>4459</v>
      </c>
    </row>
    <row r="17057" spans="1:1" x14ac:dyDescent="0.2">
      <c r="A17057" s="1" t="s">
        <v>4460</v>
      </c>
    </row>
    <row r="17058" spans="1:1" x14ac:dyDescent="0.2">
      <c r="A17058" s="1" t="s">
        <v>4461</v>
      </c>
    </row>
    <row r="17059" spans="1:1" x14ac:dyDescent="0.2">
      <c r="A17059" s="1" t="s">
        <v>4461</v>
      </c>
    </row>
    <row r="17060" spans="1:1" x14ac:dyDescent="0.2">
      <c r="A17060" s="1" t="s">
        <v>4461</v>
      </c>
    </row>
    <row r="17061" spans="1:1" x14ac:dyDescent="0.2">
      <c r="A17061" s="1" t="s">
        <v>4461</v>
      </c>
    </row>
    <row r="17062" spans="1:1" x14ac:dyDescent="0.2">
      <c r="A17062" s="1" t="s">
        <v>4462</v>
      </c>
    </row>
    <row r="17063" spans="1:1" x14ac:dyDescent="0.2">
      <c r="A17063" s="1" t="s">
        <v>4453</v>
      </c>
    </row>
    <row r="17064" spans="1:1" x14ac:dyDescent="0.2">
      <c r="A17064" s="1" t="s">
        <v>4453</v>
      </c>
    </row>
    <row r="17065" spans="1:1" x14ac:dyDescent="0.2">
      <c r="A17065" s="1" t="s">
        <v>4453</v>
      </c>
    </row>
    <row r="17066" spans="1:1" x14ac:dyDescent="0.2">
      <c r="A17066" s="1" t="s">
        <v>4454</v>
      </c>
    </row>
    <row r="17067" spans="1:1" x14ac:dyDescent="0.2">
      <c r="A17067" s="1" t="s">
        <v>4455</v>
      </c>
    </row>
    <row r="17068" spans="1:1" x14ac:dyDescent="0.2">
      <c r="A17068" s="1" t="s">
        <v>4456</v>
      </c>
    </row>
    <row r="17069" spans="1:1" x14ac:dyDescent="0.2">
      <c r="A17069" s="1" t="s">
        <v>4457</v>
      </c>
    </row>
    <row r="17070" spans="1:1" x14ac:dyDescent="0.2">
      <c r="A17070" s="1" t="s">
        <v>4458</v>
      </c>
    </row>
    <row r="17071" spans="1:1" x14ac:dyDescent="0.2">
      <c r="A17071" s="1" t="s">
        <v>4459</v>
      </c>
    </row>
    <row r="17072" spans="1:1" x14ac:dyDescent="0.2">
      <c r="A17072" s="1" t="s">
        <v>4460</v>
      </c>
    </row>
    <row r="17073" spans="1:1" x14ac:dyDescent="0.2">
      <c r="A17073" s="1" t="s">
        <v>4461</v>
      </c>
    </row>
    <row r="17074" spans="1:1" x14ac:dyDescent="0.2">
      <c r="A17074" s="1" t="s">
        <v>4461</v>
      </c>
    </row>
    <row r="17075" spans="1:1" x14ac:dyDescent="0.2">
      <c r="A17075" s="1" t="s">
        <v>4461</v>
      </c>
    </row>
    <row r="17076" spans="1:1" x14ac:dyDescent="0.2">
      <c r="A17076" s="1" t="s">
        <v>4461</v>
      </c>
    </row>
    <row r="17077" spans="1:1" x14ac:dyDescent="0.2">
      <c r="A17077" s="1" t="s">
        <v>4462</v>
      </c>
    </row>
    <row r="17078" spans="1:1" x14ac:dyDescent="0.2">
      <c r="A17078" s="1" t="s">
        <v>4453</v>
      </c>
    </row>
    <row r="17079" spans="1:1" x14ac:dyDescent="0.2">
      <c r="A17079" s="1" t="s">
        <v>4453</v>
      </c>
    </row>
    <row r="17080" spans="1:1" x14ac:dyDescent="0.2">
      <c r="A17080" s="1" t="s">
        <v>4453</v>
      </c>
    </row>
    <row r="17081" spans="1:1" x14ac:dyDescent="0.2">
      <c r="A17081" s="1" t="s">
        <v>4454</v>
      </c>
    </row>
    <row r="17082" spans="1:1" x14ac:dyDescent="0.2">
      <c r="A17082" s="1" t="s">
        <v>4455</v>
      </c>
    </row>
    <row r="17083" spans="1:1" x14ac:dyDescent="0.2">
      <c r="A17083" s="1" t="s">
        <v>4456</v>
      </c>
    </row>
    <row r="17084" spans="1:1" x14ac:dyDescent="0.2">
      <c r="A17084" s="1" t="s">
        <v>4457</v>
      </c>
    </row>
    <row r="17085" spans="1:1" x14ac:dyDescent="0.2">
      <c r="A17085" s="1" t="s">
        <v>4458</v>
      </c>
    </row>
    <row r="17086" spans="1:1" x14ac:dyDescent="0.2">
      <c r="A17086" s="1" t="s">
        <v>4459</v>
      </c>
    </row>
    <row r="17087" spans="1:1" x14ac:dyDescent="0.2">
      <c r="A17087" s="1" t="s">
        <v>4460</v>
      </c>
    </row>
    <row r="17088" spans="1:1" x14ac:dyDescent="0.2">
      <c r="A17088" s="1" t="s">
        <v>4461</v>
      </c>
    </row>
    <row r="17089" spans="1:1" x14ac:dyDescent="0.2">
      <c r="A17089" s="1" t="s">
        <v>4461</v>
      </c>
    </row>
    <row r="17090" spans="1:1" x14ac:dyDescent="0.2">
      <c r="A17090" s="1" t="s">
        <v>4461</v>
      </c>
    </row>
    <row r="17091" spans="1:1" x14ac:dyDescent="0.2">
      <c r="A17091" s="1" t="s">
        <v>4461</v>
      </c>
    </row>
    <row r="17092" spans="1:1" x14ac:dyDescent="0.2">
      <c r="A17092" s="1" t="s">
        <v>4462</v>
      </c>
    </row>
    <row r="17093" spans="1:1" x14ac:dyDescent="0.2">
      <c r="A17093" s="1" t="s">
        <v>4453</v>
      </c>
    </row>
    <row r="17094" spans="1:1" x14ac:dyDescent="0.2">
      <c r="A17094" s="1" t="s">
        <v>4453</v>
      </c>
    </row>
    <row r="17095" spans="1:1" x14ac:dyDescent="0.2">
      <c r="A17095" s="1" t="s">
        <v>4453</v>
      </c>
    </row>
    <row r="17096" spans="1:1" x14ac:dyDescent="0.2">
      <c r="A17096" s="1" t="s">
        <v>4454</v>
      </c>
    </row>
    <row r="17097" spans="1:1" x14ac:dyDescent="0.2">
      <c r="A17097" s="1" t="s">
        <v>4455</v>
      </c>
    </row>
    <row r="17098" spans="1:1" x14ac:dyDescent="0.2">
      <c r="A17098" s="1" t="s">
        <v>4456</v>
      </c>
    </row>
    <row r="17099" spans="1:1" x14ac:dyDescent="0.2">
      <c r="A17099" s="1" t="s">
        <v>4457</v>
      </c>
    </row>
    <row r="17100" spans="1:1" x14ac:dyDescent="0.2">
      <c r="A17100" s="1" t="s">
        <v>4458</v>
      </c>
    </row>
    <row r="17101" spans="1:1" x14ac:dyDescent="0.2">
      <c r="A17101" s="1" t="s">
        <v>4459</v>
      </c>
    </row>
    <row r="17102" spans="1:1" x14ac:dyDescent="0.2">
      <c r="A17102" s="1" t="s">
        <v>4460</v>
      </c>
    </row>
    <row r="17103" spans="1:1" x14ac:dyDescent="0.2">
      <c r="A17103" s="1" t="s">
        <v>4461</v>
      </c>
    </row>
    <row r="17104" spans="1:1" x14ac:dyDescent="0.2">
      <c r="A17104" s="1" t="s">
        <v>4461</v>
      </c>
    </row>
    <row r="17105" spans="1:1" x14ac:dyDescent="0.2">
      <c r="A17105" s="1" t="s">
        <v>4461</v>
      </c>
    </row>
    <row r="17106" spans="1:1" x14ac:dyDescent="0.2">
      <c r="A17106" s="1" t="s">
        <v>4461</v>
      </c>
    </row>
    <row r="17107" spans="1:1" x14ac:dyDescent="0.2">
      <c r="A17107" s="1" t="s">
        <v>4462</v>
      </c>
    </row>
    <row r="17108" spans="1:1" x14ac:dyDescent="0.2">
      <c r="A17108" s="1" t="s">
        <v>4453</v>
      </c>
    </row>
    <row r="17109" spans="1:1" x14ac:dyDescent="0.2">
      <c r="A17109" s="1" t="s">
        <v>4453</v>
      </c>
    </row>
    <row r="17110" spans="1:1" x14ac:dyDescent="0.2">
      <c r="A17110" s="1" t="s">
        <v>4453</v>
      </c>
    </row>
    <row r="17111" spans="1:1" x14ac:dyDescent="0.2">
      <c r="A17111" s="1" t="s">
        <v>4454</v>
      </c>
    </row>
    <row r="17112" spans="1:1" x14ac:dyDescent="0.2">
      <c r="A17112" s="1" t="s">
        <v>4455</v>
      </c>
    </row>
    <row r="17113" spans="1:1" x14ac:dyDescent="0.2">
      <c r="A17113" s="1" t="s">
        <v>4456</v>
      </c>
    </row>
    <row r="17114" spans="1:1" x14ac:dyDescent="0.2">
      <c r="A17114" s="1" t="s">
        <v>4457</v>
      </c>
    </row>
    <row r="17115" spans="1:1" x14ac:dyDescent="0.2">
      <c r="A17115" s="1" t="s">
        <v>4458</v>
      </c>
    </row>
    <row r="17116" spans="1:1" x14ac:dyDescent="0.2">
      <c r="A17116" s="1" t="s">
        <v>4459</v>
      </c>
    </row>
    <row r="17117" spans="1:1" x14ac:dyDescent="0.2">
      <c r="A17117" s="1" t="s">
        <v>4460</v>
      </c>
    </row>
    <row r="17118" spans="1:1" x14ac:dyDescent="0.2">
      <c r="A17118" s="1" t="s">
        <v>4461</v>
      </c>
    </row>
    <row r="17119" spans="1:1" x14ac:dyDescent="0.2">
      <c r="A17119" s="1" t="s">
        <v>4461</v>
      </c>
    </row>
    <row r="17120" spans="1:1" x14ac:dyDescent="0.2">
      <c r="A17120" s="1" t="s">
        <v>4461</v>
      </c>
    </row>
    <row r="17121" spans="1:1" x14ac:dyDescent="0.2">
      <c r="A17121" s="1" t="s">
        <v>4461</v>
      </c>
    </row>
    <row r="17122" spans="1:1" x14ac:dyDescent="0.2">
      <c r="A17122" s="1" t="s">
        <v>4462</v>
      </c>
    </row>
    <row r="17123" spans="1:1" x14ac:dyDescent="0.2">
      <c r="A17123" s="1" t="s">
        <v>4453</v>
      </c>
    </row>
    <row r="17124" spans="1:1" x14ac:dyDescent="0.2">
      <c r="A17124" s="1" t="s">
        <v>4463</v>
      </c>
    </row>
    <row r="17125" spans="1:1" x14ac:dyDescent="0.2">
      <c r="A17125" s="1" t="s">
        <v>4464</v>
      </c>
    </row>
    <row r="17126" spans="1:1" x14ac:dyDescent="0.2">
      <c r="A17126" s="1" t="s">
        <v>4465</v>
      </c>
    </row>
    <row r="17127" spans="1:1" x14ac:dyDescent="0.2">
      <c r="A17127" s="1" t="s">
        <v>4466</v>
      </c>
    </row>
    <row r="17128" spans="1:1" x14ac:dyDescent="0.2">
      <c r="A17128" s="1" t="s">
        <v>4467</v>
      </c>
    </row>
    <row r="17129" spans="1:1" x14ac:dyDescent="0.2">
      <c r="A17129" s="1" t="s">
        <v>4468</v>
      </c>
    </row>
    <row r="17130" spans="1:1" x14ac:dyDescent="0.2">
      <c r="A17130" s="1" t="s">
        <v>4469</v>
      </c>
    </row>
    <row r="17131" spans="1:1" x14ac:dyDescent="0.2">
      <c r="A17131" s="1" t="s">
        <v>4470</v>
      </c>
    </row>
    <row r="17132" spans="1:1" x14ac:dyDescent="0.2">
      <c r="A17132" s="1" t="s">
        <v>4471</v>
      </c>
    </row>
    <row r="17133" spans="1:1" x14ac:dyDescent="0.2">
      <c r="A17133" s="1" t="s">
        <v>4472</v>
      </c>
    </row>
    <row r="17134" spans="1:1" x14ac:dyDescent="0.2">
      <c r="A17134" s="1" t="s">
        <v>4473</v>
      </c>
    </row>
    <row r="17135" spans="1:1" x14ac:dyDescent="0.2">
      <c r="A17135" s="1" t="s">
        <v>4474</v>
      </c>
    </row>
    <row r="17136" spans="1:1" x14ac:dyDescent="0.2">
      <c r="A17136" s="1" t="s">
        <v>4475</v>
      </c>
    </row>
    <row r="17137" spans="1:1" x14ac:dyDescent="0.2">
      <c r="A17137" s="1" t="s">
        <v>4476</v>
      </c>
    </row>
    <row r="17138" spans="1:1" x14ac:dyDescent="0.2">
      <c r="A17138" s="1" t="s">
        <v>4477</v>
      </c>
    </row>
    <row r="17139" spans="1:1" x14ac:dyDescent="0.2">
      <c r="A17139" s="1" t="s">
        <v>4478</v>
      </c>
    </row>
    <row r="17140" spans="1:1" x14ac:dyDescent="0.2">
      <c r="A17140" s="1" t="s">
        <v>4479</v>
      </c>
    </row>
    <row r="17141" spans="1:1" x14ac:dyDescent="0.2">
      <c r="A17141" s="1" t="s">
        <v>4480</v>
      </c>
    </row>
    <row r="17142" spans="1:1" x14ac:dyDescent="0.2">
      <c r="A17142" s="1" t="s">
        <v>4481</v>
      </c>
    </row>
    <row r="17143" spans="1:1" x14ac:dyDescent="0.2">
      <c r="A17143" s="1" t="s">
        <v>4482</v>
      </c>
    </row>
    <row r="17144" spans="1:1" x14ac:dyDescent="0.2">
      <c r="A17144" s="1" t="s">
        <v>4483</v>
      </c>
    </row>
    <row r="17145" spans="1:1" x14ac:dyDescent="0.2">
      <c r="A17145" s="1" t="s">
        <v>4484</v>
      </c>
    </row>
    <row r="17146" spans="1:1" x14ac:dyDescent="0.2">
      <c r="A17146" s="1" t="s">
        <v>4485</v>
      </c>
    </row>
    <row r="17147" spans="1:1" x14ac:dyDescent="0.2">
      <c r="A17147" s="1" t="s">
        <v>4485</v>
      </c>
    </row>
    <row r="17148" spans="1:1" x14ac:dyDescent="0.2">
      <c r="A17148" s="1" t="s">
        <v>4486</v>
      </c>
    </row>
    <row r="17149" spans="1:1" x14ac:dyDescent="0.2">
      <c r="A17149" s="1" t="s">
        <v>4487</v>
      </c>
    </row>
    <row r="17150" spans="1:1" x14ac:dyDescent="0.2">
      <c r="A17150" s="1" t="s">
        <v>4488</v>
      </c>
    </row>
    <row r="17151" spans="1:1" x14ac:dyDescent="0.2">
      <c r="A17151" s="1" t="s">
        <v>4489</v>
      </c>
    </row>
    <row r="17152" spans="1:1" x14ac:dyDescent="0.2">
      <c r="A17152" s="1" t="s">
        <v>4490</v>
      </c>
    </row>
    <row r="17153" spans="1:1" x14ac:dyDescent="0.2">
      <c r="A17153" s="1" t="s">
        <v>4491</v>
      </c>
    </row>
    <row r="17154" spans="1:1" x14ac:dyDescent="0.2">
      <c r="A17154" s="1" t="s">
        <v>4492</v>
      </c>
    </row>
    <row r="17155" spans="1:1" x14ac:dyDescent="0.2">
      <c r="A17155" s="1" t="s">
        <v>4493</v>
      </c>
    </row>
    <row r="17156" spans="1:1" x14ac:dyDescent="0.2">
      <c r="A17156" s="1" t="s">
        <v>4493</v>
      </c>
    </row>
    <row r="17157" spans="1:1" x14ac:dyDescent="0.2">
      <c r="A17157" s="1" t="s">
        <v>4493</v>
      </c>
    </row>
    <row r="17158" spans="1:1" x14ac:dyDescent="0.2">
      <c r="A17158" s="1" t="s">
        <v>4493</v>
      </c>
    </row>
    <row r="17159" spans="1:1" x14ac:dyDescent="0.2">
      <c r="A17159" s="1" t="s">
        <v>4494</v>
      </c>
    </row>
    <row r="17160" spans="1:1" x14ac:dyDescent="0.2">
      <c r="A17160" s="1" t="s">
        <v>4495</v>
      </c>
    </row>
    <row r="17161" spans="1:1" x14ac:dyDescent="0.2">
      <c r="A17161" s="1" t="s">
        <v>4495</v>
      </c>
    </row>
    <row r="17162" spans="1:1" x14ac:dyDescent="0.2">
      <c r="A17162" s="1" t="s">
        <v>4495</v>
      </c>
    </row>
    <row r="17163" spans="1:1" x14ac:dyDescent="0.2">
      <c r="A17163" s="1" t="s">
        <v>4496</v>
      </c>
    </row>
    <row r="17164" spans="1:1" x14ac:dyDescent="0.2">
      <c r="A17164" s="1" t="s">
        <v>4487</v>
      </c>
    </row>
    <row r="17165" spans="1:1" x14ac:dyDescent="0.2">
      <c r="A17165" s="1" t="s">
        <v>4488</v>
      </c>
    </row>
    <row r="17166" spans="1:1" x14ac:dyDescent="0.2">
      <c r="A17166" s="1" t="s">
        <v>4489</v>
      </c>
    </row>
    <row r="17167" spans="1:1" x14ac:dyDescent="0.2">
      <c r="A17167" s="1" t="s">
        <v>4490</v>
      </c>
    </row>
    <row r="17168" spans="1:1" x14ac:dyDescent="0.2">
      <c r="A17168" s="1" t="s">
        <v>4491</v>
      </c>
    </row>
    <row r="17169" spans="1:1" x14ac:dyDescent="0.2">
      <c r="A17169" s="1" t="s">
        <v>4492</v>
      </c>
    </row>
    <row r="17170" spans="1:1" x14ac:dyDescent="0.2">
      <c r="A17170" s="1" t="s">
        <v>4493</v>
      </c>
    </row>
    <row r="17171" spans="1:1" x14ac:dyDescent="0.2">
      <c r="A17171" s="1" t="s">
        <v>4493</v>
      </c>
    </row>
    <row r="17172" spans="1:1" x14ac:dyDescent="0.2">
      <c r="A17172" s="1" t="s">
        <v>4493</v>
      </c>
    </row>
    <row r="17173" spans="1:1" x14ac:dyDescent="0.2">
      <c r="A17173" s="1" t="s">
        <v>4493</v>
      </c>
    </row>
    <row r="17174" spans="1:1" x14ac:dyDescent="0.2">
      <c r="A17174" s="1" t="s">
        <v>4494</v>
      </c>
    </row>
    <row r="17175" spans="1:1" x14ac:dyDescent="0.2">
      <c r="A17175" s="1" t="s">
        <v>4495</v>
      </c>
    </row>
    <row r="17176" spans="1:1" x14ac:dyDescent="0.2">
      <c r="A17176" s="1" t="s">
        <v>4495</v>
      </c>
    </row>
    <row r="17177" spans="1:1" x14ac:dyDescent="0.2">
      <c r="A17177" s="1" t="s">
        <v>4495</v>
      </c>
    </row>
    <row r="17178" spans="1:1" x14ac:dyDescent="0.2">
      <c r="A17178" s="1" t="s">
        <v>4496</v>
      </c>
    </row>
    <row r="17179" spans="1:1" x14ac:dyDescent="0.2">
      <c r="A17179" s="1" t="s">
        <v>4487</v>
      </c>
    </row>
    <row r="17180" spans="1:1" x14ac:dyDescent="0.2">
      <c r="A17180" s="1" t="s">
        <v>4488</v>
      </c>
    </row>
    <row r="17181" spans="1:1" x14ac:dyDescent="0.2">
      <c r="A17181" s="1" t="s">
        <v>4489</v>
      </c>
    </row>
    <row r="17182" spans="1:1" x14ac:dyDescent="0.2">
      <c r="A17182" s="1" t="s">
        <v>4490</v>
      </c>
    </row>
    <row r="17183" spans="1:1" x14ac:dyDescent="0.2">
      <c r="A17183" s="1" t="s">
        <v>4491</v>
      </c>
    </row>
    <row r="17184" spans="1:1" x14ac:dyDescent="0.2">
      <c r="A17184" s="1" t="s">
        <v>4492</v>
      </c>
    </row>
    <row r="17185" spans="1:1" x14ac:dyDescent="0.2">
      <c r="A17185" s="1" t="s">
        <v>4493</v>
      </c>
    </row>
    <row r="17186" spans="1:1" x14ac:dyDescent="0.2">
      <c r="A17186" s="1" t="s">
        <v>4493</v>
      </c>
    </row>
    <row r="17187" spans="1:1" x14ac:dyDescent="0.2">
      <c r="A17187" s="1" t="s">
        <v>4493</v>
      </c>
    </row>
    <row r="17188" spans="1:1" x14ac:dyDescent="0.2">
      <c r="A17188" s="1" t="s">
        <v>4493</v>
      </c>
    </row>
    <row r="17189" spans="1:1" x14ac:dyDescent="0.2">
      <c r="A17189" s="1" t="s">
        <v>4494</v>
      </c>
    </row>
    <row r="17190" spans="1:1" x14ac:dyDescent="0.2">
      <c r="A17190" s="1" t="s">
        <v>4495</v>
      </c>
    </row>
    <row r="17191" spans="1:1" x14ac:dyDescent="0.2">
      <c r="A17191" s="1" t="s">
        <v>4495</v>
      </c>
    </row>
    <row r="17192" spans="1:1" x14ac:dyDescent="0.2">
      <c r="A17192" s="1" t="s">
        <v>4495</v>
      </c>
    </row>
    <row r="17193" spans="1:1" x14ac:dyDescent="0.2">
      <c r="A17193" s="1" t="s">
        <v>4496</v>
      </c>
    </row>
    <row r="17194" spans="1:1" x14ac:dyDescent="0.2">
      <c r="A17194" s="1" t="s">
        <v>4487</v>
      </c>
    </row>
    <row r="17195" spans="1:1" x14ac:dyDescent="0.2">
      <c r="A17195" s="1" t="s">
        <v>4488</v>
      </c>
    </row>
    <row r="17196" spans="1:1" x14ac:dyDescent="0.2">
      <c r="A17196" s="1" t="s">
        <v>4489</v>
      </c>
    </row>
    <row r="17197" spans="1:1" x14ac:dyDescent="0.2">
      <c r="A17197" s="1" t="s">
        <v>4490</v>
      </c>
    </row>
    <row r="17198" spans="1:1" x14ac:dyDescent="0.2">
      <c r="A17198" s="1" t="s">
        <v>4491</v>
      </c>
    </row>
    <row r="17199" spans="1:1" x14ac:dyDescent="0.2">
      <c r="A17199" s="1" t="s">
        <v>4492</v>
      </c>
    </row>
    <row r="17200" spans="1:1" x14ac:dyDescent="0.2">
      <c r="A17200" s="1" t="s">
        <v>4493</v>
      </c>
    </row>
    <row r="17201" spans="1:1" x14ac:dyDescent="0.2">
      <c r="A17201" s="1" t="s">
        <v>4493</v>
      </c>
    </row>
    <row r="17202" spans="1:1" x14ac:dyDescent="0.2">
      <c r="A17202" s="1" t="s">
        <v>4493</v>
      </c>
    </row>
    <row r="17203" spans="1:1" x14ac:dyDescent="0.2">
      <c r="A17203" s="1" t="s">
        <v>4493</v>
      </c>
    </row>
    <row r="17204" spans="1:1" x14ac:dyDescent="0.2">
      <c r="A17204" s="1" t="s">
        <v>4494</v>
      </c>
    </row>
    <row r="17205" spans="1:1" x14ac:dyDescent="0.2">
      <c r="A17205" s="1" t="s">
        <v>4495</v>
      </c>
    </row>
    <row r="17206" spans="1:1" x14ac:dyDescent="0.2">
      <c r="A17206" s="1" t="s">
        <v>4495</v>
      </c>
    </row>
    <row r="17207" spans="1:1" x14ac:dyDescent="0.2">
      <c r="A17207" s="1" t="s">
        <v>4495</v>
      </c>
    </row>
    <row r="17208" spans="1:1" x14ac:dyDescent="0.2">
      <c r="A17208" s="1" t="s">
        <v>4496</v>
      </c>
    </row>
    <row r="17209" spans="1:1" x14ac:dyDescent="0.2">
      <c r="A17209" s="1" t="s">
        <v>4487</v>
      </c>
    </row>
    <row r="17210" spans="1:1" x14ac:dyDescent="0.2">
      <c r="A17210" s="1" t="s">
        <v>4488</v>
      </c>
    </row>
    <row r="17211" spans="1:1" x14ac:dyDescent="0.2">
      <c r="A17211" s="1" t="s">
        <v>4489</v>
      </c>
    </row>
    <row r="17212" spans="1:1" x14ac:dyDescent="0.2">
      <c r="A17212" s="1" t="s">
        <v>4490</v>
      </c>
    </row>
    <row r="17213" spans="1:1" x14ac:dyDescent="0.2">
      <c r="A17213" s="1" t="s">
        <v>4491</v>
      </c>
    </row>
    <row r="17214" spans="1:1" x14ac:dyDescent="0.2">
      <c r="A17214" s="1" t="s">
        <v>4492</v>
      </c>
    </row>
    <row r="17215" spans="1:1" x14ac:dyDescent="0.2">
      <c r="A17215" s="1" t="s">
        <v>4493</v>
      </c>
    </row>
    <row r="17216" spans="1:1" x14ac:dyDescent="0.2">
      <c r="A17216" s="1" t="s">
        <v>4493</v>
      </c>
    </row>
    <row r="17217" spans="1:1" x14ac:dyDescent="0.2">
      <c r="A17217" s="1" t="s">
        <v>4493</v>
      </c>
    </row>
    <row r="17218" spans="1:1" x14ac:dyDescent="0.2">
      <c r="A17218" s="1" t="s">
        <v>4493</v>
      </c>
    </row>
    <row r="17219" spans="1:1" x14ac:dyDescent="0.2">
      <c r="A17219" s="1" t="s">
        <v>4494</v>
      </c>
    </row>
    <row r="17220" spans="1:1" x14ac:dyDescent="0.2">
      <c r="A17220" s="1" t="s">
        <v>4495</v>
      </c>
    </row>
    <row r="17221" spans="1:1" x14ac:dyDescent="0.2">
      <c r="A17221" s="1" t="s">
        <v>4497</v>
      </c>
    </row>
    <row r="17222" spans="1:1" x14ac:dyDescent="0.2">
      <c r="A17222" s="1" t="s">
        <v>4497</v>
      </c>
    </row>
    <row r="17223" spans="1:1" x14ac:dyDescent="0.2">
      <c r="A17223" s="1" t="s">
        <v>4498</v>
      </c>
    </row>
    <row r="17224" spans="1:1" x14ac:dyDescent="0.2">
      <c r="A17224" s="1" t="s">
        <v>4499</v>
      </c>
    </row>
    <row r="17225" spans="1:1" x14ac:dyDescent="0.2">
      <c r="A17225" s="1" t="s">
        <v>4500</v>
      </c>
    </row>
    <row r="17226" spans="1:1" x14ac:dyDescent="0.2">
      <c r="A17226" s="1" t="s">
        <v>4501</v>
      </c>
    </row>
    <row r="17227" spans="1:1" x14ac:dyDescent="0.2">
      <c r="A17227" s="1" t="s">
        <v>4502</v>
      </c>
    </row>
    <row r="17228" spans="1:1" x14ac:dyDescent="0.2">
      <c r="A17228" s="1" t="s">
        <v>4503</v>
      </c>
    </row>
    <row r="17229" spans="1:1" x14ac:dyDescent="0.2">
      <c r="A17229" s="1" t="s">
        <v>4504</v>
      </c>
    </row>
    <row r="17230" spans="1:1" x14ac:dyDescent="0.2">
      <c r="A17230" s="1" t="s">
        <v>4505</v>
      </c>
    </row>
    <row r="17231" spans="1:1" x14ac:dyDescent="0.2">
      <c r="A17231" s="1" t="s">
        <v>4505</v>
      </c>
    </row>
    <row r="17232" spans="1:1" x14ac:dyDescent="0.2">
      <c r="A17232" s="1" t="s">
        <v>4505</v>
      </c>
    </row>
    <row r="17233" spans="1:1" x14ac:dyDescent="0.2">
      <c r="A17233" s="1" t="s">
        <v>4505</v>
      </c>
    </row>
    <row r="17234" spans="1:1" x14ac:dyDescent="0.2">
      <c r="A17234" s="1" t="s">
        <v>4506</v>
      </c>
    </row>
    <row r="17235" spans="1:1" x14ac:dyDescent="0.2">
      <c r="A17235" s="1" t="s">
        <v>4497</v>
      </c>
    </row>
    <row r="17236" spans="1:1" x14ac:dyDescent="0.2">
      <c r="A17236" s="1" t="s">
        <v>4497</v>
      </c>
    </row>
    <row r="17237" spans="1:1" x14ac:dyDescent="0.2">
      <c r="A17237" s="1" t="s">
        <v>4497</v>
      </c>
    </row>
    <row r="17238" spans="1:1" x14ac:dyDescent="0.2">
      <c r="A17238" s="1" t="s">
        <v>4498</v>
      </c>
    </row>
    <row r="17239" spans="1:1" x14ac:dyDescent="0.2">
      <c r="A17239" s="1" t="s">
        <v>4499</v>
      </c>
    </row>
    <row r="17240" spans="1:1" x14ac:dyDescent="0.2">
      <c r="A17240" s="1" t="s">
        <v>4500</v>
      </c>
    </row>
    <row r="17241" spans="1:1" x14ac:dyDescent="0.2">
      <c r="A17241" s="1" t="s">
        <v>4501</v>
      </c>
    </row>
    <row r="17242" spans="1:1" x14ac:dyDescent="0.2">
      <c r="A17242" s="1" t="s">
        <v>4502</v>
      </c>
    </row>
    <row r="17243" spans="1:1" x14ac:dyDescent="0.2">
      <c r="A17243" s="1" t="s">
        <v>4503</v>
      </c>
    </row>
    <row r="17244" spans="1:1" x14ac:dyDescent="0.2">
      <c r="A17244" s="1" t="s">
        <v>4504</v>
      </c>
    </row>
    <row r="17245" spans="1:1" x14ac:dyDescent="0.2">
      <c r="A17245" s="1" t="s">
        <v>4505</v>
      </c>
    </row>
    <row r="17246" spans="1:1" x14ac:dyDescent="0.2">
      <c r="A17246" s="1" t="s">
        <v>4505</v>
      </c>
    </row>
    <row r="17247" spans="1:1" x14ac:dyDescent="0.2">
      <c r="A17247" s="1" t="s">
        <v>4505</v>
      </c>
    </row>
    <row r="17248" spans="1:1" x14ac:dyDescent="0.2">
      <c r="A17248" s="1" t="s">
        <v>4505</v>
      </c>
    </row>
    <row r="17249" spans="1:1" x14ac:dyDescent="0.2">
      <c r="A17249" s="1" t="s">
        <v>4506</v>
      </c>
    </row>
    <row r="17250" spans="1:1" x14ac:dyDescent="0.2">
      <c r="A17250" s="1" t="s">
        <v>4497</v>
      </c>
    </row>
    <row r="17251" spans="1:1" x14ac:dyDescent="0.2">
      <c r="A17251" s="1" t="s">
        <v>4497</v>
      </c>
    </row>
    <row r="17252" spans="1:1" x14ac:dyDescent="0.2">
      <c r="A17252" s="1" t="s">
        <v>4497</v>
      </c>
    </row>
    <row r="17253" spans="1:1" x14ac:dyDescent="0.2">
      <c r="A17253" s="1" t="s">
        <v>4498</v>
      </c>
    </row>
    <row r="17254" spans="1:1" x14ac:dyDescent="0.2">
      <c r="A17254" s="1" t="s">
        <v>4499</v>
      </c>
    </row>
    <row r="17255" spans="1:1" x14ac:dyDescent="0.2">
      <c r="A17255" s="1" t="s">
        <v>4500</v>
      </c>
    </row>
    <row r="17256" spans="1:1" x14ac:dyDescent="0.2">
      <c r="A17256" s="1" t="s">
        <v>4501</v>
      </c>
    </row>
    <row r="17257" spans="1:1" x14ac:dyDescent="0.2">
      <c r="A17257" s="1" t="s">
        <v>4502</v>
      </c>
    </row>
    <row r="17258" spans="1:1" x14ac:dyDescent="0.2">
      <c r="A17258" s="1" t="s">
        <v>4503</v>
      </c>
    </row>
    <row r="17259" spans="1:1" x14ac:dyDescent="0.2">
      <c r="A17259" s="1" t="s">
        <v>4504</v>
      </c>
    </row>
    <row r="17260" spans="1:1" x14ac:dyDescent="0.2">
      <c r="A17260" s="1" t="s">
        <v>4505</v>
      </c>
    </row>
    <row r="17261" spans="1:1" x14ac:dyDescent="0.2">
      <c r="A17261" s="1" t="s">
        <v>4505</v>
      </c>
    </row>
    <row r="17262" spans="1:1" x14ac:dyDescent="0.2">
      <c r="A17262" s="1" t="s">
        <v>4505</v>
      </c>
    </row>
    <row r="17263" spans="1:1" x14ac:dyDescent="0.2">
      <c r="A17263" s="1" t="s">
        <v>4505</v>
      </c>
    </row>
    <row r="17264" spans="1:1" x14ac:dyDescent="0.2">
      <c r="A17264" s="1" t="s">
        <v>4506</v>
      </c>
    </row>
    <row r="17265" spans="1:1" x14ac:dyDescent="0.2">
      <c r="A17265" s="1" t="s">
        <v>4497</v>
      </c>
    </row>
    <row r="17266" spans="1:1" x14ac:dyDescent="0.2">
      <c r="A17266" s="1" t="s">
        <v>4497</v>
      </c>
    </row>
    <row r="17267" spans="1:1" x14ac:dyDescent="0.2">
      <c r="A17267" s="1" t="s">
        <v>4497</v>
      </c>
    </row>
    <row r="17268" spans="1:1" x14ac:dyDescent="0.2">
      <c r="A17268" s="1" t="s">
        <v>4498</v>
      </c>
    </row>
    <row r="17269" spans="1:1" x14ac:dyDescent="0.2">
      <c r="A17269" s="1" t="s">
        <v>4499</v>
      </c>
    </row>
    <row r="17270" spans="1:1" x14ac:dyDescent="0.2">
      <c r="A17270" s="1" t="s">
        <v>4500</v>
      </c>
    </row>
    <row r="17271" spans="1:1" x14ac:dyDescent="0.2">
      <c r="A17271" s="1" t="s">
        <v>4501</v>
      </c>
    </row>
    <row r="17272" spans="1:1" x14ac:dyDescent="0.2">
      <c r="A17272" s="1" t="s">
        <v>4502</v>
      </c>
    </row>
    <row r="17273" spans="1:1" x14ac:dyDescent="0.2">
      <c r="A17273" s="1" t="s">
        <v>4503</v>
      </c>
    </row>
    <row r="17274" spans="1:1" x14ac:dyDescent="0.2">
      <c r="A17274" s="1" t="s">
        <v>4504</v>
      </c>
    </row>
    <row r="17275" spans="1:1" x14ac:dyDescent="0.2">
      <c r="A17275" s="1" t="s">
        <v>4505</v>
      </c>
    </row>
    <row r="17276" spans="1:1" x14ac:dyDescent="0.2">
      <c r="A17276" s="1" t="s">
        <v>4505</v>
      </c>
    </row>
    <row r="17277" spans="1:1" x14ac:dyDescent="0.2">
      <c r="A17277" s="1" t="s">
        <v>4505</v>
      </c>
    </row>
    <row r="17278" spans="1:1" x14ac:dyDescent="0.2">
      <c r="A17278" s="1" t="s">
        <v>4505</v>
      </c>
    </row>
    <row r="17279" spans="1:1" x14ac:dyDescent="0.2">
      <c r="A17279" s="1" t="s">
        <v>4506</v>
      </c>
    </row>
    <row r="17280" spans="1:1" x14ac:dyDescent="0.2">
      <c r="A17280" s="1" t="s">
        <v>4497</v>
      </c>
    </row>
    <row r="17281" spans="1:1" x14ac:dyDescent="0.2">
      <c r="A17281" s="1" t="s">
        <v>4497</v>
      </c>
    </row>
    <row r="17282" spans="1:1" x14ac:dyDescent="0.2">
      <c r="A17282" s="1" t="s">
        <v>4497</v>
      </c>
    </row>
    <row r="17283" spans="1:1" x14ac:dyDescent="0.2">
      <c r="A17283" s="1" t="s">
        <v>4498</v>
      </c>
    </row>
    <row r="17284" spans="1:1" x14ac:dyDescent="0.2">
      <c r="A17284" s="1" t="s">
        <v>4499</v>
      </c>
    </row>
    <row r="17285" spans="1:1" x14ac:dyDescent="0.2">
      <c r="A17285" s="1" t="s">
        <v>4500</v>
      </c>
    </row>
    <row r="17286" spans="1:1" x14ac:dyDescent="0.2">
      <c r="A17286" s="1" t="s">
        <v>4501</v>
      </c>
    </row>
    <row r="17287" spans="1:1" x14ac:dyDescent="0.2">
      <c r="A17287" s="1" t="s">
        <v>4502</v>
      </c>
    </row>
    <row r="17288" spans="1:1" x14ac:dyDescent="0.2">
      <c r="A17288" s="1" t="s">
        <v>4503</v>
      </c>
    </row>
    <row r="17289" spans="1:1" x14ac:dyDescent="0.2">
      <c r="A17289" s="1" t="s">
        <v>4504</v>
      </c>
    </row>
    <row r="17290" spans="1:1" x14ac:dyDescent="0.2">
      <c r="A17290" s="1" t="s">
        <v>4505</v>
      </c>
    </row>
    <row r="17291" spans="1:1" x14ac:dyDescent="0.2">
      <c r="A17291" s="1" t="s">
        <v>4505</v>
      </c>
    </row>
    <row r="17292" spans="1:1" x14ac:dyDescent="0.2">
      <c r="A17292" s="1" t="s">
        <v>4505</v>
      </c>
    </row>
    <row r="17293" spans="1:1" x14ac:dyDescent="0.2">
      <c r="A17293" s="1" t="s">
        <v>4505</v>
      </c>
    </row>
    <row r="17294" spans="1:1" x14ac:dyDescent="0.2">
      <c r="A17294" s="1" t="s">
        <v>4506</v>
      </c>
    </row>
    <row r="17295" spans="1:1" x14ac:dyDescent="0.2">
      <c r="A17295" s="1" t="s">
        <v>4497</v>
      </c>
    </row>
    <row r="17296" spans="1:1" x14ac:dyDescent="0.2">
      <c r="A17296" s="1" t="s">
        <v>4507</v>
      </c>
    </row>
    <row r="17297" spans="1:1" x14ac:dyDescent="0.2">
      <c r="A17297" s="1" t="s">
        <v>4507</v>
      </c>
    </row>
    <row r="17298" spans="1:1" x14ac:dyDescent="0.2">
      <c r="A17298" s="1" t="s">
        <v>4508</v>
      </c>
    </row>
    <row r="17299" spans="1:1" x14ac:dyDescent="0.2">
      <c r="A17299" s="1" t="s">
        <v>4509</v>
      </c>
    </row>
    <row r="17300" spans="1:1" x14ac:dyDescent="0.2">
      <c r="A17300" s="1" t="s">
        <v>4510</v>
      </c>
    </row>
    <row r="17301" spans="1:1" x14ac:dyDescent="0.2">
      <c r="A17301" s="1" t="s">
        <v>4511</v>
      </c>
    </row>
    <row r="17302" spans="1:1" x14ac:dyDescent="0.2">
      <c r="A17302" s="1" t="s">
        <v>4512</v>
      </c>
    </row>
    <row r="17303" spans="1:1" x14ac:dyDescent="0.2">
      <c r="A17303" s="1" t="s">
        <v>4513</v>
      </c>
    </row>
    <row r="17304" spans="1:1" x14ac:dyDescent="0.2">
      <c r="A17304" s="1" t="s">
        <v>4514</v>
      </c>
    </row>
    <row r="17305" spans="1:1" x14ac:dyDescent="0.2">
      <c r="A17305" s="1" t="s">
        <v>4515</v>
      </c>
    </row>
    <row r="17306" spans="1:1" x14ac:dyDescent="0.2">
      <c r="A17306" s="1" t="s">
        <v>4515</v>
      </c>
    </row>
    <row r="17307" spans="1:1" x14ac:dyDescent="0.2">
      <c r="A17307" s="1" t="s">
        <v>4515</v>
      </c>
    </row>
    <row r="17308" spans="1:1" x14ac:dyDescent="0.2">
      <c r="A17308" s="1" t="s">
        <v>4515</v>
      </c>
    </row>
    <row r="17309" spans="1:1" x14ac:dyDescent="0.2">
      <c r="A17309" s="1" t="s">
        <v>4516</v>
      </c>
    </row>
    <row r="17310" spans="1:1" x14ac:dyDescent="0.2">
      <c r="A17310" s="1" t="s">
        <v>4507</v>
      </c>
    </row>
    <row r="17311" spans="1:1" x14ac:dyDescent="0.2">
      <c r="A17311" s="1" t="s">
        <v>4507</v>
      </c>
    </row>
    <row r="17312" spans="1:1" x14ac:dyDescent="0.2">
      <c r="A17312" s="1" t="s">
        <v>4507</v>
      </c>
    </row>
    <row r="17313" spans="1:1" x14ac:dyDescent="0.2">
      <c r="A17313" s="1" t="s">
        <v>4508</v>
      </c>
    </row>
    <row r="17314" spans="1:1" x14ac:dyDescent="0.2">
      <c r="A17314" s="1" t="s">
        <v>4509</v>
      </c>
    </row>
    <row r="17315" spans="1:1" x14ac:dyDescent="0.2">
      <c r="A17315" s="1" t="s">
        <v>4510</v>
      </c>
    </row>
    <row r="17316" spans="1:1" x14ac:dyDescent="0.2">
      <c r="A17316" s="1" t="s">
        <v>4511</v>
      </c>
    </row>
    <row r="17317" spans="1:1" x14ac:dyDescent="0.2">
      <c r="A17317" s="1" t="s">
        <v>4512</v>
      </c>
    </row>
    <row r="17318" spans="1:1" x14ac:dyDescent="0.2">
      <c r="A17318" s="1" t="s">
        <v>4513</v>
      </c>
    </row>
    <row r="17319" spans="1:1" x14ac:dyDescent="0.2">
      <c r="A17319" s="1" t="s">
        <v>4514</v>
      </c>
    </row>
    <row r="17320" spans="1:1" x14ac:dyDescent="0.2">
      <c r="A17320" s="1" t="s">
        <v>4515</v>
      </c>
    </row>
    <row r="17321" spans="1:1" x14ac:dyDescent="0.2">
      <c r="A17321" s="1" t="s">
        <v>4515</v>
      </c>
    </row>
    <row r="17322" spans="1:1" x14ac:dyDescent="0.2">
      <c r="A17322" s="1" t="s">
        <v>4515</v>
      </c>
    </row>
    <row r="17323" spans="1:1" x14ac:dyDescent="0.2">
      <c r="A17323" s="1" t="s">
        <v>4515</v>
      </c>
    </row>
    <row r="17324" spans="1:1" x14ac:dyDescent="0.2">
      <c r="A17324" s="1" t="s">
        <v>4516</v>
      </c>
    </row>
    <row r="17325" spans="1:1" x14ac:dyDescent="0.2">
      <c r="A17325" s="1" t="s">
        <v>4507</v>
      </c>
    </row>
    <row r="17326" spans="1:1" x14ac:dyDescent="0.2">
      <c r="A17326" s="1" t="s">
        <v>4507</v>
      </c>
    </row>
    <row r="17327" spans="1:1" x14ac:dyDescent="0.2">
      <c r="A17327" s="1" t="s">
        <v>4507</v>
      </c>
    </row>
    <row r="17328" spans="1:1" x14ac:dyDescent="0.2">
      <c r="A17328" s="1" t="s">
        <v>4508</v>
      </c>
    </row>
    <row r="17329" spans="1:1" x14ac:dyDescent="0.2">
      <c r="A17329" s="1" t="s">
        <v>4509</v>
      </c>
    </row>
    <row r="17330" spans="1:1" x14ac:dyDescent="0.2">
      <c r="A17330" s="1" t="s">
        <v>4510</v>
      </c>
    </row>
    <row r="17331" spans="1:1" x14ac:dyDescent="0.2">
      <c r="A17331" s="1" t="s">
        <v>4511</v>
      </c>
    </row>
    <row r="17332" spans="1:1" x14ac:dyDescent="0.2">
      <c r="A17332" s="1" t="s">
        <v>4512</v>
      </c>
    </row>
    <row r="17333" spans="1:1" x14ac:dyDescent="0.2">
      <c r="A17333" s="1" t="s">
        <v>4513</v>
      </c>
    </row>
    <row r="17334" spans="1:1" x14ac:dyDescent="0.2">
      <c r="A17334" s="1" t="s">
        <v>4514</v>
      </c>
    </row>
    <row r="17335" spans="1:1" x14ac:dyDescent="0.2">
      <c r="A17335" s="1" t="s">
        <v>4515</v>
      </c>
    </row>
    <row r="17336" spans="1:1" x14ac:dyDescent="0.2">
      <c r="A17336" s="1" t="s">
        <v>4515</v>
      </c>
    </row>
    <row r="17337" spans="1:1" x14ac:dyDescent="0.2">
      <c r="A17337" s="1" t="s">
        <v>4515</v>
      </c>
    </row>
    <row r="17338" spans="1:1" x14ac:dyDescent="0.2">
      <c r="A17338" s="1" t="s">
        <v>4515</v>
      </c>
    </row>
    <row r="17339" spans="1:1" x14ac:dyDescent="0.2">
      <c r="A17339" s="1" t="s">
        <v>4516</v>
      </c>
    </row>
    <row r="17340" spans="1:1" x14ac:dyDescent="0.2">
      <c r="A17340" s="1" t="s">
        <v>4507</v>
      </c>
    </row>
    <row r="17341" spans="1:1" x14ac:dyDescent="0.2">
      <c r="A17341" s="1" t="s">
        <v>4507</v>
      </c>
    </row>
    <row r="17342" spans="1:1" x14ac:dyDescent="0.2">
      <c r="A17342" s="1" t="s">
        <v>4507</v>
      </c>
    </row>
    <row r="17343" spans="1:1" x14ac:dyDescent="0.2">
      <c r="A17343" s="1" t="s">
        <v>4508</v>
      </c>
    </row>
    <row r="17344" spans="1:1" x14ac:dyDescent="0.2">
      <c r="A17344" s="1" t="s">
        <v>4509</v>
      </c>
    </row>
    <row r="17345" spans="1:1" x14ac:dyDescent="0.2">
      <c r="A17345" s="1" t="s">
        <v>4510</v>
      </c>
    </row>
    <row r="17346" spans="1:1" x14ac:dyDescent="0.2">
      <c r="A17346" s="1" t="s">
        <v>4511</v>
      </c>
    </row>
    <row r="17347" spans="1:1" x14ac:dyDescent="0.2">
      <c r="A17347" s="1" t="s">
        <v>4512</v>
      </c>
    </row>
    <row r="17348" spans="1:1" x14ac:dyDescent="0.2">
      <c r="A17348" s="1" t="s">
        <v>4513</v>
      </c>
    </row>
    <row r="17349" spans="1:1" x14ac:dyDescent="0.2">
      <c r="A17349" s="1" t="s">
        <v>4514</v>
      </c>
    </row>
    <row r="17350" spans="1:1" x14ac:dyDescent="0.2">
      <c r="A17350" s="1" t="s">
        <v>4515</v>
      </c>
    </row>
    <row r="17351" spans="1:1" x14ac:dyDescent="0.2">
      <c r="A17351" s="1" t="s">
        <v>4515</v>
      </c>
    </row>
    <row r="17352" spans="1:1" x14ac:dyDescent="0.2">
      <c r="A17352" s="1" t="s">
        <v>4515</v>
      </c>
    </row>
    <row r="17353" spans="1:1" x14ac:dyDescent="0.2">
      <c r="A17353" s="1" t="s">
        <v>4515</v>
      </c>
    </row>
    <row r="17354" spans="1:1" x14ac:dyDescent="0.2">
      <c r="A17354" s="1" t="s">
        <v>4516</v>
      </c>
    </row>
    <row r="17355" spans="1:1" x14ac:dyDescent="0.2">
      <c r="A17355" s="1" t="s">
        <v>4507</v>
      </c>
    </row>
    <row r="17356" spans="1:1" x14ac:dyDescent="0.2">
      <c r="A17356" s="1" t="s">
        <v>4507</v>
      </c>
    </row>
    <row r="17357" spans="1:1" x14ac:dyDescent="0.2">
      <c r="A17357" s="1" t="s">
        <v>4507</v>
      </c>
    </row>
    <row r="17358" spans="1:1" x14ac:dyDescent="0.2">
      <c r="A17358" s="1" t="s">
        <v>4508</v>
      </c>
    </row>
    <row r="17359" spans="1:1" x14ac:dyDescent="0.2">
      <c r="A17359" s="1" t="s">
        <v>4509</v>
      </c>
    </row>
    <row r="17360" spans="1:1" x14ac:dyDescent="0.2">
      <c r="A17360" s="1" t="s">
        <v>4510</v>
      </c>
    </row>
    <row r="17361" spans="1:1" x14ac:dyDescent="0.2">
      <c r="A17361" s="1" t="s">
        <v>4511</v>
      </c>
    </row>
    <row r="17362" spans="1:1" x14ac:dyDescent="0.2">
      <c r="A17362" s="1" t="s">
        <v>4512</v>
      </c>
    </row>
    <row r="17363" spans="1:1" x14ac:dyDescent="0.2">
      <c r="A17363" s="1" t="s">
        <v>4513</v>
      </c>
    </row>
    <row r="17364" spans="1:1" x14ac:dyDescent="0.2">
      <c r="A17364" s="1" t="s">
        <v>4514</v>
      </c>
    </row>
    <row r="17365" spans="1:1" x14ac:dyDescent="0.2">
      <c r="A17365" s="1" t="s">
        <v>4515</v>
      </c>
    </row>
    <row r="17366" spans="1:1" x14ac:dyDescent="0.2">
      <c r="A17366" s="1" t="s">
        <v>4515</v>
      </c>
    </row>
    <row r="17367" spans="1:1" x14ac:dyDescent="0.2">
      <c r="A17367" s="1" t="s">
        <v>4515</v>
      </c>
    </row>
    <row r="17368" spans="1:1" x14ac:dyDescent="0.2">
      <c r="A17368" s="1" t="s">
        <v>4515</v>
      </c>
    </row>
    <row r="17369" spans="1:1" x14ac:dyDescent="0.2">
      <c r="A17369" s="1" t="s">
        <v>4516</v>
      </c>
    </row>
    <row r="17370" spans="1:1" x14ac:dyDescent="0.2">
      <c r="A17370" s="1" t="s">
        <v>4507</v>
      </c>
    </row>
    <row r="17371" spans="1:1" x14ac:dyDescent="0.2">
      <c r="A17371" s="1" t="s">
        <v>4517</v>
      </c>
    </row>
    <row r="17372" spans="1:1" x14ac:dyDescent="0.2">
      <c r="A17372" s="1" t="s">
        <v>4517</v>
      </c>
    </row>
    <row r="17373" spans="1:1" x14ac:dyDescent="0.2">
      <c r="A17373" s="1" t="s">
        <v>4518</v>
      </c>
    </row>
    <row r="17374" spans="1:1" x14ac:dyDescent="0.2">
      <c r="A17374" s="1" t="s">
        <v>4519</v>
      </c>
    </row>
    <row r="17375" spans="1:1" x14ac:dyDescent="0.2">
      <c r="A17375" s="1" t="s">
        <v>4520</v>
      </c>
    </row>
    <row r="17376" spans="1:1" x14ac:dyDescent="0.2">
      <c r="A17376" s="1" t="s">
        <v>4521</v>
      </c>
    </row>
    <row r="17377" spans="1:1" x14ac:dyDescent="0.2">
      <c r="A17377" s="1" t="s">
        <v>4522</v>
      </c>
    </row>
    <row r="17378" spans="1:1" x14ac:dyDescent="0.2">
      <c r="A17378" s="1" t="s">
        <v>4523</v>
      </c>
    </row>
    <row r="17379" spans="1:1" x14ac:dyDescent="0.2">
      <c r="A17379" s="1" t="s">
        <v>4524</v>
      </c>
    </row>
    <row r="17380" spans="1:1" x14ac:dyDescent="0.2">
      <c r="A17380" s="1" t="s">
        <v>4525</v>
      </c>
    </row>
    <row r="17381" spans="1:1" x14ac:dyDescent="0.2">
      <c r="A17381" s="1" t="s">
        <v>4525</v>
      </c>
    </row>
    <row r="17382" spans="1:1" x14ac:dyDescent="0.2">
      <c r="A17382" s="1" t="s">
        <v>4525</v>
      </c>
    </row>
    <row r="17383" spans="1:1" x14ac:dyDescent="0.2">
      <c r="A17383" s="1" t="s">
        <v>4525</v>
      </c>
    </row>
    <row r="17384" spans="1:1" x14ac:dyDescent="0.2">
      <c r="A17384" s="1" t="s">
        <v>4526</v>
      </c>
    </row>
    <row r="17385" spans="1:1" x14ac:dyDescent="0.2">
      <c r="A17385" s="1" t="s">
        <v>4517</v>
      </c>
    </row>
    <row r="17386" spans="1:1" x14ac:dyDescent="0.2">
      <c r="A17386" s="1" t="s">
        <v>4517</v>
      </c>
    </row>
    <row r="17387" spans="1:1" x14ac:dyDescent="0.2">
      <c r="A17387" s="1" t="s">
        <v>4517</v>
      </c>
    </row>
    <row r="17388" spans="1:1" x14ac:dyDescent="0.2">
      <c r="A17388" s="1" t="s">
        <v>4518</v>
      </c>
    </row>
    <row r="17389" spans="1:1" x14ac:dyDescent="0.2">
      <c r="A17389" s="1" t="s">
        <v>4519</v>
      </c>
    </row>
    <row r="17390" spans="1:1" x14ac:dyDescent="0.2">
      <c r="A17390" s="1" t="s">
        <v>4520</v>
      </c>
    </row>
    <row r="17391" spans="1:1" x14ac:dyDescent="0.2">
      <c r="A17391" s="1" t="s">
        <v>4521</v>
      </c>
    </row>
    <row r="17392" spans="1:1" x14ac:dyDescent="0.2">
      <c r="A17392" s="1" t="s">
        <v>4522</v>
      </c>
    </row>
    <row r="17393" spans="1:1" x14ac:dyDescent="0.2">
      <c r="A17393" s="1" t="s">
        <v>4523</v>
      </c>
    </row>
    <row r="17394" spans="1:1" x14ac:dyDescent="0.2">
      <c r="A17394" s="1" t="s">
        <v>4524</v>
      </c>
    </row>
    <row r="17395" spans="1:1" x14ac:dyDescent="0.2">
      <c r="A17395" s="1" t="s">
        <v>4525</v>
      </c>
    </row>
    <row r="17396" spans="1:1" x14ac:dyDescent="0.2">
      <c r="A17396" s="1" t="s">
        <v>4525</v>
      </c>
    </row>
    <row r="17397" spans="1:1" x14ac:dyDescent="0.2">
      <c r="A17397" s="1" t="s">
        <v>4525</v>
      </c>
    </row>
    <row r="17398" spans="1:1" x14ac:dyDescent="0.2">
      <c r="A17398" s="1" t="s">
        <v>4525</v>
      </c>
    </row>
    <row r="17399" spans="1:1" x14ac:dyDescent="0.2">
      <c r="A17399" s="1" t="s">
        <v>4526</v>
      </c>
    </row>
    <row r="17400" spans="1:1" x14ac:dyDescent="0.2">
      <c r="A17400" s="1" t="s">
        <v>4517</v>
      </c>
    </row>
    <row r="17401" spans="1:1" x14ac:dyDescent="0.2">
      <c r="A17401" s="1" t="s">
        <v>4517</v>
      </c>
    </row>
    <row r="17402" spans="1:1" x14ac:dyDescent="0.2">
      <c r="A17402" s="1" t="s">
        <v>4517</v>
      </c>
    </row>
    <row r="17403" spans="1:1" x14ac:dyDescent="0.2">
      <c r="A17403" s="1" t="s">
        <v>4518</v>
      </c>
    </row>
    <row r="17404" spans="1:1" x14ac:dyDescent="0.2">
      <c r="A17404" s="1" t="s">
        <v>4519</v>
      </c>
    </row>
    <row r="17405" spans="1:1" x14ac:dyDescent="0.2">
      <c r="A17405" s="1" t="s">
        <v>4520</v>
      </c>
    </row>
    <row r="17406" spans="1:1" x14ac:dyDescent="0.2">
      <c r="A17406" s="1" t="s">
        <v>4521</v>
      </c>
    </row>
    <row r="17407" spans="1:1" x14ac:dyDescent="0.2">
      <c r="A17407" s="1" t="s">
        <v>4522</v>
      </c>
    </row>
    <row r="17408" spans="1:1" x14ac:dyDescent="0.2">
      <c r="A17408" s="1" t="s">
        <v>4523</v>
      </c>
    </row>
    <row r="17409" spans="1:1" x14ac:dyDescent="0.2">
      <c r="A17409" s="1" t="s">
        <v>4524</v>
      </c>
    </row>
    <row r="17410" spans="1:1" x14ac:dyDescent="0.2">
      <c r="A17410" s="1" t="s">
        <v>4525</v>
      </c>
    </row>
    <row r="17411" spans="1:1" x14ac:dyDescent="0.2">
      <c r="A17411" s="1" t="s">
        <v>4525</v>
      </c>
    </row>
    <row r="17412" spans="1:1" x14ac:dyDescent="0.2">
      <c r="A17412" s="1" t="s">
        <v>4525</v>
      </c>
    </row>
    <row r="17413" spans="1:1" x14ac:dyDescent="0.2">
      <c r="A17413" s="1" t="s">
        <v>4525</v>
      </c>
    </row>
    <row r="17414" spans="1:1" x14ac:dyDescent="0.2">
      <c r="A17414" s="1" t="s">
        <v>4526</v>
      </c>
    </row>
    <row r="17415" spans="1:1" x14ac:dyDescent="0.2">
      <c r="A17415" s="1" t="s">
        <v>4517</v>
      </c>
    </row>
    <row r="17416" spans="1:1" x14ac:dyDescent="0.2">
      <c r="A17416" s="1" t="s">
        <v>4517</v>
      </c>
    </row>
    <row r="17417" spans="1:1" x14ac:dyDescent="0.2">
      <c r="A17417" s="1" t="s">
        <v>4517</v>
      </c>
    </row>
    <row r="17418" spans="1:1" x14ac:dyDescent="0.2">
      <c r="A17418" s="1" t="s">
        <v>4518</v>
      </c>
    </row>
    <row r="17419" spans="1:1" x14ac:dyDescent="0.2">
      <c r="A17419" s="1" t="s">
        <v>4519</v>
      </c>
    </row>
    <row r="17420" spans="1:1" x14ac:dyDescent="0.2">
      <c r="A17420" s="1" t="s">
        <v>4520</v>
      </c>
    </row>
    <row r="17421" spans="1:1" x14ac:dyDescent="0.2">
      <c r="A17421" s="1" t="s">
        <v>4521</v>
      </c>
    </row>
    <row r="17422" spans="1:1" x14ac:dyDescent="0.2">
      <c r="A17422" s="1" t="s">
        <v>4522</v>
      </c>
    </row>
    <row r="17423" spans="1:1" x14ac:dyDescent="0.2">
      <c r="A17423" s="1" t="s">
        <v>4523</v>
      </c>
    </row>
    <row r="17424" spans="1:1" x14ac:dyDescent="0.2">
      <c r="A17424" s="1" t="s">
        <v>4524</v>
      </c>
    </row>
    <row r="17425" spans="1:1" x14ac:dyDescent="0.2">
      <c r="A17425" s="1" t="s">
        <v>4525</v>
      </c>
    </row>
    <row r="17426" spans="1:1" x14ac:dyDescent="0.2">
      <c r="A17426" s="1" t="s">
        <v>4525</v>
      </c>
    </row>
    <row r="17427" spans="1:1" x14ac:dyDescent="0.2">
      <c r="A17427" s="1" t="s">
        <v>4525</v>
      </c>
    </row>
    <row r="17428" spans="1:1" x14ac:dyDescent="0.2">
      <c r="A17428" s="1" t="s">
        <v>4525</v>
      </c>
    </row>
    <row r="17429" spans="1:1" x14ac:dyDescent="0.2">
      <c r="A17429" s="1" t="s">
        <v>4526</v>
      </c>
    </row>
    <row r="17430" spans="1:1" x14ac:dyDescent="0.2">
      <c r="A17430" s="1" t="s">
        <v>4517</v>
      </c>
    </row>
    <row r="17431" spans="1:1" x14ac:dyDescent="0.2">
      <c r="A17431" s="1" t="s">
        <v>4517</v>
      </c>
    </row>
    <row r="17432" spans="1:1" x14ac:dyDescent="0.2">
      <c r="A17432" s="1" t="s">
        <v>4517</v>
      </c>
    </row>
    <row r="17433" spans="1:1" x14ac:dyDescent="0.2">
      <c r="A17433" s="1" t="s">
        <v>4518</v>
      </c>
    </row>
    <row r="17434" spans="1:1" x14ac:dyDescent="0.2">
      <c r="A17434" s="1" t="s">
        <v>4519</v>
      </c>
    </row>
    <row r="17435" spans="1:1" x14ac:dyDescent="0.2">
      <c r="A17435" s="1" t="s">
        <v>4520</v>
      </c>
    </row>
    <row r="17436" spans="1:1" x14ac:dyDescent="0.2">
      <c r="A17436" s="1" t="s">
        <v>4521</v>
      </c>
    </row>
    <row r="17437" spans="1:1" x14ac:dyDescent="0.2">
      <c r="A17437" s="1" t="s">
        <v>4522</v>
      </c>
    </row>
    <row r="17438" spans="1:1" x14ac:dyDescent="0.2">
      <c r="A17438" s="1" t="s">
        <v>4523</v>
      </c>
    </row>
    <row r="17439" spans="1:1" x14ac:dyDescent="0.2">
      <c r="A17439" s="1" t="s">
        <v>4524</v>
      </c>
    </row>
    <row r="17440" spans="1:1" x14ac:dyDescent="0.2">
      <c r="A17440" s="1" t="s">
        <v>4525</v>
      </c>
    </row>
    <row r="17441" spans="1:1" x14ac:dyDescent="0.2">
      <c r="A17441" s="1" t="s">
        <v>4525</v>
      </c>
    </row>
    <row r="17442" spans="1:1" x14ac:dyDescent="0.2">
      <c r="A17442" s="1" t="s">
        <v>4525</v>
      </c>
    </row>
    <row r="17443" spans="1:1" x14ac:dyDescent="0.2">
      <c r="A17443" s="1" t="s">
        <v>4525</v>
      </c>
    </row>
    <row r="17444" spans="1:1" x14ac:dyDescent="0.2">
      <c r="A17444" s="1" t="s">
        <v>4526</v>
      </c>
    </row>
    <row r="17445" spans="1:1" x14ac:dyDescent="0.2">
      <c r="A17445" s="1" t="s">
        <v>4517</v>
      </c>
    </row>
    <row r="17446" spans="1:1" x14ac:dyDescent="0.2">
      <c r="A17446" s="1" t="s">
        <v>4527</v>
      </c>
    </row>
    <row r="17447" spans="1:1" x14ac:dyDescent="0.2">
      <c r="A17447" s="1" t="s">
        <v>4527</v>
      </c>
    </row>
    <row r="17448" spans="1:1" x14ac:dyDescent="0.2">
      <c r="A17448" s="1" t="s">
        <v>4528</v>
      </c>
    </row>
    <row r="17449" spans="1:1" x14ac:dyDescent="0.2">
      <c r="A17449" s="1" t="s">
        <v>4529</v>
      </c>
    </row>
    <row r="17450" spans="1:1" x14ac:dyDescent="0.2">
      <c r="A17450" s="1" t="s">
        <v>4530</v>
      </c>
    </row>
    <row r="17451" spans="1:1" x14ac:dyDescent="0.2">
      <c r="A17451" s="1" t="s">
        <v>4531</v>
      </c>
    </row>
    <row r="17452" spans="1:1" x14ac:dyDescent="0.2">
      <c r="A17452" s="1" t="s">
        <v>4532</v>
      </c>
    </row>
    <row r="17453" spans="1:1" x14ac:dyDescent="0.2">
      <c r="A17453" s="1" t="s">
        <v>4533</v>
      </c>
    </row>
    <row r="17454" spans="1:1" x14ac:dyDescent="0.2">
      <c r="A17454" s="1" t="s">
        <v>4534</v>
      </c>
    </row>
    <row r="17455" spans="1:1" x14ac:dyDescent="0.2">
      <c r="A17455" s="1" t="s">
        <v>4535</v>
      </c>
    </row>
    <row r="17456" spans="1:1" x14ac:dyDescent="0.2">
      <c r="A17456" s="1" t="s">
        <v>4535</v>
      </c>
    </row>
    <row r="17457" spans="1:1" x14ac:dyDescent="0.2">
      <c r="A17457" s="1" t="s">
        <v>4535</v>
      </c>
    </row>
    <row r="17458" spans="1:1" x14ac:dyDescent="0.2">
      <c r="A17458" s="1" t="s">
        <v>4535</v>
      </c>
    </row>
    <row r="17459" spans="1:1" x14ac:dyDescent="0.2">
      <c r="A17459" s="1" t="s">
        <v>4536</v>
      </c>
    </row>
    <row r="17460" spans="1:1" x14ac:dyDescent="0.2">
      <c r="A17460" s="1" t="s">
        <v>4527</v>
      </c>
    </row>
    <row r="17461" spans="1:1" x14ac:dyDescent="0.2">
      <c r="A17461" s="1" t="s">
        <v>4527</v>
      </c>
    </row>
    <row r="17462" spans="1:1" x14ac:dyDescent="0.2">
      <c r="A17462" s="1" t="s">
        <v>4527</v>
      </c>
    </row>
    <row r="17463" spans="1:1" x14ac:dyDescent="0.2">
      <c r="A17463" s="1" t="s">
        <v>4528</v>
      </c>
    </row>
    <row r="17464" spans="1:1" x14ac:dyDescent="0.2">
      <c r="A17464" s="1" t="s">
        <v>4529</v>
      </c>
    </row>
    <row r="17465" spans="1:1" x14ac:dyDescent="0.2">
      <c r="A17465" s="1" t="s">
        <v>4530</v>
      </c>
    </row>
    <row r="17466" spans="1:1" x14ac:dyDescent="0.2">
      <c r="A17466" s="1" t="s">
        <v>4531</v>
      </c>
    </row>
    <row r="17467" spans="1:1" x14ac:dyDescent="0.2">
      <c r="A17467" s="1" t="s">
        <v>4532</v>
      </c>
    </row>
    <row r="17468" spans="1:1" x14ac:dyDescent="0.2">
      <c r="A17468" s="1" t="s">
        <v>4533</v>
      </c>
    </row>
    <row r="17469" spans="1:1" x14ac:dyDescent="0.2">
      <c r="A17469" s="1" t="s">
        <v>4534</v>
      </c>
    </row>
    <row r="17470" spans="1:1" x14ac:dyDescent="0.2">
      <c r="A17470" s="1" t="s">
        <v>4535</v>
      </c>
    </row>
    <row r="17471" spans="1:1" x14ac:dyDescent="0.2">
      <c r="A17471" s="1" t="s">
        <v>4535</v>
      </c>
    </row>
    <row r="17472" spans="1:1" x14ac:dyDescent="0.2">
      <c r="A17472" s="1" t="s">
        <v>4535</v>
      </c>
    </row>
    <row r="17473" spans="1:1" x14ac:dyDescent="0.2">
      <c r="A17473" s="1" t="s">
        <v>4535</v>
      </c>
    </row>
    <row r="17474" spans="1:1" x14ac:dyDescent="0.2">
      <c r="A17474" s="1" t="s">
        <v>4536</v>
      </c>
    </row>
    <row r="17475" spans="1:1" x14ac:dyDescent="0.2">
      <c r="A17475" s="1" t="s">
        <v>4527</v>
      </c>
    </row>
    <row r="17476" spans="1:1" x14ac:dyDescent="0.2">
      <c r="A17476" s="1" t="s">
        <v>4527</v>
      </c>
    </row>
    <row r="17477" spans="1:1" x14ac:dyDescent="0.2">
      <c r="A17477" s="1" t="s">
        <v>4527</v>
      </c>
    </row>
    <row r="17478" spans="1:1" x14ac:dyDescent="0.2">
      <c r="A17478" s="1" t="s">
        <v>4528</v>
      </c>
    </row>
    <row r="17479" spans="1:1" x14ac:dyDescent="0.2">
      <c r="A17479" s="1" t="s">
        <v>4529</v>
      </c>
    </row>
    <row r="17480" spans="1:1" x14ac:dyDescent="0.2">
      <c r="A17480" s="1" t="s">
        <v>4530</v>
      </c>
    </row>
    <row r="17481" spans="1:1" x14ac:dyDescent="0.2">
      <c r="A17481" s="1" t="s">
        <v>4531</v>
      </c>
    </row>
    <row r="17482" spans="1:1" x14ac:dyDescent="0.2">
      <c r="A17482" s="1" t="s">
        <v>4532</v>
      </c>
    </row>
    <row r="17483" spans="1:1" x14ac:dyDescent="0.2">
      <c r="A17483" s="1" t="s">
        <v>4533</v>
      </c>
    </row>
    <row r="17484" spans="1:1" x14ac:dyDescent="0.2">
      <c r="A17484" s="1" t="s">
        <v>4534</v>
      </c>
    </row>
    <row r="17485" spans="1:1" x14ac:dyDescent="0.2">
      <c r="A17485" s="1" t="s">
        <v>4535</v>
      </c>
    </row>
    <row r="17486" spans="1:1" x14ac:dyDescent="0.2">
      <c r="A17486" s="1" t="s">
        <v>4535</v>
      </c>
    </row>
    <row r="17487" spans="1:1" x14ac:dyDescent="0.2">
      <c r="A17487" s="1" t="s">
        <v>4535</v>
      </c>
    </row>
    <row r="17488" spans="1:1" x14ac:dyDescent="0.2">
      <c r="A17488" s="1" t="s">
        <v>4535</v>
      </c>
    </row>
    <row r="17489" spans="1:1" x14ac:dyDescent="0.2">
      <c r="A17489" s="1" t="s">
        <v>4536</v>
      </c>
    </row>
    <row r="17490" spans="1:1" x14ac:dyDescent="0.2">
      <c r="A17490" s="1" t="s">
        <v>4527</v>
      </c>
    </row>
    <row r="17491" spans="1:1" x14ac:dyDescent="0.2">
      <c r="A17491" s="1" t="s">
        <v>4527</v>
      </c>
    </row>
    <row r="17492" spans="1:1" x14ac:dyDescent="0.2">
      <c r="A17492" s="1" t="s">
        <v>4527</v>
      </c>
    </row>
    <row r="17493" spans="1:1" x14ac:dyDescent="0.2">
      <c r="A17493" s="1" t="s">
        <v>4528</v>
      </c>
    </row>
    <row r="17494" spans="1:1" x14ac:dyDescent="0.2">
      <c r="A17494" s="1" t="s">
        <v>4529</v>
      </c>
    </row>
    <row r="17495" spans="1:1" x14ac:dyDescent="0.2">
      <c r="A17495" s="1" t="s">
        <v>4530</v>
      </c>
    </row>
    <row r="17496" spans="1:1" x14ac:dyDescent="0.2">
      <c r="A17496" s="1" t="s">
        <v>4531</v>
      </c>
    </row>
    <row r="17497" spans="1:1" x14ac:dyDescent="0.2">
      <c r="A17497" s="1" t="s">
        <v>4532</v>
      </c>
    </row>
    <row r="17498" spans="1:1" x14ac:dyDescent="0.2">
      <c r="A17498" s="1" t="s">
        <v>4533</v>
      </c>
    </row>
    <row r="17499" spans="1:1" x14ac:dyDescent="0.2">
      <c r="A17499" s="1" t="s">
        <v>4534</v>
      </c>
    </row>
    <row r="17500" spans="1:1" x14ac:dyDescent="0.2">
      <c r="A17500" s="1" t="s">
        <v>4535</v>
      </c>
    </row>
    <row r="17501" spans="1:1" x14ac:dyDescent="0.2">
      <c r="A17501" s="1" t="s">
        <v>4535</v>
      </c>
    </row>
    <row r="17502" spans="1:1" x14ac:dyDescent="0.2">
      <c r="A17502" s="1" t="s">
        <v>4535</v>
      </c>
    </row>
    <row r="17503" spans="1:1" x14ac:dyDescent="0.2">
      <c r="A17503" s="1" t="s">
        <v>4535</v>
      </c>
    </row>
    <row r="17504" spans="1:1" x14ac:dyDescent="0.2">
      <c r="A17504" s="1" t="s">
        <v>4536</v>
      </c>
    </row>
    <row r="17505" spans="1:1" x14ac:dyDescent="0.2">
      <c r="A17505" s="1" t="s">
        <v>4527</v>
      </c>
    </row>
    <row r="17506" spans="1:1" x14ac:dyDescent="0.2">
      <c r="A17506" s="1" t="s">
        <v>4527</v>
      </c>
    </row>
    <row r="17507" spans="1:1" x14ac:dyDescent="0.2">
      <c r="A17507" s="1" t="s">
        <v>4527</v>
      </c>
    </row>
    <row r="17508" spans="1:1" x14ac:dyDescent="0.2">
      <c r="A17508" s="1" t="s">
        <v>4528</v>
      </c>
    </row>
    <row r="17509" spans="1:1" x14ac:dyDescent="0.2">
      <c r="A17509" s="1" t="s">
        <v>4529</v>
      </c>
    </row>
    <row r="17510" spans="1:1" x14ac:dyDescent="0.2">
      <c r="A17510" s="1" t="s">
        <v>4530</v>
      </c>
    </row>
    <row r="17511" spans="1:1" x14ac:dyDescent="0.2">
      <c r="A17511" s="1" t="s">
        <v>4531</v>
      </c>
    </row>
    <row r="17512" spans="1:1" x14ac:dyDescent="0.2">
      <c r="A17512" s="1" t="s">
        <v>4532</v>
      </c>
    </row>
    <row r="17513" spans="1:1" x14ac:dyDescent="0.2">
      <c r="A17513" s="1" t="s">
        <v>4533</v>
      </c>
    </row>
    <row r="17514" spans="1:1" x14ac:dyDescent="0.2">
      <c r="A17514" s="1" t="s">
        <v>4534</v>
      </c>
    </row>
    <row r="17515" spans="1:1" x14ac:dyDescent="0.2">
      <c r="A17515" s="1" t="s">
        <v>4535</v>
      </c>
    </row>
    <row r="17516" spans="1:1" x14ac:dyDescent="0.2">
      <c r="A17516" s="1" t="s">
        <v>4535</v>
      </c>
    </row>
    <row r="17517" spans="1:1" x14ac:dyDescent="0.2">
      <c r="A17517" s="1" t="s">
        <v>4535</v>
      </c>
    </row>
    <row r="17518" spans="1:1" x14ac:dyDescent="0.2">
      <c r="A17518" s="1" t="s">
        <v>4535</v>
      </c>
    </row>
    <row r="17519" spans="1:1" x14ac:dyDescent="0.2">
      <c r="A17519" s="1" t="s">
        <v>4536</v>
      </c>
    </row>
    <row r="17520" spans="1:1" x14ac:dyDescent="0.2">
      <c r="A17520" s="1" t="s">
        <v>4527</v>
      </c>
    </row>
    <row r="17521" spans="1:1" x14ac:dyDescent="0.2">
      <c r="A17521" s="1" t="s">
        <v>4537</v>
      </c>
    </row>
    <row r="17522" spans="1:1" x14ac:dyDescent="0.2">
      <c r="A17522" s="1" t="s">
        <v>4538</v>
      </c>
    </row>
    <row r="17523" spans="1:1" x14ac:dyDescent="0.2">
      <c r="A17523" s="1" t="s">
        <v>4539</v>
      </c>
    </row>
    <row r="17524" spans="1:1" x14ac:dyDescent="0.2">
      <c r="A17524" s="1" t="s">
        <v>4540</v>
      </c>
    </row>
    <row r="17525" spans="1:1" x14ac:dyDescent="0.2">
      <c r="A17525" s="1" t="s">
        <v>4541</v>
      </c>
    </row>
    <row r="17526" spans="1:1" x14ac:dyDescent="0.2">
      <c r="A17526" s="1" t="s">
        <v>4542</v>
      </c>
    </row>
    <row r="17527" spans="1:1" x14ac:dyDescent="0.2">
      <c r="A17527" s="1" t="s">
        <v>4543</v>
      </c>
    </row>
    <row r="17528" spans="1:1" x14ac:dyDescent="0.2">
      <c r="A17528" s="1" t="s">
        <v>4541</v>
      </c>
    </row>
    <row r="17529" spans="1:1" x14ac:dyDescent="0.2">
      <c r="A17529" s="1" t="s">
        <v>4544</v>
      </c>
    </row>
    <row r="17530" spans="1:1" x14ac:dyDescent="0.2">
      <c r="A17530" s="1" t="s">
        <v>4543</v>
      </c>
    </row>
    <row r="17531" spans="1:1" x14ac:dyDescent="0.2">
      <c r="A17531" s="1" t="s">
        <v>4545</v>
      </c>
    </row>
    <row r="17532" spans="1:1" x14ac:dyDescent="0.2">
      <c r="A17532" s="1" t="s">
        <v>4546</v>
      </c>
    </row>
    <row r="17533" spans="1:1" x14ac:dyDescent="0.2">
      <c r="A17533" s="1" t="s">
        <v>4547</v>
      </c>
    </row>
    <row r="17534" spans="1:1" x14ac:dyDescent="0.2">
      <c r="A17534" s="1" t="s">
        <v>4548</v>
      </c>
    </row>
    <row r="17535" spans="1:1" x14ac:dyDescent="0.2">
      <c r="A17535" s="1" t="s">
        <v>4549</v>
      </c>
    </row>
    <row r="17536" spans="1:1" x14ac:dyDescent="0.2">
      <c r="A17536" s="1" t="s">
        <v>4550</v>
      </c>
    </row>
    <row r="17537" spans="1:1" x14ac:dyDescent="0.2">
      <c r="A17537" s="1" t="s">
        <v>4551</v>
      </c>
    </row>
    <row r="17538" spans="1:1" x14ac:dyDescent="0.2">
      <c r="A17538" s="1" t="s">
        <v>4552</v>
      </c>
    </row>
    <row r="17539" spans="1:1" x14ac:dyDescent="0.2">
      <c r="A17539" s="1" t="s">
        <v>4553</v>
      </c>
    </row>
    <row r="17540" spans="1:1" x14ac:dyDescent="0.2">
      <c r="A17540" s="1" t="s">
        <v>4554</v>
      </c>
    </row>
    <row r="17541" spans="1:1" x14ac:dyDescent="0.2">
      <c r="A17541" s="1" t="s">
        <v>4555</v>
      </c>
    </row>
    <row r="17542" spans="1:1" x14ac:dyDescent="0.2">
      <c r="A17542" s="1" t="s">
        <v>4556</v>
      </c>
    </row>
    <row r="17543" spans="1:1" x14ac:dyDescent="0.2">
      <c r="A17543" s="1" t="s">
        <v>4558</v>
      </c>
    </row>
    <row r="17544" spans="1:1" x14ac:dyDescent="0.2">
      <c r="A17544" s="1" t="s">
        <v>4559</v>
      </c>
    </row>
    <row r="17545" spans="1:1" x14ac:dyDescent="0.2">
      <c r="A17545" s="1" t="s">
        <v>4560</v>
      </c>
    </row>
    <row r="17546" spans="1:1" x14ac:dyDescent="0.2">
      <c r="A17546" s="1" t="s">
        <v>4561</v>
      </c>
    </row>
    <row r="17547" spans="1:1" x14ac:dyDescent="0.2">
      <c r="A17547" s="1" t="s">
        <v>4562</v>
      </c>
    </row>
    <row r="17548" spans="1:1" x14ac:dyDescent="0.2">
      <c r="A17548" s="1" t="s">
        <v>4563</v>
      </c>
    </row>
    <row r="17549" spans="1:1" x14ac:dyDescent="0.2">
      <c r="A17549" s="1" t="s">
        <v>4564</v>
      </c>
    </row>
    <row r="17550" spans="1:1" x14ac:dyDescent="0.2">
      <c r="A17550" s="1" t="s">
        <v>4565</v>
      </c>
    </row>
    <row r="17551" spans="1:1" x14ac:dyDescent="0.2">
      <c r="A17551" s="1" t="s">
        <v>4566</v>
      </c>
    </row>
    <row r="17552" spans="1:1" x14ac:dyDescent="0.2">
      <c r="A17552" s="1" t="s">
        <v>4567</v>
      </c>
    </row>
    <row r="17553" spans="1:1" x14ac:dyDescent="0.2">
      <c r="A17553" s="1" t="s">
        <v>4568</v>
      </c>
    </row>
    <row r="17554" spans="1:1" x14ac:dyDescent="0.2">
      <c r="A17554" s="1" t="s">
        <v>4569</v>
      </c>
    </row>
    <row r="17555" spans="1:1" x14ac:dyDescent="0.2">
      <c r="A17555" s="1" t="s">
        <v>4570</v>
      </c>
    </row>
    <row r="17556" spans="1:1" x14ac:dyDescent="0.2">
      <c r="A17556" s="1" t="s">
        <v>4571</v>
      </c>
    </row>
    <row r="17557" spans="1:1" x14ac:dyDescent="0.2">
      <c r="A17557" s="1" t="s">
        <v>4572</v>
      </c>
    </row>
    <row r="17558" spans="1:1" x14ac:dyDescent="0.2">
      <c r="A17558" s="1" t="s">
        <v>4573</v>
      </c>
    </row>
    <row r="17559" spans="1:1" x14ac:dyDescent="0.2">
      <c r="A17559" s="1" t="s">
        <v>4574</v>
      </c>
    </row>
    <row r="17560" spans="1:1" x14ac:dyDescent="0.2">
      <c r="A17560" s="1" t="s">
        <v>4575</v>
      </c>
    </row>
    <row r="17561" spans="1:1" x14ac:dyDescent="0.2">
      <c r="A17561" s="1" t="s">
        <v>4576</v>
      </c>
    </row>
    <row r="17562" spans="1:1" x14ac:dyDescent="0.2">
      <c r="A17562" s="1" t="s">
        <v>4577</v>
      </c>
    </row>
    <row r="17563" spans="1:1" x14ac:dyDescent="0.2">
      <c r="A17563" s="1" t="s">
        <v>4578</v>
      </c>
    </row>
    <row r="17564" spans="1:1" x14ac:dyDescent="0.2">
      <c r="A17564" s="1" t="s">
        <v>4579</v>
      </c>
    </row>
    <row r="17565" spans="1:1" x14ac:dyDescent="0.2">
      <c r="A17565" s="1" t="s">
        <v>4580</v>
      </c>
    </row>
    <row r="17566" spans="1:1" x14ac:dyDescent="0.2">
      <c r="A17566" s="1" t="s">
        <v>4579</v>
      </c>
    </row>
    <row r="17567" spans="1:1" x14ac:dyDescent="0.2">
      <c r="A17567" s="1" t="s">
        <v>4581</v>
      </c>
    </row>
    <row r="17568" spans="1:1" x14ac:dyDescent="0.2">
      <c r="A17568" s="1" t="s">
        <v>4579</v>
      </c>
    </row>
    <row r="17569" spans="1:1" x14ac:dyDescent="0.2">
      <c r="A17569" s="1" t="s">
        <v>4582</v>
      </c>
    </row>
    <row r="17570" spans="1:1" x14ac:dyDescent="0.2">
      <c r="A17570" s="1" t="s">
        <v>4583</v>
      </c>
    </row>
    <row r="17571" spans="1:1" x14ac:dyDescent="0.2">
      <c r="A17571" s="1" t="s">
        <v>4584</v>
      </c>
    </row>
    <row r="17572" spans="1:1" x14ac:dyDescent="0.2">
      <c r="A17572" s="1" t="s">
        <v>4585</v>
      </c>
    </row>
    <row r="17573" spans="1:1" x14ac:dyDescent="0.2">
      <c r="A17573" s="1" t="s">
        <v>4585</v>
      </c>
    </row>
    <row r="17574" spans="1:1" x14ac:dyDescent="0.2">
      <c r="A17574" s="1" t="s">
        <v>4586</v>
      </c>
    </row>
    <row r="17575" spans="1:1" x14ac:dyDescent="0.2">
      <c r="A17575" s="1" t="s">
        <v>4587</v>
      </c>
    </row>
    <row r="17576" spans="1:1" x14ac:dyDescent="0.2">
      <c r="A17576" s="1" t="s">
        <v>4588</v>
      </c>
    </row>
    <row r="17577" spans="1:1" x14ac:dyDescent="0.2">
      <c r="A17577" s="1" t="s">
        <v>4589</v>
      </c>
    </row>
    <row r="17578" spans="1:1" x14ac:dyDescent="0.2">
      <c r="A17578" s="1" t="s">
        <v>4590</v>
      </c>
    </row>
    <row r="17579" spans="1:1" x14ac:dyDescent="0.2">
      <c r="A17579" s="1" t="s">
        <v>4591</v>
      </c>
    </row>
    <row r="17580" spans="1:1" x14ac:dyDescent="0.2">
      <c r="A17580" s="1" t="s">
        <v>4592</v>
      </c>
    </row>
    <row r="17581" spans="1:1" x14ac:dyDescent="0.2">
      <c r="A17581" s="1" t="s">
        <v>4593</v>
      </c>
    </row>
    <row r="17582" spans="1:1" x14ac:dyDescent="0.2">
      <c r="A17582" s="1" t="s">
        <v>4593</v>
      </c>
    </row>
    <row r="17583" spans="1:1" x14ac:dyDescent="0.2">
      <c r="A17583" s="1" t="s">
        <v>4593</v>
      </c>
    </row>
    <row r="17584" spans="1:1" x14ac:dyDescent="0.2">
      <c r="A17584" s="1" t="s">
        <v>4593</v>
      </c>
    </row>
    <row r="17585" spans="1:1" x14ac:dyDescent="0.2">
      <c r="A17585" s="1" t="s">
        <v>4594</v>
      </c>
    </row>
    <row r="17586" spans="1:1" x14ac:dyDescent="0.2">
      <c r="A17586" s="1" t="s">
        <v>4585</v>
      </c>
    </row>
    <row r="17587" spans="1:1" x14ac:dyDescent="0.2">
      <c r="A17587" s="1" t="s">
        <v>4585</v>
      </c>
    </row>
    <row r="17588" spans="1:1" x14ac:dyDescent="0.2">
      <c r="A17588" s="1" t="s">
        <v>4585</v>
      </c>
    </row>
    <row r="17589" spans="1:1" x14ac:dyDescent="0.2">
      <c r="A17589" s="1" t="s">
        <v>4586</v>
      </c>
    </row>
    <row r="17590" spans="1:1" x14ac:dyDescent="0.2">
      <c r="A17590" s="1" t="s">
        <v>4587</v>
      </c>
    </row>
    <row r="17591" spans="1:1" x14ac:dyDescent="0.2">
      <c r="A17591" s="1" t="s">
        <v>4588</v>
      </c>
    </row>
    <row r="17592" spans="1:1" x14ac:dyDescent="0.2">
      <c r="A17592" s="1" t="s">
        <v>4589</v>
      </c>
    </row>
    <row r="17593" spans="1:1" x14ac:dyDescent="0.2">
      <c r="A17593" s="1" t="s">
        <v>4590</v>
      </c>
    </row>
    <row r="17594" spans="1:1" x14ac:dyDescent="0.2">
      <c r="A17594" s="1" t="s">
        <v>4591</v>
      </c>
    </row>
    <row r="17595" spans="1:1" x14ac:dyDescent="0.2">
      <c r="A17595" s="1" t="s">
        <v>4592</v>
      </c>
    </row>
    <row r="17596" spans="1:1" x14ac:dyDescent="0.2">
      <c r="A17596" s="1" t="s">
        <v>4593</v>
      </c>
    </row>
    <row r="17597" spans="1:1" x14ac:dyDescent="0.2">
      <c r="A17597" s="1" t="s">
        <v>4593</v>
      </c>
    </row>
    <row r="17598" spans="1:1" x14ac:dyDescent="0.2">
      <c r="A17598" s="1" t="s">
        <v>4593</v>
      </c>
    </row>
    <row r="17599" spans="1:1" x14ac:dyDescent="0.2">
      <c r="A17599" s="1" t="s">
        <v>4593</v>
      </c>
    </row>
    <row r="17600" spans="1:1" x14ac:dyDescent="0.2">
      <c r="A17600" s="1" t="s">
        <v>4594</v>
      </c>
    </row>
    <row r="17601" spans="1:1" x14ac:dyDescent="0.2">
      <c r="A17601" s="1" t="s">
        <v>4585</v>
      </c>
    </row>
    <row r="17602" spans="1:1" x14ac:dyDescent="0.2">
      <c r="A17602" s="1" t="s">
        <v>4585</v>
      </c>
    </row>
    <row r="17603" spans="1:1" x14ac:dyDescent="0.2">
      <c r="A17603" s="1" t="s">
        <v>4585</v>
      </c>
    </row>
    <row r="17604" spans="1:1" x14ac:dyDescent="0.2">
      <c r="A17604" s="1" t="s">
        <v>4586</v>
      </c>
    </row>
    <row r="17605" spans="1:1" x14ac:dyDescent="0.2">
      <c r="A17605" s="1" t="s">
        <v>4587</v>
      </c>
    </row>
    <row r="17606" spans="1:1" x14ac:dyDescent="0.2">
      <c r="A17606" s="1" t="s">
        <v>4588</v>
      </c>
    </row>
    <row r="17607" spans="1:1" x14ac:dyDescent="0.2">
      <c r="A17607" s="1" t="s">
        <v>4589</v>
      </c>
    </row>
    <row r="17608" spans="1:1" x14ac:dyDescent="0.2">
      <c r="A17608" s="1" t="s">
        <v>4590</v>
      </c>
    </row>
    <row r="17609" spans="1:1" x14ac:dyDescent="0.2">
      <c r="A17609" s="1" t="s">
        <v>4591</v>
      </c>
    </row>
    <row r="17610" spans="1:1" x14ac:dyDescent="0.2">
      <c r="A17610" s="1" t="s">
        <v>4592</v>
      </c>
    </row>
    <row r="17611" spans="1:1" x14ac:dyDescent="0.2">
      <c r="A17611" s="1" t="s">
        <v>4593</v>
      </c>
    </row>
    <row r="17612" spans="1:1" x14ac:dyDescent="0.2">
      <c r="A17612" s="1" t="s">
        <v>4593</v>
      </c>
    </row>
    <row r="17613" spans="1:1" x14ac:dyDescent="0.2">
      <c r="A17613" s="1" t="s">
        <v>4593</v>
      </c>
    </row>
    <row r="17614" spans="1:1" x14ac:dyDescent="0.2">
      <c r="A17614" s="1" t="s">
        <v>4593</v>
      </c>
    </row>
    <row r="17615" spans="1:1" x14ac:dyDescent="0.2">
      <c r="A17615" s="1" t="s">
        <v>4594</v>
      </c>
    </row>
    <row r="17616" spans="1:1" x14ac:dyDescent="0.2">
      <c r="A17616" s="1" t="s">
        <v>4585</v>
      </c>
    </row>
    <row r="17617" spans="1:1" x14ac:dyDescent="0.2">
      <c r="A17617" s="1" t="s">
        <v>4585</v>
      </c>
    </row>
    <row r="17618" spans="1:1" x14ac:dyDescent="0.2">
      <c r="A17618" s="1" t="s">
        <v>4585</v>
      </c>
    </row>
    <row r="17619" spans="1:1" x14ac:dyDescent="0.2">
      <c r="A17619" s="1" t="s">
        <v>4586</v>
      </c>
    </row>
    <row r="17620" spans="1:1" x14ac:dyDescent="0.2">
      <c r="A17620" s="1" t="s">
        <v>4587</v>
      </c>
    </row>
    <row r="17621" spans="1:1" x14ac:dyDescent="0.2">
      <c r="A17621" s="1" t="s">
        <v>4588</v>
      </c>
    </row>
    <row r="17622" spans="1:1" x14ac:dyDescent="0.2">
      <c r="A17622" s="1" t="s">
        <v>4589</v>
      </c>
    </row>
    <row r="17623" spans="1:1" x14ac:dyDescent="0.2">
      <c r="A17623" s="1" t="s">
        <v>4590</v>
      </c>
    </row>
    <row r="17624" spans="1:1" x14ac:dyDescent="0.2">
      <c r="A17624" s="1" t="s">
        <v>4591</v>
      </c>
    </row>
    <row r="17625" spans="1:1" x14ac:dyDescent="0.2">
      <c r="A17625" s="1" t="s">
        <v>4592</v>
      </c>
    </row>
    <row r="17626" spans="1:1" x14ac:dyDescent="0.2">
      <c r="A17626" s="1" t="s">
        <v>4593</v>
      </c>
    </row>
    <row r="17627" spans="1:1" x14ac:dyDescent="0.2">
      <c r="A17627" s="1" t="s">
        <v>4593</v>
      </c>
    </row>
    <row r="17628" spans="1:1" x14ac:dyDescent="0.2">
      <c r="A17628" s="1" t="s">
        <v>4593</v>
      </c>
    </row>
    <row r="17629" spans="1:1" x14ac:dyDescent="0.2">
      <c r="A17629" s="1" t="s">
        <v>4593</v>
      </c>
    </row>
    <row r="17630" spans="1:1" x14ac:dyDescent="0.2">
      <c r="A17630" s="1" t="s">
        <v>4594</v>
      </c>
    </row>
    <row r="17631" spans="1:1" x14ac:dyDescent="0.2">
      <c r="A17631" s="1" t="s">
        <v>4585</v>
      </c>
    </row>
    <row r="17632" spans="1:1" x14ac:dyDescent="0.2">
      <c r="A17632" s="1" t="s">
        <v>4585</v>
      </c>
    </row>
    <row r="17633" spans="1:1" x14ac:dyDescent="0.2">
      <c r="A17633" s="1" t="s">
        <v>4585</v>
      </c>
    </row>
    <row r="17634" spans="1:1" x14ac:dyDescent="0.2">
      <c r="A17634" s="1" t="s">
        <v>4586</v>
      </c>
    </row>
    <row r="17635" spans="1:1" x14ac:dyDescent="0.2">
      <c r="A17635" s="1" t="s">
        <v>4587</v>
      </c>
    </row>
    <row r="17636" spans="1:1" x14ac:dyDescent="0.2">
      <c r="A17636" s="1" t="s">
        <v>4588</v>
      </c>
    </row>
    <row r="17637" spans="1:1" x14ac:dyDescent="0.2">
      <c r="A17637" s="1" t="s">
        <v>4589</v>
      </c>
    </row>
    <row r="17638" spans="1:1" x14ac:dyDescent="0.2">
      <c r="A17638" s="1" t="s">
        <v>4590</v>
      </c>
    </row>
    <row r="17639" spans="1:1" x14ac:dyDescent="0.2">
      <c r="A17639" s="1" t="s">
        <v>4591</v>
      </c>
    </row>
    <row r="17640" spans="1:1" x14ac:dyDescent="0.2">
      <c r="A17640" s="1" t="s">
        <v>4592</v>
      </c>
    </row>
    <row r="17641" spans="1:1" x14ac:dyDescent="0.2">
      <c r="A17641" s="1" t="s">
        <v>4593</v>
      </c>
    </row>
    <row r="17642" spans="1:1" x14ac:dyDescent="0.2">
      <c r="A17642" s="1" t="s">
        <v>4593</v>
      </c>
    </row>
    <row r="17643" spans="1:1" x14ac:dyDescent="0.2">
      <c r="A17643" s="1" t="s">
        <v>4593</v>
      </c>
    </row>
    <row r="17644" spans="1:1" x14ac:dyDescent="0.2">
      <c r="A17644" s="1" t="s">
        <v>4593</v>
      </c>
    </row>
    <row r="17645" spans="1:1" x14ac:dyDescent="0.2">
      <c r="A17645" s="1" t="s">
        <v>4594</v>
      </c>
    </row>
    <row r="17646" spans="1:1" x14ac:dyDescent="0.2">
      <c r="A17646" s="1" t="s">
        <v>4585</v>
      </c>
    </row>
    <row r="17647" spans="1:1" x14ac:dyDescent="0.2">
      <c r="A17647" s="1" t="s">
        <v>4595</v>
      </c>
    </row>
    <row r="17648" spans="1:1" x14ac:dyDescent="0.2">
      <c r="A17648" s="1" t="s">
        <v>4595</v>
      </c>
    </row>
    <row r="17649" spans="1:1" x14ac:dyDescent="0.2">
      <c r="A17649" s="1" t="s">
        <v>4596</v>
      </c>
    </row>
    <row r="17650" spans="1:1" x14ac:dyDescent="0.2">
      <c r="A17650" s="1" t="s">
        <v>4597</v>
      </c>
    </row>
    <row r="17651" spans="1:1" x14ac:dyDescent="0.2">
      <c r="A17651" s="1" t="s">
        <v>4598</v>
      </c>
    </row>
    <row r="17652" spans="1:1" x14ac:dyDescent="0.2">
      <c r="A17652" s="1" t="s">
        <v>4599</v>
      </c>
    </row>
    <row r="17653" spans="1:1" x14ac:dyDescent="0.2">
      <c r="A17653" s="1" t="s">
        <v>4600</v>
      </c>
    </row>
    <row r="17654" spans="1:1" x14ac:dyDescent="0.2">
      <c r="A17654" s="1" t="s">
        <v>4601</v>
      </c>
    </row>
    <row r="17655" spans="1:1" x14ac:dyDescent="0.2">
      <c r="A17655" s="1" t="s">
        <v>4602</v>
      </c>
    </row>
    <row r="17656" spans="1:1" x14ac:dyDescent="0.2">
      <c r="A17656" s="1" t="s">
        <v>4603</v>
      </c>
    </row>
    <row r="17657" spans="1:1" x14ac:dyDescent="0.2">
      <c r="A17657" s="1" t="s">
        <v>4603</v>
      </c>
    </row>
    <row r="17658" spans="1:1" x14ac:dyDescent="0.2">
      <c r="A17658" s="1" t="s">
        <v>4603</v>
      </c>
    </row>
    <row r="17659" spans="1:1" x14ac:dyDescent="0.2">
      <c r="A17659" s="1" t="s">
        <v>4603</v>
      </c>
    </row>
    <row r="17660" spans="1:1" x14ac:dyDescent="0.2">
      <c r="A17660" s="1" t="s">
        <v>4604</v>
      </c>
    </row>
    <row r="17661" spans="1:1" x14ac:dyDescent="0.2">
      <c r="A17661" s="1" t="s">
        <v>4595</v>
      </c>
    </row>
    <row r="17662" spans="1:1" x14ac:dyDescent="0.2">
      <c r="A17662" s="1" t="s">
        <v>4595</v>
      </c>
    </row>
    <row r="17663" spans="1:1" x14ac:dyDescent="0.2">
      <c r="A17663" s="1" t="s">
        <v>4595</v>
      </c>
    </row>
    <row r="17664" spans="1:1" x14ac:dyDescent="0.2">
      <c r="A17664" s="1" t="s">
        <v>4596</v>
      </c>
    </row>
    <row r="17665" spans="1:1" x14ac:dyDescent="0.2">
      <c r="A17665" s="1" t="s">
        <v>4597</v>
      </c>
    </row>
    <row r="17666" spans="1:1" x14ac:dyDescent="0.2">
      <c r="A17666" s="1" t="s">
        <v>4598</v>
      </c>
    </row>
    <row r="17667" spans="1:1" x14ac:dyDescent="0.2">
      <c r="A17667" s="1" t="s">
        <v>4599</v>
      </c>
    </row>
    <row r="17668" spans="1:1" x14ac:dyDescent="0.2">
      <c r="A17668" s="1" t="s">
        <v>4600</v>
      </c>
    </row>
    <row r="17669" spans="1:1" x14ac:dyDescent="0.2">
      <c r="A17669" s="1" t="s">
        <v>4601</v>
      </c>
    </row>
    <row r="17670" spans="1:1" x14ac:dyDescent="0.2">
      <c r="A17670" s="1" t="s">
        <v>4602</v>
      </c>
    </row>
    <row r="17671" spans="1:1" x14ac:dyDescent="0.2">
      <c r="A17671" s="1" t="s">
        <v>4603</v>
      </c>
    </row>
    <row r="17672" spans="1:1" x14ac:dyDescent="0.2">
      <c r="A17672" s="1" t="s">
        <v>4603</v>
      </c>
    </row>
    <row r="17673" spans="1:1" x14ac:dyDescent="0.2">
      <c r="A17673" s="1" t="s">
        <v>4603</v>
      </c>
    </row>
    <row r="17674" spans="1:1" x14ac:dyDescent="0.2">
      <c r="A17674" s="1" t="s">
        <v>4603</v>
      </c>
    </row>
    <row r="17675" spans="1:1" x14ac:dyDescent="0.2">
      <c r="A17675" s="1" t="s">
        <v>4604</v>
      </c>
    </row>
    <row r="17676" spans="1:1" x14ac:dyDescent="0.2">
      <c r="A17676" s="1" t="s">
        <v>4595</v>
      </c>
    </row>
    <row r="17677" spans="1:1" x14ac:dyDescent="0.2">
      <c r="A17677" s="1" t="s">
        <v>4595</v>
      </c>
    </row>
    <row r="17678" spans="1:1" x14ac:dyDescent="0.2">
      <c r="A17678" s="1" t="s">
        <v>4595</v>
      </c>
    </row>
    <row r="17679" spans="1:1" x14ac:dyDescent="0.2">
      <c r="A17679" s="1" t="s">
        <v>4596</v>
      </c>
    </row>
    <row r="17680" spans="1:1" x14ac:dyDescent="0.2">
      <c r="A17680" s="1" t="s">
        <v>4597</v>
      </c>
    </row>
    <row r="17681" spans="1:1" x14ac:dyDescent="0.2">
      <c r="A17681" s="1" t="s">
        <v>4598</v>
      </c>
    </row>
    <row r="17682" spans="1:1" x14ac:dyDescent="0.2">
      <c r="A17682" s="1" t="s">
        <v>4599</v>
      </c>
    </row>
    <row r="17683" spans="1:1" x14ac:dyDescent="0.2">
      <c r="A17683" s="1" t="s">
        <v>4600</v>
      </c>
    </row>
    <row r="17684" spans="1:1" x14ac:dyDescent="0.2">
      <c r="A17684" s="1" t="s">
        <v>4601</v>
      </c>
    </row>
    <row r="17685" spans="1:1" x14ac:dyDescent="0.2">
      <c r="A17685" s="1" t="s">
        <v>4602</v>
      </c>
    </row>
    <row r="17686" spans="1:1" x14ac:dyDescent="0.2">
      <c r="A17686" s="1" t="s">
        <v>4603</v>
      </c>
    </row>
    <row r="17687" spans="1:1" x14ac:dyDescent="0.2">
      <c r="A17687" s="1" t="s">
        <v>4603</v>
      </c>
    </row>
    <row r="17688" spans="1:1" x14ac:dyDescent="0.2">
      <c r="A17688" s="1" t="s">
        <v>4603</v>
      </c>
    </row>
    <row r="17689" spans="1:1" x14ac:dyDescent="0.2">
      <c r="A17689" s="1" t="s">
        <v>4603</v>
      </c>
    </row>
    <row r="17690" spans="1:1" x14ac:dyDescent="0.2">
      <c r="A17690" s="1" t="s">
        <v>4604</v>
      </c>
    </row>
    <row r="17691" spans="1:1" x14ac:dyDescent="0.2">
      <c r="A17691" s="1" t="s">
        <v>4595</v>
      </c>
    </row>
    <row r="17692" spans="1:1" x14ac:dyDescent="0.2">
      <c r="A17692" s="1" t="s">
        <v>4595</v>
      </c>
    </row>
    <row r="17693" spans="1:1" x14ac:dyDescent="0.2">
      <c r="A17693" s="1" t="s">
        <v>4595</v>
      </c>
    </row>
    <row r="17694" spans="1:1" x14ac:dyDescent="0.2">
      <c r="A17694" s="1" t="s">
        <v>4596</v>
      </c>
    </row>
    <row r="17695" spans="1:1" x14ac:dyDescent="0.2">
      <c r="A17695" s="1" t="s">
        <v>4597</v>
      </c>
    </row>
    <row r="17696" spans="1:1" x14ac:dyDescent="0.2">
      <c r="A17696" s="1" t="s">
        <v>4598</v>
      </c>
    </row>
    <row r="17697" spans="1:1" x14ac:dyDescent="0.2">
      <c r="A17697" s="1" t="s">
        <v>4599</v>
      </c>
    </row>
    <row r="17698" spans="1:1" x14ac:dyDescent="0.2">
      <c r="A17698" s="1" t="s">
        <v>4600</v>
      </c>
    </row>
    <row r="17699" spans="1:1" x14ac:dyDescent="0.2">
      <c r="A17699" s="1" t="s">
        <v>4601</v>
      </c>
    </row>
    <row r="17700" spans="1:1" x14ac:dyDescent="0.2">
      <c r="A17700" s="1" t="s">
        <v>4602</v>
      </c>
    </row>
    <row r="17701" spans="1:1" x14ac:dyDescent="0.2">
      <c r="A17701" s="1" t="s">
        <v>4603</v>
      </c>
    </row>
    <row r="17702" spans="1:1" x14ac:dyDescent="0.2">
      <c r="A17702" s="1" t="s">
        <v>4603</v>
      </c>
    </row>
    <row r="17703" spans="1:1" x14ac:dyDescent="0.2">
      <c r="A17703" s="1" t="s">
        <v>4603</v>
      </c>
    </row>
    <row r="17704" spans="1:1" x14ac:dyDescent="0.2">
      <c r="A17704" s="1" t="s">
        <v>4603</v>
      </c>
    </row>
    <row r="17705" spans="1:1" x14ac:dyDescent="0.2">
      <c r="A17705" s="1" t="s">
        <v>4604</v>
      </c>
    </row>
    <row r="17706" spans="1:1" x14ac:dyDescent="0.2">
      <c r="A17706" s="1" t="s">
        <v>4595</v>
      </c>
    </row>
    <row r="17707" spans="1:1" x14ac:dyDescent="0.2">
      <c r="A17707" s="1" t="s">
        <v>4595</v>
      </c>
    </row>
    <row r="17708" spans="1:1" x14ac:dyDescent="0.2">
      <c r="A17708" s="1" t="s">
        <v>4595</v>
      </c>
    </row>
    <row r="17709" spans="1:1" x14ac:dyDescent="0.2">
      <c r="A17709" s="1" t="s">
        <v>4596</v>
      </c>
    </row>
    <row r="17710" spans="1:1" x14ac:dyDescent="0.2">
      <c r="A17710" s="1" t="s">
        <v>4597</v>
      </c>
    </row>
    <row r="17711" spans="1:1" x14ac:dyDescent="0.2">
      <c r="A17711" s="1" t="s">
        <v>4598</v>
      </c>
    </row>
    <row r="17712" spans="1:1" x14ac:dyDescent="0.2">
      <c r="A17712" s="1" t="s">
        <v>4599</v>
      </c>
    </row>
    <row r="17713" spans="1:1" x14ac:dyDescent="0.2">
      <c r="A17713" s="1" t="s">
        <v>4600</v>
      </c>
    </row>
    <row r="17714" spans="1:1" x14ac:dyDescent="0.2">
      <c r="A17714" s="1" t="s">
        <v>4601</v>
      </c>
    </row>
    <row r="17715" spans="1:1" x14ac:dyDescent="0.2">
      <c r="A17715" s="1" t="s">
        <v>4602</v>
      </c>
    </row>
    <row r="17716" spans="1:1" x14ac:dyDescent="0.2">
      <c r="A17716" s="1" t="s">
        <v>4603</v>
      </c>
    </row>
    <row r="17717" spans="1:1" x14ac:dyDescent="0.2">
      <c r="A17717" s="1" t="s">
        <v>4603</v>
      </c>
    </row>
    <row r="17718" spans="1:1" x14ac:dyDescent="0.2">
      <c r="A17718" s="1" t="s">
        <v>4603</v>
      </c>
    </row>
    <row r="17719" spans="1:1" x14ac:dyDescent="0.2">
      <c r="A17719" s="1" t="s">
        <v>4603</v>
      </c>
    </row>
    <row r="17720" spans="1:1" x14ac:dyDescent="0.2">
      <c r="A17720" s="1" t="s">
        <v>4604</v>
      </c>
    </row>
    <row r="17721" spans="1:1" x14ac:dyDescent="0.2">
      <c r="A17721" s="1" t="s">
        <v>4595</v>
      </c>
    </row>
    <row r="17722" spans="1:1" x14ac:dyDescent="0.2">
      <c r="A17722" s="1" t="s">
        <v>4606</v>
      </c>
    </row>
    <row r="17723" spans="1:1" x14ac:dyDescent="0.2">
      <c r="A17723" s="1" t="s">
        <v>4606</v>
      </c>
    </row>
    <row r="17724" spans="1:1" x14ac:dyDescent="0.2">
      <c r="A17724" s="1" t="s">
        <v>4607</v>
      </c>
    </row>
    <row r="17725" spans="1:1" x14ac:dyDescent="0.2">
      <c r="A17725" s="1" t="s">
        <v>4608</v>
      </c>
    </row>
    <row r="17726" spans="1:1" x14ac:dyDescent="0.2">
      <c r="A17726" s="1" t="s">
        <v>4609</v>
      </c>
    </row>
    <row r="17727" spans="1:1" x14ac:dyDescent="0.2">
      <c r="A17727" s="1" t="s">
        <v>4610</v>
      </c>
    </row>
    <row r="17728" spans="1:1" x14ac:dyDescent="0.2">
      <c r="A17728" s="1" t="s">
        <v>4611</v>
      </c>
    </row>
    <row r="17729" spans="1:1" x14ac:dyDescent="0.2">
      <c r="A17729" s="1" t="s">
        <v>4612</v>
      </c>
    </row>
    <row r="17730" spans="1:1" x14ac:dyDescent="0.2">
      <c r="A17730" s="1" t="s">
        <v>4613</v>
      </c>
    </row>
    <row r="17731" spans="1:1" x14ac:dyDescent="0.2">
      <c r="A17731" s="1" t="s">
        <v>4614</v>
      </c>
    </row>
    <row r="17732" spans="1:1" x14ac:dyDescent="0.2">
      <c r="A17732" s="1" t="s">
        <v>4614</v>
      </c>
    </row>
    <row r="17733" spans="1:1" x14ac:dyDescent="0.2">
      <c r="A17733" s="1" t="s">
        <v>4614</v>
      </c>
    </row>
    <row r="17734" spans="1:1" x14ac:dyDescent="0.2">
      <c r="A17734" s="1" t="s">
        <v>4614</v>
      </c>
    </row>
    <row r="17735" spans="1:1" x14ac:dyDescent="0.2">
      <c r="A17735" s="1" t="s">
        <v>4615</v>
      </c>
    </row>
    <row r="17736" spans="1:1" x14ac:dyDescent="0.2">
      <c r="A17736" s="1" t="s">
        <v>4606</v>
      </c>
    </row>
    <row r="17737" spans="1:1" x14ac:dyDescent="0.2">
      <c r="A17737" s="1" t="s">
        <v>4606</v>
      </c>
    </row>
    <row r="17738" spans="1:1" x14ac:dyDescent="0.2">
      <c r="A17738" s="1" t="s">
        <v>4606</v>
      </c>
    </row>
    <row r="17739" spans="1:1" x14ac:dyDescent="0.2">
      <c r="A17739" s="1" t="s">
        <v>4607</v>
      </c>
    </row>
    <row r="17740" spans="1:1" x14ac:dyDescent="0.2">
      <c r="A17740" s="1" t="s">
        <v>4608</v>
      </c>
    </row>
    <row r="17741" spans="1:1" x14ac:dyDescent="0.2">
      <c r="A17741" s="1" t="s">
        <v>4609</v>
      </c>
    </row>
    <row r="17742" spans="1:1" x14ac:dyDescent="0.2">
      <c r="A17742" s="1" t="s">
        <v>4610</v>
      </c>
    </row>
    <row r="17743" spans="1:1" x14ac:dyDescent="0.2">
      <c r="A17743" s="1" t="s">
        <v>4611</v>
      </c>
    </row>
    <row r="17744" spans="1:1" x14ac:dyDescent="0.2">
      <c r="A17744" s="1" t="s">
        <v>4612</v>
      </c>
    </row>
    <row r="17745" spans="1:1" x14ac:dyDescent="0.2">
      <c r="A17745" s="1" t="s">
        <v>4613</v>
      </c>
    </row>
    <row r="17746" spans="1:1" x14ac:dyDescent="0.2">
      <c r="A17746" s="1" t="s">
        <v>4614</v>
      </c>
    </row>
    <row r="17747" spans="1:1" x14ac:dyDescent="0.2">
      <c r="A17747" s="1" t="s">
        <v>4614</v>
      </c>
    </row>
    <row r="17748" spans="1:1" x14ac:dyDescent="0.2">
      <c r="A17748" s="1" t="s">
        <v>4614</v>
      </c>
    </row>
    <row r="17749" spans="1:1" x14ac:dyDescent="0.2">
      <c r="A17749" s="1" t="s">
        <v>4614</v>
      </c>
    </row>
    <row r="17750" spans="1:1" x14ac:dyDescent="0.2">
      <c r="A17750" s="1" t="s">
        <v>4615</v>
      </c>
    </row>
    <row r="17751" spans="1:1" x14ac:dyDescent="0.2">
      <c r="A17751" s="1" t="s">
        <v>4606</v>
      </c>
    </row>
    <row r="17752" spans="1:1" x14ac:dyDescent="0.2">
      <c r="A17752" s="1" t="s">
        <v>4606</v>
      </c>
    </row>
    <row r="17753" spans="1:1" x14ac:dyDescent="0.2">
      <c r="A17753" s="1" t="s">
        <v>4606</v>
      </c>
    </row>
    <row r="17754" spans="1:1" x14ac:dyDescent="0.2">
      <c r="A17754" s="1" t="s">
        <v>4607</v>
      </c>
    </row>
    <row r="17755" spans="1:1" x14ac:dyDescent="0.2">
      <c r="A17755" s="1" t="s">
        <v>4608</v>
      </c>
    </row>
    <row r="17756" spans="1:1" x14ac:dyDescent="0.2">
      <c r="A17756" s="1" t="s">
        <v>4609</v>
      </c>
    </row>
    <row r="17757" spans="1:1" x14ac:dyDescent="0.2">
      <c r="A17757" s="1" t="s">
        <v>4610</v>
      </c>
    </row>
    <row r="17758" spans="1:1" x14ac:dyDescent="0.2">
      <c r="A17758" s="1" t="s">
        <v>4611</v>
      </c>
    </row>
    <row r="17759" spans="1:1" x14ac:dyDescent="0.2">
      <c r="A17759" s="1" t="s">
        <v>4612</v>
      </c>
    </row>
    <row r="17760" spans="1:1" x14ac:dyDescent="0.2">
      <c r="A17760" s="1" t="s">
        <v>4613</v>
      </c>
    </row>
    <row r="17761" spans="1:1" x14ac:dyDescent="0.2">
      <c r="A17761" s="1" t="s">
        <v>4614</v>
      </c>
    </row>
    <row r="17762" spans="1:1" x14ac:dyDescent="0.2">
      <c r="A17762" s="1" t="s">
        <v>4614</v>
      </c>
    </row>
    <row r="17763" spans="1:1" x14ac:dyDescent="0.2">
      <c r="A17763" s="1" t="s">
        <v>4614</v>
      </c>
    </row>
    <row r="17764" spans="1:1" x14ac:dyDescent="0.2">
      <c r="A17764" s="1" t="s">
        <v>4614</v>
      </c>
    </row>
    <row r="17765" spans="1:1" x14ac:dyDescent="0.2">
      <c r="A17765" s="1" t="s">
        <v>4615</v>
      </c>
    </row>
    <row r="17766" spans="1:1" x14ac:dyDescent="0.2">
      <c r="A17766" s="1" t="s">
        <v>4606</v>
      </c>
    </row>
    <row r="17767" spans="1:1" x14ac:dyDescent="0.2">
      <c r="A17767" s="1" t="s">
        <v>4606</v>
      </c>
    </row>
    <row r="17768" spans="1:1" x14ac:dyDescent="0.2">
      <c r="A17768" s="1" t="s">
        <v>4606</v>
      </c>
    </row>
    <row r="17769" spans="1:1" x14ac:dyDescent="0.2">
      <c r="A17769" s="1" t="s">
        <v>4607</v>
      </c>
    </row>
    <row r="17770" spans="1:1" x14ac:dyDescent="0.2">
      <c r="A17770" s="1" t="s">
        <v>4608</v>
      </c>
    </row>
    <row r="17771" spans="1:1" x14ac:dyDescent="0.2">
      <c r="A17771" s="1" t="s">
        <v>4609</v>
      </c>
    </row>
    <row r="17772" spans="1:1" x14ac:dyDescent="0.2">
      <c r="A17772" s="1" t="s">
        <v>4610</v>
      </c>
    </row>
    <row r="17773" spans="1:1" x14ac:dyDescent="0.2">
      <c r="A17773" s="1" t="s">
        <v>4611</v>
      </c>
    </row>
    <row r="17774" spans="1:1" x14ac:dyDescent="0.2">
      <c r="A17774" s="1" t="s">
        <v>4612</v>
      </c>
    </row>
    <row r="17775" spans="1:1" x14ac:dyDescent="0.2">
      <c r="A17775" s="1" t="s">
        <v>4613</v>
      </c>
    </row>
    <row r="17776" spans="1:1" x14ac:dyDescent="0.2">
      <c r="A17776" s="1" t="s">
        <v>4614</v>
      </c>
    </row>
    <row r="17777" spans="1:1" x14ac:dyDescent="0.2">
      <c r="A17777" s="1" t="s">
        <v>4614</v>
      </c>
    </row>
    <row r="17778" spans="1:1" x14ac:dyDescent="0.2">
      <c r="A17778" s="1" t="s">
        <v>4614</v>
      </c>
    </row>
    <row r="17779" spans="1:1" x14ac:dyDescent="0.2">
      <c r="A17779" s="1" t="s">
        <v>4614</v>
      </c>
    </row>
    <row r="17780" spans="1:1" x14ac:dyDescent="0.2">
      <c r="A17780" s="1" t="s">
        <v>4615</v>
      </c>
    </row>
    <row r="17781" spans="1:1" x14ac:dyDescent="0.2">
      <c r="A17781" s="1" t="s">
        <v>4606</v>
      </c>
    </row>
    <row r="17782" spans="1:1" x14ac:dyDescent="0.2">
      <c r="A17782" s="1" t="s">
        <v>4606</v>
      </c>
    </row>
    <row r="17783" spans="1:1" x14ac:dyDescent="0.2">
      <c r="A17783" s="1" t="s">
        <v>4606</v>
      </c>
    </row>
    <row r="17784" spans="1:1" x14ac:dyDescent="0.2">
      <c r="A17784" s="1" t="s">
        <v>4607</v>
      </c>
    </row>
    <row r="17785" spans="1:1" x14ac:dyDescent="0.2">
      <c r="A17785" s="1" t="s">
        <v>4608</v>
      </c>
    </row>
    <row r="17786" spans="1:1" x14ac:dyDescent="0.2">
      <c r="A17786" s="1" t="s">
        <v>4609</v>
      </c>
    </row>
    <row r="17787" spans="1:1" x14ac:dyDescent="0.2">
      <c r="A17787" s="1" t="s">
        <v>4610</v>
      </c>
    </row>
    <row r="17788" spans="1:1" x14ac:dyDescent="0.2">
      <c r="A17788" s="1" t="s">
        <v>4611</v>
      </c>
    </row>
    <row r="17789" spans="1:1" x14ac:dyDescent="0.2">
      <c r="A17789" s="1" t="s">
        <v>4612</v>
      </c>
    </row>
    <row r="17790" spans="1:1" x14ac:dyDescent="0.2">
      <c r="A17790" s="1" t="s">
        <v>4613</v>
      </c>
    </row>
    <row r="17791" spans="1:1" x14ac:dyDescent="0.2">
      <c r="A17791" s="1" t="s">
        <v>4614</v>
      </c>
    </row>
    <row r="17792" spans="1:1" x14ac:dyDescent="0.2">
      <c r="A17792" s="1" t="s">
        <v>4614</v>
      </c>
    </row>
    <row r="17793" spans="1:1" x14ac:dyDescent="0.2">
      <c r="A17793" s="1" t="s">
        <v>4616</v>
      </c>
    </row>
    <row r="17794" spans="1:1" x14ac:dyDescent="0.2">
      <c r="A17794" s="1" t="s">
        <v>4616</v>
      </c>
    </row>
    <row r="17795" spans="1:1" x14ac:dyDescent="0.2">
      <c r="A17795" s="1" t="s">
        <v>4617</v>
      </c>
    </row>
    <row r="17796" spans="1:1" x14ac:dyDescent="0.2">
      <c r="A17796" s="1" t="s">
        <v>4618</v>
      </c>
    </row>
    <row r="17797" spans="1:1" x14ac:dyDescent="0.2">
      <c r="A17797" s="1" t="s">
        <v>4619</v>
      </c>
    </row>
    <row r="17798" spans="1:1" x14ac:dyDescent="0.2">
      <c r="A17798" s="1" t="s">
        <v>4620</v>
      </c>
    </row>
    <row r="17799" spans="1:1" x14ac:dyDescent="0.2">
      <c r="A17799" s="1" t="s">
        <v>4621</v>
      </c>
    </row>
    <row r="17800" spans="1:1" x14ac:dyDescent="0.2">
      <c r="A17800" s="1" t="s">
        <v>4622</v>
      </c>
    </row>
    <row r="17801" spans="1:1" x14ac:dyDescent="0.2">
      <c r="A17801" s="1" t="s">
        <v>4623</v>
      </c>
    </row>
    <row r="17802" spans="1:1" x14ac:dyDescent="0.2">
      <c r="A17802" s="1" t="s">
        <v>4624</v>
      </c>
    </row>
    <row r="17803" spans="1:1" x14ac:dyDescent="0.2">
      <c r="A17803" s="1" t="s">
        <v>4625</v>
      </c>
    </row>
    <row r="17804" spans="1:1" x14ac:dyDescent="0.2">
      <c r="A17804" s="1" t="s">
        <v>4626</v>
      </c>
    </row>
    <row r="17805" spans="1:1" x14ac:dyDescent="0.2">
      <c r="A17805" s="1" t="s">
        <v>4627</v>
      </c>
    </row>
    <row r="17806" spans="1:1" x14ac:dyDescent="0.2">
      <c r="A17806" s="1" t="s">
        <v>4628</v>
      </c>
    </row>
    <row r="17807" spans="1:1" x14ac:dyDescent="0.2">
      <c r="A17807" s="1" t="s">
        <v>4629</v>
      </c>
    </row>
    <row r="17808" spans="1:1" x14ac:dyDescent="0.2">
      <c r="A17808" s="1" t="s">
        <v>4630</v>
      </c>
    </row>
    <row r="17809" spans="1:1" x14ac:dyDescent="0.2">
      <c r="A17809" s="1" t="s">
        <v>4631</v>
      </c>
    </row>
    <row r="17810" spans="1:1" x14ac:dyDescent="0.2">
      <c r="A17810" s="1" t="s">
        <v>4632</v>
      </c>
    </row>
    <row r="17811" spans="1:1" x14ac:dyDescent="0.2">
      <c r="A17811" s="1" t="s">
        <v>4633</v>
      </c>
    </row>
    <row r="17812" spans="1:1" x14ac:dyDescent="0.2">
      <c r="A17812" s="1" t="s">
        <v>4634</v>
      </c>
    </row>
    <row r="17813" spans="1:1" x14ac:dyDescent="0.2">
      <c r="A17813" s="1" t="s">
        <v>4635</v>
      </c>
    </row>
    <row r="17814" spans="1:1" x14ac:dyDescent="0.2">
      <c r="A17814" s="1" t="s">
        <v>4636</v>
      </c>
    </row>
    <row r="17815" spans="1:1" x14ac:dyDescent="0.2">
      <c r="A17815" s="1" t="s">
        <v>4637</v>
      </c>
    </row>
    <row r="17816" spans="1:1" x14ac:dyDescent="0.2">
      <c r="A17816" s="1" t="s">
        <v>4638</v>
      </c>
    </row>
    <row r="17817" spans="1:1" x14ac:dyDescent="0.2">
      <c r="A17817" s="1" t="s">
        <v>4639</v>
      </c>
    </row>
    <row r="17818" spans="1:1" x14ac:dyDescent="0.2">
      <c r="A17818" s="1" t="s">
        <v>4640</v>
      </c>
    </row>
    <row r="17819" spans="1:1" x14ac:dyDescent="0.2">
      <c r="A17819" s="1" t="s">
        <v>4641</v>
      </c>
    </row>
    <row r="17820" spans="1:1" x14ac:dyDescent="0.2">
      <c r="A17820" s="1" t="s">
        <v>4642</v>
      </c>
    </row>
    <row r="17821" spans="1:1" x14ac:dyDescent="0.2">
      <c r="A17821" s="1" t="s">
        <v>4643</v>
      </c>
    </row>
    <row r="17822" spans="1:1" x14ac:dyDescent="0.2">
      <c r="A17822" s="1" t="s">
        <v>4644</v>
      </c>
    </row>
    <row r="17823" spans="1:1" x14ac:dyDescent="0.2">
      <c r="A17823" s="1" t="s">
        <v>4645</v>
      </c>
    </row>
    <row r="17824" spans="1:1" x14ac:dyDescent="0.2">
      <c r="A17824" s="1" t="s">
        <v>4646</v>
      </c>
    </row>
    <row r="17825" spans="1:1" x14ac:dyDescent="0.2">
      <c r="A17825" s="1" t="s">
        <v>4647</v>
      </c>
    </row>
    <row r="17826" spans="1:1" x14ac:dyDescent="0.2">
      <c r="A17826" s="1" t="s">
        <v>4648</v>
      </c>
    </row>
    <row r="17827" spans="1:1" x14ac:dyDescent="0.2">
      <c r="A17827" s="1" t="s">
        <v>4649</v>
      </c>
    </row>
    <row r="17828" spans="1:1" x14ac:dyDescent="0.2">
      <c r="A17828" s="1" t="s">
        <v>4650</v>
      </c>
    </row>
    <row r="17829" spans="1:1" x14ac:dyDescent="0.2">
      <c r="A17829" s="1" t="s">
        <v>4651</v>
      </c>
    </row>
    <row r="17830" spans="1:1" x14ac:dyDescent="0.2">
      <c r="A17830" s="1" t="s">
        <v>4652</v>
      </c>
    </row>
    <row r="17831" spans="1:1" x14ac:dyDescent="0.2">
      <c r="A17831" s="1" t="s">
        <v>4653</v>
      </c>
    </row>
    <row r="17832" spans="1:1" x14ac:dyDescent="0.2">
      <c r="A17832" s="1" t="s">
        <v>4643</v>
      </c>
    </row>
    <row r="17833" spans="1:1" x14ac:dyDescent="0.2">
      <c r="A17833" s="1" t="s">
        <v>4654</v>
      </c>
    </row>
    <row r="17834" spans="1:1" x14ac:dyDescent="0.2">
      <c r="A17834" s="1" t="s">
        <v>4655</v>
      </c>
    </row>
    <row r="17835" spans="1:1" x14ac:dyDescent="0.2">
      <c r="A17835" s="1" t="s">
        <v>4656</v>
      </c>
    </row>
    <row r="17836" spans="1:1" x14ac:dyDescent="0.2">
      <c r="A17836" s="1" t="s">
        <v>4657</v>
      </c>
    </row>
    <row r="17837" spans="1:1" x14ac:dyDescent="0.2">
      <c r="A17837" s="1" t="s">
        <v>4658</v>
      </c>
    </row>
    <row r="17838" spans="1:1" x14ac:dyDescent="0.2">
      <c r="A17838" s="1" t="s">
        <v>4659</v>
      </c>
    </row>
    <row r="17839" spans="1:1" x14ac:dyDescent="0.2">
      <c r="A17839" s="1" t="s">
        <v>4660</v>
      </c>
    </row>
    <row r="17840" spans="1:1" x14ac:dyDescent="0.2">
      <c r="A17840" s="1" t="s">
        <v>4661</v>
      </c>
    </row>
    <row r="17841" spans="1:1" x14ac:dyDescent="0.2">
      <c r="A17841" s="1" t="s">
        <v>4662</v>
      </c>
    </row>
    <row r="17842" spans="1:1" x14ac:dyDescent="0.2">
      <c r="A17842" s="1" t="s">
        <v>4663</v>
      </c>
    </row>
    <row r="17843" spans="1:1" x14ac:dyDescent="0.2">
      <c r="A17843" s="1" t="s">
        <v>4664</v>
      </c>
    </row>
    <row r="17844" spans="1:1" x14ac:dyDescent="0.2">
      <c r="A17844" s="1" t="s">
        <v>4665</v>
      </c>
    </row>
    <row r="17845" spans="1:1" x14ac:dyDescent="0.2">
      <c r="A17845" s="1" t="s">
        <v>4666</v>
      </c>
    </row>
    <row r="17846" spans="1:1" x14ac:dyDescent="0.2">
      <c r="A17846" s="1" t="s">
        <v>4667</v>
      </c>
    </row>
    <row r="17847" spans="1:1" x14ac:dyDescent="0.2">
      <c r="A17847" s="1" t="s">
        <v>4668</v>
      </c>
    </row>
    <row r="17848" spans="1:1" x14ac:dyDescent="0.2">
      <c r="A17848" s="1" t="s">
        <v>4669</v>
      </c>
    </row>
    <row r="17849" spans="1:1" x14ac:dyDescent="0.2">
      <c r="A17849" s="1" t="s">
        <v>4670</v>
      </c>
    </row>
    <row r="17850" spans="1:1" x14ac:dyDescent="0.2">
      <c r="A17850" s="1" t="s">
        <v>4671</v>
      </c>
    </row>
    <row r="17851" spans="1:1" x14ac:dyDescent="0.2">
      <c r="A17851" s="1" t="s">
        <v>4672</v>
      </c>
    </row>
    <row r="17852" spans="1:1" x14ac:dyDescent="0.2">
      <c r="A17852" s="1" t="s">
        <v>4673</v>
      </c>
    </row>
    <row r="17853" spans="1:1" x14ac:dyDescent="0.2">
      <c r="A17853" s="1" t="s">
        <v>4674</v>
      </c>
    </row>
    <row r="17854" spans="1:1" x14ac:dyDescent="0.2">
      <c r="A17854" s="1" t="s">
        <v>4675</v>
      </c>
    </row>
    <row r="17855" spans="1:1" x14ac:dyDescent="0.2">
      <c r="A17855" s="1" t="s">
        <v>4676</v>
      </c>
    </row>
    <row r="17856" spans="1:1" x14ac:dyDescent="0.2">
      <c r="A17856" s="1" t="s">
        <v>4677</v>
      </c>
    </row>
    <row r="17857" spans="1:1" x14ac:dyDescent="0.2">
      <c r="A17857" s="1" t="s">
        <v>4678</v>
      </c>
    </row>
    <row r="17858" spans="1:1" x14ac:dyDescent="0.2">
      <c r="A17858" s="1" t="s">
        <v>4679</v>
      </c>
    </row>
    <row r="17859" spans="1:1" x14ac:dyDescent="0.2">
      <c r="A17859" s="1" t="s">
        <v>4680</v>
      </c>
    </row>
    <row r="17860" spans="1:1" x14ac:dyDescent="0.2">
      <c r="A17860" s="1" t="s">
        <v>4681</v>
      </c>
    </row>
    <row r="17861" spans="1:1" x14ac:dyDescent="0.2">
      <c r="A17861" s="1" t="s">
        <v>4682</v>
      </c>
    </row>
    <row r="17862" spans="1:1" x14ac:dyDescent="0.2">
      <c r="A17862" s="1" t="s">
        <v>4683</v>
      </c>
    </row>
    <row r="17863" spans="1:1" x14ac:dyDescent="0.2">
      <c r="A17863" s="1" t="s">
        <v>4684</v>
      </c>
    </row>
    <row r="17864" spans="1:1" x14ac:dyDescent="0.2">
      <c r="A17864" s="1" t="s">
        <v>4685</v>
      </c>
    </row>
    <row r="17865" spans="1:1" x14ac:dyDescent="0.2">
      <c r="A17865" s="1" t="s">
        <v>4686</v>
      </c>
    </row>
    <row r="17866" spans="1:1" x14ac:dyDescent="0.2">
      <c r="A17866" s="1" t="s">
        <v>4687</v>
      </c>
    </row>
    <row r="17867" spans="1:1" x14ac:dyDescent="0.2">
      <c r="A17867" s="1" t="s">
        <v>4688</v>
      </c>
    </row>
    <row r="17868" spans="1:1" x14ac:dyDescent="0.2">
      <c r="A17868" s="1" t="s">
        <v>4689</v>
      </c>
    </row>
    <row r="17869" spans="1:1" x14ac:dyDescent="0.2">
      <c r="A17869" s="1" t="s">
        <v>4690</v>
      </c>
    </row>
    <row r="17870" spans="1:1" x14ac:dyDescent="0.2">
      <c r="A17870" s="1" t="s">
        <v>4691</v>
      </c>
    </row>
    <row r="17871" spans="1:1" x14ac:dyDescent="0.2">
      <c r="A17871" s="1" t="s">
        <v>4692</v>
      </c>
    </row>
    <row r="17872" spans="1:1" x14ac:dyDescent="0.2">
      <c r="A17872" s="1" t="s">
        <v>4693</v>
      </c>
    </row>
    <row r="17873" spans="1:1" x14ac:dyDescent="0.2">
      <c r="A17873" s="1" t="s">
        <v>4694</v>
      </c>
    </row>
    <row r="17874" spans="1:1" x14ac:dyDescent="0.2">
      <c r="A17874" s="1" t="s">
        <v>4695</v>
      </c>
    </row>
    <row r="17875" spans="1:1" x14ac:dyDescent="0.2">
      <c r="A17875" s="1" t="s">
        <v>4696</v>
      </c>
    </row>
    <row r="17876" spans="1:1" x14ac:dyDescent="0.2">
      <c r="A17876" s="1" t="s">
        <v>4697</v>
      </c>
    </row>
    <row r="17877" spans="1:1" x14ac:dyDescent="0.2">
      <c r="A17877" s="1" t="s">
        <v>4698</v>
      </c>
    </row>
    <row r="17878" spans="1:1" x14ac:dyDescent="0.2">
      <c r="A17878" s="1" t="s">
        <v>4699</v>
      </c>
    </row>
    <row r="17879" spans="1:1" x14ac:dyDescent="0.2">
      <c r="A17879" s="1" t="s">
        <v>4700</v>
      </c>
    </row>
    <row r="17880" spans="1:1" x14ac:dyDescent="0.2">
      <c r="A17880" s="1" t="s">
        <v>4701</v>
      </c>
    </row>
    <row r="17881" spans="1:1" x14ac:dyDescent="0.2">
      <c r="A17881" s="1" t="s">
        <v>4702</v>
      </c>
    </row>
    <row r="17882" spans="1:1" x14ac:dyDescent="0.2">
      <c r="A17882" s="1" t="s">
        <v>4703</v>
      </c>
    </row>
    <row r="17883" spans="1:1" x14ac:dyDescent="0.2">
      <c r="A17883" s="1" t="s">
        <v>4704</v>
      </c>
    </row>
    <row r="17884" spans="1:1" x14ac:dyDescent="0.2">
      <c r="A17884" s="1" t="s">
        <v>4705</v>
      </c>
    </row>
    <row r="17885" spans="1:1" x14ac:dyDescent="0.2">
      <c r="A17885" s="1" t="s">
        <v>4706</v>
      </c>
    </row>
    <row r="17886" spans="1:1" x14ac:dyDescent="0.2">
      <c r="A17886" s="1" t="s">
        <v>4707</v>
      </c>
    </row>
    <row r="17887" spans="1:1" x14ac:dyDescent="0.2">
      <c r="A17887" s="1" t="s">
        <v>4708</v>
      </c>
    </row>
    <row r="17888" spans="1:1" x14ac:dyDescent="0.2">
      <c r="A17888" s="1" t="s">
        <v>4709</v>
      </c>
    </row>
    <row r="17889" spans="1:1" x14ac:dyDescent="0.2">
      <c r="A17889" s="1" t="s">
        <v>4710</v>
      </c>
    </row>
    <row r="17890" spans="1:1" x14ac:dyDescent="0.2">
      <c r="A17890" s="1" t="s">
        <v>4711</v>
      </c>
    </row>
    <row r="17891" spans="1:1" x14ac:dyDescent="0.2">
      <c r="A17891" s="1" t="s">
        <v>4712</v>
      </c>
    </row>
    <row r="17892" spans="1:1" x14ac:dyDescent="0.2">
      <c r="A17892" s="1" t="s">
        <v>4713</v>
      </c>
    </row>
    <row r="17893" spans="1:1" x14ac:dyDescent="0.2">
      <c r="A17893" s="1" t="s">
        <v>4714</v>
      </c>
    </row>
    <row r="17894" spans="1:1" x14ac:dyDescent="0.2">
      <c r="A17894" s="1" t="s">
        <v>4715</v>
      </c>
    </row>
    <row r="17895" spans="1:1" x14ac:dyDescent="0.2">
      <c r="A17895" s="1" t="s">
        <v>4716</v>
      </c>
    </row>
    <row r="17896" spans="1:1" x14ac:dyDescent="0.2">
      <c r="A17896" s="1" t="s">
        <v>4716</v>
      </c>
    </row>
    <row r="17897" spans="1:1" x14ac:dyDescent="0.2">
      <c r="A17897" s="1" t="s">
        <v>4717</v>
      </c>
    </row>
    <row r="17898" spans="1:1" x14ac:dyDescent="0.2">
      <c r="A17898" s="1" t="s">
        <v>4718</v>
      </c>
    </row>
    <row r="17899" spans="1:1" x14ac:dyDescent="0.2">
      <c r="A17899" s="1" t="s">
        <v>4719</v>
      </c>
    </row>
    <row r="17900" spans="1:1" x14ac:dyDescent="0.2">
      <c r="A17900" s="1" t="s">
        <v>4720</v>
      </c>
    </row>
    <row r="17901" spans="1:1" x14ac:dyDescent="0.2">
      <c r="A17901" s="1" t="s">
        <v>4721</v>
      </c>
    </row>
    <row r="17902" spans="1:1" x14ac:dyDescent="0.2">
      <c r="A17902" s="1" t="s">
        <v>4722</v>
      </c>
    </row>
    <row r="17903" spans="1:1" x14ac:dyDescent="0.2">
      <c r="A17903" s="1" t="s">
        <v>4723</v>
      </c>
    </row>
    <row r="17904" spans="1:1" x14ac:dyDescent="0.2">
      <c r="A17904" s="1" t="s">
        <v>4724</v>
      </c>
    </row>
    <row r="17905" spans="1:1" x14ac:dyDescent="0.2">
      <c r="A17905" s="1" t="s">
        <v>4724</v>
      </c>
    </row>
    <row r="17906" spans="1:1" x14ac:dyDescent="0.2">
      <c r="A17906" s="1" t="s">
        <v>4724</v>
      </c>
    </row>
    <row r="17907" spans="1:1" x14ac:dyDescent="0.2">
      <c r="A17907" s="1" t="s">
        <v>4724</v>
      </c>
    </row>
    <row r="17908" spans="1:1" x14ac:dyDescent="0.2">
      <c r="A17908" s="1" t="s">
        <v>4725</v>
      </c>
    </row>
    <row r="17909" spans="1:1" x14ac:dyDescent="0.2">
      <c r="A17909" s="1" t="s">
        <v>4716</v>
      </c>
    </row>
    <row r="17910" spans="1:1" x14ac:dyDescent="0.2">
      <c r="A17910" s="1" t="s">
        <v>4716</v>
      </c>
    </row>
    <row r="17911" spans="1:1" x14ac:dyDescent="0.2">
      <c r="A17911" s="1" t="s">
        <v>4716</v>
      </c>
    </row>
    <row r="17912" spans="1:1" x14ac:dyDescent="0.2">
      <c r="A17912" s="1" t="s">
        <v>4717</v>
      </c>
    </row>
    <row r="17913" spans="1:1" x14ac:dyDescent="0.2">
      <c r="A17913" s="1" t="s">
        <v>4718</v>
      </c>
    </row>
    <row r="17914" spans="1:1" x14ac:dyDescent="0.2">
      <c r="A17914" s="1" t="s">
        <v>4719</v>
      </c>
    </row>
    <row r="17915" spans="1:1" x14ac:dyDescent="0.2">
      <c r="A17915" s="1" t="s">
        <v>4720</v>
      </c>
    </row>
    <row r="17916" spans="1:1" x14ac:dyDescent="0.2">
      <c r="A17916" s="1" t="s">
        <v>4721</v>
      </c>
    </row>
    <row r="17917" spans="1:1" x14ac:dyDescent="0.2">
      <c r="A17917" s="1" t="s">
        <v>4722</v>
      </c>
    </row>
    <row r="17918" spans="1:1" x14ac:dyDescent="0.2">
      <c r="A17918" s="1" t="s">
        <v>4723</v>
      </c>
    </row>
    <row r="17919" spans="1:1" x14ac:dyDescent="0.2">
      <c r="A17919" s="1" t="s">
        <v>4724</v>
      </c>
    </row>
    <row r="17920" spans="1:1" x14ac:dyDescent="0.2">
      <c r="A17920" s="1" t="s">
        <v>4724</v>
      </c>
    </row>
    <row r="17921" spans="1:1" x14ac:dyDescent="0.2">
      <c r="A17921" s="1" t="s">
        <v>4724</v>
      </c>
    </row>
    <row r="17922" spans="1:1" x14ac:dyDescent="0.2">
      <c r="A17922" s="1" t="s">
        <v>4724</v>
      </c>
    </row>
    <row r="17923" spans="1:1" x14ac:dyDescent="0.2">
      <c r="A17923" s="1" t="s">
        <v>4725</v>
      </c>
    </row>
    <row r="17924" spans="1:1" x14ac:dyDescent="0.2">
      <c r="A17924" s="1" t="s">
        <v>4716</v>
      </c>
    </row>
    <row r="17925" spans="1:1" x14ac:dyDescent="0.2">
      <c r="A17925" s="1" t="s">
        <v>4716</v>
      </c>
    </row>
    <row r="17926" spans="1:1" x14ac:dyDescent="0.2">
      <c r="A17926" s="1" t="s">
        <v>4716</v>
      </c>
    </row>
    <row r="17927" spans="1:1" x14ac:dyDescent="0.2">
      <c r="A17927" s="1" t="s">
        <v>4717</v>
      </c>
    </row>
    <row r="17928" spans="1:1" x14ac:dyDescent="0.2">
      <c r="A17928" s="1" t="s">
        <v>4718</v>
      </c>
    </row>
    <row r="17929" spans="1:1" x14ac:dyDescent="0.2">
      <c r="A17929" s="1" t="s">
        <v>4719</v>
      </c>
    </row>
    <row r="17930" spans="1:1" x14ac:dyDescent="0.2">
      <c r="A17930" s="1" t="s">
        <v>4720</v>
      </c>
    </row>
    <row r="17931" spans="1:1" x14ac:dyDescent="0.2">
      <c r="A17931" s="1" t="s">
        <v>4721</v>
      </c>
    </row>
    <row r="17932" spans="1:1" x14ac:dyDescent="0.2">
      <c r="A17932" s="1" t="s">
        <v>4722</v>
      </c>
    </row>
    <row r="17933" spans="1:1" x14ac:dyDescent="0.2">
      <c r="A17933" s="1" t="s">
        <v>4723</v>
      </c>
    </row>
    <row r="17934" spans="1:1" x14ac:dyDescent="0.2">
      <c r="A17934" s="1" t="s">
        <v>4724</v>
      </c>
    </row>
    <row r="17935" spans="1:1" x14ac:dyDescent="0.2">
      <c r="A17935" s="1" t="s">
        <v>4724</v>
      </c>
    </row>
    <row r="17936" spans="1:1" x14ac:dyDescent="0.2">
      <c r="A17936" s="1" t="s">
        <v>4724</v>
      </c>
    </row>
    <row r="17937" spans="1:1" x14ac:dyDescent="0.2">
      <c r="A17937" s="1" t="s">
        <v>4724</v>
      </c>
    </row>
    <row r="17938" spans="1:1" x14ac:dyDescent="0.2">
      <c r="A17938" s="1" t="s">
        <v>4725</v>
      </c>
    </row>
    <row r="17939" spans="1:1" x14ac:dyDescent="0.2">
      <c r="A17939" s="1" t="s">
        <v>4716</v>
      </c>
    </row>
    <row r="17940" spans="1:1" x14ac:dyDescent="0.2">
      <c r="A17940" s="1" t="s">
        <v>4716</v>
      </c>
    </row>
    <row r="17941" spans="1:1" x14ac:dyDescent="0.2">
      <c r="A17941" s="1" t="s">
        <v>4716</v>
      </c>
    </row>
    <row r="17942" spans="1:1" x14ac:dyDescent="0.2">
      <c r="A17942" s="1" t="s">
        <v>4717</v>
      </c>
    </row>
    <row r="17943" spans="1:1" x14ac:dyDescent="0.2">
      <c r="A17943" s="1" t="s">
        <v>4718</v>
      </c>
    </row>
    <row r="17944" spans="1:1" x14ac:dyDescent="0.2">
      <c r="A17944" s="1" t="s">
        <v>4719</v>
      </c>
    </row>
    <row r="17945" spans="1:1" x14ac:dyDescent="0.2">
      <c r="A17945" s="1" t="s">
        <v>4720</v>
      </c>
    </row>
    <row r="17946" spans="1:1" x14ac:dyDescent="0.2">
      <c r="A17946" s="1" t="s">
        <v>4721</v>
      </c>
    </row>
    <row r="17947" spans="1:1" x14ac:dyDescent="0.2">
      <c r="A17947" s="1" t="s">
        <v>4722</v>
      </c>
    </row>
    <row r="17948" spans="1:1" x14ac:dyDescent="0.2">
      <c r="A17948" s="1" t="s">
        <v>4723</v>
      </c>
    </row>
    <row r="17949" spans="1:1" x14ac:dyDescent="0.2">
      <c r="A17949" s="1" t="s">
        <v>4724</v>
      </c>
    </row>
    <row r="17950" spans="1:1" x14ac:dyDescent="0.2">
      <c r="A17950" s="1" t="s">
        <v>4724</v>
      </c>
    </row>
    <row r="17951" spans="1:1" x14ac:dyDescent="0.2">
      <c r="A17951" s="1" t="s">
        <v>4724</v>
      </c>
    </row>
    <row r="17952" spans="1:1" x14ac:dyDescent="0.2">
      <c r="A17952" s="1" t="s">
        <v>4724</v>
      </c>
    </row>
    <row r="17953" spans="1:1" x14ac:dyDescent="0.2">
      <c r="A17953" s="1" t="s">
        <v>4725</v>
      </c>
    </row>
    <row r="17954" spans="1:1" x14ac:dyDescent="0.2">
      <c r="A17954" s="1" t="s">
        <v>4716</v>
      </c>
    </row>
    <row r="17955" spans="1:1" x14ac:dyDescent="0.2">
      <c r="A17955" s="1" t="s">
        <v>4716</v>
      </c>
    </row>
    <row r="17956" spans="1:1" x14ac:dyDescent="0.2">
      <c r="A17956" s="1" t="s">
        <v>4716</v>
      </c>
    </row>
    <row r="17957" spans="1:1" x14ac:dyDescent="0.2">
      <c r="A17957" s="1" t="s">
        <v>4717</v>
      </c>
    </row>
    <row r="17958" spans="1:1" x14ac:dyDescent="0.2">
      <c r="A17958" s="1" t="s">
        <v>4718</v>
      </c>
    </row>
    <row r="17959" spans="1:1" x14ac:dyDescent="0.2">
      <c r="A17959" s="1" t="s">
        <v>4719</v>
      </c>
    </row>
    <row r="17960" spans="1:1" x14ac:dyDescent="0.2">
      <c r="A17960" s="1" t="s">
        <v>4720</v>
      </c>
    </row>
    <row r="17961" spans="1:1" x14ac:dyDescent="0.2">
      <c r="A17961" s="1" t="s">
        <v>4721</v>
      </c>
    </row>
    <row r="17962" spans="1:1" x14ac:dyDescent="0.2">
      <c r="A17962" s="1" t="s">
        <v>4722</v>
      </c>
    </row>
    <row r="17963" spans="1:1" x14ac:dyDescent="0.2">
      <c r="A17963" s="1" t="s">
        <v>4723</v>
      </c>
    </row>
    <row r="17964" spans="1:1" x14ac:dyDescent="0.2">
      <c r="A17964" s="1" t="s">
        <v>4724</v>
      </c>
    </row>
    <row r="17965" spans="1:1" x14ac:dyDescent="0.2">
      <c r="A17965" s="1" t="s">
        <v>4724</v>
      </c>
    </row>
    <row r="17966" spans="1:1" x14ac:dyDescent="0.2">
      <c r="A17966" s="1" t="s">
        <v>4726</v>
      </c>
    </row>
    <row r="17967" spans="1:1" x14ac:dyDescent="0.2">
      <c r="A17967" s="1" t="s">
        <v>4726</v>
      </c>
    </row>
    <row r="17968" spans="1:1" x14ac:dyDescent="0.2">
      <c r="A17968" s="1" t="s">
        <v>4727</v>
      </c>
    </row>
    <row r="17969" spans="1:1" x14ac:dyDescent="0.2">
      <c r="A17969" s="1" t="s">
        <v>4728</v>
      </c>
    </row>
    <row r="17970" spans="1:1" x14ac:dyDescent="0.2">
      <c r="A17970" s="1" t="s">
        <v>4729</v>
      </c>
    </row>
    <row r="17971" spans="1:1" x14ac:dyDescent="0.2">
      <c r="A17971" s="1" t="s">
        <v>4729</v>
      </c>
    </row>
    <row r="17972" spans="1:1" x14ac:dyDescent="0.2">
      <c r="A17972" s="1" t="s">
        <v>4730</v>
      </c>
    </row>
    <row r="17973" spans="1:1" x14ac:dyDescent="0.2">
      <c r="A17973" s="1" t="s">
        <v>4731</v>
      </c>
    </row>
    <row r="17974" spans="1:1" x14ac:dyDescent="0.2">
      <c r="A17974" s="1" t="s">
        <v>4732</v>
      </c>
    </row>
    <row r="17975" spans="1:1" x14ac:dyDescent="0.2">
      <c r="A17975" s="1" t="s">
        <v>4733</v>
      </c>
    </row>
    <row r="17976" spans="1:1" x14ac:dyDescent="0.2">
      <c r="A17976" s="1" t="s">
        <v>4734</v>
      </c>
    </row>
    <row r="17977" spans="1:1" x14ac:dyDescent="0.2">
      <c r="A17977" s="1" t="s">
        <v>4735</v>
      </c>
    </row>
    <row r="17978" spans="1:1" x14ac:dyDescent="0.2">
      <c r="A17978" s="1" t="s">
        <v>4736</v>
      </c>
    </row>
    <row r="17979" spans="1:1" x14ac:dyDescent="0.2">
      <c r="A17979" s="1" t="s">
        <v>4737</v>
      </c>
    </row>
    <row r="17980" spans="1:1" x14ac:dyDescent="0.2">
      <c r="A17980" s="1" t="s">
        <v>4738</v>
      </c>
    </row>
    <row r="17981" spans="1:1" x14ac:dyDescent="0.2">
      <c r="A17981" s="1" t="s">
        <v>4738</v>
      </c>
    </row>
    <row r="17982" spans="1:1" x14ac:dyDescent="0.2">
      <c r="A17982" s="1" t="s">
        <v>4738</v>
      </c>
    </row>
    <row r="17983" spans="1:1" x14ac:dyDescent="0.2">
      <c r="A17983" s="1" t="s">
        <v>4739</v>
      </c>
    </row>
    <row r="17984" spans="1:1" x14ac:dyDescent="0.2">
      <c r="A17984" s="1" t="s">
        <v>4740</v>
      </c>
    </row>
    <row r="17985" spans="1:1" x14ac:dyDescent="0.2">
      <c r="A17985" s="1" t="s">
        <v>4740</v>
      </c>
    </row>
    <row r="17986" spans="1:1" x14ac:dyDescent="0.2">
      <c r="A17986" s="1" t="s">
        <v>4740</v>
      </c>
    </row>
    <row r="17987" spans="1:1" x14ac:dyDescent="0.2">
      <c r="A17987" s="1" t="s">
        <v>4741</v>
      </c>
    </row>
    <row r="17988" spans="1:1" x14ac:dyDescent="0.2">
      <c r="A17988" s="1" t="s">
        <v>4742</v>
      </c>
    </row>
    <row r="17989" spans="1:1" x14ac:dyDescent="0.2">
      <c r="A17989" s="1" t="s">
        <v>4743</v>
      </c>
    </row>
    <row r="17990" spans="1:1" x14ac:dyDescent="0.2">
      <c r="A17990" s="1" t="s">
        <v>4744</v>
      </c>
    </row>
    <row r="17991" spans="1:1" x14ac:dyDescent="0.2">
      <c r="A17991" s="1" t="s">
        <v>4745</v>
      </c>
    </row>
    <row r="17992" spans="1:1" x14ac:dyDescent="0.2">
      <c r="A17992" s="1" t="s">
        <v>4746</v>
      </c>
    </row>
    <row r="17993" spans="1:1" x14ac:dyDescent="0.2">
      <c r="A17993" s="1" t="s">
        <v>4747</v>
      </c>
    </row>
    <row r="17994" spans="1:1" x14ac:dyDescent="0.2">
      <c r="A17994" s="1" t="s">
        <v>4738</v>
      </c>
    </row>
    <row r="17995" spans="1:1" x14ac:dyDescent="0.2">
      <c r="A17995" s="1" t="s">
        <v>4738</v>
      </c>
    </row>
    <row r="17996" spans="1:1" x14ac:dyDescent="0.2">
      <c r="A17996" s="1" t="s">
        <v>4738</v>
      </c>
    </row>
    <row r="17997" spans="1:1" x14ac:dyDescent="0.2">
      <c r="A17997" s="1" t="s">
        <v>4738</v>
      </c>
    </row>
    <row r="17998" spans="1:1" x14ac:dyDescent="0.2">
      <c r="A17998" s="1" t="s">
        <v>4739</v>
      </c>
    </row>
    <row r="17999" spans="1:1" x14ac:dyDescent="0.2">
      <c r="A17999" s="1" t="s">
        <v>4740</v>
      </c>
    </row>
    <row r="18000" spans="1:1" x14ac:dyDescent="0.2">
      <c r="A18000" s="1" t="s">
        <v>4740</v>
      </c>
    </row>
    <row r="18001" spans="1:1" x14ac:dyDescent="0.2">
      <c r="A18001" s="1" t="s">
        <v>4740</v>
      </c>
    </row>
    <row r="18002" spans="1:1" x14ac:dyDescent="0.2">
      <c r="A18002" s="1" t="s">
        <v>4741</v>
      </c>
    </row>
    <row r="18003" spans="1:1" x14ac:dyDescent="0.2">
      <c r="A18003" s="1" t="s">
        <v>4742</v>
      </c>
    </row>
    <row r="18004" spans="1:1" x14ac:dyDescent="0.2">
      <c r="A18004" s="1" t="s">
        <v>4743</v>
      </c>
    </row>
    <row r="18005" spans="1:1" x14ac:dyDescent="0.2">
      <c r="A18005" s="1" t="s">
        <v>4744</v>
      </c>
    </row>
    <row r="18006" spans="1:1" x14ac:dyDescent="0.2">
      <c r="A18006" s="1" t="s">
        <v>4745</v>
      </c>
    </row>
    <row r="18007" spans="1:1" x14ac:dyDescent="0.2">
      <c r="A18007" s="1" t="s">
        <v>4746</v>
      </c>
    </row>
    <row r="18008" spans="1:1" x14ac:dyDescent="0.2">
      <c r="A18008" s="1" t="s">
        <v>4747</v>
      </c>
    </row>
    <row r="18009" spans="1:1" x14ac:dyDescent="0.2">
      <c r="A18009" s="1" t="s">
        <v>4738</v>
      </c>
    </row>
    <row r="18010" spans="1:1" x14ac:dyDescent="0.2">
      <c r="A18010" s="1" t="s">
        <v>4738</v>
      </c>
    </row>
    <row r="18011" spans="1:1" x14ac:dyDescent="0.2">
      <c r="A18011" s="1" t="s">
        <v>4738</v>
      </c>
    </row>
    <row r="18012" spans="1:1" x14ac:dyDescent="0.2">
      <c r="A18012" s="1" t="s">
        <v>4738</v>
      </c>
    </row>
    <row r="18013" spans="1:1" x14ac:dyDescent="0.2">
      <c r="A18013" s="1" t="s">
        <v>4739</v>
      </c>
    </row>
    <row r="18014" spans="1:1" x14ac:dyDescent="0.2">
      <c r="A18014" s="1" t="s">
        <v>4740</v>
      </c>
    </row>
    <row r="18015" spans="1:1" x14ac:dyDescent="0.2">
      <c r="A18015" s="1" t="s">
        <v>4740</v>
      </c>
    </row>
    <row r="18016" spans="1:1" x14ac:dyDescent="0.2">
      <c r="A18016" s="1" t="s">
        <v>4740</v>
      </c>
    </row>
    <row r="18017" spans="1:1" x14ac:dyDescent="0.2">
      <c r="A18017" s="1" t="s">
        <v>4741</v>
      </c>
    </row>
    <row r="18018" spans="1:1" x14ac:dyDescent="0.2">
      <c r="A18018" s="1" t="s">
        <v>4742</v>
      </c>
    </row>
    <row r="18019" spans="1:1" x14ac:dyDescent="0.2">
      <c r="A18019" s="1" t="s">
        <v>4743</v>
      </c>
    </row>
    <row r="18020" spans="1:1" x14ac:dyDescent="0.2">
      <c r="A18020" s="1" t="s">
        <v>4744</v>
      </c>
    </row>
    <row r="18021" spans="1:1" x14ac:dyDescent="0.2">
      <c r="A18021" s="1" t="s">
        <v>4745</v>
      </c>
    </row>
    <row r="18022" spans="1:1" x14ac:dyDescent="0.2">
      <c r="A18022" s="1" t="s">
        <v>4746</v>
      </c>
    </row>
    <row r="18023" spans="1:1" x14ac:dyDescent="0.2">
      <c r="A18023" s="1" t="s">
        <v>4747</v>
      </c>
    </row>
    <row r="18024" spans="1:1" x14ac:dyDescent="0.2">
      <c r="A18024" s="1" t="s">
        <v>4738</v>
      </c>
    </row>
    <row r="18025" spans="1:1" x14ac:dyDescent="0.2">
      <c r="A18025" s="1" t="s">
        <v>4738</v>
      </c>
    </row>
    <row r="18026" spans="1:1" x14ac:dyDescent="0.2">
      <c r="A18026" s="1" t="s">
        <v>4738</v>
      </c>
    </row>
    <row r="18027" spans="1:1" x14ac:dyDescent="0.2">
      <c r="A18027" s="1" t="s">
        <v>4738</v>
      </c>
    </row>
    <row r="18028" spans="1:1" x14ac:dyDescent="0.2">
      <c r="A18028" s="1" t="s">
        <v>4739</v>
      </c>
    </row>
    <row r="18029" spans="1:1" x14ac:dyDescent="0.2">
      <c r="A18029" s="1" t="s">
        <v>4740</v>
      </c>
    </row>
    <row r="18030" spans="1:1" x14ac:dyDescent="0.2">
      <c r="A18030" s="1" t="s">
        <v>4740</v>
      </c>
    </row>
    <row r="18031" spans="1:1" x14ac:dyDescent="0.2">
      <c r="A18031" s="1" t="s">
        <v>4740</v>
      </c>
    </row>
    <row r="18032" spans="1:1" x14ac:dyDescent="0.2">
      <c r="A18032" s="1" t="s">
        <v>4741</v>
      </c>
    </row>
    <row r="18033" spans="1:1" x14ac:dyDescent="0.2">
      <c r="A18033" s="1" t="s">
        <v>4742</v>
      </c>
    </row>
    <row r="18034" spans="1:1" x14ac:dyDescent="0.2">
      <c r="A18034" s="1" t="s">
        <v>4743</v>
      </c>
    </row>
    <row r="18035" spans="1:1" x14ac:dyDescent="0.2">
      <c r="A18035" s="1" t="s">
        <v>4744</v>
      </c>
    </row>
    <row r="18036" spans="1:1" x14ac:dyDescent="0.2">
      <c r="A18036" s="1" t="s">
        <v>4745</v>
      </c>
    </row>
    <row r="18037" spans="1:1" x14ac:dyDescent="0.2">
      <c r="A18037" s="1" t="s">
        <v>4746</v>
      </c>
    </row>
    <row r="18038" spans="1:1" x14ac:dyDescent="0.2">
      <c r="A18038" s="1" t="s">
        <v>4747</v>
      </c>
    </row>
    <row r="18039" spans="1:1" x14ac:dyDescent="0.2">
      <c r="A18039" s="1" t="s">
        <v>4738</v>
      </c>
    </row>
    <row r="18040" spans="1:1" x14ac:dyDescent="0.2">
      <c r="A18040" s="1" t="s">
        <v>4738</v>
      </c>
    </row>
    <row r="18041" spans="1:1" x14ac:dyDescent="0.2">
      <c r="A18041" s="1" t="s">
        <v>4748</v>
      </c>
    </row>
    <row r="18042" spans="1:1" x14ac:dyDescent="0.2">
      <c r="A18042" s="1" t="s">
        <v>4748</v>
      </c>
    </row>
    <row r="18043" spans="1:1" x14ac:dyDescent="0.2">
      <c r="A18043" s="1" t="s">
        <v>4749</v>
      </c>
    </row>
    <row r="18044" spans="1:1" x14ac:dyDescent="0.2">
      <c r="A18044" s="1" t="s">
        <v>4750</v>
      </c>
    </row>
    <row r="18045" spans="1:1" x14ac:dyDescent="0.2">
      <c r="A18045" s="1" t="s">
        <v>4752</v>
      </c>
    </row>
    <row r="18046" spans="1:1" x14ac:dyDescent="0.2">
      <c r="A18046" s="1" t="s">
        <v>4752</v>
      </c>
    </row>
    <row r="18047" spans="1:1" x14ac:dyDescent="0.2">
      <c r="A18047" s="1" t="s">
        <v>4753</v>
      </c>
    </row>
    <row r="18048" spans="1:1" x14ac:dyDescent="0.2">
      <c r="A18048" s="1" t="s">
        <v>4754</v>
      </c>
    </row>
    <row r="18049" spans="1:1" x14ac:dyDescent="0.2">
      <c r="A18049" s="1" t="s">
        <v>4755</v>
      </c>
    </row>
    <row r="18050" spans="1:1" x14ac:dyDescent="0.2">
      <c r="A18050" s="1" t="s">
        <v>4756</v>
      </c>
    </row>
    <row r="18051" spans="1:1" x14ac:dyDescent="0.2">
      <c r="A18051" s="1" t="s">
        <v>4757</v>
      </c>
    </row>
    <row r="18052" spans="1:1" x14ac:dyDescent="0.2">
      <c r="A18052" s="1" t="s">
        <v>4758</v>
      </c>
    </row>
    <row r="18053" spans="1:1" x14ac:dyDescent="0.2">
      <c r="A18053" s="1" t="s">
        <v>4759</v>
      </c>
    </row>
    <row r="18054" spans="1:1" x14ac:dyDescent="0.2">
      <c r="A18054" s="1" t="s">
        <v>4760</v>
      </c>
    </row>
    <row r="18055" spans="1:1" x14ac:dyDescent="0.2">
      <c r="A18055" s="1" t="s">
        <v>4760</v>
      </c>
    </row>
    <row r="18056" spans="1:1" x14ac:dyDescent="0.2">
      <c r="A18056" s="1" t="s">
        <v>4760</v>
      </c>
    </row>
    <row r="18057" spans="1:1" x14ac:dyDescent="0.2">
      <c r="A18057" s="1" t="s">
        <v>4760</v>
      </c>
    </row>
    <row r="18058" spans="1:1" x14ac:dyDescent="0.2">
      <c r="A18058" s="1" t="s">
        <v>4761</v>
      </c>
    </row>
    <row r="18059" spans="1:1" x14ac:dyDescent="0.2">
      <c r="A18059" s="1" t="s">
        <v>4752</v>
      </c>
    </row>
    <row r="18060" spans="1:1" x14ac:dyDescent="0.2">
      <c r="A18060" s="1" t="s">
        <v>4752</v>
      </c>
    </row>
    <row r="18061" spans="1:1" x14ac:dyDescent="0.2">
      <c r="A18061" s="1" t="s">
        <v>4752</v>
      </c>
    </row>
    <row r="18062" spans="1:1" x14ac:dyDescent="0.2">
      <c r="A18062" s="1" t="s">
        <v>4753</v>
      </c>
    </row>
    <row r="18063" spans="1:1" x14ac:dyDescent="0.2">
      <c r="A18063" s="1" t="s">
        <v>4754</v>
      </c>
    </row>
    <row r="18064" spans="1:1" x14ac:dyDescent="0.2">
      <c r="A18064" s="1" t="s">
        <v>4755</v>
      </c>
    </row>
    <row r="18065" spans="1:1" x14ac:dyDescent="0.2">
      <c r="A18065" s="1" t="s">
        <v>4756</v>
      </c>
    </row>
    <row r="18066" spans="1:1" x14ac:dyDescent="0.2">
      <c r="A18066" s="1" t="s">
        <v>4757</v>
      </c>
    </row>
    <row r="18067" spans="1:1" x14ac:dyDescent="0.2">
      <c r="A18067" s="1" t="s">
        <v>4758</v>
      </c>
    </row>
    <row r="18068" spans="1:1" x14ac:dyDescent="0.2">
      <c r="A18068" s="1" t="s">
        <v>4759</v>
      </c>
    </row>
    <row r="18069" spans="1:1" x14ac:dyDescent="0.2">
      <c r="A18069" s="1" t="s">
        <v>4760</v>
      </c>
    </row>
    <row r="18070" spans="1:1" x14ac:dyDescent="0.2">
      <c r="A18070" s="1" t="s">
        <v>4760</v>
      </c>
    </row>
    <row r="18071" spans="1:1" x14ac:dyDescent="0.2">
      <c r="A18071" s="1" t="s">
        <v>4760</v>
      </c>
    </row>
    <row r="18072" spans="1:1" x14ac:dyDescent="0.2">
      <c r="A18072" s="1" t="s">
        <v>4760</v>
      </c>
    </row>
    <row r="18073" spans="1:1" x14ac:dyDescent="0.2">
      <c r="A18073" s="1" t="s">
        <v>4761</v>
      </c>
    </row>
    <row r="18074" spans="1:1" x14ac:dyDescent="0.2">
      <c r="A18074" s="1" t="s">
        <v>4752</v>
      </c>
    </row>
    <row r="18075" spans="1:1" x14ac:dyDescent="0.2">
      <c r="A18075" s="1" t="s">
        <v>4752</v>
      </c>
    </row>
    <row r="18076" spans="1:1" x14ac:dyDescent="0.2">
      <c r="A18076" s="1" t="s">
        <v>4752</v>
      </c>
    </row>
    <row r="18077" spans="1:1" x14ac:dyDescent="0.2">
      <c r="A18077" s="1" t="s">
        <v>4753</v>
      </c>
    </row>
    <row r="18078" spans="1:1" x14ac:dyDescent="0.2">
      <c r="A18078" s="1" t="s">
        <v>4754</v>
      </c>
    </row>
    <row r="18079" spans="1:1" x14ac:dyDescent="0.2">
      <c r="A18079" s="1" t="s">
        <v>4755</v>
      </c>
    </row>
    <row r="18080" spans="1:1" x14ac:dyDescent="0.2">
      <c r="A18080" s="1" t="s">
        <v>4756</v>
      </c>
    </row>
    <row r="18081" spans="1:1" x14ac:dyDescent="0.2">
      <c r="A18081" s="1" t="s">
        <v>4757</v>
      </c>
    </row>
    <row r="18082" spans="1:1" x14ac:dyDescent="0.2">
      <c r="A18082" s="1" t="s">
        <v>4758</v>
      </c>
    </row>
    <row r="18083" spans="1:1" x14ac:dyDescent="0.2">
      <c r="A18083" s="1" t="s">
        <v>4759</v>
      </c>
    </row>
    <row r="18084" spans="1:1" x14ac:dyDescent="0.2">
      <c r="A18084" s="1" t="s">
        <v>4760</v>
      </c>
    </row>
    <row r="18085" spans="1:1" x14ac:dyDescent="0.2">
      <c r="A18085" s="1" t="s">
        <v>4760</v>
      </c>
    </row>
    <row r="18086" spans="1:1" x14ac:dyDescent="0.2">
      <c r="A18086" s="1" t="s">
        <v>4760</v>
      </c>
    </row>
    <row r="18087" spans="1:1" x14ac:dyDescent="0.2">
      <c r="A18087" s="1" t="s">
        <v>4760</v>
      </c>
    </row>
    <row r="18088" spans="1:1" x14ac:dyDescent="0.2">
      <c r="A18088" s="1" t="s">
        <v>4761</v>
      </c>
    </row>
    <row r="18089" spans="1:1" x14ac:dyDescent="0.2">
      <c r="A18089" s="1" t="s">
        <v>4752</v>
      </c>
    </row>
    <row r="18090" spans="1:1" x14ac:dyDescent="0.2">
      <c r="A18090" s="1" t="s">
        <v>4752</v>
      </c>
    </row>
    <row r="18091" spans="1:1" x14ac:dyDescent="0.2">
      <c r="A18091" s="1" t="s">
        <v>4752</v>
      </c>
    </row>
    <row r="18092" spans="1:1" x14ac:dyDescent="0.2">
      <c r="A18092" s="1" t="s">
        <v>4753</v>
      </c>
    </row>
    <row r="18093" spans="1:1" x14ac:dyDescent="0.2">
      <c r="A18093" s="1" t="s">
        <v>4754</v>
      </c>
    </row>
    <row r="18094" spans="1:1" x14ac:dyDescent="0.2">
      <c r="A18094" s="1" t="s">
        <v>4755</v>
      </c>
    </row>
    <row r="18095" spans="1:1" x14ac:dyDescent="0.2">
      <c r="A18095" s="1" t="s">
        <v>4756</v>
      </c>
    </row>
    <row r="18096" spans="1:1" x14ac:dyDescent="0.2">
      <c r="A18096" s="1" t="s">
        <v>4757</v>
      </c>
    </row>
    <row r="18097" spans="1:1" x14ac:dyDescent="0.2">
      <c r="A18097" s="1" t="s">
        <v>4758</v>
      </c>
    </row>
    <row r="18098" spans="1:1" x14ac:dyDescent="0.2">
      <c r="A18098" s="1" t="s">
        <v>4759</v>
      </c>
    </row>
    <row r="18099" spans="1:1" x14ac:dyDescent="0.2">
      <c r="A18099" s="1" t="s">
        <v>4760</v>
      </c>
    </row>
    <row r="18100" spans="1:1" x14ac:dyDescent="0.2">
      <c r="A18100" s="1" t="s">
        <v>4760</v>
      </c>
    </row>
    <row r="18101" spans="1:1" x14ac:dyDescent="0.2">
      <c r="A18101" s="1" t="s">
        <v>4760</v>
      </c>
    </row>
    <row r="18102" spans="1:1" x14ac:dyDescent="0.2">
      <c r="A18102" s="1" t="s">
        <v>4760</v>
      </c>
    </row>
    <row r="18103" spans="1:1" x14ac:dyDescent="0.2">
      <c r="A18103" s="1" t="s">
        <v>4761</v>
      </c>
    </row>
    <row r="18104" spans="1:1" x14ac:dyDescent="0.2">
      <c r="A18104" s="1" t="s">
        <v>4752</v>
      </c>
    </row>
    <row r="18105" spans="1:1" x14ac:dyDescent="0.2">
      <c r="A18105" s="1" t="s">
        <v>4752</v>
      </c>
    </row>
    <row r="18106" spans="1:1" x14ac:dyDescent="0.2">
      <c r="A18106" s="1" t="s">
        <v>4752</v>
      </c>
    </row>
    <row r="18107" spans="1:1" x14ac:dyDescent="0.2">
      <c r="A18107" s="1" t="s">
        <v>4753</v>
      </c>
    </row>
    <row r="18108" spans="1:1" x14ac:dyDescent="0.2">
      <c r="A18108" s="1" t="s">
        <v>4754</v>
      </c>
    </row>
    <row r="18109" spans="1:1" x14ac:dyDescent="0.2">
      <c r="A18109" s="1" t="s">
        <v>4755</v>
      </c>
    </row>
    <row r="18110" spans="1:1" x14ac:dyDescent="0.2">
      <c r="A18110" s="1" t="s">
        <v>4756</v>
      </c>
    </row>
    <row r="18111" spans="1:1" x14ac:dyDescent="0.2">
      <c r="A18111" s="1" t="s">
        <v>4757</v>
      </c>
    </row>
    <row r="18112" spans="1:1" x14ac:dyDescent="0.2">
      <c r="A18112" s="1" t="s">
        <v>4758</v>
      </c>
    </row>
    <row r="18113" spans="1:1" x14ac:dyDescent="0.2">
      <c r="A18113" s="1" t="s">
        <v>4759</v>
      </c>
    </row>
    <row r="18114" spans="1:1" x14ac:dyDescent="0.2">
      <c r="A18114" s="1" t="s">
        <v>4760</v>
      </c>
    </row>
    <row r="18115" spans="1:1" x14ac:dyDescent="0.2">
      <c r="A18115" s="1" t="s">
        <v>4760</v>
      </c>
    </row>
    <row r="18116" spans="1:1" x14ac:dyDescent="0.2">
      <c r="A18116" s="1" t="s">
        <v>4762</v>
      </c>
    </row>
    <row r="18117" spans="1:1" x14ac:dyDescent="0.2">
      <c r="A18117" s="1" t="s">
        <v>4762</v>
      </c>
    </row>
    <row r="18118" spans="1:1" x14ac:dyDescent="0.2">
      <c r="A18118" s="1" t="s">
        <v>4763</v>
      </c>
    </row>
    <row r="18119" spans="1:1" x14ac:dyDescent="0.2">
      <c r="A18119" s="1" t="s">
        <v>4764</v>
      </c>
    </row>
    <row r="18120" spans="1:1" x14ac:dyDescent="0.2">
      <c r="A18120" s="1" t="s">
        <v>4765</v>
      </c>
    </row>
    <row r="18121" spans="1:1" x14ac:dyDescent="0.2">
      <c r="A18121" s="1" t="s">
        <v>4766</v>
      </c>
    </row>
    <row r="18122" spans="1:1" x14ac:dyDescent="0.2">
      <c r="A18122" s="1" t="s">
        <v>4767</v>
      </c>
    </row>
    <row r="18123" spans="1:1" x14ac:dyDescent="0.2">
      <c r="A18123" s="1" t="s">
        <v>4768</v>
      </c>
    </row>
    <row r="18124" spans="1:1" x14ac:dyDescent="0.2">
      <c r="A18124" s="1" t="s">
        <v>4769</v>
      </c>
    </row>
    <row r="18125" spans="1:1" x14ac:dyDescent="0.2">
      <c r="A18125" s="1" t="s">
        <v>4770</v>
      </c>
    </row>
    <row r="18126" spans="1:1" x14ac:dyDescent="0.2">
      <c r="A18126" s="1" t="s">
        <v>4771</v>
      </c>
    </row>
    <row r="18127" spans="1:1" x14ac:dyDescent="0.2">
      <c r="A18127" s="1" t="s">
        <v>4772</v>
      </c>
    </row>
    <row r="18128" spans="1:1" x14ac:dyDescent="0.2">
      <c r="A18128" s="1" t="s">
        <v>4773</v>
      </c>
    </row>
    <row r="18129" spans="1:1" x14ac:dyDescent="0.2">
      <c r="A18129" s="1" t="s">
        <v>4774</v>
      </c>
    </row>
    <row r="18130" spans="1:1" x14ac:dyDescent="0.2">
      <c r="A18130" s="1" t="s">
        <v>4775</v>
      </c>
    </row>
    <row r="18131" spans="1:1" x14ac:dyDescent="0.2">
      <c r="A18131" s="1" t="s">
        <v>4776</v>
      </c>
    </row>
    <row r="18132" spans="1:1" x14ac:dyDescent="0.2">
      <c r="A18132" s="1" t="s">
        <v>4777</v>
      </c>
    </row>
    <row r="18133" spans="1:1" x14ac:dyDescent="0.2">
      <c r="A18133" s="1" t="s">
        <v>4778</v>
      </c>
    </row>
    <row r="18134" spans="1:1" x14ac:dyDescent="0.2">
      <c r="A18134" s="1" t="s">
        <v>4779</v>
      </c>
    </row>
    <row r="18135" spans="1:1" x14ac:dyDescent="0.2">
      <c r="A18135" s="1" t="s">
        <v>4780</v>
      </c>
    </row>
    <row r="18136" spans="1:1" x14ac:dyDescent="0.2">
      <c r="A18136" s="1" t="s">
        <v>4781</v>
      </c>
    </row>
    <row r="18137" spans="1:1" x14ac:dyDescent="0.2">
      <c r="A18137" s="1" t="s">
        <v>4782</v>
      </c>
    </row>
    <row r="18138" spans="1:1" x14ac:dyDescent="0.2">
      <c r="A18138" s="1" t="s">
        <v>4783</v>
      </c>
    </row>
    <row r="18139" spans="1:1" x14ac:dyDescent="0.2">
      <c r="A18139" s="1" t="s">
        <v>4784</v>
      </c>
    </row>
    <row r="18140" spans="1:1" x14ac:dyDescent="0.2">
      <c r="A18140" s="1" t="s">
        <v>4785</v>
      </c>
    </row>
    <row r="18141" spans="1:1" x14ac:dyDescent="0.2">
      <c r="A18141" s="1" t="s">
        <v>4786</v>
      </c>
    </row>
    <row r="18142" spans="1:1" x14ac:dyDescent="0.2">
      <c r="A18142" s="1" t="s">
        <v>4787</v>
      </c>
    </row>
    <row r="18143" spans="1:1" x14ac:dyDescent="0.2">
      <c r="A18143" s="1" t="s">
        <v>4788</v>
      </c>
    </row>
    <row r="18144" spans="1:1" x14ac:dyDescent="0.2">
      <c r="A18144" s="1" t="s">
        <v>4789</v>
      </c>
    </row>
    <row r="18145" spans="1:1" x14ac:dyDescent="0.2">
      <c r="A18145" s="1" t="s">
        <v>4790</v>
      </c>
    </row>
    <row r="18146" spans="1:1" x14ac:dyDescent="0.2">
      <c r="A18146" s="1" t="s">
        <v>4791</v>
      </c>
    </row>
    <row r="18147" spans="1:1" x14ac:dyDescent="0.2">
      <c r="A18147" s="1" t="s">
        <v>4792</v>
      </c>
    </row>
    <row r="18148" spans="1:1" x14ac:dyDescent="0.2">
      <c r="A18148" s="1" t="s">
        <v>4793</v>
      </c>
    </row>
    <row r="18149" spans="1:1" x14ac:dyDescent="0.2">
      <c r="A18149" s="1" t="s">
        <v>4794</v>
      </c>
    </row>
    <row r="18150" spans="1:1" x14ac:dyDescent="0.2">
      <c r="A18150" s="1" t="s">
        <v>4793</v>
      </c>
    </row>
    <row r="18151" spans="1:1" x14ac:dyDescent="0.2">
      <c r="A18151" s="1" t="s">
        <v>4795</v>
      </c>
    </row>
    <row r="18152" spans="1:1" x14ac:dyDescent="0.2">
      <c r="A18152" s="1" t="s">
        <v>4796</v>
      </c>
    </row>
    <row r="18153" spans="1:1" x14ac:dyDescent="0.2">
      <c r="A18153" s="1" t="s">
        <v>4797</v>
      </c>
    </row>
    <row r="18154" spans="1:1" x14ac:dyDescent="0.2">
      <c r="A18154" s="1" t="s">
        <v>4798</v>
      </c>
    </row>
    <row r="18155" spans="1:1" x14ac:dyDescent="0.2">
      <c r="A18155" s="1" t="s">
        <v>4799</v>
      </c>
    </row>
    <row r="18156" spans="1:1" x14ac:dyDescent="0.2">
      <c r="A18156" s="1" t="s">
        <v>4800</v>
      </c>
    </row>
    <row r="18157" spans="1:1" x14ac:dyDescent="0.2">
      <c r="A18157" s="1" t="s">
        <v>4801</v>
      </c>
    </row>
    <row r="18158" spans="1:1" x14ac:dyDescent="0.2">
      <c r="A18158" s="1" t="s">
        <v>4802</v>
      </c>
    </row>
    <row r="18159" spans="1:1" x14ac:dyDescent="0.2">
      <c r="A18159" s="1" t="s">
        <v>4803</v>
      </c>
    </row>
    <row r="18160" spans="1:1" x14ac:dyDescent="0.2">
      <c r="A18160" s="1" t="s">
        <v>4804</v>
      </c>
    </row>
    <row r="18161" spans="1:1" x14ac:dyDescent="0.2">
      <c r="A18161" s="1" t="s">
        <v>4805</v>
      </c>
    </row>
    <row r="18162" spans="1:1" x14ac:dyDescent="0.2">
      <c r="A18162" s="1" t="s">
        <v>4805</v>
      </c>
    </row>
    <row r="18163" spans="1:1" x14ac:dyDescent="0.2">
      <c r="A18163" s="1" t="s">
        <v>4806</v>
      </c>
    </row>
    <row r="18164" spans="1:1" x14ac:dyDescent="0.2">
      <c r="A18164" s="1" t="s">
        <v>4807</v>
      </c>
    </row>
    <row r="18165" spans="1:1" x14ac:dyDescent="0.2">
      <c r="A18165" s="1" t="s">
        <v>4808</v>
      </c>
    </row>
    <row r="18166" spans="1:1" x14ac:dyDescent="0.2">
      <c r="A18166" s="1" t="s">
        <v>4809</v>
      </c>
    </row>
    <row r="18167" spans="1:1" x14ac:dyDescent="0.2">
      <c r="A18167" s="1" t="s">
        <v>4810</v>
      </c>
    </row>
    <row r="18168" spans="1:1" x14ac:dyDescent="0.2">
      <c r="A18168" s="1" t="s">
        <v>4811</v>
      </c>
    </row>
    <row r="18169" spans="1:1" x14ac:dyDescent="0.2">
      <c r="A18169" s="1" t="s">
        <v>4812</v>
      </c>
    </row>
    <row r="18170" spans="1:1" x14ac:dyDescent="0.2">
      <c r="A18170" s="1" t="s">
        <v>4813</v>
      </c>
    </row>
    <row r="18171" spans="1:1" x14ac:dyDescent="0.2">
      <c r="A18171" s="1" t="s">
        <v>4813</v>
      </c>
    </row>
    <row r="18172" spans="1:1" x14ac:dyDescent="0.2">
      <c r="A18172" s="1" t="s">
        <v>4813</v>
      </c>
    </row>
    <row r="18173" spans="1:1" x14ac:dyDescent="0.2">
      <c r="A18173" s="1" t="s">
        <v>4813</v>
      </c>
    </row>
    <row r="18174" spans="1:1" x14ac:dyDescent="0.2">
      <c r="A18174" s="1" t="s">
        <v>4814</v>
      </c>
    </row>
    <row r="18175" spans="1:1" x14ac:dyDescent="0.2">
      <c r="A18175" s="1" t="s">
        <v>4805</v>
      </c>
    </row>
    <row r="18176" spans="1:1" x14ac:dyDescent="0.2">
      <c r="A18176" s="1" t="s">
        <v>4805</v>
      </c>
    </row>
    <row r="18177" spans="1:1" x14ac:dyDescent="0.2">
      <c r="A18177" s="1" t="s">
        <v>4805</v>
      </c>
    </row>
    <row r="18178" spans="1:1" x14ac:dyDescent="0.2">
      <c r="A18178" s="1" t="s">
        <v>4806</v>
      </c>
    </row>
    <row r="18179" spans="1:1" x14ac:dyDescent="0.2">
      <c r="A18179" s="1" t="s">
        <v>4807</v>
      </c>
    </row>
    <row r="18180" spans="1:1" x14ac:dyDescent="0.2">
      <c r="A18180" s="1" t="s">
        <v>4808</v>
      </c>
    </row>
    <row r="18181" spans="1:1" x14ac:dyDescent="0.2">
      <c r="A18181" s="1" t="s">
        <v>4809</v>
      </c>
    </row>
    <row r="18182" spans="1:1" x14ac:dyDescent="0.2">
      <c r="A18182" s="1" t="s">
        <v>4810</v>
      </c>
    </row>
    <row r="18183" spans="1:1" x14ac:dyDescent="0.2">
      <c r="A18183" s="1" t="s">
        <v>4811</v>
      </c>
    </row>
    <row r="18184" spans="1:1" x14ac:dyDescent="0.2">
      <c r="A18184" s="1" t="s">
        <v>4812</v>
      </c>
    </row>
    <row r="18185" spans="1:1" x14ac:dyDescent="0.2">
      <c r="A18185" s="1" t="s">
        <v>4813</v>
      </c>
    </row>
    <row r="18186" spans="1:1" x14ac:dyDescent="0.2">
      <c r="A18186" s="1" t="s">
        <v>4813</v>
      </c>
    </row>
    <row r="18187" spans="1:1" x14ac:dyDescent="0.2">
      <c r="A18187" s="1" t="s">
        <v>4813</v>
      </c>
    </row>
    <row r="18188" spans="1:1" x14ac:dyDescent="0.2">
      <c r="A18188" s="1" t="s">
        <v>4813</v>
      </c>
    </row>
    <row r="18189" spans="1:1" x14ac:dyDescent="0.2">
      <c r="A18189" s="1" t="s">
        <v>4814</v>
      </c>
    </row>
    <row r="18190" spans="1:1" x14ac:dyDescent="0.2">
      <c r="A18190" s="1" t="s">
        <v>4805</v>
      </c>
    </row>
    <row r="18191" spans="1:1" x14ac:dyDescent="0.2">
      <c r="A18191" s="1" t="s">
        <v>4805</v>
      </c>
    </row>
    <row r="18192" spans="1:1" x14ac:dyDescent="0.2">
      <c r="A18192" s="1" t="s">
        <v>4805</v>
      </c>
    </row>
    <row r="18193" spans="1:1" x14ac:dyDescent="0.2">
      <c r="A18193" s="1" t="s">
        <v>4806</v>
      </c>
    </row>
    <row r="18194" spans="1:1" x14ac:dyDescent="0.2">
      <c r="A18194" s="1" t="s">
        <v>4807</v>
      </c>
    </row>
    <row r="18195" spans="1:1" x14ac:dyDescent="0.2">
      <c r="A18195" s="1" t="s">
        <v>4808</v>
      </c>
    </row>
    <row r="18196" spans="1:1" x14ac:dyDescent="0.2">
      <c r="A18196" s="1" t="s">
        <v>4809</v>
      </c>
    </row>
    <row r="18197" spans="1:1" x14ac:dyDescent="0.2">
      <c r="A18197" s="1" t="s">
        <v>4810</v>
      </c>
    </row>
    <row r="18198" spans="1:1" x14ac:dyDescent="0.2">
      <c r="A18198" s="1" t="s">
        <v>4811</v>
      </c>
    </row>
    <row r="18199" spans="1:1" x14ac:dyDescent="0.2">
      <c r="A18199" s="1" t="s">
        <v>4812</v>
      </c>
    </row>
    <row r="18200" spans="1:1" x14ac:dyDescent="0.2">
      <c r="A18200" s="1" t="s">
        <v>4813</v>
      </c>
    </row>
    <row r="18201" spans="1:1" x14ac:dyDescent="0.2">
      <c r="A18201" s="1" t="s">
        <v>4813</v>
      </c>
    </row>
    <row r="18202" spans="1:1" x14ac:dyDescent="0.2">
      <c r="A18202" s="1" t="s">
        <v>4813</v>
      </c>
    </row>
    <row r="18203" spans="1:1" x14ac:dyDescent="0.2">
      <c r="A18203" s="1" t="s">
        <v>4813</v>
      </c>
    </row>
    <row r="18204" spans="1:1" x14ac:dyDescent="0.2">
      <c r="A18204" s="1" t="s">
        <v>4814</v>
      </c>
    </row>
    <row r="18205" spans="1:1" x14ac:dyDescent="0.2">
      <c r="A18205" s="1" t="s">
        <v>4805</v>
      </c>
    </row>
    <row r="18206" spans="1:1" x14ac:dyDescent="0.2">
      <c r="A18206" s="1" t="s">
        <v>4805</v>
      </c>
    </row>
    <row r="18207" spans="1:1" x14ac:dyDescent="0.2">
      <c r="A18207" s="1" t="s">
        <v>4805</v>
      </c>
    </row>
    <row r="18208" spans="1:1" x14ac:dyDescent="0.2">
      <c r="A18208" s="1" t="s">
        <v>4806</v>
      </c>
    </row>
    <row r="18209" spans="1:1" x14ac:dyDescent="0.2">
      <c r="A18209" s="1" t="s">
        <v>4807</v>
      </c>
    </row>
    <row r="18210" spans="1:1" x14ac:dyDescent="0.2">
      <c r="A18210" s="1" t="s">
        <v>4808</v>
      </c>
    </row>
    <row r="18211" spans="1:1" x14ac:dyDescent="0.2">
      <c r="A18211" s="1" t="s">
        <v>4809</v>
      </c>
    </row>
    <row r="18212" spans="1:1" x14ac:dyDescent="0.2">
      <c r="A18212" s="1" t="s">
        <v>4810</v>
      </c>
    </row>
    <row r="18213" spans="1:1" x14ac:dyDescent="0.2">
      <c r="A18213" s="1" t="s">
        <v>4811</v>
      </c>
    </row>
    <row r="18214" spans="1:1" x14ac:dyDescent="0.2">
      <c r="A18214" s="1" t="s">
        <v>4812</v>
      </c>
    </row>
    <row r="18215" spans="1:1" x14ac:dyDescent="0.2">
      <c r="A18215" s="1" t="s">
        <v>4813</v>
      </c>
    </row>
    <row r="18216" spans="1:1" x14ac:dyDescent="0.2">
      <c r="A18216" s="1" t="s">
        <v>4813</v>
      </c>
    </row>
    <row r="18217" spans="1:1" x14ac:dyDescent="0.2">
      <c r="A18217" s="1" t="s">
        <v>4813</v>
      </c>
    </row>
    <row r="18218" spans="1:1" x14ac:dyDescent="0.2">
      <c r="A18218" s="1" t="s">
        <v>4813</v>
      </c>
    </row>
    <row r="18219" spans="1:1" x14ac:dyDescent="0.2">
      <c r="A18219" s="1" t="s">
        <v>4814</v>
      </c>
    </row>
    <row r="18220" spans="1:1" x14ac:dyDescent="0.2">
      <c r="A18220" s="1" t="s">
        <v>4805</v>
      </c>
    </row>
    <row r="18221" spans="1:1" x14ac:dyDescent="0.2">
      <c r="A18221" s="1" t="s">
        <v>4805</v>
      </c>
    </row>
    <row r="18222" spans="1:1" x14ac:dyDescent="0.2">
      <c r="A18222" s="1" t="s">
        <v>4805</v>
      </c>
    </row>
    <row r="18223" spans="1:1" x14ac:dyDescent="0.2">
      <c r="A18223" s="1" t="s">
        <v>4806</v>
      </c>
    </row>
    <row r="18224" spans="1:1" x14ac:dyDescent="0.2">
      <c r="A18224" s="1" t="s">
        <v>4807</v>
      </c>
    </row>
    <row r="18225" spans="1:1" x14ac:dyDescent="0.2">
      <c r="A18225" s="1" t="s">
        <v>4808</v>
      </c>
    </row>
    <row r="18226" spans="1:1" x14ac:dyDescent="0.2">
      <c r="A18226" s="1" t="s">
        <v>4809</v>
      </c>
    </row>
    <row r="18227" spans="1:1" x14ac:dyDescent="0.2">
      <c r="A18227" s="1" t="s">
        <v>4810</v>
      </c>
    </row>
    <row r="18228" spans="1:1" x14ac:dyDescent="0.2">
      <c r="A18228" s="1" t="s">
        <v>4811</v>
      </c>
    </row>
    <row r="18229" spans="1:1" x14ac:dyDescent="0.2">
      <c r="A18229" s="1" t="s">
        <v>4812</v>
      </c>
    </row>
    <row r="18230" spans="1:1" x14ac:dyDescent="0.2">
      <c r="A18230" s="1" t="s">
        <v>4813</v>
      </c>
    </row>
    <row r="18231" spans="1:1" x14ac:dyDescent="0.2">
      <c r="A18231" s="1" t="s">
        <v>4813</v>
      </c>
    </row>
    <row r="18232" spans="1:1" x14ac:dyDescent="0.2">
      <c r="A18232" s="1" t="s">
        <v>4813</v>
      </c>
    </row>
    <row r="18233" spans="1:1" x14ac:dyDescent="0.2">
      <c r="A18233" s="1" t="s">
        <v>4813</v>
      </c>
    </row>
    <row r="18234" spans="1:1" x14ac:dyDescent="0.2">
      <c r="A18234" s="1" t="s">
        <v>4814</v>
      </c>
    </row>
    <row r="18235" spans="1:1" x14ac:dyDescent="0.2">
      <c r="A18235" s="1" t="s">
        <v>4805</v>
      </c>
    </row>
    <row r="18236" spans="1:1" x14ac:dyDescent="0.2">
      <c r="A18236" s="1" t="s">
        <v>4816</v>
      </c>
    </row>
    <row r="18237" spans="1:1" x14ac:dyDescent="0.2">
      <c r="A18237" s="1" t="s">
        <v>4816</v>
      </c>
    </row>
    <row r="18238" spans="1:1" x14ac:dyDescent="0.2">
      <c r="A18238" s="1" t="s">
        <v>4817</v>
      </c>
    </row>
    <row r="18239" spans="1:1" x14ac:dyDescent="0.2">
      <c r="A18239" s="1" t="s">
        <v>4818</v>
      </c>
    </row>
    <row r="18240" spans="1:1" x14ac:dyDescent="0.2">
      <c r="A18240" s="1" t="s">
        <v>4819</v>
      </c>
    </row>
    <row r="18241" spans="1:1" x14ac:dyDescent="0.2">
      <c r="A18241" s="1" t="s">
        <v>4820</v>
      </c>
    </row>
    <row r="18242" spans="1:1" x14ac:dyDescent="0.2">
      <c r="A18242" s="1" t="s">
        <v>4821</v>
      </c>
    </row>
    <row r="18243" spans="1:1" x14ac:dyDescent="0.2">
      <c r="A18243" s="1" t="s">
        <v>4822</v>
      </c>
    </row>
    <row r="18244" spans="1:1" x14ac:dyDescent="0.2">
      <c r="A18244" s="1" t="s">
        <v>4823</v>
      </c>
    </row>
    <row r="18245" spans="1:1" x14ac:dyDescent="0.2">
      <c r="A18245" s="1" t="s">
        <v>4824</v>
      </c>
    </row>
    <row r="18246" spans="1:1" x14ac:dyDescent="0.2">
      <c r="A18246" s="1" t="s">
        <v>4824</v>
      </c>
    </row>
    <row r="18247" spans="1:1" x14ac:dyDescent="0.2">
      <c r="A18247" s="1" t="s">
        <v>4824</v>
      </c>
    </row>
    <row r="18248" spans="1:1" x14ac:dyDescent="0.2">
      <c r="A18248" s="1" t="s">
        <v>4824</v>
      </c>
    </row>
    <row r="18249" spans="1:1" x14ac:dyDescent="0.2">
      <c r="A18249" s="1" t="s">
        <v>4825</v>
      </c>
    </row>
    <row r="18250" spans="1:1" x14ac:dyDescent="0.2">
      <c r="A18250" s="1" t="s">
        <v>4826</v>
      </c>
    </row>
    <row r="18251" spans="1:1" x14ac:dyDescent="0.2">
      <c r="A18251" s="1" t="s">
        <v>4826</v>
      </c>
    </row>
    <row r="18252" spans="1:1" x14ac:dyDescent="0.2">
      <c r="A18252" s="1" t="s">
        <v>4826</v>
      </c>
    </row>
    <row r="18253" spans="1:1" x14ac:dyDescent="0.2">
      <c r="A18253" s="1" t="s">
        <v>4827</v>
      </c>
    </row>
    <row r="18254" spans="1:1" x14ac:dyDescent="0.2">
      <c r="A18254" s="1" t="s">
        <v>4818</v>
      </c>
    </row>
    <row r="18255" spans="1:1" x14ac:dyDescent="0.2">
      <c r="A18255" s="1" t="s">
        <v>4819</v>
      </c>
    </row>
    <row r="18256" spans="1:1" x14ac:dyDescent="0.2">
      <c r="A18256" s="1" t="s">
        <v>4820</v>
      </c>
    </row>
    <row r="18257" spans="1:1" x14ac:dyDescent="0.2">
      <c r="A18257" s="1" t="s">
        <v>4821</v>
      </c>
    </row>
    <row r="18258" spans="1:1" x14ac:dyDescent="0.2">
      <c r="A18258" s="1" t="s">
        <v>4822</v>
      </c>
    </row>
    <row r="18259" spans="1:1" x14ac:dyDescent="0.2">
      <c r="A18259" s="1" t="s">
        <v>4823</v>
      </c>
    </row>
    <row r="18260" spans="1:1" x14ac:dyDescent="0.2">
      <c r="A18260" s="1" t="s">
        <v>4824</v>
      </c>
    </row>
    <row r="18261" spans="1:1" x14ac:dyDescent="0.2">
      <c r="A18261" s="1" t="s">
        <v>4824</v>
      </c>
    </row>
    <row r="18262" spans="1:1" x14ac:dyDescent="0.2">
      <c r="A18262" s="1" t="s">
        <v>4824</v>
      </c>
    </row>
    <row r="18263" spans="1:1" x14ac:dyDescent="0.2">
      <c r="A18263" s="1" t="s">
        <v>4824</v>
      </c>
    </row>
    <row r="18264" spans="1:1" x14ac:dyDescent="0.2">
      <c r="A18264" s="1" t="s">
        <v>4825</v>
      </c>
    </row>
    <row r="18265" spans="1:1" x14ac:dyDescent="0.2">
      <c r="A18265" s="1" t="s">
        <v>4826</v>
      </c>
    </row>
    <row r="18266" spans="1:1" x14ac:dyDescent="0.2">
      <c r="A18266" s="1" t="s">
        <v>4826</v>
      </c>
    </row>
    <row r="18267" spans="1:1" x14ac:dyDescent="0.2">
      <c r="A18267" s="1" t="s">
        <v>4826</v>
      </c>
    </row>
    <row r="18268" spans="1:1" x14ac:dyDescent="0.2">
      <c r="A18268" s="1" t="s">
        <v>4827</v>
      </c>
    </row>
    <row r="18269" spans="1:1" x14ac:dyDescent="0.2">
      <c r="A18269" s="1" t="s">
        <v>4818</v>
      </c>
    </row>
    <row r="18270" spans="1:1" x14ac:dyDescent="0.2">
      <c r="A18270" s="1" t="s">
        <v>4819</v>
      </c>
    </row>
    <row r="18271" spans="1:1" x14ac:dyDescent="0.2">
      <c r="A18271" s="1" t="s">
        <v>4820</v>
      </c>
    </row>
    <row r="18272" spans="1:1" x14ac:dyDescent="0.2">
      <c r="A18272" s="1" t="s">
        <v>4821</v>
      </c>
    </row>
    <row r="18273" spans="1:1" x14ac:dyDescent="0.2">
      <c r="A18273" s="1" t="s">
        <v>4822</v>
      </c>
    </row>
    <row r="18274" spans="1:1" x14ac:dyDescent="0.2">
      <c r="A18274" s="1" t="s">
        <v>4823</v>
      </c>
    </row>
    <row r="18275" spans="1:1" x14ac:dyDescent="0.2">
      <c r="A18275" s="1" t="s">
        <v>4824</v>
      </c>
    </row>
    <row r="18276" spans="1:1" x14ac:dyDescent="0.2">
      <c r="A18276" s="1" t="s">
        <v>4824</v>
      </c>
    </row>
    <row r="18277" spans="1:1" x14ac:dyDescent="0.2">
      <c r="A18277" s="1" t="s">
        <v>4824</v>
      </c>
    </row>
    <row r="18278" spans="1:1" x14ac:dyDescent="0.2">
      <c r="A18278" s="1" t="s">
        <v>4824</v>
      </c>
    </row>
    <row r="18279" spans="1:1" x14ac:dyDescent="0.2">
      <c r="A18279" s="1" t="s">
        <v>4825</v>
      </c>
    </row>
    <row r="18280" spans="1:1" x14ac:dyDescent="0.2">
      <c r="A18280" s="1" t="s">
        <v>4826</v>
      </c>
    </row>
    <row r="18281" spans="1:1" x14ac:dyDescent="0.2">
      <c r="A18281" s="1" t="s">
        <v>4826</v>
      </c>
    </row>
    <row r="18282" spans="1:1" x14ac:dyDescent="0.2">
      <c r="A18282" s="1" t="s">
        <v>4826</v>
      </c>
    </row>
    <row r="18283" spans="1:1" x14ac:dyDescent="0.2">
      <c r="A18283" s="1" t="s">
        <v>4827</v>
      </c>
    </row>
    <row r="18284" spans="1:1" x14ac:dyDescent="0.2">
      <c r="A18284" s="1" t="s">
        <v>4818</v>
      </c>
    </row>
    <row r="18285" spans="1:1" x14ac:dyDescent="0.2">
      <c r="A18285" s="1" t="s">
        <v>4819</v>
      </c>
    </row>
    <row r="18286" spans="1:1" x14ac:dyDescent="0.2">
      <c r="A18286" s="1" t="s">
        <v>4820</v>
      </c>
    </row>
    <row r="18287" spans="1:1" x14ac:dyDescent="0.2">
      <c r="A18287" s="1" t="s">
        <v>4821</v>
      </c>
    </row>
    <row r="18288" spans="1:1" x14ac:dyDescent="0.2">
      <c r="A18288" s="1" t="s">
        <v>4822</v>
      </c>
    </row>
    <row r="18289" spans="1:1" x14ac:dyDescent="0.2">
      <c r="A18289" s="1" t="s">
        <v>4823</v>
      </c>
    </row>
    <row r="18290" spans="1:1" x14ac:dyDescent="0.2">
      <c r="A18290" s="1" t="s">
        <v>4824</v>
      </c>
    </row>
    <row r="18291" spans="1:1" x14ac:dyDescent="0.2">
      <c r="A18291" s="1" t="s">
        <v>4824</v>
      </c>
    </row>
    <row r="18292" spans="1:1" x14ac:dyDescent="0.2">
      <c r="A18292" s="1" t="s">
        <v>4824</v>
      </c>
    </row>
    <row r="18293" spans="1:1" x14ac:dyDescent="0.2">
      <c r="A18293" s="1" t="s">
        <v>4824</v>
      </c>
    </row>
    <row r="18294" spans="1:1" x14ac:dyDescent="0.2">
      <c r="A18294" s="1" t="s">
        <v>4825</v>
      </c>
    </row>
    <row r="18295" spans="1:1" x14ac:dyDescent="0.2">
      <c r="A18295" s="1" t="s">
        <v>4826</v>
      </c>
    </row>
    <row r="18296" spans="1:1" x14ac:dyDescent="0.2">
      <c r="A18296" s="1" t="s">
        <v>4826</v>
      </c>
    </row>
    <row r="18297" spans="1:1" x14ac:dyDescent="0.2">
      <c r="A18297" s="1" t="s">
        <v>4826</v>
      </c>
    </row>
    <row r="18298" spans="1:1" x14ac:dyDescent="0.2">
      <c r="A18298" s="1" t="s">
        <v>4827</v>
      </c>
    </row>
    <row r="18299" spans="1:1" x14ac:dyDescent="0.2">
      <c r="A18299" s="1" t="s">
        <v>4818</v>
      </c>
    </row>
    <row r="18300" spans="1:1" x14ac:dyDescent="0.2">
      <c r="A18300" s="1" t="s">
        <v>4819</v>
      </c>
    </row>
    <row r="18301" spans="1:1" x14ac:dyDescent="0.2">
      <c r="A18301" s="1" t="s">
        <v>4820</v>
      </c>
    </row>
    <row r="18302" spans="1:1" x14ac:dyDescent="0.2">
      <c r="A18302" s="1" t="s">
        <v>4821</v>
      </c>
    </row>
    <row r="18303" spans="1:1" x14ac:dyDescent="0.2">
      <c r="A18303" s="1" t="s">
        <v>4822</v>
      </c>
    </row>
    <row r="18304" spans="1:1" x14ac:dyDescent="0.2">
      <c r="A18304" s="1" t="s">
        <v>4823</v>
      </c>
    </row>
    <row r="18305" spans="1:1" x14ac:dyDescent="0.2">
      <c r="A18305" s="1" t="s">
        <v>4824</v>
      </c>
    </row>
    <row r="18306" spans="1:1" x14ac:dyDescent="0.2">
      <c r="A18306" s="1" t="s">
        <v>4824</v>
      </c>
    </row>
    <row r="18307" spans="1:1" x14ac:dyDescent="0.2">
      <c r="A18307" s="1" t="s">
        <v>4824</v>
      </c>
    </row>
    <row r="18308" spans="1:1" x14ac:dyDescent="0.2">
      <c r="A18308" s="1" t="s">
        <v>4824</v>
      </c>
    </row>
    <row r="18309" spans="1:1" x14ac:dyDescent="0.2">
      <c r="A18309" s="1" t="s">
        <v>4825</v>
      </c>
    </row>
    <row r="18310" spans="1:1" x14ac:dyDescent="0.2">
      <c r="A18310" s="1" t="s">
        <v>4826</v>
      </c>
    </row>
    <row r="18311" spans="1:1" x14ac:dyDescent="0.2">
      <c r="A18311" s="1" t="s">
        <v>4828</v>
      </c>
    </row>
    <row r="18312" spans="1:1" x14ac:dyDescent="0.2">
      <c r="A18312" s="1" t="s">
        <v>4829</v>
      </c>
    </row>
    <row r="18313" spans="1:1" x14ac:dyDescent="0.2">
      <c r="A18313" s="1" t="s">
        <v>4830</v>
      </c>
    </row>
    <row r="18314" spans="1:1" x14ac:dyDescent="0.2">
      <c r="A18314" s="1" t="s">
        <v>4831</v>
      </c>
    </row>
    <row r="18315" spans="1:1" x14ac:dyDescent="0.2">
      <c r="A18315" s="1" t="s">
        <v>4832</v>
      </c>
    </row>
    <row r="18316" spans="1:1" x14ac:dyDescent="0.2">
      <c r="A18316" s="1" t="s">
        <v>4833</v>
      </c>
    </row>
    <row r="18317" spans="1:1" x14ac:dyDescent="0.2">
      <c r="A18317" s="1" t="s">
        <v>4834</v>
      </c>
    </row>
    <row r="18318" spans="1:1" x14ac:dyDescent="0.2">
      <c r="A18318" s="1" t="s">
        <v>4835</v>
      </c>
    </row>
    <row r="18319" spans="1:1" x14ac:dyDescent="0.2">
      <c r="A18319" s="1" t="s">
        <v>4836</v>
      </c>
    </row>
    <row r="18320" spans="1:1" x14ac:dyDescent="0.2">
      <c r="A18320" s="1" t="s">
        <v>4837</v>
      </c>
    </row>
    <row r="18321" spans="1:1" x14ac:dyDescent="0.2">
      <c r="A18321" s="1" t="s">
        <v>4838</v>
      </c>
    </row>
    <row r="18322" spans="1:1" x14ac:dyDescent="0.2">
      <c r="A18322" s="1" t="s">
        <v>4839</v>
      </c>
    </row>
    <row r="18323" spans="1:1" x14ac:dyDescent="0.2">
      <c r="A18323" s="1" t="s">
        <v>4839</v>
      </c>
    </row>
    <row r="18324" spans="1:1" x14ac:dyDescent="0.2">
      <c r="A18324" s="1" t="s">
        <v>4840</v>
      </c>
    </row>
    <row r="18325" spans="1:1" x14ac:dyDescent="0.2">
      <c r="A18325" s="1" t="s">
        <v>4841</v>
      </c>
    </row>
    <row r="18326" spans="1:1" x14ac:dyDescent="0.2">
      <c r="A18326" s="1" t="s">
        <v>4842</v>
      </c>
    </row>
    <row r="18327" spans="1:1" x14ac:dyDescent="0.2">
      <c r="A18327" s="1" t="s">
        <v>4843</v>
      </c>
    </row>
    <row r="18328" spans="1:1" x14ac:dyDescent="0.2">
      <c r="A18328" s="1" t="s">
        <v>4844</v>
      </c>
    </row>
    <row r="18329" spans="1:1" x14ac:dyDescent="0.2">
      <c r="A18329" s="1" t="s">
        <v>4845</v>
      </c>
    </row>
    <row r="18330" spans="1:1" x14ac:dyDescent="0.2">
      <c r="A18330" s="1" t="s">
        <v>4846</v>
      </c>
    </row>
    <row r="18331" spans="1:1" x14ac:dyDescent="0.2">
      <c r="A18331" s="1" t="s">
        <v>4847</v>
      </c>
    </row>
    <row r="18332" spans="1:1" x14ac:dyDescent="0.2">
      <c r="A18332" s="1" t="s">
        <v>4847</v>
      </c>
    </row>
    <row r="18333" spans="1:1" x14ac:dyDescent="0.2">
      <c r="A18333" s="1" t="s">
        <v>4847</v>
      </c>
    </row>
    <row r="18334" spans="1:1" x14ac:dyDescent="0.2">
      <c r="A18334" s="1" t="s">
        <v>4847</v>
      </c>
    </row>
    <row r="18335" spans="1:1" x14ac:dyDescent="0.2">
      <c r="A18335" s="1" t="s">
        <v>4848</v>
      </c>
    </row>
    <row r="18336" spans="1:1" x14ac:dyDescent="0.2">
      <c r="A18336" s="1" t="s">
        <v>4839</v>
      </c>
    </row>
    <row r="18337" spans="1:1" x14ac:dyDescent="0.2">
      <c r="A18337" s="1" t="s">
        <v>4839</v>
      </c>
    </row>
    <row r="18338" spans="1:1" x14ac:dyDescent="0.2">
      <c r="A18338" s="1" t="s">
        <v>4839</v>
      </c>
    </row>
    <row r="18339" spans="1:1" x14ac:dyDescent="0.2">
      <c r="A18339" s="1" t="s">
        <v>4840</v>
      </c>
    </row>
    <row r="18340" spans="1:1" x14ac:dyDescent="0.2">
      <c r="A18340" s="1" t="s">
        <v>4841</v>
      </c>
    </row>
    <row r="18341" spans="1:1" x14ac:dyDescent="0.2">
      <c r="A18341" s="1" t="s">
        <v>4842</v>
      </c>
    </row>
    <row r="18342" spans="1:1" x14ac:dyDescent="0.2">
      <c r="A18342" s="1" t="s">
        <v>4843</v>
      </c>
    </row>
    <row r="18343" spans="1:1" x14ac:dyDescent="0.2">
      <c r="A18343" s="1" t="s">
        <v>4844</v>
      </c>
    </row>
    <row r="18344" spans="1:1" x14ac:dyDescent="0.2">
      <c r="A18344" s="1" t="s">
        <v>4845</v>
      </c>
    </row>
    <row r="18345" spans="1:1" x14ac:dyDescent="0.2">
      <c r="A18345" s="1" t="s">
        <v>4846</v>
      </c>
    </row>
    <row r="18346" spans="1:1" x14ac:dyDescent="0.2">
      <c r="A18346" s="1" t="s">
        <v>4847</v>
      </c>
    </row>
    <row r="18347" spans="1:1" x14ac:dyDescent="0.2">
      <c r="A18347" s="1" t="s">
        <v>4847</v>
      </c>
    </row>
    <row r="18348" spans="1:1" x14ac:dyDescent="0.2">
      <c r="A18348" s="1" t="s">
        <v>4847</v>
      </c>
    </row>
    <row r="18349" spans="1:1" x14ac:dyDescent="0.2">
      <c r="A18349" s="1" t="s">
        <v>4847</v>
      </c>
    </row>
    <row r="18350" spans="1:1" x14ac:dyDescent="0.2">
      <c r="A18350" s="1" t="s">
        <v>4848</v>
      </c>
    </row>
    <row r="18351" spans="1:1" x14ac:dyDescent="0.2">
      <c r="A18351" s="1" t="s">
        <v>4839</v>
      </c>
    </row>
    <row r="18352" spans="1:1" x14ac:dyDescent="0.2">
      <c r="A18352" s="1" t="s">
        <v>4839</v>
      </c>
    </row>
    <row r="18353" spans="1:1" x14ac:dyDescent="0.2">
      <c r="A18353" s="1" t="s">
        <v>4839</v>
      </c>
    </row>
    <row r="18354" spans="1:1" x14ac:dyDescent="0.2">
      <c r="A18354" s="1" t="s">
        <v>4840</v>
      </c>
    </row>
    <row r="18355" spans="1:1" x14ac:dyDescent="0.2">
      <c r="A18355" s="1" t="s">
        <v>4841</v>
      </c>
    </row>
    <row r="18356" spans="1:1" x14ac:dyDescent="0.2">
      <c r="A18356" s="1" t="s">
        <v>4842</v>
      </c>
    </row>
    <row r="18357" spans="1:1" x14ac:dyDescent="0.2">
      <c r="A18357" s="1" t="s">
        <v>4843</v>
      </c>
    </row>
    <row r="18358" spans="1:1" x14ac:dyDescent="0.2">
      <c r="A18358" s="1" t="s">
        <v>4844</v>
      </c>
    </row>
    <row r="18359" spans="1:1" x14ac:dyDescent="0.2">
      <c r="A18359" s="1" t="s">
        <v>4845</v>
      </c>
    </row>
    <row r="18360" spans="1:1" x14ac:dyDescent="0.2">
      <c r="A18360" s="1" t="s">
        <v>4846</v>
      </c>
    </row>
    <row r="18361" spans="1:1" x14ac:dyDescent="0.2">
      <c r="A18361" s="1" t="s">
        <v>4847</v>
      </c>
    </row>
    <row r="18362" spans="1:1" x14ac:dyDescent="0.2">
      <c r="A18362" s="1" t="s">
        <v>4847</v>
      </c>
    </row>
    <row r="18363" spans="1:1" x14ac:dyDescent="0.2">
      <c r="A18363" s="1" t="s">
        <v>4847</v>
      </c>
    </row>
    <row r="18364" spans="1:1" x14ac:dyDescent="0.2">
      <c r="A18364" s="1" t="s">
        <v>4847</v>
      </c>
    </row>
    <row r="18365" spans="1:1" x14ac:dyDescent="0.2">
      <c r="A18365" s="1" t="s">
        <v>4848</v>
      </c>
    </row>
    <row r="18366" spans="1:1" x14ac:dyDescent="0.2">
      <c r="A18366" s="1" t="s">
        <v>4839</v>
      </c>
    </row>
    <row r="18367" spans="1:1" x14ac:dyDescent="0.2">
      <c r="A18367" s="1" t="s">
        <v>4839</v>
      </c>
    </row>
    <row r="18368" spans="1:1" x14ac:dyDescent="0.2">
      <c r="A18368" s="1" t="s">
        <v>4839</v>
      </c>
    </row>
    <row r="18369" spans="1:1" x14ac:dyDescent="0.2">
      <c r="A18369" s="1" t="s">
        <v>4840</v>
      </c>
    </row>
    <row r="18370" spans="1:1" x14ac:dyDescent="0.2">
      <c r="A18370" s="1" t="s">
        <v>4841</v>
      </c>
    </row>
    <row r="18371" spans="1:1" x14ac:dyDescent="0.2">
      <c r="A18371" s="1" t="s">
        <v>4842</v>
      </c>
    </row>
    <row r="18372" spans="1:1" x14ac:dyDescent="0.2">
      <c r="A18372" s="1" t="s">
        <v>4843</v>
      </c>
    </row>
    <row r="18373" spans="1:1" x14ac:dyDescent="0.2">
      <c r="A18373" s="1" t="s">
        <v>4844</v>
      </c>
    </row>
    <row r="18374" spans="1:1" x14ac:dyDescent="0.2">
      <c r="A18374" s="1" t="s">
        <v>4845</v>
      </c>
    </row>
    <row r="18375" spans="1:1" x14ac:dyDescent="0.2">
      <c r="A18375" s="1" t="s">
        <v>4846</v>
      </c>
    </row>
    <row r="18376" spans="1:1" x14ac:dyDescent="0.2">
      <c r="A18376" s="1" t="s">
        <v>4847</v>
      </c>
    </row>
    <row r="18377" spans="1:1" x14ac:dyDescent="0.2">
      <c r="A18377" s="1" t="s">
        <v>4847</v>
      </c>
    </row>
    <row r="18378" spans="1:1" x14ac:dyDescent="0.2">
      <c r="A18378" s="1" t="s">
        <v>4847</v>
      </c>
    </row>
    <row r="18379" spans="1:1" x14ac:dyDescent="0.2">
      <c r="A18379" s="1" t="s">
        <v>4847</v>
      </c>
    </row>
    <row r="18380" spans="1:1" x14ac:dyDescent="0.2">
      <c r="A18380" s="1" t="s">
        <v>4848</v>
      </c>
    </row>
    <row r="18381" spans="1:1" x14ac:dyDescent="0.2">
      <c r="A18381" s="1" t="s">
        <v>4839</v>
      </c>
    </row>
    <row r="18382" spans="1:1" x14ac:dyDescent="0.2">
      <c r="A18382" s="1" t="s">
        <v>4839</v>
      </c>
    </row>
    <row r="18383" spans="1:1" x14ac:dyDescent="0.2">
      <c r="A18383" s="1" t="s">
        <v>4839</v>
      </c>
    </row>
    <row r="18384" spans="1:1" x14ac:dyDescent="0.2">
      <c r="A18384" s="1" t="s">
        <v>4840</v>
      </c>
    </row>
    <row r="18385" spans="1:1" x14ac:dyDescent="0.2">
      <c r="A18385" s="1" t="s">
        <v>4841</v>
      </c>
    </row>
    <row r="18386" spans="1:1" x14ac:dyDescent="0.2">
      <c r="A18386" s="1" t="s">
        <v>4842</v>
      </c>
    </row>
    <row r="18387" spans="1:1" x14ac:dyDescent="0.2">
      <c r="A18387" s="1" t="s">
        <v>4843</v>
      </c>
    </row>
    <row r="18388" spans="1:1" x14ac:dyDescent="0.2">
      <c r="A18388" s="1" t="s">
        <v>4844</v>
      </c>
    </row>
    <row r="18389" spans="1:1" x14ac:dyDescent="0.2">
      <c r="A18389" s="1" t="s">
        <v>4845</v>
      </c>
    </row>
    <row r="18390" spans="1:1" x14ac:dyDescent="0.2">
      <c r="A18390" s="1" t="s">
        <v>4846</v>
      </c>
    </row>
    <row r="18391" spans="1:1" x14ac:dyDescent="0.2">
      <c r="A18391" s="1" t="s">
        <v>4847</v>
      </c>
    </row>
    <row r="18392" spans="1:1" x14ac:dyDescent="0.2">
      <c r="A18392" s="1" t="s">
        <v>4847</v>
      </c>
    </row>
    <row r="18393" spans="1:1" x14ac:dyDescent="0.2">
      <c r="A18393" s="1" t="s">
        <v>4847</v>
      </c>
    </row>
    <row r="18394" spans="1:1" x14ac:dyDescent="0.2">
      <c r="A18394" s="1" t="s">
        <v>4847</v>
      </c>
    </row>
    <row r="18395" spans="1:1" x14ac:dyDescent="0.2">
      <c r="A18395" s="1" t="s">
        <v>4848</v>
      </c>
    </row>
    <row r="18396" spans="1:1" x14ac:dyDescent="0.2">
      <c r="A18396" s="1" t="s">
        <v>4839</v>
      </c>
    </row>
    <row r="18397" spans="1:1" x14ac:dyDescent="0.2">
      <c r="A18397" s="1" t="s">
        <v>4849</v>
      </c>
    </row>
    <row r="18398" spans="1:1" x14ac:dyDescent="0.2">
      <c r="A18398" s="1" t="s">
        <v>4850</v>
      </c>
    </row>
    <row r="18399" spans="1:1" x14ac:dyDescent="0.2">
      <c r="A18399" s="1" t="s">
        <v>4851</v>
      </c>
    </row>
    <row r="18400" spans="1:1" x14ac:dyDescent="0.2">
      <c r="A18400" s="1" t="s">
        <v>4852</v>
      </c>
    </row>
    <row r="18401" spans="1:1" x14ac:dyDescent="0.2">
      <c r="A18401" s="1" t="s">
        <v>4853</v>
      </c>
    </row>
    <row r="18402" spans="1:1" x14ac:dyDescent="0.2">
      <c r="A18402" s="1" t="s">
        <v>4854</v>
      </c>
    </row>
    <row r="18403" spans="1:1" x14ac:dyDescent="0.2">
      <c r="A18403" s="1" t="s">
        <v>4855</v>
      </c>
    </row>
    <row r="18404" spans="1:1" x14ac:dyDescent="0.2">
      <c r="A18404" s="1" t="s">
        <v>4856</v>
      </c>
    </row>
    <row r="18405" spans="1:1" x14ac:dyDescent="0.2">
      <c r="A18405" s="1" t="s">
        <v>4857</v>
      </c>
    </row>
    <row r="18406" spans="1:1" x14ac:dyDescent="0.2">
      <c r="A18406" s="1" t="s">
        <v>4858</v>
      </c>
    </row>
    <row r="18407" spans="1:1" x14ac:dyDescent="0.2">
      <c r="A18407" s="1" t="s">
        <v>4859</v>
      </c>
    </row>
    <row r="18408" spans="1:1" x14ac:dyDescent="0.2">
      <c r="A18408" s="1" t="s">
        <v>4860</v>
      </c>
    </row>
    <row r="18409" spans="1:1" x14ac:dyDescent="0.2">
      <c r="A18409" s="1" t="s">
        <v>4861</v>
      </c>
    </row>
    <row r="18410" spans="1:1" x14ac:dyDescent="0.2">
      <c r="A18410" s="1" t="s">
        <v>4862</v>
      </c>
    </row>
    <row r="18411" spans="1:1" x14ac:dyDescent="0.2">
      <c r="A18411" s="1" t="s">
        <v>4863</v>
      </c>
    </row>
    <row r="18412" spans="1:1" x14ac:dyDescent="0.2">
      <c r="A18412" s="1" t="s">
        <v>4864</v>
      </c>
    </row>
    <row r="18413" spans="1:1" x14ac:dyDescent="0.2">
      <c r="A18413" s="1" t="s">
        <v>4865</v>
      </c>
    </row>
    <row r="18414" spans="1:1" x14ac:dyDescent="0.2">
      <c r="A18414" s="1" t="s">
        <v>4866</v>
      </c>
    </row>
    <row r="18415" spans="1:1" x14ac:dyDescent="0.2">
      <c r="A18415" s="1" t="s">
        <v>4867</v>
      </c>
    </row>
    <row r="18416" spans="1:1" x14ac:dyDescent="0.2">
      <c r="A18416" s="1" t="s">
        <v>4868</v>
      </c>
    </row>
    <row r="18417" spans="1:1" x14ac:dyDescent="0.2">
      <c r="A18417" s="1" t="s">
        <v>4869</v>
      </c>
    </row>
    <row r="18418" spans="1:1" x14ac:dyDescent="0.2">
      <c r="A18418" s="1" t="s">
        <v>4870</v>
      </c>
    </row>
    <row r="18419" spans="1:1" x14ac:dyDescent="0.2">
      <c r="A18419" s="1" t="s">
        <v>4871</v>
      </c>
    </row>
    <row r="18420" spans="1:1" x14ac:dyDescent="0.2">
      <c r="A18420" s="1" t="s">
        <v>4872</v>
      </c>
    </row>
    <row r="18421" spans="1:1" x14ac:dyDescent="0.2">
      <c r="A18421" s="1" t="s">
        <v>4873</v>
      </c>
    </row>
    <row r="18422" spans="1:1" x14ac:dyDescent="0.2">
      <c r="A18422" s="1" t="s">
        <v>4874</v>
      </c>
    </row>
    <row r="18423" spans="1:1" x14ac:dyDescent="0.2">
      <c r="A18423" s="1" t="s">
        <v>4875</v>
      </c>
    </row>
    <row r="18424" spans="1:1" x14ac:dyDescent="0.2">
      <c r="A18424" s="1" t="s">
        <v>4876</v>
      </c>
    </row>
    <row r="18425" spans="1:1" x14ac:dyDescent="0.2">
      <c r="A18425" s="1" t="s">
        <v>4877</v>
      </c>
    </row>
    <row r="18426" spans="1:1" x14ac:dyDescent="0.2">
      <c r="A18426" s="1" t="s">
        <v>4878</v>
      </c>
    </row>
    <row r="18427" spans="1:1" x14ac:dyDescent="0.2">
      <c r="A18427" s="1" t="s">
        <v>4879</v>
      </c>
    </row>
    <row r="18428" spans="1:1" x14ac:dyDescent="0.2">
      <c r="A18428" s="1" t="s">
        <v>4880</v>
      </c>
    </row>
    <row r="18429" spans="1:1" x14ac:dyDescent="0.2">
      <c r="A18429" s="1" t="s">
        <v>4881</v>
      </c>
    </row>
    <row r="18430" spans="1:1" x14ac:dyDescent="0.2">
      <c r="A18430" s="1" t="s">
        <v>4882</v>
      </c>
    </row>
    <row r="18431" spans="1:1" x14ac:dyDescent="0.2">
      <c r="A18431" s="1" t="s">
        <v>4882</v>
      </c>
    </row>
    <row r="18432" spans="1:1" x14ac:dyDescent="0.2">
      <c r="A18432" s="1" t="s">
        <v>4883</v>
      </c>
    </row>
    <row r="18433" spans="1:1" x14ac:dyDescent="0.2">
      <c r="A18433" s="1" t="s">
        <v>4884</v>
      </c>
    </row>
    <row r="18434" spans="1:1" x14ac:dyDescent="0.2">
      <c r="A18434" s="1" t="s">
        <v>4885</v>
      </c>
    </row>
    <row r="18435" spans="1:1" x14ac:dyDescent="0.2">
      <c r="A18435" s="1" t="s">
        <v>4886</v>
      </c>
    </row>
    <row r="18436" spans="1:1" x14ac:dyDescent="0.2">
      <c r="A18436" s="1" t="s">
        <v>4887</v>
      </c>
    </row>
    <row r="18437" spans="1:1" x14ac:dyDescent="0.2">
      <c r="A18437" s="1" t="s">
        <v>4888</v>
      </c>
    </row>
    <row r="18438" spans="1:1" x14ac:dyDescent="0.2">
      <c r="A18438" s="1" t="s">
        <v>4889</v>
      </c>
    </row>
    <row r="18439" spans="1:1" x14ac:dyDescent="0.2">
      <c r="A18439" s="1" t="s">
        <v>4890</v>
      </c>
    </row>
    <row r="18440" spans="1:1" x14ac:dyDescent="0.2">
      <c r="A18440" s="1" t="s">
        <v>4890</v>
      </c>
    </row>
    <row r="18441" spans="1:1" x14ac:dyDescent="0.2">
      <c r="A18441" s="1" t="s">
        <v>4890</v>
      </c>
    </row>
    <row r="18442" spans="1:1" x14ac:dyDescent="0.2">
      <c r="A18442" s="1" t="s">
        <v>4890</v>
      </c>
    </row>
    <row r="18443" spans="1:1" x14ac:dyDescent="0.2">
      <c r="A18443" s="1" t="s">
        <v>4891</v>
      </c>
    </row>
    <row r="18444" spans="1:1" x14ac:dyDescent="0.2">
      <c r="A18444" s="1" t="s">
        <v>4892</v>
      </c>
    </row>
    <row r="18445" spans="1:1" x14ac:dyDescent="0.2">
      <c r="A18445" s="1" t="s">
        <v>4892</v>
      </c>
    </row>
    <row r="18446" spans="1:1" x14ac:dyDescent="0.2">
      <c r="A18446" s="1" t="s">
        <v>4892</v>
      </c>
    </row>
    <row r="18447" spans="1:1" x14ac:dyDescent="0.2">
      <c r="A18447" s="1" t="s">
        <v>4893</v>
      </c>
    </row>
    <row r="18448" spans="1:1" x14ac:dyDescent="0.2">
      <c r="A18448" s="1" t="s">
        <v>4884</v>
      </c>
    </row>
    <row r="18449" spans="1:1" x14ac:dyDescent="0.2">
      <c r="A18449" s="1" t="s">
        <v>4885</v>
      </c>
    </row>
    <row r="18450" spans="1:1" x14ac:dyDescent="0.2">
      <c r="A18450" s="1" t="s">
        <v>4886</v>
      </c>
    </row>
    <row r="18451" spans="1:1" x14ac:dyDescent="0.2">
      <c r="A18451" s="1" t="s">
        <v>4887</v>
      </c>
    </row>
    <row r="18452" spans="1:1" x14ac:dyDescent="0.2">
      <c r="A18452" s="1" t="s">
        <v>4888</v>
      </c>
    </row>
    <row r="18453" spans="1:1" x14ac:dyDescent="0.2">
      <c r="A18453" s="1" t="s">
        <v>4889</v>
      </c>
    </row>
    <row r="18454" spans="1:1" x14ac:dyDescent="0.2">
      <c r="A18454" s="1" t="s">
        <v>4890</v>
      </c>
    </row>
    <row r="18455" spans="1:1" x14ac:dyDescent="0.2">
      <c r="A18455" s="1" t="s">
        <v>4890</v>
      </c>
    </row>
    <row r="18456" spans="1:1" x14ac:dyDescent="0.2">
      <c r="A18456" s="1" t="s">
        <v>4890</v>
      </c>
    </row>
    <row r="18457" spans="1:1" x14ac:dyDescent="0.2">
      <c r="A18457" s="1" t="s">
        <v>4890</v>
      </c>
    </row>
    <row r="18458" spans="1:1" x14ac:dyDescent="0.2">
      <c r="A18458" s="1" t="s">
        <v>4891</v>
      </c>
    </row>
    <row r="18459" spans="1:1" x14ac:dyDescent="0.2">
      <c r="A18459" s="1" t="s">
        <v>4892</v>
      </c>
    </row>
    <row r="18460" spans="1:1" x14ac:dyDescent="0.2">
      <c r="A18460" s="1" t="s">
        <v>4892</v>
      </c>
    </row>
    <row r="18461" spans="1:1" x14ac:dyDescent="0.2">
      <c r="A18461" s="1" t="s">
        <v>4892</v>
      </c>
    </row>
    <row r="18462" spans="1:1" x14ac:dyDescent="0.2">
      <c r="A18462" s="1" t="s">
        <v>4893</v>
      </c>
    </row>
    <row r="18463" spans="1:1" x14ac:dyDescent="0.2">
      <c r="A18463" s="1" t="s">
        <v>4884</v>
      </c>
    </row>
    <row r="18464" spans="1:1" x14ac:dyDescent="0.2">
      <c r="A18464" s="1" t="s">
        <v>4885</v>
      </c>
    </row>
    <row r="18465" spans="1:1" x14ac:dyDescent="0.2">
      <c r="A18465" s="1" t="s">
        <v>4886</v>
      </c>
    </row>
    <row r="18466" spans="1:1" x14ac:dyDescent="0.2">
      <c r="A18466" s="1" t="s">
        <v>4887</v>
      </c>
    </row>
    <row r="18467" spans="1:1" x14ac:dyDescent="0.2">
      <c r="A18467" s="1" t="s">
        <v>4888</v>
      </c>
    </row>
    <row r="18468" spans="1:1" x14ac:dyDescent="0.2">
      <c r="A18468" s="1" t="s">
        <v>4889</v>
      </c>
    </row>
    <row r="18469" spans="1:1" x14ac:dyDescent="0.2">
      <c r="A18469" s="1" t="s">
        <v>4890</v>
      </c>
    </row>
    <row r="18470" spans="1:1" x14ac:dyDescent="0.2">
      <c r="A18470" s="1" t="s">
        <v>4890</v>
      </c>
    </row>
    <row r="18471" spans="1:1" x14ac:dyDescent="0.2">
      <c r="A18471" s="1" t="s">
        <v>4890</v>
      </c>
    </row>
    <row r="18472" spans="1:1" x14ac:dyDescent="0.2">
      <c r="A18472" s="1" t="s">
        <v>4890</v>
      </c>
    </row>
    <row r="18473" spans="1:1" x14ac:dyDescent="0.2">
      <c r="A18473" s="1" t="s">
        <v>4891</v>
      </c>
    </row>
    <row r="18474" spans="1:1" x14ac:dyDescent="0.2">
      <c r="A18474" s="1" t="s">
        <v>4892</v>
      </c>
    </row>
    <row r="18475" spans="1:1" x14ac:dyDescent="0.2">
      <c r="A18475" s="1" t="s">
        <v>4892</v>
      </c>
    </row>
    <row r="18476" spans="1:1" x14ac:dyDescent="0.2">
      <c r="A18476" s="1" t="s">
        <v>4892</v>
      </c>
    </row>
    <row r="18477" spans="1:1" x14ac:dyDescent="0.2">
      <c r="A18477" s="1" t="s">
        <v>4893</v>
      </c>
    </row>
    <row r="18478" spans="1:1" x14ac:dyDescent="0.2">
      <c r="A18478" s="1" t="s">
        <v>4884</v>
      </c>
    </row>
    <row r="18479" spans="1:1" x14ac:dyDescent="0.2">
      <c r="A18479" s="1" t="s">
        <v>4885</v>
      </c>
    </row>
    <row r="18480" spans="1:1" x14ac:dyDescent="0.2">
      <c r="A18480" s="1" t="s">
        <v>4886</v>
      </c>
    </row>
    <row r="18481" spans="1:1" x14ac:dyDescent="0.2">
      <c r="A18481" s="1" t="s">
        <v>4887</v>
      </c>
    </row>
    <row r="18482" spans="1:1" x14ac:dyDescent="0.2">
      <c r="A18482" s="1" t="s">
        <v>4888</v>
      </c>
    </row>
    <row r="18483" spans="1:1" x14ac:dyDescent="0.2">
      <c r="A18483" s="1" t="s">
        <v>4889</v>
      </c>
    </row>
    <row r="18484" spans="1:1" x14ac:dyDescent="0.2">
      <c r="A18484" s="1" t="s">
        <v>4890</v>
      </c>
    </row>
    <row r="18485" spans="1:1" x14ac:dyDescent="0.2">
      <c r="A18485" s="1" t="s">
        <v>4890</v>
      </c>
    </row>
    <row r="18486" spans="1:1" x14ac:dyDescent="0.2">
      <c r="A18486" s="1" t="s">
        <v>4890</v>
      </c>
    </row>
    <row r="18487" spans="1:1" x14ac:dyDescent="0.2">
      <c r="A18487" s="1" t="s">
        <v>4890</v>
      </c>
    </row>
    <row r="18488" spans="1:1" x14ac:dyDescent="0.2">
      <c r="A18488" s="1" t="s">
        <v>4891</v>
      </c>
    </row>
    <row r="18489" spans="1:1" x14ac:dyDescent="0.2">
      <c r="A18489" s="1" t="s">
        <v>4892</v>
      </c>
    </row>
    <row r="18490" spans="1:1" x14ac:dyDescent="0.2">
      <c r="A18490" s="1" t="s">
        <v>4892</v>
      </c>
    </row>
    <row r="18491" spans="1:1" x14ac:dyDescent="0.2">
      <c r="A18491" s="1" t="s">
        <v>4892</v>
      </c>
    </row>
    <row r="18492" spans="1:1" x14ac:dyDescent="0.2">
      <c r="A18492" s="1" t="s">
        <v>4893</v>
      </c>
    </row>
    <row r="18493" spans="1:1" x14ac:dyDescent="0.2">
      <c r="A18493" s="1" t="s">
        <v>4884</v>
      </c>
    </row>
    <row r="18494" spans="1:1" x14ac:dyDescent="0.2">
      <c r="A18494" s="1" t="s">
        <v>4885</v>
      </c>
    </row>
    <row r="18495" spans="1:1" x14ac:dyDescent="0.2">
      <c r="A18495" s="1" t="s">
        <v>4886</v>
      </c>
    </row>
    <row r="18496" spans="1:1" x14ac:dyDescent="0.2">
      <c r="A18496" s="1" t="s">
        <v>4887</v>
      </c>
    </row>
    <row r="18497" spans="1:1" x14ac:dyDescent="0.2">
      <c r="A18497" s="1" t="s">
        <v>4888</v>
      </c>
    </row>
    <row r="18498" spans="1:1" x14ac:dyDescent="0.2">
      <c r="A18498" s="1" t="s">
        <v>4889</v>
      </c>
    </row>
    <row r="18499" spans="1:1" x14ac:dyDescent="0.2">
      <c r="A18499" s="1" t="s">
        <v>4890</v>
      </c>
    </row>
    <row r="18500" spans="1:1" x14ac:dyDescent="0.2">
      <c r="A18500" s="1" t="s">
        <v>4890</v>
      </c>
    </row>
    <row r="18501" spans="1:1" x14ac:dyDescent="0.2">
      <c r="A18501" s="1" t="s">
        <v>4890</v>
      </c>
    </row>
    <row r="18502" spans="1:1" x14ac:dyDescent="0.2">
      <c r="A18502" s="1" t="s">
        <v>4890</v>
      </c>
    </row>
    <row r="18503" spans="1:1" x14ac:dyDescent="0.2">
      <c r="A18503" s="1" t="s">
        <v>4891</v>
      </c>
    </row>
    <row r="18504" spans="1:1" x14ac:dyDescent="0.2">
      <c r="A18504" s="1" t="s">
        <v>4892</v>
      </c>
    </row>
    <row r="18505" spans="1:1" x14ac:dyDescent="0.2">
      <c r="A18505" s="1" t="s">
        <v>4894</v>
      </c>
    </row>
    <row r="18506" spans="1:1" x14ac:dyDescent="0.2">
      <c r="A18506" s="1" t="s">
        <v>4895</v>
      </c>
    </row>
    <row r="18507" spans="1:1" x14ac:dyDescent="0.2">
      <c r="A18507" s="1" t="s">
        <v>4896</v>
      </c>
    </row>
    <row r="18508" spans="1:1" x14ac:dyDescent="0.2">
      <c r="A18508" s="1" t="s">
        <v>4897</v>
      </c>
    </row>
    <row r="18509" spans="1:1" x14ac:dyDescent="0.2">
      <c r="A18509" s="1" t="s">
        <v>4898</v>
      </c>
    </row>
    <row r="18510" spans="1:1" x14ac:dyDescent="0.2">
      <c r="A18510" s="1" t="s">
        <v>4899</v>
      </c>
    </row>
    <row r="18511" spans="1:1" x14ac:dyDescent="0.2">
      <c r="A18511" s="1" t="s">
        <v>4900</v>
      </c>
    </row>
    <row r="18512" spans="1:1" x14ac:dyDescent="0.2">
      <c r="A18512" s="1" t="s">
        <v>4901</v>
      </c>
    </row>
    <row r="18513" spans="1:1" x14ac:dyDescent="0.2">
      <c r="A18513" s="1" t="s">
        <v>4902</v>
      </c>
    </row>
    <row r="18514" spans="1:1" x14ac:dyDescent="0.2">
      <c r="A18514" s="1" t="s">
        <v>4903</v>
      </c>
    </row>
    <row r="18515" spans="1:1" x14ac:dyDescent="0.2">
      <c r="A18515" s="1" t="s">
        <v>4904</v>
      </c>
    </row>
    <row r="18516" spans="1:1" x14ac:dyDescent="0.2">
      <c r="A18516" s="1" t="s">
        <v>4905</v>
      </c>
    </row>
    <row r="18517" spans="1:1" x14ac:dyDescent="0.2">
      <c r="A18517" s="1" t="s">
        <v>4906</v>
      </c>
    </row>
    <row r="18518" spans="1:1" x14ac:dyDescent="0.2">
      <c r="A18518" s="1" t="s">
        <v>4907</v>
      </c>
    </row>
    <row r="18519" spans="1:1" x14ac:dyDescent="0.2">
      <c r="A18519" s="1" t="s">
        <v>4908</v>
      </c>
    </row>
    <row r="18520" spans="1:1" x14ac:dyDescent="0.2">
      <c r="A18520" s="1" t="s">
        <v>4909</v>
      </c>
    </row>
    <row r="18521" spans="1:1" x14ac:dyDescent="0.2">
      <c r="A18521" s="1" t="s">
        <v>4909</v>
      </c>
    </row>
    <row r="18522" spans="1:1" x14ac:dyDescent="0.2">
      <c r="A18522" s="1" t="s">
        <v>4910</v>
      </c>
    </row>
    <row r="18523" spans="1:1" x14ac:dyDescent="0.2">
      <c r="A18523" s="1" t="s">
        <v>4911</v>
      </c>
    </row>
    <row r="18524" spans="1:1" x14ac:dyDescent="0.2">
      <c r="A18524" s="1" t="s">
        <v>4912</v>
      </c>
    </row>
    <row r="18525" spans="1:1" x14ac:dyDescent="0.2">
      <c r="A18525" s="1" t="s">
        <v>4913</v>
      </c>
    </row>
    <row r="18526" spans="1:1" x14ac:dyDescent="0.2">
      <c r="A18526" s="1" t="s">
        <v>4914</v>
      </c>
    </row>
    <row r="18527" spans="1:1" x14ac:dyDescent="0.2">
      <c r="A18527" s="1" t="s">
        <v>4915</v>
      </c>
    </row>
    <row r="18528" spans="1:1" x14ac:dyDescent="0.2">
      <c r="A18528" s="1" t="s">
        <v>4916</v>
      </c>
    </row>
    <row r="18529" spans="1:1" x14ac:dyDescent="0.2">
      <c r="A18529" s="1" t="s">
        <v>4917</v>
      </c>
    </row>
    <row r="18530" spans="1:1" x14ac:dyDescent="0.2">
      <c r="A18530" s="1" t="s">
        <v>4917</v>
      </c>
    </row>
    <row r="18531" spans="1:1" x14ac:dyDescent="0.2">
      <c r="A18531" s="1" t="s">
        <v>4917</v>
      </c>
    </row>
    <row r="18532" spans="1:1" x14ac:dyDescent="0.2">
      <c r="A18532" s="1" t="s">
        <v>4917</v>
      </c>
    </row>
    <row r="18533" spans="1:1" x14ac:dyDescent="0.2">
      <c r="A18533" s="1" t="s">
        <v>4918</v>
      </c>
    </row>
    <row r="18534" spans="1:1" x14ac:dyDescent="0.2">
      <c r="A18534" s="1" t="s">
        <v>4919</v>
      </c>
    </row>
    <row r="18535" spans="1:1" x14ac:dyDescent="0.2">
      <c r="A18535" s="1" t="s">
        <v>4919</v>
      </c>
    </row>
    <row r="18536" spans="1:1" x14ac:dyDescent="0.2">
      <c r="A18536" s="1" t="s">
        <v>4919</v>
      </c>
    </row>
    <row r="18537" spans="1:1" x14ac:dyDescent="0.2">
      <c r="A18537" s="1" t="s">
        <v>4920</v>
      </c>
    </row>
    <row r="18538" spans="1:1" x14ac:dyDescent="0.2">
      <c r="A18538" s="1" t="s">
        <v>4911</v>
      </c>
    </row>
    <row r="18539" spans="1:1" x14ac:dyDescent="0.2">
      <c r="A18539" s="1" t="s">
        <v>4912</v>
      </c>
    </row>
    <row r="18540" spans="1:1" x14ac:dyDescent="0.2">
      <c r="A18540" s="1" t="s">
        <v>4913</v>
      </c>
    </row>
    <row r="18541" spans="1:1" x14ac:dyDescent="0.2">
      <c r="A18541" s="1" t="s">
        <v>4914</v>
      </c>
    </row>
    <row r="18542" spans="1:1" x14ac:dyDescent="0.2">
      <c r="A18542" s="1" t="s">
        <v>4915</v>
      </c>
    </row>
    <row r="18543" spans="1:1" x14ac:dyDescent="0.2">
      <c r="A18543" s="1" t="s">
        <v>4916</v>
      </c>
    </row>
    <row r="18544" spans="1:1" x14ac:dyDescent="0.2">
      <c r="A18544" s="1" t="s">
        <v>4917</v>
      </c>
    </row>
    <row r="18545" spans="1:1" x14ac:dyDescent="0.2">
      <c r="A18545" s="1" t="s">
        <v>4917</v>
      </c>
    </row>
    <row r="18546" spans="1:1" x14ac:dyDescent="0.2">
      <c r="A18546" s="1" t="s">
        <v>4917</v>
      </c>
    </row>
    <row r="18547" spans="1:1" x14ac:dyDescent="0.2">
      <c r="A18547" s="1" t="s">
        <v>4917</v>
      </c>
    </row>
    <row r="18548" spans="1:1" x14ac:dyDescent="0.2">
      <c r="A18548" s="1" t="s">
        <v>4918</v>
      </c>
    </row>
    <row r="18549" spans="1:1" x14ac:dyDescent="0.2">
      <c r="A18549" s="1" t="s">
        <v>4919</v>
      </c>
    </row>
    <row r="18550" spans="1:1" x14ac:dyDescent="0.2">
      <c r="A18550" s="1" t="s">
        <v>4919</v>
      </c>
    </row>
    <row r="18551" spans="1:1" x14ac:dyDescent="0.2">
      <c r="A18551" s="1" t="s">
        <v>4919</v>
      </c>
    </row>
    <row r="18552" spans="1:1" x14ac:dyDescent="0.2">
      <c r="A18552" s="1" t="s">
        <v>4920</v>
      </c>
    </row>
    <row r="18553" spans="1:1" x14ac:dyDescent="0.2">
      <c r="A18553" s="1" t="s">
        <v>4911</v>
      </c>
    </row>
    <row r="18554" spans="1:1" x14ac:dyDescent="0.2">
      <c r="A18554" s="1" t="s">
        <v>4912</v>
      </c>
    </row>
    <row r="18555" spans="1:1" x14ac:dyDescent="0.2">
      <c r="A18555" s="1" t="s">
        <v>4913</v>
      </c>
    </row>
    <row r="18556" spans="1:1" x14ac:dyDescent="0.2">
      <c r="A18556" s="1" t="s">
        <v>4914</v>
      </c>
    </row>
    <row r="18557" spans="1:1" x14ac:dyDescent="0.2">
      <c r="A18557" s="1" t="s">
        <v>4915</v>
      </c>
    </row>
    <row r="18558" spans="1:1" x14ac:dyDescent="0.2">
      <c r="A18558" s="1" t="s">
        <v>4916</v>
      </c>
    </row>
    <row r="18559" spans="1:1" x14ac:dyDescent="0.2">
      <c r="A18559" s="1" t="s">
        <v>4917</v>
      </c>
    </row>
    <row r="18560" spans="1:1" x14ac:dyDescent="0.2">
      <c r="A18560" s="1" t="s">
        <v>4917</v>
      </c>
    </row>
    <row r="18561" spans="1:1" x14ac:dyDescent="0.2">
      <c r="A18561" s="1" t="s">
        <v>4917</v>
      </c>
    </row>
    <row r="18562" spans="1:1" x14ac:dyDescent="0.2">
      <c r="A18562" s="1" t="s">
        <v>4917</v>
      </c>
    </row>
    <row r="18563" spans="1:1" x14ac:dyDescent="0.2">
      <c r="A18563" s="1" t="s">
        <v>4918</v>
      </c>
    </row>
    <row r="18564" spans="1:1" x14ac:dyDescent="0.2">
      <c r="A18564" s="1" t="s">
        <v>4919</v>
      </c>
    </row>
    <row r="18565" spans="1:1" x14ac:dyDescent="0.2">
      <c r="A18565" s="1" t="s">
        <v>4919</v>
      </c>
    </row>
    <row r="18566" spans="1:1" x14ac:dyDescent="0.2">
      <c r="A18566" s="1" t="s">
        <v>4919</v>
      </c>
    </row>
    <row r="18567" spans="1:1" x14ac:dyDescent="0.2">
      <c r="A18567" s="1" t="s">
        <v>4920</v>
      </c>
    </row>
    <row r="18568" spans="1:1" x14ac:dyDescent="0.2">
      <c r="A18568" s="1" t="s">
        <v>4911</v>
      </c>
    </row>
    <row r="18569" spans="1:1" x14ac:dyDescent="0.2">
      <c r="A18569" s="1" t="s">
        <v>4912</v>
      </c>
    </row>
    <row r="18570" spans="1:1" x14ac:dyDescent="0.2">
      <c r="A18570" s="1" t="s">
        <v>4913</v>
      </c>
    </row>
    <row r="18571" spans="1:1" x14ac:dyDescent="0.2">
      <c r="A18571" s="1" t="s">
        <v>4914</v>
      </c>
    </row>
    <row r="18572" spans="1:1" x14ac:dyDescent="0.2">
      <c r="A18572" s="1" t="s">
        <v>4915</v>
      </c>
    </row>
    <row r="18573" spans="1:1" x14ac:dyDescent="0.2">
      <c r="A18573" s="1" t="s">
        <v>4916</v>
      </c>
    </row>
    <row r="18574" spans="1:1" x14ac:dyDescent="0.2">
      <c r="A18574" s="1" t="s">
        <v>4917</v>
      </c>
    </row>
    <row r="18575" spans="1:1" x14ac:dyDescent="0.2">
      <c r="A18575" s="1" t="s">
        <v>4917</v>
      </c>
    </row>
    <row r="18576" spans="1:1" x14ac:dyDescent="0.2">
      <c r="A18576" s="1" t="s">
        <v>4917</v>
      </c>
    </row>
    <row r="18577" spans="1:1" x14ac:dyDescent="0.2">
      <c r="A18577" s="1" t="s">
        <v>4917</v>
      </c>
    </row>
    <row r="18578" spans="1:1" x14ac:dyDescent="0.2">
      <c r="A18578" s="1" t="s">
        <v>4918</v>
      </c>
    </row>
    <row r="18579" spans="1:1" x14ac:dyDescent="0.2">
      <c r="A18579" s="1" t="s">
        <v>4919</v>
      </c>
    </row>
    <row r="18580" spans="1:1" x14ac:dyDescent="0.2">
      <c r="A18580" s="1" t="s">
        <v>4919</v>
      </c>
    </row>
    <row r="18581" spans="1:1" x14ac:dyDescent="0.2">
      <c r="A18581" s="1" t="s">
        <v>4919</v>
      </c>
    </row>
    <row r="18582" spans="1:1" x14ac:dyDescent="0.2">
      <c r="A18582" s="1" t="s">
        <v>4920</v>
      </c>
    </row>
    <row r="18583" spans="1:1" x14ac:dyDescent="0.2">
      <c r="A18583" s="1" t="s">
        <v>4911</v>
      </c>
    </row>
    <row r="18584" spans="1:1" x14ac:dyDescent="0.2">
      <c r="A18584" s="1" t="s">
        <v>4912</v>
      </c>
    </row>
    <row r="18585" spans="1:1" x14ac:dyDescent="0.2">
      <c r="A18585" s="1" t="s">
        <v>4913</v>
      </c>
    </row>
    <row r="18586" spans="1:1" x14ac:dyDescent="0.2">
      <c r="A18586" s="1" t="s">
        <v>4914</v>
      </c>
    </row>
    <row r="18587" spans="1:1" x14ac:dyDescent="0.2">
      <c r="A18587" s="1" t="s">
        <v>4915</v>
      </c>
    </row>
    <row r="18588" spans="1:1" x14ac:dyDescent="0.2">
      <c r="A18588" s="1" t="s">
        <v>4916</v>
      </c>
    </row>
    <row r="18589" spans="1:1" x14ac:dyDescent="0.2">
      <c r="A18589" s="1" t="s">
        <v>4917</v>
      </c>
    </row>
    <row r="18590" spans="1:1" x14ac:dyDescent="0.2">
      <c r="A18590" s="1" t="s">
        <v>4917</v>
      </c>
    </row>
    <row r="18591" spans="1:1" x14ac:dyDescent="0.2">
      <c r="A18591" s="1" t="s">
        <v>4917</v>
      </c>
    </row>
    <row r="18592" spans="1:1" x14ac:dyDescent="0.2">
      <c r="A18592" s="1" t="s">
        <v>4917</v>
      </c>
    </row>
    <row r="18593" spans="1:1" x14ac:dyDescent="0.2">
      <c r="A18593" s="1" t="s">
        <v>4918</v>
      </c>
    </row>
    <row r="18594" spans="1:1" x14ac:dyDescent="0.2">
      <c r="A18594" s="1" t="s">
        <v>4919</v>
      </c>
    </row>
    <row r="18595" spans="1:1" x14ac:dyDescent="0.2">
      <c r="A18595" s="1" t="s">
        <v>4926</v>
      </c>
    </row>
    <row r="18596" spans="1:1" x14ac:dyDescent="0.2">
      <c r="A18596" s="1" t="s">
        <v>4926</v>
      </c>
    </row>
    <row r="18597" spans="1:1" x14ac:dyDescent="0.2">
      <c r="A18597" s="1" t="s">
        <v>4927</v>
      </c>
    </row>
    <row r="18598" spans="1:1" x14ac:dyDescent="0.2">
      <c r="A18598" s="1" t="s">
        <v>4928</v>
      </c>
    </row>
    <row r="18599" spans="1:1" x14ac:dyDescent="0.2">
      <c r="A18599" s="1" t="s">
        <v>4929</v>
      </c>
    </row>
    <row r="18600" spans="1:1" x14ac:dyDescent="0.2">
      <c r="A18600" s="1" t="s">
        <v>4930</v>
      </c>
    </row>
    <row r="18601" spans="1:1" x14ac:dyDescent="0.2">
      <c r="A18601" s="1" t="s">
        <v>4931</v>
      </c>
    </row>
    <row r="18602" spans="1:1" x14ac:dyDescent="0.2">
      <c r="A18602" s="1" t="s">
        <v>4932</v>
      </c>
    </row>
    <row r="18603" spans="1:1" x14ac:dyDescent="0.2">
      <c r="A18603" s="1" t="s">
        <v>4933</v>
      </c>
    </row>
    <row r="18604" spans="1:1" x14ac:dyDescent="0.2">
      <c r="A18604" s="1" t="s">
        <v>4934</v>
      </c>
    </row>
    <row r="18605" spans="1:1" x14ac:dyDescent="0.2">
      <c r="A18605" s="1" t="s">
        <v>4934</v>
      </c>
    </row>
    <row r="18606" spans="1:1" x14ac:dyDescent="0.2">
      <c r="A18606" s="1" t="s">
        <v>4934</v>
      </c>
    </row>
    <row r="18607" spans="1:1" x14ac:dyDescent="0.2">
      <c r="A18607" s="1" t="s">
        <v>4934</v>
      </c>
    </row>
    <row r="18608" spans="1:1" x14ac:dyDescent="0.2">
      <c r="A18608" s="1" t="s">
        <v>4935</v>
      </c>
    </row>
    <row r="18609" spans="1:1" x14ac:dyDescent="0.2">
      <c r="A18609" s="1" t="s">
        <v>4936</v>
      </c>
    </row>
    <row r="18610" spans="1:1" x14ac:dyDescent="0.2">
      <c r="A18610" s="1" t="s">
        <v>4936</v>
      </c>
    </row>
    <row r="18611" spans="1:1" x14ac:dyDescent="0.2">
      <c r="A18611" s="1" t="s">
        <v>4936</v>
      </c>
    </row>
    <row r="18612" spans="1:1" x14ac:dyDescent="0.2">
      <c r="A18612" s="1" t="s">
        <v>4937</v>
      </c>
    </row>
    <row r="18613" spans="1:1" x14ac:dyDescent="0.2">
      <c r="A18613" s="1" t="s">
        <v>4928</v>
      </c>
    </row>
    <row r="18614" spans="1:1" x14ac:dyDescent="0.2">
      <c r="A18614" s="1" t="s">
        <v>4929</v>
      </c>
    </row>
    <row r="18615" spans="1:1" x14ac:dyDescent="0.2">
      <c r="A18615" s="1" t="s">
        <v>4930</v>
      </c>
    </row>
    <row r="18616" spans="1:1" x14ac:dyDescent="0.2">
      <c r="A18616" s="1" t="s">
        <v>4931</v>
      </c>
    </row>
    <row r="18617" spans="1:1" x14ac:dyDescent="0.2">
      <c r="A18617" s="1" t="s">
        <v>4932</v>
      </c>
    </row>
    <row r="18618" spans="1:1" x14ac:dyDescent="0.2">
      <c r="A18618" s="1" t="s">
        <v>4933</v>
      </c>
    </row>
    <row r="18619" spans="1:1" x14ac:dyDescent="0.2">
      <c r="A18619" s="1" t="s">
        <v>4934</v>
      </c>
    </row>
    <row r="18620" spans="1:1" x14ac:dyDescent="0.2">
      <c r="A18620" s="1" t="s">
        <v>4934</v>
      </c>
    </row>
    <row r="18621" spans="1:1" x14ac:dyDescent="0.2">
      <c r="A18621" s="1" t="s">
        <v>4934</v>
      </c>
    </row>
    <row r="18622" spans="1:1" x14ac:dyDescent="0.2">
      <c r="A18622" s="1" t="s">
        <v>4934</v>
      </c>
    </row>
    <row r="18623" spans="1:1" x14ac:dyDescent="0.2">
      <c r="A18623" s="1" t="s">
        <v>4935</v>
      </c>
    </row>
    <row r="18624" spans="1:1" x14ac:dyDescent="0.2">
      <c r="A18624" s="1" t="s">
        <v>4936</v>
      </c>
    </row>
    <row r="18625" spans="1:1" x14ac:dyDescent="0.2">
      <c r="A18625" s="1" t="s">
        <v>4936</v>
      </c>
    </row>
    <row r="18626" spans="1:1" x14ac:dyDescent="0.2">
      <c r="A18626" s="1" t="s">
        <v>4936</v>
      </c>
    </row>
    <row r="18627" spans="1:1" x14ac:dyDescent="0.2">
      <c r="A18627" s="1" t="s">
        <v>4937</v>
      </c>
    </row>
    <row r="18628" spans="1:1" x14ac:dyDescent="0.2">
      <c r="A18628" s="1" t="s">
        <v>4928</v>
      </c>
    </row>
    <row r="18629" spans="1:1" x14ac:dyDescent="0.2">
      <c r="A18629" s="1" t="s">
        <v>4929</v>
      </c>
    </row>
    <row r="18630" spans="1:1" x14ac:dyDescent="0.2">
      <c r="A18630" s="1" t="s">
        <v>4930</v>
      </c>
    </row>
    <row r="18631" spans="1:1" x14ac:dyDescent="0.2">
      <c r="A18631" s="1" t="s">
        <v>4931</v>
      </c>
    </row>
    <row r="18632" spans="1:1" x14ac:dyDescent="0.2">
      <c r="A18632" s="1" t="s">
        <v>4932</v>
      </c>
    </row>
    <row r="18633" spans="1:1" x14ac:dyDescent="0.2">
      <c r="A18633" s="1" t="s">
        <v>4933</v>
      </c>
    </row>
    <row r="18634" spans="1:1" x14ac:dyDescent="0.2">
      <c r="A18634" s="1" t="s">
        <v>4934</v>
      </c>
    </row>
    <row r="18635" spans="1:1" x14ac:dyDescent="0.2">
      <c r="A18635" s="1" t="s">
        <v>4934</v>
      </c>
    </row>
    <row r="18636" spans="1:1" x14ac:dyDescent="0.2">
      <c r="A18636" s="1" t="s">
        <v>4934</v>
      </c>
    </row>
    <row r="18637" spans="1:1" x14ac:dyDescent="0.2">
      <c r="A18637" s="1" t="s">
        <v>4934</v>
      </c>
    </row>
    <row r="18638" spans="1:1" x14ac:dyDescent="0.2">
      <c r="A18638" s="1" t="s">
        <v>4935</v>
      </c>
    </row>
    <row r="18639" spans="1:1" x14ac:dyDescent="0.2">
      <c r="A18639" s="1" t="s">
        <v>4936</v>
      </c>
    </row>
    <row r="18640" spans="1:1" x14ac:dyDescent="0.2">
      <c r="A18640" s="1" t="s">
        <v>4936</v>
      </c>
    </row>
    <row r="18641" spans="1:1" x14ac:dyDescent="0.2">
      <c r="A18641" s="1" t="s">
        <v>4936</v>
      </c>
    </row>
    <row r="18642" spans="1:1" x14ac:dyDescent="0.2">
      <c r="A18642" s="1" t="s">
        <v>4937</v>
      </c>
    </row>
    <row r="18643" spans="1:1" x14ac:dyDescent="0.2">
      <c r="A18643" s="1" t="s">
        <v>4928</v>
      </c>
    </row>
    <row r="18644" spans="1:1" x14ac:dyDescent="0.2">
      <c r="A18644" s="1" t="s">
        <v>4929</v>
      </c>
    </row>
    <row r="18645" spans="1:1" x14ac:dyDescent="0.2">
      <c r="A18645" s="1" t="s">
        <v>4930</v>
      </c>
    </row>
    <row r="18646" spans="1:1" x14ac:dyDescent="0.2">
      <c r="A18646" s="1" t="s">
        <v>4931</v>
      </c>
    </row>
    <row r="18647" spans="1:1" x14ac:dyDescent="0.2">
      <c r="A18647" s="1" t="s">
        <v>4932</v>
      </c>
    </row>
    <row r="18648" spans="1:1" x14ac:dyDescent="0.2">
      <c r="A18648" s="1" t="s">
        <v>4933</v>
      </c>
    </row>
    <row r="18649" spans="1:1" x14ac:dyDescent="0.2">
      <c r="A18649" s="1" t="s">
        <v>4934</v>
      </c>
    </row>
    <row r="18650" spans="1:1" x14ac:dyDescent="0.2">
      <c r="A18650" s="1" t="s">
        <v>4934</v>
      </c>
    </row>
    <row r="18651" spans="1:1" x14ac:dyDescent="0.2">
      <c r="A18651" s="1" t="s">
        <v>4934</v>
      </c>
    </row>
    <row r="18652" spans="1:1" x14ac:dyDescent="0.2">
      <c r="A18652" s="1" t="s">
        <v>4934</v>
      </c>
    </row>
    <row r="18653" spans="1:1" x14ac:dyDescent="0.2">
      <c r="A18653" s="1" t="s">
        <v>4935</v>
      </c>
    </row>
    <row r="18654" spans="1:1" x14ac:dyDescent="0.2">
      <c r="A18654" s="1" t="s">
        <v>4936</v>
      </c>
    </row>
    <row r="18655" spans="1:1" x14ac:dyDescent="0.2">
      <c r="A18655" s="1" t="s">
        <v>4936</v>
      </c>
    </row>
    <row r="18656" spans="1:1" x14ac:dyDescent="0.2">
      <c r="A18656" s="1" t="s">
        <v>4936</v>
      </c>
    </row>
    <row r="18657" spans="1:1" x14ac:dyDescent="0.2">
      <c r="A18657" s="1" t="s">
        <v>4937</v>
      </c>
    </row>
    <row r="18658" spans="1:1" x14ac:dyDescent="0.2">
      <c r="A18658" s="1" t="s">
        <v>4928</v>
      </c>
    </row>
    <row r="18659" spans="1:1" x14ac:dyDescent="0.2">
      <c r="A18659" s="1" t="s">
        <v>4929</v>
      </c>
    </row>
    <row r="18660" spans="1:1" x14ac:dyDescent="0.2">
      <c r="A18660" s="1" t="s">
        <v>4930</v>
      </c>
    </row>
    <row r="18661" spans="1:1" x14ac:dyDescent="0.2">
      <c r="A18661" s="1" t="s">
        <v>4931</v>
      </c>
    </row>
    <row r="18662" spans="1:1" x14ac:dyDescent="0.2">
      <c r="A18662" s="1" t="s">
        <v>4932</v>
      </c>
    </row>
    <row r="18663" spans="1:1" x14ac:dyDescent="0.2">
      <c r="A18663" s="1" t="s">
        <v>4933</v>
      </c>
    </row>
    <row r="18664" spans="1:1" x14ac:dyDescent="0.2">
      <c r="A18664" s="1" t="s">
        <v>4934</v>
      </c>
    </row>
    <row r="18665" spans="1:1" x14ac:dyDescent="0.2">
      <c r="A18665" s="1" t="s">
        <v>4934</v>
      </c>
    </row>
    <row r="18666" spans="1:1" x14ac:dyDescent="0.2">
      <c r="A18666" s="1" t="s">
        <v>4934</v>
      </c>
    </row>
    <row r="18667" spans="1:1" x14ac:dyDescent="0.2">
      <c r="A18667" s="1" t="s">
        <v>4934</v>
      </c>
    </row>
    <row r="18668" spans="1:1" x14ac:dyDescent="0.2">
      <c r="A18668" s="1" t="s">
        <v>4935</v>
      </c>
    </row>
    <row r="18669" spans="1:1" x14ac:dyDescent="0.2">
      <c r="A18669" s="1" t="s">
        <v>4936</v>
      </c>
    </row>
    <row r="18670" spans="1:1" x14ac:dyDescent="0.2">
      <c r="A18670" s="1" t="s">
        <v>4938</v>
      </c>
    </row>
    <row r="18671" spans="1:1" x14ac:dyDescent="0.2">
      <c r="A18671" s="1" t="s">
        <v>4939</v>
      </c>
    </row>
    <row r="18672" spans="1:1" x14ac:dyDescent="0.2">
      <c r="A18672" s="1" t="s">
        <v>4938</v>
      </c>
    </row>
    <row r="18673" spans="1:1" x14ac:dyDescent="0.2">
      <c r="A18673" s="1" t="s">
        <v>4940</v>
      </c>
    </row>
    <row r="18674" spans="1:1" x14ac:dyDescent="0.2">
      <c r="A18674" s="1" t="s">
        <v>4941</v>
      </c>
    </row>
    <row r="18675" spans="1:1" x14ac:dyDescent="0.2">
      <c r="A18675" s="1" t="s">
        <v>4942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</vt:lpstr>
      <vt:lpstr>CONFIGURAÇÕES</vt:lpstr>
      <vt:lpstr>1-CUSTOS PLANEJADOS</vt:lpstr>
      <vt:lpstr>2-CUSTOS REALIZADOS</vt:lpstr>
      <vt:lpstr>APOIO</vt:lpstr>
      <vt:lpstr>DEBUG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Lincoln Lopes da (BR - Sao Paulo)</dc:creator>
  <cp:lastModifiedBy>Silva, Lincoln Lopes da (BR - Sao Paulo)</cp:lastModifiedBy>
  <dcterms:created xsi:type="dcterms:W3CDTF">2016-08-26T13:47:46Z</dcterms:created>
  <dcterms:modified xsi:type="dcterms:W3CDTF">2019-06-25T22:49:48Z</dcterms:modified>
</cp:coreProperties>
</file>